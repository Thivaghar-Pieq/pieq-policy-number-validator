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1-24-25\"/>
    </mc:Choice>
  </mc:AlternateContent>
  <xr:revisionPtr revIDLastSave="0" documentId="13_ncr:1_{B6C6BBCD-5C87-4CD7-96C0-FA180A425DF6}" xr6:coauthVersionLast="47" xr6:coauthVersionMax="47" xr10:uidLastSave="{00000000-0000-0000-0000-000000000000}"/>
  <bookViews>
    <workbookView xWindow="-57720" yWindow="-45" windowWidth="29040" windowHeight="15720" activeTab="3" xr2:uid="{03F6FAA1-EB46-4453-AA91-79FB790DDF6F}"/>
  </bookViews>
  <sheets>
    <sheet name="20411454 - Main Line Benefits L" sheetId="1" r:id="rId1"/>
    <sheet name="NB" sheetId="3" r:id="rId2"/>
    <sheet name="RN" sheetId="2" r:id="rId3"/>
    <sheet name="Chargebac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2" l="1"/>
  <c r="N135" i="2"/>
  <c r="N8" i="2"/>
  <c r="N118" i="2"/>
  <c r="N155" i="2"/>
  <c r="N68" i="2"/>
  <c r="N84" i="2"/>
  <c r="N136" i="2"/>
  <c r="N119" i="2"/>
  <c r="N69" i="2"/>
  <c r="N57" i="2"/>
  <c r="N58" i="2"/>
  <c r="N28" i="2"/>
  <c r="N29" i="2"/>
  <c r="N9" i="2"/>
  <c r="N10" i="2"/>
  <c r="N97" i="2"/>
  <c r="N98" i="2"/>
  <c r="N99" i="2"/>
  <c r="N156" i="2"/>
  <c r="N30" i="2"/>
  <c r="N120" i="2"/>
  <c r="N31" i="2"/>
  <c r="N11" i="2"/>
  <c r="N70" i="2"/>
  <c r="N32" i="2"/>
  <c r="N33" i="2"/>
  <c r="N12" i="2"/>
  <c r="N165" i="2"/>
  <c r="N13" i="2"/>
  <c r="N157" i="2"/>
  <c r="N137" i="2"/>
  <c r="N85" i="2"/>
  <c r="N71" i="2"/>
  <c r="N138" i="2"/>
  <c r="N121" i="2"/>
  <c r="N86" i="2"/>
  <c r="N139" i="2"/>
  <c r="N100" i="2"/>
  <c r="N34" i="2"/>
  <c r="N14" i="2"/>
  <c r="N101" i="2"/>
  <c r="N2" i="2"/>
  <c r="N122" i="2"/>
  <c r="N152" i="2"/>
  <c r="N102" i="2"/>
  <c r="N35" i="2"/>
  <c r="N15" i="2"/>
  <c r="N140" i="2"/>
  <c r="N141" i="2"/>
  <c r="N142" i="2"/>
  <c r="N166" i="2"/>
  <c r="N59" i="2"/>
  <c r="N16" i="2"/>
  <c r="N72" i="2"/>
  <c r="N36" i="2"/>
  <c r="N37" i="2"/>
  <c r="N73" i="2"/>
  <c r="N17" i="2"/>
  <c r="N143" i="2"/>
  <c r="N74" i="2"/>
  <c r="N75" i="2"/>
  <c r="N3" i="2"/>
  <c r="N76" i="2"/>
  <c r="N38" i="2"/>
  <c r="N87" i="2"/>
  <c r="N103" i="2"/>
  <c r="N167" i="2"/>
  <c r="N104" i="2"/>
  <c r="N144" i="2"/>
  <c r="N18" i="2"/>
  <c r="N39" i="2"/>
  <c r="N88" i="2"/>
  <c r="N40" i="2"/>
  <c r="N41" i="2"/>
  <c r="N19" i="2"/>
  <c r="N105" i="2"/>
  <c r="N123" i="2"/>
  <c r="N124" i="2"/>
  <c r="N106" i="2"/>
  <c r="N168" i="2"/>
  <c r="N20" i="2"/>
  <c r="N158" i="2"/>
  <c r="N77" i="2"/>
  <c r="N21" i="2"/>
  <c r="N107" i="2"/>
  <c r="N108" i="2"/>
  <c r="N42" i="2"/>
  <c r="N78" i="2"/>
  <c r="N22" i="2"/>
  <c r="N145" i="2"/>
  <c r="N146" i="2"/>
  <c r="N169" i="2"/>
  <c r="N147" i="2"/>
  <c r="N109" i="2"/>
  <c r="N110" i="2"/>
  <c r="N125" i="2"/>
  <c r="N159" i="2"/>
  <c r="N4" i="2"/>
  <c r="N160" i="2"/>
  <c r="N161" i="2"/>
  <c r="N5" i="2"/>
  <c r="N60" i="2"/>
  <c r="N148" i="2"/>
  <c r="N79" i="2"/>
  <c r="N61" i="2"/>
  <c r="N89" i="2"/>
  <c r="N126" i="2"/>
  <c r="N90" i="2"/>
  <c r="N43" i="2"/>
  <c r="N127" i="2"/>
  <c r="N44" i="2"/>
  <c r="N91" i="2"/>
  <c r="N128" i="2"/>
  <c r="N92" i="2"/>
  <c r="N45" i="2"/>
  <c r="N129" i="2"/>
  <c r="N46" i="2"/>
  <c r="N93" i="2"/>
  <c r="N94" i="2"/>
  <c r="N47" i="2"/>
  <c r="N130" i="2"/>
  <c r="N48" i="2"/>
  <c r="N111" i="2"/>
  <c r="N6" i="2"/>
  <c r="N95" i="2"/>
  <c r="N112" i="2"/>
  <c r="N149" i="2"/>
  <c r="N7" i="2"/>
  <c r="N80" i="2"/>
  <c r="N150" i="2"/>
  <c r="N62" i="2"/>
  <c r="N131" i="2"/>
  <c r="N113" i="2"/>
  <c r="N151" i="2"/>
  <c r="N63" i="2"/>
  <c r="N49" i="2"/>
  <c r="N153" i="2"/>
  <c r="N162" i="2"/>
  <c r="N50" i="2"/>
  <c r="N51" i="2"/>
  <c r="N52" i="2"/>
  <c r="N23" i="2"/>
  <c r="N114" i="2"/>
  <c r="N132" i="2"/>
  <c r="N133" i="2"/>
  <c r="N134" i="2"/>
  <c r="N96" i="2"/>
  <c r="N24" i="2"/>
  <c r="N163" i="2"/>
  <c r="N81" i="2"/>
  <c r="N64" i="2"/>
  <c r="N53" i="2"/>
  <c r="N54" i="2"/>
  <c r="N55" i="2"/>
  <c r="N164" i="2"/>
  <c r="N115" i="2"/>
  <c r="N154" i="2"/>
  <c r="N116" i="2"/>
  <c r="N56" i="2"/>
  <c r="N82" i="2"/>
  <c r="N25" i="2"/>
  <c r="N117" i="2"/>
  <c r="N65" i="2"/>
  <c r="N66" i="2"/>
  <c r="N175" i="2"/>
  <c r="N26" i="2"/>
  <c r="N27" i="2"/>
  <c r="N174" i="2"/>
  <c r="N172" i="2"/>
  <c r="N170" i="2"/>
  <c r="N171" i="2"/>
  <c r="N180" i="2"/>
  <c r="N176" i="2"/>
  <c r="N173" i="2"/>
  <c r="N185" i="2"/>
  <c r="N184" i="2"/>
  <c r="N187" i="2"/>
  <c r="N186" i="2"/>
  <c r="N181" i="2"/>
  <c r="N179" i="2"/>
  <c r="N177" i="2"/>
  <c r="N188" i="2"/>
  <c r="N183" i="2"/>
  <c r="N182" i="2"/>
  <c r="N178" i="2"/>
  <c r="N275" i="2"/>
  <c r="N209" i="2"/>
  <c r="N221" i="2"/>
  <c r="N210" i="2"/>
  <c r="N204" i="2"/>
  <c r="N260" i="2"/>
  <c r="N241" i="2"/>
  <c r="N251" i="2"/>
  <c r="N245" i="2"/>
  <c r="N257" i="2"/>
  <c r="N261" i="2"/>
  <c r="N258" i="2"/>
  <c r="N276" i="2"/>
  <c r="N242" i="2"/>
  <c r="N246" i="2"/>
  <c r="N222" i="2"/>
  <c r="N190" i="2"/>
  <c r="N223" i="2"/>
  <c r="N211" i="2"/>
  <c r="N205" i="2"/>
  <c r="N262" i="2"/>
  <c r="N206" i="2"/>
  <c r="N252" i="2"/>
  <c r="N191" i="2"/>
  <c r="N192" i="2"/>
  <c r="N253" i="2"/>
  <c r="N263" i="2"/>
  <c r="N224" i="2"/>
  <c r="N225" i="2"/>
  <c r="N212" i="2"/>
  <c r="N193" i="2"/>
  <c r="N194" i="2"/>
  <c r="N254" i="2"/>
  <c r="N247" i="2"/>
  <c r="N259" i="2"/>
  <c r="N213" i="2"/>
  <c r="N214" i="2"/>
  <c r="N207" i="2"/>
  <c r="N243" i="2"/>
  <c r="N226" i="2"/>
  <c r="N227" i="2"/>
  <c r="N228" i="2"/>
  <c r="N215" i="2"/>
  <c r="N195" i="2"/>
  <c r="N196" i="2"/>
  <c r="N264" i="2"/>
  <c r="N265" i="2"/>
  <c r="N266" i="2"/>
  <c r="N244" i="2"/>
  <c r="N248" i="2"/>
  <c r="N267" i="2"/>
  <c r="N197" i="2"/>
  <c r="N268" i="2"/>
  <c r="N255" i="2"/>
  <c r="N208" i="2"/>
  <c r="N198" i="2"/>
  <c r="N249" i="2"/>
  <c r="N277" i="2"/>
  <c r="N278" i="2"/>
  <c r="N216" i="2"/>
  <c r="N229" i="2"/>
  <c r="N230" i="2"/>
  <c r="N269" i="2"/>
  <c r="N231" i="2"/>
  <c r="N232" i="2"/>
  <c r="N233" i="2"/>
  <c r="N234" i="2"/>
  <c r="N235" i="2"/>
  <c r="N270" i="2"/>
  <c r="N217" i="2"/>
  <c r="N218" i="2"/>
  <c r="N256" i="2"/>
  <c r="N250" i="2"/>
  <c r="N219" i="2"/>
  <c r="N236" i="2"/>
  <c r="N273" i="2"/>
  <c r="N274" i="2"/>
  <c r="N220" i="2"/>
  <c r="N237" i="2"/>
  <c r="N238" i="2"/>
  <c r="N199" i="2"/>
  <c r="N271" i="2"/>
  <c r="N272" i="2"/>
  <c r="N200" i="2"/>
  <c r="N310" i="2"/>
  <c r="N296" i="2"/>
  <c r="N297" i="2"/>
  <c r="N279" i="2"/>
  <c r="N280" i="2"/>
  <c r="N298" i="2"/>
  <c r="N294" i="2"/>
  <c r="N201" i="2"/>
  <c r="N202" i="2"/>
  <c r="N239" i="2"/>
  <c r="N240" i="2"/>
  <c r="N189" i="2"/>
  <c r="N286" i="2"/>
  <c r="N300" i="2"/>
  <c r="N293" i="2"/>
  <c r="N304" i="2"/>
  <c r="N284" i="2"/>
  <c r="N281" i="2"/>
  <c r="N305" i="2"/>
  <c r="N308" i="2"/>
  <c r="N301" i="2"/>
  <c r="N290" i="2"/>
  <c r="N312" i="2"/>
  <c r="N289" i="2"/>
  <c r="N282" i="2"/>
  <c r="N287" i="2"/>
  <c r="N313" i="2"/>
  <c r="N291" i="2"/>
  <c r="N309" i="2"/>
  <c r="N303" i="2"/>
  <c r="N203" i="2"/>
  <c r="N311" i="2"/>
  <c r="N295" i="2"/>
  <c r="N285" i="2"/>
  <c r="N314" i="2"/>
  <c r="N288" i="2"/>
  <c r="N283" i="2"/>
  <c r="N302" i="2"/>
  <c r="N292" i="2"/>
  <c r="N299" i="2"/>
  <c r="N306" i="2"/>
  <c r="N307" i="2"/>
  <c r="N83" i="2"/>
  <c r="K258" i="2"/>
  <c r="K259" i="2"/>
  <c r="K255" i="2"/>
  <c r="K252" i="2"/>
  <c r="K256" i="2"/>
  <c r="K3" i="2"/>
  <c r="K158" i="2"/>
  <c r="K7" i="2"/>
  <c r="K155" i="2"/>
  <c r="K273" i="2"/>
  <c r="K163" i="2"/>
  <c r="K6" i="2"/>
  <c r="K281" i="2"/>
  <c r="K189" i="2"/>
  <c r="K83" i="2"/>
  <c r="K70" i="2"/>
  <c r="K221" i="2"/>
  <c r="K222" i="2"/>
  <c r="K68" i="2"/>
  <c r="K67" i="2"/>
  <c r="K210" i="2"/>
  <c r="K209" i="2"/>
  <c r="K204" i="2"/>
  <c r="K32" i="2"/>
  <c r="K33" i="2"/>
  <c r="K190" i="2"/>
  <c r="K31" i="2"/>
  <c r="K197" i="2"/>
  <c r="K12" i="2"/>
  <c r="K8" i="2"/>
  <c r="K11" i="2"/>
  <c r="K93" i="2"/>
  <c r="K94" i="2"/>
  <c r="K240" i="2"/>
  <c r="K234" i="2"/>
  <c r="K235" i="2"/>
  <c r="K47" i="2"/>
  <c r="K48" i="2"/>
  <c r="K26" i="2"/>
  <c r="K96" i="2"/>
  <c r="K237" i="2"/>
  <c r="K238" i="2"/>
  <c r="K82" i="2"/>
  <c r="K81" i="2"/>
  <c r="K236" i="2"/>
  <c r="K63" i="2"/>
  <c r="K64" i="2"/>
  <c r="K62" i="2"/>
  <c r="K219" i="2"/>
  <c r="K220" i="2"/>
  <c r="K56" i="2"/>
  <c r="K53" i="2"/>
  <c r="K51" i="2"/>
  <c r="K52" i="2"/>
  <c r="K54" i="2"/>
  <c r="K55" i="2"/>
  <c r="K49" i="2"/>
  <c r="K50" i="2"/>
  <c r="K24" i="2"/>
  <c r="K199" i="2"/>
  <c r="K23" i="2"/>
  <c r="K25" i="2"/>
  <c r="K89" i="2"/>
  <c r="K91" i="2"/>
  <c r="K92" i="2"/>
  <c r="K95" i="2"/>
  <c r="K239" i="2"/>
  <c r="K233" i="2"/>
  <c r="K229" i="2"/>
  <c r="K231" i="2"/>
  <c r="K230" i="2"/>
  <c r="K232" i="2"/>
  <c r="K80" i="2"/>
  <c r="K217" i="2"/>
  <c r="K218" i="2"/>
  <c r="K43" i="2"/>
  <c r="K45" i="2"/>
  <c r="K44" i="2"/>
  <c r="K46" i="2"/>
  <c r="K85" i="2"/>
  <c r="K86" i="2"/>
  <c r="K84" i="2"/>
  <c r="K74" i="2"/>
  <c r="K227" i="2"/>
  <c r="K76" i="2"/>
  <c r="K223" i="2"/>
  <c r="K79" i="2"/>
  <c r="K72" i="2"/>
  <c r="K228" i="2"/>
  <c r="K224" i="2"/>
  <c r="K78" i="2"/>
  <c r="K77" i="2"/>
  <c r="K75" i="2"/>
  <c r="K69" i="2"/>
  <c r="K225" i="2"/>
  <c r="K73" i="2"/>
  <c r="K71" i="2"/>
  <c r="K59" i="2"/>
  <c r="K215" i="2"/>
  <c r="K61" i="2"/>
  <c r="K57" i="2"/>
  <c r="K58" i="2"/>
  <c r="K211" i="2"/>
  <c r="K216" i="2"/>
  <c r="K212" i="2"/>
  <c r="K213" i="2"/>
  <c r="K214" i="2"/>
  <c r="K205" i="2"/>
  <c r="K30" i="2"/>
  <c r="K42" i="2"/>
  <c r="K28" i="2"/>
  <c r="K36" i="2"/>
  <c r="K40" i="2"/>
  <c r="K41" i="2"/>
  <c r="K29" i="2"/>
  <c r="K195" i="2"/>
  <c r="K192" i="2"/>
  <c r="K38" i="2"/>
  <c r="K35" i="2"/>
  <c r="K37" i="2"/>
  <c r="K39" i="2"/>
  <c r="K207" i="2"/>
  <c r="K206" i="2"/>
  <c r="K34" i="2"/>
  <c r="K20" i="2"/>
  <c r="K2" i="2"/>
  <c r="K9" i="2"/>
  <c r="K196" i="2"/>
  <c r="K21" i="2"/>
  <c r="K10" i="2"/>
  <c r="K19" i="2"/>
  <c r="K14" i="2"/>
  <c r="K193" i="2"/>
  <c r="K194" i="2"/>
  <c r="K15" i="2"/>
  <c r="K13" i="2"/>
  <c r="K191" i="2"/>
  <c r="K16" i="2"/>
  <c r="K17" i="2"/>
  <c r="K18" i="2"/>
  <c r="K22" i="2"/>
  <c r="K201" i="2"/>
  <c r="K202" i="2"/>
  <c r="K27" i="2"/>
  <c r="K60" i="2"/>
  <c r="K208" i="2"/>
  <c r="K5" i="2"/>
  <c r="K4" i="2"/>
  <c r="K198" i="2"/>
  <c r="K90" i="2"/>
  <c r="K88" i="2"/>
  <c r="K243" i="2"/>
  <c r="K87" i="2"/>
  <c r="K300" i="2"/>
  <c r="K293" i="2"/>
  <c r="K284" i="2"/>
  <c r="K172" i="2"/>
  <c r="K182" i="2"/>
  <c r="K186" i="2"/>
  <c r="K288" i="2"/>
  <c r="K283" i="2"/>
  <c r="K292" i="2"/>
  <c r="K184" i="2"/>
  <c r="K295" i="2"/>
  <c r="K181" i="2"/>
  <c r="K179" i="2"/>
  <c r="K314" i="2"/>
  <c r="K302" i="2"/>
  <c r="K128" i="2"/>
  <c r="K129" i="2"/>
  <c r="K185" i="2"/>
  <c r="K177" i="2"/>
  <c r="K286" i="2"/>
  <c r="K187" i="2"/>
  <c r="K304" i="2"/>
  <c r="K173" i="2"/>
  <c r="K313" i="2"/>
  <c r="K188" i="2"/>
  <c r="K183" i="2"/>
  <c r="K285" i="2"/>
  <c r="K305" i="2"/>
  <c r="K310" i="2"/>
  <c r="K296" i="2"/>
  <c r="K297" i="2"/>
  <c r="K279" i="2"/>
  <c r="K117" i="2"/>
  <c r="K65" i="2"/>
  <c r="K306" i="2"/>
  <c r="K291" i="2"/>
  <c r="K308" i="2"/>
  <c r="K140" i="2"/>
  <c r="K270" i="2"/>
  <c r="K130" i="2"/>
  <c r="K111" i="2"/>
  <c r="K178" i="2"/>
  <c r="K307" i="2"/>
  <c r="K287" i="2"/>
  <c r="K141" i="2"/>
  <c r="K142" i="2"/>
  <c r="K299" i="2"/>
  <c r="K131" i="2"/>
  <c r="K180" i="2"/>
  <c r="K176" i="2"/>
  <c r="K170" i="2"/>
  <c r="K264" i="2"/>
  <c r="K159" i="2"/>
  <c r="K122" i="2"/>
  <c r="K105" i="2"/>
  <c r="K311" i="2"/>
  <c r="K164" i="2"/>
  <c r="K312" i="2"/>
  <c r="K115" i="2"/>
  <c r="K301" i="2"/>
  <c r="K112" i="2"/>
  <c r="K303" i="2"/>
  <c r="K165" i="2"/>
  <c r="K113" i="2"/>
  <c r="K271" i="2"/>
  <c r="K145" i="2"/>
  <c r="K154" i="2"/>
  <c r="K138" i="2"/>
  <c r="K166" i="2"/>
  <c r="K139" i="2"/>
  <c r="K144" i="2"/>
  <c r="K146" i="2"/>
  <c r="K148" i="2"/>
  <c r="K149" i="2"/>
  <c r="K171" i="2"/>
  <c r="K157" i="2"/>
  <c r="K309" i="2"/>
  <c r="K249" i="2"/>
  <c r="K289" i="2"/>
  <c r="K262" i="2"/>
  <c r="K174" i="2"/>
  <c r="K100" i="2"/>
  <c r="K251" i="2"/>
  <c r="K107" i="2"/>
  <c r="K253" i="2"/>
  <c r="K151" i="2"/>
  <c r="K250" i="2"/>
  <c r="K108" i="2"/>
  <c r="K277" i="2"/>
  <c r="K278" i="2"/>
  <c r="K123" i="2"/>
  <c r="K114" i="2"/>
  <c r="K120" i="2"/>
  <c r="K132" i="2"/>
  <c r="K272" i="2"/>
  <c r="K162" i="2"/>
  <c r="K290" i="2"/>
  <c r="K133" i="2"/>
  <c r="K254" i="2"/>
  <c r="K282" i="2"/>
  <c r="K97" i="2"/>
  <c r="K242" i="2"/>
  <c r="K169" i="2"/>
  <c r="K261" i="2"/>
  <c r="K134" i="2"/>
  <c r="K265" i="2"/>
  <c r="K175" i="2"/>
  <c r="K110" i="2"/>
  <c r="K98" i="2"/>
  <c r="K274" i="2"/>
  <c r="K247" i="2"/>
  <c r="K118" i="2"/>
  <c r="K266" i="2"/>
  <c r="K109" i="2"/>
  <c r="K103" i="2"/>
  <c r="K260" i="2"/>
  <c r="K121" i="2"/>
  <c r="K99" i="2"/>
  <c r="K167" i="2"/>
  <c r="K125" i="2"/>
  <c r="K124" i="2"/>
  <c r="K136" i="2"/>
  <c r="K147" i="2"/>
  <c r="K153" i="2"/>
  <c r="K66" i="2"/>
  <c r="K116" i="2"/>
  <c r="K245" i="2"/>
  <c r="K126" i="2"/>
  <c r="K268" i="2"/>
  <c r="K119" i="2"/>
  <c r="K246" i="2"/>
  <c r="K156" i="2"/>
  <c r="K269" i="2"/>
  <c r="K127" i="2"/>
  <c r="K104" i="2"/>
  <c r="K241" i="2"/>
  <c r="K101" i="2"/>
  <c r="K160" i="2"/>
  <c r="K161" i="2"/>
  <c r="K168" i="2"/>
  <c r="K137" i="2"/>
  <c r="K150" i="2"/>
  <c r="K152" i="2"/>
  <c r="K280" i="2"/>
  <c r="K244" i="2"/>
  <c r="K298" i="2"/>
  <c r="K102" i="2"/>
  <c r="K257" i="2"/>
  <c r="K276" i="2"/>
  <c r="K143" i="2"/>
  <c r="K248" i="2"/>
  <c r="K135" i="2"/>
  <c r="K263" i="2"/>
  <c r="K267" i="2"/>
  <c r="K106" i="2"/>
  <c r="K294" i="2"/>
  <c r="K275" i="2"/>
  <c r="K226" i="2"/>
  <c r="D258" i="2"/>
  <c r="D259" i="2"/>
  <c r="D255" i="2"/>
  <c r="D252" i="2"/>
  <c r="D256" i="2"/>
  <c r="D3" i="2"/>
  <c r="D158" i="2"/>
  <c r="D7" i="2"/>
  <c r="D155" i="2"/>
  <c r="D273" i="2"/>
  <c r="D163" i="2"/>
  <c r="D6" i="2"/>
  <c r="D281" i="2"/>
  <c r="D189" i="2"/>
  <c r="D83" i="2"/>
  <c r="D70" i="2"/>
  <c r="D221" i="2"/>
  <c r="D222" i="2"/>
  <c r="D68" i="2"/>
  <c r="D67" i="2"/>
  <c r="D210" i="2"/>
  <c r="D209" i="2"/>
  <c r="D204" i="2"/>
  <c r="D32" i="2"/>
  <c r="D33" i="2"/>
  <c r="D190" i="2"/>
  <c r="D31" i="2"/>
  <c r="D197" i="2"/>
  <c r="D12" i="2"/>
  <c r="D8" i="2"/>
  <c r="D11" i="2"/>
  <c r="D93" i="2"/>
  <c r="D94" i="2"/>
  <c r="D240" i="2"/>
  <c r="D234" i="2"/>
  <c r="D235" i="2"/>
  <c r="D47" i="2"/>
  <c r="D48" i="2"/>
  <c r="D26" i="2"/>
  <c r="D96" i="2"/>
  <c r="D237" i="2"/>
  <c r="D238" i="2"/>
  <c r="D82" i="2"/>
  <c r="D81" i="2"/>
  <c r="D236" i="2"/>
  <c r="D63" i="2"/>
  <c r="D64" i="2"/>
  <c r="D62" i="2"/>
  <c r="D219" i="2"/>
  <c r="D220" i="2"/>
  <c r="D56" i="2"/>
  <c r="D53" i="2"/>
  <c r="D51" i="2"/>
  <c r="D52" i="2"/>
  <c r="D54" i="2"/>
  <c r="D55" i="2"/>
  <c r="D49" i="2"/>
  <c r="D50" i="2"/>
  <c r="D24" i="2"/>
  <c r="D199" i="2"/>
  <c r="D23" i="2"/>
  <c r="D203" i="2"/>
  <c r="D25" i="2"/>
  <c r="D89" i="2"/>
  <c r="D91" i="2"/>
  <c r="D92" i="2"/>
  <c r="D95" i="2"/>
  <c r="D239" i="2"/>
  <c r="D233" i="2"/>
  <c r="D229" i="2"/>
  <c r="D231" i="2"/>
  <c r="D230" i="2"/>
  <c r="D232" i="2"/>
  <c r="D80" i="2"/>
  <c r="D217" i="2"/>
  <c r="D218" i="2"/>
  <c r="D43" i="2"/>
  <c r="D45" i="2"/>
  <c r="D44" i="2"/>
  <c r="D46" i="2"/>
  <c r="D85" i="2"/>
  <c r="D86" i="2"/>
  <c r="D84" i="2"/>
  <c r="D74" i="2"/>
  <c r="D227" i="2"/>
  <c r="D76" i="2"/>
  <c r="D223" i="2"/>
  <c r="D79" i="2"/>
  <c r="D72" i="2"/>
  <c r="D228" i="2"/>
  <c r="D224" i="2"/>
  <c r="D78" i="2"/>
  <c r="D77" i="2"/>
  <c r="D75" i="2"/>
  <c r="D69" i="2"/>
  <c r="D225" i="2"/>
  <c r="D73" i="2"/>
  <c r="D71" i="2"/>
  <c r="D59" i="2"/>
  <c r="D215" i="2"/>
  <c r="D61" i="2"/>
  <c r="D57" i="2"/>
  <c r="D58" i="2"/>
  <c r="D211" i="2"/>
  <c r="D216" i="2"/>
  <c r="D212" i="2"/>
  <c r="D213" i="2"/>
  <c r="D214" i="2"/>
  <c r="D205" i="2"/>
  <c r="D30" i="2"/>
  <c r="D42" i="2"/>
  <c r="D28" i="2"/>
  <c r="D36" i="2"/>
  <c r="D40" i="2"/>
  <c r="D41" i="2"/>
  <c r="D29" i="2"/>
  <c r="D195" i="2"/>
  <c r="D192" i="2"/>
  <c r="D38" i="2"/>
  <c r="D35" i="2"/>
  <c r="D37" i="2"/>
  <c r="D39" i="2"/>
  <c r="D207" i="2"/>
  <c r="D206" i="2"/>
  <c r="D34" i="2"/>
  <c r="D20" i="2"/>
  <c r="D2" i="2"/>
  <c r="D9" i="2"/>
  <c r="D196" i="2"/>
  <c r="D21" i="2"/>
  <c r="D10" i="2"/>
  <c r="D19" i="2"/>
  <c r="D14" i="2"/>
  <c r="D193" i="2"/>
  <c r="D194" i="2"/>
  <c r="D15" i="2"/>
  <c r="D13" i="2"/>
  <c r="D191" i="2"/>
  <c r="D16" i="2"/>
  <c r="D17" i="2"/>
  <c r="D18" i="2"/>
  <c r="D200" i="2"/>
  <c r="D22" i="2"/>
  <c r="D201" i="2"/>
  <c r="D202" i="2"/>
  <c r="D27" i="2"/>
  <c r="D60" i="2"/>
  <c r="D208" i="2"/>
  <c r="D5" i="2"/>
  <c r="D4" i="2"/>
  <c r="D198" i="2"/>
  <c r="D90" i="2"/>
  <c r="D88" i="2"/>
  <c r="D243" i="2"/>
  <c r="D87" i="2"/>
  <c r="D300" i="2"/>
  <c r="D293" i="2"/>
  <c r="D284" i="2"/>
  <c r="D172" i="2"/>
  <c r="D182" i="2"/>
  <c r="D186" i="2"/>
  <c r="D288" i="2"/>
  <c r="D283" i="2"/>
  <c r="D292" i="2"/>
  <c r="D184" i="2"/>
  <c r="D295" i="2"/>
  <c r="D181" i="2"/>
  <c r="D179" i="2"/>
  <c r="D314" i="2"/>
  <c r="D302" i="2"/>
  <c r="D128" i="2"/>
  <c r="D129" i="2"/>
  <c r="D185" i="2"/>
  <c r="D177" i="2"/>
  <c r="D286" i="2"/>
  <c r="D187" i="2"/>
  <c r="D304" i="2"/>
  <c r="D173" i="2"/>
  <c r="D313" i="2"/>
  <c r="D188" i="2"/>
  <c r="D183" i="2"/>
  <c r="D285" i="2"/>
  <c r="D305" i="2"/>
  <c r="D310" i="2"/>
  <c r="D296" i="2"/>
  <c r="D297" i="2"/>
  <c r="D279" i="2"/>
  <c r="D117" i="2"/>
  <c r="D65" i="2"/>
  <c r="D306" i="2"/>
  <c r="D291" i="2"/>
  <c r="D308" i="2"/>
  <c r="D140" i="2"/>
  <c r="D270" i="2"/>
  <c r="D130" i="2"/>
  <c r="D111" i="2"/>
  <c r="D178" i="2"/>
  <c r="D307" i="2"/>
  <c r="D287" i="2"/>
  <c r="D141" i="2"/>
  <c r="D142" i="2"/>
  <c r="D299" i="2"/>
  <c r="D131" i="2"/>
  <c r="D180" i="2"/>
  <c r="D176" i="2"/>
  <c r="D170" i="2"/>
  <c r="D264" i="2"/>
  <c r="D159" i="2"/>
  <c r="D122" i="2"/>
  <c r="D105" i="2"/>
  <c r="D311" i="2"/>
  <c r="D164" i="2"/>
  <c r="D312" i="2"/>
  <c r="D115" i="2"/>
  <c r="D301" i="2"/>
  <c r="D112" i="2"/>
  <c r="D303" i="2"/>
  <c r="D165" i="2"/>
  <c r="D113" i="2"/>
  <c r="D271" i="2"/>
  <c r="D145" i="2"/>
  <c r="D154" i="2"/>
  <c r="D138" i="2"/>
  <c r="D166" i="2"/>
  <c r="D139" i="2"/>
  <c r="D144" i="2"/>
  <c r="D146" i="2"/>
  <c r="D148" i="2"/>
  <c r="D149" i="2"/>
  <c r="D171" i="2"/>
  <c r="D157" i="2"/>
  <c r="D309" i="2"/>
  <c r="D249" i="2"/>
  <c r="D289" i="2"/>
  <c r="D262" i="2"/>
  <c r="D174" i="2"/>
  <c r="D100" i="2"/>
  <c r="D251" i="2"/>
  <c r="D107" i="2"/>
  <c r="D253" i="2"/>
  <c r="D151" i="2"/>
  <c r="D250" i="2"/>
  <c r="D108" i="2"/>
  <c r="D277" i="2"/>
  <c r="D278" i="2"/>
  <c r="D123" i="2"/>
  <c r="D114" i="2"/>
  <c r="D120" i="2"/>
  <c r="D132" i="2"/>
  <c r="D272" i="2"/>
  <c r="D162" i="2"/>
  <c r="D290" i="2"/>
  <c r="D133" i="2"/>
  <c r="D254" i="2"/>
  <c r="D282" i="2"/>
  <c r="D97" i="2"/>
  <c r="D242" i="2"/>
  <c r="D169" i="2"/>
  <c r="D261" i="2"/>
  <c r="D134" i="2"/>
  <c r="D265" i="2"/>
  <c r="D175" i="2"/>
  <c r="D110" i="2"/>
  <c r="D98" i="2"/>
  <c r="D274" i="2"/>
  <c r="D247" i="2"/>
  <c r="D118" i="2"/>
  <c r="D266" i="2"/>
  <c r="D109" i="2"/>
  <c r="D103" i="2"/>
  <c r="D260" i="2"/>
  <c r="D121" i="2"/>
  <c r="D99" i="2"/>
  <c r="D167" i="2"/>
  <c r="D125" i="2"/>
  <c r="D124" i="2"/>
  <c r="D136" i="2"/>
  <c r="D147" i="2"/>
  <c r="D153" i="2"/>
  <c r="D66" i="2"/>
  <c r="D116" i="2"/>
  <c r="D245" i="2"/>
  <c r="D126" i="2"/>
  <c r="D268" i="2"/>
  <c r="D119" i="2"/>
  <c r="D246" i="2"/>
  <c r="D156" i="2"/>
  <c r="D269" i="2"/>
  <c r="D127" i="2"/>
  <c r="D104" i="2"/>
  <c r="D241" i="2"/>
  <c r="D101" i="2"/>
  <c r="D160" i="2"/>
  <c r="D161" i="2"/>
  <c r="D168" i="2"/>
  <c r="D137" i="2"/>
  <c r="D150" i="2"/>
  <c r="D152" i="2"/>
  <c r="D280" i="2"/>
  <c r="D244" i="2"/>
  <c r="D298" i="2"/>
  <c r="D102" i="2"/>
  <c r="D257" i="2"/>
  <c r="D276" i="2"/>
  <c r="D143" i="2"/>
  <c r="D248" i="2"/>
  <c r="D135" i="2"/>
  <c r="D263" i="2"/>
  <c r="D267" i="2"/>
  <c r="D106" i="2"/>
  <c r="D294" i="2"/>
  <c r="D275" i="2"/>
  <c r="D226" i="2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107" i="3"/>
  <c r="O169" i="3"/>
  <c r="O108" i="3"/>
  <c r="O109" i="3"/>
  <c r="O110" i="3"/>
  <c r="O111" i="3"/>
  <c r="O167" i="3"/>
  <c r="O168" i="3"/>
  <c r="O112" i="3"/>
  <c r="O13" i="3"/>
  <c r="O122" i="3"/>
  <c r="O9" i="3"/>
  <c r="O10" i="3"/>
  <c r="O4" i="3"/>
  <c r="O14" i="3"/>
  <c r="O119" i="3"/>
  <c r="O11" i="3"/>
  <c r="O123" i="3"/>
  <c r="O5" i="3"/>
  <c r="O15" i="3"/>
  <c r="O16" i="3"/>
  <c r="O120" i="3"/>
  <c r="O6" i="3"/>
  <c r="O121" i="3"/>
  <c r="O8" i="3"/>
  <c r="O17" i="3"/>
  <c r="O19" i="3"/>
  <c r="O12" i="3"/>
  <c r="O7" i="3"/>
  <c r="O18" i="3"/>
  <c r="O20" i="3"/>
  <c r="O126" i="3"/>
  <c r="O129" i="3"/>
  <c r="O127" i="3"/>
  <c r="O22" i="3"/>
  <c r="O125" i="3"/>
  <c r="O124" i="3"/>
  <c r="O23" i="3"/>
  <c r="O24" i="3"/>
  <c r="O25" i="3"/>
  <c r="O26" i="3"/>
  <c r="O27" i="3"/>
  <c r="O163" i="3"/>
  <c r="O158" i="3"/>
  <c r="O159" i="3"/>
  <c r="O157" i="3"/>
  <c r="O92" i="3"/>
  <c r="O154" i="3"/>
  <c r="O78" i="3"/>
  <c r="O93" i="3"/>
  <c r="O156" i="3"/>
  <c r="O96" i="3"/>
  <c r="O79" i="3"/>
  <c r="O94" i="3"/>
  <c r="O77" i="3"/>
  <c r="O155" i="3"/>
  <c r="O80" i="3"/>
  <c r="O160" i="3"/>
  <c r="O81" i="3"/>
  <c r="O88" i="3"/>
  <c r="O82" i="3"/>
  <c r="O83" i="3"/>
  <c r="O98" i="3"/>
  <c r="O84" i="3"/>
  <c r="O162" i="3"/>
  <c r="O89" i="3"/>
  <c r="O90" i="3"/>
  <c r="O161" i="3"/>
  <c r="O85" i="3"/>
  <c r="O91" i="3"/>
  <c r="O86" i="3"/>
  <c r="O87" i="3"/>
  <c r="O97" i="3"/>
  <c r="O95" i="3"/>
  <c r="O132" i="3"/>
  <c r="O130" i="3"/>
  <c r="O28" i="3"/>
  <c r="O29" i="3"/>
  <c r="O2" i="3"/>
  <c r="O3" i="3"/>
  <c r="O30" i="3"/>
  <c r="O131" i="3"/>
  <c r="O117" i="3"/>
  <c r="O118" i="3"/>
  <c r="O31" i="3"/>
  <c r="O32" i="3"/>
  <c r="O33" i="3"/>
  <c r="O34" i="3"/>
  <c r="O133" i="3"/>
  <c r="O35" i="3"/>
  <c r="O36" i="3"/>
  <c r="O134" i="3"/>
  <c r="O153" i="3"/>
  <c r="O72" i="3"/>
  <c r="O148" i="3"/>
  <c r="O53" i="3"/>
  <c r="O113" i="3"/>
  <c r="O58" i="3"/>
  <c r="O56" i="3"/>
  <c r="O103" i="3"/>
  <c r="O54" i="3"/>
  <c r="O149" i="3"/>
  <c r="O138" i="3"/>
  <c r="O38" i="3"/>
  <c r="O150" i="3"/>
  <c r="O116" i="3"/>
  <c r="O70" i="3"/>
  <c r="O57" i="3"/>
  <c r="O141" i="3"/>
  <c r="O60" i="3"/>
  <c r="O142" i="3"/>
  <c r="O114" i="3"/>
  <c r="O147" i="3"/>
  <c r="O102" i="3"/>
  <c r="O139" i="3"/>
  <c r="O164" i="3"/>
  <c r="O39" i="3"/>
  <c r="O59" i="3"/>
  <c r="O73" i="3"/>
  <c r="O37" i="3"/>
  <c r="O40" i="3"/>
  <c r="O74" i="3"/>
  <c r="O105" i="3"/>
  <c r="O48" i="3"/>
  <c r="O151" i="3"/>
  <c r="O61" i="3"/>
  <c r="O143" i="3"/>
  <c r="O106" i="3"/>
  <c r="O144" i="3"/>
  <c r="O64" i="3"/>
  <c r="O65" i="3"/>
  <c r="O41" i="3"/>
  <c r="O99" i="3"/>
  <c r="O49" i="3"/>
  <c r="O42" i="3"/>
  <c r="O66" i="3"/>
  <c r="O43" i="3"/>
  <c r="O50" i="3"/>
  <c r="O76" i="3"/>
  <c r="O140" i="3"/>
  <c r="O44" i="3"/>
  <c r="O152" i="3"/>
  <c r="O51" i="3"/>
  <c r="O21" i="3"/>
  <c r="O67" i="3"/>
  <c r="O52" i="3"/>
  <c r="O101" i="3"/>
  <c r="O68" i="3"/>
  <c r="O69" i="3"/>
  <c r="O145" i="3"/>
  <c r="O45" i="3"/>
  <c r="O62" i="3"/>
  <c r="O55" i="3"/>
  <c r="O165" i="3"/>
  <c r="O115" i="3"/>
  <c r="O71" i="3"/>
  <c r="O46" i="3"/>
  <c r="O100" i="3"/>
  <c r="O47" i="3"/>
  <c r="O146" i="3"/>
  <c r="O75" i="3"/>
  <c r="O63" i="3"/>
  <c r="O104" i="3"/>
  <c r="O137" i="3"/>
  <c r="O135" i="3"/>
  <c r="O166" i="3"/>
  <c r="D107" i="3"/>
  <c r="D169" i="3"/>
  <c r="D108" i="3"/>
  <c r="D109" i="3"/>
  <c r="D110" i="3"/>
  <c r="D111" i="3"/>
  <c r="D167" i="3"/>
  <c r="D168" i="3"/>
  <c r="D112" i="3"/>
  <c r="D13" i="3"/>
  <c r="D122" i="3"/>
  <c r="D9" i="3"/>
  <c r="D10" i="3"/>
  <c r="D4" i="3"/>
  <c r="D14" i="3"/>
  <c r="D119" i="3"/>
  <c r="D11" i="3"/>
  <c r="D123" i="3"/>
  <c r="D5" i="3"/>
  <c r="D15" i="3"/>
  <c r="D16" i="3"/>
  <c r="D120" i="3"/>
  <c r="D6" i="3"/>
  <c r="D121" i="3"/>
  <c r="D8" i="3"/>
  <c r="D17" i="3"/>
  <c r="D19" i="3"/>
  <c r="D12" i="3"/>
  <c r="D7" i="3"/>
  <c r="D18" i="3"/>
  <c r="D20" i="3"/>
  <c r="D126" i="3"/>
  <c r="D129" i="3"/>
  <c r="D127" i="3"/>
  <c r="D128" i="3"/>
  <c r="D22" i="3"/>
  <c r="D125" i="3"/>
  <c r="D124" i="3"/>
  <c r="D23" i="3"/>
  <c r="D24" i="3"/>
  <c r="D25" i="3"/>
  <c r="D26" i="3"/>
  <c r="D27" i="3"/>
  <c r="D163" i="3"/>
  <c r="D158" i="3"/>
  <c r="D159" i="3"/>
  <c r="D157" i="3"/>
  <c r="D92" i="3"/>
  <c r="D154" i="3"/>
  <c r="D78" i="3"/>
  <c r="D93" i="3"/>
  <c r="D156" i="3"/>
  <c r="D96" i="3"/>
  <c r="D79" i="3"/>
  <c r="D94" i="3"/>
  <c r="D77" i="3"/>
  <c r="D155" i="3"/>
  <c r="D80" i="3"/>
  <c r="D160" i="3"/>
  <c r="D81" i="3"/>
  <c r="D88" i="3"/>
  <c r="D82" i="3"/>
  <c r="D83" i="3"/>
  <c r="D98" i="3"/>
  <c r="D84" i="3"/>
  <c r="D162" i="3"/>
  <c r="D89" i="3"/>
  <c r="D90" i="3"/>
  <c r="D161" i="3"/>
  <c r="D85" i="3"/>
  <c r="D91" i="3"/>
  <c r="D86" i="3"/>
  <c r="D87" i="3"/>
  <c r="D97" i="3"/>
  <c r="D95" i="3"/>
  <c r="D132" i="3"/>
  <c r="D130" i="3"/>
  <c r="D28" i="3"/>
  <c r="D29" i="3"/>
  <c r="D2" i="3"/>
  <c r="D3" i="3"/>
  <c r="D30" i="3"/>
  <c r="D131" i="3"/>
  <c r="D117" i="3"/>
  <c r="D118" i="3"/>
  <c r="D31" i="3"/>
  <c r="D32" i="3"/>
  <c r="D33" i="3"/>
  <c r="D34" i="3"/>
  <c r="D133" i="3"/>
  <c r="D35" i="3"/>
  <c r="D36" i="3"/>
  <c r="D134" i="3"/>
  <c r="D153" i="3"/>
  <c r="D72" i="3"/>
  <c r="D148" i="3"/>
  <c r="D53" i="3"/>
  <c r="D113" i="3"/>
  <c r="D58" i="3"/>
  <c r="D56" i="3"/>
  <c r="D103" i="3"/>
  <c r="D54" i="3"/>
  <c r="D149" i="3"/>
  <c r="D138" i="3"/>
  <c r="D38" i="3"/>
  <c r="D150" i="3"/>
  <c r="D116" i="3"/>
  <c r="D70" i="3"/>
  <c r="D57" i="3"/>
  <c r="D141" i="3"/>
  <c r="D60" i="3"/>
  <c r="D142" i="3"/>
  <c r="D114" i="3"/>
  <c r="D147" i="3"/>
  <c r="D102" i="3"/>
  <c r="D139" i="3"/>
  <c r="D164" i="3"/>
  <c r="D39" i="3"/>
  <c r="D59" i="3"/>
  <c r="D73" i="3"/>
  <c r="D37" i="3"/>
  <c r="D40" i="3"/>
  <c r="D74" i="3"/>
  <c r="D105" i="3"/>
  <c r="D48" i="3"/>
  <c r="D151" i="3"/>
  <c r="D61" i="3"/>
  <c r="D143" i="3"/>
  <c r="D106" i="3"/>
  <c r="D144" i="3"/>
  <c r="D64" i="3"/>
  <c r="D65" i="3"/>
  <c r="D41" i="3"/>
  <c r="D99" i="3"/>
  <c r="D49" i="3"/>
  <c r="D42" i="3"/>
  <c r="D66" i="3"/>
  <c r="D43" i="3"/>
  <c r="D50" i="3"/>
  <c r="D76" i="3"/>
  <c r="D140" i="3"/>
  <c r="D44" i="3"/>
  <c r="D152" i="3"/>
  <c r="D51" i="3"/>
  <c r="D21" i="3"/>
  <c r="D67" i="3"/>
  <c r="D52" i="3"/>
  <c r="D101" i="3"/>
  <c r="D68" i="3"/>
  <c r="D69" i="3"/>
  <c r="D145" i="3"/>
  <c r="D45" i="3"/>
  <c r="D62" i="3"/>
  <c r="D55" i="3"/>
  <c r="D165" i="3"/>
  <c r="D115" i="3"/>
  <c r="D71" i="3"/>
  <c r="D46" i="3"/>
  <c r="D100" i="3"/>
  <c r="D47" i="3"/>
  <c r="D146" i="3"/>
  <c r="D75" i="3"/>
  <c r="D63" i="3"/>
  <c r="D104" i="3"/>
  <c r="D137" i="3"/>
  <c r="D135" i="3"/>
  <c r="D136" i="3"/>
  <c r="D166" i="3"/>
  <c r="L27" i="4"/>
  <c r="L23" i="4"/>
  <c r="L7" i="4"/>
  <c r="L10" i="4"/>
  <c r="L5" i="4"/>
  <c r="L19" i="4"/>
  <c r="L6" i="4"/>
  <c r="L2" i="4"/>
  <c r="L11" i="4"/>
  <c r="L20" i="4"/>
  <c r="L25" i="4"/>
  <c r="L12" i="4"/>
  <c r="L15" i="4"/>
  <c r="L16" i="4"/>
  <c r="L17" i="4"/>
  <c r="L18" i="4"/>
  <c r="L3" i="4"/>
  <c r="L24" i="4"/>
  <c r="L21" i="4"/>
  <c r="L28" i="4"/>
  <c r="L30" i="4"/>
  <c r="L13" i="4"/>
  <c r="L14" i="4"/>
  <c r="L4" i="4"/>
  <c r="L29" i="4"/>
  <c r="L8" i="4"/>
  <c r="L22" i="4"/>
  <c r="L9" i="4"/>
  <c r="L26" i="4"/>
  <c r="D27" i="4"/>
  <c r="D23" i="4"/>
  <c r="D7" i="4"/>
  <c r="D10" i="4"/>
  <c r="D5" i="4"/>
  <c r="D19" i="4"/>
  <c r="D6" i="4"/>
  <c r="D2" i="4"/>
  <c r="D11" i="4"/>
  <c r="D20" i="4"/>
  <c r="D25" i="4"/>
  <c r="D12" i="4"/>
  <c r="D15" i="4"/>
  <c r="D16" i="4"/>
  <c r="D17" i="4"/>
  <c r="D18" i="4"/>
  <c r="D3" i="4"/>
  <c r="D24" i="4"/>
  <c r="D21" i="4"/>
  <c r="D28" i="4"/>
  <c r="D30" i="4"/>
  <c r="D13" i="4"/>
  <c r="D14" i="4"/>
  <c r="D4" i="4"/>
  <c r="D29" i="4"/>
  <c r="D8" i="4"/>
  <c r="D22" i="4"/>
  <c r="D9" i="4"/>
  <c r="D26" i="4"/>
  <c r="T42" i="4"/>
  <c r="T41" i="4"/>
  <c r="T38" i="4"/>
  <c r="T36" i="4"/>
</calcChain>
</file>

<file path=xl/sharedStrings.xml><?xml version="1.0" encoding="utf-8"?>
<sst xmlns="http://schemas.openxmlformats.org/spreadsheetml/2006/main" count="14214" uniqueCount="737">
  <si>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</si>
  <si>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</si>
  <si>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</si>
  <si>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</si>
  <si>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</si>
  <si>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</si>
  <si>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</si>
  <si>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</si>
  <si>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</si>
  <si>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</si>
  <si>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</si>
  <si>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</si>
  <si>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</si>
  <si>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</si>
  <si>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</si>
  <si>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</si>
  <si>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</si>
  <si>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</si>
  <si>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</si>
  <si>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</si>
  <si>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</si>
  <si>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</si>
  <si>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</si>
  <si>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</si>
  <si>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</si>
  <si>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</si>
  <si>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</si>
  <si>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</si>
  <si>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</si>
  <si>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</si>
  <si>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</si>
  <si>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</si>
  <si>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</si>
  <si>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</si>
  <si>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</si>
  <si>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</si>
  <si>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</si>
  <si>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</si>
  <si>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</si>
  <si>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</si>
  <si>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</si>
  <si>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</si>
  <si>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</si>
  <si>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</si>
  <si>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</si>
  <si>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</si>
  <si>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</si>
  <si>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</si>
  <si>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</si>
  <si>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PALUMBO</t>
  </si>
  <si>
    <t>JEROME</t>
  </si>
  <si>
    <t>Allstate Health Solutions</t>
  </si>
  <si>
    <t>PA</t>
  </si>
  <si>
    <t>Accident</t>
  </si>
  <si>
    <t>TrioMED Accident and CI 14939</t>
  </si>
  <si>
    <t>FOLEY</t>
  </si>
  <si>
    <t>CAROL</t>
  </si>
  <si>
    <t>Active</t>
  </si>
  <si>
    <t xml:space="preserve">Monthly </t>
  </si>
  <si>
    <t>Default</t>
  </si>
  <si>
    <t>FY</t>
  </si>
  <si>
    <t>Y</t>
  </si>
  <si>
    <t>KOCHER</t>
  </si>
  <si>
    <t>KELLY</t>
  </si>
  <si>
    <t>IL</t>
  </si>
  <si>
    <t>Sherman</t>
  </si>
  <si>
    <t>Matthew</t>
  </si>
  <si>
    <t>SLUTZ</t>
  </si>
  <si>
    <t>MARY</t>
  </si>
  <si>
    <t>OH</t>
  </si>
  <si>
    <t>CALTAGIRONE</t>
  </si>
  <si>
    <t>RYAN</t>
  </si>
  <si>
    <t>WEIKLE</t>
  </si>
  <si>
    <t>SUSAN</t>
  </si>
  <si>
    <t>SANDERS</t>
  </si>
  <si>
    <t>BRADLEY</t>
  </si>
  <si>
    <t>HANNIG</t>
  </si>
  <si>
    <t>CRAIG</t>
  </si>
  <si>
    <t>HILDENBRAND</t>
  </si>
  <si>
    <t>DANIEL</t>
  </si>
  <si>
    <t>GALLAGHER</t>
  </si>
  <si>
    <t>WILLIAM</t>
  </si>
  <si>
    <t>ROKEN</t>
  </si>
  <si>
    <t>JOHN</t>
  </si>
  <si>
    <t>JR</t>
  </si>
  <si>
    <t>CLAIR</t>
  </si>
  <si>
    <t>PHILLIPS</t>
  </si>
  <si>
    <t>MELISSA</t>
  </si>
  <si>
    <t>PROSNIEWSKI</t>
  </si>
  <si>
    <t>Ancillary</t>
  </si>
  <si>
    <t>Cancer and Heart/Stroke GI 20231</t>
  </si>
  <si>
    <t>Yale</t>
  </si>
  <si>
    <t>Richard</t>
  </si>
  <si>
    <t>RICHARDSON</t>
  </si>
  <si>
    <t>PATRICIA</t>
  </si>
  <si>
    <t>MD</t>
  </si>
  <si>
    <t>Critical Illness w/ Term Life 21677</t>
  </si>
  <si>
    <t>RICHTER</t>
  </si>
  <si>
    <t>ADAM</t>
  </si>
  <si>
    <t>TEREZA</t>
  </si>
  <si>
    <t>DANIELLE</t>
  </si>
  <si>
    <t>Walenga</t>
  </si>
  <si>
    <t>Dale</t>
  </si>
  <si>
    <t>VELMS</t>
  </si>
  <si>
    <t>COLEEN</t>
  </si>
  <si>
    <t>FL</t>
  </si>
  <si>
    <t>Shulman</t>
  </si>
  <si>
    <t>Jake</t>
  </si>
  <si>
    <t>CARLSON</t>
  </si>
  <si>
    <t>CO</t>
  </si>
  <si>
    <t>Cancer and Heart/Stroke 20231 CO-FL-MN-MI</t>
  </si>
  <si>
    <t>Geske</t>
  </si>
  <si>
    <t>Heather</t>
  </si>
  <si>
    <t>BERLIN</t>
  </si>
  <si>
    <t>BRIAN</t>
  </si>
  <si>
    <t>Choi</t>
  </si>
  <si>
    <t>Andrew</t>
  </si>
  <si>
    <t>SMITH</t>
  </si>
  <si>
    <t>BRAYDEN</t>
  </si>
  <si>
    <t>UT</t>
  </si>
  <si>
    <t>CONNOUR</t>
  </si>
  <si>
    <t>JUSTIN</t>
  </si>
  <si>
    <t>DUNAVANT</t>
  </si>
  <si>
    <t>MICHAEL</t>
  </si>
  <si>
    <t>LYNCH</t>
  </si>
  <si>
    <t>Max</t>
  </si>
  <si>
    <t>Ronald</t>
  </si>
  <si>
    <t>DREILING</t>
  </si>
  <si>
    <t>TESSA</t>
  </si>
  <si>
    <t>AZ</t>
  </si>
  <si>
    <t>KROMREY</t>
  </si>
  <si>
    <t>DONALD</t>
  </si>
  <si>
    <t>WI</t>
  </si>
  <si>
    <t>MANTES</t>
  </si>
  <si>
    <t>ERNEST</t>
  </si>
  <si>
    <t>TX</t>
  </si>
  <si>
    <t>ALDEA</t>
  </si>
  <si>
    <t>ANNIE</t>
  </si>
  <si>
    <t>RAMOS</t>
  </si>
  <si>
    <t>ROY</t>
  </si>
  <si>
    <t>BEZELY</t>
  </si>
  <si>
    <t>ELIZABETH</t>
  </si>
  <si>
    <t>TAUGNER</t>
  </si>
  <si>
    <t>CHRISTIAN</t>
  </si>
  <si>
    <t>FOURTOUNIS</t>
  </si>
  <si>
    <t>PETER</t>
  </si>
  <si>
    <t>WILE</t>
  </si>
  <si>
    <t>JOSHUA</t>
  </si>
  <si>
    <t>Tigue</t>
  </si>
  <si>
    <t>Kirk</t>
  </si>
  <si>
    <t>ENDRIZZI</t>
  </si>
  <si>
    <t>KIRSTEN</t>
  </si>
  <si>
    <t>TSOGBUYAN</t>
  </si>
  <si>
    <t>HUBBARD</t>
  </si>
  <si>
    <t>JONATHAN</t>
  </si>
  <si>
    <t>MS</t>
  </si>
  <si>
    <t>PARDUE</t>
  </si>
  <si>
    <t>THOMAS</t>
  </si>
  <si>
    <t>ALLEN</t>
  </si>
  <si>
    <t>THEODORE</t>
  </si>
  <si>
    <t>Association</t>
  </si>
  <si>
    <t>LIFE Association Membership - C 14956 LM</t>
  </si>
  <si>
    <t>Rader</t>
  </si>
  <si>
    <t>John</t>
  </si>
  <si>
    <t>KROKEL</t>
  </si>
  <si>
    <t>REGINA</t>
  </si>
  <si>
    <t>SC</t>
  </si>
  <si>
    <t>LIFE Association Membership - C 14956 PPO</t>
  </si>
  <si>
    <t>A6</t>
  </si>
  <si>
    <t>LOVING</t>
  </si>
  <si>
    <t>TIMOTHY</t>
  </si>
  <si>
    <t>Solivan</t>
  </si>
  <si>
    <t>Erica</t>
  </si>
  <si>
    <t>A1</t>
  </si>
  <si>
    <t>STONE</t>
  </si>
  <si>
    <t>KAYLIE</t>
  </si>
  <si>
    <t>AR</t>
  </si>
  <si>
    <t>Powers</t>
  </si>
  <si>
    <t>DURAN</t>
  </si>
  <si>
    <t>JOSE</t>
  </si>
  <si>
    <t>Life Association Access</t>
  </si>
  <si>
    <t>BLACK</t>
  </si>
  <si>
    <t>KEYAHANA</t>
  </si>
  <si>
    <t>LA</t>
  </si>
  <si>
    <t>PATKUNAS</t>
  </si>
  <si>
    <t>LAURIE</t>
  </si>
  <si>
    <t>SCOTT</t>
  </si>
  <si>
    <t>CONNIE</t>
  </si>
  <si>
    <t>HODGSON</t>
  </si>
  <si>
    <t>JULIE</t>
  </si>
  <si>
    <t>BOGNER</t>
  </si>
  <si>
    <t>ROSE</t>
  </si>
  <si>
    <t>BYERS</t>
  </si>
  <si>
    <t>INDIRA</t>
  </si>
  <si>
    <t>ROMO</t>
  </si>
  <si>
    <t>NATALIE</t>
  </si>
  <si>
    <t>Dental</t>
  </si>
  <si>
    <t>SELECT DENTAL 29304</t>
  </si>
  <si>
    <t>Abdul</t>
  </si>
  <si>
    <t>Saadia</t>
  </si>
  <si>
    <t>BUNDY</t>
  </si>
  <si>
    <t>HEATHER</t>
  </si>
  <si>
    <t>Allan</t>
  </si>
  <si>
    <t>H</t>
  </si>
  <si>
    <t>HERMAN</t>
  </si>
  <si>
    <t>JESSE</t>
  </si>
  <si>
    <t>MATTINGLY</t>
  </si>
  <si>
    <t>STEPHEN</t>
  </si>
  <si>
    <t>KY</t>
  </si>
  <si>
    <t>PORTUGAL</t>
  </si>
  <si>
    <t>GARY</t>
  </si>
  <si>
    <t>WIDELL</t>
  </si>
  <si>
    <t>LINDA</t>
  </si>
  <si>
    <t>BRENNER</t>
  </si>
  <si>
    <t>BARRY</t>
  </si>
  <si>
    <t>NEEDLE</t>
  </si>
  <si>
    <t>CHARLES</t>
  </si>
  <si>
    <t>CROCKER</t>
  </si>
  <si>
    <t>CATHERINE</t>
  </si>
  <si>
    <t>OR</t>
  </si>
  <si>
    <t>Brousseau</t>
  </si>
  <si>
    <t>Christopher</t>
  </si>
  <si>
    <t>NKEMBE</t>
  </si>
  <si>
    <t>FRIDA</t>
  </si>
  <si>
    <t>OK</t>
  </si>
  <si>
    <t>GARCIA</t>
  </si>
  <si>
    <t>FELIPE</t>
  </si>
  <si>
    <t>Allen</t>
  </si>
  <si>
    <t>James</t>
  </si>
  <si>
    <t>MYERS</t>
  </si>
  <si>
    <t>SAMANTHA</t>
  </si>
  <si>
    <t>PETRUNGARO</t>
  </si>
  <si>
    <t>ANDREA</t>
  </si>
  <si>
    <t>MURRAY</t>
  </si>
  <si>
    <t>JADA</t>
  </si>
  <si>
    <t>GA</t>
  </si>
  <si>
    <t>MASSE</t>
  </si>
  <si>
    <t>ROTARU</t>
  </si>
  <si>
    <t>LENUTA</t>
  </si>
  <si>
    <t>TUDOR</t>
  </si>
  <si>
    <t>GEORGE</t>
  </si>
  <si>
    <t>DAVIS</t>
  </si>
  <si>
    <t>ROBERT</t>
  </si>
  <si>
    <t>GESKE</t>
  </si>
  <si>
    <t>SHAVER</t>
  </si>
  <si>
    <t>NICOLE</t>
  </si>
  <si>
    <t>CLARK</t>
  </si>
  <si>
    <t>CLEVELAND</t>
  </si>
  <si>
    <t>CABANBAN</t>
  </si>
  <si>
    <t>CHRIS</t>
  </si>
  <si>
    <t>LISKOVEC</t>
  </si>
  <si>
    <t>FRANK</t>
  </si>
  <si>
    <t>IMPEY</t>
  </si>
  <si>
    <t>DAVID</t>
  </si>
  <si>
    <t>PHILIPS</t>
  </si>
  <si>
    <t>BEVERLY</t>
  </si>
  <si>
    <t>Rose</t>
  </si>
  <si>
    <t>Latesha</t>
  </si>
  <si>
    <t>Fixed Indemnity</t>
  </si>
  <si>
    <t>NHIC LM 2021 Hospital Expense Protection U65</t>
  </si>
  <si>
    <t>Allstate Health Access</t>
  </si>
  <si>
    <t>Allstate Recuro RX Discount Card</t>
  </si>
  <si>
    <t>Other</t>
  </si>
  <si>
    <t>Plan Enhancer 20214</t>
  </si>
  <si>
    <t>Accident Fixed-Benefit 21044</t>
  </si>
  <si>
    <t>Term Life 21673</t>
  </si>
  <si>
    <t>MAZUROWSKI</t>
  </si>
  <si>
    <t>AUBREY</t>
  </si>
  <si>
    <t>POOLE</t>
  </si>
  <si>
    <t>COLLETTE</t>
  </si>
  <si>
    <t>VA</t>
  </si>
  <si>
    <t>KINYUA</t>
  </si>
  <si>
    <t>JARED</t>
  </si>
  <si>
    <t>LEVINS</t>
  </si>
  <si>
    <t>JASON</t>
  </si>
  <si>
    <t>Weitzman</t>
  </si>
  <si>
    <t>Kenneth</t>
  </si>
  <si>
    <t>SWENSON</t>
  </si>
  <si>
    <t>KATHRYN</t>
  </si>
  <si>
    <t>NICASTRO</t>
  </si>
  <si>
    <t>KENNETH</t>
  </si>
  <si>
    <t>BORDELON</t>
  </si>
  <si>
    <t>JON</t>
  </si>
  <si>
    <t>CHESTANG</t>
  </si>
  <si>
    <t>ASHLEY</t>
  </si>
  <si>
    <t>CROWTHER</t>
  </si>
  <si>
    <t>NANCY</t>
  </si>
  <si>
    <t>ELIAS</t>
  </si>
  <si>
    <t>EVELYN</t>
  </si>
  <si>
    <t>MEADOWS</t>
  </si>
  <si>
    <t>KEVIN</t>
  </si>
  <si>
    <t>FINNIGAN</t>
  </si>
  <si>
    <t>COLLEEN</t>
  </si>
  <si>
    <t>CONCHO</t>
  </si>
  <si>
    <t>NM</t>
  </si>
  <si>
    <t>PATEL</t>
  </si>
  <si>
    <t>MEHUL</t>
  </si>
  <si>
    <t>SCHEINMAN</t>
  </si>
  <si>
    <t>JACS</t>
  </si>
  <si>
    <t>REDDY</t>
  </si>
  <si>
    <t>ANSHUMAN</t>
  </si>
  <si>
    <t>AMBE</t>
  </si>
  <si>
    <t>Dental Indemnity 21618</t>
  </si>
  <si>
    <t>Oliver</t>
  </si>
  <si>
    <t>Brittany</t>
  </si>
  <si>
    <t>SOLIVAN</t>
  </si>
  <si>
    <t>ERICA</t>
  </si>
  <si>
    <t>MULLHAUSEN</t>
  </si>
  <si>
    <t>FINLAY</t>
  </si>
  <si>
    <t>RONDA</t>
  </si>
  <si>
    <t>IN</t>
  </si>
  <si>
    <t>Short Term Medical</t>
  </si>
  <si>
    <t>NHIC STM PPO All Other States</t>
  </si>
  <si>
    <t>MCCANN</t>
  </si>
  <si>
    <t>AGUGLIA</t>
  </si>
  <si>
    <t>Converted</t>
  </si>
  <si>
    <t>RN</t>
  </si>
  <si>
    <t>N</t>
  </si>
  <si>
    <t>CABRAL</t>
  </si>
  <si>
    <t>MAGDALENA</t>
  </si>
  <si>
    <t>TrioMED 30k 15307</t>
  </si>
  <si>
    <t>REITENBACH</t>
  </si>
  <si>
    <t>CHELSEA</t>
  </si>
  <si>
    <t>HENNESSY</t>
  </si>
  <si>
    <t>ERIN</t>
  </si>
  <si>
    <t>TrioMED 15k 15285</t>
  </si>
  <si>
    <t>Schumann</t>
  </si>
  <si>
    <t>Barry</t>
  </si>
  <si>
    <t>DIETZ</t>
  </si>
  <si>
    <t>STEVEN</t>
  </si>
  <si>
    <t>NE</t>
  </si>
  <si>
    <t>TEIPEL</t>
  </si>
  <si>
    <t>GREGORY</t>
  </si>
  <si>
    <t>SOLOMON</t>
  </si>
  <si>
    <t>PAMELA</t>
  </si>
  <si>
    <t>KS</t>
  </si>
  <si>
    <t>Cancer and Heart/Stroke 20231</t>
  </si>
  <si>
    <t>Chargeback</t>
  </si>
  <si>
    <t>JACKSON</t>
  </si>
  <si>
    <t>RICHARD</t>
  </si>
  <si>
    <t>BENNETT</t>
  </si>
  <si>
    <t>CARL</t>
  </si>
  <si>
    <t>MO</t>
  </si>
  <si>
    <t>MILLER</t>
  </si>
  <si>
    <t>REBECCA</t>
  </si>
  <si>
    <t>SD</t>
  </si>
  <si>
    <t>KLUMPP</t>
  </si>
  <si>
    <t>DAPHNIE</t>
  </si>
  <si>
    <t>NC</t>
  </si>
  <si>
    <t>RANDALL</t>
  </si>
  <si>
    <t>REESE</t>
  </si>
  <si>
    <t>TERRELL</t>
  </si>
  <si>
    <t>MORGAN-PRESTON</t>
  </si>
  <si>
    <t>CHERI</t>
  </si>
  <si>
    <t>BUSH</t>
  </si>
  <si>
    <t>VIVIANA</t>
  </si>
  <si>
    <t>DUARTE</t>
  </si>
  <si>
    <t>AMY</t>
  </si>
  <si>
    <t>ROBSON</t>
  </si>
  <si>
    <t>ANGELA</t>
  </si>
  <si>
    <t>WY</t>
  </si>
  <si>
    <t>AUFDERHEIDE</t>
  </si>
  <si>
    <t>MONIKA</t>
  </si>
  <si>
    <t>LUTES</t>
  </si>
  <si>
    <t>CAMERON</t>
  </si>
  <si>
    <t>LOYA</t>
  </si>
  <si>
    <t>BRENDA</t>
  </si>
  <si>
    <t>LAIT</t>
  </si>
  <si>
    <t>JULIA</t>
  </si>
  <si>
    <t>VAWTER</t>
  </si>
  <si>
    <t>PARKS</t>
  </si>
  <si>
    <t>DEE</t>
  </si>
  <si>
    <t>KONTOS</t>
  </si>
  <si>
    <t>HIGDON</t>
  </si>
  <si>
    <t>JEREMY</t>
  </si>
  <si>
    <t>CARLOS</t>
  </si>
  <si>
    <t>CETRE</t>
  </si>
  <si>
    <t>TONYA</t>
  </si>
  <si>
    <t>WA</t>
  </si>
  <si>
    <t>STEPHANIE</t>
  </si>
  <si>
    <t>MESEROLL</t>
  </si>
  <si>
    <t>NOREEN</t>
  </si>
  <si>
    <t>GARRARD</t>
  </si>
  <si>
    <t>LAUREN</t>
  </si>
  <si>
    <t>CARR</t>
  </si>
  <si>
    <t>RALUCA</t>
  </si>
  <si>
    <t>CHEREGI</t>
  </si>
  <si>
    <t>JEANA</t>
  </si>
  <si>
    <t>HENDRICKSON</t>
  </si>
  <si>
    <t>DAUGHERTY</t>
  </si>
  <si>
    <t>MATTHEW</t>
  </si>
  <si>
    <t>YOUNG</t>
  </si>
  <si>
    <t>MARSICO</t>
  </si>
  <si>
    <t>Allstate Health Cancer Only 5035</t>
  </si>
  <si>
    <t>SUNG</t>
  </si>
  <si>
    <t>YEOUN</t>
  </si>
  <si>
    <t>WHITEMAN</t>
  </si>
  <si>
    <t>BALDWIN</t>
  </si>
  <si>
    <t>MARGARET</t>
  </si>
  <si>
    <t>SEMPRINI</t>
  </si>
  <si>
    <t>JANICE</t>
  </si>
  <si>
    <t>QAZI</t>
  </si>
  <si>
    <t>CHARLENE</t>
  </si>
  <si>
    <t>IBSEN</t>
  </si>
  <si>
    <t>KATY</t>
  </si>
  <si>
    <t>PETERS</t>
  </si>
  <si>
    <t>JESSICA</t>
  </si>
  <si>
    <t>STARK</t>
  </si>
  <si>
    <t>KRISTA</t>
  </si>
  <si>
    <t>SUGAR</t>
  </si>
  <si>
    <t>WILLER</t>
  </si>
  <si>
    <t>MARK</t>
  </si>
  <si>
    <t>Life Association C All Other States</t>
  </si>
  <si>
    <t>KATELENN</t>
  </si>
  <si>
    <t>SLAIS</t>
  </si>
  <si>
    <t>COLIN</t>
  </si>
  <si>
    <t>WASSELL</t>
  </si>
  <si>
    <t>KALMAN</t>
  </si>
  <si>
    <t>THERESA</t>
  </si>
  <si>
    <t>Life Association C OH</t>
  </si>
  <si>
    <t>LARSON</t>
  </si>
  <si>
    <t>ANTOINETTE</t>
  </si>
  <si>
    <t>PAUL</t>
  </si>
  <si>
    <t>JEANETTE</t>
  </si>
  <si>
    <t>AL</t>
  </si>
  <si>
    <t>WALENGA</t>
  </si>
  <si>
    <t>JENNIFER</t>
  </si>
  <si>
    <t>REX</t>
  </si>
  <si>
    <t>O'REILLY</t>
  </si>
  <si>
    <t>JUDITH</t>
  </si>
  <si>
    <t>HANSFORD</t>
  </si>
  <si>
    <t>ETHAN</t>
  </si>
  <si>
    <t>KNOEBEL</t>
  </si>
  <si>
    <t>Hunsberger</t>
  </si>
  <si>
    <t>Anthony</t>
  </si>
  <si>
    <t>Life Association Access (GI)</t>
  </si>
  <si>
    <t>CYNTHIA</t>
  </si>
  <si>
    <t>MURPHY</t>
  </si>
  <si>
    <t>JAMES</t>
  </si>
  <si>
    <t>NEUMEISTER</t>
  </si>
  <si>
    <t>Chad</t>
  </si>
  <si>
    <t>JADE</t>
  </si>
  <si>
    <t>LEVINSON</t>
  </si>
  <si>
    <t>SANTOS</t>
  </si>
  <si>
    <t>RICARDO</t>
  </si>
  <si>
    <t>DUFFLEY</t>
  </si>
  <si>
    <t>KAREN</t>
  </si>
  <si>
    <t>SALMETE</t>
  </si>
  <si>
    <t>ACE</t>
  </si>
  <si>
    <t>RARDIN</t>
  </si>
  <si>
    <t>LESLIE</t>
  </si>
  <si>
    <t>Life Association C IN</t>
  </si>
  <si>
    <t>Sanderock</t>
  </si>
  <si>
    <t>Marsha</t>
  </si>
  <si>
    <t>RIDER</t>
  </si>
  <si>
    <t>KRISTEN</t>
  </si>
  <si>
    <t>Lytle</t>
  </si>
  <si>
    <t>Dominic</t>
  </si>
  <si>
    <t>A10</t>
  </si>
  <si>
    <t>ZOLLARS</t>
  </si>
  <si>
    <t>ALAN</t>
  </si>
  <si>
    <t>AMALIA</t>
  </si>
  <si>
    <t>MACKENZIE</t>
  </si>
  <si>
    <t>CARRYER</t>
  </si>
  <si>
    <t>JONES</t>
  </si>
  <si>
    <t>SHATAYA</t>
  </si>
  <si>
    <t>LEVY</t>
  </si>
  <si>
    <t>SUZANNE</t>
  </si>
  <si>
    <t>KOZACHECK</t>
  </si>
  <si>
    <t>ANNE MARIE</t>
  </si>
  <si>
    <t>SHAWN</t>
  </si>
  <si>
    <t>KEEFER</t>
  </si>
  <si>
    <t>MICHELLE</t>
  </si>
  <si>
    <t>SACK</t>
  </si>
  <si>
    <t>SAMUEL</t>
  </si>
  <si>
    <t>MCKAY</t>
  </si>
  <si>
    <t>ALEXANDRA</t>
  </si>
  <si>
    <t>STACEY</t>
  </si>
  <si>
    <t>ARMSTRONG</t>
  </si>
  <si>
    <t>DAISY</t>
  </si>
  <si>
    <t>BURKE</t>
  </si>
  <si>
    <t>CASILLAS</t>
  </si>
  <si>
    <t>CAROLINA</t>
  </si>
  <si>
    <t>DE</t>
  </si>
  <si>
    <t>GALE</t>
  </si>
  <si>
    <t>INSKIPT</t>
  </si>
  <si>
    <t>DEBORAH</t>
  </si>
  <si>
    <t>REINIG</t>
  </si>
  <si>
    <t>CASEY</t>
  </si>
  <si>
    <t>ROBINSON</t>
  </si>
  <si>
    <t>WORDEN</t>
  </si>
  <si>
    <t>EMALEE</t>
  </si>
  <si>
    <t>JENSEN</t>
  </si>
  <si>
    <t>EDWINA</t>
  </si>
  <si>
    <t>GONZALEZ</t>
  </si>
  <si>
    <t>MARIA</t>
  </si>
  <si>
    <t>WOJTASIK</t>
  </si>
  <si>
    <t>JAY</t>
  </si>
  <si>
    <t>ZANA</t>
  </si>
  <si>
    <t>NASANDELGER</t>
  </si>
  <si>
    <t>DIAKITE</t>
  </si>
  <si>
    <t>FATOUMATA</t>
  </si>
  <si>
    <t>FERNANDEZ</t>
  </si>
  <si>
    <t>MELVIN</t>
  </si>
  <si>
    <t>DIAZ</t>
  </si>
  <si>
    <t>DELIA</t>
  </si>
  <si>
    <t>KRISTINA</t>
  </si>
  <si>
    <t>FLEMING</t>
  </si>
  <si>
    <t>DONNA</t>
  </si>
  <si>
    <t>SALAZAR</t>
  </si>
  <si>
    <t>VANESSA</t>
  </si>
  <si>
    <t>YALE</t>
  </si>
  <si>
    <t>STACY</t>
  </si>
  <si>
    <t>MACK</t>
  </si>
  <si>
    <t>BRANDY</t>
  </si>
  <si>
    <t>FARROW</t>
  </si>
  <si>
    <t>EDDIE</t>
  </si>
  <si>
    <t>DAWSON</t>
  </si>
  <si>
    <t>DAWN</t>
  </si>
  <si>
    <t>THORNTON</t>
  </si>
  <si>
    <t>MATHEW</t>
  </si>
  <si>
    <t>EVERS</t>
  </si>
  <si>
    <t>KAMEY</t>
  </si>
  <si>
    <t>NESBITT</t>
  </si>
  <si>
    <t>MELTON</t>
  </si>
  <si>
    <t>SARAH</t>
  </si>
  <si>
    <t>O'CONNOR</t>
  </si>
  <si>
    <t>TAKASHI</t>
  </si>
  <si>
    <t>KANAI</t>
  </si>
  <si>
    <t>ANGILA</t>
  </si>
  <si>
    <t>GARRETT</t>
  </si>
  <si>
    <t>BERGERON</t>
  </si>
  <si>
    <t>FUENTES</t>
  </si>
  <si>
    <t>VICTOR</t>
  </si>
  <si>
    <t>FRIEDMANN</t>
  </si>
  <si>
    <t>WILKINSON</t>
  </si>
  <si>
    <t>NKOPPE</t>
  </si>
  <si>
    <t>CAMILIA</t>
  </si>
  <si>
    <t>ITURBE</t>
  </si>
  <si>
    <t>TORRES</t>
  </si>
  <si>
    <t>SOMMESE</t>
  </si>
  <si>
    <t>Drapac</t>
  </si>
  <si>
    <t>Stephanie</t>
  </si>
  <si>
    <t>GRIFFIN</t>
  </si>
  <si>
    <t>TIMMY</t>
  </si>
  <si>
    <t>VAETH</t>
  </si>
  <si>
    <t>RUTH</t>
  </si>
  <si>
    <t>GALLARELLO</t>
  </si>
  <si>
    <t>ANGELO</t>
  </si>
  <si>
    <t>NV</t>
  </si>
  <si>
    <t>Allstate Health Access (GI)</t>
  </si>
  <si>
    <t>AFRASSIAB</t>
  </si>
  <si>
    <t>MONA</t>
  </si>
  <si>
    <t>Medicare Supplement</t>
  </si>
  <si>
    <t>NHIC MedSupp 2022 IL Plan F, G Age 65-80</t>
  </si>
  <si>
    <t>HUBER</t>
  </si>
  <si>
    <t>PAULA</t>
  </si>
  <si>
    <t>WV</t>
  </si>
  <si>
    <t>MAERTENS</t>
  </si>
  <si>
    <t>HEIDI</t>
  </si>
  <si>
    <t>IA</t>
  </si>
  <si>
    <t>WOLFZORN</t>
  </si>
  <si>
    <t>Accident Fixed Benefit</t>
  </si>
  <si>
    <t>CHRISTIANSEN</t>
  </si>
  <si>
    <t>LISA</t>
  </si>
  <si>
    <t>DITTLINGER</t>
  </si>
  <si>
    <t>CORINNE</t>
  </si>
  <si>
    <t>GOINS</t>
  </si>
  <si>
    <t>BOBBY</t>
  </si>
  <si>
    <t>WALLACE</t>
  </si>
  <si>
    <t>FELICIA</t>
  </si>
  <si>
    <t>WERNER</t>
  </si>
  <si>
    <t>BRETT</t>
  </si>
  <si>
    <t>COPPLE</t>
  </si>
  <si>
    <t>RIVERA</t>
  </si>
  <si>
    <t>CRISTINA</t>
  </si>
  <si>
    <t>ODBAYAR</t>
  </si>
  <si>
    <t>BAYARDAVAA</t>
  </si>
  <si>
    <t>LAMB</t>
  </si>
  <si>
    <t>CHELCIE</t>
  </si>
  <si>
    <t>THACKER</t>
  </si>
  <si>
    <t>DEANNA</t>
  </si>
  <si>
    <t>VOLLAND</t>
  </si>
  <si>
    <t>BATSAIKHAN</t>
  </si>
  <si>
    <t>SUVD</t>
  </si>
  <si>
    <t>BATDELGER</t>
  </si>
  <si>
    <t>TSERENBAT</t>
  </si>
  <si>
    <t>HRYCAJ</t>
  </si>
  <si>
    <t>BETH</t>
  </si>
  <si>
    <t>BAYARSAIKHAN</t>
  </si>
  <si>
    <t>BATBOLD</t>
  </si>
  <si>
    <t>NGANDO</t>
  </si>
  <si>
    <t>HORTANCE</t>
  </si>
  <si>
    <t>APELIAN</t>
  </si>
  <si>
    <t>LARSEN</t>
  </si>
  <si>
    <t>DEVIN</t>
  </si>
  <si>
    <t>HERRERA-LARSEN</t>
  </si>
  <si>
    <t>ESTHER</t>
  </si>
  <si>
    <t>OLMOS</t>
  </si>
  <si>
    <t>ALBERTO</t>
  </si>
  <si>
    <t>ROBINSON-MARTIN</t>
  </si>
  <si>
    <t>DEATON</t>
  </si>
  <si>
    <t>HAMRICK</t>
  </si>
  <si>
    <t>DAMDINVAANJIL</t>
  </si>
  <si>
    <t>TSOGOO</t>
  </si>
  <si>
    <t>ENKHTUR</t>
  </si>
  <si>
    <t>ODMAA</t>
  </si>
  <si>
    <t>BROWN</t>
  </si>
  <si>
    <t>GABOURY</t>
  </si>
  <si>
    <t>SANDRA</t>
  </si>
  <si>
    <t>BATKA</t>
  </si>
  <si>
    <t>ANDERSON</t>
  </si>
  <si>
    <t>TINA</t>
  </si>
  <si>
    <t>SILVETTI</t>
  </si>
  <si>
    <t>TAMARA</t>
  </si>
  <si>
    <t>FRITZ</t>
  </si>
  <si>
    <t>RANDAL</t>
  </si>
  <si>
    <t>DEQUAKER</t>
  </si>
  <si>
    <t>ALTAN</t>
  </si>
  <si>
    <t>TUUL</t>
  </si>
  <si>
    <t>TUVSHINJARGAL</t>
  </si>
  <si>
    <t>DAGENAIS</t>
  </si>
  <si>
    <t>SUVDAA</t>
  </si>
  <si>
    <t>SUKHBAATAR</t>
  </si>
  <si>
    <t>TERGUUNBAYAR</t>
  </si>
  <si>
    <t>ERDENE</t>
  </si>
  <si>
    <t>EDWARD</t>
  </si>
  <si>
    <t>SPENCER</t>
  </si>
  <si>
    <t>ROLLER</t>
  </si>
  <si>
    <t>Roller</t>
  </si>
  <si>
    <t>Jason</t>
  </si>
  <si>
    <t>HERRICK</t>
  </si>
  <si>
    <t>DARBRA</t>
  </si>
  <si>
    <t>HICKS</t>
  </si>
  <si>
    <t>NASANJARGAL</t>
  </si>
  <si>
    <t>MIKE</t>
  </si>
  <si>
    <t>WEASE</t>
  </si>
  <si>
    <t>MARCIE</t>
  </si>
  <si>
    <t>HOUSE</t>
  </si>
  <si>
    <t>BENJAMIN</t>
  </si>
  <si>
    <t>WILLANDA</t>
  </si>
  <si>
    <t>BURT-HOLSENDOLPH</t>
  </si>
  <si>
    <t>LUJUANA</t>
  </si>
  <si>
    <t>PLAINFEATHER</t>
  </si>
  <si>
    <t>MT</t>
  </si>
  <si>
    <t>MARJURI</t>
  </si>
  <si>
    <t>RIZO</t>
  </si>
  <si>
    <t>Nevarez</t>
  </si>
  <si>
    <t>Antonia</t>
  </si>
  <si>
    <t>YVETTE</t>
  </si>
  <si>
    <t>TURNER</t>
  </si>
  <si>
    <t>DOROTHY</t>
  </si>
  <si>
    <t>OTGONBAYAR</t>
  </si>
  <si>
    <t>LKHAGVASUREN</t>
  </si>
  <si>
    <t>LESTER</t>
  </si>
  <si>
    <t>SAVANNAH</t>
  </si>
  <si>
    <t>COTTER</t>
  </si>
  <si>
    <t>CHRIST</t>
  </si>
  <si>
    <t>ROBIN</t>
  </si>
  <si>
    <t>LYONS</t>
  </si>
  <si>
    <t>MILEAH</t>
  </si>
  <si>
    <t>KENNERLY</t>
  </si>
  <si>
    <t>KITTY</t>
  </si>
  <si>
    <t>DERUSHA</t>
  </si>
  <si>
    <t>LAURA</t>
  </si>
  <si>
    <t>APARICIO</t>
  </si>
  <si>
    <t>AUGUSTO</t>
  </si>
  <si>
    <t>ZACHARIAH</t>
  </si>
  <si>
    <t>PHENU</t>
  </si>
  <si>
    <t>HIGGINS</t>
  </si>
  <si>
    <t>SANDBERG</t>
  </si>
  <si>
    <t>HAMILTON</t>
  </si>
  <si>
    <t>ELZY</t>
  </si>
  <si>
    <t>MAURICE</t>
  </si>
  <si>
    <t>Cheregi</t>
  </si>
  <si>
    <t>Raluca</t>
  </si>
  <si>
    <t>CARLA</t>
  </si>
  <si>
    <t>NHIC STM PPO All Other States Renewable</t>
  </si>
  <si>
    <t>National General STM CO-CT-IA-KS-MD-MO-ND-OR-SD</t>
  </si>
  <si>
    <t>A3</t>
  </si>
  <si>
    <t>Recuro CO-CT-IA-KS-MD-MO-ND-OR-SD</t>
  </si>
  <si>
    <t>NHIC STM 2022 IN Single Term</t>
  </si>
  <si>
    <t>BRIDGES</t>
  </si>
  <si>
    <t>Supplement</t>
  </si>
  <si>
    <t>NHIC Dental 2020 DVH 65+</t>
  </si>
  <si>
    <t>FENGER</t>
  </si>
  <si>
    <t>HOFFMANN</t>
  </si>
  <si>
    <t>GEHRON</t>
  </si>
  <si>
    <t>AMIE</t>
  </si>
  <si>
    <t>SKELLIE</t>
  </si>
  <si>
    <t>CORI</t>
  </si>
  <si>
    <t>SACH</t>
  </si>
  <si>
    <t>CHERRY</t>
  </si>
  <si>
    <t>NHIC LM 2021 SENIOR INDEMNITY 65+</t>
  </si>
  <si>
    <t>Life Association Standalone Bundled wLM</t>
  </si>
  <si>
    <t>HRONOPOULOS</t>
  </si>
  <si>
    <t>JOANNE</t>
  </si>
  <si>
    <t>ALIKOR</t>
  </si>
  <si>
    <t>CHINYERE</t>
  </si>
  <si>
    <t>GATHANY</t>
  </si>
  <si>
    <t>LOWELL</t>
  </si>
  <si>
    <t>GUNTER</t>
  </si>
  <si>
    <t>DARRELL</t>
  </si>
  <si>
    <t>CBK</t>
  </si>
  <si>
    <t>DEHART</t>
  </si>
  <si>
    <t>SCHAEFFER</t>
  </si>
  <si>
    <t>NHIC NG0000 Statement 11/10/2025</t>
  </si>
  <si>
    <t>OWENS</t>
  </si>
  <si>
    <t>TARA</t>
  </si>
  <si>
    <t>NHIC NG0000 Statement 11/24/2025</t>
  </si>
  <si>
    <t>KING</t>
  </si>
  <si>
    <t>CARROL</t>
  </si>
  <si>
    <t>CROWE</t>
  </si>
  <si>
    <t>MCCOY</t>
  </si>
  <si>
    <t>OYUN-ERDENE</t>
  </si>
  <si>
    <t>KEYERICA</t>
  </si>
  <si>
    <t>PAVLASOVA</t>
  </si>
  <si>
    <t>DOBROMILA</t>
  </si>
  <si>
    <t>Cancer and Heart-Stroke 20231</t>
  </si>
  <si>
    <t>Cancer and Heart-Stroke 20231 CO-FL-MN-MI</t>
  </si>
  <si>
    <t>Allstate OVR</t>
  </si>
  <si>
    <t>Main Line Benefits</t>
  </si>
  <si>
    <t>Critical Illness with Term Life 21677</t>
  </si>
  <si>
    <t>Life Association C</t>
  </si>
  <si>
    <t>AV6</t>
  </si>
  <si>
    <t>NB</t>
  </si>
  <si>
    <t>AV</t>
  </si>
  <si>
    <t>AE</t>
  </si>
  <si>
    <t>20003537old</t>
  </si>
  <si>
    <t>17528908N</t>
  </si>
  <si>
    <t>18201929old</t>
  </si>
  <si>
    <t>19279958old</t>
  </si>
  <si>
    <t>21283956old</t>
  </si>
  <si>
    <t>National General GI Access Plan-All States</t>
  </si>
  <si>
    <t>NHIC STM PPO IA</t>
  </si>
  <si>
    <t>NHIC MedSupp 2022 Plan F G Age 65-80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</si>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</sst>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0" fontId="14" fillId="34" borderId="0" xfId="0" applyFont="1" applyFill="1"/>
    <xf numFmtId="14" fontId="14" fillId="34" borderId="0" xfId="0" applyNumberFormat="1" applyFont="1" applyFill="1"/>
    <xf numFmtId="164" fontId="14" fillId="34" borderId="0" xfId="0" applyNumberFormat="1" applyFont="1" applyFill="1"/>
    <xf numFmtId="9" fontId="0" fillId="33" borderId="0" xfId="0" applyNumberFormat="1" applyFill="1"/>
    <xf numFmtId="10" fontId="0" fillId="33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469-5F1B-4DFC-ADCF-B31808B1BCC5}">
  <dimension ref="A1:AV542"/>
  <sheetViews>
    <sheetView topLeftCell="AA505"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45985</v>
      </c>
      <c r="B2" t="s">
        <v>48</v>
      </c>
      <c r="C2">
        <v>649163</v>
      </c>
      <c r="D2">
        <v>2032204740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650218</v>
      </c>
      <c r="L2" t="s">
        <v>55</v>
      </c>
      <c r="M2" t="s">
        <v>56</v>
      </c>
      <c r="N2" t="s">
        <v>57</v>
      </c>
      <c r="O2" s="1">
        <v>45992</v>
      </c>
      <c r="Q2" s="1">
        <v>46023</v>
      </c>
      <c r="R2" s="2">
        <v>40.159999999999997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144.6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24.1</v>
      </c>
      <c r="AM2" s="2">
        <v>0</v>
      </c>
      <c r="AN2" s="2">
        <v>144.6</v>
      </c>
      <c r="AO2" s="2">
        <v>0</v>
      </c>
      <c r="AP2" s="2">
        <v>0</v>
      </c>
      <c r="AQ2" s="2">
        <v>0</v>
      </c>
    </row>
    <row r="3" spans="1:48" x14ac:dyDescent="0.25">
      <c r="A3" s="1">
        <v>45985</v>
      </c>
      <c r="B3" t="s">
        <v>48</v>
      </c>
      <c r="C3">
        <v>649163</v>
      </c>
      <c r="D3">
        <v>2032209136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894525</v>
      </c>
      <c r="L3" t="s">
        <v>65</v>
      </c>
      <c r="M3" t="s">
        <v>66</v>
      </c>
      <c r="N3" t="s">
        <v>57</v>
      </c>
      <c r="O3" s="1">
        <v>46023</v>
      </c>
      <c r="Q3" s="1">
        <v>46054</v>
      </c>
      <c r="R3" s="2">
        <v>75.75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272.7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45.45</v>
      </c>
      <c r="AM3" s="2">
        <v>0</v>
      </c>
      <c r="AN3" s="2">
        <v>272.7</v>
      </c>
      <c r="AO3" s="2">
        <v>0</v>
      </c>
      <c r="AP3" s="2">
        <v>0</v>
      </c>
      <c r="AQ3" s="2">
        <v>0</v>
      </c>
    </row>
    <row r="4" spans="1:48" x14ac:dyDescent="0.25">
      <c r="A4" s="1">
        <v>45985</v>
      </c>
      <c r="B4" t="s">
        <v>48</v>
      </c>
      <c r="C4">
        <v>649163</v>
      </c>
      <c r="D4">
        <v>2032210561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54</v>
      </c>
      <c r="K4">
        <v>673059</v>
      </c>
      <c r="L4" t="s">
        <v>70</v>
      </c>
      <c r="M4" t="s">
        <v>71</v>
      </c>
      <c r="N4" t="s">
        <v>57</v>
      </c>
      <c r="O4" s="1">
        <v>46023</v>
      </c>
      <c r="Q4" s="1">
        <v>46054</v>
      </c>
      <c r="R4" s="2">
        <v>61.18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220.26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36.71</v>
      </c>
      <c r="AM4" s="2">
        <v>0</v>
      </c>
      <c r="AN4" s="2">
        <v>220.26</v>
      </c>
      <c r="AO4" s="2">
        <v>0</v>
      </c>
      <c r="AP4" s="2">
        <v>0</v>
      </c>
      <c r="AQ4" s="2">
        <v>0</v>
      </c>
    </row>
    <row r="5" spans="1:48" x14ac:dyDescent="0.25">
      <c r="A5" s="1">
        <v>45985</v>
      </c>
      <c r="B5" t="s">
        <v>48</v>
      </c>
      <c r="C5">
        <v>649163</v>
      </c>
      <c r="D5">
        <v>2032217925</v>
      </c>
      <c r="E5" t="s">
        <v>72</v>
      </c>
      <c r="F5" t="s">
        <v>73</v>
      </c>
      <c r="G5" t="s">
        <v>51</v>
      </c>
      <c r="H5" t="s">
        <v>64</v>
      </c>
      <c r="I5" t="s">
        <v>53</v>
      </c>
      <c r="J5" t="s">
        <v>54</v>
      </c>
      <c r="K5">
        <v>894525</v>
      </c>
      <c r="L5" t="s">
        <v>65</v>
      </c>
      <c r="M5" t="s">
        <v>66</v>
      </c>
      <c r="N5" t="s">
        <v>57</v>
      </c>
      <c r="O5" s="1">
        <v>46023</v>
      </c>
      <c r="Q5" s="1">
        <v>46054</v>
      </c>
      <c r="R5" s="2">
        <v>56.69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204.06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34.01</v>
      </c>
      <c r="AM5" s="2">
        <v>0</v>
      </c>
      <c r="AN5" s="2">
        <v>204.06</v>
      </c>
      <c r="AO5" s="2">
        <v>0</v>
      </c>
      <c r="AP5" s="2">
        <v>0</v>
      </c>
      <c r="AQ5" s="2">
        <v>0</v>
      </c>
    </row>
    <row r="6" spans="1:48" x14ac:dyDescent="0.25">
      <c r="A6" s="1">
        <v>45985</v>
      </c>
      <c r="B6" t="s">
        <v>48</v>
      </c>
      <c r="C6">
        <v>649163</v>
      </c>
      <c r="D6">
        <v>2032231077</v>
      </c>
      <c r="E6" t="s">
        <v>74</v>
      </c>
      <c r="F6" t="s">
        <v>75</v>
      </c>
      <c r="G6" t="s">
        <v>51</v>
      </c>
      <c r="H6" t="s">
        <v>64</v>
      </c>
      <c r="I6" t="s">
        <v>53</v>
      </c>
      <c r="J6" t="s">
        <v>54</v>
      </c>
      <c r="K6">
        <v>894525</v>
      </c>
      <c r="L6" t="s">
        <v>65</v>
      </c>
      <c r="M6" t="s">
        <v>66</v>
      </c>
      <c r="N6" t="s">
        <v>57</v>
      </c>
      <c r="O6" s="1">
        <v>46023</v>
      </c>
      <c r="Q6" s="1">
        <v>46054</v>
      </c>
      <c r="R6" s="2">
        <v>79.75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287.10000000000002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47.85</v>
      </c>
      <c r="AM6" s="2">
        <v>0</v>
      </c>
      <c r="AN6" s="2">
        <v>287.10000000000002</v>
      </c>
      <c r="AO6" s="2">
        <v>0</v>
      </c>
      <c r="AP6" s="2">
        <v>0</v>
      </c>
      <c r="AQ6" s="2">
        <v>0</v>
      </c>
    </row>
    <row r="7" spans="1:48" x14ac:dyDescent="0.25">
      <c r="A7" s="1">
        <v>45985</v>
      </c>
      <c r="B7" t="s">
        <v>48</v>
      </c>
      <c r="C7">
        <v>649163</v>
      </c>
      <c r="D7">
        <v>2032247824</v>
      </c>
      <c r="E7" t="s">
        <v>76</v>
      </c>
      <c r="F7" t="s">
        <v>77</v>
      </c>
      <c r="G7" t="s">
        <v>51</v>
      </c>
      <c r="H7" t="s">
        <v>64</v>
      </c>
      <c r="I7" t="s">
        <v>53</v>
      </c>
      <c r="J7" t="s">
        <v>54</v>
      </c>
      <c r="K7">
        <v>894525</v>
      </c>
      <c r="L7" t="s">
        <v>65</v>
      </c>
      <c r="M7" t="s">
        <v>66</v>
      </c>
      <c r="N7" t="s">
        <v>57</v>
      </c>
      <c r="O7" s="1">
        <v>46023</v>
      </c>
      <c r="Q7" s="1">
        <v>46054</v>
      </c>
      <c r="R7" s="2">
        <v>95.73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344.64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57.44</v>
      </c>
      <c r="AM7" s="2">
        <v>0</v>
      </c>
      <c r="AN7" s="2">
        <v>344.64</v>
      </c>
      <c r="AO7" s="2">
        <v>0</v>
      </c>
      <c r="AP7" s="2">
        <v>0</v>
      </c>
      <c r="AQ7" s="2">
        <v>0</v>
      </c>
    </row>
    <row r="8" spans="1:48" x14ac:dyDescent="0.25">
      <c r="A8" s="1">
        <v>45985</v>
      </c>
      <c r="B8" t="s">
        <v>48</v>
      </c>
      <c r="C8">
        <v>649163</v>
      </c>
      <c r="D8">
        <v>2032262158</v>
      </c>
      <c r="E8" t="s">
        <v>78</v>
      </c>
      <c r="F8" t="s">
        <v>79</v>
      </c>
      <c r="G8" t="s">
        <v>51</v>
      </c>
      <c r="H8" t="s">
        <v>64</v>
      </c>
      <c r="I8" t="s">
        <v>53</v>
      </c>
      <c r="J8" t="s">
        <v>54</v>
      </c>
      <c r="K8">
        <v>894525</v>
      </c>
      <c r="L8" t="s">
        <v>65</v>
      </c>
      <c r="M8" t="s">
        <v>66</v>
      </c>
      <c r="N8" t="s">
        <v>57</v>
      </c>
      <c r="O8" s="1">
        <v>46023</v>
      </c>
      <c r="Q8" s="1">
        <v>46054</v>
      </c>
      <c r="R8" s="2">
        <v>108.52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390.66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65.11</v>
      </c>
      <c r="AM8" s="2">
        <v>0</v>
      </c>
      <c r="AN8" s="2">
        <v>390.66</v>
      </c>
      <c r="AO8" s="2">
        <v>0</v>
      </c>
      <c r="AP8" s="2">
        <v>0</v>
      </c>
      <c r="AQ8" s="2">
        <v>0</v>
      </c>
    </row>
    <row r="9" spans="1:48" x14ac:dyDescent="0.25">
      <c r="A9" s="1">
        <v>45985</v>
      </c>
      <c r="B9" t="s">
        <v>48</v>
      </c>
      <c r="C9">
        <v>649163</v>
      </c>
      <c r="D9">
        <v>2032273119</v>
      </c>
      <c r="E9" t="s">
        <v>80</v>
      </c>
      <c r="F9" t="s">
        <v>81</v>
      </c>
      <c r="G9" t="s">
        <v>51</v>
      </c>
      <c r="H9" t="s">
        <v>52</v>
      </c>
      <c r="I9" t="s">
        <v>53</v>
      </c>
      <c r="J9" t="s">
        <v>54</v>
      </c>
      <c r="K9">
        <v>751867</v>
      </c>
      <c r="L9" t="s">
        <v>82</v>
      </c>
      <c r="M9" t="s">
        <v>83</v>
      </c>
      <c r="N9" t="s">
        <v>57</v>
      </c>
      <c r="O9" s="1">
        <v>45992</v>
      </c>
      <c r="Q9" s="1">
        <v>46023</v>
      </c>
      <c r="R9" s="2">
        <v>46.45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167.22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27.87</v>
      </c>
      <c r="AM9" s="2">
        <v>0</v>
      </c>
      <c r="AN9" s="2">
        <v>167.22</v>
      </c>
      <c r="AO9" s="2">
        <v>0</v>
      </c>
      <c r="AP9" s="2">
        <v>0</v>
      </c>
      <c r="AQ9" s="2">
        <v>0</v>
      </c>
    </row>
    <row r="10" spans="1:48" x14ac:dyDescent="0.25">
      <c r="A10" s="1">
        <v>45985</v>
      </c>
      <c r="B10" t="s">
        <v>48</v>
      </c>
      <c r="C10">
        <v>649163</v>
      </c>
      <c r="D10">
        <v>2032282128</v>
      </c>
      <c r="E10" t="s">
        <v>84</v>
      </c>
      <c r="F10" t="s">
        <v>85</v>
      </c>
      <c r="G10" t="s">
        <v>51</v>
      </c>
      <c r="H10" t="s">
        <v>52</v>
      </c>
      <c r="I10" t="s">
        <v>53</v>
      </c>
      <c r="J10" t="s">
        <v>54</v>
      </c>
      <c r="K10">
        <v>751867</v>
      </c>
      <c r="L10" t="s">
        <v>82</v>
      </c>
      <c r="M10" t="s">
        <v>83</v>
      </c>
      <c r="N10" t="s">
        <v>57</v>
      </c>
      <c r="O10" s="1">
        <v>45992</v>
      </c>
      <c r="Q10" s="1">
        <v>46023</v>
      </c>
      <c r="R10" s="2">
        <v>56.69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204.06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34.01</v>
      </c>
      <c r="AM10" s="2">
        <v>0</v>
      </c>
      <c r="AN10" s="2">
        <v>204.06</v>
      </c>
      <c r="AO10" s="2">
        <v>0</v>
      </c>
      <c r="AP10" s="2">
        <v>0</v>
      </c>
      <c r="AQ10" s="2">
        <v>0</v>
      </c>
    </row>
    <row r="11" spans="1:48" x14ac:dyDescent="0.25">
      <c r="A11" s="1">
        <v>45985</v>
      </c>
      <c r="B11" t="s">
        <v>48</v>
      </c>
      <c r="C11">
        <v>649163</v>
      </c>
      <c r="D11">
        <v>2032306214</v>
      </c>
      <c r="E11" t="s">
        <v>86</v>
      </c>
      <c r="F11" t="s">
        <v>87</v>
      </c>
      <c r="G11" t="s">
        <v>51</v>
      </c>
      <c r="H11" t="s">
        <v>64</v>
      </c>
      <c r="I11" t="s">
        <v>53</v>
      </c>
      <c r="J11" t="s">
        <v>54</v>
      </c>
      <c r="K11">
        <v>894525</v>
      </c>
      <c r="L11" t="s">
        <v>65</v>
      </c>
      <c r="M11" t="s">
        <v>66</v>
      </c>
      <c r="N11" t="s">
        <v>57</v>
      </c>
      <c r="O11" s="1">
        <v>46023</v>
      </c>
      <c r="Q11" s="1">
        <v>46054</v>
      </c>
      <c r="R11" s="2">
        <v>52.69</v>
      </c>
      <c r="S11">
        <v>1</v>
      </c>
      <c r="T11" t="s">
        <v>58</v>
      </c>
      <c r="U11" t="s">
        <v>59</v>
      </c>
      <c r="V11" s="3">
        <v>0.6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189.66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31.61</v>
      </c>
      <c r="AM11" s="2">
        <v>0</v>
      </c>
      <c r="AN11" s="2">
        <v>189.66</v>
      </c>
      <c r="AO11" s="2">
        <v>0</v>
      </c>
      <c r="AP11" s="2">
        <v>0</v>
      </c>
      <c r="AQ11" s="2">
        <v>0</v>
      </c>
    </row>
    <row r="12" spans="1:48" x14ac:dyDescent="0.25">
      <c r="A12" s="1">
        <v>45985</v>
      </c>
      <c r="B12" t="s">
        <v>48</v>
      </c>
      <c r="C12">
        <v>649163</v>
      </c>
      <c r="D12">
        <v>2032057615</v>
      </c>
      <c r="E12" t="s">
        <v>88</v>
      </c>
      <c r="F12" t="s">
        <v>81</v>
      </c>
      <c r="G12" t="s">
        <v>51</v>
      </c>
      <c r="H12" t="s">
        <v>64</v>
      </c>
      <c r="I12" t="s">
        <v>89</v>
      </c>
      <c r="J12" t="s">
        <v>90</v>
      </c>
      <c r="K12">
        <v>823350</v>
      </c>
      <c r="L12" t="s">
        <v>91</v>
      </c>
      <c r="M12" t="s">
        <v>92</v>
      </c>
      <c r="N12" t="s">
        <v>57</v>
      </c>
      <c r="O12" s="1">
        <v>45992</v>
      </c>
      <c r="Q12" s="1">
        <v>46023</v>
      </c>
      <c r="R12" s="2">
        <v>27.67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124.5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20.75</v>
      </c>
      <c r="AM12" s="2">
        <v>0</v>
      </c>
      <c r="AN12" s="2">
        <v>124.5</v>
      </c>
      <c r="AO12" s="2">
        <v>0</v>
      </c>
      <c r="AP12" s="2">
        <v>0</v>
      </c>
      <c r="AQ12" s="2">
        <v>0</v>
      </c>
    </row>
    <row r="13" spans="1:48" x14ac:dyDescent="0.25">
      <c r="A13" s="1">
        <v>45985</v>
      </c>
      <c r="B13" t="s">
        <v>48</v>
      </c>
      <c r="C13">
        <v>649163</v>
      </c>
      <c r="D13">
        <v>2032072470</v>
      </c>
      <c r="E13" t="s">
        <v>93</v>
      </c>
      <c r="F13" t="s">
        <v>94</v>
      </c>
      <c r="G13" t="s">
        <v>51</v>
      </c>
      <c r="H13" t="s">
        <v>95</v>
      </c>
      <c r="I13" t="s">
        <v>89</v>
      </c>
      <c r="J13" t="s">
        <v>96</v>
      </c>
      <c r="K13">
        <v>652037</v>
      </c>
      <c r="L13" t="s">
        <v>97</v>
      </c>
      <c r="M13" t="s">
        <v>98</v>
      </c>
      <c r="N13" t="s">
        <v>57</v>
      </c>
      <c r="O13" s="1">
        <v>45986</v>
      </c>
      <c r="Q13" s="1">
        <v>46016</v>
      </c>
      <c r="R13" s="2">
        <v>100.12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540.66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90.11</v>
      </c>
      <c r="AM13" s="2">
        <v>0</v>
      </c>
      <c r="AN13" s="2">
        <v>540.66</v>
      </c>
      <c r="AO13" s="2">
        <v>0</v>
      </c>
      <c r="AP13" s="2">
        <v>0</v>
      </c>
      <c r="AQ13" s="2">
        <v>0</v>
      </c>
    </row>
    <row r="14" spans="1:48" x14ac:dyDescent="0.25">
      <c r="A14" s="1">
        <v>45985</v>
      </c>
      <c r="B14" t="s">
        <v>48</v>
      </c>
      <c r="C14">
        <v>649163</v>
      </c>
      <c r="D14">
        <v>2032204650</v>
      </c>
      <c r="E14" t="s">
        <v>99</v>
      </c>
      <c r="F14" t="s">
        <v>100</v>
      </c>
      <c r="G14" t="s">
        <v>51</v>
      </c>
      <c r="H14" t="s">
        <v>64</v>
      </c>
      <c r="I14" t="s">
        <v>89</v>
      </c>
      <c r="J14" t="s">
        <v>90</v>
      </c>
      <c r="K14">
        <v>820873</v>
      </c>
      <c r="L14" t="s">
        <v>101</v>
      </c>
      <c r="M14" t="s">
        <v>102</v>
      </c>
      <c r="N14" t="s">
        <v>57</v>
      </c>
      <c r="O14" s="1">
        <v>45979</v>
      </c>
      <c r="Q14" s="1">
        <v>46009</v>
      </c>
      <c r="R14" s="2">
        <v>62.85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282.83999999999997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47.14</v>
      </c>
      <c r="AM14" s="2">
        <v>0</v>
      </c>
      <c r="AN14" s="2">
        <v>282.83999999999997</v>
      </c>
      <c r="AO14" s="2">
        <v>0</v>
      </c>
      <c r="AP14" s="2">
        <v>0</v>
      </c>
      <c r="AQ14" s="2">
        <v>0</v>
      </c>
    </row>
    <row r="15" spans="1:48" x14ac:dyDescent="0.25">
      <c r="A15" s="1">
        <v>45985</v>
      </c>
      <c r="B15" t="s">
        <v>48</v>
      </c>
      <c r="C15">
        <v>649163</v>
      </c>
      <c r="D15">
        <v>2032208235</v>
      </c>
      <c r="E15" t="s">
        <v>103</v>
      </c>
      <c r="F15" t="s">
        <v>104</v>
      </c>
      <c r="G15" t="s">
        <v>51</v>
      </c>
      <c r="H15" t="s">
        <v>105</v>
      </c>
      <c r="I15" t="s">
        <v>89</v>
      </c>
      <c r="J15" t="s">
        <v>90</v>
      </c>
      <c r="K15">
        <v>856824</v>
      </c>
      <c r="L15" t="s">
        <v>106</v>
      </c>
      <c r="M15" t="s">
        <v>107</v>
      </c>
      <c r="N15" t="s">
        <v>57</v>
      </c>
      <c r="O15" s="1">
        <v>45979</v>
      </c>
      <c r="Q15" s="1">
        <v>46009</v>
      </c>
      <c r="R15" s="2">
        <v>33.76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151.91999999999999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25.32</v>
      </c>
      <c r="AM15" s="2">
        <v>0</v>
      </c>
      <c r="AN15" s="2">
        <v>151.91999999999999</v>
      </c>
      <c r="AO15" s="2">
        <v>0</v>
      </c>
      <c r="AP15" s="2">
        <v>0</v>
      </c>
      <c r="AQ15" s="2">
        <v>0</v>
      </c>
    </row>
    <row r="16" spans="1:48" x14ac:dyDescent="0.25">
      <c r="A16" s="1">
        <v>45985</v>
      </c>
      <c r="B16" t="s">
        <v>48</v>
      </c>
      <c r="C16">
        <v>649163</v>
      </c>
      <c r="D16">
        <v>2032208388</v>
      </c>
      <c r="E16" t="s">
        <v>108</v>
      </c>
      <c r="F16" t="s">
        <v>68</v>
      </c>
      <c r="G16" t="s">
        <v>51</v>
      </c>
      <c r="H16" t="s">
        <v>109</v>
      </c>
      <c r="I16" t="s">
        <v>89</v>
      </c>
      <c r="J16" t="s">
        <v>110</v>
      </c>
      <c r="K16">
        <v>816021</v>
      </c>
      <c r="L16" t="s">
        <v>111</v>
      </c>
      <c r="M16" t="s">
        <v>112</v>
      </c>
      <c r="N16" t="s">
        <v>57</v>
      </c>
      <c r="O16" s="1">
        <v>45979</v>
      </c>
      <c r="Q16" s="1">
        <v>46009</v>
      </c>
      <c r="R16" s="2">
        <v>26.53</v>
      </c>
      <c r="S16">
        <v>1</v>
      </c>
      <c r="T16" t="s">
        <v>58</v>
      </c>
      <c r="U16" t="s">
        <v>59</v>
      </c>
      <c r="V16" s="3">
        <v>0.65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103.44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17.239999999999998</v>
      </c>
      <c r="AM16" s="2">
        <v>0</v>
      </c>
      <c r="AN16" s="2">
        <v>103.44</v>
      </c>
      <c r="AO16" s="2">
        <v>0</v>
      </c>
      <c r="AP16" s="2">
        <v>0</v>
      </c>
      <c r="AQ16" s="2">
        <v>0</v>
      </c>
    </row>
    <row r="17" spans="1:43" x14ac:dyDescent="0.25">
      <c r="A17" s="1">
        <v>45985</v>
      </c>
      <c r="B17" t="s">
        <v>48</v>
      </c>
      <c r="C17">
        <v>649163</v>
      </c>
      <c r="D17">
        <v>2032218109</v>
      </c>
      <c r="E17" t="s">
        <v>113</v>
      </c>
      <c r="F17" t="s">
        <v>114</v>
      </c>
      <c r="G17" t="s">
        <v>51</v>
      </c>
      <c r="H17" t="s">
        <v>64</v>
      </c>
      <c r="I17" t="s">
        <v>89</v>
      </c>
      <c r="J17" t="s">
        <v>96</v>
      </c>
      <c r="K17">
        <v>824062</v>
      </c>
      <c r="L17" t="s">
        <v>115</v>
      </c>
      <c r="M17" t="s">
        <v>116</v>
      </c>
      <c r="N17" t="s">
        <v>57</v>
      </c>
      <c r="O17" s="1">
        <v>46023</v>
      </c>
      <c r="Q17" s="1">
        <v>46054</v>
      </c>
      <c r="R17" s="2">
        <v>180.9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976.86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162.81</v>
      </c>
      <c r="AM17" s="2">
        <v>0</v>
      </c>
      <c r="AN17" s="2">
        <v>976.86</v>
      </c>
      <c r="AO17" s="2">
        <v>0</v>
      </c>
      <c r="AP17" s="2">
        <v>0</v>
      </c>
      <c r="AQ17" s="2">
        <v>0</v>
      </c>
    </row>
    <row r="18" spans="1:43" x14ac:dyDescent="0.25">
      <c r="A18" s="1">
        <v>45985</v>
      </c>
      <c r="B18" t="s">
        <v>48</v>
      </c>
      <c r="C18">
        <v>649163</v>
      </c>
      <c r="D18">
        <v>2032218881</v>
      </c>
      <c r="E18" t="s">
        <v>117</v>
      </c>
      <c r="F18" t="s">
        <v>118</v>
      </c>
      <c r="G18" t="s">
        <v>51</v>
      </c>
      <c r="H18" t="s">
        <v>119</v>
      </c>
      <c r="I18" t="s">
        <v>89</v>
      </c>
      <c r="J18" t="s">
        <v>90</v>
      </c>
      <c r="K18">
        <v>673059</v>
      </c>
      <c r="L18" t="s">
        <v>70</v>
      </c>
      <c r="M18" t="s">
        <v>71</v>
      </c>
      <c r="N18" t="s">
        <v>57</v>
      </c>
      <c r="O18" s="1">
        <v>46023</v>
      </c>
      <c r="Q18" s="1">
        <v>46054</v>
      </c>
      <c r="R18" s="2">
        <v>16.27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73.2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12.2</v>
      </c>
      <c r="AM18" s="2">
        <v>0</v>
      </c>
      <c r="AN18" s="2">
        <v>73.2</v>
      </c>
      <c r="AO18" s="2">
        <v>0</v>
      </c>
      <c r="AP18" s="2">
        <v>0</v>
      </c>
      <c r="AQ18" s="2">
        <v>0</v>
      </c>
    </row>
    <row r="19" spans="1:43" x14ac:dyDescent="0.25">
      <c r="A19" s="1">
        <v>45985</v>
      </c>
      <c r="B19" t="s">
        <v>48</v>
      </c>
      <c r="C19">
        <v>649163</v>
      </c>
      <c r="D19">
        <v>2032221673</v>
      </c>
      <c r="E19" t="s">
        <v>120</v>
      </c>
      <c r="F19" t="s">
        <v>121</v>
      </c>
      <c r="G19" t="s">
        <v>51</v>
      </c>
      <c r="H19" t="s">
        <v>64</v>
      </c>
      <c r="I19" t="s">
        <v>89</v>
      </c>
      <c r="J19" t="s">
        <v>90</v>
      </c>
      <c r="K19">
        <v>766747</v>
      </c>
      <c r="L19" t="s">
        <v>122</v>
      </c>
      <c r="M19" t="s">
        <v>123</v>
      </c>
      <c r="N19" t="s">
        <v>57</v>
      </c>
      <c r="O19" s="1">
        <v>46023</v>
      </c>
      <c r="Q19" s="1">
        <v>46054</v>
      </c>
      <c r="R19" s="2">
        <v>12.91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58.08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9.68</v>
      </c>
      <c r="AM19" s="2">
        <v>0</v>
      </c>
      <c r="AN19" s="2">
        <v>58.08</v>
      </c>
      <c r="AO19" s="2">
        <v>0</v>
      </c>
      <c r="AP19" s="2">
        <v>0</v>
      </c>
      <c r="AQ19" s="2">
        <v>0</v>
      </c>
    </row>
    <row r="20" spans="1:43" x14ac:dyDescent="0.25">
      <c r="A20" s="1">
        <v>45985</v>
      </c>
      <c r="B20" t="s">
        <v>48</v>
      </c>
      <c r="C20">
        <v>649163</v>
      </c>
      <c r="D20">
        <v>2032225155</v>
      </c>
      <c r="E20" t="s">
        <v>124</v>
      </c>
      <c r="F20" t="s">
        <v>68</v>
      </c>
      <c r="G20" t="s">
        <v>51</v>
      </c>
      <c r="H20" t="s">
        <v>95</v>
      </c>
      <c r="I20" t="s">
        <v>89</v>
      </c>
      <c r="J20" t="s">
        <v>96</v>
      </c>
      <c r="K20">
        <v>823068</v>
      </c>
      <c r="L20" t="s">
        <v>125</v>
      </c>
      <c r="M20" t="s">
        <v>126</v>
      </c>
      <c r="N20" t="s">
        <v>57</v>
      </c>
      <c r="O20" s="1">
        <v>45992</v>
      </c>
      <c r="Q20" s="1">
        <v>46023</v>
      </c>
      <c r="R20" s="2">
        <v>84.81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457.98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76.33</v>
      </c>
      <c r="AM20" s="2">
        <v>0</v>
      </c>
      <c r="AN20" s="2">
        <v>457.98</v>
      </c>
      <c r="AO20" s="2">
        <v>0</v>
      </c>
      <c r="AP20" s="2">
        <v>0</v>
      </c>
      <c r="AQ20" s="2">
        <v>0</v>
      </c>
    </row>
    <row r="21" spans="1:43" x14ac:dyDescent="0.25">
      <c r="A21" s="1">
        <v>45985</v>
      </c>
      <c r="B21" t="s">
        <v>48</v>
      </c>
      <c r="C21">
        <v>649163</v>
      </c>
      <c r="D21">
        <v>2032232355</v>
      </c>
      <c r="E21" t="s">
        <v>127</v>
      </c>
      <c r="F21" t="s">
        <v>128</v>
      </c>
      <c r="G21" t="s">
        <v>51</v>
      </c>
      <c r="H21" t="s">
        <v>129</v>
      </c>
      <c r="I21" t="s">
        <v>89</v>
      </c>
      <c r="J21" t="s">
        <v>90</v>
      </c>
      <c r="K21">
        <v>824062</v>
      </c>
      <c r="L21" t="s">
        <v>115</v>
      </c>
      <c r="M21" t="s">
        <v>116</v>
      </c>
      <c r="N21" t="s">
        <v>57</v>
      </c>
      <c r="O21" s="1">
        <v>46023</v>
      </c>
      <c r="Q21" s="1">
        <v>46054</v>
      </c>
      <c r="R21" s="2">
        <v>32.94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148.19999999999999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24.7</v>
      </c>
      <c r="AM21" s="2">
        <v>0</v>
      </c>
      <c r="AN21" s="2">
        <v>148.19999999999999</v>
      </c>
      <c r="AO21" s="2">
        <v>0</v>
      </c>
      <c r="AP21" s="2">
        <v>0</v>
      </c>
      <c r="AQ21" s="2">
        <v>0</v>
      </c>
    </row>
    <row r="22" spans="1:43" x14ac:dyDescent="0.25">
      <c r="A22" s="1">
        <v>45985</v>
      </c>
      <c r="B22" t="s">
        <v>48</v>
      </c>
      <c r="C22">
        <v>649163</v>
      </c>
      <c r="D22">
        <v>2032232356</v>
      </c>
      <c r="E22" t="s">
        <v>127</v>
      </c>
      <c r="F22" t="s">
        <v>128</v>
      </c>
      <c r="G22" t="s">
        <v>51</v>
      </c>
      <c r="H22" t="s">
        <v>129</v>
      </c>
      <c r="I22" t="s">
        <v>89</v>
      </c>
      <c r="J22" t="s">
        <v>96</v>
      </c>
      <c r="K22">
        <v>824062</v>
      </c>
      <c r="L22" t="s">
        <v>115</v>
      </c>
      <c r="M22" t="s">
        <v>116</v>
      </c>
      <c r="N22" t="s">
        <v>57</v>
      </c>
      <c r="O22" s="1">
        <v>46023</v>
      </c>
      <c r="Q22" s="1">
        <v>46054</v>
      </c>
      <c r="R22" s="2">
        <v>41.91</v>
      </c>
      <c r="S22">
        <v>1</v>
      </c>
      <c r="T22" t="s">
        <v>58</v>
      </c>
      <c r="U22" t="s">
        <v>59</v>
      </c>
      <c r="V22" s="3">
        <v>0.9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226.32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37.72</v>
      </c>
      <c r="AM22" s="2">
        <v>0</v>
      </c>
      <c r="AN22" s="2">
        <v>226.32</v>
      </c>
      <c r="AO22" s="2">
        <v>0</v>
      </c>
      <c r="AP22" s="2">
        <v>0</v>
      </c>
      <c r="AQ22" s="2">
        <v>0</v>
      </c>
    </row>
    <row r="23" spans="1:43" x14ac:dyDescent="0.25">
      <c r="A23" s="1">
        <v>45985</v>
      </c>
      <c r="B23" t="s">
        <v>48</v>
      </c>
      <c r="C23">
        <v>649163</v>
      </c>
      <c r="D23">
        <v>2032235780</v>
      </c>
      <c r="E23" t="s">
        <v>130</v>
      </c>
      <c r="F23" t="s">
        <v>131</v>
      </c>
      <c r="G23" t="s">
        <v>51</v>
      </c>
      <c r="H23" t="s">
        <v>132</v>
      </c>
      <c r="I23" t="s">
        <v>89</v>
      </c>
      <c r="J23" t="s">
        <v>96</v>
      </c>
      <c r="K23">
        <v>824062</v>
      </c>
      <c r="L23" t="s">
        <v>115</v>
      </c>
      <c r="M23" t="s">
        <v>116</v>
      </c>
      <c r="N23" t="s">
        <v>57</v>
      </c>
      <c r="O23" s="1">
        <v>46023</v>
      </c>
      <c r="Q23" s="1">
        <v>46054</v>
      </c>
      <c r="R23" s="2">
        <v>90.79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490.26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81.709999999999994</v>
      </c>
      <c r="AM23" s="2">
        <v>0</v>
      </c>
      <c r="AN23" s="2">
        <v>490.26</v>
      </c>
      <c r="AO23" s="2">
        <v>0</v>
      </c>
      <c r="AP23" s="2">
        <v>0</v>
      </c>
      <c r="AQ23" s="2">
        <v>0</v>
      </c>
    </row>
    <row r="24" spans="1:43" x14ac:dyDescent="0.25">
      <c r="A24" s="1">
        <v>45985</v>
      </c>
      <c r="B24" t="s">
        <v>48</v>
      </c>
      <c r="C24">
        <v>649163</v>
      </c>
      <c r="D24">
        <v>2032238787</v>
      </c>
      <c r="E24" t="s">
        <v>133</v>
      </c>
      <c r="F24" t="s">
        <v>134</v>
      </c>
      <c r="G24" t="s">
        <v>51</v>
      </c>
      <c r="H24" t="s">
        <v>135</v>
      </c>
      <c r="I24" t="s">
        <v>89</v>
      </c>
      <c r="J24" t="s">
        <v>90</v>
      </c>
      <c r="K24">
        <v>673059</v>
      </c>
      <c r="L24" t="s">
        <v>70</v>
      </c>
      <c r="M24" t="s">
        <v>71</v>
      </c>
      <c r="N24" t="s">
        <v>57</v>
      </c>
      <c r="O24" s="1">
        <v>46023</v>
      </c>
      <c r="Q24" s="1">
        <v>46054</v>
      </c>
      <c r="R24" s="2">
        <v>89.85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404.34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67.39</v>
      </c>
      <c r="AM24" s="2">
        <v>0</v>
      </c>
      <c r="AN24" s="2">
        <v>404.34</v>
      </c>
      <c r="AO24" s="2">
        <v>0</v>
      </c>
      <c r="AP24" s="2">
        <v>0</v>
      </c>
      <c r="AQ24" s="2">
        <v>0</v>
      </c>
    </row>
    <row r="25" spans="1:43" x14ac:dyDescent="0.25">
      <c r="A25" s="1">
        <v>45985</v>
      </c>
      <c r="B25" t="s">
        <v>48</v>
      </c>
      <c r="C25">
        <v>649163</v>
      </c>
      <c r="D25">
        <v>2032249284</v>
      </c>
      <c r="E25" t="s">
        <v>136</v>
      </c>
      <c r="F25" t="s">
        <v>137</v>
      </c>
      <c r="G25" t="s">
        <v>51</v>
      </c>
      <c r="H25" t="s">
        <v>64</v>
      </c>
      <c r="I25" t="s">
        <v>89</v>
      </c>
      <c r="J25" t="s">
        <v>90</v>
      </c>
      <c r="K25">
        <v>824062</v>
      </c>
      <c r="L25" t="s">
        <v>115</v>
      </c>
      <c r="M25" t="s">
        <v>116</v>
      </c>
      <c r="N25" t="s">
        <v>57</v>
      </c>
      <c r="O25" s="1">
        <v>46023</v>
      </c>
      <c r="Q25" s="1">
        <v>46054</v>
      </c>
      <c r="R25" s="2">
        <v>139.78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629.04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104.84</v>
      </c>
      <c r="AM25" s="2">
        <v>0</v>
      </c>
      <c r="AN25" s="2">
        <v>629.04</v>
      </c>
      <c r="AO25" s="2">
        <v>0</v>
      </c>
      <c r="AP25" s="2">
        <v>0</v>
      </c>
      <c r="AQ25" s="2">
        <v>0</v>
      </c>
    </row>
    <row r="26" spans="1:43" x14ac:dyDescent="0.25">
      <c r="A26" s="1">
        <v>45985</v>
      </c>
      <c r="B26" t="s">
        <v>48</v>
      </c>
      <c r="C26">
        <v>649163</v>
      </c>
      <c r="D26">
        <v>2032257837</v>
      </c>
      <c r="E26" t="s">
        <v>138</v>
      </c>
      <c r="F26" t="s">
        <v>139</v>
      </c>
      <c r="G26" t="s">
        <v>51</v>
      </c>
      <c r="H26" t="s">
        <v>135</v>
      </c>
      <c r="I26" t="s">
        <v>89</v>
      </c>
      <c r="J26" t="s">
        <v>90</v>
      </c>
      <c r="K26">
        <v>673059</v>
      </c>
      <c r="L26" t="s">
        <v>70</v>
      </c>
      <c r="M26" t="s">
        <v>71</v>
      </c>
      <c r="N26" t="s">
        <v>57</v>
      </c>
      <c r="O26" s="1">
        <v>46023</v>
      </c>
      <c r="Q26" s="1">
        <v>46054</v>
      </c>
      <c r="R26" s="2">
        <v>100.83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453.72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75.62</v>
      </c>
      <c r="AM26" s="2">
        <v>0</v>
      </c>
      <c r="AN26" s="2">
        <v>453.72</v>
      </c>
      <c r="AO26" s="2">
        <v>0</v>
      </c>
      <c r="AP26" s="2">
        <v>0</v>
      </c>
      <c r="AQ26" s="2">
        <v>0</v>
      </c>
    </row>
    <row r="27" spans="1:43" x14ac:dyDescent="0.25">
      <c r="A27" s="1">
        <v>45985</v>
      </c>
      <c r="B27" t="s">
        <v>48</v>
      </c>
      <c r="C27">
        <v>649163</v>
      </c>
      <c r="D27">
        <v>2032259244</v>
      </c>
      <c r="E27" t="s">
        <v>140</v>
      </c>
      <c r="F27" t="s">
        <v>141</v>
      </c>
      <c r="G27" t="s">
        <v>51</v>
      </c>
      <c r="H27" t="s">
        <v>64</v>
      </c>
      <c r="I27" t="s">
        <v>89</v>
      </c>
      <c r="J27" t="s">
        <v>90</v>
      </c>
      <c r="K27">
        <v>813184</v>
      </c>
      <c r="L27" t="s">
        <v>142</v>
      </c>
      <c r="M27" t="s">
        <v>143</v>
      </c>
      <c r="N27" t="s">
        <v>57</v>
      </c>
      <c r="O27" s="1">
        <v>45981</v>
      </c>
      <c r="Q27" s="1">
        <v>46011</v>
      </c>
      <c r="R27" s="2">
        <v>49.35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222.06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37.01</v>
      </c>
      <c r="AM27" s="2">
        <v>0</v>
      </c>
      <c r="AN27" s="2">
        <v>222.06</v>
      </c>
      <c r="AO27" s="2">
        <v>0</v>
      </c>
      <c r="AP27" s="2">
        <v>0</v>
      </c>
      <c r="AQ27" s="2">
        <v>0</v>
      </c>
    </row>
    <row r="28" spans="1:43" x14ac:dyDescent="0.25">
      <c r="A28" s="1">
        <v>45985</v>
      </c>
      <c r="B28" t="s">
        <v>48</v>
      </c>
      <c r="C28">
        <v>649163</v>
      </c>
      <c r="D28">
        <v>2032293407</v>
      </c>
      <c r="E28" t="s">
        <v>144</v>
      </c>
      <c r="F28" t="s">
        <v>145</v>
      </c>
      <c r="G28" t="s">
        <v>51</v>
      </c>
      <c r="H28" t="s">
        <v>64</v>
      </c>
      <c r="I28" t="s">
        <v>89</v>
      </c>
      <c r="J28" t="s">
        <v>96</v>
      </c>
      <c r="K28">
        <v>824062</v>
      </c>
      <c r="L28" t="s">
        <v>115</v>
      </c>
      <c r="M28" t="s">
        <v>116</v>
      </c>
      <c r="N28" t="s">
        <v>57</v>
      </c>
      <c r="O28" s="1">
        <v>46023</v>
      </c>
      <c r="Q28" s="1">
        <v>46054</v>
      </c>
      <c r="R28" s="2">
        <v>72.67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392.4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65.400000000000006</v>
      </c>
      <c r="AM28" s="2">
        <v>0</v>
      </c>
      <c r="AN28" s="2">
        <v>392.4</v>
      </c>
      <c r="AO28" s="2">
        <v>0</v>
      </c>
      <c r="AP28" s="2">
        <v>0</v>
      </c>
      <c r="AQ28" s="2">
        <v>0</v>
      </c>
    </row>
    <row r="29" spans="1:43" x14ac:dyDescent="0.25">
      <c r="A29" s="1">
        <v>45985</v>
      </c>
      <c r="B29" t="s">
        <v>48</v>
      </c>
      <c r="C29">
        <v>649163</v>
      </c>
      <c r="D29">
        <v>2032293755</v>
      </c>
      <c r="E29" t="s">
        <v>146</v>
      </c>
      <c r="F29" t="s">
        <v>147</v>
      </c>
      <c r="G29" t="s">
        <v>51</v>
      </c>
      <c r="H29" t="s">
        <v>135</v>
      </c>
      <c r="I29" t="s">
        <v>89</v>
      </c>
      <c r="J29" t="s">
        <v>96</v>
      </c>
      <c r="K29">
        <v>822865</v>
      </c>
      <c r="L29" t="s">
        <v>148</v>
      </c>
      <c r="M29" t="s">
        <v>149</v>
      </c>
      <c r="N29" t="s">
        <v>57</v>
      </c>
      <c r="O29" s="1">
        <v>45983</v>
      </c>
      <c r="Q29" s="1">
        <v>46013</v>
      </c>
      <c r="R29" s="2">
        <v>27.48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148.38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24.73</v>
      </c>
      <c r="AM29" s="2">
        <v>0</v>
      </c>
      <c r="AN29" s="2">
        <v>148.38</v>
      </c>
      <c r="AO29" s="2">
        <v>0</v>
      </c>
      <c r="AP29" s="2">
        <v>0</v>
      </c>
      <c r="AQ29" s="2">
        <v>0</v>
      </c>
    </row>
    <row r="30" spans="1:43" x14ac:dyDescent="0.25">
      <c r="A30" s="1">
        <v>45985</v>
      </c>
      <c r="B30" t="s">
        <v>48</v>
      </c>
      <c r="C30">
        <v>649163</v>
      </c>
      <c r="D30">
        <v>2032297157</v>
      </c>
      <c r="E30" t="s">
        <v>150</v>
      </c>
      <c r="F30" t="s">
        <v>151</v>
      </c>
      <c r="G30" t="s">
        <v>51</v>
      </c>
      <c r="H30" t="s">
        <v>64</v>
      </c>
      <c r="I30" t="s">
        <v>89</v>
      </c>
      <c r="J30" t="s">
        <v>90</v>
      </c>
      <c r="K30">
        <v>766747</v>
      </c>
      <c r="L30" t="s">
        <v>122</v>
      </c>
      <c r="M30" t="s">
        <v>123</v>
      </c>
      <c r="N30" t="s">
        <v>57</v>
      </c>
      <c r="O30" s="1">
        <v>46023</v>
      </c>
      <c r="Q30" s="1">
        <v>46054</v>
      </c>
      <c r="R30" s="2">
        <v>54.25</v>
      </c>
      <c r="S30">
        <v>1</v>
      </c>
      <c r="T30" t="s">
        <v>58</v>
      </c>
      <c r="U30" t="s">
        <v>59</v>
      </c>
      <c r="V30" s="3">
        <v>0.75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244.14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40.69</v>
      </c>
      <c r="AM30" s="2">
        <v>0</v>
      </c>
      <c r="AN30" s="2">
        <v>244.14</v>
      </c>
      <c r="AO30" s="2">
        <v>0</v>
      </c>
      <c r="AP30" s="2">
        <v>0</v>
      </c>
      <c r="AQ30" s="2">
        <v>0</v>
      </c>
    </row>
    <row r="31" spans="1:43" x14ac:dyDescent="0.25">
      <c r="A31" s="1">
        <v>45985</v>
      </c>
      <c r="B31" t="s">
        <v>48</v>
      </c>
      <c r="C31">
        <v>649163</v>
      </c>
      <c r="D31">
        <v>2032307404</v>
      </c>
      <c r="E31" t="s">
        <v>152</v>
      </c>
      <c r="F31" t="s">
        <v>152</v>
      </c>
      <c r="G31" t="s">
        <v>51</v>
      </c>
      <c r="H31" t="s">
        <v>64</v>
      </c>
      <c r="I31" t="s">
        <v>89</v>
      </c>
      <c r="J31" t="s">
        <v>90</v>
      </c>
      <c r="K31">
        <v>824062</v>
      </c>
      <c r="L31" t="s">
        <v>115</v>
      </c>
      <c r="M31" t="s">
        <v>116</v>
      </c>
      <c r="N31" t="s">
        <v>57</v>
      </c>
      <c r="O31" s="1">
        <v>46023</v>
      </c>
      <c r="Q31" s="1">
        <v>46054</v>
      </c>
      <c r="R31" s="2">
        <v>37.28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167.76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27.96</v>
      </c>
      <c r="AM31" s="2">
        <v>0</v>
      </c>
      <c r="AN31" s="2">
        <v>167.76</v>
      </c>
      <c r="AO31" s="2">
        <v>0</v>
      </c>
      <c r="AP31" s="2">
        <v>0</v>
      </c>
      <c r="AQ31" s="2">
        <v>0</v>
      </c>
    </row>
    <row r="32" spans="1:43" x14ac:dyDescent="0.25">
      <c r="A32" s="1">
        <v>45985</v>
      </c>
      <c r="B32" t="s">
        <v>48</v>
      </c>
      <c r="C32">
        <v>649163</v>
      </c>
      <c r="D32">
        <v>2032307405</v>
      </c>
      <c r="E32" t="s">
        <v>152</v>
      </c>
      <c r="F32" t="s">
        <v>152</v>
      </c>
      <c r="G32" t="s">
        <v>51</v>
      </c>
      <c r="H32" t="s">
        <v>64</v>
      </c>
      <c r="I32" t="s">
        <v>89</v>
      </c>
      <c r="J32" t="s">
        <v>96</v>
      </c>
      <c r="K32">
        <v>824062</v>
      </c>
      <c r="L32" t="s">
        <v>115</v>
      </c>
      <c r="M32" t="s">
        <v>116</v>
      </c>
      <c r="N32" t="s">
        <v>57</v>
      </c>
      <c r="O32" s="1">
        <v>46023</v>
      </c>
      <c r="Q32" s="1">
        <v>46054</v>
      </c>
      <c r="R32" s="2">
        <v>84.41</v>
      </c>
      <c r="S32">
        <v>1</v>
      </c>
      <c r="T32" t="s">
        <v>58</v>
      </c>
      <c r="U32" t="s">
        <v>59</v>
      </c>
      <c r="V32" s="3">
        <v>0.9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455.82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75.97</v>
      </c>
      <c r="AM32" s="2">
        <v>0</v>
      </c>
      <c r="AN32" s="2">
        <v>455.82</v>
      </c>
      <c r="AO32" s="2">
        <v>0</v>
      </c>
      <c r="AP32" s="2">
        <v>0</v>
      </c>
      <c r="AQ32" s="2">
        <v>0</v>
      </c>
    </row>
    <row r="33" spans="1:43" x14ac:dyDescent="0.25">
      <c r="A33" s="1">
        <v>45985</v>
      </c>
      <c r="B33" t="s">
        <v>48</v>
      </c>
      <c r="C33">
        <v>649163</v>
      </c>
      <c r="D33">
        <v>2032311360</v>
      </c>
      <c r="E33" t="s">
        <v>153</v>
      </c>
      <c r="F33" t="s">
        <v>154</v>
      </c>
      <c r="G33" t="s">
        <v>51</v>
      </c>
      <c r="H33" t="s">
        <v>155</v>
      </c>
      <c r="I33" t="s">
        <v>89</v>
      </c>
      <c r="J33" t="s">
        <v>96</v>
      </c>
      <c r="K33">
        <v>767312</v>
      </c>
      <c r="L33" t="s">
        <v>156</v>
      </c>
      <c r="M33" t="s">
        <v>157</v>
      </c>
      <c r="N33" t="s">
        <v>57</v>
      </c>
      <c r="O33" s="1">
        <v>46023</v>
      </c>
      <c r="Q33" s="1">
        <v>46054</v>
      </c>
      <c r="R33" s="2">
        <v>119.25</v>
      </c>
      <c r="S33">
        <v>1</v>
      </c>
      <c r="T33" t="s">
        <v>58</v>
      </c>
      <c r="U33" t="s">
        <v>59</v>
      </c>
      <c r="V33" s="3">
        <v>0.9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643.91999999999996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107.32</v>
      </c>
      <c r="AM33" s="2">
        <v>0</v>
      </c>
      <c r="AN33" s="2">
        <v>643.91999999999996</v>
      </c>
      <c r="AO33" s="2">
        <v>0</v>
      </c>
      <c r="AP33" s="2">
        <v>0</v>
      </c>
      <c r="AQ33" s="2">
        <v>0</v>
      </c>
    </row>
    <row r="34" spans="1:43" x14ac:dyDescent="0.25">
      <c r="A34" s="1">
        <v>45985</v>
      </c>
      <c r="B34" t="s">
        <v>48</v>
      </c>
      <c r="C34">
        <v>649163</v>
      </c>
      <c r="D34">
        <v>2032123240</v>
      </c>
      <c r="E34" t="s">
        <v>158</v>
      </c>
      <c r="F34" t="s">
        <v>159</v>
      </c>
      <c r="G34" t="s">
        <v>51</v>
      </c>
      <c r="H34" t="s">
        <v>52</v>
      </c>
      <c r="I34" t="s">
        <v>160</v>
      </c>
      <c r="J34" t="s">
        <v>161</v>
      </c>
      <c r="K34">
        <v>929503</v>
      </c>
      <c r="L34" t="s">
        <v>162</v>
      </c>
      <c r="M34" t="s">
        <v>163</v>
      </c>
      <c r="N34" t="s">
        <v>57</v>
      </c>
      <c r="O34" s="1">
        <v>45992</v>
      </c>
      <c r="Q34" s="1">
        <v>46023</v>
      </c>
      <c r="R34" s="2">
        <v>15</v>
      </c>
      <c r="S34">
        <v>1</v>
      </c>
      <c r="T34" t="s">
        <v>58</v>
      </c>
      <c r="U34" t="s">
        <v>59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34.200000000000003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34.200000000000003</v>
      </c>
      <c r="AO34" s="2">
        <v>0</v>
      </c>
      <c r="AP34" s="2">
        <v>0</v>
      </c>
      <c r="AQ34" s="2">
        <v>0</v>
      </c>
    </row>
    <row r="35" spans="1:43" x14ac:dyDescent="0.25">
      <c r="A35" s="1">
        <v>45985</v>
      </c>
      <c r="B35" t="s">
        <v>48</v>
      </c>
      <c r="C35">
        <v>649163</v>
      </c>
      <c r="D35">
        <v>2032136867</v>
      </c>
      <c r="E35" t="s">
        <v>164</v>
      </c>
      <c r="F35" t="s">
        <v>165</v>
      </c>
      <c r="G35" t="s">
        <v>51</v>
      </c>
      <c r="H35" t="s">
        <v>166</v>
      </c>
      <c r="I35" t="s">
        <v>160</v>
      </c>
      <c r="J35" t="s">
        <v>167</v>
      </c>
      <c r="K35">
        <v>673059</v>
      </c>
      <c r="L35" t="s">
        <v>70</v>
      </c>
      <c r="M35" t="s">
        <v>71</v>
      </c>
      <c r="N35" t="s">
        <v>57</v>
      </c>
      <c r="O35" s="1">
        <v>46023</v>
      </c>
      <c r="Q35" s="1">
        <v>46054</v>
      </c>
      <c r="R35" s="2">
        <v>15</v>
      </c>
      <c r="S35">
        <v>1</v>
      </c>
      <c r="T35" t="s">
        <v>58</v>
      </c>
      <c r="U35" t="s">
        <v>168</v>
      </c>
      <c r="V35" s="3">
        <v>0.28999999999999998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26.1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4.3499999999999996</v>
      </c>
      <c r="AM35" s="2">
        <v>0</v>
      </c>
      <c r="AN35" s="2">
        <v>26.1</v>
      </c>
      <c r="AO35" s="2">
        <v>0</v>
      </c>
      <c r="AP35" s="2">
        <v>0</v>
      </c>
      <c r="AQ35" s="2">
        <v>0</v>
      </c>
    </row>
    <row r="36" spans="1:43" x14ac:dyDescent="0.25">
      <c r="A36" s="1">
        <v>45985</v>
      </c>
      <c r="B36" t="s">
        <v>48</v>
      </c>
      <c r="C36">
        <v>649163</v>
      </c>
      <c r="D36">
        <v>2032203620</v>
      </c>
      <c r="E36" t="s">
        <v>169</v>
      </c>
      <c r="F36" t="s">
        <v>170</v>
      </c>
      <c r="G36" t="s">
        <v>51</v>
      </c>
      <c r="H36" t="s">
        <v>105</v>
      </c>
      <c r="I36" t="s">
        <v>160</v>
      </c>
      <c r="J36" t="s">
        <v>167</v>
      </c>
      <c r="K36">
        <v>877182</v>
      </c>
      <c r="L36" t="s">
        <v>171</v>
      </c>
      <c r="M36" t="s">
        <v>172</v>
      </c>
      <c r="N36" t="s">
        <v>57</v>
      </c>
      <c r="O36" s="1">
        <v>45978</v>
      </c>
      <c r="Q36" s="1">
        <v>46008</v>
      </c>
      <c r="R36" s="2">
        <v>15</v>
      </c>
      <c r="S36">
        <v>1</v>
      </c>
      <c r="T36" t="s">
        <v>58</v>
      </c>
      <c r="U36" t="s">
        <v>173</v>
      </c>
      <c r="V36" s="3">
        <v>0.28999999999999998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4.3499999999999996</v>
      </c>
      <c r="AN36" s="2">
        <v>4.3499999999999996</v>
      </c>
      <c r="AO36" s="2">
        <v>0</v>
      </c>
      <c r="AP36" s="2">
        <v>0</v>
      </c>
      <c r="AQ36" s="2">
        <v>0</v>
      </c>
    </row>
    <row r="37" spans="1:43" x14ac:dyDescent="0.25">
      <c r="A37" s="1">
        <v>45985</v>
      </c>
      <c r="B37" t="s">
        <v>48</v>
      </c>
      <c r="C37">
        <v>649163</v>
      </c>
      <c r="D37">
        <v>2032210732</v>
      </c>
      <c r="E37" t="s">
        <v>174</v>
      </c>
      <c r="F37" t="s">
        <v>175</v>
      </c>
      <c r="G37" t="s">
        <v>51</v>
      </c>
      <c r="H37" t="s">
        <v>176</v>
      </c>
      <c r="I37" t="s">
        <v>160</v>
      </c>
      <c r="J37" t="s">
        <v>167</v>
      </c>
      <c r="K37">
        <v>820140</v>
      </c>
      <c r="L37" t="s">
        <v>177</v>
      </c>
      <c r="M37" t="s">
        <v>66</v>
      </c>
      <c r="N37" t="s">
        <v>57</v>
      </c>
      <c r="O37" s="1">
        <v>45992</v>
      </c>
      <c r="Q37" s="1">
        <v>46023</v>
      </c>
      <c r="R37" s="2">
        <v>15</v>
      </c>
      <c r="S37">
        <v>1</v>
      </c>
      <c r="T37" t="s">
        <v>58</v>
      </c>
      <c r="U37" t="s">
        <v>173</v>
      </c>
      <c r="V37" s="3">
        <v>0.09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1.35</v>
      </c>
      <c r="AN37" s="2">
        <v>1.35</v>
      </c>
      <c r="AO37" s="2">
        <v>0</v>
      </c>
      <c r="AP37" s="2">
        <v>0</v>
      </c>
      <c r="AQ37" s="2">
        <v>0</v>
      </c>
    </row>
    <row r="38" spans="1:43" x14ac:dyDescent="0.25">
      <c r="A38" s="1">
        <v>45985</v>
      </c>
      <c r="B38" t="s">
        <v>48</v>
      </c>
      <c r="C38">
        <v>649163</v>
      </c>
      <c r="D38">
        <v>2032226957</v>
      </c>
      <c r="E38" t="s">
        <v>178</v>
      </c>
      <c r="F38" t="s">
        <v>179</v>
      </c>
      <c r="G38" t="s">
        <v>51</v>
      </c>
      <c r="H38" t="s">
        <v>64</v>
      </c>
      <c r="I38" t="s">
        <v>160</v>
      </c>
      <c r="J38" t="s">
        <v>180</v>
      </c>
      <c r="K38">
        <v>820873</v>
      </c>
      <c r="L38" t="s">
        <v>101</v>
      </c>
      <c r="M38" t="s">
        <v>102</v>
      </c>
      <c r="N38" t="s">
        <v>57</v>
      </c>
      <c r="O38" s="1">
        <v>45992</v>
      </c>
      <c r="Q38" s="1">
        <v>46023</v>
      </c>
      <c r="R38" s="2">
        <v>15</v>
      </c>
      <c r="S38">
        <v>1</v>
      </c>
      <c r="T38" t="s">
        <v>58</v>
      </c>
      <c r="U38" t="s">
        <v>168</v>
      </c>
      <c r="V38" s="3">
        <v>0.38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34.200000000000003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5.7</v>
      </c>
      <c r="AM38" s="2">
        <v>0</v>
      </c>
      <c r="AN38" s="2">
        <v>34.200000000000003</v>
      </c>
      <c r="AO38" s="2">
        <v>0</v>
      </c>
      <c r="AP38" s="2">
        <v>0</v>
      </c>
      <c r="AQ38" s="2">
        <v>0</v>
      </c>
    </row>
    <row r="39" spans="1:43" x14ac:dyDescent="0.25">
      <c r="A39" s="1">
        <v>45985</v>
      </c>
      <c r="B39" t="s">
        <v>48</v>
      </c>
      <c r="C39">
        <v>649163</v>
      </c>
      <c r="D39">
        <v>2032235343</v>
      </c>
      <c r="E39" t="s">
        <v>181</v>
      </c>
      <c r="F39" t="s">
        <v>182</v>
      </c>
      <c r="G39" t="s">
        <v>51</v>
      </c>
      <c r="H39" t="s">
        <v>183</v>
      </c>
      <c r="I39" t="s">
        <v>160</v>
      </c>
      <c r="J39" t="s">
        <v>161</v>
      </c>
      <c r="K39">
        <v>650218</v>
      </c>
      <c r="L39" t="s">
        <v>55</v>
      </c>
      <c r="M39" t="s">
        <v>56</v>
      </c>
      <c r="N39" t="s">
        <v>57</v>
      </c>
      <c r="O39" s="1">
        <v>45980</v>
      </c>
      <c r="Q39" s="1">
        <v>46010</v>
      </c>
      <c r="R39" s="2">
        <v>15</v>
      </c>
      <c r="S39">
        <v>1</v>
      </c>
      <c r="T39" t="s">
        <v>58</v>
      </c>
      <c r="U39" t="s">
        <v>59</v>
      </c>
      <c r="V39" s="3">
        <v>0.38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34.200000000000003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5.7</v>
      </c>
      <c r="AM39" s="2">
        <v>0</v>
      </c>
      <c r="AN39" s="2">
        <v>34.200000000000003</v>
      </c>
      <c r="AO39" s="2">
        <v>0</v>
      </c>
      <c r="AP39" s="2">
        <v>0</v>
      </c>
      <c r="AQ39" s="2">
        <v>0</v>
      </c>
    </row>
    <row r="40" spans="1:43" x14ac:dyDescent="0.25">
      <c r="A40" s="1">
        <v>45985</v>
      </c>
      <c r="B40" t="s">
        <v>48</v>
      </c>
      <c r="C40">
        <v>649163</v>
      </c>
      <c r="D40">
        <v>2032238789</v>
      </c>
      <c r="E40" t="s">
        <v>133</v>
      </c>
      <c r="F40" t="s">
        <v>134</v>
      </c>
      <c r="G40" t="s">
        <v>51</v>
      </c>
      <c r="H40" t="s">
        <v>135</v>
      </c>
      <c r="I40" t="s">
        <v>160</v>
      </c>
      <c r="J40" t="s">
        <v>180</v>
      </c>
      <c r="K40">
        <v>673059</v>
      </c>
      <c r="L40" t="s">
        <v>70</v>
      </c>
      <c r="M40" t="s">
        <v>71</v>
      </c>
      <c r="N40" t="s">
        <v>57</v>
      </c>
      <c r="O40" s="1">
        <v>46023</v>
      </c>
      <c r="Q40" s="1">
        <v>46054</v>
      </c>
      <c r="R40" s="2">
        <v>15</v>
      </c>
      <c r="S40">
        <v>1</v>
      </c>
      <c r="T40" t="s">
        <v>58</v>
      </c>
      <c r="U40" t="s">
        <v>168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34.200000000000003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5.7</v>
      </c>
      <c r="AM40" s="2">
        <v>0</v>
      </c>
      <c r="AN40" s="2">
        <v>34.200000000000003</v>
      </c>
      <c r="AO40" s="2">
        <v>0</v>
      </c>
      <c r="AP40" s="2">
        <v>0</v>
      </c>
      <c r="AQ40" s="2">
        <v>0</v>
      </c>
    </row>
    <row r="41" spans="1:43" x14ac:dyDescent="0.25">
      <c r="A41" s="1">
        <v>45985</v>
      </c>
      <c r="B41" t="s">
        <v>48</v>
      </c>
      <c r="C41">
        <v>649163</v>
      </c>
      <c r="D41">
        <v>2032248635</v>
      </c>
      <c r="E41" t="s">
        <v>184</v>
      </c>
      <c r="F41" t="s">
        <v>185</v>
      </c>
      <c r="G41" t="s">
        <v>51</v>
      </c>
      <c r="H41" t="s">
        <v>64</v>
      </c>
      <c r="I41" t="s">
        <v>160</v>
      </c>
      <c r="J41" t="s">
        <v>161</v>
      </c>
      <c r="K41">
        <v>894525</v>
      </c>
      <c r="L41" t="s">
        <v>65</v>
      </c>
      <c r="M41" t="s">
        <v>66</v>
      </c>
      <c r="N41" t="s">
        <v>57</v>
      </c>
      <c r="O41" s="1">
        <v>46023</v>
      </c>
      <c r="Q41" s="1">
        <v>46054</v>
      </c>
      <c r="R41" s="2">
        <v>15</v>
      </c>
      <c r="S41">
        <v>1</v>
      </c>
      <c r="T41" t="s">
        <v>58</v>
      </c>
      <c r="U41" t="s">
        <v>59</v>
      </c>
      <c r="V41" s="3">
        <v>0.38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34.200000000000003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5.7</v>
      </c>
      <c r="AM41" s="2">
        <v>0</v>
      </c>
      <c r="AN41" s="2">
        <v>34.200000000000003</v>
      </c>
      <c r="AO41" s="2">
        <v>0</v>
      </c>
      <c r="AP41" s="2">
        <v>0</v>
      </c>
      <c r="AQ41" s="2">
        <v>0</v>
      </c>
    </row>
    <row r="42" spans="1:43" x14ac:dyDescent="0.25">
      <c r="A42" s="1">
        <v>45985</v>
      </c>
      <c r="B42" t="s">
        <v>48</v>
      </c>
      <c r="C42">
        <v>649163</v>
      </c>
      <c r="D42">
        <v>2032254516</v>
      </c>
      <c r="E42" t="s">
        <v>186</v>
      </c>
      <c r="F42" t="s">
        <v>187</v>
      </c>
      <c r="G42" t="s">
        <v>51</v>
      </c>
      <c r="H42" t="s">
        <v>64</v>
      </c>
      <c r="I42" t="s">
        <v>160</v>
      </c>
      <c r="J42" t="s">
        <v>161</v>
      </c>
      <c r="K42">
        <v>894525</v>
      </c>
      <c r="L42" t="s">
        <v>65</v>
      </c>
      <c r="M42" t="s">
        <v>66</v>
      </c>
      <c r="N42" t="s">
        <v>57</v>
      </c>
      <c r="O42" s="1">
        <v>46023</v>
      </c>
      <c r="Q42" s="1">
        <v>46054</v>
      </c>
      <c r="R42" s="2">
        <v>15</v>
      </c>
      <c r="S42">
        <v>1</v>
      </c>
      <c r="T42" t="s">
        <v>58</v>
      </c>
      <c r="U42" t="s">
        <v>59</v>
      </c>
      <c r="V42" s="3">
        <v>0.38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34.200000000000003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5.7</v>
      </c>
      <c r="AM42" s="2">
        <v>0</v>
      </c>
      <c r="AN42" s="2">
        <v>34.200000000000003</v>
      </c>
      <c r="AO42" s="2">
        <v>0</v>
      </c>
      <c r="AP42" s="2">
        <v>0</v>
      </c>
      <c r="AQ42" s="2">
        <v>0</v>
      </c>
    </row>
    <row r="43" spans="1:43" x14ac:dyDescent="0.25">
      <c r="A43" s="1">
        <v>45985</v>
      </c>
      <c r="B43" t="s">
        <v>48</v>
      </c>
      <c r="C43">
        <v>649163</v>
      </c>
      <c r="D43">
        <v>2032261892</v>
      </c>
      <c r="E43" t="s">
        <v>188</v>
      </c>
      <c r="F43" t="s">
        <v>189</v>
      </c>
      <c r="G43" t="s">
        <v>51</v>
      </c>
      <c r="H43" t="s">
        <v>64</v>
      </c>
      <c r="I43" t="s">
        <v>160</v>
      </c>
      <c r="J43" t="s">
        <v>161</v>
      </c>
      <c r="K43">
        <v>894525</v>
      </c>
      <c r="L43" t="s">
        <v>65</v>
      </c>
      <c r="M43" t="s">
        <v>66</v>
      </c>
      <c r="N43" t="s">
        <v>57</v>
      </c>
      <c r="O43" s="1">
        <v>46023</v>
      </c>
      <c r="Q43" s="1">
        <v>46054</v>
      </c>
      <c r="R43" s="2">
        <v>15</v>
      </c>
      <c r="S43">
        <v>1</v>
      </c>
      <c r="T43" t="s">
        <v>58</v>
      </c>
      <c r="U43" t="s">
        <v>59</v>
      </c>
      <c r="V43" s="3">
        <v>0.38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34.200000000000003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5.7</v>
      </c>
      <c r="AM43" s="2">
        <v>0</v>
      </c>
      <c r="AN43" s="2">
        <v>34.200000000000003</v>
      </c>
      <c r="AO43" s="2">
        <v>0</v>
      </c>
      <c r="AP43" s="2">
        <v>0</v>
      </c>
      <c r="AQ43" s="2">
        <v>0</v>
      </c>
    </row>
    <row r="44" spans="1:43" x14ac:dyDescent="0.25">
      <c r="A44" s="1">
        <v>45985</v>
      </c>
      <c r="B44" t="s">
        <v>48</v>
      </c>
      <c r="C44">
        <v>649163</v>
      </c>
      <c r="D44">
        <v>2032274712</v>
      </c>
      <c r="E44" t="s">
        <v>190</v>
      </c>
      <c r="F44" t="s">
        <v>191</v>
      </c>
      <c r="G44" t="s">
        <v>51</v>
      </c>
      <c r="H44" t="s">
        <v>64</v>
      </c>
      <c r="I44" t="s">
        <v>160</v>
      </c>
      <c r="J44" t="s">
        <v>161</v>
      </c>
      <c r="K44">
        <v>894525</v>
      </c>
      <c r="L44" t="s">
        <v>65</v>
      </c>
      <c r="M44" t="s">
        <v>66</v>
      </c>
      <c r="N44" t="s">
        <v>57</v>
      </c>
      <c r="O44" s="1">
        <v>46023</v>
      </c>
      <c r="Q44" s="1">
        <v>46054</v>
      </c>
      <c r="R44" s="2">
        <v>15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34.200000000000003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5.7</v>
      </c>
      <c r="AM44" s="2">
        <v>0</v>
      </c>
      <c r="AN44" s="2">
        <v>34.200000000000003</v>
      </c>
      <c r="AO44" s="2">
        <v>0</v>
      </c>
      <c r="AP44" s="2">
        <v>0</v>
      </c>
      <c r="AQ44" s="2">
        <v>0</v>
      </c>
    </row>
    <row r="45" spans="1:43" x14ac:dyDescent="0.25">
      <c r="A45" s="1">
        <v>45985</v>
      </c>
      <c r="B45" t="s">
        <v>48</v>
      </c>
      <c r="C45">
        <v>649163</v>
      </c>
      <c r="D45">
        <v>2032279006</v>
      </c>
      <c r="E45" t="s">
        <v>192</v>
      </c>
      <c r="F45" t="s">
        <v>193</v>
      </c>
      <c r="G45" t="s">
        <v>51</v>
      </c>
      <c r="H45" t="s">
        <v>64</v>
      </c>
      <c r="I45" t="s">
        <v>160</v>
      </c>
      <c r="J45" t="s">
        <v>161</v>
      </c>
      <c r="K45">
        <v>894525</v>
      </c>
      <c r="L45" t="s">
        <v>65</v>
      </c>
      <c r="M45" t="s">
        <v>66</v>
      </c>
      <c r="N45" t="s">
        <v>57</v>
      </c>
      <c r="O45" s="1">
        <v>46023</v>
      </c>
      <c r="Q45" s="1">
        <v>46054</v>
      </c>
      <c r="R45" s="2">
        <v>15</v>
      </c>
      <c r="S45">
        <v>1</v>
      </c>
      <c r="T45" t="s">
        <v>58</v>
      </c>
      <c r="U45" t="s">
        <v>59</v>
      </c>
      <c r="V45" s="3">
        <v>0.38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34.200000000000003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5.7</v>
      </c>
      <c r="AM45" s="2">
        <v>0</v>
      </c>
      <c r="AN45" s="2">
        <v>34.200000000000003</v>
      </c>
      <c r="AO45" s="2">
        <v>0</v>
      </c>
      <c r="AP45" s="2">
        <v>0</v>
      </c>
      <c r="AQ45" s="2">
        <v>0</v>
      </c>
    </row>
    <row r="46" spans="1:43" x14ac:dyDescent="0.25">
      <c r="A46" s="1">
        <v>45985</v>
      </c>
      <c r="B46" t="s">
        <v>48</v>
      </c>
      <c r="C46">
        <v>649163</v>
      </c>
      <c r="D46">
        <v>2032032433</v>
      </c>
      <c r="E46" t="s">
        <v>194</v>
      </c>
      <c r="F46" t="s">
        <v>195</v>
      </c>
      <c r="G46" t="s">
        <v>51</v>
      </c>
      <c r="H46" t="s">
        <v>64</v>
      </c>
      <c r="I46" t="s">
        <v>196</v>
      </c>
      <c r="J46" t="s">
        <v>197</v>
      </c>
      <c r="K46">
        <v>824076</v>
      </c>
      <c r="L46" t="s">
        <v>198</v>
      </c>
      <c r="M46" t="s">
        <v>199</v>
      </c>
      <c r="N46" t="s">
        <v>57</v>
      </c>
      <c r="O46" s="1">
        <v>45985</v>
      </c>
      <c r="Q46" s="1">
        <v>46015</v>
      </c>
      <c r="R46" s="2">
        <v>158.56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356.76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59.46</v>
      </c>
      <c r="AM46" s="2">
        <v>0</v>
      </c>
      <c r="AN46" s="2">
        <v>356.76</v>
      </c>
      <c r="AO46" s="2">
        <v>0</v>
      </c>
      <c r="AP46" s="2">
        <v>0</v>
      </c>
      <c r="AQ46" s="2">
        <v>0</v>
      </c>
    </row>
    <row r="47" spans="1:43" x14ac:dyDescent="0.25">
      <c r="A47" s="1">
        <v>45985</v>
      </c>
      <c r="B47" t="s">
        <v>48</v>
      </c>
      <c r="C47">
        <v>649163</v>
      </c>
      <c r="D47">
        <v>2032184182</v>
      </c>
      <c r="E47" t="s">
        <v>200</v>
      </c>
      <c r="F47" t="s">
        <v>201</v>
      </c>
      <c r="G47" t="s">
        <v>51</v>
      </c>
      <c r="H47" t="s">
        <v>166</v>
      </c>
      <c r="I47" t="s">
        <v>196</v>
      </c>
      <c r="J47" t="s">
        <v>197</v>
      </c>
      <c r="K47">
        <v>897073</v>
      </c>
      <c r="L47" t="s">
        <v>202</v>
      </c>
      <c r="M47" t="s">
        <v>203</v>
      </c>
      <c r="N47" t="s">
        <v>57</v>
      </c>
      <c r="O47" s="1">
        <v>45981</v>
      </c>
      <c r="Q47" s="1">
        <v>46011</v>
      </c>
      <c r="R47" s="2">
        <v>27.46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61.8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10.3</v>
      </c>
      <c r="AM47" s="2">
        <v>0</v>
      </c>
      <c r="AN47" s="2">
        <v>61.8</v>
      </c>
      <c r="AO47" s="2">
        <v>0</v>
      </c>
      <c r="AP47" s="2">
        <v>0</v>
      </c>
      <c r="AQ47" s="2">
        <v>0</v>
      </c>
    </row>
    <row r="48" spans="1:43" x14ac:dyDescent="0.25">
      <c r="A48" s="1">
        <v>45985</v>
      </c>
      <c r="B48" t="s">
        <v>48</v>
      </c>
      <c r="C48">
        <v>649163</v>
      </c>
      <c r="D48">
        <v>2032206790</v>
      </c>
      <c r="E48" t="s">
        <v>204</v>
      </c>
      <c r="F48" t="s">
        <v>205</v>
      </c>
      <c r="G48" t="s">
        <v>51</v>
      </c>
      <c r="H48" t="s">
        <v>52</v>
      </c>
      <c r="I48" t="s">
        <v>196</v>
      </c>
      <c r="J48" t="s">
        <v>197</v>
      </c>
      <c r="K48">
        <v>751867</v>
      </c>
      <c r="L48" t="s">
        <v>82</v>
      </c>
      <c r="M48" t="s">
        <v>83</v>
      </c>
      <c r="N48" t="s">
        <v>57</v>
      </c>
      <c r="O48" s="1">
        <v>45979</v>
      </c>
      <c r="Q48" s="1">
        <v>46009</v>
      </c>
      <c r="R48" s="2">
        <v>37.549999999999997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84.48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14.08</v>
      </c>
      <c r="AM48" s="2">
        <v>0</v>
      </c>
      <c r="AN48" s="2">
        <v>84.48</v>
      </c>
      <c r="AO48" s="2">
        <v>0</v>
      </c>
      <c r="AP48" s="2">
        <v>0</v>
      </c>
      <c r="AQ48" s="2">
        <v>0</v>
      </c>
    </row>
    <row r="49" spans="1:43" x14ac:dyDescent="0.25">
      <c r="A49" s="1">
        <v>45985</v>
      </c>
      <c r="B49" t="s">
        <v>48</v>
      </c>
      <c r="C49">
        <v>649163</v>
      </c>
      <c r="D49">
        <v>2032206979</v>
      </c>
      <c r="E49" t="s">
        <v>206</v>
      </c>
      <c r="F49" t="s">
        <v>207</v>
      </c>
      <c r="G49" t="s">
        <v>51</v>
      </c>
      <c r="H49" t="s">
        <v>208</v>
      </c>
      <c r="I49" t="s">
        <v>196</v>
      </c>
      <c r="J49" t="s">
        <v>197</v>
      </c>
      <c r="K49">
        <v>812656</v>
      </c>
      <c r="L49" t="s">
        <v>209</v>
      </c>
      <c r="M49" t="s">
        <v>210</v>
      </c>
      <c r="N49" t="s">
        <v>57</v>
      </c>
      <c r="O49" s="1">
        <v>45979</v>
      </c>
      <c r="Q49" s="1">
        <v>46009</v>
      </c>
      <c r="R49" s="2">
        <v>54.83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123.36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20.56</v>
      </c>
      <c r="AM49" s="2">
        <v>0</v>
      </c>
      <c r="AN49" s="2">
        <v>123.36</v>
      </c>
      <c r="AO49" s="2">
        <v>0</v>
      </c>
      <c r="AP49" s="2">
        <v>0</v>
      </c>
      <c r="AQ49" s="2">
        <v>0</v>
      </c>
    </row>
    <row r="50" spans="1:43" x14ac:dyDescent="0.25">
      <c r="A50" s="1">
        <v>45985</v>
      </c>
      <c r="B50" t="s">
        <v>48</v>
      </c>
      <c r="C50">
        <v>649163</v>
      </c>
      <c r="D50">
        <v>2032208389</v>
      </c>
      <c r="E50" t="s">
        <v>108</v>
      </c>
      <c r="F50" t="s">
        <v>68</v>
      </c>
      <c r="G50" t="s">
        <v>51</v>
      </c>
      <c r="H50" t="s">
        <v>109</v>
      </c>
      <c r="I50" t="s">
        <v>196</v>
      </c>
      <c r="J50" t="s">
        <v>197</v>
      </c>
      <c r="K50">
        <v>816021</v>
      </c>
      <c r="L50" t="s">
        <v>111</v>
      </c>
      <c r="M50" t="s">
        <v>112</v>
      </c>
      <c r="N50" t="s">
        <v>57</v>
      </c>
      <c r="O50" s="1">
        <v>45979</v>
      </c>
      <c r="Q50" s="1">
        <v>46009</v>
      </c>
      <c r="R50" s="2">
        <v>47.28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106.38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17.73</v>
      </c>
      <c r="AM50" s="2">
        <v>0</v>
      </c>
      <c r="AN50" s="2">
        <v>106.38</v>
      </c>
      <c r="AO50" s="2">
        <v>0</v>
      </c>
      <c r="AP50" s="2">
        <v>0</v>
      </c>
      <c r="AQ50" s="2">
        <v>0</v>
      </c>
    </row>
    <row r="51" spans="1:43" x14ac:dyDescent="0.25">
      <c r="A51" s="1">
        <v>45985</v>
      </c>
      <c r="B51" t="s">
        <v>48</v>
      </c>
      <c r="C51">
        <v>649163</v>
      </c>
      <c r="D51">
        <v>2032216441</v>
      </c>
      <c r="E51" t="s">
        <v>211</v>
      </c>
      <c r="F51" t="s">
        <v>212</v>
      </c>
      <c r="G51" t="s">
        <v>51</v>
      </c>
      <c r="H51" t="s">
        <v>135</v>
      </c>
      <c r="I51" t="s">
        <v>196</v>
      </c>
      <c r="J51" t="s">
        <v>197</v>
      </c>
      <c r="K51">
        <v>806645</v>
      </c>
      <c r="L51" t="s">
        <v>213</v>
      </c>
      <c r="M51" t="s">
        <v>214</v>
      </c>
      <c r="N51" t="s">
        <v>57</v>
      </c>
      <c r="O51" s="1">
        <v>45979</v>
      </c>
      <c r="Q51" s="1">
        <v>46009</v>
      </c>
      <c r="R51" s="2">
        <v>36.03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81.06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13.51</v>
      </c>
      <c r="AM51" s="2">
        <v>0</v>
      </c>
      <c r="AN51" s="2">
        <v>81.06</v>
      </c>
      <c r="AO51" s="2">
        <v>0</v>
      </c>
      <c r="AP51" s="2">
        <v>0</v>
      </c>
      <c r="AQ51" s="2">
        <v>0</v>
      </c>
    </row>
    <row r="52" spans="1:43" x14ac:dyDescent="0.25">
      <c r="A52" s="1">
        <v>45985</v>
      </c>
      <c r="B52" t="s">
        <v>48</v>
      </c>
      <c r="C52">
        <v>649163</v>
      </c>
      <c r="D52">
        <v>2032218110</v>
      </c>
      <c r="E52" t="s">
        <v>113</v>
      </c>
      <c r="F52" t="s">
        <v>114</v>
      </c>
      <c r="G52" t="s">
        <v>51</v>
      </c>
      <c r="H52" t="s">
        <v>64</v>
      </c>
      <c r="I52" t="s">
        <v>196</v>
      </c>
      <c r="J52" t="s">
        <v>197</v>
      </c>
      <c r="K52">
        <v>824062</v>
      </c>
      <c r="L52" t="s">
        <v>115</v>
      </c>
      <c r="M52" t="s">
        <v>116</v>
      </c>
      <c r="N52" t="s">
        <v>57</v>
      </c>
      <c r="O52" s="1">
        <v>46023</v>
      </c>
      <c r="Q52" s="1">
        <v>46054</v>
      </c>
      <c r="R52" s="2">
        <v>152.33000000000001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342.72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57.12</v>
      </c>
      <c r="AM52" s="2">
        <v>0</v>
      </c>
      <c r="AN52" s="2">
        <v>342.72</v>
      </c>
      <c r="AO52" s="2">
        <v>0</v>
      </c>
      <c r="AP52" s="2">
        <v>0</v>
      </c>
      <c r="AQ52" s="2">
        <v>0</v>
      </c>
    </row>
    <row r="53" spans="1:43" x14ac:dyDescent="0.25">
      <c r="A53" s="1">
        <v>45985</v>
      </c>
      <c r="B53" t="s">
        <v>48</v>
      </c>
      <c r="C53">
        <v>649163</v>
      </c>
      <c r="D53">
        <v>2032222105</v>
      </c>
      <c r="E53" t="s">
        <v>215</v>
      </c>
      <c r="F53" t="s">
        <v>216</v>
      </c>
      <c r="G53" t="s">
        <v>51</v>
      </c>
      <c r="H53" t="s">
        <v>109</v>
      </c>
      <c r="I53" t="s">
        <v>196</v>
      </c>
      <c r="J53" t="s">
        <v>197</v>
      </c>
      <c r="K53">
        <v>816021</v>
      </c>
      <c r="L53" t="s">
        <v>111</v>
      </c>
      <c r="M53" t="s">
        <v>112</v>
      </c>
      <c r="N53" t="s">
        <v>57</v>
      </c>
      <c r="O53" s="1">
        <v>45979</v>
      </c>
      <c r="Q53" s="1">
        <v>46009</v>
      </c>
      <c r="R53" s="2">
        <v>138.78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312.24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52.04</v>
      </c>
      <c r="AM53" s="2">
        <v>0</v>
      </c>
      <c r="AN53" s="2">
        <v>312.24</v>
      </c>
      <c r="AO53" s="2">
        <v>0</v>
      </c>
      <c r="AP53" s="2">
        <v>0</v>
      </c>
      <c r="AQ53" s="2">
        <v>0</v>
      </c>
    </row>
    <row r="54" spans="1:43" x14ac:dyDescent="0.25">
      <c r="A54" s="1">
        <v>45985</v>
      </c>
      <c r="B54" t="s">
        <v>48</v>
      </c>
      <c r="C54">
        <v>649163</v>
      </c>
      <c r="D54">
        <v>2032223334</v>
      </c>
      <c r="E54" t="s">
        <v>217</v>
      </c>
      <c r="F54" t="s">
        <v>218</v>
      </c>
      <c r="G54" t="s">
        <v>51</v>
      </c>
      <c r="H54" t="s">
        <v>219</v>
      </c>
      <c r="I54" t="s">
        <v>196</v>
      </c>
      <c r="J54" t="s">
        <v>197</v>
      </c>
      <c r="K54">
        <v>822733</v>
      </c>
      <c r="L54" t="s">
        <v>220</v>
      </c>
      <c r="M54" t="s">
        <v>221</v>
      </c>
      <c r="N54" t="s">
        <v>57</v>
      </c>
      <c r="O54" s="1">
        <v>45980</v>
      </c>
      <c r="Q54" s="1">
        <v>46010</v>
      </c>
      <c r="R54" s="2">
        <v>44.86</v>
      </c>
      <c r="S54">
        <v>1</v>
      </c>
      <c r="T54" t="s">
        <v>58</v>
      </c>
      <c r="U54" t="s">
        <v>59</v>
      </c>
      <c r="V54" s="4">
        <v>0.375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100.92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16.82</v>
      </c>
      <c r="AM54" s="2">
        <v>0</v>
      </c>
      <c r="AN54" s="2">
        <v>100.92</v>
      </c>
      <c r="AO54" s="2">
        <v>0</v>
      </c>
      <c r="AP54" s="2">
        <v>0</v>
      </c>
      <c r="AQ54" s="2">
        <v>0</v>
      </c>
    </row>
    <row r="55" spans="1:43" x14ac:dyDescent="0.25">
      <c r="A55" s="1">
        <v>45985</v>
      </c>
      <c r="B55" t="s">
        <v>48</v>
      </c>
      <c r="C55">
        <v>649163</v>
      </c>
      <c r="D55">
        <v>2032227315</v>
      </c>
      <c r="E55" t="s">
        <v>222</v>
      </c>
      <c r="F55" t="s">
        <v>223</v>
      </c>
      <c r="G55" t="s">
        <v>51</v>
      </c>
      <c r="H55" t="s">
        <v>224</v>
      </c>
      <c r="I55" t="s">
        <v>196</v>
      </c>
      <c r="J55" t="s">
        <v>197</v>
      </c>
      <c r="K55">
        <v>767312</v>
      </c>
      <c r="L55" t="s">
        <v>156</v>
      </c>
      <c r="M55" t="s">
        <v>157</v>
      </c>
      <c r="N55" t="s">
        <v>57</v>
      </c>
      <c r="O55" s="1">
        <v>45980</v>
      </c>
      <c r="Q55" s="1">
        <v>46010</v>
      </c>
      <c r="R55" s="2">
        <v>29.5</v>
      </c>
      <c r="S55">
        <v>1</v>
      </c>
      <c r="T55" t="s">
        <v>58</v>
      </c>
      <c r="U55" t="s">
        <v>59</v>
      </c>
      <c r="V55" s="4">
        <v>0.375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66.36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11.06</v>
      </c>
      <c r="AM55" s="2">
        <v>0</v>
      </c>
      <c r="AN55" s="2">
        <v>66.36</v>
      </c>
      <c r="AO55" s="2">
        <v>0</v>
      </c>
      <c r="AP55" s="2">
        <v>0</v>
      </c>
      <c r="AQ55" s="2">
        <v>0</v>
      </c>
    </row>
    <row r="56" spans="1:43" x14ac:dyDescent="0.25">
      <c r="A56" s="1">
        <v>45985</v>
      </c>
      <c r="B56" t="s">
        <v>48</v>
      </c>
      <c r="C56">
        <v>649163</v>
      </c>
      <c r="D56">
        <v>2032232357</v>
      </c>
      <c r="E56" t="s">
        <v>127</v>
      </c>
      <c r="F56" t="s">
        <v>128</v>
      </c>
      <c r="G56" t="s">
        <v>51</v>
      </c>
      <c r="H56" t="s">
        <v>129</v>
      </c>
      <c r="I56" t="s">
        <v>196</v>
      </c>
      <c r="J56" t="s">
        <v>197</v>
      </c>
      <c r="K56">
        <v>824062</v>
      </c>
      <c r="L56" t="s">
        <v>115</v>
      </c>
      <c r="M56" t="s">
        <v>116</v>
      </c>
      <c r="N56" t="s">
        <v>57</v>
      </c>
      <c r="O56" s="1">
        <v>46023</v>
      </c>
      <c r="Q56" s="1">
        <v>46054</v>
      </c>
      <c r="R56" s="2">
        <v>216.53</v>
      </c>
      <c r="S56">
        <v>1</v>
      </c>
      <c r="T56" t="s">
        <v>58</v>
      </c>
      <c r="U56" t="s">
        <v>59</v>
      </c>
      <c r="V56" s="4">
        <v>0.375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487.2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81.2</v>
      </c>
      <c r="AM56" s="2">
        <v>0</v>
      </c>
      <c r="AN56" s="2">
        <v>487.2</v>
      </c>
      <c r="AO56" s="2">
        <v>0</v>
      </c>
      <c r="AP56" s="2">
        <v>0</v>
      </c>
      <c r="AQ56" s="2">
        <v>0</v>
      </c>
    </row>
    <row r="57" spans="1:43" x14ac:dyDescent="0.25">
      <c r="A57" s="1">
        <v>45985</v>
      </c>
      <c r="B57" t="s">
        <v>48</v>
      </c>
      <c r="C57">
        <v>649163</v>
      </c>
      <c r="D57">
        <v>2032233322</v>
      </c>
      <c r="E57" t="s">
        <v>225</v>
      </c>
      <c r="F57" t="s">
        <v>226</v>
      </c>
      <c r="G57" t="s">
        <v>51</v>
      </c>
      <c r="H57" t="s">
        <v>64</v>
      </c>
      <c r="I57" t="s">
        <v>196</v>
      </c>
      <c r="J57" t="s">
        <v>197</v>
      </c>
      <c r="K57">
        <v>843573</v>
      </c>
      <c r="L57" t="s">
        <v>227</v>
      </c>
      <c r="M57" t="s">
        <v>228</v>
      </c>
      <c r="N57" t="s">
        <v>57</v>
      </c>
      <c r="O57" s="1">
        <v>45981</v>
      </c>
      <c r="Q57" s="1">
        <v>46011</v>
      </c>
      <c r="R57" s="2">
        <v>77.48</v>
      </c>
      <c r="S57">
        <v>1</v>
      </c>
      <c r="T57" t="s">
        <v>58</v>
      </c>
      <c r="U57" t="s">
        <v>59</v>
      </c>
      <c r="V57" s="4">
        <v>0.375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174.36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29.06</v>
      </c>
      <c r="AM57" s="2">
        <v>0</v>
      </c>
      <c r="AN57" s="2">
        <v>174.36</v>
      </c>
      <c r="AO57" s="2">
        <v>0</v>
      </c>
      <c r="AP57" s="2">
        <v>0</v>
      </c>
      <c r="AQ57" s="2">
        <v>0</v>
      </c>
    </row>
    <row r="58" spans="1:43" x14ac:dyDescent="0.25">
      <c r="A58" s="1">
        <v>45985</v>
      </c>
      <c r="B58" t="s">
        <v>48</v>
      </c>
      <c r="C58">
        <v>649163</v>
      </c>
      <c r="D58">
        <v>2032234326</v>
      </c>
      <c r="E58" t="s">
        <v>229</v>
      </c>
      <c r="F58" t="s">
        <v>230</v>
      </c>
      <c r="G58" t="s">
        <v>51</v>
      </c>
      <c r="H58" t="s">
        <v>64</v>
      </c>
      <c r="I58" t="s">
        <v>196</v>
      </c>
      <c r="J58" t="s">
        <v>197</v>
      </c>
      <c r="K58">
        <v>768887</v>
      </c>
      <c r="L58" t="s">
        <v>231</v>
      </c>
      <c r="M58" t="s">
        <v>232</v>
      </c>
      <c r="N58" t="s">
        <v>57</v>
      </c>
      <c r="O58" s="1">
        <v>45980</v>
      </c>
      <c r="Q58" s="1">
        <v>46010</v>
      </c>
      <c r="R58" s="2">
        <v>77.48</v>
      </c>
      <c r="S58">
        <v>1</v>
      </c>
      <c r="T58" t="s">
        <v>58</v>
      </c>
      <c r="U58" t="s">
        <v>59</v>
      </c>
      <c r="V58" s="4">
        <v>0.375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174.36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29.06</v>
      </c>
      <c r="AM58" s="2">
        <v>0</v>
      </c>
      <c r="AN58" s="2">
        <v>174.36</v>
      </c>
      <c r="AO58" s="2">
        <v>0</v>
      </c>
      <c r="AP58" s="2">
        <v>0</v>
      </c>
      <c r="AQ58" s="2">
        <v>0</v>
      </c>
    </row>
    <row r="59" spans="1:43" x14ac:dyDescent="0.25">
      <c r="A59" s="1">
        <v>45985</v>
      </c>
      <c r="B59" t="s">
        <v>48</v>
      </c>
      <c r="C59">
        <v>649163</v>
      </c>
      <c r="D59">
        <v>2032235342</v>
      </c>
      <c r="E59" t="s">
        <v>181</v>
      </c>
      <c r="F59" t="s">
        <v>182</v>
      </c>
      <c r="G59" t="s">
        <v>51</v>
      </c>
      <c r="H59" t="s">
        <v>183</v>
      </c>
      <c r="I59" t="s">
        <v>196</v>
      </c>
      <c r="J59" t="s">
        <v>197</v>
      </c>
      <c r="K59">
        <v>650218</v>
      </c>
      <c r="L59" t="s">
        <v>55</v>
      </c>
      <c r="M59" t="s">
        <v>56</v>
      </c>
      <c r="N59" t="s">
        <v>57</v>
      </c>
      <c r="O59" s="1">
        <v>45980</v>
      </c>
      <c r="Q59" s="1">
        <v>46010</v>
      </c>
      <c r="R59" s="2">
        <v>26.7</v>
      </c>
      <c r="S59">
        <v>1</v>
      </c>
      <c r="T59" t="s">
        <v>58</v>
      </c>
      <c r="U59" t="s">
        <v>59</v>
      </c>
      <c r="V59" s="4">
        <v>0.375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60.06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10.01</v>
      </c>
      <c r="AM59" s="2">
        <v>0</v>
      </c>
      <c r="AN59" s="2">
        <v>60.06</v>
      </c>
      <c r="AO59" s="2">
        <v>0</v>
      </c>
      <c r="AP59" s="2">
        <v>0</v>
      </c>
      <c r="AQ59" s="2">
        <v>0</v>
      </c>
    </row>
    <row r="60" spans="1:43" x14ac:dyDescent="0.25">
      <c r="A60" s="1">
        <v>45985</v>
      </c>
      <c r="B60" t="s">
        <v>48</v>
      </c>
      <c r="C60">
        <v>649163</v>
      </c>
      <c r="D60">
        <v>2032235781</v>
      </c>
      <c r="E60" t="s">
        <v>130</v>
      </c>
      <c r="F60" t="s">
        <v>131</v>
      </c>
      <c r="G60" t="s">
        <v>51</v>
      </c>
      <c r="H60" t="s">
        <v>132</v>
      </c>
      <c r="I60" t="s">
        <v>196</v>
      </c>
      <c r="J60" t="s">
        <v>197</v>
      </c>
      <c r="K60">
        <v>824062</v>
      </c>
      <c r="L60" t="s">
        <v>115</v>
      </c>
      <c r="M60" t="s">
        <v>116</v>
      </c>
      <c r="N60" t="s">
        <v>57</v>
      </c>
      <c r="O60" s="1">
        <v>46023</v>
      </c>
      <c r="Q60" s="1">
        <v>46054</v>
      </c>
      <c r="R60" s="2">
        <v>61.93</v>
      </c>
      <c r="S60">
        <v>1</v>
      </c>
      <c r="T60" t="s">
        <v>58</v>
      </c>
      <c r="U60" t="s">
        <v>59</v>
      </c>
      <c r="V60" s="4">
        <v>0.375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139.32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23.22</v>
      </c>
      <c r="AM60" s="2">
        <v>0</v>
      </c>
      <c r="AN60" s="2">
        <v>139.32</v>
      </c>
      <c r="AO60" s="2">
        <v>0</v>
      </c>
      <c r="AP60" s="2">
        <v>0</v>
      </c>
      <c r="AQ60" s="2">
        <v>0</v>
      </c>
    </row>
    <row r="61" spans="1:43" x14ac:dyDescent="0.25">
      <c r="A61" s="1">
        <v>45985</v>
      </c>
      <c r="B61" t="s">
        <v>48</v>
      </c>
      <c r="C61">
        <v>649163</v>
      </c>
      <c r="D61">
        <v>2032239925</v>
      </c>
      <c r="E61" t="s">
        <v>233</v>
      </c>
      <c r="F61" t="s">
        <v>234</v>
      </c>
      <c r="G61" t="s">
        <v>51</v>
      </c>
      <c r="H61" t="s">
        <v>235</v>
      </c>
      <c r="I61" t="s">
        <v>196</v>
      </c>
      <c r="J61" t="s">
        <v>197</v>
      </c>
      <c r="K61">
        <v>751867</v>
      </c>
      <c r="L61" t="s">
        <v>82</v>
      </c>
      <c r="M61" t="s">
        <v>83</v>
      </c>
      <c r="N61" t="s">
        <v>57</v>
      </c>
      <c r="O61" s="1">
        <v>45980</v>
      </c>
      <c r="Q61" s="1">
        <v>46010</v>
      </c>
      <c r="R61" s="2">
        <v>43.28</v>
      </c>
      <c r="S61">
        <v>1</v>
      </c>
      <c r="T61" t="s">
        <v>58</v>
      </c>
      <c r="U61" t="s">
        <v>59</v>
      </c>
      <c r="V61" s="4">
        <v>0.375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97.38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16.23</v>
      </c>
      <c r="AM61" s="2">
        <v>0</v>
      </c>
      <c r="AN61" s="2">
        <v>97.38</v>
      </c>
      <c r="AO61" s="2">
        <v>0</v>
      </c>
      <c r="AP61" s="2">
        <v>0</v>
      </c>
      <c r="AQ61" s="2">
        <v>0</v>
      </c>
    </row>
    <row r="62" spans="1:43" x14ac:dyDescent="0.25">
      <c r="A62" s="1">
        <v>45985</v>
      </c>
      <c r="B62" t="s">
        <v>48</v>
      </c>
      <c r="C62">
        <v>649163</v>
      </c>
      <c r="D62">
        <v>2032249285</v>
      </c>
      <c r="E62" t="s">
        <v>136</v>
      </c>
      <c r="F62" t="s">
        <v>137</v>
      </c>
      <c r="G62" t="s">
        <v>51</v>
      </c>
      <c r="H62" t="s">
        <v>64</v>
      </c>
      <c r="I62" t="s">
        <v>196</v>
      </c>
      <c r="J62" t="s">
        <v>197</v>
      </c>
      <c r="K62">
        <v>824062</v>
      </c>
      <c r="L62" t="s">
        <v>115</v>
      </c>
      <c r="M62" t="s">
        <v>116</v>
      </c>
      <c r="N62" t="s">
        <v>57</v>
      </c>
      <c r="O62" s="1">
        <v>46023</v>
      </c>
      <c r="Q62" s="1">
        <v>46054</v>
      </c>
      <c r="R62" s="2">
        <v>152.33000000000001</v>
      </c>
      <c r="S62">
        <v>1</v>
      </c>
      <c r="T62" t="s">
        <v>58</v>
      </c>
      <c r="U62" t="s">
        <v>59</v>
      </c>
      <c r="V62" s="4">
        <v>0.375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342.72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57.12</v>
      </c>
      <c r="AM62" s="2">
        <v>0</v>
      </c>
      <c r="AN62" s="2">
        <v>342.72</v>
      </c>
      <c r="AO62" s="2">
        <v>0</v>
      </c>
      <c r="AP62" s="2">
        <v>0</v>
      </c>
      <c r="AQ62" s="2">
        <v>0</v>
      </c>
    </row>
    <row r="63" spans="1:43" x14ac:dyDescent="0.25">
      <c r="A63" s="1">
        <v>45985</v>
      </c>
      <c r="B63" t="s">
        <v>48</v>
      </c>
      <c r="C63">
        <v>649163</v>
      </c>
      <c r="D63">
        <v>2032250176</v>
      </c>
      <c r="E63" t="s">
        <v>236</v>
      </c>
      <c r="F63" t="s">
        <v>195</v>
      </c>
      <c r="G63" t="s">
        <v>51</v>
      </c>
      <c r="H63" t="s">
        <v>64</v>
      </c>
      <c r="I63" t="s">
        <v>196</v>
      </c>
      <c r="J63" t="s">
        <v>197</v>
      </c>
      <c r="K63">
        <v>813184</v>
      </c>
      <c r="L63" t="s">
        <v>142</v>
      </c>
      <c r="M63" t="s">
        <v>143</v>
      </c>
      <c r="N63" t="s">
        <v>57</v>
      </c>
      <c r="O63" s="1">
        <v>45981</v>
      </c>
      <c r="Q63" s="1">
        <v>46011</v>
      </c>
      <c r="R63" s="2">
        <v>53.87</v>
      </c>
      <c r="S63">
        <v>1</v>
      </c>
      <c r="T63" t="s">
        <v>58</v>
      </c>
      <c r="U63" t="s">
        <v>59</v>
      </c>
      <c r="V63" s="4">
        <v>0.375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121.2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20.2</v>
      </c>
      <c r="AM63" s="2">
        <v>0</v>
      </c>
      <c r="AN63" s="2">
        <v>121.2</v>
      </c>
      <c r="AO63" s="2">
        <v>0</v>
      </c>
      <c r="AP63" s="2">
        <v>0</v>
      </c>
      <c r="AQ63" s="2">
        <v>0</v>
      </c>
    </row>
    <row r="64" spans="1:43" x14ac:dyDescent="0.25">
      <c r="A64" s="1">
        <v>45985</v>
      </c>
      <c r="B64" t="s">
        <v>48</v>
      </c>
      <c r="C64">
        <v>649163</v>
      </c>
      <c r="D64">
        <v>2032253423</v>
      </c>
      <c r="E64" t="s">
        <v>237</v>
      </c>
      <c r="F64" t="s">
        <v>238</v>
      </c>
      <c r="G64" t="s">
        <v>51</v>
      </c>
      <c r="H64" t="s">
        <v>64</v>
      </c>
      <c r="I64" t="s">
        <v>196</v>
      </c>
      <c r="J64" t="s">
        <v>197</v>
      </c>
      <c r="K64">
        <v>824062</v>
      </c>
      <c r="L64" t="s">
        <v>115</v>
      </c>
      <c r="M64" t="s">
        <v>116</v>
      </c>
      <c r="N64" t="s">
        <v>57</v>
      </c>
      <c r="O64" s="1">
        <v>46023</v>
      </c>
      <c r="Q64" s="1">
        <v>46054</v>
      </c>
      <c r="R64" s="2">
        <v>160.96</v>
      </c>
      <c r="S64">
        <v>1</v>
      </c>
      <c r="T64" t="s">
        <v>58</v>
      </c>
      <c r="U64" t="s">
        <v>59</v>
      </c>
      <c r="V64" s="4">
        <v>0.375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362.16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60.36</v>
      </c>
      <c r="AM64" s="2">
        <v>0</v>
      </c>
      <c r="AN64" s="2">
        <v>362.16</v>
      </c>
      <c r="AO64" s="2">
        <v>0</v>
      </c>
      <c r="AP64" s="2">
        <v>0</v>
      </c>
      <c r="AQ64" s="2">
        <v>0</v>
      </c>
    </row>
    <row r="65" spans="1:43" x14ac:dyDescent="0.25">
      <c r="A65" s="1">
        <v>45985</v>
      </c>
      <c r="B65" t="s">
        <v>48</v>
      </c>
      <c r="C65">
        <v>649163</v>
      </c>
      <c r="D65">
        <v>2032254535</v>
      </c>
      <c r="E65" t="s">
        <v>239</v>
      </c>
      <c r="F65" t="s">
        <v>240</v>
      </c>
      <c r="G65" t="s">
        <v>51</v>
      </c>
      <c r="H65" t="s">
        <v>64</v>
      </c>
      <c r="I65" t="s">
        <v>196</v>
      </c>
      <c r="J65" t="s">
        <v>197</v>
      </c>
      <c r="K65">
        <v>824062</v>
      </c>
      <c r="L65" t="s">
        <v>115</v>
      </c>
      <c r="M65" t="s">
        <v>116</v>
      </c>
      <c r="N65" t="s">
        <v>57</v>
      </c>
      <c r="O65" s="1">
        <v>46023</v>
      </c>
      <c r="Q65" s="1">
        <v>46054</v>
      </c>
      <c r="R65" s="2">
        <v>152.33000000000001</v>
      </c>
      <c r="S65">
        <v>1</v>
      </c>
      <c r="T65" t="s">
        <v>58</v>
      </c>
      <c r="U65" t="s">
        <v>59</v>
      </c>
      <c r="V65" s="4">
        <v>0.375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342.72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57.12</v>
      </c>
      <c r="AM65" s="2">
        <v>0</v>
      </c>
      <c r="AN65" s="2">
        <v>342.72</v>
      </c>
      <c r="AO65" s="2">
        <v>0</v>
      </c>
      <c r="AP65" s="2">
        <v>0</v>
      </c>
      <c r="AQ65" s="2">
        <v>0</v>
      </c>
    </row>
    <row r="66" spans="1:43" x14ac:dyDescent="0.25">
      <c r="A66" s="1">
        <v>45985</v>
      </c>
      <c r="B66" t="s">
        <v>48</v>
      </c>
      <c r="C66">
        <v>649163</v>
      </c>
      <c r="D66">
        <v>2032256024</v>
      </c>
      <c r="E66" t="s">
        <v>241</v>
      </c>
      <c r="F66" t="s">
        <v>242</v>
      </c>
      <c r="G66" t="s">
        <v>51</v>
      </c>
      <c r="H66" t="s">
        <v>109</v>
      </c>
      <c r="I66" t="s">
        <v>196</v>
      </c>
      <c r="J66" t="s">
        <v>197</v>
      </c>
      <c r="K66">
        <v>796984</v>
      </c>
      <c r="L66" t="s">
        <v>243</v>
      </c>
      <c r="M66" t="s">
        <v>81</v>
      </c>
      <c r="N66" t="s">
        <v>57</v>
      </c>
      <c r="O66" s="1">
        <v>45981</v>
      </c>
      <c r="Q66" s="1">
        <v>46011</v>
      </c>
      <c r="R66" s="2">
        <v>71.760000000000005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161.46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26.91</v>
      </c>
      <c r="AM66" s="2">
        <v>0</v>
      </c>
      <c r="AN66" s="2">
        <v>161.46</v>
      </c>
      <c r="AO66" s="2">
        <v>0</v>
      </c>
      <c r="AP66" s="2">
        <v>0</v>
      </c>
      <c r="AQ66" s="2">
        <v>0</v>
      </c>
    </row>
    <row r="67" spans="1:43" x14ac:dyDescent="0.25">
      <c r="A67" s="1">
        <v>45985</v>
      </c>
      <c r="B67" t="s">
        <v>48</v>
      </c>
      <c r="C67">
        <v>649163</v>
      </c>
      <c r="D67">
        <v>2032257734</v>
      </c>
      <c r="E67" t="s">
        <v>244</v>
      </c>
      <c r="F67" t="s">
        <v>245</v>
      </c>
      <c r="G67" t="s">
        <v>51</v>
      </c>
      <c r="H67" t="s">
        <v>64</v>
      </c>
      <c r="I67" t="s">
        <v>196</v>
      </c>
      <c r="J67" t="s">
        <v>197</v>
      </c>
      <c r="K67">
        <v>824062</v>
      </c>
      <c r="L67" t="s">
        <v>115</v>
      </c>
      <c r="M67" t="s">
        <v>116</v>
      </c>
      <c r="N67" t="s">
        <v>57</v>
      </c>
      <c r="O67" s="1">
        <v>46023</v>
      </c>
      <c r="Q67" s="1">
        <v>46054</v>
      </c>
      <c r="R67" s="2">
        <v>261.47000000000003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588.29999999999995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98.05</v>
      </c>
      <c r="AM67" s="2">
        <v>0</v>
      </c>
      <c r="AN67" s="2">
        <v>588.29999999999995</v>
      </c>
      <c r="AO67" s="2">
        <v>0</v>
      </c>
      <c r="AP67" s="2">
        <v>0</v>
      </c>
      <c r="AQ67" s="2">
        <v>0</v>
      </c>
    </row>
    <row r="68" spans="1:43" x14ac:dyDescent="0.25">
      <c r="A68" s="1">
        <v>45985</v>
      </c>
      <c r="B68" t="s">
        <v>48</v>
      </c>
      <c r="C68">
        <v>649163</v>
      </c>
      <c r="D68">
        <v>2032257838</v>
      </c>
      <c r="E68" t="s">
        <v>138</v>
      </c>
      <c r="F68" t="s">
        <v>139</v>
      </c>
      <c r="G68" t="s">
        <v>51</v>
      </c>
      <c r="H68" t="s">
        <v>135</v>
      </c>
      <c r="I68" t="s">
        <v>196</v>
      </c>
      <c r="J68" t="s">
        <v>197</v>
      </c>
      <c r="K68">
        <v>673059</v>
      </c>
      <c r="L68" t="s">
        <v>70</v>
      </c>
      <c r="M68" t="s">
        <v>71</v>
      </c>
      <c r="N68" t="s">
        <v>57</v>
      </c>
      <c r="O68" s="1">
        <v>46023</v>
      </c>
      <c r="Q68" s="1">
        <v>46054</v>
      </c>
      <c r="R68" s="2">
        <v>28.82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64.86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10.81</v>
      </c>
      <c r="AM68" s="2">
        <v>0</v>
      </c>
      <c r="AN68" s="2">
        <v>64.86</v>
      </c>
      <c r="AO68" s="2">
        <v>0</v>
      </c>
      <c r="AP68" s="2">
        <v>0</v>
      </c>
      <c r="AQ68" s="2">
        <v>0</v>
      </c>
    </row>
    <row r="69" spans="1:43" x14ac:dyDescent="0.25">
      <c r="A69" s="1">
        <v>45985</v>
      </c>
      <c r="B69" t="s">
        <v>48</v>
      </c>
      <c r="C69">
        <v>649163</v>
      </c>
      <c r="D69">
        <v>2032259245</v>
      </c>
      <c r="E69" t="s">
        <v>140</v>
      </c>
      <c r="F69" t="s">
        <v>141</v>
      </c>
      <c r="G69" t="s">
        <v>51</v>
      </c>
      <c r="H69" t="s">
        <v>64</v>
      </c>
      <c r="I69" t="s">
        <v>196</v>
      </c>
      <c r="J69" t="s">
        <v>197</v>
      </c>
      <c r="K69">
        <v>813184</v>
      </c>
      <c r="L69" t="s">
        <v>142</v>
      </c>
      <c r="M69" t="s">
        <v>143</v>
      </c>
      <c r="N69" t="s">
        <v>57</v>
      </c>
      <c r="O69" s="1">
        <v>45981</v>
      </c>
      <c r="Q69" s="1">
        <v>46011</v>
      </c>
      <c r="R69" s="2">
        <v>53.87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121.2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20.2</v>
      </c>
      <c r="AM69" s="2">
        <v>0</v>
      </c>
      <c r="AN69" s="2">
        <v>121.2</v>
      </c>
      <c r="AO69" s="2">
        <v>0</v>
      </c>
      <c r="AP69" s="2">
        <v>0</v>
      </c>
      <c r="AQ69" s="2">
        <v>0</v>
      </c>
    </row>
    <row r="70" spans="1:43" x14ac:dyDescent="0.25">
      <c r="A70" s="1">
        <v>45985</v>
      </c>
      <c r="B70" t="s">
        <v>48</v>
      </c>
      <c r="C70">
        <v>649163</v>
      </c>
      <c r="D70">
        <v>2032270276</v>
      </c>
      <c r="E70" t="s">
        <v>246</v>
      </c>
      <c r="F70" t="s">
        <v>247</v>
      </c>
      <c r="G70" t="s">
        <v>51</v>
      </c>
      <c r="H70" t="s">
        <v>135</v>
      </c>
      <c r="I70" t="s">
        <v>196</v>
      </c>
      <c r="J70" t="s">
        <v>197</v>
      </c>
      <c r="K70">
        <v>813184</v>
      </c>
      <c r="L70" t="s">
        <v>142</v>
      </c>
      <c r="M70" t="s">
        <v>143</v>
      </c>
      <c r="N70" t="s">
        <v>57</v>
      </c>
      <c r="O70" s="1">
        <v>45982</v>
      </c>
      <c r="Q70" s="1">
        <v>46012</v>
      </c>
      <c r="R70" s="2">
        <v>41.29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92.88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15.48</v>
      </c>
      <c r="AM70" s="2">
        <v>0</v>
      </c>
      <c r="AN70" s="2">
        <v>92.88</v>
      </c>
      <c r="AO70" s="2">
        <v>0</v>
      </c>
      <c r="AP70" s="2">
        <v>0</v>
      </c>
      <c r="AQ70" s="2">
        <v>0</v>
      </c>
    </row>
    <row r="71" spans="1:43" x14ac:dyDescent="0.25">
      <c r="A71" s="1">
        <v>45985</v>
      </c>
      <c r="B71" t="s">
        <v>48</v>
      </c>
      <c r="C71">
        <v>649163</v>
      </c>
      <c r="D71">
        <v>2032273117</v>
      </c>
      <c r="E71" t="s">
        <v>80</v>
      </c>
      <c r="F71" t="s">
        <v>81</v>
      </c>
      <c r="G71" t="s">
        <v>51</v>
      </c>
      <c r="H71" t="s">
        <v>52</v>
      </c>
      <c r="I71" t="s">
        <v>196</v>
      </c>
      <c r="J71" t="s">
        <v>197</v>
      </c>
      <c r="K71">
        <v>751867</v>
      </c>
      <c r="L71" t="s">
        <v>82</v>
      </c>
      <c r="M71" t="s">
        <v>83</v>
      </c>
      <c r="N71" t="s">
        <v>57</v>
      </c>
      <c r="O71" s="1">
        <v>45992</v>
      </c>
      <c r="Q71" s="1">
        <v>46023</v>
      </c>
      <c r="R71" s="2">
        <v>46.59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104.82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17.47</v>
      </c>
      <c r="AM71" s="2">
        <v>0</v>
      </c>
      <c r="AN71" s="2">
        <v>104.82</v>
      </c>
      <c r="AO71" s="2">
        <v>0</v>
      </c>
      <c r="AP71" s="2">
        <v>0</v>
      </c>
      <c r="AQ71" s="2">
        <v>0</v>
      </c>
    </row>
    <row r="72" spans="1:43" x14ac:dyDescent="0.25">
      <c r="A72" s="1">
        <v>45985</v>
      </c>
      <c r="B72" t="s">
        <v>48</v>
      </c>
      <c r="C72">
        <v>649163</v>
      </c>
      <c r="D72">
        <v>2032293405</v>
      </c>
      <c r="E72" t="s">
        <v>144</v>
      </c>
      <c r="F72" t="s">
        <v>145</v>
      </c>
      <c r="G72" t="s">
        <v>51</v>
      </c>
      <c r="H72" t="s">
        <v>64</v>
      </c>
      <c r="I72" t="s">
        <v>196</v>
      </c>
      <c r="J72" t="s">
        <v>197</v>
      </c>
      <c r="K72">
        <v>824062</v>
      </c>
      <c r="L72" t="s">
        <v>115</v>
      </c>
      <c r="M72" t="s">
        <v>116</v>
      </c>
      <c r="N72" t="s">
        <v>57</v>
      </c>
      <c r="O72" s="1">
        <v>46023</v>
      </c>
      <c r="Q72" s="1">
        <v>46054</v>
      </c>
      <c r="R72" s="2">
        <v>78.760000000000005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177.24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29.54</v>
      </c>
      <c r="AM72" s="2">
        <v>0</v>
      </c>
      <c r="AN72" s="2">
        <v>177.24</v>
      </c>
      <c r="AO72" s="2">
        <v>0</v>
      </c>
      <c r="AP72" s="2">
        <v>0</v>
      </c>
      <c r="AQ72" s="2">
        <v>0</v>
      </c>
    </row>
    <row r="73" spans="1:43" x14ac:dyDescent="0.25">
      <c r="A73" s="1">
        <v>45985</v>
      </c>
      <c r="B73" t="s">
        <v>48</v>
      </c>
      <c r="C73">
        <v>649163</v>
      </c>
      <c r="D73">
        <v>2032296528</v>
      </c>
      <c r="E73" t="s">
        <v>248</v>
      </c>
      <c r="F73" t="s">
        <v>249</v>
      </c>
      <c r="G73" t="s">
        <v>51</v>
      </c>
      <c r="H73" t="s">
        <v>64</v>
      </c>
      <c r="I73" t="s">
        <v>196</v>
      </c>
      <c r="J73" t="s">
        <v>197</v>
      </c>
      <c r="K73">
        <v>814033</v>
      </c>
      <c r="L73" t="s">
        <v>250</v>
      </c>
      <c r="M73" t="s">
        <v>251</v>
      </c>
      <c r="N73" t="s">
        <v>57</v>
      </c>
      <c r="O73" s="1">
        <v>46023</v>
      </c>
      <c r="Q73" s="1">
        <v>46054</v>
      </c>
      <c r="R73" s="2">
        <v>54.7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123.06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20.51</v>
      </c>
      <c r="AM73" s="2">
        <v>0</v>
      </c>
      <c r="AN73" s="2">
        <v>123.06</v>
      </c>
      <c r="AO73" s="2">
        <v>0</v>
      </c>
      <c r="AP73" s="2">
        <v>0</v>
      </c>
      <c r="AQ73" s="2">
        <v>0</v>
      </c>
    </row>
    <row r="74" spans="1:43" x14ac:dyDescent="0.25">
      <c r="A74" s="1">
        <v>45985</v>
      </c>
      <c r="B74" t="s">
        <v>48</v>
      </c>
      <c r="C74">
        <v>649163</v>
      </c>
      <c r="D74">
        <v>2032305550</v>
      </c>
      <c r="E74" t="s">
        <v>252</v>
      </c>
      <c r="F74" t="s">
        <v>253</v>
      </c>
      <c r="G74" t="s">
        <v>51</v>
      </c>
      <c r="H74" t="s">
        <v>64</v>
      </c>
      <c r="I74" t="s">
        <v>196</v>
      </c>
      <c r="J74" t="s">
        <v>197</v>
      </c>
      <c r="K74">
        <v>824062</v>
      </c>
      <c r="L74" t="s">
        <v>115</v>
      </c>
      <c r="M74" t="s">
        <v>116</v>
      </c>
      <c r="N74" t="s">
        <v>57</v>
      </c>
      <c r="O74" s="1">
        <v>46023</v>
      </c>
      <c r="Q74" s="1">
        <v>46054</v>
      </c>
      <c r="R74" s="2">
        <v>78.760000000000005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177.24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29.54</v>
      </c>
      <c r="AM74" s="2">
        <v>0</v>
      </c>
      <c r="AN74" s="2">
        <v>177.24</v>
      </c>
      <c r="AO74" s="2">
        <v>0</v>
      </c>
      <c r="AP74" s="2">
        <v>0</v>
      </c>
      <c r="AQ74" s="2">
        <v>0</v>
      </c>
    </row>
    <row r="75" spans="1:43" x14ac:dyDescent="0.25">
      <c r="A75" s="1">
        <v>45985</v>
      </c>
      <c r="B75" t="s">
        <v>48</v>
      </c>
      <c r="C75">
        <v>649163</v>
      </c>
      <c r="D75">
        <v>2032307402</v>
      </c>
      <c r="E75" t="s">
        <v>152</v>
      </c>
      <c r="F75" t="s">
        <v>152</v>
      </c>
      <c r="G75" t="s">
        <v>51</v>
      </c>
      <c r="H75" t="s">
        <v>64</v>
      </c>
      <c r="I75" t="s">
        <v>196</v>
      </c>
      <c r="J75" t="s">
        <v>197</v>
      </c>
      <c r="K75">
        <v>824062</v>
      </c>
      <c r="L75" t="s">
        <v>115</v>
      </c>
      <c r="M75" t="s">
        <v>116</v>
      </c>
      <c r="N75" t="s">
        <v>57</v>
      </c>
      <c r="O75" s="1">
        <v>46023</v>
      </c>
      <c r="Q75" s="1">
        <v>46054</v>
      </c>
      <c r="R75" s="2">
        <v>78.760000000000005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177.24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29.54</v>
      </c>
      <c r="AM75" s="2">
        <v>0</v>
      </c>
      <c r="AN75" s="2">
        <v>177.24</v>
      </c>
      <c r="AO75" s="2">
        <v>0</v>
      </c>
      <c r="AP75" s="2">
        <v>0</v>
      </c>
      <c r="AQ75" s="2">
        <v>0</v>
      </c>
    </row>
    <row r="76" spans="1:43" x14ac:dyDescent="0.25">
      <c r="A76" s="1">
        <v>45985</v>
      </c>
      <c r="B76" t="s">
        <v>48</v>
      </c>
      <c r="C76">
        <v>649163</v>
      </c>
      <c r="D76">
        <v>2032311362</v>
      </c>
      <c r="E76" t="s">
        <v>153</v>
      </c>
      <c r="F76" t="s">
        <v>154</v>
      </c>
      <c r="G76" t="s">
        <v>51</v>
      </c>
      <c r="H76" t="s">
        <v>155</v>
      </c>
      <c r="I76" t="s">
        <v>196</v>
      </c>
      <c r="J76" t="s">
        <v>197</v>
      </c>
      <c r="K76">
        <v>767312</v>
      </c>
      <c r="L76" t="s">
        <v>156</v>
      </c>
      <c r="M76" t="s">
        <v>157</v>
      </c>
      <c r="N76" t="s">
        <v>57</v>
      </c>
      <c r="O76" s="1">
        <v>46023</v>
      </c>
      <c r="Q76" s="1">
        <v>46054</v>
      </c>
      <c r="R76" s="2">
        <v>26.86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60.42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10.07</v>
      </c>
      <c r="AM76" s="2">
        <v>0</v>
      </c>
      <c r="AN76" s="2">
        <v>60.42</v>
      </c>
      <c r="AO76" s="2">
        <v>0</v>
      </c>
      <c r="AP76" s="2">
        <v>0</v>
      </c>
      <c r="AQ76" s="2">
        <v>0</v>
      </c>
    </row>
    <row r="77" spans="1:43" x14ac:dyDescent="0.25">
      <c r="A77" s="1">
        <v>45985</v>
      </c>
      <c r="B77" t="s">
        <v>48</v>
      </c>
      <c r="C77">
        <v>649163</v>
      </c>
      <c r="D77">
        <v>2032320010</v>
      </c>
      <c r="E77" t="s">
        <v>254</v>
      </c>
      <c r="F77" t="s">
        <v>255</v>
      </c>
      <c r="G77" t="s">
        <v>51</v>
      </c>
      <c r="H77" t="s">
        <v>135</v>
      </c>
      <c r="I77" t="s">
        <v>196</v>
      </c>
      <c r="J77" t="s">
        <v>197</v>
      </c>
      <c r="K77">
        <v>839554</v>
      </c>
      <c r="L77" t="s">
        <v>256</v>
      </c>
      <c r="M77" t="s">
        <v>257</v>
      </c>
      <c r="N77" t="s">
        <v>57</v>
      </c>
      <c r="O77" s="1">
        <v>45984</v>
      </c>
      <c r="Q77" s="1">
        <v>46014</v>
      </c>
      <c r="R77" s="2">
        <v>69.3</v>
      </c>
      <c r="S77">
        <v>1</v>
      </c>
      <c r="T77" t="s">
        <v>58</v>
      </c>
      <c r="U77" t="s">
        <v>59</v>
      </c>
      <c r="V77" s="4">
        <v>0.375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155.94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25.99</v>
      </c>
      <c r="AM77" s="2">
        <v>0</v>
      </c>
      <c r="AN77" s="2">
        <v>155.94</v>
      </c>
      <c r="AO77" s="2">
        <v>0</v>
      </c>
      <c r="AP77" s="2">
        <v>0</v>
      </c>
      <c r="AQ77" s="2">
        <v>0</v>
      </c>
    </row>
    <row r="78" spans="1:43" x14ac:dyDescent="0.25">
      <c r="A78" s="1">
        <v>45985</v>
      </c>
      <c r="B78" t="s">
        <v>48</v>
      </c>
      <c r="C78">
        <v>649163</v>
      </c>
      <c r="D78">
        <v>2032123239</v>
      </c>
      <c r="E78" t="s">
        <v>158</v>
      </c>
      <c r="F78" t="s">
        <v>159</v>
      </c>
      <c r="G78" t="s">
        <v>51</v>
      </c>
      <c r="H78" t="s">
        <v>52</v>
      </c>
      <c r="I78" t="s">
        <v>258</v>
      </c>
      <c r="J78" t="s">
        <v>259</v>
      </c>
      <c r="K78">
        <v>929503</v>
      </c>
      <c r="L78" t="s">
        <v>162</v>
      </c>
      <c r="M78" t="s">
        <v>163</v>
      </c>
      <c r="N78" t="s">
        <v>57</v>
      </c>
      <c r="O78" s="1">
        <v>45992</v>
      </c>
      <c r="Q78" s="1">
        <v>46023</v>
      </c>
      <c r="R78" s="2">
        <v>55.16</v>
      </c>
      <c r="S78">
        <v>1</v>
      </c>
      <c r="T78" t="s">
        <v>58</v>
      </c>
      <c r="U78" t="s">
        <v>59</v>
      </c>
      <c r="V78" s="3">
        <v>0.38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125.76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20.96</v>
      </c>
      <c r="AM78" s="2">
        <v>0</v>
      </c>
      <c r="AN78" s="2">
        <v>125.76</v>
      </c>
      <c r="AO78" s="2">
        <v>0</v>
      </c>
      <c r="AP78" s="2">
        <v>0</v>
      </c>
      <c r="AQ78" s="2">
        <v>0</v>
      </c>
    </row>
    <row r="79" spans="1:43" x14ac:dyDescent="0.25">
      <c r="A79" s="1">
        <v>45985</v>
      </c>
      <c r="B79" t="s">
        <v>48</v>
      </c>
      <c r="C79">
        <v>649163</v>
      </c>
      <c r="D79">
        <v>2032204739</v>
      </c>
      <c r="E79" t="s">
        <v>49</v>
      </c>
      <c r="F79" t="s">
        <v>50</v>
      </c>
      <c r="G79" t="s">
        <v>51</v>
      </c>
      <c r="H79" t="s">
        <v>52</v>
      </c>
      <c r="I79" t="s">
        <v>258</v>
      </c>
      <c r="J79" t="s">
        <v>259</v>
      </c>
      <c r="K79">
        <v>650218</v>
      </c>
      <c r="L79" t="s">
        <v>55</v>
      </c>
      <c r="M79" t="s">
        <v>56</v>
      </c>
      <c r="N79" t="s">
        <v>57</v>
      </c>
      <c r="O79" s="1">
        <v>45992</v>
      </c>
      <c r="Q79" s="1">
        <v>46023</v>
      </c>
      <c r="R79" s="2">
        <v>61.39</v>
      </c>
      <c r="S79">
        <v>1</v>
      </c>
      <c r="T79" t="s">
        <v>58</v>
      </c>
      <c r="U79" t="s">
        <v>59</v>
      </c>
      <c r="V79" s="3">
        <v>0.38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139.97999999999999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23.33</v>
      </c>
      <c r="AM79" s="2">
        <v>0</v>
      </c>
      <c r="AN79" s="2">
        <v>139.97999999999999</v>
      </c>
      <c r="AO79" s="2">
        <v>0</v>
      </c>
      <c r="AP79" s="2">
        <v>0</v>
      </c>
      <c r="AQ79" s="2">
        <v>0</v>
      </c>
    </row>
    <row r="80" spans="1:43" x14ac:dyDescent="0.25">
      <c r="A80" s="1">
        <v>45985</v>
      </c>
      <c r="B80" t="s">
        <v>48</v>
      </c>
      <c r="C80">
        <v>649163</v>
      </c>
      <c r="D80">
        <v>2032208386</v>
      </c>
      <c r="E80" t="s">
        <v>108</v>
      </c>
      <c r="F80" t="s">
        <v>68</v>
      </c>
      <c r="G80" t="s">
        <v>51</v>
      </c>
      <c r="H80" t="s">
        <v>109</v>
      </c>
      <c r="I80" t="s">
        <v>258</v>
      </c>
      <c r="J80" t="s">
        <v>259</v>
      </c>
      <c r="K80">
        <v>816021</v>
      </c>
      <c r="L80" t="s">
        <v>111</v>
      </c>
      <c r="M80" t="s">
        <v>112</v>
      </c>
      <c r="N80" t="s">
        <v>57</v>
      </c>
      <c r="O80" s="1">
        <v>45979</v>
      </c>
      <c r="Q80" s="1">
        <v>46009</v>
      </c>
      <c r="R80" s="2">
        <v>23.63</v>
      </c>
      <c r="S80">
        <v>1</v>
      </c>
      <c r="T80" t="s">
        <v>58</v>
      </c>
      <c r="U80" t="s">
        <v>59</v>
      </c>
      <c r="V80" s="3">
        <v>0.38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53.88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8.98</v>
      </c>
      <c r="AM80" s="2">
        <v>0</v>
      </c>
      <c r="AN80" s="2">
        <v>53.88</v>
      </c>
      <c r="AO80" s="2">
        <v>0</v>
      </c>
      <c r="AP80" s="2">
        <v>0</v>
      </c>
      <c r="AQ80" s="2">
        <v>0</v>
      </c>
    </row>
    <row r="81" spans="1:43" x14ac:dyDescent="0.25">
      <c r="A81" s="1">
        <v>45985</v>
      </c>
      <c r="B81" t="s">
        <v>48</v>
      </c>
      <c r="C81">
        <v>649163</v>
      </c>
      <c r="D81">
        <v>2032217924</v>
      </c>
      <c r="E81" t="s">
        <v>72</v>
      </c>
      <c r="F81" t="s">
        <v>73</v>
      </c>
      <c r="G81" t="s">
        <v>51</v>
      </c>
      <c r="H81" t="s">
        <v>64</v>
      </c>
      <c r="I81" t="s">
        <v>258</v>
      </c>
      <c r="J81" t="s">
        <v>259</v>
      </c>
      <c r="K81">
        <v>894525</v>
      </c>
      <c r="L81" t="s">
        <v>65</v>
      </c>
      <c r="M81" t="s">
        <v>66</v>
      </c>
      <c r="N81" t="s">
        <v>57</v>
      </c>
      <c r="O81" s="1">
        <v>46023</v>
      </c>
      <c r="Q81" s="1">
        <v>46054</v>
      </c>
      <c r="R81" s="2">
        <v>36.450000000000003</v>
      </c>
      <c r="S81">
        <v>1</v>
      </c>
      <c r="T81" t="s">
        <v>58</v>
      </c>
      <c r="U81" t="s">
        <v>59</v>
      </c>
      <c r="V81" s="3">
        <v>0.38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83.1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13.85</v>
      </c>
      <c r="AM81" s="2">
        <v>0</v>
      </c>
      <c r="AN81" s="2">
        <v>83.1</v>
      </c>
      <c r="AO81" s="2">
        <v>0</v>
      </c>
      <c r="AP81" s="2">
        <v>0</v>
      </c>
      <c r="AQ81" s="2">
        <v>0</v>
      </c>
    </row>
    <row r="82" spans="1:43" x14ac:dyDescent="0.25">
      <c r="A82" s="1">
        <v>45985</v>
      </c>
      <c r="B82" t="s">
        <v>48</v>
      </c>
      <c r="C82">
        <v>649163</v>
      </c>
      <c r="D82">
        <v>2032226954</v>
      </c>
      <c r="E82" t="s">
        <v>178</v>
      </c>
      <c r="F82" t="s">
        <v>179</v>
      </c>
      <c r="G82" t="s">
        <v>51</v>
      </c>
      <c r="H82" t="s">
        <v>64</v>
      </c>
      <c r="I82" t="s">
        <v>258</v>
      </c>
      <c r="J82" t="s">
        <v>260</v>
      </c>
      <c r="K82">
        <v>820873</v>
      </c>
      <c r="L82" t="s">
        <v>101</v>
      </c>
      <c r="M82" t="s">
        <v>102</v>
      </c>
      <c r="N82" t="s">
        <v>57</v>
      </c>
      <c r="O82" s="1">
        <v>45992</v>
      </c>
      <c r="Q82" s="1">
        <v>46023</v>
      </c>
      <c r="R82" s="2">
        <v>163.26</v>
      </c>
      <c r="S82">
        <v>1</v>
      </c>
      <c r="T82" t="s">
        <v>58</v>
      </c>
      <c r="U82" t="s">
        <v>59</v>
      </c>
      <c r="V82" s="3">
        <v>0.38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372.24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62.04</v>
      </c>
      <c r="AM82" s="2">
        <v>0</v>
      </c>
      <c r="AN82" s="2">
        <v>372.24</v>
      </c>
      <c r="AO82" s="2">
        <v>0</v>
      </c>
      <c r="AP82" s="2">
        <v>0</v>
      </c>
      <c r="AQ82" s="2">
        <v>0</v>
      </c>
    </row>
    <row r="83" spans="1:43" x14ac:dyDescent="0.25">
      <c r="A83" s="1">
        <v>45985</v>
      </c>
      <c r="B83" t="s">
        <v>48</v>
      </c>
      <c r="C83">
        <v>649163</v>
      </c>
      <c r="D83">
        <v>2032226956</v>
      </c>
      <c r="E83" t="s">
        <v>178</v>
      </c>
      <c r="F83" t="s">
        <v>179</v>
      </c>
      <c r="G83" t="s">
        <v>51</v>
      </c>
      <c r="H83" t="s">
        <v>64</v>
      </c>
      <c r="I83" t="s">
        <v>258</v>
      </c>
      <c r="J83" t="s">
        <v>261</v>
      </c>
      <c r="K83">
        <v>820873</v>
      </c>
      <c r="L83" t="s">
        <v>101</v>
      </c>
      <c r="M83" t="s">
        <v>102</v>
      </c>
      <c r="N83" t="s">
        <v>57</v>
      </c>
      <c r="O83" s="1">
        <v>45992</v>
      </c>
      <c r="Q83" s="1">
        <v>46023</v>
      </c>
      <c r="R83" s="2">
        <v>7.09</v>
      </c>
      <c r="S83">
        <v>1</v>
      </c>
      <c r="T83" t="s">
        <v>58</v>
      </c>
      <c r="U83" t="s">
        <v>59</v>
      </c>
      <c r="V83" s="3">
        <v>0.38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16.14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2.69</v>
      </c>
      <c r="AM83" s="2">
        <v>0</v>
      </c>
      <c r="AN83" s="2">
        <v>16.14</v>
      </c>
      <c r="AO83" s="2">
        <v>0</v>
      </c>
      <c r="AP83" s="2">
        <v>0</v>
      </c>
      <c r="AQ83" s="2">
        <v>0</v>
      </c>
    </row>
    <row r="84" spans="1:43" x14ac:dyDescent="0.25">
      <c r="A84" s="1">
        <v>45985</v>
      </c>
      <c r="B84" t="s">
        <v>48</v>
      </c>
      <c r="C84">
        <v>649163</v>
      </c>
      <c r="D84">
        <v>2032231076</v>
      </c>
      <c r="E84" t="s">
        <v>74</v>
      </c>
      <c r="F84" t="s">
        <v>75</v>
      </c>
      <c r="G84" t="s">
        <v>51</v>
      </c>
      <c r="H84" t="s">
        <v>64</v>
      </c>
      <c r="I84" t="s">
        <v>258</v>
      </c>
      <c r="J84" t="s">
        <v>259</v>
      </c>
      <c r="K84">
        <v>894525</v>
      </c>
      <c r="L84" t="s">
        <v>65</v>
      </c>
      <c r="M84" t="s">
        <v>66</v>
      </c>
      <c r="N84" t="s">
        <v>57</v>
      </c>
      <c r="O84" s="1">
        <v>46023</v>
      </c>
      <c r="Q84" s="1">
        <v>46054</v>
      </c>
      <c r="R84" s="2">
        <v>39.44</v>
      </c>
      <c r="S84">
        <v>1</v>
      </c>
      <c r="T84" t="s">
        <v>58</v>
      </c>
      <c r="U84" t="s">
        <v>59</v>
      </c>
      <c r="V84" s="3">
        <v>0.38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89.94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14.99</v>
      </c>
      <c r="AM84" s="2">
        <v>0</v>
      </c>
      <c r="AN84" s="2">
        <v>89.94</v>
      </c>
      <c r="AO84" s="2">
        <v>0</v>
      </c>
      <c r="AP84" s="2">
        <v>0</v>
      </c>
      <c r="AQ84" s="2">
        <v>0</v>
      </c>
    </row>
    <row r="85" spans="1:43" x14ac:dyDescent="0.25">
      <c r="A85" s="1">
        <v>45985</v>
      </c>
      <c r="B85" t="s">
        <v>48</v>
      </c>
      <c r="C85">
        <v>649163</v>
      </c>
      <c r="D85">
        <v>2032235341</v>
      </c>
      <c r="E85" t="s">
        <v>181</v>
      </c>
      <c r="F85" t="s">
        <v>182</v>
      </c>
      <c r="G85" t="s">
        <v>51</v>
      </c>
      <c r="H85" t="s">
        <v>183</v>
      </c>
      <c r="I85" t="s">
        <v>258</v>
      </c>
      <c r="J85" t="s">
        <v>259</v>
      </c>
      <c r="K85">
        <v>650218</v>
      </c>
      <c r="L85" t="s">
        <v>55</v>
      </c>
      <c r="M85" t="s">
        <v>56</v>
      </c>
      <c r="N85" t="s">
        <v>57</v>
      </c>
      <c r="O85" s="1">
        <v>45980</v>
      </c>
      <c r="Q85" s="1">
        <v>46010</v>
      </c>
      <c r="R85" s="2">
        <v>20.76</v>
      </c>
      <c r="S85">
        <v>1</v>
      </c>
      <c r="T85" t="s">
        <v>58</v>
      </c>
      <c r="U85" t="s">
        <v>59</v>
      </c>
      <c r="V85" s="3">
        <v>0.38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47.34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7.89</v>
      </c>
      <c r="AM85" s="2">
        <v>0</v>
      </c>
      <c r="AN85" s="2">
        <v>47.34</v>
      </c>
      <c r="AO85" s="2">
        <v>0</v>
      </c>
      <c r="AP85" s="2">
        <v>0</v>
      </c>
      <c r="AQ85" s="2">
        <v>0</v>
      </c>
    </row>
    <row r="86" spans="1:43" x14ac:dyDescent="0.25">
      <c r="A86" s="1">
        <v>45985</v>
      </c>
      <c r="B86" t="s">
        <v>48</v>
      </c>
      <c r="C86">
        <v>649163</v>
      </c>
      <c r="D86">
        <v>2032238785</v>
      </c>
      <c r="E86" t="s">
        <v>133</v>
      </c>
      <c r="F86" t="s">
        <v>134</v>
      </c>
      <c r="G86" t="s">
        <v>51</v>
      </c>
      <c r="H86" t="s">
        <v>135</v>
      </c>
      <c r="I86" t="s">
        <v>258</v>
      </c>
      <c r="J86" t="s">
        <v>260</v>
      </c>
      <c r="K86">
        <v>673059</v>
      </c>
      <c r="L86" t="s">
        <v>70</v>
      </c>
      <c r="M86" t="s">
        <v>71</v>
      </c>
      <c r="N86" t="s">
        <v>57</v>
      </c>
      <c r="O86" s="1">
        <v>46023</v>
      </c>
      <c r="Q86" s="1">
        <v>46054</v>
      </c>
      <c r="R86" s="2">
        <v>333.96</v>
      </c>
      <c r="S86">
        <v>1</v>
      </c>
      <c r="T86" t="s">
        <v>58</v>
      </c>
      <c r="U86" t="s">
        <v>59</v>
      </c>
      <c r="V86" s="3">
        <v>0.38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761.4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126.9</v>
      </c>
      <c r="AM86" s="2">
        <v>0</v>
      </c>
      <c r="AN86" s="2">
        <v>761.4</v>
      </c>
      <c r="AO86" s="2">
        <v>0</v>
      </c>
      <c r="AP86" s="2">
        <v>0</v>
      </c>
      <c r="AQ86" s="2">
        <v>0</v>
      </c>
    </row>
    <row r="87" spans="1:43" x14ac:dyDescent="0.25">
      <c r="A87" s="1">
        <v>45985</v>
      </c>
      <c r="B87" t="s">
        <v>48</v>
      </c>
      <c r="C87">
        <v>649163</v>
      </c>
      <c r="D87">
        <v>2032238788</v>
      </c>
      <c r="E87" t="s">
        <v>133</v>
      </c>
      <c r="F87" t="s">
        <v>134</v>
      </c>
      <c r="G87" t="s">
        <v>51</v>
      </c>
      <c r="H87" t="s">
        <v>135</v>
      </c>
      <c r="I87" t="s">
        <v>258</v>
      </c>
      <c r="J87" t="s">
        <v>261</v>
      </c>
      <c r="K87">
        <v>673059</v>
      </c>
      <c r="L87" t="s">
        <v>70</v>
      </c>
      <c r="M87" t="s">
        <v>71</v>
      </c>
      <c r="N87" t="s">
        <v>57</v>
      </c>
      <c r="O87" s="1">
        <v>46023</v>
      </c>
      <c r="Q87" s="1">
        <v>46054</v>
      </c>
      <c r="R87" s="2">
        <v>7.09</v>
      </c>
      <c r="S87">
        <v>1</v>
      </c>
      <c r="T87" t="s">
        <v>58</v>
      </c>
      <c r="U87" t="s">
        <v>59</v>
      </c>
      <c r="V87" s="3">
        <v>0.38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16.14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2.69</v>
      </c>
      <c r="AM87" s="2">
        <v>0</v>
      </c>
      <c r="AN87" s="2">
        <v>16.14</v>
      </c>
      <c r="AO87" s="2">
        <v>0</v>
      </c>
      <c r="AP87" s="2">
        <v>0</v>
      </c>
      <c r="AQ87" s="2">
        <v>0</v>
      </c>
    </row>
    <row r="88" spans="1:43" x14ac:dyDescent="0.25">
      <c r="A88" s="1">
        <v>45985</v>
      </c>
      <c r="B88" t="s">
        <v>48</v>
      </c>
      <c r="C88">
        <v>649163</v>
      </c>
      <c r="D88">
        <v>2032247822</v>
      </c>
      <c r="E88" t="s">
        <v>76</v>
      </c>
      <c r="F88" t="s">
        <v>77</v>
      </c>
      <c r="G88" t="s">
        <v>51</v>
      </c>
      <c r="H88" t="s">
        <v>64</v>
      </c>
      <c r="I88" t="s">
        <v>258</v>
      </c>
      <c r="J88" t="s">
        <v>259</v>
      </c>
      <c r="K88">
        <v>894525</v>
      </c>
      <c r="L88" t="s">
        <v>65</v>
      </c>
      <c r="M88" t="s">
        <v>66</v>
      </c>
      <c r="N88" t="s">
        <v>57</v>
      </c>
      <c r="O88" s="1">
        <v>46023</v>
      </c>
      <c r="Q88" s="1">
        <v>46054</v>
      </c>
      <c r="R88" s="2">
        <v>72.98</v>
      </c>
      <c r="S88">
        <v>1</v>
      </c>
      <c r="T88" t="s">
        <v>58</v>
      </c>
      <c r="U88" t="s">
        <v>59</v>
      </c>
      <c r="V88" s="3">
        <v>0.38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166.38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27.73</v>
      </c>
      <c r="AM88" s="2">
        <v>0</v>
      </c>
      <c r="AN88" s="2">
        <v>166.38</v>
      </c>
      <c r="AO88" s="2">
        <v>0</v>
      </c>
      <c r="AP88" s="2">
        <v>0</v>
      </c>
      <c r="AQ88" s="2">
        <v>0</v>
      </c>
    </row>
    <row r="89" spans="1:43" x14ac:dyDescent="0.25">
      <c r="A89" s="1">
        <v>45985</v>
      </c>
      <c r="B89" t="s">
        <v>48</v>
      </c>
      <c r="C89">
        <v>649163</v>
      </c>
      <c r="D89">
        <v>2032248633</v>
      </c>
      <c r="E89" t="s">
        <v>184</v>
      </c>
      <c r="F89" t="s">
        <v>185</v>
      </c>
      <c r="G89" t="s">
        <v>51</v>
      </c>
      <c r="H89" t="s">
        <v>64</v>
      </c>
      <c r="I89" t="s">
        <v>258</v>
      </c>
      <c r="J89" t="s">
        <v>259</v>
      </c>
      <c r="K89">
        <v>894525</v>
      </c>
      <c r="L89" t="s">
        <v>65</v>
      </c>
      <c r="M89" t="s">
        <v>66</v>
      </c>
      <c r="N89" t="s">
        <v>57</v>
      </c>
      <c r="O89" s="1">
        <v>46023</v>
      </c>
      <c r="Q89" s="1">
        <v>46054</v>
      </c>
      <c r="R89" s="2">
        <v>42.53</v>
      </c>
      <c r="S89">
        <v>1</v>
      </c>
      <c r="T89" t="s">
        <v>58</v>
      </c>
      <c r="U89" t="s">
        <v>59</v>
      </c>
      <c r="V89" s="3">
        <v>0.38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96.96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16.16</v>
      </c>
      <c r="AM89" s="2">
        <v>0</v>
      </c>
      <c r="AN89" s="2">
        <v>96.96</v>
      </c>
      <c r="AO89" s="2">
        <v>0</v>
      </c>
      <c r="AP89" s="2">
        <v>0</v>
      </c>
      <c r="AQ89" s="2">
        <v>0</v>
      </c>
    </row>
    <row r="90" spans="1:43" x14ac:dyDescent="0.25">
      <c r="A90" s="1">
        <v>45985</v>
      </c>
      <c r="B90" t="s">
        <v>48</v>
      </c>
      <c r="C90">
        <v>649163</v>
      </c>
      <c r="D90">
        <v>2032254514</v>
      </c>
      <c r="E90" t="s">
        <v>186</v>
      </c>
      <c r="F90" t="s">
        <v>187</v>
      </c>
      <c r="G90" t="s">
        <v>51</v>
      </c>
      <c r="H90" t="s">
        <v>64</v>
      </c>
      <c r="I90" t="s">
        <v>258</v>
      </c>
      <c r="J90" t="s">
        <v>259</v>
      </c>
      <c r="K90">
        <v>894525</v>
      </c>
      <c r="L90" t="s">
        <v>65</v>
      </c>
      <c r="M90" t="s">
        <v>66</v>
      </c>
      <c r="N90" t="s">
        <v>57</v>
      </c>
      <c r="O90" s="1">
        <v>46023</v>
      </c>
      <c r="Q90" s="1">
        <v>46054</v>
      </c>
      <c r="R90" s="2">
        <v>42.1</v>
      </c>
      <c r="S90">
        <v>1</v>
      </c>
      <c r="T90" t="s">
        <v>58</v>
      </c>
      <c r="U90" t="s">
        <v>59</v>
      </c>
      <c r="V90" s="3">
        <v>0.38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96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16</v>
      </c>
      <c r="AM90" s="2">
        <v>0</v>
      </c>
      <c r="AN90" s="2">
        <v>96</v>
      </c>
      <c r="AO90" s="2">
        <v>0</v>
      </c>
      <c r="AP90" s="2">
        <v>0</v>
      </c>
      <c r="AQ90" s="2">
        <v>0</v>
      </c>
    </row>
    <row r="91" spans="1:43" x14ac:dyDescent="0.25">
      <c r="A91" s="1">
        <v>45985</v>
      </c>
      <c r="B91" t="s">
        <v>48</v>
      </c>
      <c r="C91">
        <v>649163</v>
      </c>
      <c r="D91">
        <v>2032261890</v>
      </c>
      <c r="E91" t="s">
        <v>188</v>
      </c>
      <c r="F91" t="s">
        <v>189</v>
      </c>
      <c r="G91" t="s">
        <v>51</v>
      </c>
      <c r="H91" t="s">
        <v>64</v>
      </c>
      <c r="I91" t="s">
        <v>258</v>
      </c>
      <c r="J91" t="s">
        <v>259</v>
      </c>
      <c r="K91">
        <v>894525</v>
      </c>
      <c r="L91" t="s">
        <v>65</v>
      </c>
      <c r="M91" t="s">
        <v>66</v>
      </c>
      <c r="N91" t="s">
        <v>57</v>
      </c>
      <c r="O91" s="1">
        <v>46023</v>
      </c>
      <c r="Q91" s="1">
        <v>46054</v>
      </c>
      <c r="R91" s="2">
        <v>42.1</v>
      </c>
      <c r="S91">
        <v>1</v>
      </c>
      <c r="T91" t="s">
        <v>58</v>
      </c>
      <c r="U91" t="s">
        <v>59</v>
      </c>
      <c r="V91" s="3">
        <v>0.38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96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16</v>
      </c>
      <c r="AM91" s="2">
        <v>0</v>
      </c>
      <c r="AN91" s="2">
        <v>96</v>
      </c>
      <c r="AO91" s="2">
        <v>0</v>
      </c>
      <c r="AP91" s="2">
        <v>0</v>
      </c>
      <c r="AQ91" s="2">
        <v>0</v>
      </c>
    </row>
    <row r="92" spans="1:43" x14ac:dyDescent="0.25">
      <c r="A92" s="1">
        <v>45985</v>
      </c>
      <c r="B92" t="s">
        <v>48</v>
      </c>
      <c r="C92">
        <v>649163</v>
      </c>
      <c r="D92">
        <v>2032273118</v>
      </c>
      <c r="E92" t="s">
        <v>80</v>
      </c>
      <c r="F92" t="s">
        <v>81</v>
      </c>
      <c r="G92" t="s">
        <v>51</v>
      </c>
      <c r="H92" t="s">
        <v>52</v>
      </c>
      <c r="I92" t="s">
        <v>258</v>
      </c>
      <c r="J92" t="s">
        <v>259</v>
      </c>
      <c r="K92">
        <v>751867</v>
      </c>
      <c r="L92" t="s">
        <v>82</v>
      </c>
      <c r="M92" t="s">
        <v>83</v>
      </c>
      <c r="N92" t="s">
        <v>57</v>
      </c>
      <c r="O92" s="1">
        <v>45992</v>
      </c>
      <c r="Q92" s="1">
        <v>46023</v>
      </c>
      <c r="R92" s="2">
        <v>55.16</v>
      </c>
      <c r="S92">
        <v>1</v>
      </c>
      <c r="T92" t="s">
        <v>58</v>
      </c>
      <c r="U92" t="s">
        <v>59</v>
      </c>
      <c r="V92" s="3">
        <v>0.38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125.76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20.96</v>
      </c>
      <c r="AM92" s="2">
        <v>0</v>
      </c>
      <c r="AN92" s="2">
        <v>125.76</v>
      </c>
      <c r="AO92" s="2">
        <v>0</v>
      </c>
      <c r="AP92" s="2">
        <v>0</v>
      </c>
      <c r="AQ92" s="2">
        <v>0</v>
      </c>
    </row>
    <row r="93" spans="1:43" x14ac:dyDescent="0.25">
      <c r="A93" s="1">
        <v>45985</v>
      </c>
      <c r="B93" t="s">
        <v>48</v>
      </c>
      <c r="C93">
        <v>649163</v>
      </c>
      <c r="D93">
        <v>2032274710</v>
      </c>
      <c r="E93" t="s">
        <v>190</v>
      </c>
      <c r="F93" t="s">
        <v>191</v>
      </c>
      <c r="G93" t="s">
        <v>51</v>
      </c>
      <c r="H93" t="s">
        <v>64</v>
      </c>
      <c r="I93" t="s">
        <v>258</v>
      </c>
      <c r="J93" t="s">
        <v>259</v>
      </c>
      <c r="K93">
        <v>894525</v>
      </c>
      <c r="L93" t="s">
        <v>65</v>
      </c>
      <c r="M93" t="s">
        <v>66</v>
      </c>
      <c r="N93" t="s">
        <v>57</v>
      </c>
      <c r="O93" s="1">
        <v>46023</v>
      </c>
      <c r="Q93" s="1">
        <v>46054</v>
      </c>
      <c r="R93" s="2">
        <v>55.44</v>
      </c>
      <c r="S93">
        <v>1</v>
      </c>
      <c r="T93" t="s">
        <v>58</v>
      </c>
      <c r="U93" t="s">
        <v>59</v>
      </c>
      <c r="V93" s="3">
        <v>0.38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126.42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21.07</v>
      </c>
      <c r="AM93" s="2">
        <v>0</v>
      </c>
      <c r="AN93" s="2">
        <v>126.42</v>
      </c>
      <c r="AO93" s="2">
        <v>0</v>
      </c>
      <c r="AP93" s="2">
        <v>0</v>
      </c>
      <c r="AQ93" s="2">
        <v>0</v>
      </c>
    </row>
    <row r="94" spans="1:43" x14ac:dyDescent="0.25">
      <c r="A94" s="1">
        <v>45985</v>
      </c>
      <c r="B94" t="s">
        <v>48</v>
      </c>
      <c r="C94">
        <v>649163</v>
      </c>
      <c r="D94">
        <v>2032279004</v>
      </c>
      <c r="E94" t="s">
        <v>192</v>
      </c>
      <c r="F94" t="s">
        <v>193</v>
      </c>
      <c r="G94" t="s">
        <v>51</v>
      </c>
      <c r="H94" t="s">
        <v>64</v>
      </c>
      <c r="I94" t="s">
        <v>258</v>
      </c>
      <c r="J94" t="s">
        <v>259</v>
      </c>
      <c r="K94">
        <v>894525</v>
      </c>
      <c r="L94" t="s">
        <v>65</v>
      </c>
      <c r="M94" t="s">
        <v>66</v>
      </c>
      <c r="N94" t="s">
        <v>57</v>
      </c>
      <c r="O94" s="1">
        <v>46023</v>
      </c>
      <c r="Q94" s="1">
        <v>46054</v>
      </c>
      <c r="R94" s="2">
        <v>39.97</v>
      </c>
      <c r="S94">
        <v>1</v>
      </c>
      <c r="T94" t="s">
        <v>58</v>
      </c>
      <c r="U94" t="s">
        <v>59</v>
      </c>
      <c r="V94" s="3">
        <v>0.38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91.14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15.19</v>
      </c>
      <c r="AM94" s="2">
        <v>0</v>
      </c>
      <c r="AN94" s="2">
        <v>91.14</v>
      </c>
      <c r="AO94" s="2">
        <v>0</v>
      </c>
      <c r="AP94" s="2">
        <v>0</v>
      </c>
      <c r="AQ94" s="2">
        <v>0</v>
      </c>
    </row>
    <row r="95" spans="1:43" x14ac:dyDescent="0.25">
      <c r="A95" s="1">
        <v>45985</v>
      </c>
      <c r="B95" t="s">
        <v>48</v>
      </c>
      <c r="C95">
        <v>649163</v>
      </c>
      <c r="D95">
        <v>2032282127</v>
      </c>
      <c r="E95" t="s">
        <v>84</v>
      </c>
      <c r="F95" t="s">
        <v>85</v>
      </c>
      <c r="G95" t="s">
        <v>51</v>
      </c>
      <c r="H95" t="s">
        <v>52</v>
      </c>
      <c r="I95" t="s">
        <v>258</v>
      </c>
      <c r="J95" t="s">
        <v>259</v>
      </c>
      <c r="K95">
        <v>751867</v>
      </c>
      <c r="L95" t="s">
        <v>82</v>
      </c>
      <c r="M95" t="s">
        <v>83</v>
      </c>
      <c r="N95" t="s">
        <v>57</v>
      </c>
      <c r="O95" s="1">
        <v>45992</v>
      </c>
      <c r="Q95" s="1">
        <v>46023</v>
      </c>
      <c r="R95" s="2">
        <v>46.13</v>
      </c>
      <c r="S95">
        <v>1</v>
      </c>
      <c r="T95" t="s">
        <v>58</v>
      </c>
      <c r="U95" t="s">
        <v>59</v>
      </c>
      <c r="V95" s="3">
        <v>0.38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105.18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17.53</v>
      </c>
      <c r="AM95" s="2">
        <v>0</v>
      </c>
      <c r="AN95" s="2">
        <v>105.18</v>
      </c>
      <c r="AO95" s="2">
        <v>0</v>
      </c>
      <c r="AP95" s="2">
        <v>0</v>
      </c>
      <c r="AQ95" s="2">
        <v>0</v>
      </c>
    </row>
    <row r="96" spans="1:43" x14ac:dyDescent="0.25">
      <c r="A96" s="1">
        <v>45985</v>
      </c>
      <c r="B96" t="s">
        <v>48</v>
      </c>
      <c r="C96">
        <v>649163</v>
      </c>
      <c r="D96">
        <v>2032032432</v>
      </c>
      <c r="E96" t="s">
        <v>194</v>
      </c>
      <c r="F96" t="s">
        <v>195</v>
      </c>
      <c r="G96" t="s">
        <v>51</v>
      </c>
      <c r="H96" t="s">
        <v>64</v>
      </c>
      <c r="I96" t="s">
        <v>262</v>
      </c>
      <c r="J96" t="s">
        <v>263</v>
      </c>
      <c r="K96">
        <v>824076</v>
      </c>
      <c r="L96" t="s">
        <v>198</v>
      </c>
      <c r="M96" t="s">
        <v>199</v>
      </c>
      <c r="N96" t="s">
        <v>57</v>
      </c>
      <c r="O96" s="1">
        <v>45985</v>
      </c>
      <c r="Q96" s="1">
        <v>46015</v>
      </c>
      <c r="R96" s="2">
        <v>15.75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66.12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11.02</v>
      </c>
      <c r="AM96" s="2">
        <v>0</v>
      </c>
      <c r="AN96" s="2">
        <v>66.12</v>
      </c>
      <c r="AO96" s="2">
        <v>0</v>
      </c>
      <c r="AP96" s="2">
        <v>0</v>
      </c>
      <c r="AQ96" s="2">
        <v>0</v>
      </c>
    </row>
    <row r="97" spans="1:43" x14ac:dyDescent="0.25">
      <c r="A97" s="1">
        <v>45985</v>
      </c>
      <c r="B97" t="s">
        <v>48</v>
      </c>
      <c r="C97">
        <v>649163</v>
      </c>
      <c r="D97">
        <v>2032057614</v>
      </c>
      <c r="E97" t="s">
        <v>88</v>
      </c>
      <c r="F97" t="s">
        <v>81</v>
      </c>
      <c r="G97" t="s">
        <v>51</v>
      </c>
      <c r="H97" t="s">
        <v>64</v>
      </c>
      <c r="I97" t="s">
        <v>262</v>
      </c>
      <c r="J97" t="s">
        <v>263</v>
      </c>
      <c r="K97">
        <v>823350</v>
      </c>
      <c r="L97" t="s">
        <v>91</v>
      </c>
      <c r="M97" t="s">
        <v>92</v>
      </c>
      <c r="N97" t="s">
        <v>57</v>
      </c>
      <c r="O97" s="1">
        <v>45992</v>
      </c>
      <c r="Q97" s="1">
        <v>46023</v>
      </c>
      <c r="R97" s="2">
        <v>129.28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543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90.5</v>
      </c>
      <c r="AM97" s="2">
        <v>0</v>
      </c>
      <c r="AN97" s="2">
        <v>543</v>
      </c>
      <c r="AO97" s="2">
        <v>0</v>
      </c>
      <c r="AP97" s="2">
        <v>0</v>
      </c>
      <c r="AQ97" s="2">
        <v>0</v>
      </c>
    </row>
    <row r="98" spans="1:43" x14ac:dyDescent="0.25">
      <c r="A98" s="1">
        <v>45985</v>
      </c>
      <c r="B98" t="s">
        <v>48</v>
      </c>
      <c r="C98">
        <v>649163</v>
      </c>
      <c r="D98">
        <v>2032136865</v>
      </c>
      <c r="E98" t="s">
        <v>164</v>
      </c>
      <c r="F98" t="s">
        <v>165</v>
      </c>
      <c r="G98" t="s">
        <v>51</v>
      </c>
      <c r="H98" t="s">
        <v>166</v>
      </c>
      <c r="I98" t="s">
        <v>262</v>
      </c>
      <c r="J98" t="s">
        <v>263</v>
      </c>
      <c r="K98">
        <v>673059</v>
      </c>
      <c r="L98" t="s">
        <v>70</v>
      </c>
      <c r="M98" t="s">
        <v>71</v>
      </c>
      <c r="N98" t="s">
        <v>57</v>
      </c>
      <c r="O98" s="1">
        <v>46023</v>
      </c>
      <c r="Q98" s="1">
        <v>46054</v>
      </c>
      <c r="R98" s="2">
        <v>29.63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124.44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20.74</v>
      </c>
      <c r="AM98" s="2">
        <v>0</v>
      </c>
      <c r="AN98" s="2">
        <v>124.44</v>
      </c>
      <c r="AO98" s="2">
        <v>0</v>
      </c>
      <c r="AP98" s="2">
        <v>0</v>
      </c>
      <c r="AQ98" s="2">
        <v>0</v>
      </c>
    </row>
    <row r="99" spans="1:43" x14ac:dyDescent="0.25">
      <c r="A99" s="1">
        <v>45985</v>
      </c>
      <c r="B99" t="s">
        <v>48</v>
      </c>
      <c r="C99">
        <v>649163</v>
      </c>
      <c r="D99">
        <v>2032204649</v>
      </c>
      <c r="E99" t="s">
        <v>99</v>
      </c>
      <c r="F99" t="s">
        <v>100</v>
      </c>
      <c r="G99" t="s">
        <v>51</v>
      </c>
      <c r="H99" t="s">
        <v>64</v>
      </c>
      <c r="I99" t="s">
        <v>262</v>
      </c>
      <c r="J99" t="s">
        <v>263</v>
      </c>
      <c r="K99">
        <v>820873</v>
      </c>
      <c r="L99" t="s">
        <v>101</v>
      </c>
      <c r="M99" t="s">
        <v>102</v>
      </c>
      <c r="N99" t="s">
        <v>57</v>
      </c>
      <c r="O99" s="1">
        <v>45979</v>
      </c>
      <c r="Q99" s="1">
        <v>46009</v>
      </c>
      <c r="R99" s="2">
        <v>26.5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111.3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18.55</v>
      </c>
      <c r="AM99" s="2">
        <v>0</v>
      </c>
      <c r="AN99" s="2">
        <v>111.3</v>
      </c>
      <c r="AO99" s="2">
        <v>0</v>
      </c>
      <c r="AP99" s="2">
        <v>0</v>
      </c>
      <c r="AQ99" s="2">
        <v>0</v>
      </c>
    </row>
    <row r="100" spans="1:43" x14ac:dyDescent="0.25">
      <c r="A100" s="1">
        <v>45985</v>
      </c>
      <c r="B100" t="s">
        <v>48</v>
      </c>
      <c r="C100">
        <v>649163</v>
      </c>
      <c r="D100">
        <v>2032206980</v>
      </c>
      <c r="E100" t="s">
        <v>206</v>
      </c>
      <c r="F100" t="s">
        <v>207</v>
      </c>
      <c r="G100" t="s">
        <v>51</v>
      </c>
      <c r="H100" t="s">
        <v>208</v>
      </c>
      <c r="I100" t="s">
        <v>262</v>
      </c>
      <c r="J100" t="s">
        <v>264</v>
      </c>
      <c r="K100">
        <v>812656</v>
      </c>
      <c r="L100" t="s">
        <v>209</v>
      </c>
      <c r="M100" t="s">
        <v>210</v>
      </c>
      <c r="N100" t="s">
        <v>57</v>
      </c>
      <c r="O100" s="1">
        <v>45979</v>
      </c>
      <c r="Q100" s="1">
        <v>46009</v>
      </c>
      <c r="R100" s="2">
        <v>21.44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90.06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15.01</v>
      </c>
      <c r="AM100" s="2">
        <v>0</v>
      </c>
      <c r="AN100" s="2">
        <v>90.06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45985</v>
      </c>
      <c r="B101" t="s">
        <v>48</v>
      </c>
      <c r="C101">
        <v>649163</v>
      </c>
      <c r="D101">
        <v>2032208234</v>
      </c>
      <c r="E101" t="s">
        <v>103</v>
      </c>
      <c r="F101" t="s">
        <v>104</v>
      </c>
      <c r="G101" t="s">
        <v>51</v>
      </c>
      <c r="H101" t="s">
        <v>105</v>
      </c>
      <c r="I101" t="s">
        <v>262</v>
      </c>
      <c r="J101" t="s">
        <v>263</v>
      </c>
      <c r="K101">
        <v>856824</v>
      </c>
      <c r="L101" t="s">
        <v>106</v>
      </c>
      <c r="M101" t="s">
        <v>107</v>
      </c>
      <c r="N101" t="s">
        <v>57</v>
      </c>
      <c r="O101" s="1">
        <v>45979</v>
      </c>
      <c r="Q101" s="1">
        <v>46009</v>
      </c>
      <c r="R101" s="2">
        <v>8.58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36.06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6.01</v>
      </c>
      <c r="AM101" s="2">
        <v>0</v>
      </c>
      <c r="AN101" s="2">
        <v>36.06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45985</v>
      </c>
      <c r="B102" t="s">
        <v>48</v>
      </c>
      <c r="C102">
        <v>649163</v>
      </c>
      <c r="D102">
        <v>2032208387</v>
      </c>
      <c r="E102" t="s">
        <v>108</v>
      </c>
      <c r="F102" t="s">
        <v>68</v>
      </c>
      <c r="G102" t="s">
        <v>51</v>
      </c>
      <c r="H102" t="s">
        <v>109</v>
      </c>
      <c r="I102" t="s">
        <v>262</v>
      </c>
      <c r="J102" t="s">
        <v>263</v>
      </c>
      <c r="K102">
        <v>816021</v>
      </c>
      <c r="L102" t="s">
        <v>111</v>
      </c>
      <c r="M102" t="s">
        <v>112</v>
      </c>
      <c r="N102" t="s">
        <v>57</v>
      </c>
      <c r="O102" s="1">
        <v>45979</v>
      </c>
      <c r="Q102" s="1">
        <v>46009</v>
      </c>
      <c r="R102" s="2">
        <v>9.1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38.22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6.37</v>
      </c>
      <c r="AM102" s="2">
        <v>0</v>
      </c>
      <c r="AN102" s="2">
        <v>38.22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45985</v>
      </c>
      <c r="B103" t="s">
        <v>48</v>
      </c>
      <c r="C103">
        <v>649163</v>
      </c>
      <c r="D103">
        <v>2032208390</v>
      </c>
      <c r="E103" t="s">
        <v>108</v>
      </c>
      <c r="F103" t="s">
        <v>68</v>
      </c>
      <c r="G103" t="s">
        <v>51</v>
      </c>
      <c r="H103" t="s">
        <v>109</v>
      </c>
      <c r="I103" t="s">
        <v>262</v>
      </c>
      <c r="J103" t="s">
        <v>265</v>
      </c>
      <c r="K103">
        <v>816021</v>
      </c>
      <c r="L103" t="s">
        <v>111</v>
      </c>
      <c r="M103" t="s">
        <v>112</v>
      </c>
      <c r="N103" t="s">
        <v>57</v>
      </c>
      <c r="O103" s="1">
        <v>45979</v>
      </c>
      <c r="Q103" s="1">
        <v>46009</v>
      </c>
      <c r="R103" s="2">
        <v>37</v>
      </c>
      <c r="S103">
        <v>1</v>
      </c>
      <c r="T103" t="s">
        <v>58</v>
      </c>
      <c r="U103" t="s">
        <v>59</v>
      </c>
      <c r="V103" s="3">
        <v>0.9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199.8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33.299999999999997</v>
      </c>
      <c r="AM103" s="2">
        <v>0</v>
      </c>
      <c r="AN103" s="2">
        <v>199.8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45985</v>
      </c>
      <c r="B104" t="s">
        <v>48</v>
      </c>
      <c r="C104">
        <v>649163</v>
      </c>
      <c r="D104">
        <v>2032209862</v>
      </c>
      <c r="E104" t="s">
        <v>266</v>
      </c>
      <c r="F104" t="s">
        <v>189</v>
      </c>
      <c r="G104" t="s">
        <v>51</v>
      </c>
      <c r="H104" t="s">
        <v>64</v>
      </c>
      <c r="I104" t="s">
        <v>262</v>
      </c>
      <c r="J104" t="s">
        <v>263</v>
      </c>
      <c r="K104">
        <v>814033</v>
      </c>
      <c r="L104" t="s">
        <v>250</v>
      </c>
      <c r="M104" t="s">
        <v>251</v>
      </c>
      <c r="N104" t="s">
        <v>57</v>
      </c>
      <c r="O104" s="1">
        <v>46023</v>
      </c>
      <c r="Q104" s="1">
        <v>46054</v>
      </c>
      <c r="R104" s="2">
        <v>198.36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833.1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138.85</v>
      </c>
      <c r="AM104" s="2">
        <v>0</v>
      </c>
      <c r="AN104" s="2">
        <v>833.1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45985</v>
      </c>
      <c r="B105" t="s">
        <v>48</v>
      </c>
      <c r="C105">
        <v>649163</v>
      </c>
      <c r="D105">
        <v>2032210560</v>
      </c>
      <c r="E105" t="s">
        <v>67</v>
      </c>
      <c r="F105" t="s">
        <v>68</v>
      </c>
      <c r="G105" t="s">
        <v>51</v>
      </c>
      <c r="H105" t="s">
        <v>69</v>
      </c>
      <c r="I105" t="s">
        <v>262</v>
      </c>
      <c r="J105" t="s">
        <v>263</v>
      </c>
      <c r="K105">
        <v>673059</v>
      </c>
      <c r="L105" t="s">
        <v>70</v>
      </c>
      <c r="M105" t="s">
        <v>71</v>
      </c>
      <c r="N105" t="s">
        <v>57</v>
      </c>
      <c r="O105" s="1">
        <v>46023</v>
      </c>
      <c r="Q105" s="1">
        <v>46054</v>
      </c>
      <c r="R105" s="2">
        <v>79.58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334.26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55.71</v>
      </c>
      <c r="AM105" s="2">
        <v>0</v>
      </c>
      <c r="AN105" s="2">
        <v>334.26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45985</v>
      </c>
      <c r="B106" t="s">
        <v>48</v>
      </c>
      <c r="C106">
        <v>649163</v>
      </c>
      <c r="D106">
        <v>2032216440</v>
      </c>
      <c r="E106" t="s">
        <v>211</v>
      </c>
      <c r="F106" t="s">
        <v>212</v>
      </c>
      <c r="G106" t="s">
        <v>51</v>
      </c>
      <c r="H106" t="s">
        <v>135</v>
      </c>
      <c r="I106" t="s">
        <v>262</v>
      </c>
      <c r="J106" t="s">
        <v>263</v>
      </c>
      <c r="K106">
        <v>806645</v>
      </c>
      <c r="L106" t="s">
        <v>213</v>
      </c>
      <c r="M106" t="s">
        <v>214</v>
      </c>
      <c r="N106" t="s">
        <v>57</v>
      </c>
      <c r="O106" s="1">
        <v>45979</v>
      </c>
      <c r="Q106" s="1">
        <v>46009</v>
      </c>
      <c r="R106" s="2">
        <v>13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54.6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9.1</v>
      </c>
      <c r="AM106" s="2">
        <v>0</v>
      </c>
      <c r="AN106" s="2">
        <v>54.6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45985</v>
      </c>
      <c r="B107" t="s">
        <v>48</v>
      </c>
      <c r="C107">
        <v>649163</v>
      </c>
      <c r="D107">
        <v>2032218108</v>
      </c>
      <c r="E107" t="s">
        <v>113</v>
      </c>
      <c r="F107" t="s">
        <v>114</v>
      </c>
      <c r="G107" t="s">
        <v>51</v>
      </c>
      <c r="H107" t="s">
        <v>64</v>
      </c>
      <c r="I107" t="s">
        <v>262</v>
      </c>
      <c r="J107" t="s">
        <v>263</v>
      </c>
      <c r="K107">
        <v>824062</v>
      </c>
      <c r="L107" t="s">
        <v>115</v>
      </c>
      <c r="M107" t="s">
        <v>116</v>
      </c>
      <c r="N107" t="s">
        <v>57</v>
      </c>
      <c r="O107" s="1">
        <v>46023</v>
      </c>
      <c r="Q107" s="1">
        <v>46054</v>
      </c>
      <c r="R107" s="2">
        <v>55.59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233.46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38.909999999999997</v>
      </c>
      <c r="AM107" s="2">
        <v>0</v>
      </c>
      <c r="AN107" s="2">
        <v>233.46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45985</v>
      </c>
      <c r="B108" t="s">
        <v>48</v>
      </c>
      <c r="C108">
        <v>649163</v>
      </c>
      <c r="D108">
        <v>2032218880</v>
      </c>
      <c r="E108" t="s">
        <v>117</v>
      </c>
      <c r="F108" t="s">
        <v>118</v>
      </c>
      <c r="G108" t="s">
        <v>51</v>
      </c>
      <c r="H108" t="s">
        <v>119</v>
      </c>
      <c r="I108" t="s">
        <v>262</v>
      </c>
      <c r="J108" t="s">
        <v>263</v>
      </c>
      <c r="K108">
        <v>673059</v>
      </c>
      <c r="L108" t="s">
        <v>70</v>
      </c>
      <c r="M108" t="s">
        <v>71</v>
      </c>
      <c r="N108" t="s">
        <v>57</v>
      </c>
      <c r="O108" s="1">
        <v>46023</v>
      </c>
      <c r="Q108" s="1">
        <v>46054</v>
      </c>
      <c r="R108" s="2">
        <v>63.95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268.56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44.76</v>
      </c>
      <c r="AM108" s="2">
        <v>0</v>
      </c>
      <c r="AN108" s="2">
        <v>268.56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45985</v>
      </c>
      <c r="B109" t="s">
        <v>48</v>
      </c>
      <c r="C109">
        <v>649163</v>
      </c>
      <c r="D109">
        <v>2032218882</v>
      </c>
      <c r="E109" t="s">
        <v>117</v>
      </c>
      <c r="F109" t="s">
        <v>118</v>
      </c>
      <c r="G109" t="s">
        <v>51</v>
      </c>
      <c r="H109" t="s">
        <v>119</v>
      </c>
      <c r="I109" t="s">
        <v>262</v>
      </c>
      <c r="J109" t="s">
        <v>264</v>
      </c>
      <c r="K109">
        <v>673059</v>
      </c>
      <c r="L109" t="s">
        <v>70</v>
      </c>
      <c r="M109" t="s">
        <v>71</v>
      </c>
      <c r="N109" t="s">
        <v>57</v>
      </c>
      <c r="O109" s="1">
        <v>46023</v>
      </c>
      <c r="Q109" s="1">
        <v>46054</v>
      </c>
      <c r="R109" s="2">
        <v>25.73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108.06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18.010000000000002</v>
      </c>
      <c r="AM109" s="2">
        <v>0</v>
      </c>
      <c r="AN109" s="2">
        <v>108.06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45985</v>
      </c>
      <c r="B110" t="s">
        <v>48</v>
      </c>
      <c r="C110">
        <v>649163</v>
      </c>
      <c r="D110">
        <v>2032221672</v>
      </c>
      <c r="E110" t="s">
        <v>120</v>
      </c>
      <c r="F110" t="s">
        <v>121</v>
      </c>
      <c r="G110" t="s">
        <v>51</v>
      </c>
      <c r="H110" t="s">
        <v>64</v>
      </c>
      <c r="I110" t="s">
        <v>262</v>
      </c>
      <c r="J110" t="s">
        <v>263</v>
      </c>
      <c r="K110">
        <v>766747</v>
      </c>
      <c r="L110" t="s">
        <v>122</v>
      </c>
      <c r="M110" t="s">
        <v>123</v>
      </c>
      <c r="N110" t="s">
        <v>57</v>
      </c>
      <c r="O110" s="1">
        <v>46023</v>
      </c>
      <c r="Q110" s="1">
        <v>46054</v>
      </c>
      <c r="R110" s="2">
        <v>46.08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193.56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32.26</v>
      </c>
      <c r="AM110" s="2">
        <v>0</v>
      </c>
      <c r="AN110" s="2">
        <v>193.56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45985</v>
      </c>
      <c r="B111" t="s">
        <v>48</v>
      </c>
      <c r="C111">
        <v>649163</v>
      </c>
      <c r="D111">
        <v>2032222104</v>
      </c>
      <c r="E111" t="s">
        <v>215</v>
      </c>
      <c r="F111" t="s">
        <v>216</v>
      </c>
      <c r="G111" t="s">
        <v>51</v>
      </c>
      <c r="H111" t="s">
        <v>109</v>
      </c>
      <c r="I111" t="s">
        <v>262</v>
      </c>
      <c r="J111" t="s">
        <v>263</v>
      </c>
      <c r="K111">
        <v>816021</v>
      </c>
      <c r="L111" t="s">
        <v>111</v>
      </c>
      <c r="M111" t="s">
        <v>112</v>
      </c>
      <c r="N111" t="s">
        <v>57</v>
      </c>
      <c r="O111" s="1">
        <v>45979</v>
      </c>
      <c r="Q111" s="1">
        <v>46009</v>
      </c>
      <c r="R111" s="2">
        <v>18.2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76.44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12.74</v>
      </c>
      <c r="AM111" s="2">
        <v>0</v>
      </c>
      <c r="AN111" s="2">
        <v>76.44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45985</v>
      </c>
      <c r="B112" t="s">
        <v>48</v>
      </c>
      <c r="C112">
        <v>649163</v>
      </c>
      <c r="D112">
        <v>2032222373</v>
      </c>
      <c r="E112" t="s">
        <v>217</v>
      </c>
      <c r="F112" t="s">
        <v>267</v>
      </c>
      <c r="G112" t="s">
        <v>51</v>
      </c>
      <c r="H112" t="s">
        <v>219</v>
      </c>
      <c r="I112" t="s">
        <v>262</v>
      </c>
      <c r="J112" t="s">
        <v>263</v>
      </c>
      <c r="K112">
        <v>822733</v>
      </c>
      <c r="L112" t="s">
        <v>220</v>
      </c>
      <c r="M112" t="s">
        <v>221</v>
      </c>
      <c r="N112" t="s">
        <v>57</v>
      </c>
      <c r="O112" s="1">
        <v>45979</v>
      </c>
      <c r="Q112" s="1">
        <v>46009</v>
      </c>
      <c r="R112" s="2">
        <v>45.46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190.92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31.82</v>
      </c>
      <c r="AM112" s="2">
        <v>0</v>
      </c>
      <c r="AN112" s="2">
        <v>190.92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45985</v>
      </c>
      <c r="B113" t="s">
        <v>48</v>
      </c>
      <c r="C113">
        <v>649163</v>
      </c>
      <c r="D113">
        <v>2032222994</v>
      </c>
      <c r="E113" t="s">
        <v>268</v>
      </c>
      <c r="F113" t="s">
        <v>269</v>
      </c>
      <c r="G113" t="s">
        <v>51</v>
      </c>
      <c r="H113" t="s">
        <v>270</v>
      </c>
      <c r="I113" t="s">
        <v>262</v>
      </c>
      <c r="J113" t="s">
        <v>263</v>
      </c>
      <c r="K113">
        <v>756418</v>
      </c>
      <c r="L113" t="s">
        <v>271</v>
      </c>
      <c r="M113" t="s">
        <v>272</v>
      </c>
      <c r="N113" t="s">
        <v>57</v>
      </c>
      <c r="O113" s="1">
        <v>45979</v>
      </c>
      <c r="Q113" s="1">
        <v>46009</v>
      </c>
      <c r="R113" s="2">
        <v>15.29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64.2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10.7</v>
      </c>
      <c r="AM113" s="2">
        <v>0</v>
      </c>
      <c r="AN113" s="2">
        <v>64.2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45985</v>
      </c>
      <c r="B114" t="s">
        <v>48</v>
      </c>
      <c r="C114">
        <v>649163</v>
      </c>
      <c r="D114">
        <v>2032223333</v>
      </c>
      <c r="E114" t="s">
        <v>217</v>
      </c>
      <c r="F114" t="s">
        <v>218</v>
      </c>
      <c r="G114" t="s">
        <v>51</v>
      </c>
      <c r="H114" t="s">
        <v>219</v>
      </c>
      <c r="I114" t="s">
        <v>262</v>
      </c>
      <c r="J114" t="s">
        <v>263</v>
      </c>
      <c r="K114">
        <v>822733</v>
      </c>
      <c r="L114" t="s">
        <v>220</v>
      </c>
      <c r="M114" t="s">
        <v>221</v>
      </c>
      <c r="N114" t="s">
        <v>57</v>
      </c>
      <c r="O114" s="1">
        <v>45980</v>
      </c>
      <c r="Q114" s="1">
        <v>46010</v>
      </c>
      <c r="R114" s="2">
        <v>85.36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358.5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59.75</v>
      </c>
      <c r="AM114" s="2">
        <v>0</v>
      </c>
      <c r="AN114" s="2">
        <v>358.5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45985</v>
      </c>
      <c r="B115" t="s">
        <v>48</v>
      </c>
      <c r="C115">
        <v>649163</v>
      </c>
      <c r="D115">
        <v>2032225156</v>
      </c>
      <c r="E115" t="s">
        <v>124</v>
      </c>
      <c r="F115" t="s">
        <v>68</v>
      </c>
      <c r="G115" t="s">
        <v>51</v>
      </c>
      <c r="H115" t="s">
        <v>95</v>
      </c>
      <c r="I115" t="s">
        <v>262</v>
      </c>
      <c r="J115" t="s">
        <v>264</v>
      </c>
      <c r="K115">
        <v>823068</v>
      </c>
      <c r="L115" t="s">
        <v>125</v>
      </c>
      <c r="M115" t="s">
        <v>126</v>
      </c>
      <c r="N115" t="s">
        <v>57</v>
      </c>
      <c r="O115" s="1">
        <v>45992</v>
      </c>
      <c r="Q115" s="1">
        <v>46023</v>
      </c>
      <c r="R115" s="2">
        <v>24.61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103.38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17.23</v>
      </c>
      <c r="AM115" s="2">
        <v>0</v>
      </c>
      <c r="AN115" s="2">
        <v>103.38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45985</v>
      </c>
      <c r="B116" t="s">
        <v>48</v>
      </c>
      <c r="C116">
        <v>649163</v>
      </c>
      <c r="D116">
        <v>2032226248</v>
      </c>
      <c r="E116" t="s">
        <v>273</v>
      </c>
      <c r="F116" t="s">
        <v>274</v>
      </c>
      <c r="G116" t="s">
        <v>51</v>
      </c>
      <c r="H116" t="s">
        <v>105</v>
      </c>
      <c r="I116" t="s">
        <v>262</v>
      </c>
      <c r="J116" t="s">
        <v>263</v>
      </c>
      <c r="K116">
        <v>867497</v>
      </c>
      <c r="L116" t="s">
        <v>275</v>
      </c>
      <c r="M116" t="s">
        <v>276</v>
      </c>
      <c r="N116" t="s">
        <v>57</v>
      </c>
      <c r="O116" s="1">
        <v>45992</v>
      </c>
      <c r="Q116" s="1">
        <v>46023</v>
      </c>
      <c r="R116" s="2">
        <v>10.75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45.12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7.52</v>
      </c>
      <c r="AM116" s="2">
        <v>0</v>
      </c>
      <c r="AN116" s="2">
        <v>45.12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45985</v>
      </c>
      <c r="B117" t="s">
        <v>48</v>
      </c>
      <c r="C117">
        <v>649163</v>
      </c>
      <c r="D117">
        <v>2032226955</v>
      </c>
      <c r="E117" t="s">
        <v>178</v>
      </c>
      <c r="F117" t="s">
        <v>179</v>
      </c>
      <c r="G117" t="s">
        <v>51</v>
      </c>
      <c r="H117" t="s">
        <v>64</v>
      </c>
      <c r="I117" t="s">
        <v>262</v>
      </c>
      <c r="J117" t="s">
        <v>265</v>
      </c>
      <c r="K117">
        <v>820873</v>
      </c>
      <c r="L117" t="s">
        <v>101</v>
      </c>
      <c r="M117" t="s">
        <v>102</v>
      </c>
      <c r="N117" t="s">
        <v>57</v>
      </c>
      <c r="O117" s="1">
        <v>45992</v>
      </c>
      <c r="Q117" s="1">
        <v>46023</v>
      </c>
      <c r="R117" s="2">
        <v>51.25</v>
      </c>
      <c r="S117">
        <v>1</v>
      </c>
      <c r="T117" t="s">
        <v>58</v>
      </c>
      <c r="U117" t="s">
        <v>59</v>
      </c>
      <c r="V117" s="3">
        <v>0.9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276.72000000000003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46.12</v>
      </c>
      <c r="AM117" s="2">
        <v>0</v>
      </c>
      <c r="AN117" s="2">
        <v>276.72000000000003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45985</v>
      </c>
      <c r="B118" t="s">
        <v>48</v>
      </c>
      <c r="C118">
        <v>649163</v>
      </c>
      <c r="D118">
        <v>2032229006</v>
      </c>
      <c r="E118" t="s">
        <v>277</v>
      </c>
      <c r="F118" t="s">
        <v>278</v>
      </c>
      <c r="G118" t="s">
        <v>51</v>
      </c>
      <c r="H118" t="s">
        <v>64</v>
      </c>
      <c r="I118" t="s">
        <v>262</v>
      </c>
      <c r="J118" t="s">
        <v>263</v>
      </c>
      <c r="K118">
        <v>806645</v>
      </c>
      <c r="L118" t="s">
        <v>213</v>
      </c>
      <c r="M118" t="s">
        <v>214</v>
      </c>
      <c r="N118" t="s">
        <v>57</v>
      </c>
      <c r="O118" s="1">
        <v>45980</v>
      </c>
      <c r="Q118" s="1">
        <v>46010</v>
      </c>
      <c r="R118" s="2">
        <v>58.24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244.62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40.770000000000003</v>
      </c>
      <c r="AM118" s="2">
        <v>0</v>
      </c>
      <c r="AN118" s="2">
        <v>244.62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45985</v>
      </c>
      <c r="B119" t="s">
        <v>48</v>
      </c>
      <c r="C119">
        <v>649163</v>
      </c>
      <c r="D119">
        <v>2032231789</v>
      </c>
      <c r="E119" t="s">
        <v>279</v>
      </c>
      <c r="F119" t="s">
        <v>280</v>
      </c>
      <c r="G119" t="s">
        <v>51</v>
      </c>
      <c r="H119" t="s">
        <v>95</v>
      </c>
      <c r="I119" t="s">
        <v>262</v>
      </c>
      <c r="J119" t="s">
        <v>265</v>
      </c>
      <c r="K119">
        <v>823068</v>
      </c>
      <c r="L119" t="s">
        <v>125</v>
      </c>
      <c r="M119" t="s">
        <v>126</v>
      </c>
      <c r="N119" t="s">
        <v>57</v>
      </c>
      <c r="O119" s="1">
        <v>45980</v>
      </c>
      <c r="Q119" s="1">
        <v>46010</v>
      </c>
      <c r="R119" s="2">
        <v>35.85</v>
      </c>
      <c r="S119">
        <v>1</v>
      </c>
      <c r="T119" t="s">
        <v>58</v>
      </c>
      <c r="U119" t="s">
        <v>59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193.56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32.26</v>
      </c>
      <c r="AM119" s="2">
        <v>0</v>
      </c>
      <c r="AN119" s="2">
        <v>193.56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45985</v>
      </c>
      <c r="B120" t="s">
        <v>48</v>
      </c>
      <c r="C120">
        <v>649163</v>
      </c>
      <c r="D120">
        <v>2032232354</v>
      </c>
      <c r="E120" t="s">
        <v>127</v>
      </c>
      <c r="F120" t="s">
        <v>128</v>
      </c>
      <c r="G120" t="s">
        <v>51</v>
      </c>
      <c r="H120" t="s">
        <v>129</v>
      </c>
      <c r="I120" t="s">
        <v>262</v>
      </c>
      <c r="J120" t="s">
        <v>263</v>
      </c>
      <c r="K120">
        <v>824062</v>
      </c>
      <c r="L120" t="s">
        <v>115</v>
      </c>
      <c r="M120" t="s">
        <v>116</v>
      </c>
      <c r="N120" t="s">
        <v>57</v>
      </c>
      <c r="O120" s="1">
        <v>46023</v>
      </c>
      <c r="Q120" s="1">
        <v>46054</v>
      </c>
      <c r="R120" s="2">
        <v>29.48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123.84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20.64</v>
      </c>
      <c r="AM120" s="2">
        <v>0</v>
      </c>
      <c r="AN120" s="2">
        <v>123.84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45985</v>
      </c>
      <c r="B121" t="s">
        <v>48</v>
      </c>
      <c r="C121">
        <v>649163</v>
      </c>
      <c r="D121">
        <v>2032233321</v>
      </c>
      <c r="E121" t="s">
        <v>225</v>
      </c>
      <c r="F121" t="s">
        <v>226</v>
      </c>
      <c r="G121" t="s">
        <v>51</v>
      </c>
      <c r="H121" t="s">
        <v>64</v>
      </c>
      <c r="I121" t="s">
        <v>262</v>
      </c>
      <c r="J121" t="s">
        <v>263</v>
      </c>
      <c r="K121">
        <v>843573</v>
      </c>
      <c r="L121" t="s">
        <v>227</v>
      </c>
      <c r="M121" t="s">
        <v>228</v>
      </c>
      <c r="N121" t="s">
        <v>57</v>
      </c>
      <c r="O121" s="1">
        <v>45981</v>
      </c>
      <c r="Q121" s="1">
        <v>46011</v>
      </c>
      <c r="R121" s="2">
        <v>11.5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48.3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8.0500000000000007</v>
      </c>
      <c r="AM121" s="2">
        <v>0</v>
      </c>
      <c r="AN121" s="2">
        <v>48.3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45985</v>
      </c>
      <c r="B122" t="s">
        <v>48</v>
      </c>
      <c r="C122">
        <v>649163</v>
      </c>
      <c r="D122">
        <v>2032233383</v>
      </c>
      <c r="E122" t="s">
        <v>281</v>
      </c>
      <c r="F122" t="s">
        <v>282</v>
      </c>
      <c r="G122" t="s">
        <v>51</v>
      </c>
      <c r="H122" t="s">
        <v>183</v>
      </c>
      <c r="I122" t="s">
        <v>262</v>
      </c>
      <c r="J122" t="s">
        <v>263</v>
      </c>
      <c r="K122">
        <v>767312</v>
      </c>
      <c r="L122" t="s">
        <v>156</v>
      </c>
      <c r="M122" t="s">
        <v>157</v>
      </c>
      <c r="N122" t="s">
        <v>57</v>
      </c>
      <c r="O122" s="1">
        <v>46023</v>
      </c>
      <c r="Q122" s="1">
        <v>46054</v>
      </c>
      <c r="R122" s="2">
        <v>135.72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570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95</v>
      </c>
      <c r="AM122" s="2">
        <v>0</v>
      </c>
      <c r="AN122" s="2">
        <v>570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45985</v>
      </c>
      <c r="B123" t="s">
        <v>48</v>
      </c>
      <c r="C123">
        <v>649163</v>
      </c>
      <c r="D123">
        <v>2032234325</v>
      </c>
      <c r="E123" t="s">
        <v>229</v>
      </c>
      <c r="F123" t="s">
        <v>230</v>
      </c>
      <c r="G123" t="s">
        <v>51</v>
      </c>
      <c r="H123" t="s">
        <v>64</v>
      </c>
      <c r="I123" t="s">
        <v>262</v>
      </c>
      <c r="J123" t="s">
        <v>263</v>
      </c>
      <c r="K123">
        <v>768887</v>
      </c>
      <c r="L123" t="s">
        <v>231</v>
      </c>
      <c r="M123" t="s">
        <v>232</v>
      </c>
      <c r="N123" t="s">
        <v>57</v>
      </c>
      <c r="O123" s="1">
        <v>45980</v>
      </c>
      <c r="Q123" s="1">
        <v>46010</v>
      </c>
      <c r="R123" s="2">
        <v>72.760000000000005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305.58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50.93</v>
      </c>
      <c r="AM123" s="2">
        <v>0</v>
      </c>
      <c r="AN123" s="2">
        <v>305.58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45985</v>
      </c>
      <c r="B124" t="s">
        <v>48</v>
      </c>
      <c r="C124">
        <v>649163</v>
      </c>
      <c r="D124">
        <v>2032235779</v>
      </c>
      <c r="E124" t="s">
        <v>130</v>
      </c>
      <c r="F124" t="s">
        <v>131</v>
      </c>
      <c r="G124" t="s">
        <v>51</v>
      </c>
      <c r="H124" t="s">
        <v>132</v>
      </c>
      <c r="I124" t="s">
        <v>262</v>
      </c>
      <c r="J124" t="s">
        <v>263</v>
      </c>
      <c r="K124">
        <v>824062</v>
      </c>
      <c r="L124" t="s">
        <v>115</v>
      </c>
      <c r="M124" t="s">
        <v>116</v>
      </c>
      <c r="N124" t="s">
        <v>57</v>
      </c>
      <c r="O124" s="1">
        <v>46023</v>
      </c>
      <c r="Q124" s="1">
        <v>46054</v>
      </c>
      <c r="R124" s="2">
        <v>29.6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124.32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20.72</v>
      </c>
      <c r="AM124" s="2">
        <v>0</v>
      </c>
      <c r="AN124" s="2">
        <v>124.32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45985</v>
      </c>
      <c r="B125" t="s">
        <v>48</v>
      </c>
      <c r="C125">
        <v>649163</v>
      </c>
      <c r="D125">
        <v>2032236389</v>
      </c>
      <c r="E125" t="s">
        <v>283</v>
      </c>
      <c r="F125" t="s">
        <v>284</v>
      </c>
      <c r="G125" t="s">
        <v>51</v>
      </c>
      <c r="H125" t="s">
        <v>155</v>
      </c>
      <c r="I125" t="s">
        <v>262</v>
      </c>
      <c r="J125" t="s">
        <v>263</v>
      </c>
      <c r="K125">
        <v>767312</v>
      </c>
      <c r="L125" t="s">
        <v>156</v>
      </c>
      <c r="M125" t="s">
        <v>157</v>
      </c>
      <c r="N125" t="s">
        <v>57</v>
      </c>
      <c r="O125" s="1">
        <v>45980</v>
      </c>
      <c r="Q125" s="1">
        <v>46010</v>
      </c>
      <c r="R125" s="2">
        <v>55.68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233.88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38.979999999999997</v>
      </c>
      <c r="AM125" s="2">
        <v>0</v>
      </c>
      <c r="AN125" s="2">
        <v>233.88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45985</v>
      </c>
      <c r="B126" t="s">
        <v>48</v>
      </c>
      <c r="C126">
        <v>649163</v>
      </c>
      <c r="D126">
        <v>2032236390</v>
      </c>
      <c r="E126" t="s">
        <v>283</v>
      </c>
      <c r="F126" t="s">
        <v>284</v>
      </c>
      <c r="G126" t="s">
        <v>51</v>
      </c>
      <c r="H126" t="s">
        <v>155</v>
      </c>
      <c r="I126" t="s">
        <v>262</v>
      </c>
      <c r="J126" t="s">
        <v>265</v>
      </c>
      <c r="K126">
        <v>767312</v>
      </c>
      <c r="L126" t="s">
        <v>156</v>
      </c>
      <c r="M126" t="s">
        <v>157</v>
      </c>
      <c r="N126" t="s">
        <v>57</v>
      </c>
      <c r="O126" s="1">
        <v>45980</v>
      </c>
      <c r="Q126" s="1">
        <v>46010</v>
      </c>
      <c r="R126" s="2">
        <v>21.83</v>
      </c>
      <c r="S126">
        <v>1</v>
      </c>
      <c r="T126" t="s">
        <v>58</v>
      </c>
      <c r="U126" t="s">
        <v>59</v>
      </c>
      <c r="V126" s="3">
        <v>0.9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117.9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19.649999999999999</v>
      </c>
      <c r="AM126" s="2">
        <v>0</v>
      </c>
      <c r="AN126" s="2">
        <v>117.9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45985</v>
      </c>
      <c r="B127" t="s">
        <v>48</v>
      </c>
      <c r="C127">
        <v>649163</v>
      </c>
      <c r="D127">
        <v>2032237311</v>
      </c>
      <c r="E127" t="s">
        <v>285</v>
      </c>
      <c r="F127" t="s">
        <v>286</v>
      </c>
      <c r="G127" t="s">
        <v>51</v>
      </c>
      <c r="H127" t="s">
        <v>64</v>
      </c>
      <c r="I127" t="s">
        <v>262</v>
      </c>
      <c r="J127" t="s">
        <v>263</v>
      </c>
      <c r="K127">
        <v>813184</v>
      </c>
      <c r="L127" t="s">
        <v>142</v>
      </c>
      <c r="M127" t="s">
        <v>143</v>
      </c>
      <c r="N127" t="s">
        <v>57</v>
      </c>
      <c r="O127" s="1">
        <v>45981</v>
      </c>
      <c r="Q127" s="1">
        <v>46011</v>
      </c>
      <c r="R127" s="2">
        <v>78.400000000000006</v>
      </c>
      <c r="S127">
        <v>1</v>
      </c>
      <c r="T127" t="s">
        <v>58</v>
      </c>
      <c r="U127" t="s">
        <v>59</v>
      </c>
      <c r="V127" s="3">
        <v>0.7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329.28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54.88</v>
      </c>
      <c r="AM127" s="2">
        <v>0</v>
      </c>
      <c r="AN127" s="2">
        <v>329.28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45985</v>
      </c>
      <c r="B128" t="s">
        <v>48</v>
      </c>
      <c r="C128">
        <v>649163</v>
      </c>
      <c r="D128">
        <v>2032238786</v>
      </c>
      <c r="E128" t="s">
        <v>133</v>
      </c>
      <c r="F128" t="s">
        <v>134</v>
      </c>
      <c r="G128" t="s">
        <v>51</v>
      </c>
      <c r="H128" t="s">
        <v>135</v>
      </c>
      <c r="I128" t="s">
        <v>262</v>
      </c>
      <c r="J128" t="s">
        <v>263</v>
      </c>
      <c r="K128">
        <v>673059</v>
      </c>
      <c r="L128" t="s">
        <v>70</v>
      </c>
      <c r="M128" t="s">
        <v>71</v>
      </c>
      <c r="N128" t="s">
        <v>57</v>
      </c>
      <c r="O128" s="1">
        <v>46023</v>
      </c>
      <c r="Q128" s="1">
        <v>46054</v>
      </c>
      <c r="R128" s="2">
        <v>68.61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288.18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48.03</v>
      </c>
      <c r="AM128" s="2">
        <v>0</v>
      </c>
      <c r="AN128" s="2">
        <v>288.18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45985</v>
      </c>
      <c r="B129" t="s">
        <v>48</v>
      </c>
      <c r="C129">
        <v>649163</v>
      </c>
      <c r="D129">
        <v>2032241668</v>
      </c>
      <c r="E129" t="s">
        <v>287</v>
      </c>
      <c r="F129" t="s">
        <v>288</v>
      </c>
      <c r="G129" t="s">
        <v>51</v>
      </c>
      <c r="H129" t="s">
        <v>135</v>
      </c>
      <c r="I129" t="s">
        <v>262</v>
      </c>
      <c r="J129" t="s">
        <v>263</v>
      </c>
      <c r="K129">
        <v>822865</v>
      </c>
      <c r="L129" t="s">
        <v>148</v>
      </c>
      <c r="M129" t="s">
        <v>149</v>
      </c>
      <c r="N129" t="s">
        <v>57</v>
      </c>
      <c r="O129" s="1">
        <v>45982</v>
      </c>
      <c r="Q129" s="1">
        <v>46012</v>
      </c>
      <c r="R129" s="2">
        <v>176.94</v>
      </c>
      <c r="S129">
        <v>1</v>
      </c>
      <c r="T129" t="s">
        <v>58</v>
      </c>
      <c r="U129" t="s">
        <v>59</v>
      </c>
      <c r="V129" s="3">
        <v>0.7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743.16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123.86</v>
      </c>
      <c r="AM129" s="2">
        <v>0</v>
      </c>
      <c r="AN129" s="2">
        <v>743.16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45985</v>
      </c>
      <c r="B130" t="s">
        <v>48</v>
      </c>
      <c r="C130">
        <v>649163</v>
      </c>
      <c r="D130">
        <v>2032242441</v>
      </c>
      <c r="E130" t="s">
        <v>289</v>
      </c>
      <c r="F130" t="s">
        <v>290</v>
      </c>
      <c r="G130" t="s">
        <v>51</v>
      </c>
      <c r="H130" t="s">
        <v>64</v>
      </c>
      <c r="I130" t="s">
        <v>262</v>
      </c>
      <c r="J130" t="s">
        <v>263</v>
      </c>
      <c r="K130">
        <v>669316</v>
      </c>
      <c r="L130" t="s">
        <v>291</v>
      </c>
      <c r="M130" t="s">
        <v>292</v>
      </c>
      <c r="N130" t="s">
        <v>57</v>
      </c>
      <c r="O130" s="1">
        <v>46023</v>
      </c>
      <c r="Q130" s="1">
        <v>46054</v>
      </c>
      <c r="R130" s="2">
        <v>96</v>
      </c>
      <c r="S130">
        <v>1</v>
      </c>
      <c r="T130" t="s">
        <v>58</v>
      </c>
      <c r="U130" t="s">
        <v>59</v>
      </c>
      <c r="V130" s="3">
        <v>0.7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403.2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67.2</v>
      </c>
      <c r="AM130" s="2">
        <v>0</v>
      </c>
      <c r="AN130" s="2">
        <v>403.2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45985</v>
      </c>
      <c r="B131" t="s">
        <v>48</v>
      </c>
      <c r="C131">
        <v>649163</v>
      </c>
      <c r="D131">
        <v>2032245740</v>
      </c>
      <c r="E131" t="s">
        <v>293</v>
      </c>
      <c r="F131" t="s">
        <v>210</v>
      </c>
      <c r="G131" t="s">
        <v>51</v>
      </c>
      <c r="H131" t="s">
        <v>294</v>
      </c>
      <c r="I131" t="s">
        <v>262</v>
      </c>
      <c r="J131" t="s">
        <v>265</v>
      </c>
      <c r="K131">
        <v>767312</v>
      </c>
      <c r="L131" t="s">
        <v>156</v>
      </c>
      <c r="M131" t="s">
        <v>157</v>
      </c>
      <c r="N131" t="s">
        <v>57</v>
      </c>
      <c r="O131" s="1">
        <v>45982</v>
      </c>
      <c r="Q131" s="1">
        <v>46012</v>
      </c>
      <c r="R131" s="2">
        <v>74.92</v>
      </c>
      <c r="S131">
        <v>1</v>
      </c>
      <c r="T131" t="s">
        <v>58</v>
      </c>
      <c r="U131" t="s">
        <v>59</v>
      </c>
      <c r="V131" s="3">
        <v>0.9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404.58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67.430000000000007</v>
      </c>
      <c r="AM131" s="2">
        <v>0</v>
      </c>
      <c r="AN131" s="2">
        <v>404.58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45985</v>
      </c>
      <c r="B132" t="s">
        <v>48</v>
      </c>
      <c r="C132">
        <v>649163</v>
      </c>
      <c r="D132">
        <v>2032247100</v>
      </c>
      <c r="E132" t="s">
        <v>295</v>
      </c>
      <c r="F132" t="s">
        <v>296</v>
      </c>
      <c r="G132" t="s">
        <v>51</v>
      </c>
      <c r="H132" t="s">
        <v>64</v>
      </c>
      <c r="I132" t="s">
        <v>262</v>
      </c>
      <c r="J132" t="s">
        <v>263</v>
      </c>
      <c r="K132">
        <v>669316</v>
      </c>
      <c r="L132" t="s">
        <v>291</v>
      </c>
      <c r="M132" t="s">
        <v>292</v>
      </c>
      <c r="N132" t="s">
        <v>57</v>
      </c>
      <c r="O132" s="1">
        <v>46023</v>
      </c>
      <c r="Q132" s="1">
        <v>46054</v>
      </c>
      <c r="R132" s="2">
        <v>153.66999999999999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645.41999999999996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107.57</v>
      </c>
      <c r="AM132" s="2">
        <v>0</v>
      </c>
      <c r="AN132" s="2">
        <v>645.41999999999996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45985</v>
      </c>
      <c r="B133" t="s">
        <v>48</v>
      </c>
      <c r="C133">
        <v>649163</v>
      </c>
      <c r="D133">
        <v>2032247823</v>
      </c>
      <c r="E133" t="s">
        <v>76</v>
      </c>
      <c r="F133" t="s">
        <v>77</v>
      </c>
      <c r="G133" t="s">
        <v>51</v>
      </c>
      <c r="H133" t="s">
        <v>64</v>
      </c>
      <c r="I133" t="s">
        <v>262</v>
      </c>
      <c r="J133" t="s">
        <v>263</v>
      </c>
      <c r="K133">
        <v>894525</v>
      </c>
      <c r="L133" t="s">
        <v>65</v>
      </c>
      <c r="M133" t="s">
        <v>66</v>
      </c>
      <c r="N133" t="s">
        <v>57</v>
      </c>
      <c r="O133" s="1">
        <v>46023</v>
      </c>
      <c r="Q133" s="1">
        <v>46054</v>
      </c>
      <c r="R133" s="2">
        <v>27.5</v>
      </c>
      <c r="S133">
        <v>1</v>
      </c>
      <c r="T133" t="s">
        <v>58</v>
      </c>
      <c r="U133" t="s">
        <v>59</v>
      </c>
      <c r="V133" s="3">
        <v>0.7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115.5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19.25</v>
      </c>
      <c r="AM133" s="2">
        <v>0</v>
      </c>
      <c r="AN133" s="2">
        <v>115.5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45985</v>
      </c>
      <c r="B134" t="s">
        <v>48</v>
      </c>
      <c r="C134">
        <v>649163</v>
      </c>
      <c r="D134">
        <v>2032248634</v>
      </c>
      <c r="E134" t="s">
        <v>184</v>
      </c>
      <c r="F134" t="s">
        <v>185</v>
      </c>
      <c r="G134" t="s">
        <v>51</v>
      </c>
      <c r="H134" t="s">
        <v>64</v>
      </c>
      <c r="I134" t="s">
        <v>262</v>
      </c>
      <c r="J134" t="s">
        <v>263</v>
      </c>
      <c r="K134">
        <v>894525</v>
      </c>
      <c r="L134" t="s">
        <v>65</v>
      </c>
      <c r="M134" t="s">
        <v>66</v>
      </c>
      <c r="N134" t="s">
        <v>57</v>
      </c>
      <c r="O134" s="1">
        <v>46023</v>
      </c>
      <c r="Q134" s="1">
        <v>46054</v>
      </c>
      <c r="R134" s="2">
        <v>26.5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111.3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18.55</v>
      </c>
      <c r="AM134" s="2">
        <v>0</v>
      </c>
      <c r="AN134" s="2">
        <v>111.3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45985</v>
      </c>
      <c r="B135" t="s">
        <v>48</v>
      </c>
      <c r="C135">
        <v>649163</v>
      </c>
      <c r="D135">
        <v>2032249283</v>
      </c>
      <c r="E135" t="s">
        <v>136</v>
      </c>
      <c r="F135" t="s">
        <v>137</v>
      </c>
      <c r="G135" t="s">
        <v>51</v>
      </c>
      <c r="H135" t="s">
        <v>64</v>
      </c>
      <c r="I135" t="s">
        <v>262</v>
      </c>
      <c r="J135" t="s">
        <v>263</v>
      </c>
      <c r="K135">
        <v>824062</v>
      </c>
      <c r="L135" t="s">
        <v>115</v>
      </c>
      <c r="M135" t="s">
        <v>116</v>
      </c>
      <c r="N135" t="s">
        <v>57</v>
      </c>
      <c r="O135" s="1">
        <v>46023</v>
      </c>
      <c r="Q135" s="1">
        <v>46054</v>
      </c>
      <c r="R135" s="2">
        <v>27.5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115.5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19.25</v>
      </c>
      <c r="AM135" s="2">
        <v>0</v>
      </c>
      <c r="AN135" s="2">
        <v>115.5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45985</v>
      </c>
      <c r="B136" t="s">
        <v>48</v>
      </c>
      <c r="C136">
        <v>649163</v>
      </c>
      <c r="D136">
        <v>2032249286</v>
      </c>
      <c r="E136" t="s">
        <v>136</v>
      </c>
      <c r="F136" t="s">
        <v>137</v>
      </c>
      <c r="G136" t="s">
        <v>51</v>
      </c>
      <c r="H136" t="s">
        <v>64</v>
      </c>
      <c r="I136" t="s">
        <v>262</v>
      </c>
      <c r="J136" t="s">
        <v>265</v>
      </c>
      <c r="K136">
        <v>824062</v>
      </c>
      <c r="L136" t="s">
        <v>115</v>
      </c>
      <c r="M136" t="s">
        <v>116</v>
      </c>
      <c r="N136" t="s">
        <v>57</v>
      </c>
      <c r="O136" s="1">
        <v>46023</v>
      </c>
      <c r="Q136" s="1">
        <v>46054</v>
      </c>
      <c r="R136" s="2">
        <v>114.25</v>
      </c>
      <c r="S136">
        <v>1</v>
      </c>
      <c r="T136" t="s">
        <v>58</v>
      </c>
      <c r="U136" t="s">
        <v>59</v>
      </c>
      <c r="V136" s="3">
        <v>0.9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616.91999999999996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102.82</v>
      </c>
      <c r="AM136" s="2">
        <v>0</v>
      </c>
      <c r="AN136" s="2">
        <v>616.91999999999996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45985</v>
      </c>
      <c r="B137" t="s">
        <v>48</v>
      </c>
      <c r="C137">
        <v>649163</v>
      </c>
      <c r="D137">
        <v>2032250175</v>
      </c>
      <c r="E137" t="s">
        <v>236</v>
      </c>
      <c r="F137" t="s">
        <v>195</v>
      </c>
      <c r="G137" t="s">
        <v>51</v>
      </c>
      <c r="H137" t="s">
        <v>64</v>
      </c>
      <c r="I137" t="s">
        <v>262</v>
      </c>
      <c r="J137" t="s">
        <v>263</v>
      </c>
      <c r="K137">
        <v>813184</v>
      </c>
      <c r="L137" t="s">
        <v>142</v>
      </c>
      <c r="M137" t="s">
        <v>143</v>
      </c>
      <c r="N137" t="s">
        <v>57</v>
      </c>
      <c r="O137" s="1">
        <v>45981</v>
      </c>
      <c r="Q137" s="1">
        <v>46011</v>
      </c>
      <c r="R137" s="2">
        <v>11.5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48.3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8.0500000000000007</v>
      </c>
      <c r="AM137" s="2">
        <v>0</v>
      </c>
      <c r="AN137" s="2">
        <v>48.3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45985</v>
      </c>
      <c r="B138" t="s">
        <v>48</v>
      </c>
      <c r="C138">
        <v>649163</v>
      </c>
      <c r="D138">
        <v>2032253422</v>
      </c>
      <c r="E138" t="s">
        <v>237</v>
      </c>
      <c r="F138" t="s">
        <v>238</v>
      </c>
      <c r="G138" t="s">
        <v>51</v>
      </c>
      <c r="H138" t="s">
        <v>64</v>
      </c>
      <c r="I138" t="s">
        <v>262</v>
      </c>
      <c r="J138" t="s">
        <v>263</v>
      </c>
      <c r="K138">
        <v>824062</v>
      </c>
      <c r="L138" t="s">
        <v>115</v>
      </c>
      <c r="M138" t="s">
        <v>116</v>
      </c>
      <c r="N138" t="s">
        <v>57</v>
      </c>
      <c r="O138" s="1">
        <v>46023</v>
      </c>
      <c r="Q138" s="1">
        <v>46054</v>
      </c>
      <c r="R138" s="2">
        <v>27.5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115.5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19.25</v>
      </c>
      <c r="AM138" s="2">
        <v>0</v>
      </c>
      <c r="AN138" s="2">
        <v>115.5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45985</v>
      </c>
      <c r="B139" t="s">
        <v>48</v>
      </c>
      <c r="C139">
        <v>649163</v>
      </c>
      <c r="D139">
        <v>2032254515</v>
      </c>
      <c r="E139" t="s">
        <v>186</v>
      </c>
      <c r="F139" t="s">
        <v>187</v>
      </c>
      <c r="G139" t="s">
        <v>51</v>
      </c>
      <c r="H139" t="s">
        <v>64</v>
      </c>
      <c r="I139" t="s">
        <v>262</v>
      </c>
      <c r="J139" t="s">
        <v>263</v>
      </c>
      <c r="K139">
        <v>894525</v>
      </c>
      <c r="L139" t="s">
        <v>65</v>
      </c>
      <c r="M139" t="s">
        <v>66</v>
      </c>
      <c r="N139" t="s">
        <v>57</v>
      </c>
      <c r="O139" s="1">
        <v>46023</v>
      </c>
      <c r="Q139" s="1">
        <v>46054</v>
      </c>
      <c r="R139" s="2">
        <v>34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142.80000000000001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23.8</v>
      </c>
      <c r="AM139" s="2">
        <v>0</v>
      </c>
      <c r="AN139" s="2">
        <v>142.80000000000001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45985</v>
      </c>
      <c r="B140" t="s">
        <v>48</v>
      </c>
      <c r="C140">
        <v>649163</v>
      </c>
      <c r="D140">
        <v>2032254534</v>
      </c>
      <c r="E140" t="s">
        <v>239</v>
      </c>
      <c r="F140" t="s">
        <v>240</v>
      </c>
      <c r="G140" t="s">
        <v>51</v>
      </c>
      <c r="H140" t="s">
        <v>64</v>
      </c>
      <c r="I140" t="s">
        <v>262</v>
      </c>
      <c r="J140" t="s">
        <v>263</v>
      </c>
      <c r="K140">
        <v>824062</v>
      </c>
      <c r="L140" t="s">
        <v>115</v>
      </c>
      <c r="M140" t="s">
        <v>116</v>
      </c>
      <c r="N140" t="s">
        <v>57</v>
      </c>
      <c r="O140" s="1">
        <v>46023</v>
      </c>
      <c r="Q140" s="1">
        <v>46054</v>
      </c>
      <c r="R140" s="2">
        <v>27.5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115.5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19.25</v>
      </c>
      <c r="AM140" s="2">
        <v>0</v>
      </c>
      <c r="AN140" s="2">
        <v>115.5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45985</v>
      </c>
      <c r="B141" t="s">
        <v>48</v>
      </c>
      <c r="C141">
        <v>649163</v>
      </c>
      <c r="D141">
        <v>2032255258</v>
      </c>
      <c r="E141" t="s">
        <v>297</v>
      </c>
      <c r="F141" t="s">
        <v>298</v>
      </c>
      <c r="G141" t="s">
        <v>51</v>
      </c>
      <c r="H141" t="s">
        <v>64</v>
      </c>
      <c r="I141" t="s">
        <v>262</v>
      </c>
      <c r="J141" t="s">
        <v>263</v>
      </c>
      <c r="K141">
        <v>813184</v>
      </c>
      <c r="L141" t="s">
        <v>142</v>
      </c>
      <c r="M141" t="s">
        <v>143</v>
      </c>
      <c r="N141" t="s">
        <v>57</v>
      </c>
      <c r="O141" s="1">
        <v>45982</v>
      </c>
      <c r="Q141" s="1">
        <v>46012</v>
      </c>
      <c r="R141" s="2">
        <v>46.08</v>
      </c>
      <c r="S141">
        <v>1</v>
      </c>
      <c r="T141" t="s">
        <v>58</v>
      </c>
      <c r="U141" t="s">
        <v>59</v>
      </c>
      <c r="V141" s="3">
        <v>0.7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193.56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32.26</v>
      </c>
      <c r="AM141" s="2">
        <v>0</v>
      </c>
      <c r="AN141" s="2">
        <v>193.56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45985</v>
      </c>
      <c r="B142" t="s">
        <v>48</v>
      </c>
      <c r="C142">
        <v>649163</v>
      </c>
      <c r="D142">
        <v>2032256023</v>
      </c>
      <c r="E142" t="s">
        <v>241</v>
      </c>
      <c r="F142" t="s">
        <v>242</v>
      </c>
      <c r="G142" t="s">
        <v>51</v>
      </c>
      <c r="H142" t="s">
        <v>109</v>
      </c>
      <c r="I142" t="s">
        <v>262</v>
      </c>
      <c r="J142" t="s">
        <v>263</v>
      </c>
      <c r="K142">
        <v>796984</v>
      </c>
      <c r="L142" t="s">
        <v>243</v>
      </c>
      <c r="M142" t="s">
        <v>81</v>
      </c>
      <c r="N142" t="s">
        <v>57</v>
      </c>
      <c r="O142" s="1">
        <v>45981</v>
      </c>
      <c r="Q142" s="1">
        <v>46011</v>
      </c>
      <c r="R142" s="2">
        <v>9.1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38.22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6.37</v>
      </c>
      <c r="AM142" s="2">
        <v>0</v>
      </c>
      <c r="AN142" s="2">
        <v>38.22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45985</v>
      </c>
      <c r="B143" t="s">
        <v>48</v>
      </c>
      <c r="C143">
        <v>649163</v>
      </c>
      <c r="D143">
        <v>2032257731</v>
      </c>
      <c r="E143" t="s">
        <v>299</v>
      </c>
      <c r="F143" t="s">
        <v>300</v>
      </c>
      <c r="G143" t="s">
        <v>51</v>
      </c>
      <c r="H143" t="s">
        <v>64</v>
      </c>
      <c r="I143" t="s">
        <v>262</v>
      </c>
      <c r="J143" t="s">
        <v>263</v>
      </c>
      <c r="K143">
        <v>806645</v>
      </c>
      <c r="L143" t="s">
        <v>213</v>
      </c>
      <c r="M143" t="s">
        <v>214</v>
      </c>
      <c r="N143" t="s">
        <v>57</v>
      </c>
      <c r="O143" s="1">
        <v>45981</v>
      </c>
      <c r="Q143" s="1">
        <v>46011</v>
      </c>
      <c r="R143" s="2">
        <v>58.24</v>
      </c>
      <c r="S143">
        <v>1</v>
      </c>
      <c r="T143" t="s">
        <v>58</v>
      </c>
      <c r="U143" t="s">
        <v>59</v>
      </c>
      <c r="V143" s="3">
        <v>0.7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244.62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40.770000000000003</v>
      </c>
      <c r="AM143" s="2">
        <v>0</v>
      </c>
      <c r="AN143" s="2">
        <v>244.62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45985</v>
      </c>
      <c r="B144" t="s">
        <v>48</v>
      </c>
      <c r="C144">
        <v>649163</v>
      </c>
      <c r="D144">
        <v>2032257733</v>
      </c>
      <c r="E144" t="s">
        <v>244</v>
      </c>
      <c r="F144" t="s">
        <v>245</v>
      </c>
      <c r="G144" t="s">
        <v>51</v>
      </c>
      <c r="H144" t="s">
        <v>64</v>
      </c>
      <c r="I144" t="s">
        <v>262</v>
      </c>
      <c r="J144" t="s">
        <v>263</v>
      </c>
      <c r="K144">
        <v>824062</v>
      </c>
      <c r="L144" t="s">
        <v>115</v>
      </c>
      <c r="M144" t="s">
        <v>116</v>
      </c>
      <c r="N144" t="s">
        <v>57</v>
      </c>
      <c r="O144" s="1">
        <v>46023</v>
      </c>
      <c r="Q144" s="1">
        <v>46054</v>
      </c>
      <c r="R144" s="2">
        <v>27.5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115.5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19.25</v>
      </c>
      <c r="AM144" s="2">
        <v>0</v>
      </c>
      <c r="AN144" s="2">
        <v>115.5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45985</v>
      </c>
      <c r="B145" t="s">
        <v>48</v>
      </c>
      <c r="C145">
        <v>649163</v>
      </c>
      <c r="D145">
        <v>2032257836</v>
      </c>
      <c r="E145" t="s">
        <v>138</v>
      </c>
      <c r="F145" t="s">
        <v>139</v>
      </c>
      <c r="G145" t="s">
        <v>51</v>
      </c>
      <c r="H145" t="s">
        <v>135</v>
      </c>
      <c r="I145" t="s">
        <v>262</v>
      </c>
      <c r="J145" t="s">
        <v>263</v>
      </c>
      <c r="K145">
        <v>673059</v>
      </c>
      <c r="L145" t="s">
        <v>70</v>
      </c>
      <c r="M145" t="s">
        <v>71</v>
      </c>
      <c r="N145" t="s">
        <v>57</v>
      </c>
      <c r="O145" s="1">
        <v>46023</v>
      </c>
      <c r="Q145" s="1">
        <v>46054</v>
      </c>
      <c r="R145" s="2">
        <v>80.73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339.06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56.51</v>
      </c>
      <c r="AM145" s="2">
        <v>0</v>
      </c>
      <c r="AN145" s="2">
        <v>339.06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45985</v>
      </c>
      <c r="B146" t="s">
        <v>48</v>
      </c>
      <c r="C146">
        <v>649163</v>
      </c>
      <c r="D146">
        <v>2032259243</v>
      </c>
      <c r="E146" t="s">
        <v>140</v>
      </c>
      <c r="F146" t="s">
        <v>141</v>
      </c>
      <c r="G146" t="s">
        <v>51</v>
      </c>
      <c r="H146" t="s">
        <v>64</v>
      </c>
      <c r="I146" t="s">
        <v>262</v>
      </c>
      <c r="J146" t="s">
        <v>263</v>
      </c>
      <c r="K146">
        <v>813184</v>
      </c>
      <c r="L146" t="s">
        <v>142</v>
      </c>
      <c r="M146" t="s">
        <v>143</v>
      </c>
      <c r="N146" t="s">
        <v>57</v>
      </c>
      <c r="O146" s="1">
        <v>45981</v>
      </c>
      <c r="Q146" s="1">
        <v>46011</v>
      </c>
      <c r="R146" s="2">
        <v>79.72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334.8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55.8</v>
      </c>
      <c r="AM146" s="2">
        <v>0</v>
      </c>
      <c r="AN146" s="2">
        <v>334.8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45985</v>
      </c>
      <c r="B147" t="s">
        <v>48</v>
      </c>
      <c r="C147">
        <v>649163</v>
      </c>
      <c r="D147">
        <v>2032261024</v>
      </c>
      <c r="E147" t="s">
        <v>301</v>
      </c>
      <c r="F147" t="s">
        <v>240</v>
      </c>
      <c r="G147" t="s">
        <v>51</v>
      </c>
      <c r="H147" t="s">
        <v>95</v>
      </c>
      <c r="I147" t="s">
        <v>262</v>
      </c>
      <c r="J147" t="s">
        <v>302</v>
      </c>
      <c r="K147">
        <v>902625</v>
      </c>
      <c r="L147" t="s">
        <v>303</v>
      </c>
      <c r="M147" t="s">
        <v>304</v>
      </c>
      <c r="N147" t="s">
        <v>57</v>
      </c>
      <c r="O147" s="1">
        <v>45981</v>
      </c>
      <c r="Q147" s="1">
        <v>46011</v>
      </c>
      <c r="R147" s="2">
        <v>51.6</v>
      </c>
      <c r="S147">
        <v>1</v>
      </c>
      <c r="T147" t="s">
        <v>58</v>
      </c>
      <c r="U147" t="s">
        <v>59</v>
      </c>
      <c r="V147" s="3">
        <v>0.42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130.02000000000001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21.67</v>
      </c>
      <c r="AM147" s="2">
        <v>0</v>
      </c>
      <c r="AN147" s="2">
        <v>130.02000000000001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45985</v>
      </c>
      <c r="B148" t="s">
        <v>48</v>
      </c>
      <c r="C148">
        <v>649163</v>
      </c>
      <c r="D148">
        <v>2032261891</v>
      </c>
      <c r="E148" t="s">
        <v>188</v>
      </c>
      <c r="F148" t="s">
        <v>189</v>
      </c>
      <c r="G148" t="s">
        <v>51</v>
      </c>
      <c r="H148" t="s">
        <v>64</v>
      </c>
      <c r="I148" t="s">
        <v>262</v>
      </c>
      <c r="J148" t="s">
        <v>263</v>
      </c>
      <c r="K148">
        <v>894525</v>
      </c>
      <c r="L148" t="s">
        <v>65</v>
      </c>
      <c r="M148" t="s">
        <v>66</v>
      </c>
      <c r="N148" t="s">
        <v>57</v>
      </c>
      <c r="O148" s="1">
        <v>46023</v>
      </c>
      <c r="Q148" s="1">
        <v>46054</v>
      </c>
      <c r="R148" s="2">
        <v>34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142.80000000000001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23.8</v>
      </c>
      <c r="AM148" s="2">
        <v>0</v>
      </c>
      <c r="AN148" s="2">
        <v>142.80000000000001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45985</v>
      </c>
      <c r="B149" t="s">
        <v>48</v>
      </c>
      <c r="C149">
        <v>649163</v>
      </c>
      <c r="D149">
        <v>2032270277</v>
      </c>
      <c r="E149" t="s">
        <v>246</v>
      </c>
      <c r="F149" t="s">
        <v>247</v>
      </c>
      <c r="G149" t="s">
        <v>51</v>
      </c>
      <c r="H149" t="s">
        <v>135</v>
      </c>
      <c r="I149" t="s">
        <v>262</v>
      </c>
      <c r="J149" t="s">
        <v>263</v>
      </c>
      <c r="K149">
        <v>813184</v>
      </c>
      <c r="L149" t="s">
        <v>142</v>
      </c>
      <c r="M149" t="s">
        <v>143</v>
      </c>
      <c r="N149" t="s">
        <v>57</v>
      </c>
      <c r="O149" s="1">
        <v>45982</v>
      </c>
      <c r="Q149" s="1">
        <v>46012</v>
      </c>
      <c r="R149" s="2">
        <v>48.76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204.78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34.130000000000003</v>
      </c>
      <c r="AM149" s="2">
        <v>0</v>
      </c>
      <c r="AN149" s="2">
        <v>204.78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45985</v>
      </c>
      <c r="B150" t="s">
        <v>48</v>
      </c>
      <c r="C150">
        <v>649163</v>
      </c>
      <c r="D150">
        <v>2032270278</v>
      </c>
      <c r="E150" t="s">
        <v>246</v>
      </c>
      <c r="F150" t="s">
        <v>247</v>
      </c>
      <c r="G150" t="s">
        <v>51</v>
      </c>
      <c r="H150" t="s">
        <v>135</v>
      </c>
      <c r="I150" t="s">
        <v>262</v>
      </c>
      <c r="J150" t="s">
        <v>265</v>
      </c>
      <c r="K150">
        <v>813184</v>
      </c>
      <c r="L150" t="s">
        <v>142</v>
      </c>
      <c r="M150" t="s">
        <v>143</v>
      </c>
      <c r="N150" t="s">
        <v>57</v>
      </c>
      <c r="O150" s="1">
        <v>45982</v>
      </c>
      <c r="Q150" s="1">
        <v>46012</v>
      </c>
      <c r="R150" s="2">
        <v>11.88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64.14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10.69</v>
      </c>
      <c r="AM150" s="2">
        <v>0</v>
      </c>
      <c r="AN150" s="2">
        <v>64.14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45985</v>
      </c>
      <c r="B151" t="s">
        <v>48</v>
      </c>
      <c r="C151">
        <v>649163</v>
      </c>
      <c r="D151">
        <v>2032274711</v>
      </c>
      <c r="E151" t="s">
        <v>190</v>
      </c>
      <c r="F151" t="s">
        <v>191</v>
      </c>
      <c r="G151" t="s">
        <v>51</v>
      </c>
      <c r="H151" t="s">
        <v>64</v>
      </c>
      <c r="I151" t="s">
        <v>262</v>
      </c>
      <c r="J151" t="s">
        <v>263</v>
      </c>
      <c r="K151">
        <v>894525</v>
      </c>
      <c r="L151" t="s">
        <v>65</v>
      </c>
      <c r="M151" t="s">
        <v>66</v>
      </c>
      <c r="N151" t="s">
        <v>57</v>
      </c>
      <c r="O151" s="1">
        <v>46023</v>
      </c>
      <c r="Q151" s="1">
        <v>46054</v>
      </c>
      <c r="R151" s="2">
        <v>44.19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185.58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30.93</v>
      </c>
      <c r="AM151" s="2">
        <v>0</v>
      </c>
      <c r="AN151" s="2">
        <v>185.58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45985</v>
      </c>
      <c r="B152" t="s">
        <v>48</v>
      </c>
      <c r="C152">
        <v>649163</v>
      </c>
      <c r="D152">
        <v>2032279005</v>
      </c>
      <c r="E152" t="s">
        <v>192</v>
      </c>
      <c r="F152" t="s">
        <v>193</v>
      </c>
      <c r="G152" t="s">
        <v>51</v>
      </c>
      <c r="H152" t="s">
        <v>64</v>
      </c>
      <c r="I152" t="s">
        <v>262</v>
      </c>
      <c r="J152" t="s">
        <v>263</v>
      </c>
      <c r="K152">
        <v>894525</v>
      </c>
      <c r="L152" t="s">
        <v>65</v>
      </c>
      <c r="M152" t="s">
        <v>66</v>
      </c>
      <c r="N152" t="s">
        <v>57</v>
      </c>
      <c r="O152" s="1">
        <v>46023</v>
      </c>
      <c r="Q152" s="1">
        <v>46054</v>
      </c>
      <c r="R152" s="2">
        <v>51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214.2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35.700000000000003</v>
      </c>
      <c r="AM152" s="2">
        <v>0</v>
      </c>
      <c r="AN152" s="2">
        <v>214.2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45985</v>
      </c>
      <c r="B153" t="s">
        <v>48</v>
      </c>
      <c r="C153">
        <v>649163</v>
      </c>
      <c r="D153">
        <v>2032281783</v>
      </c>
      <c r="E153" t="s">
        <v>305</v>
      </c>
      <c r="F153" t="s">
        <v>306</v>
      </c>
      <c r="G153" t="s">
        <v>51</v>
      </c>
      <c r="H153" t="s">
        <v>105</v>
      </c>
      <c r="I153" t="s">
        <v>262</v>
      </c>
      <c r="J153" t="s">
        <v>263</v>
      </c>
      <c r="K153">
        <v>877182</v>
      </c>
      <c r="L153" t="s">
        <v>171</v>
      </c>
      <c r="M153" t="s">
        <v>172</v>
      </c>
      <c r="N153" t="s">
        <v>57</v>
      </c>
      <c r="O153" s="1">
        <v>45982</v>
      </c>
      <c r="Q153" s="1">
        <v>46012</v>
      </c>
      <c r="R153" s="2">
        <v>31.23</v>
      </c>
      <c r="S153">
        <v>1</v>
      </c>
      <c r="T153" t="s">
        <v>58</v>
      </c>
      <c r="U153" t="s">
        <v>59</v>
      </c>
      <c r="V153" s="3">
        <v>0.7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131.16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21.86</v>
      </c>
      <c r="AM153" s="2">
        <v>0</v>
      </c>
      <c r="AN153" s="2">
        <v>131.16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45985</v>
      </c>
      <c r="B154" t="s">
        <v>48</v>
      </c>
      <c r="C154">
        <v>649163</v>
      </c>
      <c r="D154">
        <v>2032293406</v>
      </c>
      <c r="E154" t="s">
        <v>144</v>
      </c>
      <c r="F154" t="s">
        <v>145</v>
      </c>
      <c r="G154" t="s">
        <v>51</v>
      </c>
      <c r="H154" t="s">
        <v>64</v>
      </c>
      <c r="I154" t="s">
        <v>262</v>
      </c>
      <c r="J154" t="s">
        <v>263</v>
      </c>
      <c r="K154">
        <v>824062</v>
      </c>
      <c r="L154" t="s">
        <v>115</v>
      </c>
      <c r="M154" t="s">
        <v>116</v>
      </c>
      <c r="N154" t="s">
        <v>57</v>
      </c>
      <c r="O154" s="1">
        <v>46023</v>
      </c>
      <c r="Q154" s="1">
        <v>46054</v>
      </c>
      <c r="R154" s="2">
        <v>22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92.4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15.4</v>
      </c>
      <c r="AM154" s="2">
        <v>0</v>
      </c>
      <c r="AN154" s="2">
        <v>92.4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45985</v>
      </c>
      <c r="B155" t="s">
        <v>48</v>
      </c>
      <c r="C155">
        <v>649163</v>
      </c>
      <c r="D155">
        <v>2032293754</v>
      </c>
      <c r="E155" t="s">
        <v>146</v>
      </c>
      <c r="F155" t="s">
        <v>147</v>
      </c>
      <c r="G155" t="s">
        <v>51</v>
      </c>
      <c r="H155" t="s">
        <v>135</v>
      </c>
      <c r="I155" t="s">
        <v>262</v>
      </c>
      <c r="J155" t="s">
        <v>263</v>
      </c>
      <c r="K155">
        <v>822865</v>
      </c>
      <c r="L155" t="s">
        <v>148</v>
      </c>
      <c r="M155" t="s">
        <v>149</v>
      </c>
      <c r="N155" t="s">
        <v>57</v>
      </c>
      <c r="O155" s="1">
        <v>45983</v>
      </c>
      <c r="Q155" s="1">
        <v>46013</v>
      </c>
      <c r="R155" s="2">
        <v>83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348.6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58.1</v>
      </c>
      <c r="AM155" s="2">
        <v>0</v>
      </c>
      <c r="AN155" s="2">
        <v>348.6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45985</v>
      </c>
      <c r="B156" t="s">
        <v>48</v>
      </c>
      <c r="C156">
        <v>649163</v>
      </c>
      <c r="D156">
        <v>2032296529</v>
      </c>
      <c r="E156" t="s">
        <v>248</v>
      </c>
      <c r="F156" t="s">
        <v>249</v>
      </c>
      <c r="G156" t="s">
        <v>51</v>
      </c>
      <c r="H156" t="s">
        <v>64</v>
      </c>
      <c r="I156" t="s">
        <v>262</v>
      </c>
      <c r="J156" t="s">
        <v>263</v>
      </c>
      <c r="K156">
        <v>814033</v>
      </c>
      <c r="L156" t="s">
        <v>250</v>
      </c>
      <c r="M156" t="s">
        <v>251</v>
      </c>
      <c r="N156" t="s">
        <v>57</v>
      </c>
      <c r="O156" s="1">
        <v>46023</v>
      </c>
      <c r="Q156" s="1">
        <v>46054</v>
      </c>
      <c r="R156" s="2">
        <v>37.18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156.18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26.03</v>
      </c>
      <c r="AM156" s="2">
        <v>0</v>
      </c>
      <c r="AN156" s="2">
        <v>156.18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45985</v>
      </c>
      <c r="B157" t="s">
        <v>48</v>
      </c>
      <c r="C157">
        <v>649163</v>
      </c>
      <c r="D157">
        <v>2032297145</v>
      </c>
      <c r="E157" t="s">
        <v>307</v>
      </c>
      <c r="F157" t="s">
        <v>83</v>
      </c>
      <c r="G157" t="s">
        <v>51</v>
      </c>
      <c r="H157" t="s">
        <v>95</v>
      </c>
      <c r="I157" t="s">
        <v>262</v>
      </c>
      <c r="J157" t="s">
        <v>265</v>
      </c>
      <c r="K157">
        <v>823068</v>
      </c>
      <c r="L157" t="s">
        <v>125</v>
      </c>
      <c r="M157" t="s">
        <v>126</v>
      </c>
      <c r="N157" t="s">
        <v>57</v>
      </c>
      <c r="O157" s="1">
        <v>45988</v>
      </c>
      <c r="Q157" s="1">
        <v>46018</v>
      </c>
      <c r="R157" s="2">
        <v>67.88</v>
      </c>
      <c r="S157">
        <v>1</v>
      </c>
      <c r="T157" t="s">
        <v>58</v>
      </c>
      <c r="U157" t="s">
        <v>59</v>
      </c>
      <c r="V157" s="3">
        <v>0.9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366.54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61.09</v>
      </c>
      <c r="AM157" s="2">
        <v>0</v>
      </c>
      <c r="AN157" s="2">
        <v>366.54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45985</v>
      </c>
      <c r="B158" t="s">
        <v>48</v>
      </c>
      <c r="C158">
        <v>649163</v>
      </c>
      <c r="D158">
        <v>2032297146</v>
      </c>
      <c r="E158" t="s">
        <v>307</v>
      </c>
      <c r="F158" t="s">
        <v>83</v>
      </c>
      <c r="G158" t="s">
        <v>51</v>
      </c>
      <c r="H158" t="s">
        <v>95</v>
      </c>
      <c r="I158" t="s">
        <v>262</v>
      </c>
      <c r="J158" t="s">
        <v>264</v>
      </c>
      <c r="K158">
        <v>823068</v>
      </c>
      <c r="L158" t="s">
        <v>125</v>
      </c>
      <c r="M158" t="s">
        <v>126</v>
      </c>
      <c r="N158" t="s">
        <v>57</v>
      </c>
      <c r="O158" s="1">
        <v>45988</v>
      </c>
      <c r="Q158" s="1">
        <v>46018</v>
      </c>
      <c r="R158" s="2">
        <v>24.61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103.38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17.23</v>
      </c>
      <c r="AM158" s="2">
        <v>0</v>
      </c>
      <c r="AN158" s="2">
        <v>103.38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45985</v>
      </c>
      <c r="B159" t="s">
        <v>48</v>
      </c>
      <c r="C159">
        <v>649163</v>
      </c>
      <c r="D159">
        <v>2032297156</v>
      </c>
      <c r="E159" t="s">
        <v>150</v>
      </c>
      <c r="F159" t="s">
        <v>151</v>
      </c>
      <c r="G159" t="s">
        <v>51</v>
      </c>
      <c r="H159" t="s">
        <v>64</v>
      </c>
      <c r="I159" t="s">
        <v>262</v>
      </c>
      <c r="J159" t="s">
        <v>263</v>
      </c>
      <c r="K159">
        <v>766747</v>
      </c>
      <c r="L159" t="s">
        <v>122</v>
      </c>
      <c r="M159" t="s">
        <v>123</v>
      </c>
      <c r="N159" t="s">
        <v>57</v>
      </c>
      <c r="O159" s="1">
        <v>46023</v>
      </c>
      <c r="Q159" s="1">
        <v>46054</v>
      </c>
      <c r="R159" s="2">
        <v>30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126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21</v>
      </c>
      <c r="AM159" s="2">
        <v>0</v>
      </c>
      <c r="AN159" s="2">
        <v>126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45985</v>
      </c>
      <c r="B160" t="s">
        <v>48</v>
      </c>
      <c r="C160">
        <v>649163</v>
      </c>
      <c r="D160">
        <v>2032305551</v>
      </c>
      <c r="E160" t="s">
        <v>252</v>
      </c>
      <c r="F160" t="s">
        <v>253</v>
      </c>
      <c r="G160" t="s">
        <v>51</v>
      </c>
      <c r="H160" t="s">
        <v>64</v>
      </c>
      <c r="I160" t="s">
        <v>262</v>
      </c>
      <c r="J160" t="s">
        <v>263</v>
      </c>
      <c r="K160">
        <v>824062</v>
      </c>
      <c r="L160" t="s">
        <v>115</v>
      </c>
      <c r="M160" t="s">
        <v>116</v>
      </c>
      <c r="N160" t="s">
        <v>57</v>
      </c>
      <c r="O160" s="1">
        <v>46023</v>
      </c>
      <c r="Q160" s="1">
        <v>46054</v>
      </c>
      <c r="R160" s="2">
        <v>73.760000000000005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309.77999999999997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51.63</v>
      </c>
      <c r="AM160" s="2">
        <v>0</v>
      </c>
      <c r="AN160" s="2">
        <v>309.77999999999997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45985</v>
      </c>
      <c r="B161" t="s">
        <v>48</v>
      </c>
      <c r="C161">
        <v>649163</v>
      </c>
      <c r="D161">
        <v>2032305552</v>
      </c>
      <c r="E161" t="s">
        <v>252</v>
      </c>
      <c r="F161" t="s">
        <v>253</v>
      </c>
      <c r="G161" t="s">
        <v>51</v>
      </c>
      <c r="H161" t="s">
        <v>64</v>
      </c>
      <c r="I161" t="s">
        <v>262</v>
      </c>
      <c r="J161" t="s">
        <v>265</v>
      </c>
      <c r="K161">
        <v>824062</v>
      </c>
      <c r="L161" t="s">
        <v>115</v>
      </c>
      <c r="M161" t="s">
        <v>116</v>
      </c>
      <c r="N161" t="s">
        <v>57</v>
      </c>
      <c r="O161" s="1">
        <v>46023</v>
      </c>
      <c r="Q161" s="1">
        <v>46054</v>
      </c>
      <c r="R161" s="2">
        <v>35.85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193.56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32.26</v>
      </c>
      <c r="AM161" s="2">
        <v>0</v>
      </c>
      <c r="AN161" s="2">
        <v>193.56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45985</v>
      </c>
      <c r="B162" t="s">
        <v>48</v>
      </c>
      <c r="C162">
        <v>649163</v>
      </c>
      <c r="D162">
        <v>2032307403</v>
      </c>
      <c r="E162" t="s">
        <v>152</v>
      </c>
      <c r="F162" t="s">
        <v>152</v>
      </c>
      <c r="G162" t="s">
        <v>51</v>
      </c>
      <c r="H162" t="s">
        <v>64</v>
      </c>
      <c r="I162" t="s">
        <v>262</v>
      </c>
      <c r="J162" t="s">
        <v>263</v>
      </c>
      <c r="K162">
        <v>824062</v>
      </c>
      <c r="L162" t="s">
        <v>115</v>
      </c>
      <c r="M162" t="s">
        <v>116</v>
      </c>
      <c r="N162" t="s">
        <v>57</v>
      </c>
      <c r="O162" s="1">
        <v>46023</v>
      </c>
      <c r="Q162" s="1">
        <v>46054</v>
      </c>
      <c r="R162" s="2">
        <v>22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92.4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15.4</v>
      </c>
      <c r="AM162" s="2">
        <v>0</v>
      </c>
      <c r="AN162" s="2">
        <v>92.4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45985</v>
      </c>
      <c r="B163" t="s">
        <v>48</v>
      </c>
      <c r="C163">
        <v>649163</v>
      </c>
      <c r="D163">
        <v>2032309635</v>
      </c>
      <c r="E163" t="s">
        <v>308</v>
      </c>
      <c r="F163" t="s">
        <v>309</v>
      </c>
      <c r="G163" t="s">
        <v>51</v>
      </c>
      <c r="H163" t="s">
        <v>310</v>
      </c>
      <c r="I163" t="s">
        <v>262</v>
      </c>
      <c r="J163" t="s">
        <v>263</v>
      </c>
      <c r="K163">
        <v>812656</v>
      </c>
      <c r="L163" t="s">
        <v>209</v>
      </c>
      <c r="M163" t="s">
        <v>210</v>
      </c>
      <c r="N163" t="s">
        <v>57</v>
      </c>
      <c r="O163" s="1">
        <v>45983</v>
      </c>
      <c r="Q163" s="1">
        <v>46013</v>
      </c>
      <c r="R163" s="2">
        <v>61.02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61</v>
      </c>
      <c r="AA163">
        <v>6</v>
      </c>
      <c r="AB163" s="2">
        <v>256.26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42.71</v>
      </c>
      <c r="AM163" s="2">
        <v>0</v>
      </c>
      <c r="AN163" s="2">
        <v>256.26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45985</v>
      </c>
      <c r="B164" t="s">
        <v>48</v>
      </c>
      <c r="C164">
        <v>649163</v>
      </c>
      <c r="D164">
        <v>2032311361</v>
      </c>
      <c r="E164" t="s">
        <v>153</v>
      </c>
      <c r="F164" t="s">
        <v>154</v>
      </c>
      <c r="G164" t="s">
        <v>51</v>
      </c>
      <c r="H164" t="s">
        <v>155</v>
      </c>
      <c r="I164" t="s">
        <v>262</v>
      </c>
      <c r="J164" t="s">
        <v>263</v>
      </c>
      <c r="K164">
        <v>767312</v>
      </c>
      <c r="L164" t="s">
        <v>156</v>
      </c>
      <c r="M164" t="s">
        <v>157</v>
      </c>
      <c r="N164" t="s">
        <v>57</v>
      </c>
      <c r="O164" s="1">
        <v>46023</v>
      </c>
      <c r="Q164" s="1">
        <v>46054</v>
      </c>
      <c r="R164" s="2">
        <v>51.19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214.98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35.83</v>
      </c>
      <c r="AM164" s="2">
        <v>0</v>
      </c>
      <c r="AN164" s="2">
        <v>214.98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45985</v>
      </c>
      <c r="B165" t="s">
        <v>48</v>
      </c>
      <c r="C165">
        <v>649163</v>
      </c>
      <c r="D165">
        <v>2032320011</v>
      </c>
      <c r="E165" t="s">
        <v>254</v>
      </c>
      <c r="F165" t="s">
        <v>255</v>
      </c>
      <c r="G165" t="s">
        <v>51</v>
      </c>
      <c r="H165" t="s">
        <v>135</v>
      </c>
      <c r="I165" t="s">
        <v>262</v>
      </c>
      <c r="J165" t="s">
        <v>263</v>
      </c>
      <c r="K165">
        <v>839554</v>
      </c>
      <c r="L165" t="s">
        <v>256</v>
      </c>
      <c r="M165" t="s">
        <v>257</v>
      </c>
      <c r="N165" t="s">
        <v>57</v>
      </c>
      <c r="O165" s="1">
        <v>45984</v>
      </c>
      <c r="Q165" s="1">
        <v>46014</v>
      </c>
      <c r="R165" s="2">
        <v>210.64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61</v>
      </c>
      <c r="AA165">
        <v>6</v>
      </c>
      <c r="AB165" s="2">
        <v>884.7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147.44999999999999</v>
      </c>
      <c r="AM165" s="2">
        <v>0</v>
      </c>
      <c r="AN165" s="2">
        <v>884.7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45985</v>
      </c>
      <c r="B166" t="s">
        <v>48</v>
      </c>
      <c r="C166">
        <v>649163</v>
      </c>
      <c r="D166">
        <v>2032320012</v>
      </c>
      <c r="E166" t="s">
        <v>254</v>
      </c>
      <c r="F166" t="s">
        <v>255</v>
      </c>
      <c r="G166" t="s">
        <v>51</v>
      </c>
      <c r="H166" t="s">
        <v>135</v>
      </c>
      <c r="I166" t="s">
        <v>262</v>
      </c>
      <c r="J166" t="s">
        <v>265</v>
      </c>
      <c r="K166">
        <v>839554</v>
      </c>
      <c r="L166" t="s">
        <v>256</v>
      </c>
      <c r="M166" t="s">
        <v>257</v>
      </c>
      <c r="N166" t="s">
        <v>57</v>
      </c>
      <c r="O166" s="1">
        <v>45984</v>
      </c>
      <c r="Q166" s="1">
        <v>46014</v>
      </c>
      <c r="R166" s="2">
        <v>123.06</v>
      </c>
      <c r="S166">
        <v>1</v>
      </c>
      <c r="T166" t="s">
        <v>58</v>
      </c>
      <c r="U166" t="s">
        <v>59</v>
      </c>
      <c r="V166" s="3">
        <v>0.9</v>
      </c>
      <c r="W166" s="2">
        <v>0</v>
      </c>
      <c r="X166">
        <v>0</v>
      </c>
      <c r="Y166" t="s">
        <v>60</v>
      </c>
      <c r="Z166" t="s">
        <v>61</v>
      </c>
      <c r="AA166">
        <v>6</v>
      </c>
      <c r="AB166" s="2">
        <v>664.5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110.75</v>
      </c>
      <c r="AM166" s="2">
        <v>0</v>
      </c>
      <c r="AN166" s="2">
        <v>664.5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45985</v>
      </c>
      <c r="B167" t="s">
        <v>48</v>
      </c>
      <c r="C167">
        <v>649163</v>
      </c>
      <c r="D167">
        <v>2032136866</v>
      </c>
      <c r="E167" t="s">
        <v>164</v>
      </c>
      <c r="F167" t="s">
        <v>165</v>
      </c>
      <c r="G167" t="s">
        <v>51</v>
      </c>
      <c r="H167" t="s">
        <v>166</v>
      </c>
      <c r="I167" t="s">
        <v>311</v>
      </c>
      <c r="J167" t="s">
        <v>312</v>
      </c>
      <c r="K167">
        <v>673059</v>
      </c>
      <c r="L167" t="s">
        <v>70</v>
      </c>
      <c r="M167" t="s">
        <v>71</v>
      </c>
      <c r="N167" t="s">
        <v>57</v>
      </c>
      <c r="O167" s="1">
        <v>46023</v>
      </c>
      <c r="Q167" s="1">
        <v>46054</v>
      </c>
      <c r="R167" s="2">
        <v>479.21</v>
      </c>
      <c r="S167">
        <v>1</v>
      </c>
      <c r="T167" t="s">
        <v>58</v>
      </c>
      <c r="U167" t="s">
        <v>168</v>
      </c>
      <c r="V167" s="3">
        <v>0.28999999999999998</v>
      </c>
      <c r="W167" s="2">
        <v>0</v>
      </c>
      <c r="X167">
        <v>0</v>
      </c>
      <c r="Y167" t="s">
        <v>60</v>
      </c>
      <c r="Z167" t="s">
        <v>61</v>
      </c>
      <c r="AA167">
        <v>6</v>
      </c>
      <c r="AB167" s="2">
        <v>833.82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138.97</v>
      </c>
      <c r="AM167" s="2">
        <v>0</v>
      </c>
      <c r="AN167" s="2">
        <v>833.82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45985</v>
      </c>
      <c r="B168" t="s">
        <v>48</v>
      </c>
      <c r="C168">
        <v>649163</v>
      </c>
      <c r="D168">
        <v>2032203619</v>
      </c>
      <c r="E168" t="s">
        <v>169</v>
      </c>
      <c r="F168" t="s">
        <v>170</v>
      </c>
      <c r="G168" t="s">
        <v>51</v>
      </c>
      <c r="H168" t="s">
        <v>105</v>
      </c>
      <c r="I168" t="s">
        <v>311</v>
      </c>
      <c r="J168" t="s">
        <v>312</v>
      </c>
      <c r="K168">
        <v>877182</v>
      </c>
      <c r="L168" t="s">
        <v>171</v>
      </c>
      <c r="M168" t="s">
        <v>172</v>
      </c>
      <c r="N168" t="s">
        <v>57</v>
      </c>
      <c r="O168" s="1">
        <v>45978</v>
      </c>
      <c r="Q168" s="1">
        <v>46008</v>
      </c>
      <c r="R168" s="2">
        <v>180.45</v>
      </c>
      <c r="S168">
        <v>1</v>
      </c>
      <c r="T168" t="s">
        <v>58</v>
      </c>
      <c r="U168" t="s">
        <v>173</v>
      </c>
      <c r="V168" s="3">
        <v>0.28999999999999998</v>
      </c>
      <c r="W168" s="2">
        <v>0</v>
      </c>
      <c r="X168">
        <v>0</v>
      </c>
      <c r="Y168" t="s">
        <v>60</v>
      </c>
      <c r="Z168" t="s">
        <v>61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52.33</v>
      </c>
      <c r="AN168" s="2">
        <v>52.33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45985</v>
      </c>
      <c r="B169" t="s">
        <v>48</v>
      </c>
      <c r="C169">
        <v>649163</v>
      </c>
      <c r="D169">
        <v>2032210731</v>
      </c>
      <c r="E169" t="s">
        <v>174</v>
      </c>
      <c r="F169" t="s">
        <v>175</v>
      </c>
      <c r="G169" t="s">
        <v>51</v>
      </c>
      <c r="H169" t="s">
        <v>176</v>
      </c>
      <c r="I169" t="s">
        <v>311</v>
      </c>
      <c r="J169" t="s">
        <v>312</v>
      </c>
      <c r="K169">
        <v>820140</v>
      </c>
      <c r="L169" t="s">
        <v>177</v>
      </c>
      <c r="M169" t="s">
        <v>66</v>
      </c>
      <c r="N169" t="s">
        <v>57</v>
      </c>
      <c r="O169" s="1">
        <v>45992</v>
      </c>
      <c r="Q169" s="1">
        <v>46023</v>
      </c>
      <c r="R169" s="2">
        <v>177.42</v>
      </c>
      <c r="S169">
        <v>1</v>
      </c>
      <c r="T169" t="s">
        <v>58</v>
      </c>
      <c r="U169" t="s">
        <v>173</v>
      </c>
      <c r="V169" s="3">
        <v>0.09</v>
      </c>
      <c r="W169" s="2">
        <v>0</v>
      </c>
      <c r="X169">
        <v>0</v>
      </c>
      <c r="Y169" t="s">
        <v>60</v>
      </c>
      <c r="Z169" t="s">
        <v>61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15.97</v>
      </c>
      <c r="AN169" s="2">
        <v>15.97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45985</v>
      </c>
      <c r="B170" t="s">
        <v>48</v>
      </c>
      <c r="C170">
        <v>649163</v>
      </c>
      <c r="D170">
        <v>2020534057</v>
      </c>
      <c r="E170" t="s">
        <v>313</v>
      </c>
      <c r="F170" t="s">
        <v>123</v>
      </c>
      <c r="G170" t="s">
        <v>51</v>
      </c>
      <c r="H170" t="s">
        <v>52</v>
      </c>
      <c r="I170" t="s">
        <v>53</v>
      </c>
      <c r="J170" t="s">
        <v>54</v>
      </c>
      <c r="K170">
        <v>702406</v>
      </c>
      <c r="L170" t="s">
        <v>314</v>
      </c>
      <c r="M170" t="s">
        <v>186</v>
      </c>
      <c r="N170" t="s">
        <v>57</v>
      </c>
      <c r="O170" s="1">
        <v>45224</v>
      </c>
      <c r="Q170" s="1">
        <v>46016</v>
      </c>
      <c r="R170" s="2">
        <v>42.45</v>
      </c>
      <c r="S170">
        <v>1</v>
      </c>
      <c r="T170" t="s">
        <v>58</v>
      </c>
      <c r="U170" t="s">
        <v>315</v>
      </c>
      <c r="V170" s="4">
        <v>6.5000000000000002E-2</v>
      </c>
      <c r="W170" s="2">
        <v>0</v>
      </c>
      <c r="X170">
        <v>0</v>
      </c>
      <c r="Y170" t="s">
        <v>316</v>
      </c>
      <c r="Z170" t="s">
        <v>317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2.76</v>
      </c>
      <c r="AN170" s="2">
        <v>2.76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45985</v>
      </c>
      <c r="B171" t="s">
        <v>48</v>
      </c>
      <c r="C171">
        <v>649163</v>
      </c>
      <c r="D171">
        <v>2028320246</v>
      </c>
      <c r="E171" t="s">
        <v>318</v>
      </c>
      <c r="F171" t="s">
        <v>319</v>
      </c>
      <c r="G171" t="s">
        <v>51</v>
      </c>
      <c r="H171" t="s">
        <v>235</v>
      </c>
      <c r="I171" t="s">
        <v>53</v>
      </c>
      <c r="J171" t="s">
        <v>320</v>
      </c>
      <c r="K171">
        <v>823350</v>
      </c>
      <c r="L171" t="s">
        <v>91</v>
      </c>
      <c r="M171" t="s">
        <v>92</v>
      </c>
      <c r="N171" t="s">
        <v>57</v>
      </c>
      <c r="O171" s="1">
        <v>45772</v>
      </c>
      <c r="Q171" s="1">
        <v>46016</v>
      </c>
      <c r="R171" s="2">
        <v>68.52</v>
      </c>
      <c r="S171">
        <v>1</v>
      </c>
      <c r="T171" t="s">
        <v>58</v>
      </c>
      <c r="U171" t="s">
        <v>315</v>
      </c>
      <c r="V171" s="3">
        <v>0.6</v>
      </c>
      <c r="W171" s="2">
        <v>0</v>
      </c>
      <c r="X171">
        <v>0</v>
      </c>
      <c r="Y171" t="s">
        <v>60</v>
      </c>
      <c r="Z171" t="s">
        <v>317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41.11</v>
      </c>
      <c r="AN171" s="2">
        <v>41.11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45985</v>
      </c>
      <c r="B172" t="s">
        <v>48</v>
      </c>
      <c r="C172">
        <v>649163</v>
      </c>
      <c r="D172">
        <v>2028488144</v>
      </c>
      <c r="E172" t="s">
        <v>321</v>
      </c>
      <c r="F172" t="s">
        <v>322</v>
      </c>
      <c r="G172" t="s">
        <v>51</v>
      </c>
      <c r="H172" t="s">
        <v>52</v>
      </c>
      <c r="I172" t="s">
        <v>53</v>
      </c>
      <c r="J172" t="s">
        <v>54</v>
      </c>
      <c r="K172">
        <v>751867</v>
      </c>
      <c r="L172" t="s">
        <v>82</v>
      </c>
      <c r="M172" t="s">
        <v>83</v>
      </c>
      <c r="N172" t="s">
        <v>57</v>
      </c>
      <c r="O172" s="1">
        <v>45766</v>
      </c>
      <c r="Q172" s="1">
        <v>46010</v>
      </c>
      <c r="R172" s="2">
        <v>-62.54</v>
      </c>
      <c r="S172">
        <v>1</v>
      </c>
      <c r="T172" t="s">
        <v>58</v>
      </c>
      <c r="U172" t="s">
        <v>315</v>
      </c>
      <c r="V172" s="3">
        <v>0.6</v>
      </c>
      <c r="W172" s="2">
        <v>0</v>
      </c>
      <c r="X172">
        <v>-1</v>
      </c>
      <c r="Y172" t="s">
        <v>60</v>
      </c>
      <c r="Z172" t="s">
        <v>317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-37.520000000000003</v>
      </c>
      <c r="AN172" s="2">
        <v>-37.520000000000003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45985</v>
      </c>
      <c r="B173" t="s">
        <v>48</v>
      </c>
      <c r="C173">
        <v>649163</v>
      </c>
      <c r="D173">
        <v>2029073662</v>
      </c>
      <c r="E173" t="s">
        <v>323</v>
      </c>
      <c r="F173" t="s">
        <v>324</v>
      </c>
      <c r="G173" t="s">
        <v>51</v>
      </c>
      <c r="H173" t="s">
        <v>235</v>
      </c>
      <c r="I173" t="s">
        <v>53</v>
      </c>
      <c r="J173" t="s">
        <v>325</v>
      </c>
      <c r="K173">
        <v>821015</v>
      </c>
      <c r="L173" t="s">
        <v>326</v>
      </c>
      <c r="M173" t="s">
        <v>327</v>
      </c>
      <c r="N173" t="s">
        <v>57</v>
      </c>
      <c r="O173" s="1">
        <v>45801</v>
      </c>
      <c r="Q173" s="1">
        <v>46015</v>
      </c>
      <c r="R173" s="2">
        <v>50.6</v>
      </c>
      <c r="S173">
        <v>1</v>
      </c>
      <c r="T173" t="s">
        <v>58</v>
      </c>
      <c r="U173" t="s">
        <v>315</v>
      </c>
      <c r="V173" s="3">
        <v>0.6</v>
      </c>
      <c r="W173" s="2">
        <v>0</v>
      </c>
      <c r="X173">
        <v>0</v>
      </c>
      <c r="Y173" t="s">
        <v>60</v>
      </c>
      <c r="Z173" t="s">
        <v>317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30.36</v>
      </c>
      <c r="AN173" s="2">
        <v>30.36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45985</v>
      </c>
      <c r="B174" t="s">
        <v>48</v>
      </c>
      <c r="C174">
        <v>649163</v>
      </c>
      <c r="D174">
        <v>2016328594</v>
      </c>
      <c r="E174" t="s">
        <v>328</v>
      </c>
      <c r="F174" t="s">
        <v>329</v>
      </c>
      <c r="G174" t="s">
        <v>51</v>
      </c>
      <c r="H174" t="s">
        <v>330</v>
      </c>
      <c r="I174" t="s">
        <v>89</v>
      </c>
      <c r="J174" t="s">
        <v>96</v>
      </c>
      <c r="K174">
        <v>651818</v>
      </c>
      <c r="L174" t="s">
        <v>331</v>
      </c>
      <c r="M174" t="s">
        <v>332</v>
      </c>
      <c r="N174" t="s">
        <v>57</v>
      </c>
      <c r="O174" s="1">
        <v>44829</v>
      </c>
      <c r="Q174" s="1">
        <v>46016</v>
      </c>
      <c r="R174" s="2">
        <v>85.84</v>
      </c>
      <c r="S174">
        <v>1</v>
      </c>
      <c r="T174" t="s">
        <v>58</v>
      </c>
      <c r="U174" t="s">
        <v>315</v>
      </c>
      <c r="V174" s="3">
        <v>0.1</v>
      </c>
      <c r="W174" s="2">
        <v>0</v>
      </c>
      <c r="X174">
        <v>0</v>
      </c>
      <c r="Y174" t="s">
        <v>316</v>
      </c>
      <c r="Z174" t="s">
        <v>317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8.58</v>
      </c>
      <c r="AN174" s="2">
        <v>8.58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45985</v>
      </c>
      <c r="B175" t="s">
        <v>48</v>
      </c>
      <c r="C175">
        <v>649163</v>
      </c>
      <c r="D175">
        <v>2020642765</v>
      </c>
      <c r="E175" t="s">
        <v>333</v>
      </c>
      <c r="F175" t="s">
        <v>334</v>
      </c>
      <c r="G175" t="s">
        <v>51</v>
      </c>
      <c r="H175" t="s">
        <v>335</v>
      </c>
      <c r="I175" t="s">
        <v>89</v>
      </c>
      <c r="J175" t="s">
        <v>336</v>
      </c>
      <c r="K175">
        <v>651818</v>
      </c>
      <c r="L175" t="s">
        <v>331</v>
      </c>
      <c r="M175" t="s">
        <v>332</v>
      </c>
      <c r="N175" t="s">
        <v>337</v>
      </c>
      <c r="O175" s="1">
        <v>45261</v>
      </c>
      <c r="P175" s="1">
        <v>45985</v>
      </c>
      <c r="Q175" s="1">
        <v>45992</v>
      </c>
      <c r="R175" s="2">
        <v>-58.91</v>
      </c>
      <c r="S175">
        <v>1</v>
      </c>
      <c r="T175" t="s">
        <v>58</v>
      </c>
      <c r="U175" t="s">
        <v>315</v>
      </c>
      <c r="V175" s="3">
        <v>0.1</v>
      </c>
      <c r="W175" s="2">
        <v>0</v>
      </c>
      <c r="X175">
        <v>-1</v>
      </c>
      <c r="Y175" t="s">
        <v>316</v>
      </c>
      <c r="Z175" t="s">
        <v>317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-5.89</v>
      </c>
      <c r="AN175" s="2">
        <v>-5.89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45985</v>
      </c>
      <c r="B176" t="s">
        <v>48</v>
      </c>
      <c r="C176">
        <v>649163</v>
      </c>
      <c r="D176">
        <v>2022762069</v>
      </c>
      <c r="E176" t="s">
        <v>338</v>
      </c>
      <c r="F176" t="s">
        <v>339</v>
      </c>
      <c r="G176" t="s">
        <v>51</v>
      </c>
      <c r="H176" t="s">
        <v>235</v>
      </c>
      <c r="I176" t="s">
        <v>89</v>
      </c>
      <c r="J176" t="s">
        <v>96</v>
      </c>
      <c r="K176">
        <v>651818</v>
      </c>
      <c r="L176" t="s">
        <v>331</v>
      </c>
      <c r="M176" t="s">
        <v>332</v>
      </c>
      <c r="N176" t="s">
        <v>57</v>
      </c>
      <c r="O176" s="1">
        <v>45407</v>
      </c>
      <c r="Q176" s="1">
        <v>46016</v>
      </c>
      <c r="R176" s="2">
        <v>178.58</v>
      </c>
      <c r="S176">
        <v>1</v>
      </c>
      <c r="T176" t="s">
        <v>58</v>
      </c>
      <c r="U176" t="s">
        <v>315</v>
      </c>
      <c r="V176" s="3">
        <v>0.1</v>
      </c>
      <c r="W176" s="2">
        <v>0</v>
      </c>
      <c r="X176">
        <v>0</v>
      </c>
      <c r="Y176" t="s">
        <v>316</v>
      </c>
      <c r="Z176" t="s">
        <v>317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17.86</v>
      </c>
      <c r="AN176" s="2">
        <v>17.86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45985</v>
      </c>
      <c r="B177" t="s">
        <v>48</v>
      </c>
      <c r="C177">
        <v>649163</v>
      </c>
      <c r="D177">
        <v>2025404174</v>
      </c>
      <c r="E177" t="s">
        <v>340</v>
      </c>
      <c r="F177" t="s">
        <v>341</v>
      </c>
      <c r="G177" t="s">
        <v>51</v>
      </c>
      <c r="H177" t="s">
        <v>342</v>
      </c>
      <c r="I177" t="s">
        <v>89</v>
      </c>
      <c r="J177" t="s">
        <v>96</v>
      </c>
      <c r="K177">
        <v>651818</v>
      </c>
      <c r="L177" t="s">
        <v>331</v>
      </c>
      <c r="M177" t="s">
        <v>332</v>
      </c>
      <c r="N177" t="s">
        <v>57</v>
      </c>
      <c r="O177" s="1">
        <v>45587</v>
      </c>
      <c r="Q177" s="1">
        <v>46013</v>
      </c>
      <c r="R177" s="2">
        <v>253</v>
      </c>
      <c r="S177">
        <v>1</v>
      </c>
      <c r="T177" t="s">
        <v>58</v>
      </c>
      <c r="U177" t="s">
        <v>315</v>
      </c>
      <c r="V177" s="3">
        <v>0.1</v>
      </c>
      <c r="W177" s="2">
        <v>0</v>
      </c>
      <c r="X177">
        <v>0</v>
      </c>
      <c r="Y177" t="s">
        <v>316</v>
      </c>
      <c r="Z177" t="s">
        <v>317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25.3</v>
      </c>
      <c r="AN177" s="2">
        <v>25.3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45985</v>
      </c>
      <c r="B178" t="s">
        <v>48</v>
      </c>
      <c r="C178">
        <v>649163</v>
      </c>
      <c r="D178">
        <v>2025693148</v>
      </c>
      <c r="E178" t="s">
        <v>343</v>
      </c>
      <c r="F178" t="s">
        <v>344</v>
      </c>
      <c r="G178" t="s">
        <v>51</v>
      </c>
      <c r="H178" t="s">
        <v>345</v>
      </c>
      <c r="I178" t="s">
        <v>89</v>
      </c>
      <c r="J178" t="s">
        <v>96</v>
      </c>
      <c r="K178">
        <v>651818</v>
      </c>
      <c r="L178" t="s">
        <v>331</v>
      </c>
      <c r="M178" t="s">
        <v>332</v>
      </c>
      <c r="N178" t="s">
        <v>57</v>
      </c>
      <c r="O178" s="1">
        <v>45648</v>
      </c>
      <c r="Q178" s="1">
        <v>46013</v>
      </c>
      <c r="R178" s="2">
        <v>226.81</v>
      </c>
      <c r="S178">
        <v>1</v>
      </c>
      <c r="T178" t="s">
        <v>58</v>
      </c>
      <c r="U178" t="s">
        <v>315</v>
      </c>
      <c r="V178" s="3">
        <v>0.9</v>
      </c>
      <c r="W178" s="2">
        <v>0</v>
      </c>
      <c r="X178">
        <v>0</v>
      </c>
      <c r="Y178" t="s">
        <v>60</v>
      </c>
      <c r="Z178" t="s">
        <v>317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204.13</v>
      </c>
      <c r="AN178" s="2">
        <v>204.13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45985</v>
      </c>
      <c r="B179" t="s">
        <v>48</v>
      </c>
      <c r="C179">
        <v>649163</v>
      </c>
      <c r="D179">
        <v>2025816907</v>
      </c>
      <c r="E179" t="s">
        <v>346</v>
      </c>
      <c r="F179" t="s">
        <v>347</v>
      </c>
      <c r="G179" t="s">
        <v>51</v>
      </c>
      <c r="H179" t="s">
        <v>348</v>
      </c>
      <c r="I179" t="s">
        <v>89</v>
      </c>
      <c r="J179" t="s">
        <v>336</v>
      </c>
      <c r="K179">
        <v>651818</v>
      </c>
      <c r="L179" t="s">
        <v>331</v>
      </c>
      <c r="M179" t="s">
        <v>332</v>
      </c>
      <c r="N179" t="s">
        <v>57</v>
      </c>
      <c r="O179" s="1">
        <v>45648</v>
      </c>
      <c r="Q179" s="1">
        <v>46013</v>
      </c>
      <c r="R179" s="2">
        <v>116.52</v>
      </c>
      <c r="S179">
        <v>1</v>
      </c>
      <c r="T179" t="s">
        <v>58</v>
      </c>
      <c r="U179" t="s">
        <v>315</v>
      </c>
      <c r="V179" s="3">
        <v>0.75</v>
      </c>
      <c r="W179" s="2">
        <v>0</v>
      </c>
      <c r="X179">
        <v>0</v>
      </c>
      <c r="Y179" t="s">
        <v>60</v>
      </c>
      <c r="Z179" t="s">
        <v>317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87.39</v>
      </c>
      <c r="AN179" s="2">
        <v>87.39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45985</v>
      </c>
      <c r="B180" t="s">
        <v>48</v>
      </c>
      <c r="C180">
        <v>649163</v>
      </c>
      <c r="D180">
        <v>2026295211</v>
      </c>
      <c r="E180" t="s">
        <v>349</v>
      </c>
      <c r="F180" t="s">
        <v>216</v>
      </c>
      <c r="G180" t="s">
        <v>51</v>
      </c>
      <c r="H180" t="s">
        <v>109</v>
      </c>
      <c r="I180" t="s">
        <v>89</v>
      </c>
      <c r="J180" t="s">
        <v>110</v>
      </c>
      <c r="K180">
        <v>816021</v>
      </c>
      <c r="L180" t="s">
        <v>111</v>
      </c>
      <c r="M180" t="s">
        <v>112</v>
      </c>
      <c r="N180" t="s">
        <v>57</v>
      </c>
      <c r="O180" s="1">
        <v>45650</v>
      </c>
      <c r="Q180" s="1">
        <v>46015</v>
      </c>
      <c r="R180" s="2">
        <v>42.22</v>
      </c>
      <c r="S180">
        <v>1</v>
      </c>
      <c r="T180" t="s">
        <v>58</v>
      </c>
      <c r="U180" t="s">
        <v>315</v>
      </c>
      <c r="V180" s="3">
        <v>0.65</v>
      </c>
      <c r="W180" s="2">
        <v>0</v>
      </c>
      <c r="X180">
        <v>0</v>
      </c>
      <c r="Y180" t="s">
        <v>60</v>
      </c>
      <c r="Z180" t="s">
        <v>317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27.44</v>
      </c>
      <c r="AN180" s="2">
        <v>27.44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45985</v>
      </c>
      <c r="B181" t="s">
        <v>48</v>
      </c>
      <c r="C181">
        <v>649163</v>
      </c>
      <c r="D181">
        <v>2026669942</v>
      </c>
      <c r="E181" t="s">
        <v>350</v>
      </c>
      <c r="F181" t="s">
        <v>351</v>
      </c>
      <c r="G181" t="s">
        <v>51</v>
      </c>
      <c r="H181" t="s">
        <v>235</v>
      </c>
      <c r="I181" t="s">
        <v>89</v>
      </c>
      <c r="J181" t="s">
        <v>96</v>
      </c>
      <c r="K181">
        <v>767312</v>
      </c>
      <c r="L181" t="s">
        <v>156</v>
      </c>
      <c r="M181" t="s">
        <v>157</v>
      </c>
      <c r="N181" t="s">
        <v>57</v>
      </c>
      <c r="O181" s="1">
        <v>45677</v>
      </c>
      <c r="Q181" s="1">
        <v>46011</v>
      </c>
      <c r="R181" s="2">
        <v>-17.02</v>
      </c>
      <c r="S181">
        <v>1</v>
      </c>
      <c r="T181" t="s">
        <v>58</v>
      </c>
      <c r="U181" t="s">
        <v>315</v>
      </c>
      <c r="V181" s="3">
        <v>0.9</v>
      </c>
      <c r="W181" s="2">
        <v>0</v>
      </c>
      <c r="X181">
        <v>-1</v>
      </c>
      <c r="Y181" t="s">
        <v>60</v>
      </c>
      <c r="Z181" t="s">
        <v>317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-15.32</v>
      </c>
      <c r="AN181" s="2">
        <v>-15.32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45985</v>
      </c>
      <c r="B182" t="s">
        <v>48</v>
      </c>
      <c r="C182">
        <v>649163</v>
      </c>
      <c r="D182">
        <v>2027038281</v>
      </c>
      <c r="E182" t="s">
        <v>352</v>
      </c>
      <c r="F182" t="s">
        <v>353</v>
      </c>
      <c r="G182" t="s">
        <v>51</v>
      </c>
      <c r="H182" t="s">
        <v>109</v>
      </c>
      <c r="I182" t="s">
        <v>89</v>
      </c>
      <c r="J182" t="s">
        <v>110</v>
      </c>
      <c r="K182">
        <v>816021</v>
      </c>
      <c r="L182" t="s">
        <v>111</v>
      </c>
      <c r="M182" t="s">
        <v>112</v>
      </c>
      <c r="N182" t="s">
        <v>337</v>
      </c>
      <c r="O182" s="1">
        <v>45699</v>
      </c>
      <c r="P182" s="1">
        <v>45985</v>
      </c>
      <c r="Q182" s="1">
        <v>46002</v>
      </c>
      <c r="R182" s="2">
        <v>-30.61</v>
      </c>
      <c r="S182">
        <v>1</v>
      </c>
      <c r="T182" t="s">
        <v>58</v>
      </c>
      <c r="U182" t="s">
        <v>315</v>
      </c>
      <c r="V182" s="3">
        <v>0.65</v>
      </c>
      <c r="W182" s="2">
        <v>0</v>
      </c>
      <c r="X182">
        <v>-1</v>
      </c>
      <c r="Y182" t="s">
        <v>60</v>
      </c>
      <c r="Z182" t="s">
        <v>317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-19.899999999999999</v>
      </c>
      <c r="AN182" s="2">
        <v>-19.899999999999999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45985</v>
      </c>
      <c r="B183" t="s">
        <v>48</v>
      </c>
      <c r="C183">
        <v>649163</v>
      </c>
      <c r="D183">
        <v>2027258066</v>
      </c>
      <c r="E183" t="s">
        <v>354</v>
      </c>
      <c r="F183" t="s">
        <v>355</v>
      </c>
      <c r="G183" t="s">
        <v>51</v>
      </c>
      <c r="H183" t="s">
        <v>105</v>
      </c>
      <c r="I183" t="s">
        <v>89</v>
      </c>
      <c r="J183" t="s">
        <v>110</v>
      </c>
      <c r="K183">
        <v>673059</v>
      </c>
      <c r="L183" t="s">
        <v>70</v>
      </c>
      <c r="M183" t="s">
        <v>71</v>
      </c>
      <c r="N183" t="s">
        <v>57</v>
      </c>
      <c r="O183" s="1">
        <v>45710</v>
      </c>
      <c r="Q183" s="1">
        <v>46013</v>
      </c>
      <c r="R183" s="2">
        <v>78.239999999999995</v>
      </c>
      <c r="S183">
        <v>1</v>
      </c>
      <c r="T183" t="s">
        <v>58</v>
      </c>
      <c r="U183" t="s">
        <v>315</v>
      </c>
      <c r="V183" s="3">
        <v>0.65</v>
      </c>
      <c r="W183" s="2">
        <v>0</v>
      </c>
      <c r="X183">
        <v>0</v>
      </c>
      <c r="Y183" t="s">
        <v>60</v>
      </c>
      <c r="Z183" t="s">
        <v>317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50.86</v>
      </c>
      <c r="AN183" s="2">
        <v>50.86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45985</v>
      </c>
      <c r="B184" t="s">
        <v>48</v>
      </c>
      <c r="C184">
        <v>649163</v>
      </c>
      <c r="D184">
        <v>2027348180</v>
      </c>
      <c r="E184" t="s">
        <v>356</v>
      </c>
      <c r="F184" t="s">
        <v>357</v>
      </c>
      <c r="G184" t="s">
        <v>51</v>
      </c>
      <c r="H184" t="s">
        <v>64</v>
      </c>
      <c r="I184" t="s">
        <v>89</v>
      </c>
      <c r="J184" t="s">
        <v>96</v>
      </c>
      <c r="K184">
        <v>673059</v>
      </c>
      <c r="L184" t="s">
        <v>70</v>
      </c>
      <c r="M184" t="s">
        <v>71</v>
      </c>
      <c r="N184" t="s">
        <v>57</v>
      </c>
      <c r="O184" s="1">
        <v>45716</v>
      </c>
      <c r="Q184" s="1">
        <v>46019</v>
      </c>
      <c r="R184" s="2">
        <v>41.61</v>
      </c>
      <c r="S184">
        <v>1</v>
      </c>
      <c r="T184" t="s">
        <v>58</v>
      </c>
      <c r="U184" t="s">
        <v>315</v>
      </c>
      <c r="V184" s="3">
        <v>0.9</v>
      </c>
      <c r="W184" s="2">
        <v>0</v>
      </c>
      <c r="X184">
        <v>0</v>
      </c>
      <c r="Y184" t="s">
        <v>60</v>
      </c>
      <c r="Z184" t="s">
        <v>317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37.450000000000003</v>
      </c>
      <c r="AN184" s="2">
        <v>37.450000000000003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45985</v>
      </c>
      <c r="B185" t="s">
        <v>48</v>
      </c>
      <c r="C185">
        <v>649163</v>
      </c>
      <c r="D185">
        <v>2027855574</v>
      </c>
      <c r="E185" t="s">
        <v>358</v>
      </c>
      <c r="F185" t="s">
        <v>359</v>
      </c>
      <c r="G185" t="s">
        <v>51</v>
      </c>
      <c r="H185" t="s">
        <v>360</v>
      </c>
      <c r="I185" t="s">
        <v>89</v>
      </c>
      <c r="J185" t="s">
        <v>336</v>
      </c>
      <c r="K185">
        <v>651818</v>
      </c>
      <c r="L185" t="s">
        <v>331</v>
      </c>
      <c r="M185" t="s">
        <v>332</v>
      </c>
      <c r="N185" t="s">
        <v>57</v>
      </c>
      <c r="O185" s="1">
        <v>45734</v>
      </c>
      <c r="Q185" s="1">
        <v>46009</v>
      </c>
      <c r="R185" s="2">
        <v>-75.8</v>
      </c>
      <c r="S185">
        <v>1</v>
      </c>
      <c r="T185" t="s">
        <v>58</v>
      </c>
      <c r="U185" t="s">
        <v>315</v>
      </c>
      <c r="V185" s="3">
        <v>0.75</v>
      </c>
      <c r="W185" s="2">
        <v>0</v>
      </c>
      <c r="X185">
        <v>-1</v>
      </c>
      <c r="Y185" t="s">
        <v>60</v>
      </c>
      <c r="Z185" t="s">
        <v>317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-56.85</v>
      </c>
      <c r="AN185" s="2">
        <v>-56.85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45985</v>
      </c>
      <c r="B186" t="s">
        <v>48</v>
      </c>
      <c r="C186">
        <v>649163</v>
      </c>
      <c r="D186">
        <v>2027913474</v>
      </c>
      <c r="E186" t="s">
        <v>361</v>
      </c>
      <c r="F186" t="s">
        <v>362</v>
      </c>
      <c r="G186" t="s">
        <v>51</v>
      </c>
      <c r="H186" t="s">
        <v>109</v>
      </c>
      <c r="I186" t="s">
        <v>89</v>
      </c>
      <c r="J186" t="s">
        <v>96</v>
      </c>
      <c r="K186">
        <v>816021</v>
      </c>
      <c r="L186" t="s">
        <v>111</v>
      </c>
      <c r="M186" t="s">
        <v>112</v>
      </c>
      <c r="N186" t="s">
        <v>57</v>
      </c>
      <c r="O186" s="1">
        <v>45738</v>
      </c>
      <c r="Q186" s="1">
        <v>46013</v>
      </c>
      <c r="R186" s="2">
        <v>111.54</v>
      </c>
      <c r="S186">
        <v>1</v>
      </c>
      <c r="T186" t="s">
        <v>58</v>
      </c>
      <c r="U186" t="s">
        <v>315</v>
      </c>
      <c r="V186" s="3">
        <v>0.9</v>
      </c>
      <c r="W186" s="2">
        <v>0</v>
      </c>
      <c r="X186">
        <v>0</v>
      </c>
      <c r="Y186" t="s">
        <v>60</v>
      </c>
      <c r="Z186" t="s">
        <v>317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100.39</v>
      </c>
      <c r="AN186" s="2">
        <v>100.39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45985</v>
      </c>
      <c r="B187" t="s">
        <v>48</v>
      </c>
      <c r="C187">
        <v>649163</v>
      </c>
      <c r="D187">
        <v>2027920264</v>
      </c>
      <c r="E187" t="s">
        <v>363</v>
      </c>
      <c r="F187" t="s">
        <v>286</v>
      </c>
      <c r="G187" t="s">
        <v>51</v>
      </c>
      <c r="H187" t="s">
        <v>109</v>
      </c>
      <c r="I187" t="s">
        <v>89</v>
      </c>
      <c r="J187" t="s">
        <v>110</v>
      </c>
      <c r="K187">
        <v>816021</v>
      </c>
      <c r="L187" t="s">
        <v>111</v>
      </c>
      <c r="M187" t="s">
        <v>112</v>
      </c>
      <c r="N187" t="s">
        <v>57</v>
      </c>
      <c r="O187" s="1">
        <v>45744</v>
      </c>
      <c r="Q187" s="1">
        <v>46019</v>
      </c>
      <c r="R187" s="2">
        <v>65.28</v>
      </c>
      <c r="S187">
        <v>1</v>
      </c>
      <c r="T187" t="s">
        <v>58</v>
      </c>
      <c r="U187" t="s">
        <v>315</v>
      </c>
      <c r="V187" s="3">
        <v>0.65</v>
      </c>
      <c r="W187" s="2">
        <v>0</v>
      </c>
      <c r="X187">
        <v>0</v>
      </c>
      <c r="Y187" t="s">
        <v>60</v>
      </c>
      <c r="Z187" t="s">
        <v>317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42.43</v>
      </c>
      <c r="AN187" s="2">
        <v>42.43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45985</v>
      </c>
      <c r="B188" t="s">
        <v>48</v>
      </c>
      <c r="C188">
        <v>649163</v>
      </c>
      <c r="D188">
        <v>2027996022</v>
      </c>
      <c r="E188" t="s">
        <v>157</v>
      </c>
      <c r="F188" t="s">
        <v>364</v>
      </c>
      <c r="G188" t="s">
        <v>51</v>
      </c>
      <c r="H188" t="s">
        <v>105</v>
      </c>
      <c r="I188" t="s">
        <v>89</v>
      </c>
      <c r="J188" t="s">
        <v>110</v>
      </c>
      <c r="K188">
        <v>821015</v>
      </c>
      <c r="L188" t="s">
        <v>326</v>
      </c>
      <c r="M188" t="s">
        <v>327</v>
      </c>
      <c r="N188" t="s">
        <v>57</v>
      </c>
      <c r="O188" s="1">
        <v>45743</v>
      </c>
      <c r="Q188" s="1">
        <v>46018</v>
      </c>
      <c r="R188" s="2">
        <v>16.29</v>
      </c>
      <c r="S188">
        <v>1</v>
      </c>
      <c r="T188" t="s">
        <v>58</v>
      </c>
      <c r="U188" t="s">
        <v>315</v>
      </c>
      <c r="V188" s="3">
        <v>0.65</v>
      </c>
      <c r="W188" s="2">
        <v>0</v>
      </c>
      <c r="X188">
        <v>0</v>
      </c>
      <c r="Y188" t="s">
        <v>60</v>
      </c>
      <c r="Z188" t="s">
        <v>317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10.59</v>
      </c>
      <c r="AN188" s="2">
        <v>10.59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45985</v>
      </c>
      <c r="B189" t="s">
        <v>48</v>
      </c>
      <c r="C189">
        <v>649163</v>
      </c>
      <c r="D189">
        <v>2028004036</v>
      </c>
      <c r="E189" t="s">
        <v>365</v>
      </c>
      <c r="F189" t="s">
        <v>366</v>
      </c>
      <c r="G189" t="s">
        <v>51</v>
      </c>
      <c r="H189" t="s">
        <v>109</v>
      </c>
      <c r="I189" t="s">
        <v>89</v>
      </c>
      <c r="J189" t="s">
        <v>110</v>
      </c>
      <c r="K189">
        <v>816021</v>
      </c>
      <c r="L189" t="s">
        <v>111</v>
      </c>
      <c r="M189" t="s">
        <v>112</v>
      </c>
      <c r="N189" t="s">
        <v>57</v>
      </c>
      <c r="O189" s="1">
        <v>45741</v>
      </c>
      <c r="Q189" s="1">
        <v>46016</v>
      </c>
      <c r="R189" s="2">
        <v>21.96</v>
      </c>
      <c r="S189">
        <v>1</v>
      </c>
      <c r="T189" t="s">
        <v>58</v>
      </c>
      <c r="U189" t="s">
        <v>315</v>
      </c>
      <c r="V189" s="3">
        <v>0.65</v>
      </c>
      <c r="W189" s="2">
        <v>0</v>
      </c>
      <c r="X189">
        <v>0</v>
      </c>
      <c r="Y189" t="s">
        <v>60</v>
      </c>
      <c r="Z189" t="s">
        <v>317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14.27</v>
      </c>
      <c r="AN189" s="2">
        <v>14.27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45985</v>
      </c>
      <c r="B190" t="s">
        <v>48</v>
      </c>
      <c r="C190">
        <v>649163</v>
      </c>
      <c r="D190">
        <v>2028461883</v>
      </c>
      <c r="E190" t="s">
        <v>367</v>
      </c>
      <c r="F190" t="s">
        <v>368</v>
      </c>
      <c r="G190" t="s">
        <v>51</v>
      </c>
      <c r="H190" t="s">
        <v>132</v>
      </c>
      <c r="I190" t="s">
        <v>89</v>
      </c>
      <c r="J190" t="s">
        <v>96</v>
      </c>
      <c r="K190">
        <v>823350</v>
      </c>
      <c r="L190" t="s">
        <v>91</v>
      </c>
      <c r="M190" t="s">
        <v>92</v>
      </c>
      <c r="N190" t="s">
        <v>57</v>
      </c>
      <c r="O190" s="1">
        <v>45772</v>
      </c>
      <c r="Q190" s="1">
        <v>46016</v>
      </c>
      <c r="R190" s="2">
        <v>36.82</v>
      </c>
      <c r="S190">
        <v>1</v>
      </c>
      <c r="T190" t="s">
        <v>58</v>
      </c>
      <c r="U190" t="s">
        <v>315</v>
      </c>
      <c r="V190" s="3">
        <v>0.9</v>
      </c>
      <c r="W190" s="2">
        <v>0</v>
      </c>
      <c r="X190">
        <v>0</v>
      </c>
      <c r="Y190" t="s">
        <v>60</v>
      </c>
      <c r="Z190" t="s">
        <v>317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33.14</v>
      </c>
      <c r="AN190" s="2">
        <v>33.14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45985</v>
      </c>
      <c r="B191" t="s">
        <v>48</v>
      </c>
      <c r="C191">
        <v>649163</v>
      </c>
      <c r="D191">
        <v>2028498800</v>
      </c>
      <c r="E191" t="s">
        <v>369</v>
      </c>
      <c r="F191" t="s">
        <v>170</v>
      </c>
      <c r="G191" t="s">
        <v>51</v>
      </c>
      <c r="H191" t="s">
        <v>310</v>
      </c>
      <c r="I191" t="s">
        <v>89</v>
      </c>
      <c r="J191" t="s">
        <v>336</v>
      </c>
      <c r="K191">
        <v>823350</v>
      </c>
      <c r="L191" t="s">
        <v>91</v>
      </c>
      <c r="M191" t="s">
        <v>92</v>
      </c>
      <c r="N191" t="s">
        <v>57</v>
      </c>
      <c r="O191" s="1">
        <v>45772</v>
      </c>
      <c r="Q191" s="1">
        <v>46016</v>
      </c>
      <c r="R191" s="2">
        <v>28.95</v>
      </c>
      <c r="S191">
        <v>1</v>
      </c>
      <c r="T191" t="s">
        <v>58</v>
      </c>
      <c r="U191" t="s">
        <v>315</v>
      </c>
      <c r="V191" s="3">
        <v>0.75</v>
      </c>
      <c r="W191" s="2">
        <v>0</v>
      </c>
      <c r="X191">
        <v>0</v>
      </c>
      <c r="Y191" t="s">
        <v>60</v>
      </c>
      <c r="Z191" t="s">
        <v>317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21.71</v>
      </c>
      <c r="AN191" s="2">
        <v>21.71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45985</v>
      </c>
      <c r="B192" t="s">
        <v>48</v>
      </c>
      <c r="C192">
        <v>649163</v>
      </c>
      <c r="D192">
        <v>2028857840</v>
      </c>
      <c r="E192" t="s">
        <v>370</v>
      </c>
      <c r="F192" t="s">
        <v>371</v>
      </c>
      <c r="G192" t="s">
        <v>51</v>
      </c>
      <c r="H192" t="s">
        <v>360</v>
      </c>
      <c r="I192" t="s">
        <v>89</v>
      </c>
      <c r="J192" t="s">
        <v>90</v>
      </c>
      <c r="K192">
        <v>651818</v>
      </c>
      <c r="L192" t="s">
        <v>331</v>
      </c>
      <c r="M192" t="s">
        <v>332</v>
      </c>
      <c r="N192" t="s">
        <v>57</v>
      </c>
      <c r="O192" s="1">
        <v>45789</v>
      </c>
      <c r="Q192" s="1">
        <v>46003</v>
      </c>
      <c r="R192" s="2">
        <v>68.7</v>
      </c>
      <c r="S192">
        <v>1</v>
      </c>
      <c r="T192" t="s">
        <v>58</v>
      </c>
      <c r="U192" t="s">
        <v>315</v>
      </c>
      <c r="V192" s="3">
        <v>0.75</v>
      </c>
      <c r="W192" s="2">
        <v>0</v>
      </c>
      <c r="X192">
        <v>0</v>
      </c>
      <c r="Y192" t="s">
        <v>60</v>
      </c>
      <c r="Z192" t="s">
        <v>317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51.52</v>
      </c>
      <c r="AN192" s="2">
        <v>51.52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45985</v>
      </c>
      <c r="B193" t="s">
        <v>48</v>
      </c>
      <c r="C193">
        <v>649163</v>
      </c>
      <c r="D193">
        <v>2028938953</v>
      </c>
      <c r="E193" t="s">
        <v>372</v>
      </c>
      <c r="F193" t="s">
        <v>240</v>
      </c>
      <c r="G193" t="s">
        <v>51</v>
      </c>
      <c r="H193" t="s">
        <v>64</v>
      </c>
      <c r="I193" t="s">
        <v>89</v>
      </c>
      <c r="J193" t="s">
        <v>336</v>
      </c>
      <c r="K193">
        <v>673059</v>
      </c>
      <c r="L193" t="s">
        <v>70</v>
      </c>
      <c r="M193" t="s">
        <v>71</v>
      </c>
      <c r="N193" t="s">
        <v>57</v>
      </c>
      <c r="O193" s="1">
        <v>45836</v>
      </c>
      <c r="Q193" s="1">
        <v>46019</v>
      </c>
      <c r="R193" s="2">
        <v>34.65</v>
      </c>
      <c r="S193">
        <v>1</v>
      </c>
      <c r="T193" t="s">
        <v>58</v>
      </c>
      <c r="U193" t="s">
        <v>315</v>
      </c>
      <c r="V193" s="3">
        <v>0.75</v>
      </c>
      <c r="W193" s="2">
        <v>0</v>
      </c>
      <c r="X193">
        <v>0</v>
      </c>
      <c r="Y193" t="s">
        <v>60</v>
      </c>
      <c r="Z193" t="s">
        <v>317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25.99</v>
      </c>
      <c r="AN193" s="2">
        <v>25.99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45985</v>
      </c>
      <c r="B194" t="s">
        <v>48</v>
      </c>
      <c r="C194">
        <v>649163</v>
      </c>
      <c r="D194">
        <v>2028938954</v>
      </c>
      <c r="E194" t="s">
        <v>372</v>
      </c>
      <c r="F194" t="s">
        <v>240</v>
      </c>
      <c r="G194" t="s">
        <v>51</v>
      </c>
      <c r="H194" t="s">
        <v>64</v>
      </c>
      <c r="I194" t="s">
        <v>89</v>
      </c>
      <c r="J194" t="s">
        <v>96</v>
      </c>
      <c r="K194">
        <v>673059</v>
      </c>
      <c r="L194" t="s">
        <v>70</v>
      </c>
      <c r="M194" t="s">
        <v>71</v>
      </c>
      <c r="N194" t="s">
        <v>57</v>
      </c>
      <c r="O194" s="1">
        <v>45836</v>
      </c>
      <c r="Q194" s="1">
        <v>46019</v>
      </c>
      <c r="R194" s="2">
        <v>61.13</v>
      </c>
      <c r="S194">
        <v>1</v>
      </c>
      <c r="T194" t="s">
        <v>58</v>
      </c>
      <c r="U194" t="s">
        <v>315</v>
      </c>
      <c r="V194" s="3">
        <v>0.9</v>
      </c>
      <c r="W194" s="2">
        <v>0</v>
      </c>
      <c r="X194">
        <v>0</v>
      </c>
      <c r="Y194" t="s">
        <v>60</v>
      </c>
      <c r="Z194" t="s">
        <v>317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55.02</v>
      </c>
      <c r="AN194" s="2">
        <v>55.02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45985</v>
      </c>
      <c r="B195" t="s">
        <v>48</v>
      </c>
      <c r="C195">
        <v>649163</v>
      </c>
      <c r="D195">
        <v>2029101372</v>
      </c>
      <c r="E195" t="s">
        <v>373</v>
      </c>
      <c r="F195" t="s">
        <v>374</v>
      </c>
      <c r="G195" t="s">
        <v>51</v>
      </c>
      <c r="H195" t="s">
        <v>105</v>
      </c>
      <c r="I195" t="s">
        <v>89</v>
      </c>
      <c r="J195" t="s">
        <v>110</v>
      </c>
      <c r="K195">
        <v>767312</v>
      </c>
      <c r="L195" t="s">
        <v>156</v>
      </c>
      <c r="M195" t="s">
        <v>157</v>
      </c>
      <c r="N195" t="s">
        <v>57</v>
      </c>
      <c r="O195" s="1">
        <v>45801</v>
      </c>
      <c r="Q195" s="1">
        <v>46015</v>
      </c>
      <c r="R195" s="2">
        <v>53.79</v>
      </c>
      <c r="S195">
        <v>1</v>
      </c>
      <c r="T195" t="s">
        <v>58</v>
      </c>
      <c r="U195" t="s">
        <v>315</v>
      </c>
      <c r="V195" s="3">
        <v>0.65</v>
      </c>
      <c r="W195" s="2">
        <v>0</v>
      </c>
      <c r="X195">
        <v>0</v>
      </c>
      <c r="Y195" t="s">
        <v>60</v>
      </c>
      <c r="Z195" t="s">
        <v>317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0.01</v>
      </c>
      <c r="AM195" s="2">
        <v>34.950000000000003</v>
      </c>
      <c r="AN195" s="2">
        <v>34.950000000000003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45985</v>
      </c>
      <c r="B196" t="s">
        <v>48</v>
      </c>
      <c r="C196">
        <v>649163</v>
      </c>
      <c r="D196">
        <v>2029620629</v>
      </c>
      <c r="E196" t="s">
        <v>375</v>
      </c>
      <c r="F196" t="s">
        <v>376</v>
      </c>
      <c r="G196" t="s">
        <v>51</v>
      </c>
      <c r="H196" t="s">
        <v>64</v>
      </c>
      <c r="I196" t="s">
        <v>89</v>
      </c>
      <c r="J196" t="s">
        <v>96</v>
      </c>
      <c r="K196">
        <v>824062</v>
      </c>
      <c r="L196" t="s">
        <v>115</v>
      </c>
      <c r="M196" t="s">
        <v>116</v>
      </c>
      <c r="N196" t="s">
        <v>57</v>
      </c>
      <c r="O196" s="1">
        <v>45833</v>
      </c>
      <c r="Q196" s="1">
        <v>46016</v>
      </c>
      <c r="R196" s="2">
        <v>145.06</v>
      </c>
      <c r="S196">
        <v>1</v>
      </c>
      <c r="T196" t="s">
        <v>58</v>
      </c>
      <c r="U196" t="s">
        <v>315</v>
      </c>
      <c r="V196" s="3">
        <v>0.9</v>
      </c>
      <c r="W196" s="2">
        <v>0</v>
      </c>
      <c r="X196">
        <v>0</v>
      </c>
      <c r="Y196" t="s">
        <v>60</v>
      </c>
      <c r="Z196" t="s">
        <v>317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130.55000000000001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45985</v>
      </c>
      <c r="B197" t="s">
        <v>48</v>
      </c>
      <c r="C197">
        <v>649163</v>
      </c>
      <c r="D197">
        <v>2030077439</v>
      </c>
      <c r="E197" t="s">
        <v>377</v>
      </c>
      <c r="F197" t="s">
        <v>181</v>
      </c>
      <c r="G197" t="s">
        <v>51</v>
      </c>
      <c r="H197" t="s">
        <v>378</v>
      </c>
      <c r="I197" t="s">
        <v>89</v>
      </c>
      <c r="J197" t="s">
        <v>90</v>
      </c>
      <c r="K197">
        <v>856824</v>
      </c>
      <c r="L197" t="s">
        <v>106</v>
      </c>
      <c r="M197" t="s">
        <v>107</v>
      </c>
      <c r="N197" t="s">
        <v>57</v>
      </c>
      <c r="O197" s="1">
        <v>45860</v>
      </c>
      <c r="Q197" s="1">
        <v>46013</v>
      </c>
      <c r="R197" s="2">
        <v>48.01</v>
      </c>
      <c r="S197">
        <v>1</v>
      </c>
      <c r="T197" t="s">
        <v>58</v>
      </c>
      <c r="U197" t="s">
        <v>315</v>
      </c>
      <c r="V197" s="3">
        <v>0.75</v>
      </c>
      <c r="W197" s="2">
        <v>0</v>
      </c>
      <c r="X197">
        <v>0</v>
      </c>
      <c r="Y197" t="s">
        <v>60</v>
      </c>
      <c r="Z197" t="s">
        <v>317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36.01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45985</v>
      </c>
      <c r="B198" t="s">
        <v>48</v>
      </c>
      <c r="C198">
        <v>649163</v>
      </c>
      <c r="D198">
        <v>2030079839</v>
      </c>
      <c r="E198" t="s">
        <v>379</v>
      </c>
      <c r="F198" t="s">
        <v>380</v>
      </c>
      <c r="G198" t="s">
        <v>51</v>
      </c>
      <c r="H198" t="s">
        <v>95</v>
      </c>
      <c r="I198" t="s">
        <v>89</v>
      </c>
      <c r="J198" t="s">
        <v>96</v>
      </c>
      <c r="K198">
        <v>823068</v>
      </c>
      <c r="L198" t="s">
        <v>125</v>
      </c>
      <c r="M198" t="s">
        <v>126</v>
      </c>
      <c r="N198" t="s">
        <v>57</v>
      </c>
      <c r="O198" s="1">
        <v>45861</v>
      </c>
      <c r="Q198" s="1">
        <v>46014</v>
      </c>
      <c r="R198" s="2">
        <v>100.34</v>
      </c>
      <c r="S198">
        <v>1</v>
      </c>
      <c r="T198" t="s">
        <v>58</v>
      </c>
      <c r="U198" t="s">
        <v>315</v>
      </c>
      <c r="V198" s="3">
        <v>0.9</v>
      </c>
      <c r="W198" s="2">
        <v>0</v>
      </c>
      <c r="X198">
        <v>0</v>
      </c>
      <c r="Y198" t="s">
        <v>60</v>
      </c>
      <c r="Z198" t="s">
        <v>317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90.31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45985</v>
      </c>
      <c r="B199" t="s">
        <v>48</v>
      </c>
      <c r="C199">
        <v>649163</v>
      </c>
      <c r="D199">
        <v>2030085142</v>
      </c>
      <c r="E199" t="s">
        <v>381</v>
      </c>
      <c r="F199" t="s">
        <v>382</v>
      </c>
      <c r="G199" t="s">
        <v>51</v>
      </c>
      <c r="H199" t="s">
        <v>64</v>
      </c>
      <c r="I199" t="s">
        <v>89</v>
      </c>
      <c r="J199" t="s">
        <v>90</v>
      </c>
      <c r="K199">
        <v>673059</v>
      </c>
      <c r="L199" t="s">
        <v>70</v>
      </c>
      <c r="M199" t="s">
        <v>71</v>
      </c>
      <c r="N199" t="s">
        <v>57</v>
      </c>
      <c r="O199" s="1">
        <v>45861</v>
      </c>
      <c r="Q199" s="1">
        <v>46014</v>
      </c>
      <c r="R199" s="2">
        <v>78.430000000000007</v>
      </c>
      <c r="S199">
        <v>1</v>
      </c>
      <c r="T199" t="s">
        <v>58</v>
      </c>
      <c r="U199" t="s">
        <v>315</v>
      </c>
      <c r="V199" s="3">
        <v>0.75</v>
      </c>
      <c r="W199" s="2">
        <v>0</v>
      </c>
      <c r="X199">
        <v>0</v>
      </c>
      <c r="Y199" t="s">
        <v>60</v>
      </c>
      <c r="Z199" t="s">
        <v>317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58.82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45985</v>
      </c>
      <c r="B200" t="s">
        <v>48</v>
      </c>
      <c r="C200">
        <v>649163</v>
      </c>
      <c r="D200">
        <v>2030108810</v>
      </c>
      <c r="E200" t="s">
        <v>383</v>
      </c>
      <c r="F200" t="s">
        <v>384</v>
      </c>
      <c r="G200" t="s">
        <v>51</v>
      </c>
      <c r="H200" t="s">
        <v>109</v>
      </c>
      <c r="I200" t="s">
        <v>89</v>
      </c>
      <c r="J200" t="s">
        <v>96</v>
      </c>
      <c r="K200">
        <v>796984</v>
      </c>
      <c r="L200" t="s">
        <v>243</v>
      </c>
      <c r="M200" t="s">
        <v>81</v>
      </c>
      <c r="N200" t="s">
        <v>57</v>
      </c>
      <c r="O200" s="1">
        <v>45862</v>
      </c>
      <c r="Q200" s="1">
        <v>46015</v>
      </c>
      <c r="R200" s="2">
        <v>36.130000000000003</v>
      </c>
      <c r="S200">
        <v>1</v>
      </c>
      <c r="T200" t="s">
        <v>58</v>
      </c>
      <c r="U200" t="s">
        <v>315</v>
      </c>
      <c r="V200" s="3">
        <v>0.9</v>
      </c>
      <c r="W200" s="2">
        <v>0</v>
      </c>
      <c r="X200">
        <v>0</v>
      </c>
      <c r="Y200" t="s">
        <v>60</v>
      </c>
      <c r="Z200" t="s">
        <v>317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32.520000000000003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45985</v>
      </c>
      <c r="B201" t="s">
        <v>48</v>
      </c>
      <c r="C201">
        <v>649163</v>
      </c>
      <c r="D201">
        <v>2030145092</v>
      </c>
      <c r="E201" t="s">
        <v>385</v>
      </c>
      <c r="F201" t="s">
        <v>386</v>
      </c>
      <c r="G201" t="s">
        <v>51</v>
      </c>
      <c r="H201" t="s">
        <v>64</v>
      </c>
      <c r="I201" t="s">
        <v>89</v>
      </c>
      <c r="J201" t="s">
        <v>96</v>
      </c>
      <c r="K201">
        <v>824062</v>
      </c>
      <c r="L201" t="s">
        <v>115</v>
      </c>
      <c r="M201" t="s">
        <v>116</v>
      </c>
      <c r="N201" t="s">
        <v>57</v>
      </c>
      <c r="O201" s="1">
        <v>45864</v>
      </c>
      <c r="Q201" s="1">
        <v>46017</v>
      </c>
      <c r="R201" s="2">
        <v>62.71</v>
      </c>
      <c r="S201">
        <v>1</v>
      </c>
      <c r="T201" t="s">
        <v>58</v>
      </c>
      <c r="U201" t="s">
        <v>315</v>
      </c>
      <c r="V201" s="3">
        <v>0.9</v>
      </c>
      <c r="W201" s="2">
        <v>0</v>
      </c>
      <c r="X201">
        <v>0</v>
      </c>
      <c r="Y201" t="s">
        <v>60</v>
      </c>
      <c r="Z201" t="s">
        <v>317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56.44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45985</v>
      </c>
      <c r="B202" t="s">
        <v>48</v>
      </c>
      <c r="C202">
        <v>649163</v>
      </c>
      <c r="D202">
        <v>2030552094</v>
      </c>
      <c r="E202" t="s">
        <v>387</v>
      </c>
      <c r="F202" t="s">
        <v>388</v>
      </c>
      <c r="G202" t="s">
        <v>51</v>
      </c>
      <c r="H202" t="s">
        <v>219</v>
      </c>
      <c r="I202" t="s">
        <v>89</v>
      </c>
      <c r="J202" t="s">
        <v>336</v>
      </c>
      <c r="K202">
        <v>753748</v>
      </c>
      <c r="L202" t="s">
        <v>389</v>
      </c>
      <c r="M202" t="s">
        <v>390</v>
      </c>
      <c r="N202" t="s">
        <v>337</v>
      </c>
      <c r="O202" s="1">
        <v>45901</v>
      </c>
      <c r="P202" s="1">
        <v>45985</v>
      </c>
      <c r="Q202" s="1">
        <v>45992</v>
      </c>
      <c r="R202" s="2">
        <v>-78.7</v>
      </c>
      <c r="S202">
        <v>1</v>
      </c>
      <c r="T202" t="s">
        <v>58</v>
      </c>
      <c r="U202" t="s">
        <v>315</v>
      </c>
      <c r="V202" s="3">
        <v>0.75</v>
      </c>
      <c r="W202" s="2">
        <v>0</v>
      </c>
      <c r="X202">
        <v>-1</v>
      </c>
      <c r="Y202" t="s">
        <v>60</v>
      </c>
      <c r="Z202" t="s">
        <v>317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-59.02</v>
      </c>
      <c r="AN202" s="2">
        <v>-59.02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45985</v>
      </c>
      <c r="B203" t="s">
        <v>48</v>
      </c>
      <c r="C203">
        <v>649163</v>
      </c>
      <c r="D203">
        <v>2030567354</v>
      </c>
      <c r="E203" t="s">
        <v>329</v>
      </c>
      <c r="F203" t="s">
        <v>391</v>
      </c>
      <c r="G203" t="s">
        <v>51</v>
      </c>
      <c r="H203" t="s">
        <v>95</v>
      </c>
      <c r="I203" t="s">
        <v>89</v>
      </c>
      <c r="J203" t="s">
        <v>96</v>
      </c>
      <c r="K203">
        <v>823068</v>
      </c>
      <c r="L203" t="s">
        <v>125</v>
      </c>
      <c r="M203" t="s">
        <v>126</v>
      </c>
      <c r="N203" t="s">
        <v>57</v>
      </c>
      <c r="O203" s="1">
        <v>45892</v>
      </c>
      <c r="Q203" s="1">
        <v>46014</v>
      </c>
      <c r="R203" s="2">
        <v>106.25</v>
      </c>
      <c r="S203">
        <v>1</v>
      </c>
      <c r="T203" t="s">
        <v>58</v>
      </c>
      <c r="U203" t="s">
        <v>315</v>
      </c>
      <c r="V203" s="3">
        <v>0.9</v>
      </c>
      <c r="W203" s="2">
        <v>0</v>
      </c>
      <c r="X203">
        <v>0</v>
      </c>
      <c r="Y203" t="s">
        <v>60</v>
      </c>
      <c r="Z203" t="s">
        <v>317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95.62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45985</v>
      </c>
      <c r="B204" t="s">
        <v>48</v>
      </c>
      <c r="C204">
        <v>649163</v>
      </c>
      <c r="D204">
        <v>2030642688</v>
      </c>
      <c r="E204" t="s">
        <v>157</v>
      </c>
      <c r="F204" t="s">
        <v>392</v>
      </c>
      <c r="G204" t="s">
        <v>51</v>
      </c>
      <c r="H204" t="s">
        <v>105</v>
      </c>
      <c r="I204" t="s">
        <v>89</v>
      </c>
      <c r="J204" t="s">
        <v>393</v>
      </c>
      <c r="K204">
        <v>673059</v>
      </c>
      <c r="L204" t="s">
        <v>70</v>
      </c>
      <c r="M204" t="s">
        <v>71</v>
      </c>
      <c r="N204" t="s">
        <v>337</v>
      </c>
      <c r="O204" s="1">
        <v>45901</v>
      </c>
      <c r="P204" s="1">
        <v>45985</v>
      </c>
      <c r="Q204" s="1">
        <v>45992</v>
      </c>
      <c r="R204" s="2">
        <v>-22.66</v>
      </c>
      <c r="S204">
        <v>1</v>
      </c>
      <c r="T204" t="s">
        <v>58</v>
      </c>
      <c r="U204" t="s">
        <v>315</v>
      </c>
      <c r="V204" s="3">
        <v>0.75</v>
      </c>
      <c r="W204" s="2">
        <v>0</v>
      </c>
      <c r="X204">
        <v>-1</v>
      </c>
      <c r="Y204" t="s">
        <v>60</v>
      </c>
      <c r="Z204" t="s">
        <v>317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-17</v>
      </c>
      <c r="AN204" s="2">
        <v>-17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45985</v>
      </c>
      <c r="B205" t="s">
        <v>48</v>
      </c>
      <c r="C205">
        <v>649163</v>
      </c>
      <c r="D205">
        <v>2030707327</v>
      </c>
      <c r="E205" t="s">
        <v>394</v>
      </c>
      <c r="F205" t="s">
        <v>395</v>
      </c>
      <c r="G205" t="s">
        <v>51</v>
      </c>
      <c r="H205" t="s">
        <v>109</v>
      </c>
      <c r="I205" t="s">
        <v>89</v>
      </c>
      <c r="J205" t="s">
        <v>96</v>
      </c>
      <c r="K205">
        <v>756418</v>
      </c>
      <c r="L205" t="s">
        <v>271</v>
      </c>
      <c r="M205" t="s">
        <v>272</v>
      </c>
      <c r="N205" t="s">
        <v>57</v>
      </c>
      <c r="O205" s="1">
        <v>45896</v>
      </c>
      <c r="Q205" s="1">
        <v>46018</v>
      </c>
      <c r="R205" s="2">
        <v>54.21</v>
      </c>
      <c r="S205">
        <v>1</v>
      </c>
      <c r="T205" t="s">
        <v>58</v>
      </c>
      <c r="U205" t="s">
        <v>315</v>
      </c>
      <c r="V205" s="3">
        <v>0.9</v>
      </c>
      <c r="W205" s="2">
        <v>0</v>
      </c>
      <c r="X205">
        <v>0</v>
      </c>
      <c r="Y205" t="s">
        <v>60</v>
      </c>
      <c r="Z205" t="s">
        <v>317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48.79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45985</v>
      </c>
      <c r="B206" t="s">
        <v>48</v>
      </c>
      <c r="C206">
        <v>649163</v>
      </c>
      <c r="D206">
        <v>2030716586</v>
      </c>
      <c r="E206" t="s">
        <v>170</v>
      </c>
      <c r="F206" t="s">
        <v>396</v>
      </c>
      <c r="G206" t="s">
        <v>51</v>
      </c>
      <c r="H206" t="s">
        <v>95</v>
      </c>
      <c r="I206" t="s">
        <v>89</v>
      </c>
      <c r="J206" t="s">
        <v>96</v>
      </c>
      <c r="K206">
        <v>823068</v>
      </c>
      <c r="L206" t="s">
        <v>125</v>
      </c>
      <c r="M206" t="s">
        <v>126</v>
      </c>
      <c r="N206" t="s">
        <v>57</v>
      </c>
      <c r="O206" s="1">
        <v>45922</v>
      </c>
      <c r="Q206" s="1">
        <v>46013</v>
      </c>
      <c r="R206" s="2">
        <v>109.06</v>
      </c>
      <c r="S206">
        <v>1</v>
      </c>
      <c r="T206" t="s">
        <v>58</v>
      </c>
      <c r="U206" t="s">
        <v>315</v>
      </c>
      <c r="V206" s="3">
        <v>0.9</v>
      </c>
      <c r="W206" s="2">
        <v>0</v>
      </c>
      <c r="X206">
        <v>0</v>
      </c>
      <c r="Y206" t="s">
        <v>60</v>
      </c>
      <c r="Z206" t="s">
        <v>317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98.15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45985</v>
      </c>
      <c r="B207" t="s">
        <v>48</v>
      </c>
      <c r="C207">
        <v>649163</v>
      </c>
      <c r="D207">
        <v>2031180133</v>
      </c>
      <c r="E207" t="s">
        <v>397</v>
      </c>
      <c r="F207" t="s">
        <v>398</v>
      </c>
      <c r="G207" t="s">
        <v>51</v>
      </c>
      <c r="H207" t="s">
        <v>219</v>
      </c>
      <c r="I207" t="s">
        <v>89</v>
      </c>
      <c r="J207" t="s">
        <v>90</v>
      </c>
      <c r="K207">
        <v>823350</v>
      </c>
      <c r="L207" t="s">
        <v>91</v>
      </c>
      <c r="M207" t="s">
        <v>92</v>
      </c>
      <c r="N207" t="s">
        <v>57</v>
      </c>
      <c r="O207" s="1">
        <v>45924</v>
      </c>
      <c r="Q207" s="1">
        <v>46015</v>
      </c>
      <c r="R207" s="2">
        <v>71.63</v>
      </c>
      <c r="S207">
        <v>1</v>
      </c>
      <c r="T207" t="s">
        <v>58</v>
      </c>
      <c r="U207" t="s">
        <v>59</v>
      </c>
      <c r="V207" s="3">
        <v>0.75</v>
      </c>
      <c r="W207" s="2">
        <v>0</v>
      </c>
      <c r="X207">
        <v>0</v>
      </c>
      <c r="Y207" t="s">
        <v>60</v>
      </c>
      <c r="Z207" t="s">
        <v>317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53.72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45985</v>
      </c>
      <c r="B208" t="s">
        <v>48</v>
      </c>
      <c r="C208">
        <v>649163</v>
      </c>
      <c r="D208">
        <v>2031190209</v>
      </c>
      <c r="E208" t="s">
        <v>399</v>
      </c>
      <c r="F208" t="s">
        <v>400</v>
      </c>
      <c r="G208" t="s">
        <v>51</v>
      </c>
      <c r="H208" t="s">
        <v>166</v>
      </c>
      <c r="I208" t="s">
        <v>89</v>
      </c>
      <c r="J208" t="s">
        <v>90</v>
      </c>
      <c r="K208">
        <v>823350</v>
      </c>
      <c r="L208" t="s">
        <v>91</v>
      </c>
      <c r="M208" t="s">
        <v>92</v>
      </c>
      <c r="N208" t="s">
        <v>57</v>
      </c>
      <c r="O208" s="1">
        <v>45925</v>
      </c>
      <c r="Q208" s="1">
        <v>46016</v>
      </c>
      <c r="R208" s="2">
        <v>80.8</v>
      </c>
      <c r="S208">
        <v>1</v>
      </c>
      <c r="T208" t="s">
        <v>58</v>
      </c>
      <c r="U208" t="s">
        <v>59</v>
      </c>
      <c r="V208" s="3">
        <v>0.75</v>
      </c>
      <c r="W208" s="2">
        <v>0</v>
      </c>
      <c r="X208">
        <v>0</v>
      </c>
      <c r="Y208" t="s">
        <v>60</v>
      </c>
      <c r="Z208" t="s">
        <v>317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60.6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45985</v>
      </c>
      <c r="B209" t="s">
        <v>48</v>
      </c>
      <c r="C209">
        <v>649163</v>
      </c>
      <c r="D209">
        <v>2031210581</v>
      </c>
      <c r="E209" t="s">
        <v>401</v>
      </c>
      <c r="F209" t="s">
        <v>402</v>
      </c>
      <c r="G209" t="s">
        <v>51</v>
      </c>
      <c r="H209" t="s">
        <v>105</v>
      </c>
      <c r="I209" t="s">
        <v>89</v>
      </c>
      <c r="J209" t="s">
        <v>90</v>
      </c>
      <c r="K209">
        <v>673059</v>
      </c>
      <c r="L209" t="s">
        <v>70</v>
      </c>
      <c r="M209" t="s">
        <v>71</v>
      </c>
      <c r="N209" t="s">
        <v>57</v>
      </c>
      <c r="O209" s="1">
        <v>45931</v>
      </c>
      <c r="Q209" s="1">
        <v>45992</v>
      </c>
      <c r="R209" s="2">
        <v>23.34</v>
      </c>
      <c r="S209">
        <v>1</v>
      </c>
      <c r="T209" t="s">
        <v>58</v>
      </c>
      <c r="U209" t="s">
        <v>59</v>
      </c>
      <c r="V209" s="3">
        <v>0.75</v>
      </c>
      <c r="W209" s="2">
        <v>0</v>
      </c>
      <c r="X209">
        <v>0</v>
      </c>
      <c r="Y209" t="s">
        <v>60</v>
      </c>
      <c r="Z209" t="s">
        <v>317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17.5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45985</v>
      </c>
      <c r="B210" t="s">
        <v>48</v>
      </c>
      <c r="C210">
        <v>649163</v>
      </c>
      <c r="D210">
        <v>2031242401</v>
      </c>
      <c r="E210" t="s">
        <v>403</v>
      </c>
      <c r="F210" t="s">
        <v>404</v>
      </c>
      <c r="G210" t="s">
        <v>51</v>
      </c>
      <c r="H210" t="s">
        <v>109</v>
      </c>
      <c r="I210" t="s">
        <v>89</v>
      </c>
      <c r="J210" t="s">
        <v>90</v>
      </c>
      <c r="K210">
        <v>816021</v>
      </c>
      <c r="L210" t="s">
        <v>111</v>
      </c>
      <c r="M210" t="s">
        <v>112</v>
      </c>
      <c r="N210" t="s">
        <v>57</v>
      </c>
      <c r="O210" s="1">
        <v>45925</v>
      </c>
      <c r="Q210" s="1">
        <v>46016</v>
      </c>
      <c r="R210" s="2">
        <v>40.06</v>
      </c>
      <c r="S210">
        <v>1</v>
      </c>
      <c r="T210" t="s">
        <v>58</v>
      </c>
      <c r="U210" t="s">
        <v>59</v>
      </c>
      <c r="V210" s="3">
        <v>0.75</v>
      </c>
      <c r="W210" s="2">
        <v>0</v>
      </c>
      <c r="X210">
        <v>0</v>
      </c>
      <c r="Y210" t="s">
        <v>60</v>
      </c>
      <c r="Z210" t="s">
        <v>317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30.04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45985</v>
      </c>
      <c r="B211" t="s">
        <v>48</v>
      </c>
      <c r="C211">
        <v>649163</v>
      </c>
      <c r="D211">
        <v>2031738859</v>
      </c>
      <c r="E211" t="s">
        <v>405</v>
      </c>
      <c r="F211" t="s">
        <v>406</v>
      </c>
      <c r="G211" t="s">
        <v>51</v>
      </c>
      <c r="H211" t="s">
        <v>105</v>
      </c>
      <c r="I211" t="s">
        <v>89</v>
      </c>
      <c r="J211" t="s">
        <v>110</v>
      </c>
      <c r="K211">
        <v>673059</v>
      </c>
      <c r="L211" t="s">
        <v>70</v>
      </c>
      <c r="M211" t="s">
        <v>71</v>
      </c>
      <c r="N211" t="s">
        <v>57</v>
      </c>
      <c r="O211" s="1">
        <v>45952</v>
      </c>
      <c r="Q211" s="1">
        <v>46013</v>
      </c>
      <c r="R211" s="2">
        <v>41.51</v>
      </c>
      <c r="S211">
        <v>1</v>
      </c>
      <c r="T211" t="s">
        <v>58</v>
      </c>
      <c r="U211" t="s">
        <v>59</v>
      </c>
      <c r="V211" s="3">
        <v>0.65</v>
      </c>
      <c r="W211" s="2">
        <v>0</v>
      </c>
      <c r="X211">
        <v>0</v>
      </c>
      <c r="Y211" t="s">
        <v>60</v>
      </c>
      <c r="Z211" t="s">
        <v>317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26.98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45985</v>
      </c>
      <c r="B212" t="s">
        <v>48</v>
      </c>
      <c r="C212">
        <v>649163</v>
      </c>
      <c r="D212">
        <v>2031759933</v>
      </c>
      <c r="E212" t="s">
        <v>407</v>
      </c>
      <c r="F212" t="s">
        <v>408</v>
      </c>
      <c r="G212" t="s">
        <v>51</v>
      </c>
      <c r="H212" t="s">
        <v>64</v>
      </c>
      <c r="I212" t="s">
        <v>89</v>
      </c>
      <c r="J212" t="s">
        <v>90</v>
      </c>
      <c r="K212">
        <v>823350</v>
      </c>
      <c r="L212" t="s">
        <v>91</v>
      </c>
      <c r="M212" t="s">
        <v>92</v>
      </c>
      <c r="N212" t="s">
        <v>57</v>
      </c>
      <c r="O212" s="1">
        <v>45954</v>
      </c>
      <c r="Q212" s="1">
        <v>46015</v>
      </c>
      <c r="R212" s="2">
        <v>25.33</v>
      </c>
      <c r="S212">
        <v>1</v>
      </c>
      <c r="T212" t="s">
        <v>58</v>
      </c>
      <c r="U212" t="s">
        <v>59</v>
      </c>
      <c r="V212" s="3">
        <v>0.75</v>
      </c>
      <c r="W212" s="2">
        <v>0</v>
      </c>
      <c r="X212">
        <v>0</v>
      </c>
      <c r="Y212" t="s">
        <v>60</v>
      </c>
      <c r="Z212" t="s">
        <v>317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19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45985</v>
      </c>
      <c r="B213" t="s">
        <v>48</v>
      </c>
      <c r="C213">
        <v>649163</v>
      </c>
      <c r="D213">
        <v>2031759934</v>
      </c>
      <c r="E213" t="s">
        <v>407</v>
      </c>
      <c r="F213" t="s">
        <v>408</v>
      </c>
      <c r="G213" t="s">
        <v>51</v>
      </c>
      <c r="H213" t="s">
        <v>64</v>
      </c>
      <c r="I213" t="s">
        <v>89</v>
      </c>
      <c r="J213" t="s">
        <v>96</v>
      </c>
      <c r="K213">
        <v>823350</v>
      </c>
      <c r="L213" t="s">
        <v>91</v>
      </c>
      <c r="M213" t="s">
        <v>92</v>
      </c>
      <c r="N213" t="s">
        <v>57</v>
      </c>
      <c r="O213" s="1">
        <v>45954</v>
      </c>
      <c r="Q213" s="1">
        <v>46015</v>
      </c>
      <c r="R213" s="2">
        <v>42.75</v>
      </c>
      <c r="S213">
        <v>1</v>
      </c>
      <c r="T213" t="s">
        <v>58</v>
      </c>
      <c r="U213" t="s">
        <v>59</v>
      </c>
      <c r="V213" s="3">
        <v>0.9</v>
      </c>
      <c r="W213" s="2">
        <v>0</v>
      </c>
      <c r="X213">
        <v>0</v>
      </c>
      <c r="Y213" t="s">
        <v>60</v>
      </c>
      <c r="Z213" t="s">
        <v>317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38.479999999999997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45985</v>
      </c>
      <c r="B214" t="s">
        <v>48</v>
      </c>
      <c r="C214">
        <v>649163</v>
      </c>
      <c r="D214">
        <v>2031775761</v>
      </c>
      <c r="E214" t="s">
        <v>409</v>
      </c>
      <c r="F214" t="s">
        <v>253</v>
      </c>
      <c r="G214" t="s">
        <v>51</v>
      </c>
      <c r="H214" t="s">
        <v>109</v>
      </c>
      <c r="I214" t="s">
        <v>89</v>
      </c>
      <c r="J214" t="s">
        <v>90</v>
      </c>
      <c r="K214">
        <v>816021</v>
      </c>
      <c r="L214" t="s">
        <v>111</v>
      </c>
      <c r="M214" t="s">
        <v>112</v>
      </c>
      <c r="N214" t="s">
        <v>57</v>
      </c>
      <c r="O214" s="1">
        <v>45954</v>
      </c>
      <c r="Q214" s="1">
        <v>46015</v>
      </c>
      <c r="R214" s="2">
        <v>59.29</v>
      </c>
      <c r="S214">
        <v>1</v>
      </c>
      <c r="T214" t="s">
        <v>58</v>
      </c>
      <c r="U214" t="s">
        <v>59</v>
      </c>
      <c r="V214" s="3">
        <v>0.75</v>
      </c>
      <c r="W214" s="2">
        <v>0</v>
      </c>
      <c r="X214">
        <v>0</v>
      </c>
      <c r="Y214" t="s">
        <v>60</v>
      </c>
      <c r="Z214" t="s">
        <v>317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44.47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45985</v>
      </c>
      <c r="B215" t="s">
        <v>48</v>
      </c>
      <c r="C215">
        <v>649163</v>
      </c>
      <c r="D215">
        <v>2017472584</v>
      </c>
      <c r="E215" t="s">
        <v>410</v>
      </c>
      <c r="F215" t="s">
        <v>411</v>
      </c>
      <c r="G215" t="s">
        <v>51</v>
      </c>
      <c r="H215" t="s">
        <v>64</v>
      </c>
      <c r="I215" t="s">
        <v>160</v>
      </c>
      <c r="J215" t="s">
        <v>412</v>
      </c>
      <c r="K215">
        <v>649793</v>
      </c>
      <c r="L215" t="s">
        <v>70</v>
      </c>
      <c r="M215" t="s">
        <v>413</v>
      </c>
      <c r="N215" t="s">
        <v>57</v>
      </c>
      <c r="O215" s="1">
        <v>44954</v>
      </c>
      <c r="Q215" s="1">
        <v>46019</v>
      </c>
      <c r="R215" s="2">
        <v>15</v>
      </c>
      <c r="S215">
        <v>1</v>
      </c>
      <c r="T215" t="s">
        <v>58</v>
      </c>
      <c r="U215" t="s">
        <v>315</v>
      </c>
      <c r="V215" s="3">
        <v>0.28999999999999998</v>
      </c>
      <c r="W215" s="2">
        <v>0</v>
      </c>
      <c r="X215">
        <v>0</v>
      </c>
      <c r="Y215" t="s">
        <v>316</v>
      </c>
      <c r="Z215" t="s">
        <v>317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4.3499999999999996</v>
      </c>
      <c r="AN215" s="2">
        <v>4.3499999999999996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45985</v>
      </c>
      <c r="B216" t="s">
        <v>48</v>
      </c>
      <c r="C216">
        <v>649163</v>
      </c>
      <c r="D216">
        <v>2020392187</v>
      </c>
      <c r="E216" t="s">
        <v>414</v>
      </c>
      <c r="F216" t="s">
        <v>415</v>
      </c>
      <c r="G216" t="s">
        <v>51</v>
      </c>
      <c r="H216" t="s">
        <v>129</v>
      </c>
      <c r="I216" t="s">
        <v>160</v>
      </c>
      <c r="J216" t="s">
        <v>167</v>
      </c>
      <c r="K216">
        <v>673059</v>
      </c>
      <c r="L216" t="s">
        <v>70</v>
      </c>
      <c r="M216" t="s">
        <v>71</v>
      </c>
      <c r="N216" t="s">
        <v>57</v>
      </c>
      <c r="O216" s="1">
        <v>45288</v>
      </c>
      <c r="Q216" s="1">
        <v>46019</v>
      </c>
      <c r="R216" s="2">
        <v>15</v>
      </c>
      <c r="S216">
        <v>1</v>
      </c>
      <c r="T216" t="s">
        <v>58</v>
      </c>
      <c r="U216" t="s">
        <v>315</v>
      </c>
      <c r="V216" s="3">
        <v>0.28999999999999998</v>
      </c>
      <c r="W216" s="2">
        <v>0</v>
      </c>
      <c r="X216">
        <v>0</v>
      </c>
      <c r="Y216" t="s">
        <v>316</v>
      </c>
      <c r="Z216" t="s">
        <v>317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4.3499999999999996</v>
      </c>
      <c r="AN216" s="2">
        <v>4.3499999999999996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45985</v>
      </c>
      <c r="B217" t="s">
        <v>48</v>
      </c>
      <c r="C217">
        <v>649163</v>
      </c>
      <c r="D217">
        <v>2020461027</v>
      </c>
      <c r="E217" t="s">
        <v>416</v>
      </c>
      <c r="F217" t="s">
        <v>170</v>
      </c>
      <c r="G217" t="s">
        <v>51</v>
      </c>
      <c r="H217" t="s">
        <v>166</v>
      </c>
      <c r="I217" t="s">
        <v>160</v>
      </c>
      <c r="J217" t="s">
        <v>167</v>
      </c>
      <c r="K217">
        <v>673059</v>
      </c>
      <c r="L217" t="s">
        <v>70</v>
      </c>
      <c r="M217" t="s">
        <v>71</v>
      </c>
      <c r="N217" t="s">
        <v>57</v>
      </c>
      <c r="O217" s="1">
        <v>45284</v>
      </c>
      <c r="Q217" s="1">
        <v>46015</v>
      </c>
      <c r="R217" s="2">
        <v>15</v>
      </c>
      <c r="S217">
        <v>1</v>
      </c>
      <c r="T217" t="s">
        <v>58</v>
      </c>
      <c r="U217" t="s">
        <v>315</v>
      </c>
      <c r="V217" s="3">
        <v>0.28999999999999998</v>
      </c>
      <c r="W217" s="2">
        <v>0</v>
      </c>
      <c r="X217">
        <v>0</v>
      </c>
      <c r="Y217" t="s">
        <v>316</v>
      </c>
      <c r="Z217" t="s">
        <v>317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4.3499999999999996</v>
      </c>
      <c r="AN217" s="2">
        <v>4.3499999999999996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45985</v>
      </c>
      <c r="B218" t="s">
        <v>48</v>
      </c>
      <c r="C218">
        <v>649163</v>
      </c>
      <c r="D218">
        <v>2023625918</v>
      </c>
      <c r="E218" t="s">
        <v>417</v>
      </c>
      <c r="F218" t="s">
        <v>418</v>
      </c>
      <c r="G218" t="s">
        <v>51</v>
      </c>
      <c r="H218" t="s">
        <v>69</v>
      </c>
      <c r="I218" t="s">
        <v>160</v>
      </c>
      <c r="J218" t="s">
        <v>419</v>
      </c>
      <c r="K218">
        <v>673059</v>
      </c>
      <c r="L218" t="s">
        <v>70</v>
      </c>
      <c r="M218" t="s">
        <v>71</v>
      </c>
      <c r="N218" t="s">
        <v>57</v>
      </c>
      <c r="O218" s="1">
        <v>45466</v>
      </c>
      <c r="Q218" s="1">
        <v>46014</v>
      </c>
      <c r="R218" s="2">
        <v>15</v>
      </c>
      <c r="S218">
        <v>1</v>
      </c>
      <c r="T218" t="s">
        <v>58</v>
      </c>
      <c r="U218" t="s">
        <v>315</v>
      </c>
      <c r="V218" s="3">
        <v>0.19</v>
      </c>
      <c r="W218" s="2">
        <v>0</v>
      </c>
      <c r="X218">
        <v>0</v>
      </c>
      <c r="Y218" t="s">
        <v>316</v>
      </c>
      <c r="Z218" t="s">
        <v>317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2.85</v>
      </c>
      <c r="AN218" s="2">
        <v>2.85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45985</v>
      </c>
      <c r="B219" t="s">
        <v>48</v>
      </c>
      <c r="C219">
        <v>649163</v>
      </c>
      <c r="D219">
        <v>2023809266</v>
      </c>
      <c r="E219" t="s">
        <v>420</v>
      </c>
      <c r="F219" t="s">
        <v>421</v>
      </c>
      <c r="G219" t="s">
        <v>51</v>
      </c>
      <c r="H219" t="s">
        <v>129</v>
      </c>
      <c r="I219" t="s">
        <v>160</v>
      </c>
      <c r="J219" t="s">
        <v>167</v>
      </c>
      <c r="K219">
        <v>673059</v>
      </c>
      <c r="L219" t="s">
        <v>70</v>
      </c>
      <c r="M219" t="s">
        <v>71</v>
      </c>
      <c r="N219" t="s">
        <v>57</v>
      </c>
      <c r="O219" s="1">
        <v>45653</v>
      </c>
      <c r="Q219" s="1">
        <v>46018</v>
      </c>
      <c r="R219" s="2">
        <v>15</v>
      </c>
      <c r="S219">
        <v>1</v>
      </c>
      <c r="T219" t="s">
        <v>58</v>
      </c>
      <c r="U219" t="s">
        <v>315</v>
      </c>
      <c r="V219" s="3">
        <v>0.28999999999999998</v>
      </c>
      <c r="W219" s="2">
        <v>0</v>
      </c>
      <c r="X219">
        <v>0</v>
      </c>
      <c r="Y219" t="s">
        <v>60</v>
      </c>
      <c r="Z219" t="s">
        <v>317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4.3499999999999996</v>
      </c>
      <c r="AN219" s="2">
        <v>4.3499999999999996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45985</v>
      </c>
      <c r="B220" t="s">
        <v>48</v>
      </c>
      <c r="C220">
        <v>649163</v>
      </c>
      <c r="D220">
        <v>2024403626</v>
      </c>
      <c r="E220" t="s">
        <v>422</v>
      </c>
      <c r="F220" t="s">
        <v>423</v>
      </c>
      <c r="G220" t="s">
        <v>51</v>
      </c>
      <c r="H220" t="s">
        <v>424</v>
      </c>
      <c r="I220" t="s">
        <v>160</v>
      </c>
      <c r="J220" t="s">
        <v>161</v>
      </c>
      <c r="K220">
        <v>751867</v>
      </c>
      <c r="L220" t="s">
        <v>82</v>
      </c>
      <c r="M220" t="s">
        <v>83</v>
      </c>
      <c r="N220" t="s">
        <v>337</v>
      </c>
      <c r="O220" s="1">
        <v>45520</v>
      </c>
      <c r="P220" s="1">
        <v>45985</v>
      </c>
      <c r="Q220" s="1">
        <v>46007</v>
      </c>
      <c r="R220" s="2">
        <v>-13.5</v>
      </c>
      <c r="S220">
        <v>1</v>
      </c>
      <c r="T220" t="s">
        <v>58</v>
      </c>
      <c r="U220" t="s">
        <v>315</v>
      </c>
      <c r="V220" s="3">
        <v>0.1</v>
      </c>
      <c r="W220" s="2">
        <v>0</v>
      </c>
      <c r="X220">
        <v>-1</v>
      </c>
      <c r="Y220" t="s">
        <v>316</v>
      </c>
      <c r="Z220" t="s">
        <v>317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-1.35</v>
      </c>
      <c r="AN220" s="2">
        <v>-1.35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45985</v>
      </c>
      <c r="B221" t="s">
        <v>48</v>
      </c>
      <c r="C221">
        <v>649163</v>
      </c>
      <c r="D221">
        <v>2027348182</v>
      </c>
      <c r="E221" t="s">
        <v>356</v>
      </c>
      <c r="F221" t="s">
        <v>357</v>
      </c>
      <c r="G221" t="s">
        <v>51</v>
      </c>
      <c r="H221" t="s">
        <v>64</v>
      </c>
      <c r="I221" t="s">
        <v>160</v>
      </c>
      <c r="J221" t="s">
        <v>180</v>
      </c>
      <c r="K221">
        <v>673059</v>
      </c>
      <c r="L221" t="s">
        <v>70</v>
      </c>
      <c r="M221" t="s">
        <v>71</v>
      </c>
      <c r="N221" t="s">
        <v>57</v>
      </c>
      <c r="O221" s="1">
        <v>45716</v>
      </c>
      <c r="Q221" s="1">
        <v>46019</v>
      </c>
      <c r="R221" s="2">
        <v>15</v>
      </c>
      <c r="S221">
        <v>1</v>
      </c>
      <c r="T221" t="s">
        <v>58</v>
      </c>
      <c r="U221" t="s">
        <v>315</v>
      </c>
      <c r="V221" s="3">
        <v>0.38</v>
      </c>
      <c r="W221" s="2">
        <v>0</v>
      </c>
      <c r="X221">
        <v>0</v>
      </c>
      <c r="Y221" t="s">
        <v>60</v>
      </c>
      <c r="Z221" t="s">
        <v>317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5.7</v>
      </c>
      <c r="AN221" s="2">
        <v>5.7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45985</v>
      </c>
      <c r="B222" t="s">
        <v>48</v>
      </c>
      <c r="C222">
        <v>649163</v>
      </c>
      <c r="D222">
        <v>2028533940</v>
      </c>
      <c r="E222" t="s">
        <v>425</v>
      </c>
      <c r="F222" t="s">
        <v>426</v>
      </c>
      <c r="G222" t="s">
        <v>51</v>
      </c>
      <c r="H222" t="s">
        <v>64</v>
      </c>
      <c r="I222" t="s">
        <v>160</v>
      </c>
      <c r="J222" t="s">
        <v>180</v>
      </c>
      <c r="K222">
        <v>820873</v>
      </c>
      <c r="L222" t="s">
        <v>101</v>
      </c>
      <c r="M222" t="s">
        <v>102</v>
      </c>
      <c r="N222" t="s">
        <v>57</v>
      </c>
      <c r="O222" s="1">
        <v>45770</v>
      </c>
      <c r="Q222" s="1">
        <v>46014</v>
      </c>
      <c r="R222" s="2">
        <v>15</v>
      </c>
      <c r="S222">
        <v>1</v>
      </c>
      <c r="T222" t="s">
        <v>58</v>
      </c>
      <c r="U222" t="s">
        <v>315</v>
      </c>
      <c r="V222" s="3">
        <v>0.38</v>
      </c>
      <c r="W222" s="2">
        <v>0</v>
      </c>
      <c r="X222">
        <v>0</v>
      </c>
      <c r="Y222" t="s">
        <v>60</v>
      </c>
      <c r="Z222" t="s">
        <v>317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5.7</v>
      </c>
      <c r="AN222" s="2">
        <v>5.7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45985</v>
      </c>
      <c r="B223" t="s">
        <v>48</v>
      </c>
      <c r="C223">
        <v>649163</v>
      </c>
      <c r="D223">
        <v>2029051888</v>
      </c>
      <c r="E223" t="s">
        <v>354</v>
      </c>
      <c r="F223" t="s">
        <v>427</v>
      </c>
      <c r="G223" t="s">
        <v>51</v>
      </c>
      <c r="H223" t="s">
        <v>135</v>
      </c>
      <c r="I223" t="s">
        <v>160</v>
      </c>
      <c r="J223" t="s">
        <v>167</v>
      </c>
      <c r="K223">
        <v>856824</v>
      </c>
      <c r="L223" t="s">
        <v>106</v>
      </c>
      <c r="M223" t="s">
        <v>107</v>
      </c>
      <c r="N223" t="s">
        <v>57</v>
      </c>
      <c r="O223" s="1">
        <v>45799</v>
      </c>
      <c r="Q223" s="1">
        <v>46013</v>
      </c>
      <c r="R223" s="2">
        <v>15</v>
      </c>
      <c r="S223">
        <v>1</v>
      </c>
      <c r="T223" t="s">
        <v>58</v>
      </c>
      <c r="U223" t="s">
        <v>315</v>
      </c>
      <c r="V223" s="3">
        <v>0.28999999999999998</v>
      </c>
      <c r="W223" s="2">
        <v>0</v>
      </c>
      <c r="X223">
        <v>0</v>
      </c>
      <c r="Y223" t="s">
        <v>60</v>
      </c>
      <c r="Z223" t="s">
        <v>317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4.3499999999999996</v>
      </c>
      <c r="AN223" s="2">
        <v>4.3499999999999996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45985</v>
      </c>
      <c r="B224" t="s">
        <v>48</v>
      </c>
      <c r="C224">
        <v>649163</v>
      </c>
      <c r="D224">
        <v>2029145087</v>
      </c>
      <c r="E224" t="s">
        <v>428</v>
      </c>
      <c r="F224" t="s">
        <v>429</v>
      </c>
      <c r="G224" t="s">
        <v>51</v>
      </c>
      <c r="H224" t="s">
        <v>64</v>
      </c>
      <c r="I224" t="s">
        <v>160</v>
      </c>
      <c r="J224" t="s">
        <v>161</v>
      </c>
      <c r="K224">
        <v>766422</v>
      </c>
      <c r="L224" t="s">
        <v>430</v>
      </c>
      <c r="M224" t="s">
        <v>332</v>
      </c>
      <c r="N224" t="s">
        <v>57</v>
      </c>
      <c r="O224" s="1">
        <v>45805</v>
      </c>
      <c r="Q224" s="1">
        <v>46019</v>
      </c>
      <c r="R224" s="2">
        <v>15</v>
      </c>
      <c r="S224">
        <v>1</v>
      </c>
      <c r="T224" t="s">
        <v>58</v>
      </c>
      <c r="U224" t="s">
        <v>315</v>
      </c>
      <c r="V224" s="3">
        <v>0.38</v>
      </c>
      <c r="W224" s="2">
        <v>0</v>
      </c>
      <c r="X224">
        <v>0</v>
      </c>
      <c r="Y224" t="s">
        <v>60</v>
      </c>
      <c r="Z224" t="s">
        <v>317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5.7</v>
      </c>
      <c r="AN224" s="2">
        <v>5.7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45985</v>
      </c>
      <c r="B225" t="s">
        <v>48</v>
      </c>
      <c r="C225">
        <v>649163</v>
      </c>
      <c r="D225">
        <v>2029620631</v>
      </c>
      <c r="E225" t="s">
        <v>375</v>
      </c>
      <c r="F225" t="s">
        <v>376</v>
      </c>
      <c r="G225" t="s">
        <v>51</v>
      </c>
      <c r="H225" t="s">
        <v>64</v>
      </c>
      <c r="I225" t="s">
        <v>160</v>
      </c>
      <c r="J225" t="s">
        <v>180</v>
      </c>
      <c r="K225">
        <v>824062</v>
      </c>
      <c r="L225" t="s">
        <v>115</v>
      </c>
      <c r="M225" t="s">
        <v>116</v>
      </c>
      <c r="N225" t="s">
        <v>57</v>
      </c>
      <c r="O225" s="1">
        <v>45833</v>
      </c>
      <c r="Q225" s="1">
        <v>46016</v>
      </c>
      <c r="R225" s="2">
        <v>15</v>
      </c>
      <c r="S225">
        <v>1</v>
      </c>
      <c r="T225" t="s">
        <v>58</v>
      </c>
      <c r="U225" t="s">
        <v>315</v>
      </c>
      <c r="V225" s="3">
        <v>0.38</v>
      </c>
      <c r="W225" s="2">
        <v>0</v>
      </c>
      <c r="X225">
        <v>0</v>
      </c>
      <c r="Y225" t="s">
        <v>60</v>
      </c>
      <c r="Z225" t="s">
        <v>317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5.7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45985</v>
      </c>
      <c r="B226" t="s">
        <v>48</v>
      </c>
      <c r="C226">
        <v>649163</v>
      </c>
      <c r="D226">
        <v>2029623278</v>
      </c>
      <c r="E226" t="s">
        <v>431</v>
      </c>
      <c r="F226" t="s">
        <v>432</v>
      </c>
      <c r="G226" t="s">
        <v>51</v>
      </c>
      <c r="H226" t="s">
        <v>64</v>
      </c>
      <c r="I226" t="s">
        <v>160</v>
      </c>
      <c r="J226" t="s">
        <v>180</v>
      </c>
      <c r="K226">
        <v>840313</v>
      </c>
      <c r="L226" t="s">
        <v>433</v>
      </c>
      <c r="M226" t="s">
        <v>434</v>
      </c>
      <c r="N226" t="s">
        <v>57</v>
      </c>
      <c r="O226" s="1">
        <v>45833</v>
      </c>
      <c r="Q226" s="1">
        <v>46016</v>
      </c>
      <c r="R226" s="2">
        <v>15</v>
      </c>
      <c r="S226">
        <v>1</v>
      </c>
      <c r="T226" t="s">
        <v>58</v>
      </c>
      <c r="U226" t="s">
        <v>315</v>
      </c>
      <c r="V226" s="3">
        <v>0.38</v>
      </c>
      <c r="W226" s="2">
        <v>0</v>
      </c>
      <c r="X226">
        <v>0</v>
      </c>
      <c r="Y226" t="s">
        <v>60</v>
      </c>
      <c r="Z226" t="s">
        <v>317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5.7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45985</v>
      </c>
      <c r="B227" t="s">
        <v>48</v>
      </c>
      <c r="C227">
        <v>649163</v>
      </c>
      <c r="D227">
        <v>2029995395</v>
      </c>
      <c r="E227" t="s">
        <v>169</v>
      </c>
      <c r="F227" t="s">
        <v>170</v>
      </c>
      <c r="G227" t="s">
        <v>51</v>
      </c>
      <c r="H227" t="s">
        <v>105</v>
      </c>
      <c r="I227" t="s">
        <v>160</v>
      </c>
      <c r="J227" t="s">
        <v>167</v>
      </c>
      <c r="K227">
        <v>877182</v>
      </c>
      <c r="L227" t="s">
        <v>171</v>
      </c>
      <c r="M227" t="s">
        <v>172</v>
      </c>
      <c r="N227" t="s">
        <v>337</v>
      </c>
      <c r="O227" s="1">
        <v>45855</v>
      </c>
      <c r="P227" s="1">
        <v>45978</v>
      </c>
      <c r="Q227" s="1">
        <v>46008</v>
      </c>
      <c r="R227" s="2">
        <v>-15</v>
      </c>
      <c r="S227">
        <v>1</v>
      </c>
      <c r="T227" t="s">
        <v>58</v>
      </c>
      <c r="U227" t="s">
        <v>315</v>
      </c>
      <c r="V227" s="3">
        <v>0.28999999999999998</v>
      </c>
      <c r="W227" s="2">
        <v>0</v>
      </c>
      <c r="X227">
        <v>-1</v>
      </c>
      <c r="Y227" t="s">
        <v>60</v>
      </c>
      <c r="Z227" t="s">
        <v>317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-4.3499999999999996</v>
      </c>
      <c r="AN227" s="2">
        <v>-4.3499999999999996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45985</v>
      </c>
      <c r="B228" t="s">
        <v>48</v>
      </c>
      <c r="C228">
        <v>649163</v>
      </c>
      <c r="D228">
        <v>2030085147</v>
      </c>
      <c r="E228" t="s">
        <v>381</v>
      </c>
      <c r="F228" t="s">
        <v>382</v>
      </c>
      <c r="G228" t="s">
        <v>51</v>
      </c>
      <c r="H228" t="s">
        <v>64</v>
      </c>
      <c r="I228" t="s">
        <v>160</v>
      </c>
      <c r="J228" t="s">
        <v>435</v>
      </c>
      <c r="K228">
        <v>673059</v>
      </c>
      <c r="L228" t="s">
        <v>70</v>
      </c>
      <c r="M228" t="s">
        <v>71</v>
      </c>
      <c r="N228" t="s">
        <v>57</v>
      </c>
      <c r="O228" s="1">
        <v>45861</v>
      </c>
      <c r="Q228" s="1">
        <v>46014</v>
      </c>
      <c r="R228" s="2">
        <v>15</v>
      </c>
      <c r="S228">
        <v>1</v>
      </c>
      <c r="T228" t="s">
        <v>58</v>
      </c>
      <c r="U228" t="s">
        <v>315</v>
      </c>
      <c r="V228" s="3">
        <v>0.19</v>
      </c>
      <c r="W228" s="2">
        <v>0</v>
      </c>
      <c r="X228">
        <v>0</v>
      </c>
      <c r="Y228" t="s">
        <v>60</v>
      </c>
      <c r="Z228" t="s">
        <v>317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2.85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45985</v>
      </c>
      <c r="B229" t="s">
        <v>48</v>
      </c>
      <c r="C229">
        <v>649163</v>
      </c>
      <c r="D229">
        <v>2030093006</v>
      </c>
      <c r="E229" t="s">
        <v>436</v>
      </c>
      <c r="F229" t="s">
        <v>437</v>
      </c>
      <c r="G229" t="s">
        <v>51</v>
      </c>
      <c r="H229" t="s">
        <v>135</v>
      </c>
      <c r="I229" t="s">
        <v>160</v>
      </c>
      <c r="J229" t="s">
        <v>180</v>
      </c>
      <c r="K229">
        <v>650218</v>
      </c>
      <c r="L229" t="s">
        <v>55</v>
      </c>
      <c r="M229" t="s">
        <v>56</v>
      </c>
      <c r="N229" t="s">
        <v>57</v>
      </c>
      <c r="O229" s="1">
        <v>45861</v>
      </c>
      <c r="Q229" s="1">
        <v>46014</v>
      </c>
      <c r="R229" s="2">
        <v>15</v>
      </c>
      <c r="S229">
        <v>1</v>
      </c>
      <c r="T229" t="s">
        <v>58</v>
      </c>
      <c r="U229" t="s">
        <v>315</v>
      </c>
      <c r="V229" s="3">
        <v>0.38</v>
      </c>
      <c r="W229" s="2">
        <v>0</v>
      </c>
      <c r="X229">
        <v>0</v>
      </c>
      <c r="Y229" t="s">
        <v>60</v>
      </c>
      <c r="Z229" t="s">
        <v>317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5.7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45985</v>
      </c>
      <c r="B230" t="s">
        <v>48</v>
      </c>
      <c r="C230">
        <v>649163</v>
      </c>
      <c r="D230">
        <v>2030105691</v>
      </c>
      <c r="E230" t="s">
        <v>438</v>
      </c>
      <c r="F230" t="s">
        <v>439</v>
      </c>
      <c r="G230" t="s">
        <v>51</v>
      </c>
      <c r="H230" t="s">
        <v>64</v>
      </c>
      <c r="I230" t="s">
        <v>160</v>
      </c>
      <c r="J230" t="s">
        <v>180</v>
      </c>
      <c r="K230">
        <v>856163</v>
      </c>
      <c r="L230" t="s">
        <v>91</v>
      </c>
      <c r="M230" t="s">
        <v>440</v>
      </c>
      <c r="N230" t="s">
        <v>57</v>
      </c>
      <c r="O230" s="1">
        <v>45862</v>
      </c>
      <c r="Q230" s="1">
        <v>46015</v>
      </c>
      <c r="R230" s="2">
        <v>15</v>
      </c>
      <c r="S230">
        <v>1</v>
      </c>
      <c r="T230" t="s">
        <v>58</v>
      </c>
      <c r="U230" t="s">
        <v>315</v>
      </c>
      <c r="V230" s="3">
        <v>0.38</v>
      </c>
      <c r="W230" s="2">
        <v>0</v>
      </c>
      <c r="X230">
        <v>0</v>
      </c>
      <c r="Y230" t="s">
        <v>60</v>
      </c>
      <c r="Z230" t="s">
        <v>317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5.7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45985</v>
      </c>
      <c r="B231" t="s">
        <v>48</v>
      </c>
      <c r="C231">
        <v>649163</v>
      </c>
      <c r="D231">
        <v>2030722442</v>
      </c>
      <c r="E231" t="s">
        <v>441</v>
      </c>
      <c r="F231" t="s">
        <v>442</v>
      </c>
      <c r="G231" t="s">
        <v>51</v>
      </c>
      <c r="H231" t="s">
        <v>129</v>
      </c>
      <c r="I231" t="s">
        <v>160</v>
      </c>
      <c r="J231" t="s">
        <v>167</v>
      </c>
      <c r="K231">
        <v>812994</v>
      </c>
      <c r="L231" t="s">
        <v>443</v>
      </c>
      <c r="M231" t="s">
        <v>444</v>
      </c>
      <c r="N231" t="s">
        <v>57</v>
      </c>
      <c r="O231" s="1">
        <v>45897</v>
      </c>
      <c r="Q231" s="1">
        <v>46019</v>
      </c>
      <c r="R231" s="2">
        <v>15</v>
      </c>
      <c r="S231">
        <v>1</v>
      </c>
      <c r="T231" t="s">
        <v>58</v>
      </c>
      <c r="U231" t="s">
        <v>315</v>
      </c>
      <c r="V231" s="3">
        <v>0.28999999999999998</v>
      </c>
      <c r="W231" s="2">
        <v>0</v>
      </c>
      <c r="X231">
        <v>0</v>
      </c>
      <c r="Y231" t="s">
        <v>60</v>
      </c>
      <c r="Z231" t="s">
        <v>317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4.3499999999999996</v>
      </c>
      <c r="AN231" s="2">
        <v>4.3499999999999996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45985</v>
      </c>
      <c r="B232" t="s">
        <v>48</v>
      </c>
      <c r="C232">
        <v>649163</v>
      </c>
      <c r="D232">
        <v>2031226329</v>
      </c>
      <c r="E232" t="s">
        <v>445</v>
      </c>
      <c r="F232" t="s">
        <v>446</v>
      </c>
      <c r="G232" t="s">
        <v>51</v>
      </c>
      <c r="H232" t="s">
        <v>135</v>
      </c>
      <c r="I232" t="s">
        <v>160</v>
      </c>
      <c r="J232" t="s">
        <v>180</v>
      </c>
      <c r="K232">
        <v>820873</v>
      </c>
      <c r="L232" t="s">
        <v>101</v>
      </c>
      <c r="M232" t="s">
        <v>102</v>
      </c>
      <c r="N232" t="s">
        <v>57</v>
      </c>
      <c r="O232" s="1">
        <v>45924</v>
      </c>
      <c r="Q232" s="1">
        <v>46015</v>
      </c>
      <c r="R232" s="2">
        <v>15</v>
      </c>
      <c r="S232">
        <v>1</v>
      </c>
      <c r="T232" t="s">
        <v>58</v>
      </c>
      <c r="U232" t="s">
        <v>168</v>
      </c>
      <c r="V232" s="3">
        <v>0.38</v>
      </c>
      <c r="W232" s="2">
        <v>0</v>
      </c>
      <c r="X232">
        <v>0</v>
      </c>
      <c r="Y232" t="s">
        <v>60</v>
      </c>
      <c r="Z232" t="s">
        <v>317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5.7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45985</v>
      </c>
      <c r="B233" t="s">
        <v>48</v>
      </c>
      <c r="C233">
        <v>649163</v>
      </c>
      <c r="D233">
        <v>2031255011</v>
      </c>
      <c r="E233" t="s">
        <v>447</v>
      </c>
      <c r="F233" t="s">
        <v>448</v>
      </c>
      <c r="G233" t="s">
        <v>51</v>
      </c>
      <c r="H233" t="s">
        <v>64</v>
      </c>
      <c r="I233" t="s">
        <v>160</v>
      </c>
      <c r="J233" t="s">
        <v>180</v>
      </c>
      <c r="K233">
        <v>812994</v>
      </c>
      <c r="L233" t="s">
        <v>443</v>
      </c>
      <c r="M233" t="s">
        <v>444</v>
      </c>
      <c r="N233" t="s">
        <v>57</v>
      </c>
      <c r="O233" s="1">
        <v>45925</v>
      </c>
      <c r="Q233" s="1">
        <v>46016</v>
      </c>
      <c r="R233" s="2">
        <v>15</v>
      </c>
      <c r="S233">
        <v>1</v>
      </c>
      <c r="T233" t="s">
        <v>58</v>
      </c>
      <c r="U233" t="s">
        <v>168</v>
      </c>
      <c r="V233" s="3">
        <v>0.38</v>
      </c>
      <c r="W233" s="2">
        <v>0</v>
      </c>
      <c r="X233">
        <v>0</v>
      </c>
      <c r="Y233" t="s">
        <v>60</v>
      </c>
      <c r="Z233" t="s">
        <v>317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5.7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45985</v>
      </c>
      <c r="B234" t="s">
        <v>48</v>
      </c>
      <c r="C234">
        <v>649163</v>
      </c>
      <c r="D234">
        <v>2031804599</v>
      </c>
      <c r="E234" t="s">
        <v>449</v>
      </c>
      <c r="F234" t="s">
        <v>450</v>
      </c>
      <c r="G234" t="s">
        <v>51</v>
      </c>
      <c r="H234" t="s">
        <v>310</v>
      </c>
      <c r="I234" t="s">
        <v>160</v>
      </c>
      <c r="J234" t="s">
        <v>451</v>
      </c>
      <c r="K234">
        <v>877790</v>
      </c>
      <c r="L234" t="s">
        <v>452</v>
      </c>
      <c r="M234" t="s">
        <v>453</v>
      </c>
      <c r="N234" t="s">
        <v>57</v>
      </c>
      <c r="O234" s="1">
        <v>45955</v>
      </c>
      <c r="Q234" s="1">
        <v>46016</v>
      </c>
      <c r="R234" s="2">
        <v>15</v>
      </c>
      <c r="S234">
        <v>1</v>
      </c>
      <c r="T234" t="s">
        <v>58</v>
      </c>
      <c r="U234" t="s">
        <v>168</v>
      </c>
      <c r="V234" s="3">
        <v>0.19</v>
      </c>
      <c r="W234" s="2">
        <v>0</v>
      </c>
      <c r="X234">
        <v>0</v>
      </c>
      <c r="Y234" t="s">
        <v>60</v>
      </c>
      <c r="Z234" t="s">
        <v>317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2.85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45985</v>
      </c>
      <c r="B235" t="s">
        <v>48</v>
      </c>
      <c r="C235">
        <v>649163</v>
      </c>
      <c r="D235">
        <v>2032050347</v>
      </c>
      <c r="E235" t="s">
        <v>188</v>
      </c>
      <c r="F235" t="s">
        <v>189</v>
      </c>
      <c r="G235" t="s">
        <v>51</v>
      </c>
      <c r="H235" t="s">
        <v>64</v>
      </c>
      <c r="I235" t="s">
        <v>160</v>
      </c>
      <c r="J235" t="s">
        <v>161</v>
      </c>
      <c r="K235">
        <v>894525</v>
      </c>
      <c r="L235" t="s">
        <v>65</v>
      </c>
      <c r="M235" t="s">
        <v>66</v>
      </c>
      <c r="N235" t="s">
        <v>57</v>
      </c>
      <c r="O235" s="1">
        <v>46023</v>
      </c>
      <c r="Q235" s="1">
        <v>46054</v>
      </c>
      <c r="R235" s="2">
        <v>-15</v>
      </c>
      <c r="S235">
        <v>1</v>
      </c>
      <c r="T235" t="s">
        <v>58</v>
      </c>
      <c r="U235" t="s">
        <v>59</v>
      </c>
      <c r="V235" s="3">
        <v>0.38</v>
      </c>
      <c r="W235" s="2">
        <v>0</v>
      </c>
      <c r="X235">
        <v>-1</v>
      </c>
      <c r="Y235" t="s">
        <v>60</v>
      </c>
      <c r="Z235" t="s">
        <v>317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-5.7</v>
      </c>
      <c r="AN235" s="2">
        <v>-5.7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45985</v>
      </c>
      <c r="B236" t="s">
        <v>48</v>
      </c>
      <c r="C236">
        <v>649163</v>
      </c>
      <c r="D236">
        <v>2032175763</v>
      </c>
      <c r="E236" t="s">
        <v>454</v>
      </c>
      <c r="F236" t="s">
        <v>455</v>
      </c>
      <c r="G236" t="s">
        <v>51</v>
      </c>
      <c r="H236" t="s">
        <v>310</v>
      </c>
      <c r="I236" t="s">
        <v>160</v>
      </c>
      <c r="J236" t="s">
        <v>451</v>
      </c>
      <c r="K236">
        <v>898497</v>
      </c>
      <c r="L236" t="s">
        <v>456</v>
      </c>
      <c r="M236" t="s">
        <v>457</v>
      </c>
      <c r="N236" t="s">
        <v>57</v>
      </c>
      <c r="O236" s="1">
        <v>45976</v>
      </c>
      <c r="Q236" s="1">
        <v>46006</v>
      </c>
      <c r="R236" s="2">
        <v>-15</v>
      </c>
      <c r="S236">
        <v>1</v>
      </c>
      <c r="T236" t="s">
        <v>58</v>
      </c>
      <c r="U236" t="s">
        <v>458</v>
      </c>
      <c r="V236" s="3">
        <v>0.19</v>
      </c>
      <c r="W236" s="2">
        <v>0</v>
      </c>
      <c r="X236">
        <v>-1</v>
      </c>
      <c r="Y236" t="s">
        <v>60</v>
      </c>
      <c r="Z236" t="s">
        <v>317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-2.85</v>
      </c>
      <c r="AN236" s="2">
        <v>-2.85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45985</v>
      </c>
      <c r="B237" t="s">
        <v>48</v>
      </c>
      <c r="C237">
        <v>649163</v>
      </c>
      <c r="D237">
        <v>2016328595</v>
      </c>
      <c r="E237" t="s">
        <v>328</v>
      </c>
      <c r="F237" t="s">
        <v>329</v>
      </c>
      <c r="G237" t="s">
        <v>51</v>
      </c>
      <c r="H237" t="s">
        <v>330</v>
      </c>
      <c r="I237" t="s">
        <v>196</v>
      </c>
      <c r="J237" t="s">
        <v>197</v>
      </c>
      <c r="K237">
        <v>651818</v>
      </c>
      <c r="L237" t="s">
        <v>331</v>
      </c>
      <c r="M237" t="s">
        <v>332</v>
      </c>
      <c r="N237" t="s">
        <v>57</v>
      </c>
      <c r="O237" s="1">
        <v>44829</v>
      </c>
      <c r="Q237" s="1">
        <v>46016</v>
      </c>
      <c r="R237" s="2">
        <v>42.47</v>
      </c>
      <c r="S237">
        <v>1</v>
      </c>
      <c r="T237" t="s">
        <v>58</v>
      </c>
      <c r="U237" t="s">
        <v>315</v>
      </c>
      <c r="V237" s="3">
        <v>0.06</v>
      </c>
      <c r="W237" s="2">
        <v>0</v>
      </c>
      <c r="X237">
        <v>0</v>
      </c>
      <c r="Y237" t="s">
        <v>316</v>
      </c>
      <c r="Z237" t="s">
        <v>317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2.5499999999999998</v>
      </c>
      <c r="AN237" s="2">
        <v>2.5499999999999998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45985</v>
      </c>
      <c r="B238" t="s">
        <v>48</v>
      </c>
      <c r="C238">
        <v>649163</v>
      </c>
      <c r="D238">
        <v>2019459171</v>
      </c>
      <c r="E238" t="s">
        <v>459</v>
      </c>
      <c r="F238" t="s">
        <v>438</v>
      </c>
      <c r="G238" t="s">
        <v>51</v>
      </c>
      <c r="H238" t="s">
        <v>52</v>
      </c>
      <c r="I238" t="s">
        <v>196</v>
      </c>
      <c r="J238" t="s">
        <v>197</v>
      </c>
      <c r="K238">
        <v>702406</v>
      </c>
      <c r="L238" t="s">
        <v>314</v>
      </c>
      <c r="M238" t="s">
        <v>186</v>
      </c>
      <c r="N238" t="s">
        <v>57</v>
      </c>
      <c r="O238" s="1">
        <v>45129</v>
      </c>
      <c r="Q238" s="1">
        <v>46013</v>
      </c>
      <c r="R238" s="2">
        <v>57.29</v>
      </c>
      <c r="S238">
        <v>1</v>
      </c>
      <c r="T238" t="s">
        <v>58</v>
      </c>
      <c r="U238" t="s">
        <v>315</v>
      </c>
      <c r="V238" s="3">
        <v>0.06</v>
      </c>
      <c r="W238" s="2">
        <v>0</v>
      </c>
      <c r="X238">
        <v>0</v>
      </c>
      <c r="Y238" t="s">
        <v>316</v>
      </c>
      <c r="Z238" t="s">
        <v>317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3.44</v>
      </c>
      <c r="AN238" s="2">
        <v>3.44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45985</v>
      </c>
      <c r="B239" t="s">
        <v>48</v>
      </c>
      <c r="C239">
        <v>649163</v>
      </c>
      <c r="D239">
        <v>2019665210</v>
      </c>
      <c r="E239" t="s">
        <v>246</v>
      </c>
      <c r="F239" t="s">
        <v>460</v>
      </c>
      <c r="G239" t="s">
        <v>51</v>
      </c>
      <c r="H239" t="s">
        <v>310</v>
      </c>
      <c r="I239" t="s">
        <v>196</v>
      </c>
      <c r="J239" t="s">
        <v>197</v>
      </c>
      <c r="K239">
        <v>673059</v>
      </c>
      <c r="L239" t="s">
        <v>70</v>
      </c>
      <c r="M239" t="s">
        <v>71</v>
      </c>
      <c r="N239" t="s">
        <v>57</v>
      </c>
      <c r="O239" s="1">
        <v>45192</v>
      </c>
      <c r="Q239" s="1">
        <v>46014</v>
      </c>
      <c r="R239" s="2">
        <v>42.78</v>
      </c>
      <c r="S239">
        <v>1</v>
      </c>
      <c r="T239" t="s">
        <v>58</v>
      </c>
      <c r="U239" t="s">
        <v>315</v>
      </c>
      <c r="V239" s="3">
        <v>0.06</v>
      </c>
      <c r="W239" s="2">
        <v>0</v>
      </c>
      <c r="X239">
        <v>0</v>
      </c>
      <c r="Y239" t="s">
        <v>316</v>
      </c>
      <c r="Z239" t="s">
        <v>317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2.57</v>
      </c>
      <c r="AN239" s="2">
        <v>2.57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45985</v>
      </c>
      <c r="B240" t="s">
        <v>48</v>
      </c>
      <c r="C240">
        <v>649163</v>
      </c>
      <c r="D240">
        <v>2019971559</v>
      </c>
      <c r="E240" t="s">
        <v>461</v>
      </c>
      <c r="F240" t="s">
        <v>462</v>
      </c>
      <c r="G240" t="s">
        <v>51</v>
      </c>
      <c r="H240" t="s">
        <v>52</v>
      </c>
      <c r="I240" t="s">
        <v>196</v>
      </c>
      <c r="J240" t="s">
        <v>197</v>
      </c>
      <c r="K240">
        <v>678320</v>
      </c>
      <c r="L240" t="s">
        <v>463</v>
      </c>
      <c r="M240" t="s">
        <v>63</v>
      </c>
      <c r="N240" t="s">
        <v>57</v>
      </c>
      <c r="O240" s="1">
        <v>45163</v>
      </c>
      <c r="Q240" s="1">
        <v>46016</v>
      </c>
      <c r="R240" s="2">
        <v>49.12</v>
      </c>
      <c r="S240">
        <v>1</v>
      </c>
      <c r="T240" t="s">
        <v>58</v>
      </c>
      <c r="U240" t="s">
        <v>315</v>
      </c>
      <c r="V240" s="3">
        <v>0.06</v>
      </c>
      <c r="W240" s="2">
        <v>0</v>
      </c>
      <c r="X240">
        <v>0</v>
      </c>
      <c r="Y240" t="s">
        <v>316</v>
      </c>
      <c r="Z240" t="s">
        <v>317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2.95</v>
      </c>
      <c r="AN240" s="2">
        <v>2.95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45985</v>
      </c>
      <c r="B241" t="s">
        <v>48</v>
      </c>
      <c r="C241">
        <v>649163</v>
      </c>
      <c r="D241">
        <v>2020534056</v>
      </c>
      <c r="E241" t="s">
        <v>313</v>
      </c>
      <c r="F241" t="s">
        <v>123</v>
      </c>
      <c r="G241" t="s">
        <v>51</v>
      </c>
      <c r="H241" t="s">
        <v>52</v>
      </c>
      <c r="I241" t="s">
        <v>196</v>
      </c>
      <c r="J241" t="s">
        <v>197</v>
      </c>
      <c r="K241">
        <v>702406</v>
      </c>
      <c r="L241" t="s">
        <v>314</v>
      </c>
      <c r="M241" t="s">
        <v>186</v>
      </c>
      <c r="N241" t="s">
        <v>57</v>
      </c>
      <c r="O241" s="1">
        <v>45224</v>
      </c>
      <c r="Q241" s="1">
        <v>46016</v>
      </c>
      <c r="R241" s="2">
        <v>32.979999999999997</v>
      </c>
      <c r="S241">
        <v>1</v>
      </c>
      <c r="T241" t="s">
        <v>58</v>
      </c>
      <c r="U241" t="s">
        <v>315</v>
      </c>
      <c r="V241" s="3">
        <v>0.06</v>
      </c>
      <c r="W241" s="2">
        <v>0</v>
      </c>
      <c r="X241">
        <v>0</v>
      </c>
      <c r="Y241" t="s">
        <v>316</v>
      </c>
      <c r="Z241" t="s">
        <v>317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1.98</v>
      </c>
      <c r="AN241" s="2">
        <v>1.98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45985</v>
      </c>
      <c r="B242" t="s">
        <v>48</v>
      </c>
      <c r="C242">
        <v>649163</v>
      </c>
      <c r="D242">
        <v>2021499228</v>
      </c>
      <c r="E242" t="s">
        <v>464</v>
      </c>
      <c r="F242" t="s">
        <v>465</v>
      </c>
      <c r="G242" t="s">
        <v>51</v>
      </c>
      <c r="H242" t="s">
        <v>52</v>
      </c>
      <c r="I242" t="s">
        <v>196</v>
      </c>
      <c r="J242" t="s">
        <v>197</v>
      </c>
      <c r="K242">
        <v>678320</v>
      </c>
      <c r="L242" t="s">
        <v>463</v>
      </c>
      <c r="M242" t="s">
        <v>63</v>
      </c>
      <c r="N242" t="s">
        <v>57</v>
      </c>
      <c r="O242" s="1">
        <v>45314</v>
      </c>
      <c r="Q242" s="1">
        <v>46014</v>
      </c>
      <c r="R242" s="2">
        <v>39.979999999999997</v>
      </c>
      <c r="S242">
        <v>1</v>
      </c>
      <c r="T242" t="s">
        <v>58</v>
      </c>
      <c r="U242" t="s">
        <v>315</v>
      </c>
      <c r="V242" s="3">
        <v>0.06</v>
      </c>
      <c r="W242" s="2">
        <v>0</v>
      </c>
      <c r="X242">
        <v>0</v>
      </c>
      <c r="Y242" t="s">
        <v>316</v>
      </c>
      <c r="Z242" t="s">
        <v>317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2.4</v>
      </c>
      <c r="AN242" s="2">
        <v>2.4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45985</v>
      </c>
      <c r="B243" t="s">
        <v>48</v>
      </c>
      <c r="C243">
        <v>649163</v>
      </c>
      <c r="D243">
        <v>2021544238</v>
      </c>
      <c r="E243" t="s">
        <v>466</v>
      </c>
      <c r="F243" t="s">
        <v>467</v>
      </c>
      <c r="G243" t="s">
        <v>51</v>
      </c>
      <c r="H243" t="s">
        <v>52</v>
      </c>
      <c r="I243" t="s">
        <v>196</v>
      </c>
      <c r="J243" t="s">
        <v>197</v>
      </c>
      <c r="K243">
        <v>649247</v>
      </c>
      <c r="L243" t="s">
        <v>468</v>
      </c>
      <c r="M243" t="s">
        <v>469</v>
      </c>
      <c r="N243" t="s">
        <v>57</v>
      </c>
      <c r="O243" s="1">
        <v>45317</v>
      </c>
      <c r="Q243" s="1">
        <v>46017</v>
      </c>
      <c r="R243" s="2">
        <v>39.979999999999997</v>
      </c>
      <c r="S243">
        <v>1</v>
      </c>
      <c r="T243" t="s">
        <v>58</v>
      </c>
      <c r="U243" t="s">
        <v>315</v>
      </c>
      <c r="V243" s="3">
        <v>0.06</v>
      </c>
      <c r="W243" s="2">
        <v>0</v>
      </c>
      <c r="X243">
        <v>0</v>
      </c>
      <c r="Y243" t="s">
        <v>316</v>
      </c>
      <c r="Z243" t="s">
        <v>317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2.4</v>
      </c>
      <c r="AN243" s="2">
        <v>2.4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45985</v>
      </c>
      <c r="B244" t="s">
        <v>48</v>
      </c>
      <c r="C244">
        <v>649163</v>
      </c>
      <c r="D244">
        <v>2022371780</v>
      </c>
      <c r="E244" t="s">
        <v>437</v>
      </c>
      <c r="F244" t="s">
        <v>470</v>
      </c>
      <c r="G244" t="s">
        <v>51</v>
      </c>
      <c r="H244" t="s">
        <v>105</v>
      </c>
      <c r="I244" t="s">
        <v>196</v>
      </c>
      <c r="J244" t="s">
        <v>197</v>
      </c>
      <c r="K244">
        <v>673059</v>
      </c>
      <c r="L244" t="s">
        <v>70</v>
      </c>
      <c r="M244" t="s">
        <v>71</v>
      </c>
      <c r="N244" t="s">
        <v>337</v>
      </c>
      <c r="O244" s="1">
        <v>45383</v>
      </c>
      <c r="P244" s="1">
        <v>45985</v>
      </c>
      <c r="Q244" s="1">
        <v>45992</v>
      </c>
      <c r="R244" s="2">
        <v>-15.36</v>
      </c>
      <c r="S244">
        <v>1</v>
      </c>
      <c r="T244" t="s">
        <v>58</v>
      </c>
      <c r="U244" t="s">
        <v>315</v>
      </c>
      <c r="V244" s="3">
        <v>0.06</v>
      </c>
      <c r="W244" s="2">
        <v>0</v>
      </c>
      <c r="X244">
        <v>-1</v>
      </c>
      <c r="Y244" t="s">
        <v>316</v>
      </c>
      <c r="Z244" t="s">
        <v>317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-0.92</v>
      </c>
      <c r="AN244" s="2">
        <v>-0.92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45985</v>
      </c>
      <c r="B245" t="s">
        <v>48</v>
      </c>
      <c r="C245">
        <v>649163</v>
      </c>
      <c r="D245">
        <v>2022747854</v>
      </c>
      <c r="E245" t="s">
        <v>305</v>
      </c>
      <c r="F245" t="s">
        <v>286</v>
      </c>
      <c r="G245" t="s">
        <v>51</v>
      </c>
      <c r="H245" t="s">
        <v>52</v>
      </c>
      <c r="I245" t="s">
        <v>196</v>
      </c>
      <c r="J245" t="s">
        <v>197</v>
      </c>
      <c r="K245">
        <v>751867</v>
      </c>
      <c r="L245" t="s">
        <v>82</v>
      </c>
      <c r="M245" t="s">
        <v>83</v>
      </c>
      <c r="N245" t="s">
        <v>57</v>
      </c>
      <c r="O245" s="1">
        <v>45413</v>
      </c>
      <c r="Q245" s="1">
        <v>45992</v>
      </c>
      <c r="R245" s="2">
        <v>36.11</v>
      </c>
      <c r="S245">
        <v>1</v>
      </c>
      <c r="T245" t="s">
        <v>58</v>
      </c>
      <c r="U245" t="s">
        <v>315</v>
      </c>
      <c r="V245" s="3">
        <v>0.06</v>
      </c>
      <c r="W245" s="2">
        <v>0</v>
      </c>
      <c r="X245">
        <v>0</v>
      </c>
      <c r="Y245" t="s">
        <v>316</v>
      </c>
      <c r="Z245" t="s">
        <v>317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2.17</v>
      </c>
      <c r="AN245" s="2">
        <v>2.17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45985</v>
      </c>
      <c r="B246" t="s">
        <v>48</v>
      </c>
      <c r="C246">
        <v>649163</v>
      </c>
      <c r="D246">
        <v>2022823602</v>
      </c>
      <c r="E246" t="s">
        <v>471</v>
      </c>
      <c r="F246" t="s">
        <v>472</v>
      </c>
      <c r="G246" t="s">
        <v>51</v>
      </c>
      <c r="H246" t="s">
        <v>52</v>
      </c>
      <c r="I246" t="s">
        <v>196</v>
      </c>
      <c r="J246" t="s">
        <v>197</v>
      </c>
      <c r="K246">
        <v>702406</v>
      </c>
      <c r="L246" t="s">
        <v>314</v>
      </c>
      <c r="M246" t="s">
        <v>186</v>
      </c>
      <c r="N246" t="s">
        <v>57</v>
      </c>
      <c r="O246" s="1">
        <v>45406</v>
      </c>
      <c r="Q246" s="1">
        <v>46015</v>
      </c>
      <c r="R246" s="2">
        <v>58.98</v>
      </c>
      <c r="S246">
        <v>1</v>
      </c>
      <c r="T246" t="s">
        <v>58</v>
      </c>
      <c r="U246" t="s">
        <v>315</v>
      </c>
      <c r="V246" s="3">
        <v>0.06</v>
      </c>
      <c r="W246" s="2">
        <v>0</v>
      </c>
      <c r="X246">
        <v>0</v>
      </c>
      <c r="Y246" t="s">
        <v>316</v>
      </c>
      <c r="Z246" t="s">
        <v>317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3.54</v>
      </c>
      <c r="AN246" s="2">
        <v>3.54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45985</v>
      </c>
      <c r="B247" t="s">
        <v>48</v>
      </c>
      <c r="C247">
        <v>649163</v>
      </c>
      <c r="D247">
        <v>2023230473</v>
      </c>
      <c r="E247" t="s">
        <v>473</v>
      </c>
      <c r="F247" t="s">
        <v>474</v>
      </c>
      <c r="G247" t="s">
        <v>51</v>
      </c>
      <c r="H247" t="s">
        <v>52</v>
      </c>
      <c r="I247" t="s">
        <v>196</v>
      </c>
      <c r="J247" t="s">
        <v>197</v>
      </c>
      <c r="K247">
        <v>702406</v>
      </c>
      <c r="L247" t="s">
        <v>314</v>
      </c>
      <c r="M247" t="s">
        <v>186</v>
      </c>
      <c r="N247" t="s">
        <v>57</v>
      </c>
      <c r="O247" s="1">
        <v>45436</v>
      </c>
      <c r="Q247" s="1">
        <v>46015</v>
      </c>
      <c r="R247" s="2">
        <v>40.119999999999997</v>
      </c>
      <c r="S247">
        <v>1</v>
      </c>
      <c r="T247" t="s">
        <v>58</v>
      </c>
      <c r="U247" t="s">
        <v>315</v>
      </c>
      <c r="V247" s="3">
        <v>0.06</v>
      </c>
      <c r="W247" s="2">
        <v>0</v>
      </c>
      <c r="X247">
        <v>0</v>
      </c>
      <c r="Y247" t="s">
        <v>316</v>
      </c>
      <c r="Z247" t="s">
        <v>317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2.41</v>
      </c>
      <c r="AN247" s="2">
        <v>2.41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45985</v>
      </c>
      <c r="B248" t="s">
        <v>48</v>
      </c>
      <c r="C248">
        <v>649163</v>
      </c>
      <c r="D248">
        <v>2023233680</v>
      </c>
      <c r="E248" t="s">
        <v>475</v>
      </c>
      <c r="F248" t="s">
        <v>476</v>
      </c>
      <c r="G248" t="s">
        <v>51</v>
      </c>
      <c r="H248" t="s">
        <v>64</v>
      </c>
      <c r="I248" t="s">
        <v>196</v>
      </c>
      <c r="J248" t="s">
        <v>197</v>
      </c>
      <c r="K248">
        <v>757719</v>
      </c>
      <c r="L248" t="s">
        <v>209</v>
      </c>
      <c r="M248" t="s">
        <v>477</v>
      </c>
      <c r="N248" t="s">
        <v>57</v>
      </c>
      <c r="O248" s="1">
        <v>45436</v>
      </c>
      <c r="Q248" s="1">
        <v>46015</v>
      </c>
      <c r="R248" s="2">
        <v>31.28</v>
      </c>
      <c r="S248">
        <v>1</v>
      </c>
      <c r="T248" t="s">
        <v>58</v>
      </c>
      <c r="U248" t="s">
        <v>315</v>
      </c>
      <c r="V248" s="3">
        <v>0.06</v>
      </c>
      <c r="W248" s="2">
        <v>0</v>
      </c>
      <c r="X248">
        <v>0</v>
      </c>
      <c r="Y248" t="s">
        <v>316</v>
      </c>
      <c r="Z248" t="s">
        <v>317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1.88</v>
      </c>
      <c r="AN248" s="2">
        <v>1.88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45985</v>
      </c>
      <c r="B249" t="s">
        <v>48</v>
      </c>
      <c r="C249">
        <v>649163</v>
      </c>
      <c r="D249">
        <v>2024049922</v>
      </c>
      <c r="E249" t="s">
        <v>478</v>
      </c>
      <c r="F249" t="s">
        <v>479</v>
      </c>
      <c r="G249" t="s">
        <v>51</v>
      </c>
      <c r="H249" t="s">
        <v>52</v>
      </c>
      <c r="I249" t="s">
        <v>196</v>
      </c>
      <c r="J249" t="s">
        <v>197</v>
      </c>
      <c r="K249">
        <v>702406</v>
      </c>
      <c r="L249" t="s">
        <v>314</v>
      </c>
      <c r="M249" t="s">
        <v>186</v>
      </c>
      <c r="N249" t="s">
        <v>57</v>
      </c>
      <c r="O249" s="1">
        <v>45497</v>
      </c>
      <c r="Q249" s="1">
        <v>46015</v>
      </c>
      <c r="R249" s="2">
        <v>40.119999999999997</v>
      </c>
      <c r="S249">
        <v>1</v>
      </c>
      <c r="T249" t="s">
        <v>58</v>
      </c>
      <c r="U249" t="s">
        <v>315</v>
      </c>
      <c r="V249" s="3">
        <v>0.06</v>
      </c>
      <c r="W249" s="2">
        <v>0</v>
      </c>
      <c r="X249">
        <v>0</v>
      </c>
      <c r="Y249" t="s">
        <v>316</v>
      </c>
      <c r="Z249" t="s">
        <v>317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2.41</v>
      </c>
      <c r="AN249" s="2">
        <v>2.41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45985</v>
      </c>
      <c r="B250" t="s">
        <v>48</v>
      </c>
      <c r="C250">
        <v>649163</v>
      </c>
      <c r="D250">
        <v>2024489047</v>
      </c>
      <c r="E250" t="s">
        <v>480</v>
      </c>
      <c r="F250" t="s">
        <v>157</v>
      </c>
      <c r="G250" t="s">
        <v>51</v>
      </c>
      <c r="H250" t="s">
        <v>52</v>
      </c>
      <c r="I250" t="s">
        <v>196</v>
      </c>
      <c r="J250" t="s">
        <v>197</v>
      </c>
      <c r="K250">
        <v>702406</v>
      </c>
      <c r="L250" t="s">
        <v>314</v>
      </c>
      <c r="M250" t="s">
        <v>186</v>
      </c>
      <c r="N250" t="s">
        <v>57</v>
      </c>
      <c r="O250" s="1">
        <v>45526</v>
      </c>
      <c r="Q250" s="1">
        <v>46013</v>
      </c>
      <c r="R250" s="2">
        <v>47.29</v>
      </c>
      <c r="S250">
        <v>1</v>
      </c>
      <c r="T250" t="s">
        <v>58</v>
      </c>
      <c r="U250" t="s">
        <v>315</v>
      </c>
      <c r="V250" s="3">
        <v>0.06</v>
      </c>
      <c r="W250" s="2">
        <v>0</v>
      </c>
      <c r="X250">
        <v>0</v>
      </c>
      <c r="Y250" t="s">
        <v>316</v>
      </c>
      <c r="Z250" t="s">
        <v>317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2.84</v>
      </c>
      <c r="AN250" s="2">
        <v>2.84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45985</v>
      </c>
      <c r="B251" t="s">
        <v>48</v>
      </c>
      <c r="C251">
        <v>649163</v>
      </c>
      <c r="D251">
        <v>2024569205</v>
      </c>
      <c r="E251" t="s">
        <v>481</v>
      </c>
      <c r="F251" t="s">
        <v>482</v>
      </c>
      <c r="G251" t="s">
        <v>51</v>
      </c>
      <c r="H251" t="s">
        <v>483</v>
      </c>
      <c r="I251" t="s">
        <v>196</v>
      </c>
      <c r="J251" t="s">
        <v>197</v>
      </c>
      <c r="K251">
        <v>649247</v>
      </c>
      <c r="L251" t="s">
        <v>468</v>
      </c>
      <c r="M251" t="s">
        <v>469</v>
      </c>
      <c r="N251" t="s">
        <v>57</v>
      </c>
      <c r="O251" s="1">
        <v>45531</v>
      </c>
      <c r="Q251" s="1">
        <v>46018</v>
      </c>
      <c r="R251" s="2">
        <v>60.87</v>
      </c>
      <c r="S251">
        <v>1</v>
      </c>
      <c r="T251" t="s">
        <v>58</v>
      </c>
      <c r="U251" t="s">
        <v>315</v>
      </c>
      <c r="V251" s="3">
        <v>0.06</v>
      </c>
      <c r="W251" s="2">
        <v>0</v>
      </c>
      <c r="X251">
        <v>0</v>
      </c>
      <c r="Y251" t="s">
        <v>316</v>
      </c>
      <c r="Z251" t="s">
        <v>317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3.65</v>
      </c>
      <c r="AN251" s="2">
        <v>3.65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45985</v>
      </c>
      <c r="B252" t="s">
        <v>48</v>
      </c>
      <c r="C252">
        <v>649163</v>
      </c>
      <c r="D252">
        <v>2025028098</v>
      </c>
      <c r="E252" t="s">
        <v>484</v>
      </c>
      <c r="F252" t="s">
        <v>286</v>
      </c>
      <c r="G252" t="s">
        <v>51</v>
      </c>
      <c r="H252" t="s">
        <v>69</v>
      </c>
      <c r="I252" t="s">
        <v>196</v>
      </c>
      <c r="J252" t="s">
        <v>197</v>
      </c>
      <c r="K252">
        <v>673059</v>
      </c>
      <c r="L252" t="s">
        <v>70</v>
      </c>
      <c r="M252" t="s">
        <v>71</v>
      </c>
      <c r="N252" t="s">
        <v>57</v>
      </c>
      <c r="O252" s="1">
        <v>45561</v>
      </c>
      <c r="Q252" s="1">
        <v>46017</v>
      </c>
      <c r="R252" s="2">
        <v>37.840000000000003</v>
      </c>
      <c r="S252">
        <v>1</v>
      </c>
      <c r="T252" t="s">
        <v>58</v>
      </c>
      <c r="U252" t="s">
        <v>315</v>
      </c>
      <c r="V252" s="3">
        <v>0.06</v>
      </c>
      <c r="W252" s="2">
        <v>0</v>
      </c>
      <c r="X252">
        <v>0</v>
      </c>
      <c r="Y252" t="s">
        <v>316</v>
      </c>
      <c r="Z252" t="s">
        <v>317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2.27</v>
      </c>
      <c r="AN252" s="2">
        <v>2.27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45985</v>
      </c>
      <c r="B253" t="s">
        <v>48</v>
      </c>
      <c r="C253">
        <v>649163</v>
      </c>
      <c r="D253">
        <v>2026603256</v>
      </c>
      <c r="E253" t="s">
        <v>84</v>
      </c>
      <c r="F253" t="s">
        <v>216</v>
      </c>
      <c r="G253" t="s">
        <v>51</v>
      </c>
      <c r="H253" t="s">
        <v>52</v>
      </c>
      <c r="I253" t="s">
        <v>196</v>
      </c>
      <c r="J253" t="s">
        <v>197</v>
      </c>
      <c r="K253">
        <v>728134</v>
      </c>
      <c r="L253" t="s">
        <v>485</v>
      </c>
      <c r="M253" t="s">
        <v>486</v>
      </c>
      <c r="N253" t="s">
        <v>57</v>
      </c>
      <c r="O253" s="1">
        <v>45673</v>
      </c>
      <c r="Q253" s="1">
        <v>46007</v>
      </c>
      <c r="R253" s="2">
        <v>-24.99</v>
      </c>
      <c r="S253">
        <v>1</v>
      </c>
      <c r="T253" t="s">
        <v>58</v>
      </c>
      <c r="U253" t="s">
        <v>315</v>
      </c>
      <c r="V253" s="4">
        <v>0.375</v>
      </c>
      <c r="W253" s="2">
        <v>0</v>
      </c>
      <c r="X253">
        <v>-1</v>
      </c>
      <c r="Y253" t="s">
        <v>60</v>
      </c>
      <c r="Z253" t="s">
        <v>317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-9.3699999999999992</v>
      </c>
      <c r="AN253" s="2">
        <v>-9.3699999999999992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45985</v>
      </c>
      <c r="B254" t="s">
        <v>48</v>
      </c>
      <c r="C254">
        <v>649163</v>
      </c>
      <c r="D254">
        <v>2026669940</v>
      </c>
      <c r="E254" t="s">
        <v>350</v>
      </c>
      <c r="F254" t="s">
        <v>351</v>
      </c>
      <c r="G254" t="s">
        <v>51</v>
      </c>
      <c r="H254" t="s">
        <v>235</v>
      </c>
      <c r="I254" t="s">
        <v>196</v>
      </c>
      <c r="J254" t="s">
        <v>197</v>
      </c>
      <c r="K254">
        <v>767312</v>
      </c>
      <c r="L254" t="s">
        <v>156</v>
      </c>
      <c r="M254" t="s">
        <v>157</v>
      </c>
      <c r="N254" t="s">
        <v>57</v>
      </c>
      <c r="O254" s="1">
        <v>45677</v>
      </c>
      <c r="Q254" s="1">
        <v>46011</v>
      </c>
      <c r="R254" s="2">
        <v>-24.7</v>
      </c>
      <c r="S254">
        <v>1</v>
      </c>
      <c r="T254" t="s">
        <v>58</v>
      </c>
      <c r="U254" t="s">
        <v>315</v>
      </c>
      <c r="V254" s="4">
        <v>0.375</v>
      </c>
      <c r="W254" s="2">
        <v>0</v>
      </c>
      <c r="X254">
        <v>-1</v>
      </c>
      <c r="Y254" t="s">
        <v>60</v>
      </c>
      <c r="Z254" t="s">
        <v>317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-9.26</v>
      </c>
      <c r="AN254" s="2">
        <v>-9.26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45985</v>
      </c>
      <c r="B255" t="s">
        <v>48</v>
      </c>
      <c r="C255">
        <v>649163</v>
      </c>
      <c r="D255">
        <v>2026696631</v>
      </c>
      <c r="E255" t="s">
        <v>487</v>
      </c>
      <c r="F255" t="s">
        <v>488</v>
      </c>
      <c r="G255" t="s">
        <v>51</v>
      </c>
      <c r="H255" t="s">
        <v>52</v>
      </c>
      <c r="I255" t="s">
        <v>196</v>
      </c>
      <c r="J255" t="s">
        <v>197</v>
      </c>
      <c r="K255">
        <v>728134</v>
      </c>
      <c r="L255" t="s">
        <v>485</v>
      </c>
      <c r="M255" t="s">
        <v>486</v>
      </c>
      <c r="N255" t="s">
        <v>57</v>
      </c>
      <c r="O255" s="1">
        <v>45679</v>
      </c>
      <c r="Q255" s="1">
        <v>46013</v>
      </c>
      <c r="R255" s="2">
        <v>81.58</v>
      </c>
      <c r="S255">
        <v>1</v>
      </c>
      <c r="T255" t="s">
        <v>58</v>
      </c>
      <c r="U255" t="s">
        <v>315</v>
      </c>
      <c r="V255" s="4">
        <v>0.375</v>
      </c>
      <c r="W255" s="2">
        <v>0</v>
      </c>
      <c r="X255">
        <v>0</v>
      </c>
      <c r="Y255" t="s">
        <v>60</v>
      </c>
      <c r="Z255" t="s">
        <v>317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30.59</v>
      </c>
      <c r="AN255" s="2">
        <v>30.59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45985</v>
      </c>
      <c r="B256" t="s">
        <v>48</v>
      </c>
      <c r="C256">
        <v>649163</v>
      </c>
      <c r="D256">
        <v>2026757479</v>
      </c>
      <c r="E256" t="s">
        <v>489</v>
      </c>
      <c r="F256" t="s">
        <v>438</v>
      </c>
      <c r="G256" t="s">
        <v>51</v>
      </c>
      <c r="H256" t="s">
        <v>105</v>
      </c>
      <c r="I256" t="s">
        <v>196</v>
      </c>
      <c r="J256" t="s">
        <v>197</v>
      </c>
      <c r="K256">
        <v>650794</v>
      </c>
      <c r="L256" t="s">
        <v>97</v>
      </c>
      <c r="M256" t="s">
        <v>145</v>
      </c>
      <c r="N256" t="s">
        <v>57</v>
      </c>
      <c r="O256" s="1">
        <v>45682</v>
      </c>
      <c r="Q256" s="1">
        <v>46016</v>
      </c>
      <c r="R256" s="2">
        <v>61.9</v>
      </c>
      <c r="S256">
        <v>1</v>
      </c>
      <c r="T256" t="s">
        <v>58</v>
      </c>
      <c r="U256" t="s">
        <v>315</v>
      </c>
      <c r="V256" s="4">
        <v>0.375</v>
      </c>
      <c r="W256" s="2">
        <v>0</v>
      </c>
      <c r="X256">
        <v>0</v>
      </c>
      <c r="Y256" t="s">
        <v>60</v>
      </c>
      <c r="Z256" t="s">
        <v>317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23.21</v>
      </c>
      <c r="AN256" s="2">
        <v>23.21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45985</v>
      </c>
      <c r="B257" t="s">
        <v>48</v>
      </c>
      <c r="C257">
        <v>649163</v>
      </c>
      <c r="D257">
        <v>2026760029</v>
      </c>
      <c r="E257" t="s">
        <v>490</v>
      </c>
      <c r="F257" t="s">
        <v>491</v>
      </c>
      <c r="G257" t="s">
        <v>51</v>
      </c>
      <c r="H257" t="s">
        <v>176</v>
      </c>
      <c r="I257" t="s">
        <v>196</v>
      </c>
      <c r="J257" t="s">
        <v>197</v>
      </c>
      <c r="K257">
        <v>767312</v>
      </c>
      <c r="L257" t="s">
        <v>156</v>
      </c>
      <c r="M257" t="s">
        <v>157</v>
      </c>
      <c r="N257" t="s">
        <v>57</v>
      </c>
      <c r="O257" s="1">
        <v>45682</v>
      </c>
      <c r="Q257" s="1">
        <v>46016</v>
      </c>
      <c r="R257" s="2">
        <v>22.84</v>
      </c>
      <c r="S257">
        <v>1</v>
      </c>
      <c r="T257" t="s">
        <v>58</v>
      </c>
      <c r="U257" t="s">
        <v>315</v>
      </c>
      <c r="V257" s="4">
        <v>0.375</v>
      </c>
      <c r="W257" s="2">
        <v>0</v>
      </c>
      <c r="X257">
        <v>0</v>
      </c>
      <c r="Y257" t="s">
        <v>60</v>
      </c>
      <c r="Z257" t="s">
        <v>317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8.56</v>
      </c>
      <c r="AN257" s="2">
        <v>8.56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45985</v>
      </c>
      <c r="B258" t="s">
        <v>48</v>
      </c>
      <c r="C258">
        <v>649163</v>
      </c>
      <c r="D258">
        <v>2027038282</v>
      </c>
      <c r="E258" t="s">
        <v>352</v>
      </c>
      <c r="F258" t="s">
        <v>353</v>
      </c>
      <c r="G258" t="s">
        <v>51</v>
      </c>
      <c r="H258" t="s">
        <v>109</v>
      </c>
      <c r="I258" t="s">
        <v>196</v>
      </c>
      <c r="J258" t="s">
        <v>197</v>
      </c>
      <c r="K258">
        <v>816021</v>
      </c>
      <c r="L258" t="s">
        <v>111</v>
      </c>
      <c r="M258" t="s">
        <v>112</v>
      </c>
      <c r="N258" t="s">
        <v>337</v>
      </c>
      <c r="O258" s="1">
        <v>45699</v>
      </c>
      <c r="P258" s="1">
        <v>45985</v>
      </c>
      <c r="Q258" s="1">
        <v>46002</v>
      </c>
      <c r="R258" s="2">
        <v>-28.75</v>
      </c>
      <c r="S258">
        <v>1</v>
      </c>
      <c r="T258" t="s">
        <v>58</v>
      </c>
      <c r="U258" t="s">
        <v>315</v>
      </c>
      <c r="V258" s="4">
        <v>0.375</v>
      </c>
      <c r="W258" s="2">
        <v>0</v>
      </c>
      <c r="X258">
        <v>-1</v>
      </c>
      <c r="Y258" t="s">
        <v>60</v>
      </c>
      <c r="Z258" t="s">
        <v>317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-10.78</v>
      </c>
      <c r="AN258" s="2">
        <v>-10.78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45985</v>
      </c>
      <c r="B259" t="s">
        <v>48</v>
      </c>
      <c r="C259">
        <v>649163</v>
      </c>
      <c r="D259">
        <v>2027321380</v>
      </c>
      <c r="E259" t="s">
        <v>492</v>
      </c>
      <c r="F259" t="s">
        <v>493</v>
      </c>
      <c r="G259" t="s">
        <v>51</v>
      </c>
      <c r="H259" t="s">
        <v>64</v>
      </c>
      <c r="I259" t="s">
        <v>196</v>
      </c>
      <c r="J259" t="s">
        <v>197</v>
      </c>
      <c r="K259">
        <v>673059</v>
      </c>
      <c r="L259" t="s">
        <v>70</v>
      </c>
      <c r="M259" t="s">
        <v>71</v>
      </c>
      <c r="N259" t="s">
        <v>57</v>
      </c>
      <c r="O259" s="1">
        <v>45713</v>
      </c>
      <c r="Q259" s="1">
        <v>46016</v>
      </c>
      <c r="R259" s="2">
        <v>27.64</v>
      </c>
      <c r="S259">
        <v>1</v>
      </c>
      <c r="T259" t="s">
        <v>58</v>
      </c>
      <c r="U259" t="s">
        <v>315</v>
      </c>
      <c r="V259" s="4">
        <v>0.375</v>
      </c>
      <c r="W259" s="2">
        <v>0</v>
      </c>
      <c r="X259">
        <v>0</v>
      </c>
      <c r="Y259" t="s">
        <v>60</v>
      </c>
      <c r="Z259" t="s">
        <v>317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10.36</v>
      </c>
      <c r="AN259" s="2">
        <v>10.36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45985</v>
      </c>
      <c r="B260" t="s">
        <v>48</v>
      </c>
      <c r="C260">
        <v>649163</v>
      </c>
      <c r="D260">
        <v>2027343741</v>
      </c>
      <c r="E260" t="s">
        <v>494</v>
      </c>
      <c r="F260" t="s">
        <v>495</v>
      </c>
      <c r="G260" t="s">
        <v>51</v>
      </c>
      <c r="H260" t="s">
        <v>129</v>
      </c>
      <c r="I260" t="s">
        <v>196</v>
      </c>
      <c r="J260" t="s">
        <v>197</v>
      </c>
      <c r="K260">
        <v>673059</v>
      </c>
      <c r="L260" t="s">
        <v>70</v>
      </c>
      <c r="M260" t="s">
        <v>71</v>
      </c>
      <c r="N260" t="s">
        <v>57</v>
      </c>
      <c r="O260" s="1">
        <v>45714</v>
      </c>
      <c r="Q260" s="1">
        <v>46017</v>
      </c>
      <c r="R260" s="2">
        <v>59.58</v>
      </c>
      <c r="S260">
        <v>1</v>
      </c>
      <c r="T260" t="s">
        <v>58</v>
      </c>
      <c r="U260" t="s">
        <v>315</v>
      </c>
      <c r="V260" s="4">
        <v>0.375</v>
      </c>
      <c r="W260" s="2">
        <v>0</v>
      </c>
      <c r="X260">
        <v>0</v>
      </c>
      <c r="Y260" t="s">
        <v>60</v>
      </c>
      <c r="Z260" t="s">
        <v>317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22.34</v>
      </c>
      <c r="AN260" s="2">
        <v>22.34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45985</v>
      </c>
      <c r="B261" t="s">
        <v>48</v>
      </c>
      <c r="C261">
        <v>649163</v>
      </c>
      <c r="D261">
        <v>2027430396</v>
      </c>
      <c r="E261" t="s">
        <v>496</v>
      </c>
      <c r="F261" t="s">
        <v>497</v>
      </c>
      <c r="G261" t="s">
        <v>51</v>
      </c>
      <c r="H261" t="s">
        <v>64</v>
      </c>
      <c r="I261" t="s">
        <v>196</v>
      </c>
      <c r="J261" t="s">
        <v>197</v>
      </c>
      <c r="K261">
        <v>807212</v>
      </c>
      <c r="L261" t="s">
        <v>498</v>
      </c>
      <c r="M261" t="s">
        <v>499</v>
      </c>
      <c r="N261" t="s">
        <v>57</v>
      </c>
      <c r="O261" s="1">
        <v>45716</v>
      </c>
      <c r="Q261" s="1">
        <v>46019</v>
      </c>
      <c r="R261" s="2">
        <v>113.66</v>
      </c>
      <c r="S261">
        <v>1</v>
      </c>
      <c r="T261" t="s">
        <v>58</v>
      </c>
      <c r="U261" t="s">
        <v>315</v>
      </c>
      <c r="V261" s="4">
        <v>0.375</v>
      </c>
      <c r="W261" s="2">
        <v>0</v>
      </c>
      <c r="X261">
        <v>0</v>
      </c>
      <c r="Y261" t="s">
        <v>60</v>
      </c>
      <c r="Z261" t="s">
        <v>317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42.62</v>
      </c>
      <c r="AN261" s="2">
        <v>42.62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45985</v>
      </c>
      <c r="B262" t="s">
        <v>48</v>
      </c>
      <c r="C262">
        <v>649163</v>
      </c>
      <c r="D262">
        <v>2027431059</v>
      </c>
      <c r="E262" t="s">
        <v>500</v>
      </c>
      <c r="F262" t="s">
        <v>501</v>
      </c>
      <c r="G262" t="s">
        <v>51</v>
      </c>
      <c r="H262" t="s">
        <v>235</v>
      </c>
      <c r="I262" t="s">
        <v>196</v>
      </c>
      <c r="J262" t="s">
        <v>197</v>
      </c>
      <c r="K262">
        <v>767312</v>
      </c>
      <c r="L262" t="s">
        <v>156</v>
      </c>
      <c r="M262" t="s">
        <v>157</v>
      </c>
      <c r="N262" t="s">
        <v>57</v>
      </c>
      <c r="O262" s="1">
        <v>45716</v>
      </c>
      <c r="Q262" s="1">
        <v>46019</v>
      </c>
      <c r="R262" s="2">
        <v>29.06</v>
      </c>
      <c r="S262">
        <v>1</v>
      </c>
      <c r="T262" t="s">
        <v>58</v>
      </c>
      <c r="U262" t="s">
        <v>315</v>
      </c>
      <c r="V262" s="4">
        <v>0.375</v>
      </c>
      <c r="W262" s="2">
        <v>0</v>
      </c>
      <c r="X262">
        <v>0</v>
      </c>
      <c r="Y262" t="s">
        <v>60</v>
      </c>
      <c r="Z262" t="s">
        <v>317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10.9</v>
      </c>
      <c r="AN262" s="2">
        <v>10.9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45985</v>
      </c>
      <c r="B263" t="s">
        <v>48</v>
      </c>
      <c r="C263">
        <v>649163</v>
      </c>
      <c r="D263">
        <v>2027920262</v>
      </c>
      <c r="E263" t="s">
        <v>363</v>
      </c>
      <c r="F263" t="s">
        <v>286</v>
      </c>
      <c r="G263" t="s">
        <v>51</v>
      </c>
      <c r="H263" t="s">
        <v>109</v>
      </c>
      <c r="I263" t="s">
        <v>196</v>
      </c>
      <c r="J263" t="s">
        <v>197</v>
      </c>
      <c r="K263">
        <v>816021</v>
      </c>
      <c r="L263" t="s">
        <v>111</v>
      </c>
      <c r="M263" t="s">
        <v>112</v>
      </c>
      <c r="N263" t="s">
        <v>57</v>
      </c>
      <c r="O263" s="1">
        <v>45744</v>
      </c>
      <c r="Q263" s="1">
        <v>46019</v>
      </c>
      <c r="R263" s="2">
        <v>53.08</v>
      </c>
      <c r="S263">
        <v>1</v>
      </c>
      <c r="T263" t="s">
        <v>58</v>
      </c>
      <c r="U263" t="s">
        <v>315</v>
      </c>
      <c r="V263" s="4">
        <v>0.375</v>
      </c>
      <c r="W263" s="2">
        <v>0</v>
      </c>
      <c r="X263">
        <v>0</v>
      </c>
      <c r="Y263" t="s">
        <v>60</v>
      </c>
      <c r="Z263" t="s">
        <v>317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19.899999999999999</v>
      </c>
      <c r="AN263" s="2">
        <v>19.899999999999999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45985</v>
      </c>
      <c r="B264" t="s">
        <v>48</v>
      </c>
      <c r="C264">
        <v>649163</v>
      </c>
      <c r="D264">
        <v>2028005040</v>
      </c>
      <c r="E264" t="s">
        <v>502</v>
      </c>
      <c r="F264" t="s">
        <v>503</v>
      </c>
      <c r="G264" t="s">
        <v>51</v>
      </c>
      <c r="H264" t="s">
        <v>64</v>
      </c>
      <c r="I264" t="s">
        <v>196</v>
      </c>
      <c r="J264" t="s">
        <v>197</v>
      </c>
      <c r="K264">
        <v>824062</v>
      </c>
      <c r="L264" t="s">
        <v>115</v>
      </c>
      <c r="M264" t="s">
        <v>116</v>
      </c>
      <c r="N264" t="s">
        <v>57</v>
      </c>
      <c r="O264" s="1">
        <v>45741</v>
      </c>
      <c r="Q264" s="1">
        <v>46016</v>
      </c>
      <c r="R264" s="2">
        <v>184.68</v>
      </c>
      <c r="S264">
        <v>1</v>
      </c>
      <c r="T264" t="s">
        <v>58</v>
      </c>
      <c r="U264" t="s">
        <v>315</v>
      </c>
      <c r="V264" s="4">
        <v>0.375</v>
      </c>
      <c r="W264" s="2">
        <v>0</v>
      </c>
      <c r="X264">
        <v>0</v>
      </c>
      <c r="Y264" t="s">
        <v>60</v>
      </c>
      <c r="Z264" t="s">
        <v>317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69.260000000000005</v>
      </c>
      <c r="AN264" s="2">
        <v>69.260000000000005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45985</v>
      </c>
      <c r="B265" t="s">
        <v>48</v>
      </c>
      <c r="C265">
        <v>649163</v>
      </c>
      <c r="D265">
        <v>2028320247</v>
      </c>
      <c r="E265" t="s">
        <v>318</v>
      </c>
      <c r="F265" t="s">
        <v>319</v>
      </c>
      <c r="G265" t="s">
        <v>51</v>
      </c>
      <c r="H265" t="s">
        <v>235</v>
      </c>
      <c r="I265" t="s">
        <v>196</v>
      </c>
      <c r="J265" t="s">
        <v>197</v>
      </c>
      <c r="K265">
        <v>823350</v>
      </c>
      <c r="L265" t="s">
        <v>91</v>
      </c>
      <c r="M265" t="s">
        <v>92</v>
      </c>
      <c r="N265" t="s">
        <v>57</v>
      </c>
      <c r="O265" s="1">
        <v>45772</v>
      </c>
      <c r="Q265" s="1">
        <v>46016</v>
      </c>
      <c r="R265" s="2">
        <v>66.5</v>
      </c>
      <c r="S265">
        <v>1</v>
      </c>
      <c r="T265" t="s">
        <v>58</v>
      </c>
      <c r="U265" t="s">
        <v>315</v>
      </c>
      <c r="V265" s="4">
        <v>0.375</v>
      </c>
      <c r="W265" s="2">
        <v>0</v>
      </c>
      <c r="X265">
        <v>0</v>
      </c>
      <c r="Y265" t="s">
        <v>60</v>
      </c>
      <c r="Z265" t="s">
        <v>317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24.94</v>
      </c>
      <c r="AN265" s="2">
        <v>24.94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45985</v>
      </c>
      <c r="B266" t="s">
        <v>48</v>
      </c>
      <c r="C266">
        <v>649163</v>
      </c>
      <c r="D266">
        <v>2028461881</v>
      </c>
      <c r="E266" t="s">
        <v>367</v>
      </c>
      <c r="F266" t="s">
        <v>368</v>
      </c>
      <c r="G266" t="s">
        <v>51</v>
      </c>
      <c r="H266" t="s">
        <v>132</v>
      </c>
      <c r="I266" t="s">
        <v>196</v>
      </c>
      <c r="J266" t="s">
        <v>197</v>
      </c>
      <c r="K266">
        <v>823350</v>
      </c>
      <c r="L266" t="s">
        <v>91</v>
      </c>
      <c r="M266" t="s">
        <v>92</v>
      </c>
      <c r="N266" t="s">
        <v>57</v>
      </c>
      <c r="O266" s="1">
        <v>45772</v>
      </c>
      <c r="Q266" s="1">
        <v>46016</v>
      </c>
      <c r="R266" s="2">
        <v>78.41</v>
      </c>
      <c r="S266">
        <v>1</v>
      </c>
      <c r="T266" t="s">
        <v>58</v>
      </c>
      <c r="U266" t="s">
        <v>315</v>
      </c>
      <c r="V266" s="4">
        <v>0.375</v>
      </c>
      <c r="W266" s="2">
        <v>0</v>
      </c>
      <c r="X266">
        <v>0</v>
      </c>
      <c r="Y266" t="s">
        <v>60</v>
      </c>
      <c r="Z266" t="s">
        <v>317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29.4</v>
      </c>
      <c r="AN266" s="2">
        <v>29.4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45985</v>
      </c>
      <c r="B267" t="s">
        <v>48</v>
      </c>
      <c r="C267">
        <v>649163</v>
      </c>
      <c r="D267">
        <v>2028498798</v>
      </c>
      <c r="E267" t="s">
        <v>369</v>
      </c>
      <c r="F267" t="s">
        <v>170</v>
      </c>
      <c r="G267" t="s">
        <v>51</v>
      </c>
      <c r="H267" t="s">
        <v>310</v>
      </c>
      <c r="I267" t="s">
        <v>196</v>
      </c>
      <c r="J267" t="s">
        <v>197</v>
      </c>
      <c r="K267">
        <v>823350</v>
      </c>
      <c r="L267" t="s">
        <v>91</v>
      </c>
      <c r="M267" t="s">
        <v>92</v>
      </c>
      <c r="N267" t="s">
        <v>57</v>
      </c>
      <c r="O267" s="1">
        <v>45772</v>
      </c>
      <c r="Q267" s="1">
        <v>46016</v>
      </c>
      <c r="R267" s="2">
        <v>58.15</v>
      </c>
      <c r="S267">
        <v>1</v>
      </c>
      <c r="T267" t="s">
        <v>58</v>
      </c>
      <c r="U267" t="s">
        <v>315</v>
      </c>
      <c r="V267" s="4">
        <v>0.375</v>
      </c>
      <c r="W267" s="2">
        <v>0</v>
      </c>
      <c r="X267">
        <v>0</v>
      </c>
      <c r="Y267" t="s">
        <v>60</v>
      </c>
      <c r="Z267" t="s">
        <v>317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21.81</v>
      </c>
      <c r="AN267" s="2">
        <v>21.81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45985</v>
      </c>
      <c r="B268" t="s">
        <v>48</v>
      </c>
      <c r="C268">
        <v>649163</v>
      </c>
      <c r="D268">
        <v>2028627544</v>
      </c>
      <c r="E268" t="s">
        <v>504</v>
      </c>
      <c r="F268" t="s">
        <v>505</v>
      </c>
      <c r="G268" t="s">
        <v>51</v>
      </c>
      <c r="H268" t="s">
        <v>132</v>
      </c>
      <c r="I268" t="s">
        <v>196</v>
      </c>
      <c r="J268" t="s">
        <v>197</v>
      </c>
      <c r="K268">
        <v>820873</v>
      </c>
      <c r="L268" t="s">
        <v>101</v>
      </c>
      <c r="M268" t="s">
        <v>102</v>
      </c>
      <c r="N268" t="s">
        <v>57</v>
      </c>
      <c r="O268" s="1">
        <v>45774</v>
      </c>
      <c r="Q268" s="1">
        <v>46018</v>
      </c>
      <c r="R268" s="2">
        <v>18.64</v>
      </c>
      <c r="S268">
        <v>1</v>
      </c>
      <c r="T268" t="s">
        <v>58</v>
      </c>
      <c r="U268" t="s">
        <v>315</v>
      </c>
      <c r="V268" s="4">
        <v>0.375</v>
      </c>
      <c r="W268" s="2">
        <v>0</v>
      </c>
      <c r="X268">
        <v>0</v>
      </c>
      <c r="Y268" t="s">
        <v>60</v>
      </c>
      <c r="Z268" t="s">
        <v>317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6.99</v>
      </c>
      <c r="AN268" s="2">
        <v>6.99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45985</v>
      </c>
      <c r="B269" t="s">
        <v>48</v>
      </c>
      <c r="C269">
        <v>649163</v>
      </c>
      <c r="D269">
        <v>2029026297</v>
      </c>
      <c r="E269" t="s">
        <v>117</v>
      </c>
      <c r="F269" t="s">
        <v>506</v>
      </c>
      <c r="G269" t="s">
        <v>51</v>
      </c>
      <c r="H269" t="s">
        <v>424</v>
      </c>
      <c r="I269" t="s">
        <v>196</v>
      </c>
      <c r="J269" t="s">
        <v>197</v>
      </c>
      <c r="K269">
        <v>767312</v>
      </c>
      <c r="L269" t="s">
        <v>156</v>
      </c>
      <c r="M269" t="s">
        <v>157</v>
      </c>
      <c r="N269" t="s">
        <v>57</v>
      </c>
      <c r="O269" s="1">
        <v>45798</v>
      </c>
      <c r="Q269" s="1">
        <v>46012</v>
      </c>
      <c r="R269" s="2">
        <v>23.79</v>
      </c>
      <c r="S269">
        <v>1</v>
      </c>
      <c r="T269" t="s">
        <v>58</v>
      </c>
      <c r="U269" t="s">
        <v>315</v>
      </c>
      <c r="V269" s="4">
        <v>0.375</v>
      </c>
      <c r="W269" s="2">
        <v>0</v>
      </c>
      <c r="X269">
        <v>0</v>
      </c>
      <c r="Y269" t="s">
        <v>60</v>
      </c>
      <c r="Z269" t="s">
        <v>317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8.92</v>
      </c>
      <c r="AN269" s="2">
        <v>8.92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45985</v>
      </c>
      <c r="B270" t="s">
        <v>48</v>
      </c>
      <c r="C270">
        <v>649163</v>
      </c>
      <c r="D270">
        <v>2029046099</v>
      </c>
      <c r="E270" t="s">
        <v>507</v>
      </c>
      <c r="F270" t="s">
        <v>508</v>
      </c>
      <c r="G270" t="s">
        <v>51</v>
      </c>
      <c r="H270" t="s">
        <v>483</v>
      </c>
      <c r="I270" t="s">
        <v>196</v>
      </c>
      <c r="J270" t="s">
        <v>197</v>
      </c>
      <c r="K270">
        <v>649247</v>
      </c>
      <c r="L270" t="s">
        <v>468</v>
      </c>
      <c r="M270" t="s">
        <v>469</v>
      </c>
      <c r="N270" t="s">
        <v>57</v>
      </c>
      <c r="O270" s="1">
        <v>45799</v>
      </c>
      <c r="Q270" s="1">
        <v>46013</v>
      </c>
      <c r="R270" s="2">
        <v>54.16</v>
      </c>
      <c r="S270">
        <v>1</v>
      </c>
      <c r="T270" t="s">
        <v>58</v>
      </c>
      <c r="U270" t="s">
        <v>315</v>
      </c>
      <c r="V270" s="4">
        <v>0.375</v>
      </c>
      <c r="W270" s="2">
        <v>0</v>
      </c>
      <c r="X270">
        <v>0</v>
      </c>
      <c r="Y270" t="s">
        <v>60</v>
      </c>
      <c r="Z270" t="s">
        <v>317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20.309999999999999</v>
      </c>
      <c r="AN270" s="2">
        <v>20.309999999999999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45985</v>
      </c>
      <c r="B271" t="s">
        <v>48</v>
      </c>
      <c r="C271">
        <v>649163</v>
      </c>
      <c r="D271">
        <v>2029062370</v>
      </c>
      <c r="E271" t="s">
        <v>509</v>
      </c>
      <c r="F271" t="s">
        <v>510</v>
      </c>
      <c r="G271" t="s">
        <v>51</v>
      </c>
      <c r="H271" t="s">
        <v>129</v>
      </c>
      <c r="I271" t="s">
        <v>196</v>
      </c>
      <c r="J271" t="s">
        <v>197</v>
      </c>
      <c r="K271">
        <v>767312</v>
      </c>
      <c r="L271" t="s">
        <v>156</v>
      </c>
      <c r="M271" t="s">
        <v>157</v>
      </c>
      <c r="N271" t="s">
        <v>57</v>
      </c>
      <c r="O271" s="1">
        <v>45800</v>
      </c>
      <c r="Q271" s="1">
        <v>46014</v>
      </c>
      <c r="R271" s="2">
        <v>122.99</v>
      </c>
      <c r="S271">
        <v>1</v>
      </c>
      <c r="T271" t="s">
        <v>58</v>
      </c>
      <c r="U271" t="s">
        <v>315</v>
      </c>
      <c r="V271" s="4">
        <v>0.375</v>
      </c>
      <c r="W271" s="2">
        <v>0</v>
      </c>
      <c r="X271">
        <v>0</v>
      </c>
      <c r="Y271" t="s">
        <v>60</v>
      </c>
      <c r="Z271" t="s">
        <v>317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46.12</v>
      </c>
      <c r="AN271" s="2">
        <v>46.12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45985</v>
      </c>
      <c r="B272" t="s">
        <v>48</v>
      </c>
      <c r="C272">
        <v>649163</v>
      </c>
      <c r="D272">
        <v>2029081351</v>
      </c>
      <c r="E272" t="s">
        <v>511</v>
      </c>
      <c r="F272" t="s">
        <v>472</v>
      </c>
      <c r="G272" t="s">
        <v>51</v>
      </c>
      <c r="H272" t="s">
        <v>64</v>
      </c>
      <c r="I272" t="s">
        <v>196</v>
      </c>
      <c r="J272" t="s">
        <v>197</v>
      </c>
      <c r="K272">
        <v>823350</v>
      </c>
      <c r="L272" t="s">
        <v>91</v>
      </c>
      <c r="M272" t="s">
        <v>92</v>
      </c>
      <c r="N272" t="s">
        <v>57</v>
      </c>
      <c r="O272" s="1">
        <v>45800</v>
      </c>
      <c r="Q272" s="1">
        <v>46014</v>
      </c>
      <c r="R272" s="2">
        <v>57.19</v>
      </c>
      <c r="S272">
        <v>1</v>
      </c>
      <c r="T272" t="s">
        <v>58</v>
      </c>
      <c r="U272" t="s">
        <v>315</v>
      </c>
      <c r="V272" s="4">
        <v>0.375</v>
      </c>
      <c r="W272" s="2">
        <v>0</v>
      </c>
      <c r="X272">
        <v>0</v>
      </c>
      <c r="Y272" t="s">
        <v>60</v>
      </c>
      <c r="Z272" t="s">
        <v>317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21.45</v>
      </c>
      <c r="AN272" s="2">
        <v>21.45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45985</v>
      </c>
      <c r="B273" t="s">
        <v>48</v>
      </c>
      <c r="C273">
        <v>649163</v>
      </c>
      <c r="D273">
        <v>2029145084</v>
      </c>
      <c r="E273" t="s">
        <v>428</v>
      </c>
      <c r="F273" t="s">
        <v>429</v>
      </c>
      <c r="G273" t="s">
        <v>51</v>
      </c>
      <c r="H273" t="s">
        <v>64</v>
      </c>
      <c r="I273" t="s">
        <v>196</v>
      </c>
      <c r="J273" t="s">
        <v>197</v>
      </c>
      <c r="K273">
        <v>766422</v>
      </c>
      <c r="L273" t="s">
        <v>430</v>
      </c>
      <c r="M273" t="s">
        <v>332</v>
      </c>
      <c r="N273" t="s">
        <v>57</v>
      </c>
      <c r="O273" s="1">
        <v>45805</v>
      </c>
      <c r="Q273" s="1">
        <v>46019</v>
      </c>
      <c r="R273" s="2">
        <v>27.64</v>
      </c>
      <c r="S273">
        <v>1</v>
      </c>
      <c r="T273" t="s">
        <v>58</v>
      </c>
      <c r="U273" t="s">
        <v>315</v>
      </c>
      <c r="V273" s="4">
        <v>0.375</v>
      </c>
      <c r="W273" s="2">
        <v>0</v>
      </c>
      <c r="X273">
        <v>0</v>
      </c>
      <c r="Y273" t="s">
        <v>60</v>
      </c>
      <c r="Z273" t="s">
        <v>317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0.01</v>
      </c>
      <c r="AM273" s="2">
        <v>10.35</v>
      </c>
      <c r="AN273" s="2">
        <v>10.35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45985</v>
      </c>
      <c r="B274" t="s">
        <v>48</v>
      </c>
      <c r="C274">
        <v>649163</v>
      </c>
      <c r="D274">
        <v>2029617311</v>
      </c>
      <c r="E274" t="s">
        <v>512</v>
      </c>
      <c r="F274" t="s">
        <v>513</v>
      </c>
      <c r="G274" t="s">
        <v>51</v>
      </c>
      <c r="H274" t="s">
        <v>109</v>
      </c>
      <c r="I274" t="s">
        <v>196</v>
      </c>
      <c r="J274" t="s">
        <v>197</v>
      </c>
      <c r="K274">
        <v>816021</v>
      </c>
      <c r="L274" t="s">
        <v>111</v>
      </c>
      <c r="M274" t="s">
        <v>112</v>
      </c>
      <c r="N274" t="s">
        <v>337</v>
      </c>
      <c r="O274" s="1">
        <v>45842</v>
      </c>
      <c r="P274" s="1">
        <v>45985</v>
      </c>
      <c r="Q274" s="1">
        <v>45995</v>
      </c>
      <c r="R274" s="2">
        <v>-21.11</v>
      </c>
      <c r="S274">
        <v>1</v>
      </c>
      <c r="T274" t="s">
        <v>58</v>
      </c>
      <c r="U274" t="s">
        <v>315</v>
      </c>
      <c r="V274" s="4">
        <v>0.375</v>
      </c>
      <c r="W274" s="2">
        <v>0</v>
      </c>
      <c r="X274">
        <v>-1</v>
      </c>
      <c r="Y274" t="s">
        <v>60</v>
      </c>
      <c r="Z274" t="s">
        <v>317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-7.92</v>
      </c>
      <c r="AN274" s="2">
        <v>-7.92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45985</v>
      </c>
      <c r="B275" t="s">
        <v>48</v>
      </c>
      <c r="C275">
        <v>649163</v>
      </c>
      <c r="D275">
        <v>2029690054</v>
      </c>
      <c r="E275" t="s">
        <v>514</v>
      </c>
      <c r="F275" t="s">
        <v>515</v>
      </c>
      <c r="G275" t="s">
        <v>51</v>
      </c>
      <c r="H275" t="s">
        <v>52</v>
      </c>
      <c r="I275" t="s">
        <v>196</v>
      </c>
      <c r="J275" t="s">
        <v>197</v>
      </c>
      <c r="K275">
        <v>702406</v>
      </c>
      <c r="L275" t="s">
        <v>314</v>
      </c>
      <c r="M275" t="s">
        <v>186</v>
      </c>
      <c r="N275" t="s">
        <v>57</v>
      </c>
      <c r="O275" s="1">
        <v>45836</v>
      </c>
      <c r="Q275" s="1">
        <v>46019</v>
      </c>
      <c r="R275" s="2">
        <v>58.98</v>
      </c>
      <c r="S275">
        <v>1</v>
      </c>
      <c r="T275" t="s">
        <v>58</v>
      </c>
      <c r="U275" t="s">
        <v>315</v>
      </c>
      <c r="V275" s="4">
        <v>0.375</v>
      </c>
      <c r="W275" s="2">
        <v>0</v>
      </c>
      <c r="X275">
        <v>0</v>
      </c>
      <c r="Y275" t="s">
        <v>60</v>
      </c>
      <c r="Z275" t="s">
        <v>317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22.12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45985</v>
      </c>
      <c r="B276" t="s">
        <v>48</v>
      </c>
      <c r="C276">
        <v>649163</v>
      </c>
      <c r="D276">
        <v>2030064157</v>
      </c>
      <c r="E276" t="s">
        <v>516</v>
      </c>
      <c r="F276" t="s">
        <v>517</v>
      </c>
      <c r="G276" t="s">
        <v>51</v>
      </c>
      <c r="H276" t="s">
        <v>235</v>
      </c>
      <c r="I276" t="s">
        <v>196</v>
      </c>
      <c r="J276" t="s">
        <v>197</v>
      </c>
      <c r="K276">
        <v>673059</v>
      </c>
      <c r="L276" t="s">
        <v>70</v>
      </c>
      <c r="M276" t="s">
        <v>71</v>
      </c>
      <c r="N276" t="s">
        <v>57</v>
      </c>
      <c r="O276" s="1">
        <v>45860</v>
      </c>
      <c r="Q276" s="1">
        <v>46013</v>
      </c>
      <c r="R276" s="2">
        <v>48.56</v>
      </c>
      <c r="S276">
        <v>1</v>
      </c>
      <c r="T276" t="s">
        <v>58</v>
      </c>
      <c r="U276" t="s">
        <v>315</v>
      </c>
      <c r="V276" s="4">
        <v>0.375</v>
      </c>
      <c r="W276" s="2">
        <v>0</v>
      </c>
      <c r="X276">
        <v>0</v>
      </c>
      <c r="Y276" t="s">
        <v>60</v>
      </c>
      <c r="Z276" t="s">
        <v>317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18.21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45985</v>
      </c>
      <c r="B277" t="s">
        <v>48</v>
      </c>
      <c r="C277">
        <v>649163</v>
      </c>
      <c r="D277">
        <v>2030085144</v>
      </c>
      <c r="E277" t="s">
        <v>381</v>
      </c>
      <c r="F277" t="s">
        <v>382</v>
      </c>
      <c r="G277" t="s">
        <v>51</v>
      </c>
      <c r="H277" t="s">
        <v>64</v>
      </c>
      <c r="I277" t="s">
        <v>196</v>
      </c>
      <c r="J277" t="s">
        <v>197</v>
      </c>
      <c r="K277">
        <v>673059</v>
      </c>
      <c r="L277" t="s">
        <v>70</v>
      </c>
      <c r="M277" t="s">
        <v>71</v>
      </c>
      <c r="N277" t="s">
        <v>57</v>
      </c>
      <c r="O277" s="1">
        <v>45861</v>
      </c>
      <c r="Q277" s="1">
        <v>46014</v>
      </c>
      <c r="R277" s="2">
        <v>77.48</v>
      </c>
      <c r="S277">
        <v>1</v>
      </c>
      <c r="T277" t="s">
        <v>58</v>
      </c>
      <c r="U277" t="s">
        <v>315</v>
      </c>
      <c r="V277" s="4">
        <v>0.375</v>
      </c>
      <c r="W277" s="2">
        <v>0</v>
      </c>
      <c r="X277">
        <v>0</v>
      </c>
      <c r="Y277" t="s">
        <v>60</v>
      </c>
      <c r="Z277" t="s">
        <v>317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29.06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45985</v>
      </c>
      <c r="B278" t="s">
        <v>48</v>
      </c>
      <c r="C278">
        <v>649163</v>
      </c>
      <c r="D278">
        <v>2030108808</v>
      </c>
      <c r="E278" t="s">
        <v>383</v>
      </c>
      <c r="F278" t="s">
        <v>384</v>
      </c>
      <c r="G278" t="s">
        <v>51</v>
      </c>
      <c r="H278" t="s">
        <v>109</v>
      </c>
      <c r="I278" t="s">
        <v>196</v>
      </c>
      <c r="J278" t="s">
        <v>197</v>
      </c>
      <c r="K278">
        <v>796984</v>
      </c>
      <c r="L278" t="s">
        <v>243</v>
      </c>
      <c r="M278" t="s">
        <v>81</v>
      </c>
      <c r="N278" t="s">
        <v>57</v>
      </c>
      <c r="O278" s="1">
        <v>45862</v>
      </c>
      <c r="Q278" s="1">
        <v>46015</v>
      </c>
      <c r="R278" s="2">
        <v>47.28</v>
      </c>
      <c r="S278">
        <v>1</v>
      </c>
      <c r="T278" t="s">
        <v>58</v>
      </c>
      <c r="U278" t="s">
        <v>315</v>
      </c>
      <c r="V278" s="4">
        <v>0.375</v>
      </c>
      <c r="W278" s="2">
        <v>0</v>
      </c>
      <c r="X278">
        <v>0</v>
      </c>
      <c r="Y278" t="s">
        <v>60</v>
      </c>
      <c r="Z278" t="s">
        <v>317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17.73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45985</v>
      </c>
      <c r="B279" t="s">
        <v>48</v>
      </c>
      <c r="C279">
        <v>649163</v>
      </c>
      <c r="D279">
        <v>2030113889</v>
      </c>
      <c r="E279" t="s">
        <v>518</v>
      </c>
      <c r="F279" t="s">
        <v>519</v>
      </c>
      <c r="G279" t="s">
        <v>51</v>
      </c>
      <c r="H279" t="s">
        <v>310</v>
      </c>
      <c r="I279" t="s">
        <v>196</v>
      </c>
      <c r="J279" t="s">
        <v>197</v>
      </c>
      <c r="K279">
        <v>767312</v>
      </c>
      <c r="L279" t="s">
        <v>156</v>
      </c>
      <c r="M279" t="s">
        <v>157</v>
      </c>
      <c r="N279" t="s">
        <v>57</v>
      </c>
      <c r="O279" s="1">
        <v>45862</v>
      </c>
      <c r="Q279" s="1">
        <v>46015</v>
      </c>
      <c r="R279" s="2">
        <v>62.71</v>
      </c>
      <c r="S279">
        <v>1</v>
      </c>
      <c r="T279" t="s">
        <v>58</v>
      </c>
      <c r="U279" t="s">
        <v>315</v>
      </c>
      <c r="V279" s="4">
        <v>0.375</v>
      </c>
      <c r="W279" s="2">
        <v>0</v>
      </c>
      <c r="X279">
        <v>0</v>
      </c>
      <c r="Y279" t="s">
        <v>60</v>
      </c>
      <c r="Z279" t="s">
        <v>317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23.52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45985</v>
      </c>
      <c r="B280" t="s">
        <v>48</v>
      </c>
      <c r="C280">
        <v>649163</v>
      </c>
      <c r="D280">
        <v>2030125458</v>
      </c>
      <c r="E280" t="s">
        <v>520</v>
      </c>
      <c r="F280" t="s">
        <v>521</v>
      </c>
      <c r="G280" t="s">
        <v>51</v>
      </c>
      <c r="H280" t="s">
        <v>135</v>
      </c>
      <c r="I280" t="s">
        <v>196</v>
      </c>
      <c r="J280" t="s">
        <v>197</v>
      </c>
      <c r="K280">
        <v>856163</v>
      </c>
      <c r="L280" t="s">
        <v>91</v>
      </c>
      <c r="M280" t="s">
        <v>440</v>
      </c>
      <c r="N280" t="s">
        <v>57</v>
      </c>
      <c r="O280" s="1">
        <v>45863</v>
      </c>
      <c r="Q280" s="1">
        <v>46016</v>
      </c>
      <c r="R280" s="2">
        <v>50.3</v>
      </c>
      <c r="S280">
        <v>1</v>
      </c>
      <c r="T280" t="s">
        <v>58</v>
      </c>
      <c r="U280" t="s">
        <v>315</v>
      </c>
      <c r="V280" s="4">
        <v>0.375</v>
      </c>
      <c r="W280" s="2">
        <v>0</v>
      </c>
      <c r="X280">
        <v>0</v>
      </c>
      <c r="Y280" t="s">
        <v>60</v>
      </c>
      <c r="Z280" t="s">
        <v>317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18.86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45985</v>
      </c>
      <c r="B281" t="s">
        <v>48</v>
      </c>
      <c r="C281">
        <v>649163</v>
      </c>
      <c r="D281">
        <v>2030197587</v>
      </c>
      <c r="E281" t="s">
        <v>374</v>
      </c>
      <c r="F281" t="s">
        <v>420</v>
      </c>
      <c r="G281" t="s">
        <v>51</v>
      </c>
      <c r="H281" t="s">
        <v>64</v>
      </c>
      <c r="I281" t="s">
        <v>196</v>
      </c>
      <c r="J281" t="s">
        <v>197</v>
      </c>
      <c r="K281">
        <v>840313</v>
      </c>
      <c r="L281" t="s">
        <v>433</v>
      </c>
      <c r="M281" t="s">
        <v>434</v>
      </c>
      <c r="N281" t="s">
        <v>337</v>
      </c>
      <c r="O281" s="1">
        <v>45870</v>
      </c>
      <c r="P281" s="1">
        <v>45985</v>
      </c>
      <c r="Q281" s="1">
        <v>45992</v>
      </c>
      <c r="R281" s="2">
        <v>-28.41</v>
      </c>
      <c r="S281">
        <v>1</v>
      </c>
      <c r="T281" t="s">
        <v>58</v>
      </c>
      <c r="U281" t="s">
        <v>315</v>
      </c>
      <c r="V281" s="4">
        <v>0.375</v>
      </c>
      <c r="W281" s="2">
        <v>0</v>
      </c>
      <c r="X281">
        <v>-1</v>
      </c>
      <c r="Y281" t="s">
        <v>60</v>
      </c>
      <c r="Z281" t="s">
        <v>317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-10.65</v>
      </c>
      <c r="AN281" s="2">
        <v>-10.65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45985</v>
      </c>
      <c r="B282" t="s">
        <v>48</v>
      </c>
      <c r="C282">
        <v>649163</v>
      </c>
      <c r="D282">
        <v>2030260595</v>
      </c>
      <c r="E282" t="s">
        <v>522</v>
      </c>
      <c r="F282" t="s">
        <v>523</v>
      </c>
      <c r="G282" t="s">
        <v>51</v>
      </c>
      <c r="H282" t="s">
        <v>105</v>
      </c>
      <c r="I282" t="s">
        <v>196</v>
      </c>
      <c r="J282" t="s">
        <v>197</v>
      </c>
      <c r="K282">
        <v>856824</v>
      </c>
      <c r="L282" t="s">
        <v>106</v>
      </c>
      <c r="M282" t="s">
        <v>107</v>
      </c>
      <c r="N282" t="s">
        <v>57</v>
      </c>
      <c r="O282" s="1">
        <v>45871</v>
      </c>
      <c r="Q282" s="1">
        <v>45993</v>
      </c>
      <c r="R282" s="2">
        <v>24.54</v>
      </c>
      <c r="S282">
        <v>1</v>
      </c>
      <c r="T282" t="s">
        <v>58</v>
      </c>
      <c r="U282" t="s">
        <v>315</v>
      </c>
      <c r="V282" s="4">
        <v>0.375</v>
      </c>
      <c r="W282" s="2">
        <v>0</v>
      </c>
      <c r="X282">
        <v>0</v>
      </c>
      <c r="Y282" t="s">
        <v>60</v>
      </c>
      <c r="Z282" t="s">
        <v>317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9.1999999999999993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45985</v>
      </c>
      <c r="B283" t="s">
        <v>48</v>
      </c>
      <c r="C283">
        <v>649163</v>
      </c>
      <c r="D283">
        <v>2030461446</v>
      </c>
      <c r="E283" t="s">
        <v>274</v>
      </c>
      <c r="F283" t="s">
        <v>524</v>
      </c>
      <c r="G283" t="s">
        <v>51</v>
      </c>
      <c r="H283" t="s">
        <v>335</v>
      </c>
      <c r="I283" t="s">
        <v>196</v>
      </c>
      <c r="J283" t="s">
        <v>197</v>
      </c>
      <c r="K283">
        <v>767312</v>
      </c>
      <c r="L283" t="s">
        <v>156</v>
      </c>
      <c r="M283" t="s">
        <v>157</v>
      </c>
      <c r="N283" t="s">
        <v>57</v>
      </c>
      <c r="O283" s="1">
        <v>45892</v>
      </c>
      <c r="Q283" s="1">
        <v>46014</v>
      </c>
      <c r="R283" s="2">
        <v>79.27</v>
      </c>
      <c r="S283">
        <v>1</v>
      </c>
      <c r="T283" t="s">
        <v>58</v>
      </c>
      <c r="U283" t="s">
        <v>315</v>
      </c>
      <c r="V283" s="4">
        <v>0.375</v>
      </c>
      <c r="W283" s="2">
        <v>0</v>
      </c>
      <c r="X283">
        <v>0</v>
      </c>
      <c r="Y283" t="s">
        <v>60</v>
      </c>
      <c r="Z283" t="s">
        <v>317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29.73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45985</v>
      </c>
      <c r="B284" t="s">
        <v>48</v>
      </c>
      <c r="C284">
        <v>649163</v>
      </c>
      <c r="D284">
        <v>2030601614</v>
      </c>
      <c r="E284" t="s">
        <v>525</v>
      </c>
      <c r="F284" t="s">
        <v>526</v>
      </c>
      <c r="G284" t="s">
        <v>51</v>
      </c>
      <c r="H284" t="s">
        <v>64</v>
      </c>
      <c r="I284" t="s">
        <v>196</v>
      </c>
      <c r="J284" t="s">
        <v>197</v>
      </c>
      <c r="K284">
        <v>813184</v>
      </c>
      <c r="L284" t="s">
        <v>142</v>
      </c>
      <c r="M284" t="s">
        <v>143</v>
      </c>
      <c r="N284" t="s">
        <v>57</v>
      </c>
      <c r="O284" s="1">
        <v>45891</v>
      </c>
      <c r="Q284" s="1">
        <v>46013</v>
      </c>
      <c r="R284" s="2">
        <v>63.37</v>
      </c>
      <c r="S284">
        <v>1</v>
      </c>
      <c r="T284" t="s">
        <v>58</v>
      </c>
      <c r="U284" t="s">
        <v>315</v>
      </c>
      <c r="V284" s="4">
        <v>0.375</v>
      </c>
      <c r="W284" s="2">
        <v>0</v>
      </c>
      <c r="X284">
        <v>0</v>
      </c>
      <c r="Y284" t="s">
        <v>60</v>
      </c>
      <c r="Z284" t="s">
        <v>317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23.76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45985</v>
      </c>
      <c r="B285" t="s">
        <v>48</v>
      </c>
      <c r="C285">
        <v>649163</v>
      </c>
      <c r="D285">
        <v>2030670142</v>
      </c>
      <c r="E285" t="s">
        <v>527</v>
      </c>
      <c r="F285" t="s">
        <v>528</v>
      </c>
      <c r="G285" t="s">
        <v>51</v>
      </c>
      <c r="H285" t="s">
        <v>52</v>
      </c>
      <c r="I285" t="s">
        <v>196</v>
      </c>
      <c r="J285" t="s">
        <v>197</v>
      </c>
      <c r="K285">
        <v>650218</v>
      </c>
      <c r="L285" t="s">
        <v>55</v>
      </c>
      <c r="M285" t="s">
        <v>56</v>
      </c>
      <c r="N285" t="s">
        <v>57</v>
      </c>
      <c r="O285" s="1">
        <v>45895</v>
      </c>
      <c r="Q285" s="1">
        <v>46017</v>
      </c>
      <c r="R285" s="2">
        <v>36.11</v>
      </c>
      <c r="S285">
        <v>1</v>
      </c>
      <c r="T285" t="s">
        <v>58</v>
      </c>
      <c r="U285" t="s">
        <v>315</v>
      </c>
      <c r="V285" s="4">
        <v>0.375</v>
      </c>
      <c r="W285" s="2">
        <v>0</v>
      </c>
      <c r="X285">
        <v>0</v>
      </c>
      <c r="Y285" t="s">
        <v>60</v>
      </c>
      <c r="Z285" t="s">
        <v>317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13.54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45985</v>
      </c>
      <c r="B286" t="s">
        <v>48</v>
      </c>
      <c r="C286">
        <v>649163</v>
      </c>
      <c r="D286">
        <v>2030694665</v>
      </c>
      <c r="E286" t="s">
        <v>529</v>
      </c>
      <c r="F286" t="s">
        <v>530</v>
      </c>
      <c r="G286" t="s">
        <v>51</v>
      </c>
      <c r="H286" t="s">
        <v>235</v>
      </c>
      <c r="I286" t="s">
        <v>196</v>
      </c>
      <c r="J286" t="s">
        <v>197</v>
      </c>
      <c r="K286">
        <v>756418</v>
      </c>
      <c r="L286" t="s">
        <v>271</v>
      </c>
      <c r="M286" t="s">
        <v>272</v>
      </c>
      <c r="N286" t="s">
        <v>57</v>
      </c>
      <c r="O286" s="1">
        <v>45896</v>
      </c>
      <c r="Q286" s="1">
        <v>46018</v>
      </c>
      <c r="R286" s="2">
        <v>67.56</v>
      </c>
      <c r="S286">
        <v>1</v>
      </c>
      <c r="T286" t="s">
        <v>58</v>
      </c>
      <c r="U286" t="s">
        <v>315</v>
      </c>
      <c r="V286" s="4">
        <v>0.375</v>
      </c>
      <c r="W286" s="2">
        <v>0</v>
      </c>
      <c r="X286">
        <v>0</v>
      </c>
      <c r="Y286" t="s">
        <v>60</v>
      </c>
      <c r="Z286" t="s">
        <v>317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25.34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45985</v>
      </c>
      <c r="B287" t="s">
        <v>48</v>
      </c>
      <c r="C287">
        <v>649163</v>
      </c>
      <c r="D287">
        <v>2030805144</v>
      </c>
      <c r="E287" t="s">
        <v>531</v>
      </c>
      <c r="F287" t="s">
        <v>195</v>
      </c>
      <c r="G287" t="s">
        <v>51</v>
      </c>
      <c r="H287" t="s">
        <v>135</v>
      </c>
      <c r="I287" t="s">
        <v>196</v>
      </c>
      <c r="J287" t="s">
        <v>197</v>
      </c>
      <c r="K287">
        <v>792847</v>
      </c>
      <c r="L287" t="s">
        <v>532</v>
      </c>
      <c r="M287" t="s">
        <v>533</v>
      </c>
      <c r="N287" t="s">
        <v>57</v>
      </c>
      <c r="O287" s="1">
        <v>45902</v>
      </c>
      <c r="Q287" s="1">
        <v>45993</v>
      </c>
      <c r="R287" s="2">
        <v>60.3</v>
      </c>
      <c r="S287">
        <v>1</v>
      </c>
      <c r="T287" t="s">
        <v>58</v>
      </c>
      <c r="U287" t="s">
        <v>315</v>
      </c>
      <c r="V287" s="4">
        <v>0.375</v>
      </c>
      <c r="W287" s="2">
        <v>0</v>
      </c>
      <c r="X287">
        <v>0</v>
      </c>
      <c r="Y287" t="s">
        <v>60</v>
      </c>
      <c r="Z287" t="s">
        <v>317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22.61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45985</v>
      </c>
      <c r="B288" t="s">
        <v>48</v>
      </c>
      <c r="C288">
        <v>649163</v>
      </c>
      <c r="D288">
        <v>2030823303</v>
      </c>
      <c r="E288" t="s">
        <v>534</v>
      </c>
      <c r="F288" t="s">
        <v>201</v>
      </c>
      <c r="G288" t="s">
        <v>51</v>
      </c>
      <c r="H288" t="s">
        <v>105</v>
      </c>
      <c r="I288" t="s">
        <v>196</v>
      </c>
      <c r="J288" t="s">
        <v>197</v>
      </c>
      <c r="K288">
        <v>767312</v>
      </c>
      <c r="L288" t="s">
        <v>156</v>
      </c>
      <c r="M288" t="s">
        <v>157</v>
      </c>
      <c r="N288" t="s">
        <v>57</v>
      </c>
      <c r="O288" s="1">
        <v>45927</v>
      </c>
      <c r="Q288" s="1">
        <v>46018</v>
      </c>
      <c r="R288" s="2">
        <v>65.2</v>
      </c>
      <c r="S288">
        <v>1</v>
      </c>
      <c r="T288" t="s">
        <v>58</v>
      </c>
      <c r="U288" t="s">
        <v>59</v>
      </c>
      <c r="V288" s="4">
        <v>0.375</v>
      </c>
      <c r="W288" s="2">
        <v>0</v>
      </c>
      <c r="X288">
        <v>0</v>
      </c>
      <c r="Y288" t="s">
        <v>60</v>
      </c>
      <c r="Z288" t="s">
        <v>317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24.45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45985</v>
      </c>
      <c r="B289" t="s">
        <v>48</v>
      </c>
      <c r="C289">
        <v>649163</v>
      </c>
      <c r="D289">
        <v>2031180131</v>
      </c>
      <c r="E289" t="s">
        <v>397</v>
      </c>
      <c r="F289" t="s">
        <v>398</v>
      </c>
      <c r="G289" t="s">
        <v>51</v>
      </c>
      <c r="H289" t="s">
        <v>219</v>
      </c>
      <c r="I289" t="s">
        <v>196</v>
      </c>
      <c r="J289" t="s">
        <v>197</v>
      </c>
      <c r="K289">
        <v>823350</v>
      </c>
      <c r="L289" t="s">
        <v>91</v>
      </c>
      <c r="M289" t="s">
        <v>92</v>
      </c>
      <c r="N289" t="s">
        <v>57</v>
      </c>
      <c r="O289" s="1">
        <v>45924</v>
      </c>
      <c r="Q289" s="1">
        <v>46015</v>
      </c>
      <c r="R289" s="2">
        <v>69.69</v>
      </c>
      <c r="S289">
        <v>1</v>
      </c>
      <c r="T289" t="s">
        <v>58</v>
      </c>
      <c r="U289" t="s">
        <v>59</v>
      </c>
      <c r="V289" s="4">
        <v>0.375</v>
      </c>
      <c r="W289" s="2">
        <v>0</v>
      </c>
      <c r="X289">
        <v>0</v>
      </c>
      <c r="Y289" t="s">
        <v>60</v>
      </c>
      <c r="Z289" t="s">
        <v>317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26.13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45985</v>
      </c>
      <c r="B290" t="s">
        <v>48</v>
      </c>
      <c r="C290">
        <v>649163</v>
      </c>
      <c r="D290">
        <v>2031190207</v>
      </c>
      <c r="E290" t="s">
        <v>399</v>
      </c>
      <c r="F290" t="s">
        <v>400</v>
      </c>
      <c r="G290" t="s">
        <v>51</v>
      </c>
      <c r="H290" t="s">
        <v>166</v>
      </c>
      <c r="I290" t="s">
        <v>196</v>
      </c>
      <c r="J290" t="s">
        <v>197</v>
      </c>
      <c r="K290">
        <v>823350</v>
      </c>
      <c r="L290" t="s">
        <v>91</v>
      </c>
      <c r="M290" t="s">
        <v>92</v>
      </c>
      <c r="N290" t="s">
        <v>57</v>
      </c>
      <c r="O290" s="1">
        <v>45925</v>
      </c>
      <c r="Q290" s="1">
        <v>46016</v>
      </c>
      <c r="R290" s="2">
        <v>63.74</v>
      </c>
      <c r="S290">
        <v>1</v>
      </c>
      <c r="T290" t="s">
        <v>58</v>
      </c>
      <c r="U290" t="s">
        <v>59</v>
      </c>
      <c r="V290" s="4">
        <v>0.375</v>
      </c>
      <c r="W290" s="2">
        <v>0</v>
      </c>
      <c r="X290">
        <v>0</v>
      </c>
      <c r="Y290" t="s">
        <v>60</v>
      </c>
      <c r="Z290" t="s">
        <v>317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23.9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45985</v>
      </c>
      <c r="B291" t="s">
        <v>48</v>
      </c>
      <c r="C291">
        <v>649163</v>
      </c>
      <c r="D291">
        <v>2031205937</v>
      </c>
      <c r="E291" t="s">
        <v>535</v>
      </c>
      <c r="F291" t="s">
        <v>406</v>
      </c>
      <c r="G291" t="s">
        <v>51</v>
      </c>
      <c r="H291" t="s">
        <v>135</v>
      </c>
      <c r="I291" t="s">
        <v>196</v>
      </c>
      <c r="J291" t="s">
        <v>197</v>
      </c>
      <c r="K291">
        <v>767312</v>
      </c>
      <c r="L291" t="s">
        <v>156</v>
      </c>
      <c r="M291" t="s">
        <v>157</v>
      </c>
      <c r="N291" t="s">
        <v>57</v>
      </c>
      <c r="O291" s="1">
        <v>45923</v>
      </c>
      <c r="Q291" s="1">
        <v>46014</v>
      </c>
      <c r="R291" s="2">
        <v>28.38</v>
      </c>
      <c r="S291">
        <v>1</v>
      </c>
      <c r="T291" t="s">
        <v>58</v>
      </c>
      <c r="U291" t="s">
        <v>59</v>
      </c>
      <c r="V291" s="4">
        <v>0.375</v>
      </c>
      <c r="W291" s="2">
        <v>0</v>
      </c>
      <c r="X291">
        <v>0</v>
      </c>
      <c r="Y291" t="s">
        <v>60</v>
      </c>
      <c r="Z291" t="s">
        <v>317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10.64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45985</v>
      </c>
      <c r="B292" t="s">
        <v>48</v>
      </c>
      <c r="C292">
        <v>649163</v>
      </c>
      <c r="D292">
        <v>2031218305</v>
      </c>
      <c r="E292" t="s">
        <v>536</v>
      </c>
      <c r="F292" t="s">
        <v>537</v>
      </c>
      <c r="G292" t="s">
        <v>51</v>
      </c>
      <c r="H292" t="s">
        <v>224</v>
      </c>
      <c r="I292" t="s">
        <v>196</v>
      </c>
      <c r="J292" t="s">
        <v>197</v>
      </c>
      <c r="K292">
        <v>767312</v>
      </c>
      <c r="L292" t="s">
        <v>156</v>
      </c>
      <c r="M292" t="s">
        <v>157</v>
      </c>
      <c r="N292" t="s">
        <v>57</v>
      </c>
      <c r="O292" s="1">
        <v>45924</v>
      </c>
      <c r="Q292" s="1">
        <v>46015</v>
      </c>
      <c r="R292" s="2">
        <v>78.349999999999994</v>
      </c>
      <c r="S292">
        <v>1</v>
      </c>
      <c r="T292" t="s">
        <v>58</v>
      </c>
      <c r="U292" t="s">
        <v>59</v>
      </c>
      <c r="V292" s="4">
        <v>0.375</v>
      </c>
      <c r="W292" s="2">
        <v>0</v>
      </c>
      <c r="X292">
        <v>0</v>
      </c>
      <c r="Y292" t="s">
        <v>60</v>
      </c>
      <c r="Z292" t="s">
        <v>317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29.38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45985</v>
      </c>
      <c r="B293" t="s">
        <v>48</v>
      </c>
      <c r="C293">
        <v>649163</v>
      </c>
      <c r="D293">
        <v>2031249950</v>
      </c>
      <c r="E293" t="s">
        <v>538</v>
      </c>
      <c r="F293" t="s">
        <v>123</v>
      </c>
      <c r="G293" t="s">
        <v>51</v>
      </c>
      <c r="H293" t="s">
        <v>64</v>
      </c>
      <c r="I293" t="s">
        <v>196</v>
      </c>
      <c r="J293" t="s">
        <v>197</v>
      </c>
      <c r="K293">
        <v>756803</v>
      </c>
      <c r="L293" t="s">
        <v>539</v>
      </c>
      <c r="M293" t="s">
        <v>179</v>
      </c>
      <c r="N293" t="s">
        <v>57</v>
      </c>
      <c r="O293" s="1">
        <v>45925</v>
      </c>
      <c r="Q293" s="1">
        <v>46016</v>
      </c>
      <c r="R293" s="2">
        <v>53.87</v>
      </c>
      <c r="S293">
        <v>1</v>
      </c>
      <c r="T293" t="s">
        <v>58</v>
      </c>
      <c r="U293" t="s">
        <v>59</v>
      </c>
      <c r="V293" s="4">
        <v>0.375</v>
      </c>
      <c r="W293" s="2">
        <v>0</v>
      </c>
      <c r="X293">
        <v>0</v>
      </c>
      <c r="Y293" t="s">
        <v>60</v>
      </c>
      <c r="Z293" t="s">
        <v>317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20.2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45985</v>
      </c>
      <c r="B294" t="s">
        <v>48</v>
      </c>
      <c r="C294">
        <v>649163</v>
      </c>
      <c r="D294">
        <v>2031255007</v>
      </c>
      <c r="E294" t="s">
        <v>447</v>
      </c>
      <c r="F294" t="s">
        <v>448</v>
      </c>
      <c r="G294" t="s">
        <v>51</v>
      </c>
      <c r="H294" t="s">
        <v>64</v>
      </c>
      <c r="I294" t="s">
        <v>196</v>
      </c>
      <c r="J294" t="s">
        <v>197</v>
      </c>
      <c r="K294">
        <v>812994</v>
      </c>
      <c r="L294" t="s">
        <v>443</v>
      </c>
      <c r="M294" t="s">
        <v>444</v>
      </c>
      <c r="N294" t="s">
        <v>57</v>
      </c>
      <c r="O294" s="1">
        <v>45925</v>
      </c>
      <c r="Q294" s="1">
        <v>46016</v>
      </c>
      <c r="R294" s="2">
        <v>257.49</v>
      </c>
      <c r="S294">
        <v>1</v>
      </c>
      <c r="T294" t="s">
        <v>58</v>
      </c>
      <c r="U294" t="s">
        <v>59</v>
      </c>
      <c r="V294" s="4">
        <v>0.375</v>
      </c>
      <c r="W294" s="2">
        <v>0</v>
      </c>
      <c r="X294">
        <v>0</v>
      </c>
      <c r="Y294" t="s">
        <v>60</v>
      </c>
      <c r="Z294" t="s">
        <v>317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96.56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45985</v>
      </c>
      <c r="B295" t="s">
        <v>48</v>
      </c>
      <c r="C295">
        <v>649163</v>
      </c>
      <c r="D295">
        <v>2031361276</v>
      </c>
      <c r="E295" t="s">
        <v>540</v>
      </c>
      <c r="F295" t="s">
        <v>189</v>
      </c>
      <c r="G295" t="s">
        <v>51</v>
      </c>
      <c r="H295" t="s">
        <v>64</v>
      </c>
      <c r="I295" t="s">
        <v>196</v>
      </c>
      <c r="J295" t="s">
        <v>197</v>
      </c>
      <c r="K295">
        <v>824081</v>
      </c>
      <c r="L295" t="s">
        <v>541</v>
      </c>
      <c r="M295" t="s">
        <v>542</v>
      </c>
      <c r="N295" t="s">
        <v>57</v>
      </c>
      <c r="O295" s="1">
        <v>45931</v>
      </c>
      <c r="Q295" s="1">
        <v>45992</v>
      </c>
      <c r="R295" s="2">
        <v>53.87</v>
      </c>
      <c r="S295">
        <v>1</v>
      </c>
      <c r="T295" t="s">
        <v>58</v>
      </c>
      <c r="U295" t="s">
        <v>59</v>
      </c>
      <c r="V295" s="4">
        <v>0.375</v>
      </c>
      <c r="W295" s="2">
        <v>0</v>
      </c>
      <c r="X295">
        <v>0</v>
      </c>
      <c r="Y295" t="s">
        <v>60</v>
      </c>
      <c r="Z295" t="s">
        <v>317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20.2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45985</v>
      </c>
      <c r="B296" t="s">
        <v>48</v>
      </c>
      <c r="C296">
        <v>649163</v>
      </c>
      <c r="D296">
        <v>2031738861</v>
      </c>
      <c r="E296" t="s">
        <v>405</v>
      </c>
      <c r="F296" t="s">
        <v>406</v>
      </c>
      <c r="G296" t="s">
        <v>51</v>
      </c>
      <c r="H296" t="s">
        <v>105</v>
      </c>
      <c r="I296" t="s">
        <v>196</v>
      </c>
      <c r="J296" t="s">
        <v>197</v>
      </c>
      <c r="K296">
        <v>673059</v>
      </c>
      <c r="L296" t="s">
        <v>70</v>
      </c>
      <c r="M296" t="s">
        <v>71</v>
      </c>
      <c r="N296" t="s">
        <v>57</v>
      </c>
      <c r="O296" s="1">
        <v>45952</v>
      </c>
      <c r="Q296" s="1">
        <v>46013</v>
      </c>
      <c r="R296" s="2">
        <v>24.54</v>
      </c>
      <c r="S296">
        <v>1</v>
      </c>
      <c r="T296" t="s">
        <v>58</v>
      </c>
      <c r="U296" t="s">
        <v>59</v>
      </c>
      <c r="V296" s="4">
        <v>0.375</v>
      </c>
      <c r="W296" s="2">
        <v>0</v>
      </c>
      <c r="X296">
        <v>0</v>
      </c>
      <c r="Y296" t="s">
        <v>60</v>
      </c>
      <c r="Z296" t="s">
        <v>317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9.1999999999999993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45985</v>
      </c>
      <c r="B297" t="s">
        <v>48</v>
      </c>
      <c r="C297">
        <v>649163</v>
      </c>
      <c r="D297">
        <v>2031759931</v>
      </c>
      <c r="E297" t="s">
        <v>407</v>
      </c>
      <c r="F297" t="s">
        <v>408</v>
      </c>
      <c r="G297" t="s">
        <v>51</v>
      </c>
      <c r="H297" t="s">
        <v>64</v>
      </c>
      <c r="I297" t="s">
        <v>196</v>
      </c>
      <c r="J297" t="s">
        <v>197</v>
      </c>
      <c r="K297">
        <v>823350</v>
      </c>
      <c r="L297" t="s">
        <v>91</v>
      </c>
      <c r="M297" t="s">
        <v>92</v>
      </c>
      <c r="N297" t="s">
        <v>57</v>
      </c>
      <c r="O297" s="1">
        <v>45954</v>
      </c>
      <c r="Q297" s="1">
        <v>46015</v>
      </c>
      <c r="R297" s="2">
        <v>77.48</v>
      </c>
      <c r="S297">
        <v>1</v>
      </c>
      <c r="T297" t="s">
        <v>58</v>
      </c>
      <c r="U297" t="s">
        <v>59</v>
      </c>
      <c r="V297" s="4">
        <v>0.375</v>
      </c>
      <c r="W297" s="2">
        <v>0</v>
      </c>
      <c r="X297">
        <v>0</v>
      </c>
      <c r="Y297" t="s">
        <v>60</v>
      </c>
      <c r="Z297" t="s">
        <v>317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29.06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45985</v>
      </c>
      <c r="B298" t="s">
        <v>48</v>
      </c>
      <c r="C298">
        <v>649163</v>
      </c>
      <c r="D298">
        <v>2031833748</v>
      </c>
      <c r="E298" t="s">
        <v>543</v>
      </c>
      <c r="F298" t="s">
        <v>544</v>
      </c>
      <c r="G298" t="s">
        <v>51</v>
      </c>
      <c r="H298" t="s">
        <v>224</v>
      </c>
      <c r="I298" t="s">
        <v>196</v>
      </c>
      <c r="J298" t="s">
        <v>197</v>
      </c>
      <c r="K298">
        <v>820140</v>
      </c>
      <c r="L298" t="s">
        <v>177</v>
      </c>
      <c r="M298" t="s">
        <v>66</v>
      </c>
      <c r="N298" t="s">
        <v>57</v>
      </c>
      <c r="O298" s="1">
        <v>45958</v>
      </c>
      <c r="Q298" s="1">
        <v>46019</v>
      </c>
      <c r="R298" s="2">
        <v>44.56</v>
      </c>
      <c r="S298">
        <v>1</v>
      </c>
      <c r="T298" t="s">
        <v>58</v>
      </c>
      <c r="U298" t="s">
        <v>59</v>
      </c>
      <c r="V298" s="4">
        <v>9.5000000000000001E-2</v>
      </c>
      <c r="W298" s="2">
        <v>0</v>
      </c>
      <c r="X298">
        <v>0</v>
      </c>
      <c r="Y298" t="s">
        <v>60</v>
      </c>
      <c r="Z298" t="s">
        <v>317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4.2300000000000004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45985</v>
      </c>
      <c r="B299" t="s">
        <v>48</v>
      </c>
      <c r="C299">
        <v>649163</v>
      </c>
      <c r="D299">
        <v>2031845691</v>
      </c>
      <c r="E299" t="s">
        <v>545</v>
      </c>
      <c r="F299" t="s">
        <v>546</v>
      </c>
      <c r="G299" t="s">
        <v>51</v>
      </c>
      <c r="H299" t="s">
        <v>109</v>
      </c>
      <c r="I299" t="s">
        <v>196</v>
      </c>
      <c r="J299" t="s">
        <v>197</v>
      </c>
      <c r="K299">
        <v>796984</v>
      </c>
      <c r="L299" t="s">
        <v>243</v>
      </c>
      <c r="M299" t="s">
        <v>81</v>
      </c>
      <c r="N299" t="s">
        <v>57</v>
      </c>
      <c r="O299" s="1">
        <v>45958</v>
      </c>
      <c r="Q299" s="1">
        <v>46019</v>
      </c>
      <c r="R299" s="2">
        <v>71.760000000000005</v>
      </c>
      <c r="S299">
        <v>1</v>
      </c>
      <c r="T299" t="s">
        <v>58</v>
      </c>
      <c r="U299" t="s">
        <v>59</v>
      </c>
      <c r="V299" s="4">
        <v>0.375</v>
      </c>
      <c r="W299" s="2">
        <v>0</v>
      </c>
      <c r="X299">
        <v>0</v>
      </c>
      <c r="Y299" t="s">
        <v>60</v>
      </c>
      <c r="Z299" t="s">
        <v>317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26.91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45985</v>
      </c>
      <c r="B300" t="s">
        <v>48</v>
      </c>
      <c r="C300">
        <v>649163</v>
      </c>
      <c r="D300">
        <v>2022747853</v>
      </c>
      <c r="E300" t="s">
        <v>305</v>
      </c>
      <c r="F300" t="s">
        <v>286</v>
      </c>
      <c r="G300" t="s">
        <v>51</v>
      </c>
      <c r="H300" t="s">
        <v>52</v>
      </c>
      <c r="I300" t="s">
        <v>258</v>
      </c>
      <c r="J300" t="s">
        <v>259</v>
      </c>
      <c r="K300">
        <v>751867</v>
      </c>
      <c r="L300" t="s">
        <v>82</v>
      </c>
      <c r="M300" t="s">
        <v>83</v>
      </c>
      <c r="N300" t="s">
        <v>57</v>
      </c>
      <c r="O300" s="1">
        <v>45413</v>
      </c>
      <c r="Q300" s="1">
        <v>45992</v>
      </c>
      <c r="R300" s="2">
        <v>61.39</v>
      </c>
      <c r="S300">
        <v>1</v>
      </c>
      <c r="T300" t="s">
        <v>58</v>
      </c>
      <c r="U300" t="s">
        <v>315</v>
      </c>
      <c r="V300" s="3">
        <v>0.1</v>
      </c>
      <c r="W300" s="2">
        <v>0</v>
      </c>
      <c r="X300">
        <v>0</v>
      </c>
      <c r="Y300" t="s">
        <v>316</v>
      </c>
      <c r="Z300" t="s">
        <v>317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6.14</v>
      </c>
      <c r="AN300" s="2">
        <v>6.14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45985</v>
      </c>
      <c r="B301" t="s">
        <v>48</v>
      </c>
      <c r="C301">
        <v>649163</v>
      </c>
      <c r="D301">
        <v>2024403625</v>
      </c>
      <c r="E301" t="s">
        <v>422</v>
      </c>
      <c r="F301" t="s">
        <v>423</v>
      </c>
      <c r="G301" t="s">
        <v>51</v>
      </c>
      <c r="H301" t="s">
        <v>424</v>
      </c>
      <c r="I301" t="s">
        <v>258</v>
      </c>
      <c r="J301" t="s">
        <v>259</v>
      </c>
      <c r="K301">
        <v>751867</v>
      </c>
      <c r="L301" t="s">
        <v>82</v>
      </c>
      <c r="M301" t="s">
        <v>83</v>
      </c>
      <c r="N301" t="s">
        <v>337</v>
      </c>
      <c r="O301" s="1">
        <v>45520</v>
      </c>
      <c r="P301" s="1">
        <v>45985</v>
      </c>
      <c r="Q301" s="1">
        <v>46007</v>
      </c>
      <c r="R301" s="2">
        <v>-15.61</v>
      </c>
      <c r="S301">
        <v>1</v>
      </c>
      <c r="T301" t="s">
        <v>58</v>
      </c>
      <c r="U301" t="s">
        <v>315</v>
      </c>
      <c r="V301" s="3">
        <v>0.1</v>
      </c>
      <c r="W301" s="2">
        <v>0</v>
      </c>
      <c r="X301">
        <v>-1</v>
      </c>
      <c r="Y301" t="s">
        <v>316</v>
      </c>
      <c r="Z301" t="s">
        <v>317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-1.56</v>
      </c>
      <c r="AN301" s="2">
        <v>-1.56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45985</v>
      </c>
      <c r="B302" t="s">
        <v>48</v>
      </c>
      <c r="C302">
        <v>649163</v>
      </c>
      <c r="D302">
        <v>2027038279</v>
      </c>
      <c r="E302" t="s">
        <v>352</v>
      </c>
      <c r="F302" t="s">
        <v>353</v>
      </c>
      <c r="G302" t="s">
        <v>51</v>
      </c>
      <c r="H302" t="s">
        <v>109</v>
      </c>
      <c r="I302" t="s">
        <v>258</v>
      </c>
      <c r="J302" t="s">
        <v>259</v>
      </c>
      <c r="K302">
        <v>816021</v>
      </c>
      <c r="L302" t="s">
        <v>111</v>
      </c>
      <c r="M302" t="s">
        <v>112</v>
      </c>
      <c r="N302" t="s">
        <v>337</v>
      </c>
      <c r="O302" s="1">
        <v>45699</v>
      </c>
      <c r="P302" s="1">
        <v>45985</v>
      </c>
      <c r="Q302" s="1">
        <v>46002</v>
      </c>
      <c r="R302" s="2">
        <v>-25.5</v>
      </c>
      <c r="S302">
        <v>1</v>
      </c>
      <c r="T302" t="s">
        <v>58</v>
      </c>
      <c r="U302" t="s">
        <v>315</v>
      </c>
      <c r="V302" s="3">
        <v>0.38</v>
      </c>
      <c r="W302" s="2">
        <v>0</v>
      </c>
      <c r="X302">
        <v>-1</v>
      </c>
      <c r="Y302" t="s">
        <v>60</v>
      </c>
      <c r="Z302" t="s">
        <v>317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-9.69</v>
      </c>
      <c r="AN302" s="2">
        <v>-9.69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45985</v>
      </c>
      <c r="B303" t="s">
        <v>48</v>
      </c>
      <c r="C303">
        <v>649163</v>
      </c>
      <c r="D303">
        <v>2027348179</v>
      </c>
      <c r="E303" t="s">
        <v>356</v>
      </c>
      <c r="F303" t="s">
        <v>357</v>
      </c>
      <c r="G303" t="s">
        <v>51</v>
      </c>
      <c r="H303" t="s">
        <v>64</v>
      </c>
      <c r="I303" t="s">
        <v>258</v>
      </c>
      <c r="J303" t="s">
        <v>260</v>
      </c>
      <c r="K303">
        <v>673059</v>
      </c>
      <c r="L303" t="s">
        <v>70</v>
      </c>
      <c r="M303" t="s">
        <v>71</v>
      </c>
      <c r="N303" t="s">
        <v>57</v>
      </c>
      <c r="O303" s="1">
        <v>45716</v>
      </c>
      <c r="Q303" s="1">
        <v>46019</v>
      </c>
      <c r="R303" s="2">
        <v>139</v>
      </c>
      <c r="S303">
        <v>1</v>
      </c>
      <c r="T303" t="s">
        <v>58</v>
      </c>
      <c r="U303" t="s">
        <v>315</v>
      </c>
      <c r="V303" s="3">
        <v>0.38</v>
      </c>
      <c r="W303" s="2">
        <v>0</v>
      </c>
      <c r="X303">
        <v>0</v>
      </c>
      <c r="Y303" t="s">
        <v>60</v>
      </c>
      <c r="Z303" t="s">
        <v>317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52.82</v>
      </c>
      <c r="AN303" s="2">
        <v>52.82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45985</v>
      </c>
      <c r="B304" t="s">
        <v>48</v>
      </c>
      <c r="C304">
        <v>649163</v>
      </c>
      <c r="D304">
        <v>2027913473</v>
      </c>
      <c r="E304" t="s">
        <v>361</v>
      </c>
      <c r="F304" t="s">
        <v>362</v>
      </c>
      <c r="G304" t="s">
        <v>51</v>
      </c>
      <c r="H304" t="s">
        <v>109</v>
      </c>
      <c r="I304" t="s">
        <v>258</v>
      </c>
      <c r="J304" t="s">
        <v>259</v>
      </c>
      <c r="K304">
        <v>816021</v>
      </c>
      <c r="L304" t="s">
        <v>111</v>
      </c>
      <c r="M304" t="s">
        <v>112</v>
      </c>
      <c r="N304" t="s">
        <v>57</v>
      </c>
      <c r="O304" s="1">
        <v>45738</v>
      </c>
      <c r="Q304" s="1">
        <v>46013</v>
      </c>
      <c r="R304" s="2">
        <v>40.270000000000003</v>
      </c>
      <c r="S304">
        <v>1</v>
      </c>
      <c r="T304" t="s">
        <v>58</v>
      </c>
      <c r="U304" t="s">
        <v>315</v>
      </c>
      <c r="V304" s="3">
        <v>0.38</v>
      </c>
      <c r="W304" s="2">
        <v>0</v>
      </c>
      <c r="X304">
        <v>0</v>
      </c>
      <c r="Y304" t="s">
        <v>60</v>
      </c>
      <c r="Z304" t="s">
        <v>317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15.3</v>
      </c>
      <c r="AN304" s="2">
        <v>15.3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45985</v>
      </c>
      <c r="B305" t="s">
        <v>48</v>
      </c>
      <c r="C305">
        <v>649163</v>
      </c>
      <c r="D305">
        <v>2028000915</v>
      </c>
      <c r="E305" t="s">
        <v>547</v>
      </c>
      <c r="F305" t="s">
        <v>548</v>
      </c>
      <c r="G305" t="s">
        <v>51</v>
      </c>
      <c r="H305" t="s">
        <v>549</v>
      </c>
      <c r="I305" t="s">
        <v>258</v>
      </c>
      <c r="J305" t="s">
        <v>260</v>
      </c>
      <c r="K305">
        <v>824062</v>
      </c>
      <c r="L305" t="s">
        <v>115</v>
      </c>
      <c r="M305" t="s">
        <v>116</v>
      </c>
      <c r="N305" t="s">
        <v>57</v>
      </c>
      <c r="O305" s="1">
        <v>45770</v>
      </c>
      <c r="Q305" s="1">
        <v>46014</v>
      </c>
      <c r="R305" s="2">
        <v>131.32</v>
      </c>
      <c r="S305">
        <v>1</v>
      </c>
      <c r="T305" t="s">
        <v>58</v>
      </c>
      <c r="U305" t="s">
        <v>315</v>
      </c>
      <c r="V305" s="3">
        <v>0.38</v>
      </c>
      <c r="W305" s="2">
        <v>0</v>
      </c>
      <c r="X305">
        <v>0</v>
      </c>
      <c r="Y305" t="s">
        <v>60</v>
      </c>
      <c r="Z305" t="s">
        <v>317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49.9</v>
      </c>
      <c r="AN305" s="2">
        <v>49.9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45985</v>
      </c>
      <c r="B306" t="s">
        <v>48</v>
      </c>
      <c r="C306">
        <v>649163</v>
      </c>
      <c r="D306">
        <v>2028000916</v>
      </c>
      <c r="E306" t="s">
        <v>547</v>
      </c>
      <c r="F306" t="s">
        <v>548</v>
      </c>
      <c r="G306" t="s">
        <v>51</v>
      </c>
      <c r="H306" t="s">
        <v>549</v>
      </c>
      <c r="I306" t="s">
        <v>258</v>
      </c>
      <c r="J306" t="s">
        <v>261</v>
      </c>
      <c r="K306">
        <v>824062</v>
      </c>
      <c r="L306" t="s">
        <v>115</v>
      </c>
      <c r="M306" t="s">
        <v>116</v>
      </c>
      <c r="N306" t="s">
        <v>57</v>
      </c>
      <c r="O306" s="1">
        <v>45770</v>
      </c>
      <c r="Q306" s="1">
        <v>46014</v>
      </c>
      <c r="R306" s="2">
        <v>7.09</v>
      </c>
      <c r="S306">
        <v>1</v>
      </c>
      <c r="T306" t="s">
        <v>58</v>
      </c>
      <c r="U306" t="s">
        <v>315</v>
      </c>
      <c r="V306" s="3">
        <v>0.38</v>
      </c>
      <c r="W306" s="2">
        <v>0</v>
      </c>
      <c r="X306">
        <v>0</v>
      </c>
      <c r="Y306" t="s">
        <v>60</v>
      </c>
      <c r="Z306" t="s">
        <v>317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2.69</v>
      </c>
      <c r="AN306" s="2">
        <v>2.69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45985</v>
      </c>
      <c r="B307" t="s">
        <v>48</v>
      </c>
      <c r="C307">
        <v>649163</v>
      </c>
      <c r="D307">
        <v>2028488143</v>
      </c>
      <c r="E307" t="s">
        <v>321</v>
      </c>
      <c r="F307" t="s">
        <v>322</v>
      </c>
      <c r="G307" t="s">
        <v>51</v>
      </c>
      <c r="H307" t="s">
        <v>52</v>
      </c>
      <c r="I307" t="s">
        <v>258</v>
      </c>
      <c r="J307" t="s">
        <v>259</v>
      </c>
      <c r="K307">
        <v>751867</v>
      </c>
      <c r="L307" t="s">
        <v>82</v>
      </c>
      <c r="M307" t="s">
        <v>83</v>
      </c>
      <c r="N307" t="s">
        <v>57</v>
      </c>
      <c r="O307" s="1">
        <v>45766</v>
      </c>
      <c r="Q307" s="1">
        <v>46010</v>
      </c>
      <c r="R307" s="2">
        <v>-89.62</v>
      </c>
      <c r="S307">
        <v>1</v>
      </c>
      <c r="T307" t="s">
        <v>58</v>
      </c>
      <c r="U307" t="s">
        <v>315</v>
      </c>
      <c r="V307" s="3">
        <v>0.38</v>
      </c>
      <c r="W307" s="2">
        <v>0</v>
      </c>
      <c r="X307">
        <v>-1</v>
      </c>
      <c r="Y307" t="s">
        <v>60</v>
      </c>
      <c r="Z307" t="s">
        <v>317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-34.06</v>
      </c>
      <c r="AN307" s="2">
        <v>-34.06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45985</v>
      </c>
      <c r="B308" t="s">
        <v>48</v>
      </c>
      <c r="C308">
        <v>649163</v>
      </c>
      <c r="D308">
        <v>2028533939</v>
      </c>
      <c r="E308" t="s">
        <v>425</v>
      </c>
      <c r="F308" t="s">
        <v>426</v>
      </c>
      <c r="G308" t="s">
        <v>51</v>
      </c>
      <c r="H308" t="s">
        <v>64</v>
      </c>
      <c r="I308" t="s">
        <v>258</v>
      </c>
      <c r="J308" t="s">
        <v>260</v>
      </c>
      <c r="K308">
        <v>820873</v>
      </c>
      <c r="L308" t="s">
        <v>101</v>
      </c>
      <c r="M308" t="s">
        <v>102</v>
      </c>
      <c r="N308" t="s">
        <v>57</v>
      </c>
      <c r="O308" s="1">
        <v>45770</v>
      </c>
      <c r="Q308" s="1">
        <v>46014</v>
      </c>
      <c r="R308" s="2">
        <v>139</v>
      </c>
      <c r="S308">
        <v>1</v>
      </c>
      <c r="T308" t="s">
        <v>58</v>
      </c>
      <c r="U308" t="s">
        <v>315</v>
      </c>
      <c r="V308" s="3">
        <v>0.38</v>
      </c>
      <c r="W308" s="2">
        <v>0</v>
      </c>
      <c r="X308">
        <v>0</v>
      </c>
      <c r="Y308" t="s">
        <v>60</v>
      </c>
      <c r="Z308" t="s">
        <v>317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52.82</v>
      </c>
      <c r="AN308" s="2">
        <v>52.82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45985</v>
      </c>
      <c r="B309" t="s">
        <v>48</v>
      </c>
      <c r="C309">
        <v>649163</v>
      </c>
      <c r="D309">
        <v>2028627542</v>
      </c>
      <c r="E309" t="s">
        <v>504</v>
      </c>
      <c r="F309" t="s">
        <v>505</v>
      </c>
      <c r="G309" t="s">
        <v>51</v>
      </c>
      <c r="H309" t="s">
        <v>132</v>
      </c>
      <c r="I309" t="s">
        <v>258</v>
      </c>
      <c r="J309" t="s">
        <v>261</v>
      </c>
      <c r="K309">
        <v>820873</v>
      </c>
      <c r="L309" t="s">
        <v>101</v>
      </c>
      <c r="M309" t="s">
        <v>102</v>
      </c>
      <c r="N309" t="s">
        <v>57</v>
      </c>
      <c r="O309" s="1">
        <v>45774</v>
      </c>
      <c r="Q309" s="1">
        <v>46018</v>
      </c>
      <c r="R309" s="2">
        <v>7.09</v>
      </c>
      <c r="S309">
        <v>1</v>
      </c>
      <c r="T309" t="s">
        <v>58</v>
      </c>
      <c r="U309" t="s">
        <v>315</v>
      </c>
      <c r="V309" s="3">
        <v>0.38</v>
      </c>
      <c r="W309" s="2">
        <v>0</v>
      </c>
      <c r="X309">
        <v>0</v>
      </c>
      <c r="Y309" t="s">
        <v>60</v>
      </c>
      <c r="Z309" t="s">
        <v>317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2.69</v>
      </c>
      <c r="AN309" s="2">
        <v>2.69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45985</v>
      </c>
      <c r="B310" t="s">
        <v>48</v>
      </c>
      <c r="C310">
        <v>649163</v>
      </c>
      <c r="D310">
        <v>2029145086</v>
      </c>
      <c r="E310" t="s">
        <v>428</v>
      </c>
      <c r="F310" t="s">
        <v>429</v>
      </c>
      <c r="G310" t="s">
        <v>51</v>
      </c>
      <c r="H310" t="s">
        <v>64</v>
      </c>
      <c r="I310" t="s">
        <v>258</v>
      </c>
      <c r="J310" t="s">
        <v>259</v>
      </c>
      <c r="K310">
        <v>766422</v>
      </c>
      <c r="L310" t="s">
        <v>430</v>
      </c>
      <c r="M310" t="s">
        <v>332</v>
      </c>
      <c r="N310" t="s">
        <v>57</v>
      </c>
      <c r="O310" s="1">
        <v>45805</v>
      </c>
      <c r="Q310" s="1">
        <v>46019</v>
      </c>
      <c r="R310" s="2">
        <v>25.15</v>
      </c>
      <c r="S310">
        <v>1</v>
      </c>
      <c r="T310" t="s">
        <v>58</v>
      </c>
      <c r="U310" t="s">
        <v>315</v>
      </c>
      <c r="V310" s="3">
        <v>0.38</v>
      </c>
      <c r="W310" s="2">
        <v>0</v>
      </c>
      <c r="X310">
        <v>0</v>
      </c>
      <c r="Y310" t="s">
        <v>60</v>
      </c>
      <c r="Z310" t="s">
        <v>317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9.56</v>
      </c>
      <c r="AN310" s="2">
        <v>9.56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45985</v>
      </c>
      <c r="B311" t="s">
        <v>48</v>
      </c>
      <c r="C311">
        <v>649163</v>
      </c>
      <c r="D311">
        <v>2029620627</v>
      </c>
      <c r="E311" t="s">
        <v>375</v>
      </c>
      <c r="F311" t="s">
        <v>376</v>
      </c>
      <c r="G311" t="s">
        <v>51</v>
      </c>
      <c r="H311" t="s">
        <v>64</v>
      </c>
      <c r="I311" t="s">
        <v>258</v>
      </c>
      <c r="J311" t="s">
        <v>260</v>
      </c>
      <c r="K311">
        <v>824062</v>
      </c>
      <c r="L311" t="s">
        <v>115</v>
      </c>
      <c r="M311" t="s">
        <v>116</v>
      </c>
      <c r="N311" t="s">
        <v>57</v>
      </c>
      <c r="O311" s="1">
        <v>45833</v>
      </c>
      <c r="Q311" s="1">
        <v>46016</v>
      </c>
      <c r="R311" s="2">
        <v>226.98</v>
      </c>
      <c r="S311">
        <v>1</v>
      </c>
      <c r="T311" t="s">
        <v>58</v>
      </c>
      <c r="U311" t="s">
        <v>315</v>
      </c>
      <c r="V311" s="3">
        <v>0.38</v>
      </c>
      <c r="W311" s="2">
        <v>0</v>
      </c>
      <c r="X311">
        <v>0</v>
      </c>
      <c r="Y311" t="s">
        <v>60</v>
      </c>
      <c r="Z311" t="s">
        <v>317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86.25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45985</v>
      </c>
      <c r="B312" t="s">
        <v>48</v>
      </c>
      <c r="C312">
        <v>649163</v>
      </c>
      <c r="D312">
        <v>2029620628</v>
      </c>
      <c r="E312" t="s">
        <v>375</v>
      </c>
      <c r="F312" t="s">
        <v>376</v>
      </c>
      <c r="G312" t="s">
        <v>51</v>
      </c>
      <c r="H312" t="s">
        <v>64</v>
      </c>
      <c r="I312" t="s">
        <v>258</v>
      </c>
      <c r="J312" t="s">
        <v>261</v>
      </c>
      <c r="K312">
        <v>824062</v>
      </c>
      <c r="L312" t="s">
        <v>115</v>
      </c>
      <c r="M312" t="s">
        <v>116</v>
      </c>
      <c r="N312" t="s">
        <v>57</v>
      </c>
      <c r="O312" s="1">
        <v>45833</v>
      </c>
      <c r="Q312" s="1">
        <v>46016</v>
      </c>
      <c r="R312" s="2">
        <v>7.09</v>
      </c>
      <c r="S312">
        <v>1</v>
      </c>
      <c r="T312" t="s">
        <v>58</v>
      </c>
      <c r="U312" t="s">
        <v>315</v>
      </c>
      <c r="V312" s="3">
        <v>0.38</v>
      </c>
      <c r="W312" s="2">
        <v>0</v>
      </c>
      <c r="X312">
        <v>0</v>
      </c>
      <c r="Y312" t="s">
        <v>60</v>
      </c>
      <c r="Z312" t="s">
        <v>317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2.69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45985</v>
      </c>
      <c r="B313" t="s">
        <v>48</v>
      </c>
      <c r="C313">
        <v>649163</v>
      </c>
      <c r="D313">
        <v>2029623274</v>
      </c>
      <c r="E313" t="s">
        <v>431</v>
      </c>
      <c r="F313" t="s">
        <v>432</v>
      </c>
      <c r="G313" t="s">
        <v>51</v>
      </c>
      <c r="H313" t="s">
        <v>64</v>
      </c>
      <c r="I313" t="s">
        <v>258</v>
      </c>
      <c r="J313" t="s">
        <v>260</v>
      </c>
      <c r="K313">
        <v>840313</v>
      </c>
      <c r="L313" t="s">
        <v>433</v>
      </c>
      <c r="M313" t="s">
        <v>434</v>
      </c>
      <c r="N313" t="s">
        <v>57</v>
      </c>
      <c r="O313" s="1">
        <v>45833</v>
      </c>
      <c r="Q313" s="1">
        <v>46016</v>
      </c>
      <c r="R313" s="2">
        <v>172.55</v>
      </c>
      <c r="S313">
        <v>1</v>
      </c>
      <c r="T313" t="s">
        <v>58</v>
      </c>
      <c r="U313" t="s">
        <v>315</v>
      </c>
      <c r="V313" s="3">
        <v>0.38</v>
      </c>
      <c r="W313" s="2">
        <v>0</v>
      </c>
      <c r="X313">
        <v>0</v>
      </c>
      <c r="Y313" t="s">
        <v>60</v>
      </c>
      <c r="Z313" t="s">
        <v>317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65.56</v>
      </c>
      <c r="AM313" s="2">
        <v>0.01</v>
      </c>
      <c r="AN313" s="2">
        <v>0.01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45985</v>
      </c>
      <c r="B314" t="s">
        <v>48</v>
      </c>
      <c r="C314">
        <v>649163</v>
      </c>
      <c r="D314">
        <v>2029623275</v>
      </c>
      <c r="E314" t="s">
        <v>431</v>
      </c>
      <c r="F314" t="s">
        <v>432</v>
      </c>
      <c r="G314" t="s">
        <v>51</v>
      </c>
      <c r="H314" t="s">
        <v>64</v>
      </c>
      <c r="I314" t="s">
        <v>258</v>
      </c>
      <c r="J314" t="s">
        <v>261</v>
      </c>
      <c r="K314">
        <v>840313</v>
      </c>
      <c r="L314" t="s">
        <v>433</v>
      </c>
      <c r="M314" t="s">
        <v>434</v>
      </c>
      <c r="N314" t="s">
        <v>57</v>
      </c>
      <c r="O314" s="1">
        <v>45833</v>
      </c>
      <c r="Q314" s="1">
        <v>46016</v>
      </c>
      <c r="R314" s="2">
        <v>7.09</v>
      </c>
      <c r="S314">
        <v>1</v>
      </c>
      <c r="T314" t="s">
        <v>58</v>
      </c>
      <c r="U314" t="s">
        <v>315</v>
      </c>
      <c r="V314" s="3">
        <v>0.38</v>
      </c>
      <c r="W314" s="2">
        <v>0</v>
      </c>
      <c r="X314">
        <v>0</v>
      </c>
      <c r="Y314" t="s">
        <v>60</v>
      </c>
      <c r="Z314" t="s">
        <v>317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2.69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45985</v>
      </c>
      <c r="B315" t="s">
        <v>48</v>
      </c>
      <c r="C315">
        <v>649163</v>
      </c>
      <c r="D315">
        <v>2029623276</v>
      </c>
      <c r="E315" t="s">
        <v>431</v>
      </c>
      <c r="F315" t="s">
        <v>432</v>
      </c>
      <c r="G315" t="s">
        <v>51</v>
      </c>
      <c r="H315" t="s">
        <v>64</v>
      </c>
      <c r="I315" t="s">
        <v>258</v>
      </c>
      <c r="J315" t="s">
        <v>259</v>
      </c>
      <c r="K315">
        <v>840313</v>
      </c>
      <c r="L315" t="s">
        <v>433</v>
      </c>
      <c r="M315" t="s">
        <v>434</v>
      </c>
      <c r="N315" t="s">
        <v>57</v>
      </c>
      <c r="O315" s="1">
        <v>45833</v>
      </c>
      <c r="Q315" s="1">
        <v>46016</v>
      </c>
      <c r="R315" s="2">
        <v>11.71</v>
      </c>
      <c r="S315">
        <v>1</v>
      </c>
      <c r="T315" t="s">
        <v>58</v>
      </c>
      <c r="U315" t="s">
        <v>315</v>
      </c>
      <c r="V315" s="3">
        <v>0.38</v>
      </c>
      <c r="W315" s="2">
        <v>0</v>
      </c>
      <c r="X315">
        <v>0</v>
      </c>
      <c r="Y315" t="s">
        <v>60</v>
      </c>
      <c r="Z315" t="s">
        <v>317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4.45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45985</v>
      </c>
      <c r="B316" t="s">
        <v>48</v>
      </c>
      <c r="C316">
        <v>649163</v>
      </c>
      <c r="D316">
        <v>2030085145</v>
      </c>
      <c r="E316" t="s">
        <v>381</v>
      </c>
      <c r="F316" t="s">
        <v>382</v>
      </c>
      <c r="G316" t="s">
        <v>51</v>
      </c>
      <c r="H316" t="s">
        <v>64</v>
      </c>
      <c r="I316" t="s">
        <v>258</v>
      </c>
      <c r="J316" t="s">
        <v>550</v>
      </c>
      <c r="K316">
        <v>673059</v>
      </c>
      <c r="L316" t="s">
        <v>70</v>
      </c>
      <c r="M316" t="s">
        <v>71</v>
      </c>
      <c r="N316" t="s">
        <v>57</v>
      </c>
      <c r="O316" s="1">
        <v>45861</v>
      </c>
      <c r="Q316" s="1">
        <v>46014</v>
      </c>
      <c r="R316" s="2">
        <v>218.73</v>
      </c>
      <c r="S316">
        <v>1</v>
      </c>
      <c r="T316" t="s">
        <v>58</v>
      </c>
      <c r="U316" t="s">
        <v>315</v>
      </c>
      <c r="V316" s="3">
        <v>0.19</v>
      </c>
      <c r="W316" s="2">
        <v>0</v>
      </c>
      <c r="X316">
        <v>0</v>
      </c>
      <c r="Y316" t="s">
        <v>60</v>
      </c>
      <c r="Z316" t="s">
        <v>317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41.56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45985</v>
      </c>
      <c r="B317" t="s">
        <v>48</v>
      </c>
      <c r="C317">
        <v>649163</v>
      </c>
      <c r="D317">
        <v>2030085146</v>
      </c>
      <c r="E317" t="s">
        <v>381</v>
      </c>
      <c r="F317" t="s">
        <v>382</v>
      </c>
      <c r="G317" t="s">
        <v>51</v>
      </c>
      <c r="H317" t="s">
        <v>64</v>
      </c>
      <c r="I317" t="s">
        <v>258</v>
      </c>
      <c r="J317" t="s">
        <v>261</v>
      </c>
      <c r="K317">
        <v>673059</v>
      </c>
      <c r="L317" t="s">
        <v>70</v>
      </c>
      <c r="M317" t="s">
        <v>71</v>
      </c>
      <c r="N317" t="s">
        <v>57</v>
      </c>
      <c r="O317" s="1">
        <v>45861</v>
      </c>
      <c r="Q317" s="1">
        <v>46014</v>
      </c>
      <c r="R317" s="2">
        <v>7.09</v>
      </c>
      <c r="S317">
        <v>1</v>
      </c>
      <c r="T317" t="s">
        <v>58</v>
      </c>
      <c r="U317" t="s">
        <v>315</v>
      </c>
      <c r="V317" s="3">
        <v>0.38</v>
      </c>
      <c r="W317" s="2">
        <v>0</v>
      </c>
      <c r="X317">
        <v>0</v>
      </c>
      <c r="Y317" t="s">
        <v>60</v>
      </c>
      <c r="Z317" t="s">
        <v>317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2.69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45985</v>
      </c>
      <c r="B318" t="s">
        <v>48</v>
      </c>
      <c r="C318">
        <v>649163</v>
      </c>
      <c r="D318">
        <v>2030093004</v>
      </c>
      <c r="E318" t="s">
        <v>436</v>
      </c>
      <c r="F318" t="s">
        <v>437</v>
      </c>
      <c r="G318" t="s">
        <v>51</v>
      </c>
      <c r="H318" t="s">
        <v>135</v>
      </c>
      <c r="I318" t="s">
        <v>258</v>
      </c>
      <c r="J318" t="s">
        <v>260</v>
      </c>
      <c r="K318">
        <v>650218</v>
      </c>
      <c r="L318" t="s">
        <v>55</v>
      </c>
      <c r="M318" t="s">
        <v>56</v>
      </c>
      <c r="N318" t="s">
        <v>57</v>
      </c>
      <c r="O318" s="1">
        <v>45861</v>
      </c>
      <c r="Q318" s="1">
        <v>46014</v>
      </c>
      <c r="R318" s="2">
        <v>217.56</v>
      </c>
      <c r="S318">
        <v>1</v>
      </c>
      <c r="T318" t="s">
        <v>58</v>
      </c>
      <c r="U318" t="s">
        <v>315</v>
      </c>
      <c r="V318" s="3">
        <v>0.38</v>
      </c>
      <c r="W318" s="2">
        <v>0</v>
      </c>
      <c r="X318">
        <v>0</v>
      </c>
      <c r="Y318" t="s">
        <v>60</v>
      </c>
      <c r="Z318" t="s">
        <v>317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82.67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45985</v>
      </c>
      <c r="B319" t="s">
        <v>48</v>
      </c>
      <c r="C319">
        <v>649163</v>
      </c>
      <c r="D319">
        <v>2030093005</v>
      </c>
      <c r="E319" t="s">
        <v>436</v>
      </c>
      <c r="F319" t="s">
        <v>437</v>
      </c>
      <c r="G319" t="s">
        <v>51</v>
      </c>
      <c r="H319" t="s">
        <v>135</v>
      </c>
      <c r="I319" t="s">
        <v>258</v>
      </c>
      <c r="J319" t="s">
        <v>261</v>
      </c>
      <c r="K319">
        <v>650218</v>
      </c>
      <c r="L319" t="s">
        <v>55</v>
      </c>
      <c r="M319" t="s">
        <v>56</v>
      </c>
      <c r="N319" t="s">
        <v>57</v>
      </c>
      <c r="O319" s="1">
        <v>45861</v>
      </c>
      <c r="Q319" s="1">
        <v>46014</v>
      </c>
      <c r="R319" s="2">
        <v>7.09</v>
      </c>
      <c r="S319">
        <v>1</v>
      </c>
      <c r="T319" t="s">
        <v>58</v>
      </c>
      <c r="U319" t="s">
        <v>315</v>
      </c>
      <c r="V319" s="3">
        <v>0.38</v>
      </c>
      <c r="W319" s="2">
        <v>0</v>
      </c>
      <c r="X319">
        <v>0</v>
      </c>
      <c r="Y319" t="s">
        <v>60</v>
      </c>
      <c r="Z319" t="s">
        <v>317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2.69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45985</v>
      </c>
      <c r="B320" t="s">
        <v>48</v>
      </c>
      <c r="C320">
        <v>649163</v>
      </c>
      <c r="D320">
        <v>2030105688</v>
      </c>
      <c r="E320" t="s">
        <v>438</v>
      </c>
      <c r="F320" t="s">
        <v>439</v>
      </c>
      <c r="G320" t="s">
        <v>51</v>
      </c>
      <c r="H320" t="s">
        <v>64</v>
      </c>
      <c r="I320" t="s">
        <v>258</v>
      </c>
      <c r="J320" t="s">
        <v>260</v>
      </c>
      <c r="K320">
        <v>856163</v>
      </c>
      <c r="L320" t="s">
        <v>91</v>
      </c>
      <c r="M320" t="s">
        <v>440</v>
      </c>
      <c r="N320" t="s">
        <v>57</v>
      </c>
      <c r="O320" s="1">
        <v>45862</v>
      </c>
      <c r="Q320" s="1">
        <v>46015</v>
      </c>
      <c r="R320" s="2">
        <v>616.1</v>
      </c>
      <c r="S320">
        <v>1</v>
      </c>
      <c r="T320" t="s">
        <v>58</v>
      </c>
      <c r="U320" t="s">
        <v>315</v>
      </c>
      <c r="V320" s="3">
        <v>0.38</v>
      </c>
      <c r="W320" s="2">
        <v>0</v>
      </c>
      <c r="X320">
        <v>0</v>
      </c>
      <c r="Y320" t="s">
        <v>60</v>
      </c>
      <c r="Z320" t="s">
        <v>317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234.12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45985</v>
      </c>
      <c r="B321" t="s">
        <v>48</v>
      </c>
      <c r="C321">
        <v>649163</v>
      </c>
      <c r="D321">
        <v>2030105689</v>
      </c>
      <c r="E321" t="s">
        <v>438</v>
      </c>
      <c r="F321" t="s">
        <v>439</v>
      </c>
      <c r="G321" t="s">
        <v>51</v>
      </c>
      <c r="H321" t="s">
        <v>64</v>
      </c>
      <c r="I321" t="s">
        <v>258</v>
      </c>
      <c r="J321" t="s">
        <v>261</v>
      </c>
      <c r="K321">
        <v>856163</v>
      </c>
      <c r="L321" t="s">
        <v>91</v>
      </c>
      <c r="M321" t="s">
        <v>440</v>
      </c>
      <c r="N321" t="s">
        <v>57</v>
      </c>
      <c r="O321" s="1">
        <v>45862</v>
      </c>
      <c r="Q321" s="1">
        <v>46015</v>
      </c>
      <c r="R321" s="2">
        <v>7.09</v>
      </c>
      <c r="S321">
        <v>1</v>
      </c>
      <c r="T321" t="s">
        <v>58</v>
      </c>
      <c r="U321" t="s">
        <v>315</v>
      </c>
      <c r="V321" s="3">
        <v>0.38</v>
      </c>
      <c r="W321" s="2">
        <v>0</v>
      </c>
      <c r="X321">
        <v>0</v>
      </c>
      <c r="Y321" t="s">
        <v>60</v>
      </c>
      <c r="Z321" t="s">
        <v>317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2.69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45985</v>
      </c>
      <c r="B322" t="s">
        <v>48</v>
      </c>
      <c r="C322">
        <v>649163</v>
      </c>
      <c r="D322">
        <v>2030108811</v>
      </c>
      <c r="E322" t="s">
        <v>383</v>
      </c>
      <c r="F322" t="s">
        <v>384</v>
      </c>
      <c r="G322" t="s">
        <v>51</v>
      </c>
      <c r="H322" t="s">
        <v>109</v>
      </c>
      <c r="I322" t="s">
        <v>258</v>
      </c>
      <c r="J322" t="s">
        <v>259</v>
      </c>
      <c r="K322">
        <v>796984</v>
      </c>
      <c r="L322" t="s">
        <v>243</v>
      </c>
      <c r="M322" t="s">
        <v>81</v>
      </c>
      <c r="N322" t="s">
        <v>57</v>
      </c>
      <c r="O322" s="1">
        <v>45862</v>
      </c>
      <c r="Q322" s="1">
        <v>46015</v>
      </c>
      <c r="R322" s="2">
        <v>16.91</v>
      </c>
      <c r="S322">
        <v>1</v>
      </c>
      <c r="T322" t="s">
        <v>58</v>
      </c>
      <c r="U322" t="s">
        <v>315</v>
      </c>
      <c r="V322" s="3">
        <v>0.38</v>
      </c>
      <c r="W322" s="2">
        <v>0</v>
      </c>
      <c r="X322">
        <v>0</v>
      </c>
      <c r="Y322" t="s">
        <v>60</v>
      </c>
      <c r="Z322" t="s">
        <v>317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6.43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45985</v>
      </c>
      <c r="B323" t="s">
        <v>48</v>
      </c>
      <c r="C323">
        <v>649163</v>
      </c>
      <c r="D323">
        <v>2030670141</v>
      </c>
      <c r="E323" t="s">
        <v>527</v>
      </c>
      <c r="F323" t="s">
        <v>528</v>
      </c>
      <c r="G323" t="s">
        <v>51</v>
      </c>
      <c r="H323" t="s">
        <v>52</v>
      </c>
      <c r="I323" t="s">
        <v>258</v>
      </c>
      <c r="J323" t="s">
        <v>259</v>
      </c>
      <c r="K323">
        <v>650218</v>
      </c>
      <c r="L323" t="s">
        <v>55</v>
      </c>
      <c r="M323" t="s">
        <v>56</v>
      </c>
      <c r="N323" t="s">
        <v>57</v>
      </c>
      <c r="O323" s="1">
        <v>45895</v>
      </c>
      <c r="Q323" s="1">
        <v>46017</v>
      </c>
      <c r="R323" s="2">
        <v>21.97</v>
      </c>
      <c r="S323">
        <v>1</v>
      </c>
      <c r="T323" t="s">
        <v>58</v>
      </c>
      <c r="U323" t="s">
        <v>315</v>
      </c>
      <c r="V323" s="3">
        <v>0.38</v>
      </c>
      <c r="W323" s="2">
        <v>0</v>
      </c>
      <c r="X323">
        <v>0</v>
      </c>
      <c r="Y323" t="s">
        <v>60</v>
      </c>
      <c r="Z323" t="s">
        <v>317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8.35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45985</v>
      </c>
      <c r="B324" t="s">
        <v>48</v>
      </c>
      <c r="C324">
        <v>649163</v>
      </c>
      <c r="D324">
        <v>2030707329</v>
      </c>
      <c r="E324" t="s">
        <v>394</v>
      </c>
      <c r="F324" t="s">
        <v>395</v>
      </c>
      <c r="G324" t="s">
        <v>51</v>
      </c>
      <c r="H324" t="s">
        <v>109</v>
      </c>
      <c r="I324" t="s">
        <v>258</v>
      </c>
      <c r="J324" t="s">
        <v>259</v>
      </c>
      <c r="K324">
        <v>756418</v>
      </c>
      <c r="L324" t="s">
        <v>271</v>
      </c>
      <c r="M324" t="s">
        <v>272</v>
      </c>
      <c r="N324" t="s">
        <v>57</v>
      </c>
      <c r="O324" s="1">
        <v>45896</v>
      </c>
      <c r="Q324" s="1">
        <v>46018</v>
      </c>
      <c r="R324" s="2">
        <v>31.07</v>
      </c>
      <c r="S324">
        <v>1</v>
      </c>
      <c r="T324" t="s">
        <v>58</v>
      </c>
      <c r="U324" t="s">
        <v>315</v>
      </c>
      <c r="V324" s="3">
        <v>0.38</v>
      </c>
      <c r="W324" s="2">
        <v>0</v>
      </c>
      <c r="X324">
        <v>0</v>
      </c>
      <c r="Y324" t="s">
        <v>60</v>
      </c>
      <c r="Z324" t="s">
        <v>317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11.81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45985</v>
      </c>
      <c r="B325" t="s">
        <v>48</v>
      </c>
      <c r="C325">
        <v>649163</v>
      </c>
      <c r="D325">
        <v>2031226327</v>
      </c>
      <c r="E325" t="s">
        <v>445</v>
      </c>
      <c r="F325" t="s">
        <v>446</v>
      </c>
      <c r="G325" t="s">
        <v>51</v>
      </c>
      <c r="H325" t="s">
        <v>135</v>
      </c>
      <c r="I325" t="s">
        <v>258</v>
      </c>
      <c r="J325" t="s">
        <v>260</v>
      </c>
      <c r="K325">
        <v>820873</v>
      </c>
      <c r="L325" t="s">
        <v>101</v>
      </c>
      <c r="M325" t="s">
        <v>102</v>
      </c>
      <c r="N325" t="s">
        <v>57</v>
      </c>
      <c r="O325" s="1">
        <v>45924</v>
      </c>
      <c r="Q325" s="1">
        <v>46015</v>
      </c>
      <c r="R325" s="2">
        <v>401.35</v>
      </c>
      <c r="S325">
        <v>1</v>
      </c>
      <c r="T325" t="s">
        <v>58</v>
      </c>
      <c r="U325" t="s">
        <v>59</v>
      </c>
      <c r="V325" s="3">
        <v>0.38</v>
      </c>
      <c r="W325" s="2">
        <v>0</v>
      </c>
      <c r="X325">
        <v>0</v>
      </c>
      <c r="Y325" t="s">
        <v>60</v>
      </c>
      <c r="Z325" t="s">
        <v>317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152.51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45985</v>
      </c>
      <c r="B326" t="s">
        <v>48</v>
      </c>
      <c r="C326">
        <v>649163</v>
      </c>
      <c r="D326">
        <v>2031226328</v>
      </c>
      <c r="E326" t="s">
        <v>445</v>
      </c>
      <c r="F326" t="s">
        <v>446</v>
      </c>
      <c r="G326" t="s">
        <v>51</v>
      </c>
      <c r="H326" t="s">
        <v>135</v>
      </c>
      <c r="I326" t="s">
        <v>258</v>
      </c>
      <c r="J326" t="s">
        <v>261</v>
      </c>
      <c r="K326">
        <v>820873</v>
      </c>
      <c r="L326" t="s">
        <v>101</v>
      </c>
      <c r="M326" t="s">
        <v>102</v>
      </c>
      <c r="N326" t="s">
        <v>57</v>
      </c>
      <c r="O326" s="1">
        <v>45924</v>
      </c>
      <c r="Q326" s="1">
        <v>46015</v>
      </c>
      <c r="R326" s="2">
        <v>7.09</v>
      </c>
      <c r="S326">
        <v>1</v>
      </c>
      <c r="T326" t="s">
        <v>58</v>
      </c>
      <c r="U326" t="s">
        <v>59</v>
      </c>
      <c r="V326" s="3">
        <v>0.38</v>
      </c>
      <c r="W326" s="2">
        <v>0</v>
      </c>
      <c r="X326">
        <v>0</v>
      </c>
      <c r="Y326" t="s">
        <v>60</v>
      </c>
      <c r="Z326" t="s">
        <v>317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2.69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45985</v>
      </c>
      <c r="B327" t="s">
        <v>48</v>
      </c>
      <c r="C327">
        <v>649163</v>
      </c>
      <c r="D327">
        <v>2031255008</v>
      </c>
      <c r="E327" t="s">
        <v>447</v>
      </c>
      <c r="F327" t="s">
        <v>448</v>
      </c>
      <c r="G327" t="s">
        <v>51</v>
      </c>
      <c r="H327" t="s">
        <v>64</v>
      </c>
      <c r="I327" t="s">
        <v>258</v>
      </c>
      <c r="J327" t="s">
        <v>260</v>
      </c>
      <c r="K327">
        <v>812994</v>
      </c>
      <c r="L327" t="s">
        <v>443</v>
      </c>
      <c r="M327" t="s">
        <v>444</v>
      </c>
      <c r="N327" t="s">
        <v>57</v>
      </c>
      <c r="O327" s="1">
        <v>45925</v>
      </c>
      <c r="Q327" s="1">
        <v>46016</v>
      </c>
      <c r="R327" s="2">
        <v>328.85</v>
      </c>
      <c r="S327">
        <v>1</v>
      </c>
      <c r="T327" t="s">
        <v>58</v>
      </c>
      <c r="U327" t="s">
        <v>59</v>
      </c>
      <c r="V327" s="3">
        <v>0.38</v>
      </c>
      <c r="W327" s="2">
        <v>0</v>
      </c>
      <c r="X327">
        <v>0</v>
      </c>
      <c r="Y327" t="s">
        <v>60</v>
      </c>
      <c r="Z327" t="s">
        <v>317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124.96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45985</v>
      </c>
      <c r="B328" t="s">
        <v>48</v>
      </c>
      <c r="C328">
        <v>649163</v>
      </c>
      <c r="D328">
        <v>2031255009</v>
      </c>
      <c r="E328" t="s">
        <v>447</v>
      </c>
      <c r="F328" t="s">
        <v>448</v>
      </c>
      <c r="G328" t="s">
        <v>51</v>
      </c>
      <c r="H328" t="s">
        <v>64</v>
      </c>
      <c r="I328" t="s">
        <v>258</v>
      </c>
      <c r="J328" t="s">
        <v>261</v>
      </c>
      <c r="K328">
        <v>812994</v>
      </c>
      <c r="L328" t="s">
        <v>443</v>
      </c>
      <c r="M328" t="s">
        <v>444</v>
      </c>
      <c r="N328" t="s">
        <v>57</v>
      </c>
      <c r="O328" s="1">
        <v>45925</v>
      </c>
      <c r="Q328" s="1">
        <v>46016</v>
      </c>
      <c r="R328" s="2">
        <v>7.09</v>
      </c>
      <c r="S328">
        <v>1</v>
      </c>
      <c r="T328" t="s">
        <v>58</v>
      </c>
      <c r="U328" t="s">
        <v>59</v>
      </c>
      <c r="V328" s="3">
        <v>0.38</v>
      </c>
      <c r="W328" s="2">
        <v>0</v>
      </c>
      <c r="X328">
        <v>0</v>
      </c>
      <c r="Y328" t="s">
        <v>60</v>
      </c>
      <c r="Z328" t="s">
        <v>317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2.69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45985</v>
      </c>
      <c r="B329" t="s">
        <v>48</v>
      </c>
      <c r="C329">
        <v>649163</v>
      </c>
      <c r="D329">
        <v>2032050345</v>
      </c>
      <c r="E329" t="s">
        <v>188</v>
      </c>
      <c r="F329" t="s">
        <v>189</v>
      </c>
      <c r="G329" t="s">
        <v>51</v>
      </c>
      <c r="H329" t="s">
        <v>64</v>
      </c>
      <c r="I329" t="s">
        <v>258</v>
      </c>
      <c r="J329" t="s">
        <v>259</v>
      </c>
      <c r="K329">
        <v>894525</v>
      </c>
      <c r="L329" t="s">
        <v>65</v>
      </c>
      <c r="M329" t="s">
        <v>66</v>
      </c>
      <c r="N329" t="s">
        <v>57</v>
      </c>
      <c r="O329" s="1">
        <v>46023</v>
      </c>
      <c r="Q329" s="1">
        <v>46054</v>
      </c>
      <c r="R329" s="2">
        <v>-42.1</v>
      </c>
      <c r="S329">
        <v>1</v>
      </c>
      <c r="T329" t="s">
        <v>58</v>
      </c>
      <c r="U329" t="s">
        <v>59</v>
      </c>
      <c r="V329" s="3">
        <v>0.38</v>
      </c>
      <c r="W329" s="2">
        <v>0</v>
      </c>
      <c r="X329">
        <v>-1</v>
      </c>
      <c r="Y329" t="s">
        <v>60</v>
      </c>
      <c r="Z329" t="s">
        <v>317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-16</v>
      </c>
      <c r="AN329" s="2">
        <v>-16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45985</v>
      </c>
      <c r="B330" t="s">
        <v>48</v>
      </c>
      <c r="C330">
        <v>649163</v>
      </c>
      <c r="D330">
        <v>2024464933</v>
      </c>
      <c r="E330" t="s">
        <v>551</v>
      </c>
      <c r="F330" t="s">
        <v>552</v>
      </c>
      <c r="G330" t="s">
        <v>51</v>
      </c>
      <c r="H330" t="s">
        <v>64</v>
      </c>
      <c r="I330" t="s">
        <v>553</v>
      </c>
      <c r="J330" t="s">
        <v>554</v>
      </c>
      <c r="K330">
        <v>766422</v>
      </c>
      <c r="L330" t="s">
        <v>430</v>
      </c>
      <c r="M330" t="s">
        <v>332</v>
      </c>
      <c r="N330" t="s">
        <v>57</v>
      </c>
      <c r="O330" s="1">
        <v>45527</v>
      </c>
      <c r="Q330" s="1">
        <v>46014</v>
      </c>
      <c r="R330" s="2">
        <v>114.17</v>
      </c>
      <c r="S330">
        <v>1</v>
      </c>
      <c r="T330" t="s">
        <v>58</v>
      </c>
      <c r="U330" t="s">
        <v>315</v>
      </c>
      <c r="V330" s="3">
        <v>0.26</v>
      </c>
      <c r="W330" s="2">
        <v>0</v>
      </c>
      <c r="X330">
        <v>0</v>
      </c>
      <c r="Y330" t="s">
        <v>316</v>
      </c>
      <c r="Z330" t="s">
        <v>317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29.68</v>
      </c>
      <c r="AN330" s="2">
        <v>29.68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45985</v>
      </c>
      <c r="B331" t="s">
        <v>48</v>
      </c>
      <c r="C331">
        <v>649163</v>
      </c>
      <c r="D331">
        <v>2016328596</v>
      </c>
      <c r="E331" t="s">
        <v>328</v>
      </c>
      <c r="F331" t="s">
        <v>329</v>
      </c>
      <c r="G331" t="s">
        <v>51</v>
      </c>
      <c r="H331" t="s">
        <v>330</v>
      </c>
      <c r="I331" t="s">
        <v>262</v>
      </c>
      <c r="J331" t="s">
        <v>265</v>
      </c>
      <c r="K331">
        <v>651818</v>
      </c>
      <c r="L331" t="s">
        <v>331</v>
      </c>
      <c r="M331" t="s">
        <v>332</v>
      </c>
      <c r="N331" t="s">
        <v>57</v>
      </c>
      <c r="O331" s="1">
        <v>44829</v>
      </c>
      <c r="Q331" s="1">
        <v>46016</v>
      </c>
      <c r="R331" s="2">
        <v>32.42</v>
      </c>
      <c r="S331">
        <v>1</v>
      </c>
      <c r="T331" t="s">
        <v>58</v>
      </c>
      <c r="U331" t="s">
        <v>315</v>
      </c>
      <c r="V331" s="3">
        <v>0.1</v>
      </c>
      <c r="W331" s="2">
        <v>0</v>
      </c>
      <c r="X331">
        <v>0</v>
      </c>
      <c r="Y331" t="s">
        <v>316</v>
      </c>
      <c r="Z331" t="s">
        <v>317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3.24</v>
      </c>
      <c r="AN331" s="2">
        <v>3.24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45985</v>
      </c>
      <c r="B332" t="s">
        <v>48</v>
      </c>
      <c r="C332">
        <v>649163</v>
      </c>
      <c r="D332">
        <v>2016875098</v>
      </c>
      <c r="E332" t="s">
        <v>555</v>
      </c>
      <c r="F332" t="s">
        <v>556</v>
      </c>
      <c r="G332" t="s">
        <v>51</v>
      </c>
      <c r="H332" t="s">
        <v>557</v>
      </c>
      <c r="I332" t="s">
        <v>262</v>
      </c>
      <c r="J332" t="s">
        <v>302</v>
      </c>
      <c r="K332">
        <v>652037</v>
      </c>
      <c r="L332" t="s">
        <v>97</v>
      </c>
      <c r="M332" t="s">
        <v>98</v>
      </c>
      <c r="N332" t="s">
        <v>57</v>
      </c>
      <c r="O332" s="1">
        <v>44887</v>
      </c>
      <c r="Q332" s="1">
        <v>46013</v>
      </c>
      <c r="R332" s="2">
        <v>93.84</v>
      </c>
      <c r="S332">
        <v>1</v>
      </c>
      <c r="T332" t="s">
        <v>58</v>
      </c>
      <c r="U332" t="s">
        <v>315</v>
      </c>
      <c r="V332" s="3">
        <v>0.09</v>
      </c>
      <c r="W332" s="2">
        <v>0</v>
      </c>
      <c r="X332">
        <v>0</v>
      </c>
      <c r="Y332" t="s">
        <v>316</v>
      </c>
      <c r="Z332" t="s">
        <v>317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8.4499999999999993</v>
      </c>
      <c r="AN332" s="2">
        <v>8.4499999999999993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45985</v>
      </c>
      <c r="B333" t="s">
        <v>48</v>
      </c>
      <c r="C333">
        <v>649163</v>
      </c>
      <c r="D333">
        <v>2017608417</v>
      </c>
      <c r="E333" t="s">
        <v>338</v>
      </c>
      <c r="F333" t="s">
        <v>242</v>
      </c>
      <c r="G333" t="s">
        <v>51</v>
      </c>
      <c r="H333" t="s">
        <v>345</v>
      </c>
      <c r="I333" t="s">
        <v>262</v>
      </c>
      <c r="J333" t="s">
        <v>265</v>
      </c>
      <c r="K333">
        <v>651818</v>
      </c>
      <c r="L333" t="s">
        <v>331</v>
      </c>
      <c r="M333" t="s">
        <v>332</v>
      </c>
      <c r="N333" t="s">
        <v>57</v>
      </c>
      <c r="O333" s="1">
        <v>44983</v>
      </c>
      <c r="Q333" s="1">
        <v>46017</v>
      </c>
      <c r="R333" s="2">
        <v>163.25</v>
      </c>
      <c r="S333">
        <v>1</v>
      </c>
      <c r="T333" t="s">
        <v>58</v>
      </c>
      <c r="U333" t="s">
        <v>315</v>
      </c>
      <c r="V333" s="3">
        <v>0.1</v>
      </c>
      <c r="W333" s="2">
        <v>0</v>
      </c>
      <c r="X333">
        <v>0</v>
      </c>
      <c r="Y333" t="s">
        <v>316</v>
      </c>
      <c r="Z333" t="s">
        <v>317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16.32</v>
      </c>
      <c r="AN333" s="2">
        <v>16.32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45985</v>
      </c>
      <c r="B334" t="s">
        <v>48</v>
      </c>
      <c r="C334">
        <v>649163</v>
      </c>
      <c r="D334">
        <v>2018107017</v>
      </c>
      <c r="E334" t="s">
        <v>558</v>
      </c>
      <c r="F334" t="s">
        <v>559</v>
      </c>
      <c r="G334" t="s">
        <v>51</v>
      </c>
      <c r="H334" t="s">
        <v>560</v>
      </c>
      <c r="I334" t="s">
        <v>262</v>
      </c>
      <c r="J334" t="s">
        <v>263</v>
      </c>
      <c r="K334">
        <v>673059</v>
      </c>
      <c r="L334" t="s">
        <v>70</v>
      </c>
      <c r="M334" t="s">
        <v>71</v>
      </c>
      <c r="N334" t="s">
        <v>57</v>
      </c>
      <c r="O334" s="1">
        <v>45012</v>
      </c>
      <c r="Q334" s="1">
        <v>46018</v>
      </c>
      <c r="R334" s="2">
        <v>35.369999999999997</v>
      </c>
      <c r="S334">
        <v>1</v>
      </c>
      <c r="T334" t="s">
        <v>58</v>
      </c>
      <c r="U334" t="s">
        <v>315</v>
      </c>
      <c r="V334" s="3">
        <v>0.15</v>
      </c>
      <c r="W334" s="2">
        <v>0</v>
      </c>
      <c r="X334">
        <v>0</v>
      </c>
      <c r="Y334" t="s">
        <v>316</v>
      </c>
      <c r="Z334" t="s">
        <v>317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5.31</v>
      </c>
      <c r="AN334" s="2">
        <v>5.31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45985</v>
      </c>
      <c r="B335" t="s">
        <v>48</v>
      </c>
      <c r="C335">
        <v>649163</v>
      </c>
      <c r="D335">
        <v>2018582687</v>
      </c>
      <c r="E335" t="s">
        <v>561</v>
      </c>
      <c r="F335" t="s">
        <v>170</v>
      </c>
      <c r="G335" t="s">
        <v>51</v>
      </c>
      <c r="H335" t="s">
        <v>105</v>
      </c>
      <c r="I335" t="s">
        <v>262</v>
      </c>
      <c r="J335" t="s">
        <v>263</v>
      </c>
      <c r="K335">
        <v>673059</v>
      </c>
      <c r="L335" t="s">
        <v>70</v>
      </c>
      <c r="M335" t="s">
        <v>71</v>
      </c>
      <c r="N335" t="s">
        <v>57</v>
      </c>
      <c r="O335" s="1">
        <v>45096</v>
      </c>
      <c r="Q335" s="1">
        <v>46010</v>
      </c>
      <c r="R335" s="2">
        <v>26.92</v>
      </c>
      <c r="S335">
        <v>1</v>
      </c>
      <c r="T335" t="s">
        <v>58</v>
      </c>
      <c r="U335" t="s">
        <v>315</v>
      </c>
      <c r="V335" s="3">
        <v>0.15</v>
      </c>
      <c r="W335" s="2">
        <v>0</v>
      </c>
      <c r="X335">
        <v>0</v>
      </c>
      <c r="Y335" t="s">
        <v>316</v>
      </c>
      <c r="Z335" t="s">
        <v>317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4.04</v>
      </c>
      <c r="AN335" s="2">
        <v>4.04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45985</v>
      </c>
      <c r="B336" t="s">
        <v>48</v>
      </c>
      <c r="C336">
        <v>649163</v>
      </c>
      <c r="D336">
        <v>2018582688</v>
      </c>
      <c r="E336" t="s">
        <v>561</v>
      </c>
      <c r="F336" t="s">
        <v>170</v>
      </c>
      <c r="G336" t="s">
        <v>51</v>
      </c>
      <c r="H336" t="s">
        <v>105</v>
      </c>
      <c r="I336" t="s">
        <v>262</v>
      </c>
      <c r="J336" t="s">
        <v>562</v>
      </c>
      <c r="K336">
        <v>673059</v>
      </c>
      <c r="L336" t="s">
        <v>70</v>
      </c>
      <c r="M336" t="s">
        <v>71</v>
      </c>
      <c r="N336" t="s">
        <v>57</v>
      </c>
      <c r="O336" s="1">
        <v>45096</v>
      </c>
      <c r="Q336" s="1">
        <v>46010</v>
      </c>
      <c r="R336" s="2">
        <v>20.58</v>
      </c>
      <c r="S336">
        <v>1</v>
      </c>
      <c r="T336" t="s">
        <v>58</v>
      </c>
      <c r="U336" t="s">
        <v>315</v>
      </c>
      <c r="V336" s="3">
        <v>0.15</v>
      </c>
      <c r="W336" s="2">
        <v>0</v>
      </c>
      <c r="X336">
        <v>0</v>
      </c>
      <c r="Y336" t="s">
        <v>316</v>
      </c>
      <c r="Z336" t="s">
        <v>317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3.09</v>
      </c>
      <c r="AN336" s="2">
        <v>3.09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45985</v>
      </c>
      <c r="B337" t="s">
        <v>48</v>
      </c>
      <c r="C337">
        <v>649163</v>
      </c>
      <c r="D337">
        <v>2019527580</v>
      </c>
      <c r="E337" t="s">
        <v>563</v>
      </c>
      <c r="F337" t="s">
        <v>564</v>
      </c>
      <c r="G337" t="s">
        <v>51</v>
      </c>
      <c r="H337" t="s">
        <v>208</v>
      </c>
      <c r="I337" t="s">
        <v>262</v>
      </c>
      <c r="J337" t="s">
        <v>265</v>
      </c>
      <c r="K337">
        <v>673059</v>
      </c>
      <c r="L337" t="s">
        <v>70</v>
      </c>
      <c r="M337" t="s">
        <v>71</v>
      </c>
      <c r="N337" t="s">
        <v>57</v>
      </c>
      <c r="O337" s="1">
        <v>45161</v>
      </c>
      <c r="Q337" s="1">
        <v>46014</v>
      </c>
      <c r="R337" s="2">
        <v>99.25</v>
      </c>
      <c r="S337">
        <v>1</v>
      </c>
      <c r="T337" t="s">
        <v>58</v>
      </c>
      <c r="U337" t="s">
        <v>315</v>
      </c>
      <c r="V337" s="3">
        <v>0.1</v>
      </c>
      <c r="W337" s="2">
        <v>0</v>
      </c>
      <c r="X337">
        <v>0</v>
      </c>
      <c r="Y337" t="s">
        <v>316</v>
      </c>
      <c r="Z337" t="s">
        <v>317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9.92</v>
      </c>
      <c r="AN337" s="2">
        <v>9.92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45985</v>
      </c>
      <c r="B338" t="s">
        <v>48</v>
      </c>
      <c r="C338">
        <v>649163</v>
      </c>
      <c r="D338">
        <v>2019665208</v>
      </c>
      <c r="E338" t="s">
        <v>246</v>
      </c>
      <c r="F338" t="s">
        <v>460</v>
      </c>
      <c r="G338" t="s">
        <v>51</v>
      </c>
      <c r="H338" t="s">
        <v>310</v>
      </c>
      <c r="I338" t="s">
        <v>262</v>
      </c>
      <c r="J338" t="s">
        <v>562</v>
      </c>
      <c r="K338">
        <v>673059</v>
      </c>
      <c r="L338" t="s">
        <v>70</v>
      </c>
      <c r="M338" t="s">
        <v>71</v>
      </c>
      <c r="N338" t="s">
        <v>57</v>
      </c>
      <c r="O338" s="1">
        <v>45192</v>
      </c>
      <c r="Q338" s="1">
        <v>46014</v>
      </c>
      <c r="R338" s="2">
        <v>8.3699999999999992</v>
      </c>
      <c r="S338">
        <v>1</v>
      </c>
      <c r="T338" t="s">
        <v>58</v>
      </c>
      <c r="U338" t="s">
        <v>315</v>
      </c>
      <c r="V338" s="3">
        <v>0.15</v>
      </c>
      <c r="W338" s="2">
        <v>0</v>
      </c>
      <c r="X338">
        <v>0</v>
      </c>
      <c r="Y338" t="s">
        <v>316</v>
      </c>
      <c r="Z338" t="s">
        <v>317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1.26</v>
      </c>
      <c r="AN338" s="2">
        <v>1.26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45985</v>
      </c>
      <c r="B339" t="s">
        <v>48</v>
      </c>
      <c r="C339">
        <v>649163</v>
      </c>
      <c r="D339">
        <v>2019665209</v>
      </c>
      <c r="E339" t="s">
        <v>246</v>
      </c>
      <c r="F339" t="s">
        <v>460</v>
      </c>
      <c r="G339" t="s">
        <v>51</v>
      </c>
      <c r="H339" t="s">
        <v>310</v>
      </c>
      <c r="I339" t="s">
        <v>262</v>
      </c>
      <c r="J339" t="s">
        <v>263</v>
      </c>
      <c r="K339">
        <v>673059</v>
      </c>
      <c r="L339" t="s">
        <v>70</v>
      </c>
      <c r="M339" t="s">
        <v>71</v>
      </c>
      <c r="N339" t="s">
        <v>57</v>
      </c>
      <c r="O339" s="1">
        <v>45192</v>
      </c>
      <c r="Q339" s="1">
        <v>46014</v>
      </c>
      <c r="R339" s="2">
        <v>62.38</v>
      </c>
      <c r="S339">
        <v>1</v>
      </c>
      <c r="T339" t="s">
        <v>58</v>
      </c>
      <c r="U339" t="s">
        <v>315</v>
      </c>
      <c r="V339" s="3">
        <v>0.15</v>
      </c>
      <c r="W339" s="2">
        <v>0</v>
      </c>
      <c r="X339">
        <v>0</v>
      </c>
      <c r="Y339" t="s">
        <v>316</v>
      </c>
      <c r="Z339" t="s">
        <v>317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9.36</v>
      </c>
      <c r="AN339" s="2">
        <v>9.36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45985</v>
      </c>
      <c r="B340" t="s">
        <v>48</v>
      </c>
      <c r="C340">
        <v>649163</v>
      </c>
      <c r="D340">
        <v>2020642766</v>
      </c>
      <c r="E340" t="s">
        <v>333</v>
      </c>
      <c r="F340" t="s">
        <v>334</v>
      </c>
      <c r="G340" t="s">
        <v>51</v>
      </c>
      <c r="H340" t="s">
        <v>335</v>
      </c>
      <c r="I340" t="s">
        <v>262</v>
      </c>
      <c r="J340" t="s">
        <v>265</v>
      </c>
      <c r="K340">
        <v>651818</v>
      </c>
      <c r="L340" t="s">
        <v>331</v>
      </c>
      <c r="M340" t="s">
        <v>332</v>
      </c>
      <c r="N340" t="s">
        <v>337</v>
      </c>
      <c r="O340" s="1">
        <v>45261</v>
      </c>
      <c r="P340" s="1">
        <v>45985</v>
      </c>
      <c r="Q340" s="1">
        <v>45992</v>
      </c>
      <c r="R340" s="2">
        <v>-43.01</v>
      </c>
      <c r="S340">
        <v>1</v>
      </c>
      <c r="T340" t="s">
        <v>58</v>
      </c>
      <c r="U340" t="s">
        <v>315</v>
      </c>
      <c r="V340" s="3">
        <v>0.1</v>
      </c>
      <c r="W340" s="2">
        <v>0</v>
      </c>
      <c r="X340">
        <v>-1</v>
      </c>
      <c r="Y340" t="s">
        <v>316</v>
      </c>
      <c r="Z340" t="s">
        <v>317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-4.3</v>
      </c>
      <c r="AN340" s="2">
        <v>-4.3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45985</v>
      </c>
      <c r="B341" t="s">
        <v>48</v>
      </c>
      <c r="C341">
        <v>649163</v>
      </c>
      <c r="D341">
        <v>2021939084</v>
      </c>
      <c r="E341" t="s">
        <v>565</v>
      </c>
      <c r="F341" t="s">
        <v>566</v>
      </c>
      <c r="G341" t="s">
        <v>51</v>
      </c>
      <c r="H341" t="s">
        <v>310</v>
      </c>
      <c r="I341" t="s">
        <v>262</v>
      </c>
      <c r="J341" t="s">
        <v>562</v>
      </c>
      <c r="K341">
        <v>673059</v>
      </c>
      <c r="L341" t="s">
        <v>70</v>
      </c>
      <c r="M341" t="s">
        <v>71</v>
      </c>
      <c r="N341" t="s">
        <v>57</v>
      </c>
      <c r="O341" s="1">
        <v>45346</v>
      </c>
      <c r="Q341" s="1">
        <v>46015</v>
      </c>
      <c r="R341" s="2">
        <v>8.3699999999999992</v>
      </c>
      <c r="S341">
        <v>1</v>
      </c>
      <c r="T341" t="s">
        <v>58</v>
      </c>
      <c r="U341" t="s">
        <v>315</v>
      </c>
      <c r="V341" s="3">
        <v>0.15</v>
      </c>
      <c r="W341" s="2">
        <v>0</v>
      </c>
      <c r="X341">
        <v>0</v>
      </c>
      <c r="Y341" t="s">
        <v>316</v>
      </c>
      <c r="Z341" t="s">
        <v>317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1.26</v>
      </c>
      <c r="AN341" s="2">
        <v>1.26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45985</v>
      </c>
      <c r="B342" t="s">
        <v>48</v>
      </c>
      <c r="C342">
        <v>649163</v>
      </c>
      <c r="D342">
        <v>2022085303</v>
      </c>
      <c r="E342" t="s">
        <v>567</v>
      </c>
      <c r="F342" t="s">
        <v>568</v>
      </c>
      <c r="G342" t="s">
        <v>51</v>
      </c>
      <c r="H342" t="s">
        <v>129</v>
      </c>
      <c r="I342" t="s">
        <v>262</v>
      </c>
      <c r="J342" t="s">
        <v>263</v>
      </c>
      <c r="K342">
        <v>673059</v>
      </c>
      <c r="L342" t="s">
        <v>70</v>
      </c>
      <c r="M342" t="s">
        <v>71</v>
      </c>
      <c r="N342" t="s">
        <v>57</v>
      </c>
      <c r="O342" s="1">
        <v>45374</v>
      </c>
      <c r="Q342" s="1">
        <v>46014</v>
      </c>
      <c r="R342" s="2">
        <v>159</v>
      </c>
      <c r="S342">
        <v>1</v>
      </c>
      <c r="T342" t="s">
        <v>58</v>
      </c>
      <c r="U342" t="s">
        <v>315</v>
      </c>
      <c r="V342" s="3">
        <v>0.15</v>
      </c>
      <c r="W342" s="2">
        <v>0</v>
      </c>
      <c r="X342">
        <v>0</v>
      </c>
      <c r="Y342" t="s">
        <v>316</v>
      </c>
      <c r="Z342" t="s">
        <v>317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23.85</v>
      </c>
      <c r="AN342" s="2">
        <v>23.85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45985</v>
      </c>
      <c r="B343" t="s">
        <v>48</v>
      </c>
      <c r="C343">
        <v>649163</v>
      </c>
      <c r="D343">
        <v>2022148752</v>
      </c>
      <c r="E343" t="s">
        <v>569</v>
      </c>
      <c r="F343" t="s">
        <v>570</v>
      </c>
      <c r="G343" t="s">
        <v>51</v>
      </c>
      <c r="H343" t="s">
        <v>335</v>
      </c>
      <c r="I343" t="s">
        <v>262</v>
      </c>
      <c r="J343" t="s">
        <v>265</v>
      </c>
      <c r="K343">
        <v>651818</v>
      </c>
      <c r="L343" t="s">
        <v>331</v>
      </c>
      <c r="M343" t="s">
        <v>332</v>
      </c>
      <c r="N343" t="s">
        <v>57</v>
      </c>
      <c r="O343" s="1">
        <v>45377</v>
      </c>
      <c r="Q343" s="1">
        <v>46017</v>
      </c>
      <c r="R343" s="2">
        <v>51.31</v>
      </c>
      <c r="S343">
        <v>1</v>
      </c>
      <c r="T343" t="s">
        <v>58</v>
      </c>
      <c r="U343" t="s">
        <v>315</v>
      </c>
      <c r="V343" s="3">
        <v>0.1</v>
      </c>
      <c r="W343" s="2">
        <v>0</v>
      </c>
      <c r="X343">
        <v>0</v>
      </c>
      <c r="Y343" t="s">
        <v>316</v>
      </c>
      <c r="Z343" t="s">
        <v>317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5.13</v>
      </c>
      <c r="AN343" s="2">
        <v>5.13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45985</v>
      </c>
      <c r="B344" t="s">
        <v>48</v>
      </c>
      <c r="C344">
        <v>649163</v>
      </c>
      <c r="D344">
        <v>2022371779</v>
      </c>
      <c r="E344" t="s">
        <v>437</v>
      </c>
      <c r="F344" t="s">
        <v>470</v>
      </c>
      <c r="G344" t="s">
        <v>51</v>
      </c>
      <c r="H344" t="s">
        <v>105</v>
      </c>
      <c r="I344" t="s">
        <v>262</v>
      </c>
      <c r="J344" t="s">
        <v>263</v>
      </c>
      <c r="K344">
        <v>673059</v>
      </c>
      <c r="L344" t="s">
        <v>70</v>
      </c>
      <c r="M344" t="s">
        <v>71</v>
      </c>
      <c r="N344" t="s">
        <v>337</v>
      </c>
      <c r="O344" s="1">
        <v>45383</v>
      </c>
      <c r="P344" s="1">
        <v>45985</v>
      </c>
      <c r="Q344" s="1">
        <v>45992</v>
      </c>
      <c r="R344" s="2">
        <v>-56.22</v>
      </c>
      <c r="S344">
        <v>1</v>
      </c>
      <c r="T344" t="s">
        <v>58</v>
      </c>
      <c r="U344" t="s">
        <v>315</v>
      </c>
      <c r="V344" s="3">
        <v>0.15</v>
      </c>
      <c r="W344" s="2">
        <v>0</v>
      </c>
      <c r="X344">
        <v>-1</v>
      </c>
      <c r="Y344" t="s">
        <v>316</v>
      </c>
      <c r="Z344" t="s">
        <v>317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-8.43</v>
      </c>
      <c r="AN344" s="2">
        <v>-8.43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45985</v>
      </c>
      <c r="B345" t="s">
        <v>48</v>
      </c>
      <c r="C345">
        <v>649163</v>
      </c>
      <c r="D345">
        <v>2022371781</v>
      </c>
      <c r="E345" t="s">
        <v>437</v>
      </c>
      <c r="F345" t="s">
        <v>470</v>
      </c>
      <c r="G345" t="s">
        <v>51</v>
      </c>
      <c r="H345" t="s">
        <v>105</v>
      </c>
      <c r="I345" t="s">
        <v>262</v>
      </c>
      <c r="J345" t="s">
        <v>562</v>
      </c>
      <c r="K345">
        <v>673059</v>
      </c>
      <c r="L345" t="s">
        <v>70</v>
      </c>
      <c r="M345" t="s">
        <v>71</v>
      </c>
      <c r="N345" t="s">
        <v>337</v>
      </c>
      <c r="O345" s="1">
        <v>45383</v>
      </c>
      <c r="P345" s="1">
        <v>45985</v>
      </c>
      <c r="Q345" s="1">
        <v>45992</v>
      </c>
      <c r="R345" s="2">
        <v>-15.44</v>
      </c>
      <c r="S345">
        <v>1</v>
      </c>
      <c r="T345" t="s">
        <v>58</v>
      </c>
      <c r="U345" t="s">
        <v>315</v>
      </c>
      <c r="V345" s="3">
        <v>0.15</v>
      </c>
      <c r="W345" s="2">
        <v>0</v>
      </c>
      <c r="X345">
        <v>-1</v>
      </c>
      <c r="Y345" t="s">
        <v>316</v>
      </c>
      <c r="Z345" t="s">
        <v>317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-2.3199999999999998</v>
      </c>
      <c r="AN345" s="2">
        <v>-2.3199999999999998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45985</v>
      </c>
      <c r="B346" t="s">
        <v>48</v>
      </c>
      <c r="C346">
        <v>649163</v>
      </c>
      <c r="D346">
        <v>2023233681</v>
      </c>
      <c r="E346" t="s">
        <v>475</v>
      </c>
      <c r="F346" t="s">
        <v>476</v>
      </c>
      <c r="G346" t="s">
        <v>51</v>
      </c>
      <c r="H346" t="s">
        <v>64</v>
      </c>
      <c r="I346" t="s">
        <v>262</v>
      </c>
      <c r="J346" t="s">
        <v>263</v>
      </c>
      <c r="K346">
        <v>757719</v>
      </c>
      <c r="L346" t="s">
        <v>209</v>
      </c>
      <c r="M346" t="s">
        <v>477</v>
      </c>
      <c r="N346" t="s">
        <v>57</v>
      </c>
      <c r="O346" s="1">
        <v>45436</v>
      </c>
      <c r="Q346" s="1">
        <v>46015</v>
      </c>
      <c r="R346" s="2">
        <v>47.71</v>
      </c>
      <c r="S346">
        <v>1</v>
      </c>
      <c r="T346" t="s">
        <v>58</v>
      </c>
      <c r="U346" t="s">
        <v>315</v>
      </c>
      <c r="V346" s="3">
        <v>0.15</v>
      </c>
      <c r="W346" s="2">
        <v>0</v>
      </c>
      <c r="X346">
        <v>0</v>
      </c>
      <c r="Y346" t="s">
        <v>316</v>
      </c>
      <c r="Z346" t="s">
        <v>317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7.16</v>
      </c>
      <c r="AN346" s="2">
        <v>7.16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45985</v>
      </c>
      <c r="B347" t="s">
        <v>48</v>
      </c>
      <c r="C347">
        <v>649163</v>
      </c>
      <c r="D347">
        <v>2024487768</v>
      </c>
      <c r="E347" t="s">
        <v>571</v>
      </c>
      <c r="F347" t="s">
        <v>572</v>
      </c>
      <c r="G347" t="s">
        <v>51</v>
      </c>
      <c r="H347" t="s">
        <v>64</v>
      </c>
      <c r="I347" t="s">
        <v>262</v>
      </c>
      <c r="J347" t="s">
        <v>263</v>
      </c>
      <c r="K347">
        <v>757039</v>
      </c>
      <c r="L347" t="s">
        <v>571</v>
      </c>
      <c r="M347" t="s">
        <v>329</v>
      </c>
      <c r="N347" t="s">
        <v>57</v>
      </c>
      <c r="O347" s="1">
        <v>45526</v>
      </c>
      <c r="Q347" s="1">
        <v>46013</v>
      </c>
      <c r="R347" s="2">
        <v>49.8</v>
      </c>
      <c r="S347">
        <v>1</v>
      </c>
      <c r="T347" t="s">
        <v>58</v>
      </c>
      <c r="U347" t="s">
        <v>315</v>
      </c>
      <c r="V347" s="3">
        <v>0.15</v>
      </c>
      <c r="W347" s="2">
        <v>0</v>
      </c>
      <c r="X347">
        <v>0</v>
      </c>
      <c r="Y347" t="s">
        <v>316</v>
      </c>
      <c r="Z347" t="s">
        <v>317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7.47</v>
      </c>
      <c r="AN347" s="2">
        <v>7.47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45985</v>
      </c>
      <c r="B348" t="s">
        <v>48</v>
      </c>
      <c r="C348">
        <v>649163</v>
      </c>
      <c r="D348">
        <v>2024569206</v>
      </c>
      <c r="E348" t="s">
        <v>481</v>
      </c>
      <c r="F348" t="s">
        <v>482</v>
      </c>
      <c r="G348" t="s">
        <v>51</v>
      </c>
      <c r="H348" t="s">
        <v>483</v>
      </c>
      <c r="I348" t="s">
        <v>262</v>
      </c>
      <c r="J348" t="s">
        <v>263</v>
      </c>
      <c r="K348">
        <v>649247</v>
      </c>
      <c r="L348" t="s">
        <v>468</v>
      </c>
      <c r="M348" t="s">
        <v>469</v>
      </c>
      <c r="N348" t="s">
        <v>57</v>
      </c>
      <c r="O348" s="1">
        <v>45531</v>
      </c>
      <c r="Q348" s="1">
        <v>46018</v>
      </c>
      <c r="R348" s="2">
        <v>10.82</v>
      </c>
      <c r="S348">
        <v>1</v>
      </c>
      <c r="T348" t="s">
        <v>58</v>
      </c>
      <c r="U348" t="s">
        <v>315</v>
      </c>
      <c r="V348" s="3">
        <v>0.15</v>
      </c>
      <c r="W348" s="2">
        <v>0</v>
      </c>
      <c r="X348">
        <v>0</v>
      </c>
      <c r="Y348" t="s">
        <v>316</v>
      </c>
      <c r="Z348" t="s">
        <v>317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1.62</v>
      </c>
      <c r="AN348" s="2">
        <v>1.62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45985</v>
      </c>
      <c r="B349" t="s">
        <v>48</v>
      </c>
      <c r="C349">
        <v>649163</v>
      </c>
      <c r="D349">
        <v>2024984937</v>
      </c>
      <c r="E349" t="s">
        <v>573</v>
      </c>
      <c r="F349" t="s">
        <v>278</v>
      </c>
      <c r="G349" t="s">
        <v>51</v>
      </c>
      <c r="H349" t="s">
        <v>64</v>
      </c>
      <c r="I349" t="s">
        <v>262</v>
      </c>
      <c r="J349" t="s">
        <v>263</v>
      </c>
      <c r="K349">
        <v>673059</v>
      </c>
      <c r="L349" t="s">
        <v>70</v>
      </c>
      <c r="M349" t="s">
        <v>71</v>
      </c>
      <c r="N349" t="s">
        <v>57</v>
      </c>
      <c r="O349" s="1">
        <v>45575</v>
      </c>
      <c r="Q349" s="1">
        <v>46001</v>
      </c>
      <c r="R349" s="2">
        <v>-29.42</v>
      </c>
      <c r="S349">
        <v>1</v>
      </c>
      <c r="T349" t="s">
        <v>58</v>
      </c>
      <c r="U349" t="s">
        <v>315</v>
      </c>
      <c r="V349" s="3">
        <v>0.15</v>
      </c>
      <c r="W349" s="2">
        <v>0</v>
      </c>
      <c r="X349">
        <v>-1</v>
      </c>
      <c r="Y349" t="s">
        <v>316</v>
      </c>
      <c r="Z349" t="s">
        <v>317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-4.41</v>
      </c>
      <c r="AN349" s="2">
        <v>-4.41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45985</v>
      </c>
      <c r="B350" t="s">
        <v>48</v>
      </c>
      <c r="C350">
        <v>649163</v>
      </c>
      <c r="D350">
        <v>2025022512</v>
      </c>
      <c r="E350" t="s">
        <v>231</v>
      </c>
      <c r="F350" t="s">
        <v>232</v>
      </c>
      <c r="G350" t="s">
        <v>51</v>
      </c>
      <c r="H350" t="s">
        <v>64</v>
      </c>
      <c r="I350" t="s">
        <v>262</v>
      </c>
      <c r="J350" t="s">
        <v>263</v>
      </c>
      <c r="K350">
        <v>768887</v>
      </c>
      <c r="L350" t="s">
        <v>231</v>
      </c>
      <c r="M350" t="s">
        <v>232</v>
      </c>
      <c r="N350" t="s">
        <v>57</v>
      </c>
      <c r="O350" s="1">
        <v>45561</v>
      </c>
      <c r="Q350" s="1">
        <v>46017</v>
      </c>
      <c r="R350" s="2">
        <v>122.22</v>
      </c>
      <c r="S350">
        <v>1</v>
      </c>
      <c r="T350" t="s">
        <v>58</v>
      </c>
      <c r="U350" t="s">
        <v>315</v>
      </c>
      <c r="V350" s="3">
        <v>0.15</v>
      </c>
      <c r="W350" s="2">
        <v>0</v>
      </c>
      <c r="X350">
        <v>0</v>
      </c>
      <c r="Y350" t="s">
        <v>316</v>
      </c>
      <c r="Z350" t="s">
        <v>317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18.329999999999998</v>
      </c>
      <c r="AN350" s="2">
        <v>18.329999999999998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45985</v>
      </c>
      <c r="B351" t="s">
        <v>48</v>
      </c>
      <c r="C351">
        <v>649163</v>
      </c>
      <c r="D351">
        <v>2025167144</v>
      </c>
      <c r="E351" t="s">
        <v>574</v>
      </c>
      <c r="F351" t="s">
        <v>575</v>
      </c>
      <c r="G351" t="s">
        <v>51</v>
      </c>
      <c r="H351" t="s">
        <v>135</v>
      </c>
      <c r="I351" t="s">
        <v>262</v>
      </c>
      <c r="J351" t="s">
        <v>263</v>
      </c>
      <c r="K351">
        <v>767312</v>
      </c>
      <c r="L351" t="s">
        <v>156</v>
      </c>
      <c r="M351" t="s">
        <v>157</v>
      </c>
      <c r="N351" t="s">
        <v>337</v>
      </c>
      <c r="O351" s="1">
        <v>45581</v>
      </c>
      <c r="P351" s="1">
        <v>45985</v>
      </c>
      <c r="Q351" s="1">
        <v>46007</v>
      </c>
      <c r="R351" s="2">
        <v>-68.61</v>
      </c>
      <c r="S351">
        <v>1</v>
      </c>
      <c r="T351" t="s">
        <v>58</v>
      </c>
      <c r="U351" t="s">
        <v>315</v>
      </c>
      <c r="V351" s="3">
        <v>0.15</v>
      </c>
      <c r="W351" s="2">
        <v>0</v>
      </c>
      <c r="X351">
        <v>-1</v>
      </c>
      <c r="Y351" t="s">
        <v>316</v>
      </c>
      <c r="Z351" t="s">
        <v>317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-10.29</v>
      </c>
      <c r="AN351" s="2">
        <v>-10.29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45985</v>
      </c>
      <c r="B352" t="s">
        <v>48</v>
      </c>
      <c r="C352">
        <v>649163</v>
      </c>
      <c r="D352">
        <v>2025418184</v>
      </c>
      <c r="E352" t="s">
        <v>576</v>
      </c>
      <c r="F352" t="s">
        <v>577</v>
      </c>
      <c r="G352" t="s">
        <v>51</v>
      </c>
      <c r="H352" t="s">
        <v>64</v>
      </c>
      <c r="I352" t="s">
        <v>262</v>
      </c>
      <c r="J352" t="s">
        <v>263</v>
      </c>
      <c r="K352">
        <v>807212</v>
      </c>
      <c r="L352" t="s">
        <v>498</v>
      </c>
      <c r="M352" t="s">
        <v>499</v>
      </c>
      <c r="N352" t="s">
        <v>57</v>
      </c>
      <c r="O352" s="1">
        <v>45587</v>
      </c>
      <c r="Q352" s="1">
        <v>46013</v>
      </c>
      <c r="R352" s="2">
        <v>11.5</v>
      </c>
      <c r="S352">
        <v>1</v>
      </c>
      <c r="T352" t="s">
        <v>58</v>
      </c>
      <c r="U352" t="s">
        <v>315</v>
      </c>
      <c r="V352" s="3">
        <v>0.15</v>
      </c>
      <c r="W352" s="2">
        <v>0</v>
      </c>
      <c r="X352">
        <v>0</v>
      </c>
      <c r="Y352" t="s">
        <v>316</v>
      </c>
      <c r="Z352" t="s">
        <v>317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1.72</v>
      </c>
      <c r="AN352" s="2">
        <v>1.72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45985</v>
      </c>
      <c r="B353" t="s">
        <v>48</v>
      </c>
      <c r="C353">
        <v>649163</v>
      </c>
      <c r="D353">
        <v>2025432387</v>
      </c>
      <c r="E353" t="s">
        <v>578</v>
      </c>
      <c r="F353" t="s">
        <v>579</v>
      </c>
      <c r="G353" t="s">
        <v>51</v>
      </c>
      <c r="H353" t="s">
        <v>135</v>
      </c>
      <c r="I353" t="s">
        <v>262</v>
      </c>
      <c r="J353" t="s">
        <v>265</v>
      </c>
      <c r="K353">
        <v>767312</v>
      </c>
      <c r="L353" t="s">
        <v>156</v>
      </c>
      <c r="M353" t="s">
        <v>157</v>
      </c>
      <c r="N353" t="s">
        <v>57</v>
      </c>
      <c r="O353" s="1">
        <v>45588</v>
      </c>
      <c r="Q353" s="1">
        <v>46014</v>
      </c>
      <c r="R353" s="2">
        <v>31.17</v>
      </c>
      <c r="S353">
        <v>1</v>
      </c>
      <c r="T353" t="s">
        <v>58</v>
      </c>
      <c r="U353" t="s">
        <v>315</v>
      </c>
      <c r="V353" s="3">
        <v>0.1</v>
      </c>
      <c r="W353" s="2">
        <v>0</v>
      </c>
      <c r="X353">
        <v>0</v>
      </c>
      <c r="Y353" t="s">
        <v>316</v>
      </c>
      <c r="Z353" t="s">
        <v>317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3.12</v>
      </c>
      <c r="AN353" s="2">
        <v>3.12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45985</v>
      </c>
      <c r="B354" t="s">
        <v>48</v>
      </c>
      <c r="C354">
        <v>649163</v>
      </c>
      <c r="D354">
        <v>2025676065</v>
      </c>
      <c r="E354" t="s">
        <v>580</v>
      </c>
      <c r="F354" t="s">
        <v>581</v>
      </c>
      <c r="G354" t="s">
        <v>51</v>
      </c>
      <c r="H354" t="s">
        <v>64</v>
      </c>
      <c r="I354" t="s">
        <v>262</v>
      </c>
      <c r="J354" t="s">
        <v>263</v>
      </c>
      <c r="K354">
        <v>766747</v>
      </c>
      <c r="L354" t="s">
        <v>122</v>
      </c>
      <c r="M354" t="s">
        <v>123</v>
      </c>
      <c r="N354" t="s">
        <v>337</v>
      </c>
      <c r="O354" s="1">
        <v>45658</v>
      </c>
      <c r="P354" s="1">
        <v>45985</v>
      </c>
      <c r="Q354" s="1">
        <v>45992</v>
      </c>
      <c r="R354" s="2">
        <v>-125.67</v>
      </c>
      <c r="S354">
        <v>1</v>
      </c>
      <c r="T354" t="s">
        <v>58</v>
      </c>
      <c r="U354" t="s">
        <v>315</v>
      </c>
      <c r="V354" s="3">
        <v>0.7</v>
      </c>
      <c r="W354" s="2">
        <v>0</v>
      </c>
      <c r="X354">
        <v>-1</v>
      </c>
      <c r="Y354" t="s">
        <v>60</v>
      </c>
      <c r="Z354" t="s">
        <v>317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-87.97</v>
      </c>
      <c r="AN354" s="2">
        <v>-87.97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45985</v>
      </c>
      <c r="B355" t="s">
        <v>48</v>
      </c>
      <c r="C355">
        <v>649163</v>
      </c>
      <c r="D355">
        <v>2025708571</v>
      </c>
      <c r="E355" t="s">
        <v>582</v>
      </c>
      <c r="F355" t="s">
        <v>472</v>
      </c>
      <c r="G355" t="s">
        <v>51</v>
      </c>
      <c r="H355" t="s">
        <v>64</v>
      </c>
      <c r="I355" t="s">
        <v>262</v>
      </c>
      <c r="J355" t="s">
        <v>265</v>
      </c>
      <c r="K355">
        <v>651818</v>
      </c>
      <c r="L355" t="s">
        <v>331</v>
      </c>
      <c r="M355" t="s">
        <v>332</v>
      </c>
      <c r="N355" t="s">
        <v>337</v>
      </c>
      <c r="O355" s="1">
        <v>45664</v>
      </c>
      <c r="P355" s="1">
        <v>45985</v>
      </c>
      <c r="Q355" s="1">
        <v>45998</v>
      </c>
      <c r="R355" s="2">
        <v>-78.75</v>
      </c>
      <c r="S355">
        <v>1</v>
      </c>
      <c r="T355" t="s">
        <v>58</v>
      </c>
      <c r="U355" t="s">
        <v>315</v>
      </c>
      <c r="V355" s="3">
        <v>0.9</v>
      </c>
      <c r="W355" s="2">
        <v>0</v>
      </c>
      <c r="X355">
        <v>-1</v>
      </c>
      <c r="Y355" t="s">
        <v>60</v>
      </c>
      <c r="Z355" t="s">
        <v>317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-70.88</v>
      </c>
      <c r="AN355" s="2">
        <v>-70.88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45985</v>
      </c>
      <c r="B356" t="s">
        <v>48</v>
      </c>
      <c r="C356">
        <v>649163</v>
      </c>
      <c r="D356">
        <v>2025895058</v>
      </c>
      <c r="E356" t="s">
        <v>583</v>
      </c>
      <c r="F356" t="s">
        <v>584</v>
      </c>
      <c r="G356" t="s">
        <v>51</v>
      </c>
      <c r="H356" t="s">
        <v>64</v>
      </c>
      <c r="I356" t="s">
        <v>262</v>
      </c>
      <c r="J356" t="s">
        <v>263</v>
      </c>
      <c r="K356">
        <v>807212</v>
      </c>
      <c r="L356" t="s">
        <v>498</v>
      </c>
      <c r="M356" t="s">
        <v>499</v>
      </c>
      <c r="N356" t="s">
        <v>57</v>
      </c>
      <c r="O356" s="1">
        <v>45619</v>
      </c>
      <c r="Q356" s="1">
        <v>46014</v>
      </c>
      <c r="R356" s="2">
        <v>49.92</v>
      </c>
      <c r="S356">
        <v>1</v>
      </c>
      <c r="T356" t="s">
        <v>58</v>
      </c>
      <c r="U356" t="s">
        <v>315</v>
      </c>
      <c r="V356" s="3">
        <v>0.15</v>
      </c>
      <c r="W356" s="2">
        <v>0</v>
      </c>
      <c r="X356">
        <v>0</v>
      </c>
      <c r="Y356" t="s">
        <v>316</v>
      </c>
      <c r="Z356" t="s">
        <v>317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7.49</v>
      </c>
      <c r="AN356" s="2">
        <v>7.49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45985</v>
      </c>
      <c r="B357" t="s">
        <v>48</v>
      </c>
      <c r="C357">
        <v>649163</v>
      </c>
      <c r="D357">
        <v>2025961561</v>
      </c>
      <c r="E357" t="s">
        <v>585</v>
      </c>
      <c r="F357" t="s">
        <v>586</v>
      </c>
      <c r="G357" t="s">
        <v>51</v>
      </c>
      <c r="H357" t="s">
        <v>64</v>
      </c>
      <c r="I357" t="s">
        <v>262</v>
      </c>
      <c r="J357" t="s">
        <v>263</v>
      </c>
      <c r="K357">
        <v>807212</v>
      </c>
      <c r="L357" t="s">
        <v>498</v>
      </c>
      <c r="M357" t="s">
        <v>499</v>
      </c>
      <c r="N357" t="s">
        <v>57</v>
      </c>
      <c r="O357" s="1">
        <v>45624</v>
      </c>
      <c r="Q357" s="1">
        <v>46019</v>
      </c>
      <c r="R357" s="2">
        <v>102.7</v>
      </c>
      <c r="S357">
        <v>1</v>
      </c>
      <c r="T357" t="s">
        <v>58</v>
      </c>
      <c r="U357" t="s">
        <v>315</v>
      </c>
      <c r="V357" s="3">
        <v>0.15</v>
      </c>
      <c r="W357" s="2">
        <v>0</v>
      </c>
      <c r="X357">
        <v>0</v>
      </c>
      <c r="Y357" t="s">
        <v>316</v>
      </c>
      <c r="Z357" t="s">
        <v>317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15.4</v>
      </c>
      <c r="AN357" s="2">
        <v>15.4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45985</v>
      </c>
      <c r="B358" t="s">
        <v>48</v>
      </c>
      <c r="C358">
        <v>649163</v>
      </c>
      <c r="D358">
        <v>2026293121</v>
      </c>
      <c r="E358" t="s">
        <v>587</v>
      </c>
      <c r="F358" t="s">
        <v>588</v>
      </c>
      <c r="G358" t="s">
        <v>51</v>
      </c>
      <c r="H358" t="s">
        <v>64</v>
      </c>
      <c r="I358" t="s">
        <v>262</v>
      </c>
      <c r="J358" t="s">
        <v>263</v>
      </c>
      <c r="K358">
        <v>757719</v>
      </c>
      <c r="L358" t="s">
        <v>209</v>
      </c>
      <c r="M358" t="s">
        <v>477</v>
      </c>
      <c r="N358" t="s">
        <v>57</v>
      </c>
      <c r="O358" s="1">
        <v>45650</v>
      </c>
      <c r="Q358" s="1">
        <v>46015</v>
      </c>
      <c r="R358" s="2">
        <v>88.96</v>
      </c>
      <c r="S358">
        <v>1</v>
      </c>
      <c r="T358" t="s">
        <v>58</v>
      </c>
      <c r="U358" t="s">
        <v>315</v>
      </c>
      <c r="V358" s="3">
        <v>0.7</v>
      </c>
      <c r="W358" s="2">
        <v>0</v>
      </c>
      <c r="X358">
        <v>0</v>
      </c>
      <c r="Y358" t="s">
        <v>60</v>
      </c>
      <c r="Z358" t="s">
        <v>317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62.27</v>
      </c>
      <c r="AN358" s="2">
        <v>62.27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45985</v>
      </c>
      <c r="B359" t="s">
        <v>48</v>
      </c>
      <c r="C359">
        <v>649163</v>
      </c>
      <c r="D359">
        <v>2026295209</v>
      </c>
      <c r="E359" t="s">
        <v>349</v>
      </c>
      <c r="F359" t="s">
        <v>216</v>
      </c>
      <c r="G359" t="s">
        <v>51</v>
      </c>
      <c r="H359" t="s">
        <v>109</v>
      </c>
      <c r="I359" t="s">
        <v>262</v>
      </c>
      <c r="J359" t="s">
        <v>263</v>
      </c>
      <c r="K359">
        <v>816021</v>
      </c>
      <c r="L359" t="s">
        <v>111</v>
      </c>
      <c r="M359" t="s">
        <v>112</v>
      </c>
      <c r="N359" t="s">
        <v>57</v>
      </c>
      <c r="O359" s="1">
        <v>45650</v>
      </c>
      <c r="Q359" s="1">
        <v>46015</v>
      </c>
      <c r="R359" s="2">
        <v>18.28</v>
      </c>
      <c r="S359">
        <v>1</v>
      </c>
      <c r="T359" t="s">
        <v>58</v>
      </c>
      <c r="U359" t="s">
        <v>315</v>
      </c>
      <c r="V359" s="3">
        <v>0.7</v>
      </c>
      <c r="W359" s="2">
        <v>0</v>
      </c>
      <c r="X359">
        <v>0</v>
      </c>
      <c r="Y359" t="s">
        <v>60</v>
      </c>
      <c r="Z359" t="s">
        <v>317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12.8</v>
      </c>
      <c r="AN359" s="2">
        <v>12.8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45985</v>
      </c>
      <c r="B360" t="s">
        <v>48</v>
      </c>
      <c r="C360">
        <v>649163</v>
      </c>
      <c r="D360">
        <v>2026295210</v>
      </c>
      <c r="E360" t="s">
        <v>349</v>
      </c>
      <c r="F360" t="s">
        <v>216</v>
      </c>
      <c r="G360" t="s">
        <v>51</v>
      </c>
      <c r="H360" t="s">
        <v>109</v>
      </c>
      <c r="I360" t="s">
        <v>262</v>
      </c>
      <c r="J360" t="s">
        <v>562</v>
      </c>
      <c r="K360">
        <v>816021</v>
      </c>
      <c r="L360" t="s">
        <v>111</v>
      </c>
      <c r="M360" t="s">
        <v>112</v>
      </c>
      <c r="N360" t="s">
        <v>57</v>
      </c>
      <c r="O360" s="1">
        <v>45650</v>
      </c>
      <c r="Q360" s="1">
        <v>46015</v>
      </c>
      <c r="R360" s="2">
        <v>14.65</v>
      </c>
      <c r="S360">
        <v>1</v>
      </c>
      <c r="T360" t="s">
        <v>58</v>
      </c>
      <c r="U360" t="s">
        <v>315</v>
      </c>
      <c r="V360" s="3">
        <v>0.7</v>
      </c>
      <c r="W360" s="2">
        <v>0</v>
      </c>
      <c r="X360">
        <v>0</v>
      </c>
      <c r="Y360" t="s">
        <v>60</v>
      </c>
      <c r="Z360" t="s">
        <v>317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10.26</v>
      </c>
      <c r="AN360" s="2">
        <v>10.26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45985</v>
      </c>
      <c r="B361" t="s">
        <v>48</v>
      </c>
      <c r="C361">
        <v>649163</v>
      </c>
      <c r="D361">
        <v>2026341991</v>
      </c>
      <c r="E361" t="s">
        <v>589</v>
      </c>
      <c r="F361" t="s">
        <v>590</v>
      </c>
      <c r="G361" t="s">
        <v>51</v>
      </c>
      <c r="H361" t="s">
        <v>64</v>
      </c>
      <c r="I361" t="s">
        <v>262</v>
      </c>
      <c r="J361" t="s">
        <v>263</v>
      </c>
      <c r="K361">
        <v>807212</v>
      </c>
      <c r="L361" t="s">
        <v>498</v>
      </c>
      <c r="M361" t="s">
        <v>499</v>
      </c>
      <c r="N361" t="s">
        <v>57</v>
      </c>
      <c r="O361" s="1">
        <v>45654</v>
      </c>
      <c r="Q361" s="1">
        <v>46019</v>
      </c>
      <c r="R361" s="2">
        <v>58.24</v>
      </c>
      <c r="S361">
        <v>1</v>
      </c>
      <c r="T361" t="s">
        <v>58</v>
      </c>
      <c r="U361" t="s">
        <v>315</v>
      </c>
      <c r="V361" s="3">
        <v>0.7</v>
      </c>
      <c r="W361" s="2">
        <v>0</v>
      </c>
      <c r="X361">
        <v>0</v>
      </c>
      <c r="Y361" t="s">
        <v>60</v>
      </c>
      <c r="Z361" t="s">
        <v>317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40.770000000000003</v>
      </c>
      <c r="AN361" s="2">
        <v>40.770000000000003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45985</v>
      </c>
      <c r="B362" t="s">
        <v>48</v>
      </c>
      <c r="C362">
        <v>649163</v>
      </c>
      <c r="D362">
        <v>2026669941</v>
      </c>
      <c r="E362" t="s">
        <v>350</v>
      </c>
      <c r="F362" t="s">
        <v>351</v>
      </c>
      <c r="G362" t="s">
        <v>51</v>
      </c>
      <c r="H362" t="s">
        <v>235</v>
      </c>
      <c r="I362" t="s">
        <v>262</v>
      </c>
      <c r="J362" t="s">
        <v>263</v>
      </c>
      <c r="K362">
        <v>767312</v>
      </c>
      <c r="L362" t="s">
        <v>156</v>
      </c>
      <c r="M362" t="s">
        <v>157</v>
      </c>
      <c r="N362" t="s">
        <v>57</v>
      </c>
      <c r="O362" s="1">
        <v>45677</v>
      </c>
      <c r="Q362" s="1">
        <v>46011</v>
      </c>
      <c r="R362" s="2">
        <v>-26.32</v>
      </c>
      <c r="S362">
        <v>1</v>
      </c>
      <c r="T362" t="s">
        <v>58</v>
      </c>
      <c r="U362" t="s">
        <v>315</v>
      </c>
      <c r="V362" s="3">
        <v>0.7</v>
      </c>
      <c r="W362" s="2">
        <v>0</v>
      </c>
      <c r="X362">
        <v>-1</v>
      </c>
      <c r="Y362" t="s">
        <v>60</v>
      </c>
      <c r="Z362" t="s">
        <v>317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-18.420000000000002</v>
      </c>
      <c r="AN362" s="2">
        <v>-18.420000000000002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45985</v>
      </c>
      <c r="B363" t="s">
        <v>48</v>
      </c>
      <c r="C363">
        <v>649163</v>
      </c>
      <c r="D363">
        <v>2026693770</v>
      </c>
      <c r="E363" t="s">
        <v>591</v>
      </c>
      <c r="F363" t="s">
        <v>592</v>
      </c>
      <c r="G363" t="s">
        <v>51</v>
      </c>
      <c r="H363" t="s">
        <v>224</v>
      </c>
      <c r="I363" t="s">
        <v>262</v>
      </c>
      <c r="J363" t="s">
        <v>265</v>
      </c>
      <c r="K363">
        <v>767312</v>
      </c>
      <c r="L363" t="s">
        <v>156</v>
      </c>
      <c r="M363" t="s">
        <v>157</v>
      </c>
      <c r="N363" t="s">
        <v>57</v>
      </c>
      <c r="O363" s="1">
        <v>45679</v>
      </c>
      <c r="Q363" s="1">
        <v>46013</v>
      </c>
      <c r="R363" s="2">
        <v>58.17</v>
      </c>
      <c r="S363">
        <v>1</v>
      </c>
      <c r="T363" t="s">
        <v>58</v>
      </c>
      <c r="U363" t="s">
        <v>315</v>
      </c>
      <c r="V363" s="3">
        <v>0.9</v>
      </c>
      <c r="W363" s="2">
        <v>0</v>
      </c>
      <c r="X363">
        <v>0</v>
      </c>
      <c r="Y363" t="s">
        <v>60</v>
      </c>
      <c r="Z363" t="s">
        <v>317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52.35</v>
      </c>
      <c r="AN363" s="2">
        <v>52.35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45985</v>
      </c>
      <c r="B364" t="s">
        <v>48</v>
      </c>
      <c r="C364">
        <v>649163</v>
      </c>
      <c r="D364">
        <v>2026734001</v>
      </c>
      <c r="E364" t="s">
        <v>593</v>
      </c>
      <c r="F364" t="s">
        <v>426</v>
      </c>
      <c r="G364" t="s">
        <v>51</v>
      </c>
      <c r="H364" t="s">
        <v>105</v>
      </c>
      <c r="I364" t="s">
        <v>262</v>
      </c>
      <c r="J364" t="s">
        <v>263</v>
      </c>
      <c r="K364">
        <v>768887</v>
      </c>
      <c r="L364" t="s">
        <v>231</v>
      </c>
      <c r="M364" t="s">
        <v>232</v>
      </c>
      <c r="N364" t="s">
        <v>57</v>
      </c>
      <c r="O364" s="1">
        <v>45681</v>
      </c>
      <c r="Q364" s="1">
        <v>46015</v>
      </c>
      <c r="R364" s="2">
        <v>22.19</v>
      </c>
      <c r="S364">
        <v>1</v>
      </c>
      <c r="T364" t="s">
        <v>58</v>
      </c>
      <c r="U364" t="s">
        <v>315</v>
      </c>
      <c r="V364" s="3">
        <v>0.7</v>
      </c>
      <c r="W364" s="2">
        <v>0</v>
      </c>
      <c r="X364">
        <v>0</v>
      </c>
      <c r="Y364" t="s">
        <v>60</v>
      </c>
      <c r="Z364" t="s">
        <v>317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15.53</v>
      </c>
      <c r="AN364" s="2">
        <v>15.53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45985</v>
      </c>
      <c r="B365" t="s">
        <v>48</v>
      </c>
      <c r="C365">
        <v>649163</v>
      </c>
      <c r="D365">
        <v>2027038280</v>
      </c>
      <c r="E365" t="s">
        <v>352</v>
      </c>
      <c r="F365" t="s">
        <v>353</v>
      </c>
      <c r="G365" t="s">
        <v>51</v>
      </c>
      <c r="H365" t="s">
        <v>109</v>
      </c>
      <c r="I365" t="s">
        <v>262</v>
      </c>
      <c r="J365" t="s">
        <v>263</v>
      </c>
      <c r="K365">
        <v>816021</v>
      </c>
      <c r="L365" t="s">
        <v>111</v>
      </c>
      <c r="M365" t="s">
        <v>112</v>
      </c>
      <c r="N365" t="s">
        <v>337</v>
      </c>
      <c r="O365" s="1">
        <v>45699</v>
      </c>
      <c r="P365" s="1">
        <v>45985</v>
      </c>
      <c r="Q365" s="1">
        <v>46002</v>
      </c>
      <c r="R365" s="2">
        <v>-5.76</v>
      </c>
      <c r="S365">
        <v>1</v>
      </c>
      <c r="T365" t="s">
        <v>58</v>
      </c>
      <c r="U365" t="s">
        <v>315</v>
      </c>
      <c r="V365" s="3">
        <v>0.7</v>
      </c>
      <c r="W365" s="2">
        <v>0</v>
      </c>
      <c r="X365">
        <v>-1</v>
      </c>
      <c r="Y365" t="s">
        <v>60</v>
      </c>
      <c r="Z365" t="s">
        <v>317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-4.03</v>
      </c>
      <c r="AN365" s="2">
        <v>-4.03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45985</v>
      </c>
      <c r="B366" t="s">
        <v>48</v>
      </c>
      <c r="C366">
        <v>649163</v>
      </c>
      <c r="D366">
        <v>2027258064</v>
      </c>
      <c r="E366" t="s">
        <v>354</v>
      </c>
      <c r="F366" t="s">
        <v>355</v>
      </c>
      <c r="G366" t="s">
        <v>51</v>
      </c>
      <c r="H366" t="s">
        <v>105</v>
      </c>
      <c r="I366" t="s">
        <v>262</v>
      </c>
      <c r="J366" t="s">
        <v>263</v>
      </c>
      <c r="K366">
        <v>673059</v>
      </c>
      <c r="L366" t="s">
        <v>70</v>
      </c>
      <c r="M366" t="s">
        <v>71</v>
      </c>
      <c r="N366" t="s">
        <v>57</v>
      </c>
      <c r="O366" s="1">
        <v>45710</v>
      </c>
      <c r="Q366" s="1">
        <v>46013</v>
      </c>
      <c r="R366" s="2">
        <v>42.36</v>
      </c>
      <c r="S366">
        <v>1</v>
      </c>
      <c r="T366" t="s">
        <v>58</v>
      </c>
      <c r="U366" t="s">
        <v>315</v>
      </c>
      <c r="V366" s="3">
        <v>0.7</v>
      </c>
      <c r="W366" s="2">
        <v>0</v>
      </c>
      <c r="X366">
        <v>0</v>
      </c>
      <c r="Y366" t="s">
        <v>60</v>
      </c>
      <c r="Z366" t="s">
        <v>317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29.65</v>
      </c>
      <c r="AN366" s="2">
        <v>29.65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45985</v>
      </c>
      <c r="B367" t="s">
        <v>48</v>
      </c>
      <c r="C367">
        <v>649163</v>
      </c>
      <c r="D367">
        <v>2027258065</v>
      </c>
      <c r="E367" t="s">
        <v>354</v>
      </c>
      <c r="F367" t="s">
        <v>355</v>
      </c>
      <c r="G367" t="s">
        <v>51</v>
      </c>
      <c r="H367" t="s">
        <v>105</v>
      </c>
      <c r="I367" t="s">
        <v>262</v>
      </c>
      <c r="J367" t="s">
        <v>562</v>
      </c>
      <c r="K367">
        <v>673059</v>
      </c>
      <c r="L367" t="s">
        <v>70</v>
      </c>
      <c r="M367" t="s">
        <v>71</v>
      </c>
      <c r="N367" t="s">
        <v>57</v>
      </c>
      <c r="O367" s="1">
        <v>45710</v>
      </c>
      <c r="Q367" s="1">
        <v>46013</v>
      </c>
      <c r="R367" s="2">
        <v>25.73</v>
      </c>
      <c r="S367">
        <v>1</v>
      </c>
      <c r="T367" t="s">
        <v>58</v>
      </c>
      <c r="U367" t="s">
        <v>315</v>
      </c>
      <c r="V367" s="3">
        <v>0.7</v>
      </c>
      <c r="W367" s="2">
        <v>0</v>
      </c>
      <c r="X367">
        <v>0</v>
      </c>
      <c r="Y367" t="s">
        <v>60</v>
      </c>
      <c r="Z367" t="s">
        <v>317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18.010000000000002</v>
      </c>
      <c r="AN367" s="2">
        <v>18.010000000000002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45985</v>
      </c>
      <c r="B368" t="s">
        <v>48</v>
      </c>
      <c r="C368">
        <v>649163</v>
      </c>
      <c r="D368">
        <v>2027258067</v>
      </c>
      <c r="E368" t="s">
        <v>354</v>
      </c>
      <c r="F368" t="s">
        <v>355</v>
      </c>
      <c r="G368" t="s">
        <v>51</v>
      </c>
      <c r="H368" t="s">
        <v>105</v>
      </c>
      <c r="I368" t="s">
        <v>262</v>
      </c>
      <c r="J368" t="s">
        <v>265</v>
      </c>
      <c r="K368">
        <v>673059</v>
      </c>
      <c r="L368" t="s">
        <v>70</v>
      </c>
      <c r="M368" t="s">
        <v>71</v>
      </c>
      <c r="N368" t="s">
        <v>57</v>
      </c>
      <c r="O368" s="1">
        <v>45710</v>
      </c>
      <c r="Q368" s="1">
        <v>46013</v>
      </c>
      <c r="R368" s="2">
        <v>31.08</v>
      </c>
      <c r="S368">
        <v>1</v>
      </c>
      <c r="T368" t="s">
        <v>58</v>
      </c>
      <c r="U368" t="s">
        <v>315</v>
      </c>
      <c r="V368" s="3">
        <v>0.9</v>
      </c>
      <c r="W368" s="2">
        <v>0</v>
      </c>
      <c r="X368">
        <v>0</v>
      </c>
      <c r="Y368" t="s">
        <v>60</v>
      </c>
      <c r="Z368" t="s">
        <v>317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27.97</v>
      </c>
      <c r="AN368" s="2">
        <v>27.97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45985</v>
      </c>
      <c r="B369" t="s">
        <v>48</v>
      </c>
      <c r="C369">
        <v>649163</v>
      </c>
      <c r="D369">
        <v>2027321379</v>
      </c>
      <c r="E369" t="s">
        <v>492</v>
      </c>
      <c r="F369" t="s">
        <v>493</v>
      </c>
      <c r="G369" t="s">
        <v>51</v>
      </c>
      <c r="H369" t="s">
        <v>64</v>
      </c>
      <c r="I369" t="s">
        <v>262</v>
      </c>
      <c r="J369" t="s">
        <v>263</v>
      </c>
      <c r="K369">
        <v>673059</v>
      </c>
      <c r="L369" t="s">
        <v>70</v>
      </c>
      <c r="M369" t="s">
        <v>71</v>
      </c>
      <c r="N369" t="s">
        <v>57</v>
      </c>
      <c r="O369" s="1">
        <v>45713</v>
      </c>
      <c r="Q369" s="1">
        <v>46016</v>
      </c>
      <c r="R369" s="2">
        <v>169.06</v>
      </c>
      <c r="S369">
        <v>1</v>
      </c>
      <c r="T369" t="s">
        <v>58</v>
      </c>
      <c r="U369" t="s">
        <v>315</v>
      </c>
      <c r="V369" s="3">
        <v>0.7</v>
      </c>
      <c r="W369" s="2">
        <v>0</v>
      </c>
      <c r="X369">
        <v>0</v>
      </c>
      <c r="Y369" t="s">
        <v>60</v>
      </c>
      <c r="Z369" t="s">
        <v>317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118.34</v>
      </c>
      <c r="AN369" s="2">
        <v>118.34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45985</v>
      </c>
      <c r="B370" t="s">
        <v>48</v>
      </c>
      <c r="C370">
        <v>649163</v>
      </c>
      <c r="D370">
        <v>2027343740</v>
      </c>
      <c r="E370" t="s">
        <v>494</v>
      </c>
      <c r="F370" t="s">
        <v>495</v>
      </c>
      <c r="G370" t="s">
        <v>51</v>
      </c>
      <c r="H370" t="s">
        <v>129</v>
      </c>
      <c r="I370" t="s">
        <v>262</v>
      </c>
      <c r="J370" t="s">
        <v>263</v>
      </c>
      <c r="K370">
        <v>673059</v>
      </c>
      <c r="L370" t="s">
        <v>70</v>
      </c>
      <c r="M370" t="s">
        <v>71</v>
      </c>
      <c r="N370" t="s">
        <v>57</v>
      </c>
      <c r="O370" s="1">
        <v>45714</v>
      </c>
      <c r="Q370" s="1">
        <v>46017</v>
      </c>
      <c r="R370" s="2">
        <v>10.82</v>
      </c>
      <c r="S370">
        <v>1</v>
      </c>
      <c r="T370" t="s">
        <v>58</v>
      </c>
      <c r="U370" t="s">
        <v>315</v>
      </c>
      <c r="V370" s="3">
        <v>0.7</v>
      </c>
      <c r="W370" s="2">
        <v>0</v>
      </c>
      <c r="X370">
        <v>0</v>
      </c>
      <c r="Y370" t="s">
        <v>60</v>
      </c>
      <c r="Z370" t="s">
        <v>317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7.57</v>
      </c>
      <c r="AN370" s="2">
        <v>7.57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45985</v>
      </c>
      <c r="B371" t="s">
        <v>48</v>
      </c>
      <c r="C371">
        <v>649163</v>
      </c>
      <c r="D371">
        <v>2027348181</v>
      </c>
      <c r="E371" t="s">
        <v>356</v>
      </c>
      <c r="F371" t="s">
        <v>357</v>
      </c>
      <c r="G371" t="s">
        <v>51</v>
      </c>
      <c r="H371" t="s">
        <v>64</v>
      </c>
      <c r="I371" t="s">
        <v>262</v>
      </c>
      <c r="J371" t="s">
        <v>263</v>
      </c>
      <c r="K371">
        <v>673059</v>
      </c>
      <c r="L371" t="s">
        <v>70</v>
      </c>
      <c r="M371" t="s">
        <v>71</v>
      </c>
      <c r="N371" t="s">
        <v>57</v>
      </c>
      <c r="O371" s="1">
        <v>45716</v>
      </c>
      <c r="Q371" s="1">
        <v>46019</v>
      </c>
      <c r="R371" s="2">
        <v>47.95</v>
      </c>
      <c r="S371">
        <v>1</v>
      </c>
      <c r="T371" t="s">
        <v>58</v>
      </c>
      <c r="U371" t="s">
        <v>315</v>
      </c>
      <c r="V371" s="3">
        <v>0.7</v>
      </c>
      <c r="W371" s="2">
        <v>0</v>
      </c>
      <c r="X371">
        <v>0</v>
      </c>
      <c r="Y371" t="s">
        <v>60</v>
      </c>
      <c r="Z371" t="s">
        <v>317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33.56</v>
      </c>
      <c r="AN371" s="2">
        <v>33.56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45985</v>
      </c>
      <c r="B372" t="s">
        <v>48</v>
      </c>
      <c r="C372">
        <v>649163</v>
      </c>
      <c r="D372">
        <v>2027406567</v>
      </c>
      <c r="E372" t="s">
        <v>594</v>
      </c>
      <c r="F372" t="s">
        <v>595</v>
      </c>
      <c r="G372" t="s">
        <v>51</v>
      </c>
      <c r="H372" t="s">
        <v>64</v>
      </c>
      <c r="I372" t="s">
        <v>262</v>
      </c>
      <c r="J372" t="s">
        <v>263</v>
      </c>
      <c r="K372">
        <v>764123</v>
      </c>
      <c r="L372" t="s">
        <v>596</v>
      </c>
      <c r="M372" t="s">
        <v>597</v>
      </c>
      <c r="N372" t="s">
        <v>57</v>
      </c>
      <c r="O372" s="1">
        <v>45715</v>
      </c>
      <c r="Q372" s="1">
        <v>46018</v>
      </c>
      <c r="R372" s="2">
        <v>101.22</v>
      </c>
      <c r="S372">
        <v>1</v>
      </c>
      <c r="T372" t="s">
        <v>58</v>
      </c>
      <c r="U372" t="s">
        <v>315</v>
      </c>
      <c r="V372" s="3">
        <v>0.7</v>
      </c>
      <c r="W372" s="2">
        <v>0</v>
      </c>
      <c r="X372">
        <v>0</v>
      </c>
      <c r="Y372" t="s">
        <v>60</v>
      </c>
      <c r="Z372" t="s">
        <v>317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70.849999999999994</v>
      </c>
      <c r="AN372" s="2">
        <v>70.849999999999994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45985</v>
      </c>
      <c r="B373" t="s">
        <v>48</v>
      </c>
      <c r="C373">
        <v>649163</v>
      </c>
      <c r="D373">
        <v>2027419633</v>
      </c>
      <c r="E373" t="s">
        <v>598</v>
      </c>
      <c r="F373" t="s">
        <v>599</v>
      </c>
      <c r="G373" t="s">
        <v>51</v>
      </c>
      <c r="H373" t="s">
        <v>135</v>
      </c>
      <c r="I373" t="s">
        <v>262</v>
      </c>
      <c r="J373" t="s">
        <v>263</v>
      </c>
      <c r="K373">
        <v>806645</v>
      </c>
      <c r="L373" t="s">
        <v>213</v>
      </c>
      <c r="M373" t="s">
        <v>214</v>
      </c>
      <c r="N373" t="s">
        <v>57</v>
      </c>
      <c r="O373" s="1">
        <v>45716</v>
      </c>
      <c r="Q373" s="1">
        <v>46019</v>
      </c>
      <c r="R373" s="2">
        <v>163.43</v>
      </c>
      <c r="S373">
        <v>1</v>
      </c>
      <c r="T373" t="s">
        <v>58</v>
      </c>
      <c r="U373" t="s">
        <v>315</v>
      </c>
      <c r="V373" s="3">
        <v>0.7</v>
      </c>
      <c r="W373" s="2">
        <v>0</v>
      </c>
      <c r="X373">
        <v>0</v>
      </c>
      <c r="Y373" t="s">
        <v>60</v>
      </c>
      <c r="Z373" t="s">
        <v>317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114.4</v>
      </c>
      <c r="AN373" s="2">
        <v>114.4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45985</v>
      </c>
      <c r="B374" t="s">
        <v>48</v>
      </c>
      <c r="C374">
        <v>649163</v>
      </c>
      <c r="D374">
        <v>2027785590</v>
      </c>
      <c r="E374" t="s">
        <v>600</v>
      </c>
      <c r="F374" t="s">
        <v>436</v>
      </c>
      <c r="G374" t="s">
        <v>51</v>
      </c>
      <c r="H374" t="s">
        <v>135</v>
      </c>
      <c r="I374" t="s">
        <v>262</v>
      </c>
      <c r="J374" t="s">
        <v>263</v>
      </c>
      <c r="K374">
        <v>806645</v>
      </c>
      <c r="L374" t="s">
        <v>213</v>
      </c>
      <c r="M374" t="s">
        <v>214</v>
      </c>
      <c r="N374" t="s">
        <v>57</v>
      </c>
      <c r="O374" s="1">
        <v>45748</v>
      </c>
      <c r="Q374" s="1">
        <v>45992</v>
      </c>
      <c r="R374" s="2">
        <v>28.38</v>
      </c>
      <c r="S374">
        <v>1</v>
      </c>
      <c r="T374" t="s">
        <v>58</v>
      </c>
      <c r="U374" t="s">
        <v>315</v>
      </c>
      <c r="V374" s="3">
        <v>0.7</v>
      </c>
      <c r="W374" s="2">
        <v>0</v>
      </c>
      <c r="X374">
        <v>0</v>
      </c>
      <c r="Y374" t="s">
        <v>60</v>
      </c>
      <c r="Z374" t="s">
        <v>317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19.87</v>
      </c>
      <c r="AN374" s="2">
        <v>19.87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45985</v>
      </c>
      <c r="B375" t="s">
        <v>48</v>
      </c>
      <c r="C375">
        <v>649163</v>
      </c>
      <c r="D375">
        <v>2027785591</v>
      </c>
      <c r="E375" t="s">
        <v>600</v>
      </c>
      <c r="F375" t="s">
        <v>436</v>
      </c>
      <c r="G375" t="s">
        <v>51</v>
      </c>
      <c r="H375" t="s">
        <v>135</v>
      </c>
      <c r="I375" t="s">
        <v>262</v>
      </c>
      <c r="J375" t="s">
        <v>265</v>
      </c>
      <c r="K375">
        <v>806645</v>
      </c>
      <c r="L375" t="s">
        <v>213</v>
      </c>
      <c r="M375" t="s">
        <v>214</v>
      </c>
      <c r="N375" t="s">
        <v>57</v>
      </c>
      <c r="O375" s="1">
        <v>45748</v>
      </c>
      <c r="Q375" s="1">
        <v>45992</v>
      </c>
      <c r="R375" s="2">
        <v>21.6</v>
      </c>
      <c r="S375">
        <v>1</v>
      </c>
      <c r="T375" t="s">
        <v>58</v>
      </c>
      <c r="U375" t="s">
        <v>315</v>
      </c>
      <c r="V375" s="3">
        <v>0.9</v>
      </c>
      <c r="W375" s="2">
        <v>0</v>
      </c>
      <c r="X375">
        <v>0</v>
      </c>
      <c r="Y375" t="s">
        <v>60</v>
      </c>
      <c r="Z375" t="s">
        <v>317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19.440000000000001</v>
      </c>
      <c r="AN375" s="2">
        <v>19.440000000000001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45985</v>
      </c>
      <c r="B376" t="s">
        <v>48</v>
      </c>
      <c r="C376">
        <v>649163</v>
      </c>
      <c r="D376">
        <v>2027855573</v>
      </c>
      <c r="E376" t="s">
        <v>358</v>
      </c>
      <c r="F376" t="s">
        <v>359</v>
      </c>
      <c r="G376" t="s">
        <v>51</v>
      </c>
      <c r="H376" t="s">
        <v>360</v>
      </c>
      <c r="I376" t="s">
        <v>262</v>
      </c>
      <c r="J376" t="s">
        <v>263</v>
      </c>
      <c r="K376">
        <v>651818</v>
      </c>
      <c r="L376" t="s">
        <v>331</v>
      </c>
      <c r="M376" t="s">
        <v>332</v>
      </c>
      <c r="N376" t="s">
        <v>57</v>
      </c>
      <c r="O376" s="1">
        <v>45734</v>
      </c>
      <c r="Q376" s="1">
        <v>46009</v>
      </c>
      <c r="R376" s="2">
        <v>-79.84</v>
      </c>
      <c r="S376">
        <v>1</v>
      </c>
      <c r="T376" t="s">
        <v>58</v>
      </c>
      <c r="U376" t="s">
        <v>315</v>
      </c>
      <c r="V376" s="3">
        <v>0.7</v>
      </c>
      <c r="W376" s="2">
        <v>0</v>
      </c>
      <c r="X376">
        <v>-1</v>
      </c>
      <c r="Y376" t="s">
        <v>60</v>
      </c>
      <c r="Z376" t="s">
        <v>317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-55.89</v>
      </c>
      <c r="AN376" s="2">
        <v>-55.89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45985</v>
      </c>
      <c r="B377" t="s">
        <v>48</v>
      </c>
      <c r="C377">
        <v>649163</v>
      </c>
      <c r="D377">
        <v>2027904551</v>
      </c>
      <c r="E377" t="s">
        <v>601</v>
      </c>
      <c r="F377" t="s">
        <v>334</v>
      </c>
      <c r="G377" t="s">
        <v>51</v>
      </c>
      <c r="H377" t="s">
        <v>64</v>
      </c>
      <c r="I377" t="s">
        <v>262</v>
      </c>
      <c r="J377" t="s">
        <v>265</v>
      </c>
      <c r="K377">
        <v>813181</v>
      </c>
      <c r="L377" t="s">
        <v>601</v>
      </c>
      <c r="M377" t="s">
        <v>334</v>
      </c>
      <c r="N377" t="s">
        <v>57</v>
      </c>
      <c r="O377" s="1">
        <v>45741</v>
      </c>
      <c r="Q377" s="1">
        <v>46016</v>
      </c>
      <c r="R377" s="2">
        <v>46.42</v>
      </c>
      <c r="S377">
        <v>1</v>
      </c>
      <c r="T377" t="s">
        <v>58</v>
      </c>
      <c r="U377" t="s">
        <v>315</v>
      </c>
      <c r="V377" s="3">
        <v>0.9</v>
      </c>
      <c r="W377" s="2">
        <v>0</v>
      </c>
      <c r="X377">
        <v>0</v>
      </c>
      <c r="Y377" t="s">
        <v>60</v>
      </c>
      <c r="Z377" t="s">
        <v>317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41.78</v>
      </c>
      <c r="AN377" s="2">
        <v>41.78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45985</v>
      </c>
      <c r="B378" t="s">
        <v>48</v>
      </c>
      <c r="C378">
        <v>649163</v>
      </c>
      <c r="D378">
        <v>2027913472</v>
      </c>
      <c r="E378" t="s">
        <v>361</v>
      </c>
      <c r="F378" t="s">
        <v>362</v>
      </c>
      <c r="G378" t="s">
        <v>51</v>
      </c>
      <c r="H378" t="s">
        <v>109</v>
      </c>
      <c r="I378" t="s">
        <v>262</v>
      </c>
      <c r="J378" t="s">
        <v>263</v>
      </c>
      <c r="K378">
        <v>816021</v>
      </c>
      <c r="L378" t="s">
        <v>111</v>
      </c>
      <c r="M378" t="s">
        <v>112</v>
      </c>
      <c r="N378" t="s">
        <v>57</v>
      </c>
      <c r="O378" s="1">
        <v>45738</v>
      </c>
      <c r="Q378" s="1">
        <v>46013</v>
      </c>
      <c r="R378" s="2">
        <v>7.89</v>
      </c>
      <c r="S378">
        <v>1</v>
      </c>
      <c r="T378" t="s">
        <v>58</v>
      </c>
      <c r="U378" t="s">
        <v>315</v>
      </c>
      <c r="V378" s="3">
        <v>0.7</v>
      </c>
      <c r="W378" s="2">
        <v>0</v>
      </c>
      <c r="X378">
        <v>0</v>
      </c>
      <c r="Y378" t="s">
        <v>60</v>
      </c>
      <c r="Z378" t="s">
        <v>317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5.52</v>
      </c>
      <c r="AN378" s="2">
        <v>5.52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45985</v>
      </c>
      <c r="B379" t="s">
        <v>48</v>
      </c>
      <c r="C379">
        <v>649163</v>
      </c>
      <c r="D379">
        <v>2027920263</v>
      </c>
      <c r="E379" t="s">
        <v>363</v>
      </c>
      <c r="F379" t="s">
        <v>286</v>
      </c>
      <c r="G379" t="s">
        <v>51</v>
      </c>
      <c r="H379" t="s">
        <v>109</v>
      </c>
      <c r="I379" t="s">
        <v>262</v>
      </c>
      <c r="J379" t="s">
        <v>263</v>
      </c>
      <c r="K379">
        <v>816021</v>
      </c>
      <c r="L379" t="s">
        <v>111</v>
      </c>
      <c r="M379" t="s">
        <v>112</v>
      </c>
      <c r="N379" t="s">
        <v>57</v>
      </c>
      <c r="O379" s="1">
        <v>45744</v>
      </c>
      <c r="Q379" s="1">
        <v>46019</v>
      </c>
      <c r="R379" s="2">
        <v>9.1</v>
      </c>
      <c r="S379">
        <v>1</v>
      </c>
      <c r="T379" t="s">
        <v>58</v>
      </c>
      <c r="U379" t="s">
        <v>315</v>
      </c>
      <c r="V379" s="3">
        <v>0.7</v>
      </c>
      <c r="W379" s="2">
        <v>0</v>
      </c>
      <c r="X379">
        <v>0</v>
      </c>
      <c r="Y379" t="s">
        <v>60</v>
      </c>
      <c r="Z379" t="s">
        <v>317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6.37</v>
      </c>
      <c r="AN379" s="2">
        <v>6.37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45985</v>
      </c>
      <c r="B380" t="s">
        <v>48</v>
      </c>
      <c r="C380">
        <v>649163</v>
      </c>
      <c r="D380">
        <v>2027957199</v>
      </c>
      <c r="E380" t="s">
        <v>602</v>
      </c>
      <c r="F380" t="s">
        <v>446</v>
      </c>
      <c r="G380" t="s">
        <v>51</v>
      </c>
      <c r="H380" t="s">
        <v>95</v>
      </c>
      <c r="I380" t="s">
        <v>262</v>
      </c>
      <c r="J380" t="s">
        <v>265</v>
      </c>
      <c r="K380">
        <v>823068</v>
      </c>
      <c r="L380" t="s">
        <v>125</v>
      </c>
      <c r="M380" t="s">
        <v>126</v>
      </c>
      <c r="N380" t="s">
        <v>57</v>
      </c>
      <c r="O380" s="1">
        <v>45743</v>
      </c>
      <c r="Q380" s="1">
        <v>46018</v>
      </c>
      <c r="R380" s="2">
        <v>96.17</v>
      </c>
      <c r="S380">
        <v>1</v>
      </c>
      <c r="T380" t="s">
        <v>58</v>
      </c>
      <c r="U380" t="s">
        <v>315</v>
      </c>
      <c r="V380" s="3">
        <v>0.9</v>
      </c>
      <c r="W380" s="2">
        <v>0</v>
      </c>
      <c r="X380">
        <v>0</v>
      </c>
      <c r="Y380" t="s">
        <v>60</v>
      </c>
      <c r="Z380" t="s">
        <v>317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86.55</v>
      </c>
      <c r="AN380" s="2">
        <v>86.55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45985</v>
      </c>
      <c r="B381" t="s">
        <v>48</v>
      </c>
      <c r="C381">
        <v>649163</v>
      </c>
      <c r="D381">
        <v>2027996023</v>
      </c>
      <c r="E381" t="s">
        <v>157</v>
      </c>
      <c r="F381" t="s">
        <v>364</v>
      </c>
      <c r="G381" t="s">
        <v>51</v>
      </c>
      <c r="H381" t="s">
        <v>105</v>
      </c>
      <c r="I381" t="s">
        <v>262</v>
      </c>
      <c r="J381" t="s">
        <v>263</v>
      </c>
      <c r="K381">
        <v>821015</v>
      </c>
      <c r="L381" t="s">
        <v>326</v>
      </c>
      <c r="M381" t="s">
        <v>327</v>
      </c>
      <c r="N381" t="s">
        <v>57</v>
      </c>
      <c r="O381" s="1">
        <v>45743</v>
      </c>
      <c r="Q381" s="1">
        <v>46018</v>
      </c>
      <c r="R381" s="2">
        <v>18.350000000000001</v>
      </c>
      <c r="S381">
        <v>1</v>
      </c>
      <c r="T381" t="s">
        <v>58</v>
      </c>
      <c r="U381" t="s">
        <v>315</v>
      </c>
      <c r="V381" s="3">
        <v>0.7</v>
      </c>
      <c r="W381" s="2">
        <v>0</v>
      </c>
      <c r="X381">
        <v>0</v>
      </c>
      <c r="Y381" t="s">
        <v>60</v>
      </c>
      <c r="Z381" t="s">
        <v>317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12.84</v>
      </c>
      <c r="AN381" s="2">
        <v>12.84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45985</v>
      </c>
      <c r="B382" t="s">
        <v>48</v>
      </c>
      <c r="C382">
        <v>649163</v>
      </c>
      <c r="D382">
        <v>2028000917</v>
      </c>
      <c r="E382" t="s">
        <v>547</v>
      </c>
      <c r="F382" t="s">
        <v>548</v>
      </c>
      <c r="G382" t="s">
        <v>51</v>
      </c>
      <c r="H382" t="s">
        <v>549</v>
      </c>
      <c r="I382" t="s">
        <v>262</v>
      </c>
      <c r="J382" t="s">
        <v>263</v>
      </c>
      <c r="K382">
        <v>824062</v>
      </c>
      <c r="L382" t="s">
        <v>115</v>
      </c>
      <c r="M382" t="s">
        <v>116</v>
      </c>
      <c r="N382" t="s">
        <v>57</v>
      </c>
      <c r="O382" s="1">
        <v>45770</v>
      </c>
      <c r="Q382" s="1">
        <v>46014</v>
      </c>
      <c r="R382" s="2">
        <v>54.98</v>
      </c>
      <c r="S382">
        <v>1</v>
      </c>
      <c r="T382" t="s">
        <v>58</v>
      </c>
      <c r="U382" t="s">
        <v>315</v>
      </c>
      <c r="V382" s="3">
        <v>0.7</v>
      </c>
      <c r="W382" s="2">
        <v>0</v>
      </c>
      <c r="X382">
        <v>0</v>
      </c>
      <c r="Y382" t="s">
        <v>60</v>
      </c>
      <c r="Z382" t="s">
        <v>317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38.49</v>
      </c>
      <c r="AN382" s="2">
        <v>38.49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45985</v>
      </c>
      <c r="B383" t="s">
        <v>48</v>
      </c>
      <c r="C383">
        <v>649163</v>
      </c>
      <c r="D383">
        <v>2028004035</v>
      </c>
      <c r="E383" t="s">
        <v>365</v>
      </c>
      <c r="F383" t="s">
        <v>366</v>
      </c>
      <c r="G383" t="s">
        <v>51</v>
      </c>
      <c r="H383" t="s">
        <v>109</v>
      </c>
      <c r="I383" t="s">
        <v>262</v>
      </c>
      <c r="J383" t="s">
        <v>263</v>
      </c>
      <c r="K383">
        <v>816021</v>
      </c>
      <c r="L383" t="s">
        <v>111</v>
      </c>
      <c r="M383" t="s">
        <v>112</v>
      </c>
      <c r="N383" t="s">
        <v>57</v>
      </c>
      <c r="O383" s="1">
        <v>45741</v>
      </c>
      <c r="Q383" s="1">
        <v>46016</v>
      </c>
      <c r="R383" s="2">
        <v>9.1</v>
      </c>
      <c r="S383">
        <v>1</v>
      </c>
      <c r="T383" t="s">
        <v>58</v>
      </c>
      <c r="U383" t="s">
        <v>315</v>
      </c>
      <c r="V383" s="3">
        <v>0.7</v>
      </c>
      <c r="W383" s="2">
        <v>0</v>
      </c>
      <c r="X383">
        <v>0</v>
      </c>
      <c r="Y383" t="s">
        <v>60</v>
      </c>
      <c r="Z383" t="s">
        <v>317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6.37</v>
      </c>
      <c r="AN383" s="2">
        <v>6.37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45985</v>
      </c>
      <c r="B384" t="s">
        <v>48</v>
      </c>
      <c r="C384">
        <v>649163</v>
      </c>
      <c r="D384">
        <v>2028005041</v>
      </c>
      <c r="E384" t="s">
        <v>502</v>
      </c>
      <c r="F384" t="s">
        <v>503</v>
      </c>
      <c r="G384" t="s">
        <v>51</v>
      </c>
      <c r="H384" t="s">
        <v>64</v>
      </c>
      <c r="I384" t="s">
        <v>262</v>
      </c>
      <c r="J384" t="s">
        <v>263</v>
      </c>
      <c r="K384">
        <v>824062</v>
      </c>
      <c r="L384" t="s">
        <v>115</v>
      </c>
      <c r="M384" t="s">
        <v>116</v>
      </c>
      <c r="N384" t="s">
        <v>57</v>
      </c>
      <c r="O384" s="1">
        <v>45741</v>
      </c>
      <c r="Q384" s="1">
        <v>46016</v>
      </c>
      <c r="R384" s="2">
        <v>15.75</v>
      </c>
      <c r="S384">
        <v>1</v>
      </c>
      <c r="T384" t="s">
        <v>58</v>
      </c>
      <c r="U384" t="s">
        <v>315</v>
      </c>
      <c r="V384" s="3">
        <v>0.7</v>
      </c>
      <c r="W384" s="2">
        <v>0</v>
      </c>
      <c r="X384">
        <v>0</v>
      </c>
      <c r="Y384" t="s">
        <v>60</v>
      </c>
      <c r="Z384" t="s">
        <v>317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11.02</v>
      </c>
      <c r="AN384" s="2">
        <v>11.02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45985</v>
      </c>
      <c r="B385" t="s">
        <v>48</v>
      </c>
      <c r="C385">
        <v>649163</v>
      </c>
      <c r="D385">
        <v>2028007024</v>
      </c>
      <c r="E385" t="s">
        <v>603</v>
      </c>
      <c r="F385" t="s">
        <v>604</v>
      </c>
      <c r="G385" t="s">
        <v>51</v>
      </c>
      <c r="H385" t="s">
        <v>64</v>
      </c>
      <c r="I385" t="s">
        <v>262</v>
      </c>
      <c r="J385" t="s">
        <v>263</v>
      </c>
      <c r="K385">
        <v>760902</v>
      </c>
      <c r="L385" t="s">
        <v>605</v>
      </c>
      <c r="M385" t="s">
        <v>606</v>
      </c>
      <c r="N385" t="s">
        <v>57</v>
      </c>
      <c r="O385" s="1">
        <v>45741</v>
      </c>
      <c r="Q385" s="1">
        <v>46016</v>
      </c>
      <c r="R385" s="2">
        <v>19</v>
      </c>
      <c r="S385">
        <v>1</v>
      </c>
      <c r="T385" t="s">
        <v>58</v>
      </c>
      <c r="U385" t="s">
        <v>315</v>
      </c>
      <c r="V385" s="3">
        <v>0.7</v>
      </c>
      <c r="W385" s="2">
        <v>0</v>
      </c>
      <c r="X385">
        <v>0</v>
      </c>
      <c r="Y385" t="s">
        <v>60</v>
      </c>
      <c r="Z385" t="s">
        <v>317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13.3</v>
      </c>
      <c r="AN385" s="2">
        <v>13.3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45985</v>
      </c>
      <c r="B386" t="s">
        <v>48</v>
      </c>
      <c r="C386">
        <v>649163</v>
      </c>
      <c r="D386">
        <v>2028019977</v>
      </c>
      <c r="E386" t="s">
        <v>607</v>
      </c>
      <c r="F386" t="s">
        <v>71</v>
      </c>
      <c r="G386" t="s">
        <v>51</v>
      </c>
      <c r="H386" t="s">
        <v>129</v>
      </c>
      <c r="I386" t="s">
        <v>262</v>
      </c>
      <c r="J386" t="s">
        <v>263</v>
      </c>
      <c r="K386">
        <v>822865</v>
      </c>
      <c r="L386" t="s">
        <v>148</v>
      </c>
      <c r="M386" t="s">
        <v>149</v>
      </c>
      <c r="N386" t="s">
        <v>57</v>
      </c>
      <c r="O386" s="1">
        <v>45742</v>
      </c>
      <c r="Q386" s="1">
        <v>46017</v>
      </c>
      <c r="R386" s="2">
        <v>128.80000000000001</v>
      </c>
      <c r="S386">
        <v>1</v>
      </c>
      <c r="T386" t="s">
        <v>58</v>
      </c>
      <c r="U386" t="s">
        <v>315</v>
      </c>
      <c r="V386" s="3">
        <v>0.7</v>
      </c>
      <c r="W386" s="2">
        <v>0</v>
      </c>
      <c r="X386">
        <v>0</v>
      </c>
      <c r="Y386" t="s">
        <v>60</v>
      </c>
      <c r="Z386" t="s">
        <v>317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90.16</v>
      </c>
      <c r="AN386" s="2">
        <v>90.16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45985</v>
      </c>
      <c r="B387" t="s">
        <v>48</v>
      </c>
      <c r="C387">
        <v>649163</v>
      </c>
      <c r="D387">
        <v>2028070290</v>
      </c>
      <c r="E387" t="s">
        <v>608</v>
      </c>
      <c r="F387" t="s">
        <v>609</v>
      </c>
      <c r="G387" t="s">
        <v>51</v>
      </c>
      <c r="H387" t="s">
        <v>105</v>
      </c>
      <c r="I387" t="s">
        <v>262</v>
      </c>
      <c r="J387" t="s">
        <v>263</v>
      </c>
      <c r="K387">
        <v>768887</v>
      </c>
      <c r="L387" t="s">
        <v>231</v>
      </c>
      <c r="M387" t="s">
        <v>232</v>
      </c>
      <c r="N387" t="s">
        <v>57</v>
      </c>
      <c r="O387" s="1">
        <v>45744</v>
      </c>
      <c r="Q387" s="1">
        <v>46019</v>
      </c>
      <c r="R387" s="2">
        <v>95.41</v>
      </c>
      <c r="S387">
        <v>1</v>
      </c>
      <c r="T387" t="s">
        <v>58</v>
      </c>
      <c r="U387" t="s">
        <v>315</v>
      </c>
      <c r="V387" s="3">
        <v>0.7</v>
      </c>
      <c r="W387" s="2">
        <v>0</v>
      </c>
      <c r="X387">
        <v>0</v>
      </c>
      <c r="Y387" t="s">
        <v>60</v>
      </c>
      <c r="Z387" t="s">
        <v>317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66.790000000000006</v>
      </c>
      <c r="AN387" s="2">
        <v>66.790000000000006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45985</v>
      </c>
      <c r="B388" t="s">
        <v>48</v>
      </c>
      <c r="C388">
        <v>649163</v>
      </c>
      <c r="D388">
        <v>2028461882</v>
      </c>
      <c r="E388" t="s">
        <v>367</v>
      </c>
      <c r="F388" t="s">
        <v>368</v>
      </c>
      <c r="G388" t="s">
        <v>51</v>
      </c>
      <c r="H388" t="s">
        <v>132</v>
      </c>
      <c r="I388" t="s">
        <v>262</v>
      </c>
      <c r="J388" t="s">
        <v>263</v>
      </c>
      <c r="K388">
        <v>823350</v>
      </c>
      <c r="L388" t="s">
        <v>91</v>
      </c>
      <c r="M388" t="s">
        <v>92</v>
      </c>
      <c r="N388" t="s">
        <v>57</v>
      </c>
      <c r="O388" s="1">
        <v>45772</v>
      </c>
      <c r="Q388" s="1">
        <v>46016</v>
      </c>
      <c r="R388" s="2">
        <v>58.94</v>
      </c>
      <c r="S388">
        <v>1</v>
      </c>
      <c r="T388" t="s">
        <v>58</v>
      </c>
      <c r="U388" t="s">
        <v>315</v>
      </c>
      <c r="V388" s="3">
        <v>0.7</v>
      </c>
      <c r="W388" s="2">
        <v>0</v>
      </c>
      <c r="X388">
        <v>0</v>
      </c>
      <c r="Y388" t="s">
        <v>60</v>
      </c>
      <c r="Z388" t="s">
        <v>317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41.26</v>
      </c>
      <c r="AN388" s="2">
        <v>41.26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45985</v>
      </c>
      <c r="B389" t="s">
        <v>48</v>
      </c>
      <c r="D389">
        <v>2028488145</v>
      </c>
      <c r="E389" t="s">
        <v>321</v>
      </c>
      <c r="F389" t="s">
        <v>322</v>
      </c>
      <c r="G389" t="s">
        <v>51</v>
      </c>
      <c r="H389" t="s">
        <v>52</v>
      </c>
      <c r="I389" t="s">
        <v>262</v>
      </c>
      <c r="J389" t="s">
        <v>264</v>
      </c>
      <c r="L389" t="s">
        <v>82</v>
      </c>
      <c r="M389" t="s">
        <v>83</v>
      </c>
      <c r="N389" t="s">
        <v>57</v>
      </c>
      <c r="O389" s="1">
        <v>45766</v>
      </c>
      <c r="Q389" s="1">
        <v>46010</v>
      </c>
      <c r="R389" s="2">
        <v>-51.46</v>
      </c>
      <c r="S389">
        <v>1</v>
      </c>
      <c r="T389" t="s">
        <v>58</v>
      </c>
      <c r="U389" t="s">
        <v>315</v>
      </c>
      <c r="V389" s="3">
        <v>0.7</v>
      </c>
      <c r="W389" s="2">
        <v>0</v>
      </c>
      <c r="X389">
        <v>-1</v>
      </c>
      <c r="Y389" t="s">
        <v>60</v>
      </c>
      <c r="Z389" t="s">
        <v>317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-36.020000000000003</v>
      </c>
      <c r="AN389" s="2">
        <v>-36.020000000000003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45985</v>
      </c>
      <c r="B390" t="s">
        <v>48</v>
      </c>
      <c r="C390">
        <v>649163</v>
      </c>
      <c r="D390">
        <v>2028498799</v>
      </c>
      <c r="E390" t="s">
        <v>369</v>
      </c>
      <c r="F390" t="s">
        <v>170</v>
      </c>
      <c r="G390" t="s">
        <v>51</v>
      </c>
      <c r="H390" t="s">
        <v>310</v>
      </c>
      <c r="I390" t="s">
        <v>262</v>
      </c>
      <c r="J390" t="s">
        <v>263</v>
      </c>
      <c r="K390">
        <v>823350</v>
      </c>
      <c r="L390" t="s">
        <v>91</v>
      </c>
      <c r="M390" t="s">
        <v>92</v>
      </c>
      <c r="N390" t="s">
        <v>57</v>
      </c>
      <c r="O390" s="1">
        <v>45772</v>
      </c>
      <c r="Q390" s="1">
        <v>46016</v>
      </c>
      <c r="R390" s="2">
        <v>30.58</v>
      </c>
      <c r="S390">
        <v>1</v>
      </c>
      <c r="T390" t="s">
        <v>58</v>
      </c>
      <c r="U390" t="s">
        <v>315</v>
      </c>
      <c r="V390" s="3">
        <v>0.7</v>
      </c>
      <c r="W390" s="2">
        <v>0</v>
      </c>
      <c r="X390">
        <v>0</v>
      </c>
      <c r="Y390" t="s">
        <v>60</v>
      </c>
      <c r="Z390" t="s">
        <v>317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21.41</v>
      </c>
      <c r="AN390" s="2">
        <v>21.41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45985</v>
      </c>
      <c r="B391" t="s">
        <v>48</v>
      </c>
      <c r="C391">
        <v>649163</v>
      </c>
      <c r="D391">
        <v>2028498801</v>
      </c>
      <c r="E391" t="s">
        <v>369</v>
      </c>
      <c r="F391" t="s">
        <v>170</v>
      </c>
      <c r="G391" t="s">
        <v>51</v>
      </c>
      <c r="H391" t="s">
        <v>310</v>
      </c>
      <c r="I391" t="s">
        <v>262</v>
      </c>
      <c r="J391" t="s">
        <v>265</v>
      </c>
      <c r="K391">
        <v>823350</v>
      </c>
      <c r="L391" t="s">
        <v>91</v>
      </c>
      <c r="M391" t="s">
        <v>92</v>
      </c>
      <c r="N391" t="s">
        <v>57</v>
      </c>
      <c r="O391" s="1">
        <v>45772</v>
      </c>
      <c r="Q391" s="1">
        <v>46016</v>
      </c>
      <c r="R391" s="2">
        <v>56.75</v>
      </c>
      <c r="S391">
        <v>1</v>
      </c>
      <c r="T391" t="s">
        <v>58</v>
      </c>
      <c r="U391" t="s">
        <v>315</v>
      </c>
      <c r="V391" s="3">
        <v>0.9</v>
      </c>
      <c r="W391" s="2">
        <v>0</v>
      </c>
      <c r="X391">
        <v>0</v>
      </c>
      <c r="Y391" t="s">
        <v>60</v>
      </c>
      <c r="Z391" t="s">
        <v>317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51.08</v>
      </c>
      <c r="AN391" s="2">
        <v>51.08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45985</v>
      </c>
      <c r="B392" t="s">
        <v>48</v>
      </c>
      <c r="C392">
        <v>649163</v>
      </c>
      <c r="D392">
        <v>2028547423</v>
      </c>
      <c r="E392" t="s">
        <v>610</v>
      </c>
      <c r="F392" t="s">
        <v>81</v>
      </c>
      <c r="G392" t="s">
        <v>51</v>
      </c>
      <c r="H392" t="s">
        <v>64</v>
      </c>
      <c r="I392" t="s">
        <v>262</v>
      </c>
      <c r="J392" t="s">
        <v>263</v>
      </c>
      <c r="K392">
        <v>812656</v>
      </c>
      <c r="L392" t="s">
        <v>209</v>
      </c>
      <c r="M392" t="s">
        <v>210</v>
      </c>
      <c r="N392" t="s">
        <v>57</v>
      </c>
      <c r="O392" s="1">
        <v>45770</v>
      </c>
      <c r="Q392" s="1">
        <v>46014</v>
      </c>
      <c r="R392" s="2">
        <v>35.700000000000003</v>
      </c>
      <c r="S392">
        <v>1</v>
      </c>
      <c r="T392" t="s">
        <v>58</v>
      </c>
      <c r="U392" t="s">
        <v>315</v>
      </c>
      <c r="V392" s="3">
        <v>0.7</v>
      </c>
      <c r="W392" s="2">
        <v>0</v>
      </c>
      <c r="X392">
        <v>0</v>
      </c>
      <c r="Y392" t="s">
        <v>60</v>
      </c>
      <c r="Z392" t="s">
        <v>317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24.99</v>
      </c>
      <c r="AN392" s="2">
        <v>24.99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45985</v>
      </c>
      <c r="B393" t="s">
        <v>48</v>
      </c>
      <c r="C393">
        <v>649163</v>
      </c>
      <c r="D393">
        <v>2028627543</v>
      </c>
      <c r="E393" t="s">
        <v>504</v>
      </c>
      <c r="F393" t="s">
        <v>505</v>
      </c>
      <c r="G393" t="s">
        <v>51</v>
      </c>
      <c r="H393" t="s">
        <v>132</v>
      </c>
      <c r="I393" t="s">
        <v>262</v>
      </c>
      <c r="J393" t="s">
        <v>263</v>
      </c>
      <c r="K393">
        <v>820873</v>
      </c>
      <c r="L393" t="s">
        <v>101</v>
      </c>
      <c r="M393" t="s">
        <v>102</v>
      </c>
      <c r="N393" t="s">
        <v>57</v>
      </c>
      <c r="O393" s="1">
        <v>45774</v>
      </c>
      <c r="Q393" s="1">
        <v>46018</v>
      </c>
      <c r="R393" s="2">
        <v>11.5</v>
      </c>
      <c r="S393">
        <v>1</v>
      </c>
      <c r="T393" t="s">
        <v>58</v>
      </c>
      <c r="U393" t="s">
        <v>315</v>
      </c>
      <c r="V393" s="3">
        <v>0.7</v>
      </c>
      <c r="W393" s="2">
        <v>0</v>
      </c>
      <c r="X393">
        <v>0</v>
      </c>
      <c r="Y393" t="s">
        <v>60</v>
      </c>
      <c r="Z393" t="s">
        <v>317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8.0500000000000007</v>
      </c>
      <c r="AN393" s="2">
        <v>8.0500000000000007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45985</v>
      </c>
      <c r="B394" t="s">
        <v>48</v>
      </c>
      <c r="C394">
        <v>649163</v>
      </c>
      <c r="D394">
        <v>2028800424</v>
      </c>
      <c r="E394" t="s">
        <v>611</v>
      </c>
      <c r="F394" t="s">
        <v>612</v>
      </c>
      <c r="G394" t="s">
        <v>51</v>
      </c>
      <c r="H394" t="s">
        <v>119</v>
      </c>
      <c r="I394" t="s">
        <v>262</v>
      </c>
      <c r="J394" t="s">
        <v>263</v>
      </c>
      <c r="K394">
        <v>673059</v>
      </c>
      <c r="L394" t="s">
        <v>70</v>
      </c>
      <c r="M394" t="s">
        <v>71</v>
      </c>
      <c r="N394" t="s">
        <v>57</v>
      </c>
      <c r="O394" s="1">
        <v>45804</v>
      </c>
      <c r="Q394" s="1">
        <v>46018</v>
      </c>
      <c r="R394" s="2">
        <v>141.32</v>
      </c>
      <c r="S394">
        <v>1</v>
      </c>
      <c r="T394" t="s">
        <v>58</v>
      </c>
      <c r="U394" t="s">
        <v>315</v>
      </c>
      <c r="V394" s="3">
        <v>0.7</v>
      </c>
      <c r="W394" s="2">
        <v>0</v>
      </c>
      <c r="X394">
        <v>0</v>
      </c>
      <c r="Y394" t="s">
        <v>60</v>
      </c>
      <c r="Z394" t="s">
        <v>317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98.92</v>
      </c>
      <c r="AN394" s="2">
        <v>98.92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45985</v>
      </c>
      <c r="B395" t="s">
        <v>48</v>
      </c>
      <c r="C395">
        <v>649163</v>
      </c>
      <c r="D395">
        <v>2028857839</v>
      </c>
      <c r="E395" t="s">
        <v>370</v>
      </c>
      <c r="F395" t="s">
        <v>371</v>
      </c>
      <c r="G395" t="s">
        <v>51</v>
      </c>
      <c r="H395" t="s">
        <v>360</v>
      </c>
      <c r="I395" t="s">
        <v>262</v>
      </c>
      <c r="J395" t="s">
        <v>265</v>
      </c>
      <c r="K395">
        <v>651818</v>
      </c>
      <c r="L395" t="s">
        <v>331</v>
      </c>
      <c r="M395" t="s">
        <v>332</v>
      </c>
      <c r="N395" t="s">
        <v>57</v>
      </c>
      <c r="O395" s="1">
        <v>45789</v>
      </c>
      <c r="Q395" s="1">
        <v>46003</v>
      </c>
      <c r="R395" s="2">
        <v>51.63</v>
      </c>
      <c r="S395">
        <v>1</v>
      </c>
      <c r="T395" t="s">
        <v>58</v>
      </c>
      <c r="U395" t="s">
        <v>315</v>
      </c>
      <c r="V395" s="3">
        <v>0.9</v>
      </c>
      <c r="W395" s="2">
        <v>0</v>
      </c>
      <c r="X395">
        <v>0</v>
      </c>
      <c r="Y395" t="s">
        <v>60</v>
      </c>
      <c r="Z395" t="s">
        <v>317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46.47</v>
      </c>
      <c r="AN395" s="2">
        <v>46.47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45985</v>
      </c>
      <c r="B396" t="s">
        <v>48</v>
      </c>
      <c r="C396">
        <v>649163</v>
      </c>
      <c r="D396">
        <v>2028938952</v>
      </c>
      <c r="E396" t="s">
        <v>372</v>
      </c>
      <c r="F396" t="s">
        <v>240</v>
      </c>
      <c r="G396" t="s">
        <v>51</v>
      </c>
      <c r="H396" t="s">
        <v>64</v>
      </c>
      <c r="I396" t="s">
        <v>262</v>
      </c>
      <c r="J396" t="s">
        <v>263</v>
      </c>
      <c r="K396">
        <v>673059</v>
      </c>
      <c r="L396" t="s">
        <v>70</v>
      </c>
      <c r="M396" t="s">
        <v>71</v>
      </c>
      <c r="N396" t="s">
        <v>57</v>
      </c>
      <c r="O396" s="1">
        <v>45836</v>
      </c>
      <c r="Q396" s="1">
        <v>46019</v>
      </c>
      <c r="R396" s="2">
        <v>105.02</v>
      </c>
      <c r="S396">
        <v>1</v>
      </c>
      <c r="T396" t="s">
        <v>58</v>
      </c>
      <c r="U396" t="s">
        <v>315</v>
      </c>
      <c r="V396" s="3">
        <v>0.7</v>
      </c>
      <c r="W396" s="2">
        <v>0</v>
      </c>
      <c r="X396">
        <v>0</v>
      </c>
      <c r="Y396" t="s">
        <v>60</v>
      </c>
      <c r="Z396" t="s">
        <v>317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73.510000000000005</v>
      </c>
      <c r="AN396" s="2">
        <v>73.510000000000005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45985</v>
      </c>
      <c r="B397" t="s">
        <v>48</v>
      </c>
      <c r="C397">
        <v>649163</v>
      </c>
      <c r="D397">
        <v>2028942347</v>
      </c>
      <c r="E397" t="s">
        <v>613</v>
      </c>
      <c r="F397" t="s">
        <v>614</v>
      </c>
      <c r="G397" t="s">
        <v>51</v>
      </c>
      <c r="H397" t="s">
        <v>64</v>
      </c>
      <c r="I397" t="s">
        <v>262</v>
      </c>
      <c r="J397" t="s">
        <v>263</v>
      </c>
      <c r="K397">
        <v>823350</v>
      </c>
      <c r="L397" t="s">
        <v>91</v>
      </c>
      <c r="M397" t="s">
        <v>92</v>
      </c>
      <c r="N397" t="s">
        <v>57</v>
      </c>
      <c r="O397" s="1">
        <v>45801</v>
      </c>
      <c r="Q397" s="1">
        <v>46015</v>
      </c>
      <c r="R397" s="2">
        <v>192.61</v>
      </c>
      <c r="S397">
        <v>1</v>
      </c>
      <c r="T397" t="s">
        <v>58</v>
      </c>
      <c r="U397" t="s">
        <v>315</v>
      </c>
      <c r="V397" s="3">
        <v>0.7</v>
      </c>
      <c r="W397" s="2">
        <v>0</v>
      </c>
      <c r="X397">
        <v>0</v>
      </c>
      <c r="Y397" t="s">
        <v>60</v>
      </c>
      <c r="Z397" t="s">
        <v>317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134.83000000000001</v>
      </c>
      <c r="AN397" s="2">
        <v>134.83000000000001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45985</v>
      </c>
      <c r="B398" t="s">
        <v>48</v>
      </c>
      <c r="C398">
        <v>649163</v>
      </c>
      <c r="D398">
        <v>2029026298</v>
      </c>
      <c r="E398" t="s">
        <v>117</v>
      </c>
      <c r="F398" t="s">
        <v>506</v>
      </c>
      <c r="G398" t="s">
        <v>51</v>
      </c>
      <c r="H398" t="s">
        <v>424</v>
      </c>
      <c r="I398" t="s">
        <v>262</v>
      </c>
      <c r="J398" t="s">
        <v>265</v>
      </c>
      <c r="K398">
        <v>767312</v>
      </c>
      <c r="L398" t="s">
        <v>156</v>
      </c>
      <c r="M398" t="s">
        <v>157</v>
      </c>
      <c r="N398" t="s">
        <v>57</v>
      </c>
      <c r="O398" s="1">
        <v>45798</v>
      </c>
      <c r="Q398" s="1">
        <v>46012</v>
      </c>
      <c r="R398" s="2">
        <v>44.13</v>
      </c>
      <c r="S398">
        <v>1</v>
      </c>
      <c r="T398" t="s">
        <v>58</v>
      </c>
      <c r="U398" t="s">
        <v>315</v>
      </c>
      <c r="V398" s="3">
        <v>0.9</v>
      </c>
      <c r="W398" s="2">
        <v>0</v>
      </c>
      <c r="X398">
        <v>0</v>
      </c>
      <c r="Y398" t="s">
        <v>60</v>
      </c>
      <c r="Z398" t="s">
        <v>317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39.72</v>
      </c>
      <c r="AN398" s="2">
        <v>39.72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45985</v>
      </c>
      <c r="B399" t="s">
        <v>48</v>
      </c>
      <c r="C399">
        <v>649163</v>
      </c>
      <c r="D399">
        <v>2029057172</v>
      </c>
      <c r="E399" t="s">
        <v>615</v>
      </c>
      <c r="F399" t="s">
        <v>616</v>
      </c>
      <c r="G399" t="s">
        <v>51</v>
      </c>
      <c r="H399" t="s">
        <v>132</v>
      </c>
      <c r="I399" t="s">
        <v>262</v>
      </c>
      <c r="J399" t="s">
        <v>263</v>
      </c>
      <c r="K399">
        <v>813184</v>
      </c>
      <c r="L399" t="s">
        <v>142</v>
      </c>
      <c r="M399" t="s">
        <v>143</v>
      </c>
      <c r="N399" t="s">
        <v>57</v>
      </c>
      <c r="O399" s="1">
        <v>45799</v>
      </c>
      <c r="Q399" s="1">
        <v>46013</v>
      </c>
      <c r="R399" s="2">
        <v>78.73</v>
      </c>
      <c r="S399">
        <v>1</v>
      </c>
      <c r="T399" t="s">
        <v>58</v>
      </c>
      <c r="U399" t="s">
        <v>315</v>
      </c>
      <c r="V399" s="3">
        <v>0.7</v>
      </c>
      <c r="W399" s="2">
        <v>0</v>
      </c>
      <c r="X399">
        <v>0</v>
      </c>
      <c r="Y399" t="s">
        <v>60</v>
      </c>
      <c r="Z399" t="s">
        <v>317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0.01</v>
      </c>
      <c r="AM399" s="2">
        <v>55.1</v>
      </c>
      <c r="AN399" s="2">
        <v>55.1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45985</v>
      </c>
      <c r="B400" t="s">
        <v>48</v>
      </c>
      <c r="C400">
        <v>649163</v>
      </c>
      <c r="D400">
        <v>2029062371</v>
      </c>
      <c r="E400" t="s">
        <v>509</v>
      </c>
      <c r="F400" t="s">
        <v>510</v>
      </c>
      <c r="G400" t="s">
        <v>51</v>
      </c>
      <c r="H400" t="s">
        <v>129</v>
      </c>
      <c r="I400" t="s">
        <v>262</v>
      </c>
      <c r="J400" t="s">
        <v>265</v>
      </c>
      <c r="K400">
        <v>767312</v>
      </c>
      <c r="L400" t="s">
        <v>156</v>
      </c>
      <c r="M400" t="s">
        <v>157</v>
      </c>
      <c r="N400" t="s">
        <v>57</v>
      </c>
      <c r="O400" s="1">
        <v>45800</v>
      </c>
      <c r="Q400" s="1">
        <v>46014</v>
      </c>
      <c r="R400" s="2">
        <v>28.83</v>
      </c>
      <c r="S400">
        <v>1</v>
      </c>
      <c r="T400" t="s">
        <v>58</v>
      </c>
      <c r="U400" t="s">
        <v>315</v>
      </c>
      <c r="V400" s="3">
        <v>0.9</v>
      </c>
      <c r="W400" s="2">
        <v>0</v>
      </c>
      <c r="X400">
        <v>0</v>
      </c>
      <c r="Y400" t="s">
        <v>60</v>
      </c>
      <c r="Z400" t="s">
        <v>317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25.95</v>
      </c>
      <c r="AN400" s="2">
        <v>25.95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45985</v>
      </c>
      <c r="B401" t="s">
        <v>48</v>
      </c>
      <c r="C401">
        <v>649163</v>
      </c>
      <c r="D401">
        <v>2029062372</v>
      </c>
      <c r="E401" t="s">
        <v>509</v>
      </c>
      <c r="F401" t="s">
        <v>510</v>
      </c>
      <c r="G401" t="s">
        <v>51</v>
      </c>
      <c r="H401" t="s">
        <v>129</v>
      </c>
      <c r="I401" t="s">
        <v>262</v>
      </c>
      <c r="J401" t="s">
        <v>263</v>
      </c>
      <c r="K401">
        <v>767312</v>
      </c>
      <c r="L401" t="s">
        <v>156</v>
      </c>
      <c r="M401" t="s">
        <v>157</v>
      </c>
      <c r="N401" t="s">
        <v>57</v>
      </c>
      <c r="O401" s="1">
        <v>45800</v>
      </c>
      <c r="Q401" s="1">
        <v>46014</v>
      </c>
      <c r="R401" s="2">
        <v>29.48</v>
      </c>
      <c r="S401">
        <v>1</v>
      </c>
      <c r="T401" t="s">
        <v>58</v>
      </c>
      <c r="U401" t="s">
        <v>315</v>
      </c>
      <c r="V401" s="3">
        <v>0.7</v>
      </c>
      <c r="W401" s="2">
        <v>0</v>
      </c>
      <c r="X401">
        <v>0</v>
      </c>
      <c r="Y401" t="s">
        <v>60</v>
      </c>
      <c r="Z401" t="s">
        <v>317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20.64</v>
      </c>
      <c r="AN401" s="2">
        <v>20.64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45985</v>
      </c>
      <c r="B402" t="s">
        <v>48</v>
      </c>
      <c r="C402">
        <v>649163</v>
      </c>
      <c r="D402">
        <v>2029073661</v>
      </c>
      <c r="E402" t="s">
        <v>323</v>
      </c>
      <c r="F402" t="s">
        <v>324</v>
      </c>
      <c r="G402" t="s">
        <v>51</v>
      </c>
      <c r="H402" t="s">
        <v>235</v>
      </c>
      <c r="I402" t="s">
        <v>262</v>
      </c>
      <c r="J402" t="s">
        <v>263</v>
      </c>
      <c r="K402">
        <v>821015</v>
      </c>
      <c r="L402" t="s">
        <v>326</v>
      </c>
      <c r="M402" t="s">
        <v>327</v>
      </c>
      <c r="N402" t="s">
        <v>57</v>
      </c>
      <c r="O402" s="1">
        <v>45801</v>
      </c>
      <c r="Q402" s="1">
        <v>46015</v>
      </c>
      <c r="R402" s="2">
        <v>26.32</v>
      </c>
      <c r="S402">
        <v>1</v>
      </c>
      <c r="T402" t="s">
        <v>58</v>
      </c>
      <c r="U402" t="s">
        <v>315</v>
      </c>
      <c r="V402" s="3">
        <v>0.7</v>
      </c>
      <c r="W402" s="2">
        <v>0</v>
      </c>
      <c r="X402">
        <v>0</v>
      </c>
      <c r="Y402" t="s">
        <v>60</v>
      </c>
      <c r="Z402" t="s">
        <v>317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18.420000000000002</v>
      </c>
      <c r="AN402" s="2">
        <v>18.420000000000002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45985</v>
      </c>
      <c r="B403" t="s">
        <v>48</v>
      </c>
      <c r="C403">
        <v>649163</v>
      </c>
      <c r="D403">
        <v>2029081352</v>
      </c>
      <c r="E403" t="s">
        <v>511</v>
      </c>
      <c r="F403" t="s">
        <v>472</v>
      </c>
      <c r="G403" t="s">
        <v>51</v>
      </c>
      <c r="H403" t="s">
        <v>64</v>
      </c>
      <c r="I403" t="s">
        <v>262</v>
      </c>
      <c r="J403" t="s">
        <v>263</v>
      </c>
      <c r="K403">
        <v>823350</v>
      </c>
      <c r="L403" t="s">
        <v>91</v>
      </c>
      <c r="M403" t="s">
        <v>92</v>
      </c>
      <c r="N403" t="s">
        <v>57</v>
      </c>
      <c r="O403" s="1">
        <v>45800</v>
      </c>
      <c r="Q403" s="1">
        <v>46014</v>
      </c>
      <c r="R403" s="2">
        <v>11.5</v>
      </c>
      <c r="S403">
        <v>1</v>
      </c>
      <c r="T403" t="s">
        <v>58</v>
      </c>
      <c r="U403" t="s">
        <v>315</v>
      </c>
      <c r="V403" s="3">
        <v>0.7</v>
      </c>
      <c r="W403" s="2">
        <v>0</v>
      </c>
      <c r="X403">
        <v>0</v>
      </c>
      <c r="Y403" t="s">
        <v>60</v>
      </c>
      <c r="Z403" t="s">
        <v>317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8.0500000000000007</v>
      </c>
      <c r="AN403" s="2">
        <v>8.0500000000000007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45985</v>
      </c>
      <c r="B404" t="s">
        <v>48</v>
      </c>
      <c r="C404">
        <v>649163</v>
      </c>
      <c r="D404">
        <v>2029101373</v>
      </c>
      <c r="E404" t="s">
        <v>373</v>
      </c>
      <c r="F404" t="s">
        <v>374</v>
      </c>
      <c r="G404" t="s">
        <v>51</v>
      </c>
      <c r="H404" t="s">
        <v>105</v>
      </c>
      <c r="I404" t="s">
        <v>262</v>
      </c>
      <c r="J404" t="s">
        <v>265</v>
      </c>
      <c r="K404">
        <v>767312</v>
      </c>
      <c r="L404" t="s">
        <v>156</v>
      </c>
      <c r="M404" t="s">
        <v>157</v>
      </c>
      <c r="N404" t="s">
        <v>57</v>
      </c>
      <c r="O404" s="1">
        <v>45801</v>
      </c>
      <c r="Q404" s="1">
        <v>46015</v>
      </c>
      <c r="R404" s="2">
        <v>33.75</v>
      </c>
      <c r="S404">
        <v>1</v>
      </c>
      <c r="T404" t="s">
        <v>58</v>
      </c>
      <c r="U404" t="s">
        <v>315</v>
      </c>
      <c r="V404" s="3">
        <v>0.9</v>
      </c>
      <c r="W404" s="2">
        <v>0</v>
      </c>
      <c r="X404">
        <v>0</v>
      </c>
      <c r="Y404" t="s">
        <v>60</v>
      </c>
      <c r="Z404" t="s">
        <v>317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30.38</v>
      </c>
      <c r="AN404" s="2">
        <v>30.38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45985</v>
      </c>
      <c r="B405" t="s">
        <v>48</v>
      </c>
      <c r="C405">
        <v>649163</v>
      </c>
      <c r="D405">
        <v>2029101374</v>
      </c>
      <c r="E405" t="s">
        <v>373</v>
      </c>
      <c r="F405" t="s">
        <v>374</v>
      </c>
      <c r="G405" t="s">
        <v>51</v>
      </c>
      <c r="H405" t="s">
        <v>105</v>
      </c>
      <c r="I405" t="s">
        <v>262</v>
      </c>
      <c r="J405" t="s">
        <v>263</v>
      </c>
      <c r="K405">
        <v>767312</v>
      </c>
      <c r="L405" t="s">
        <v>156</v>
      </c>
      <c r="M405" t="s">
        <v>157</v>
      </c>
      <c r="N405" t="s">
        <v>57</v>
      </c>
      <c r="O405" s="1">
        <v>45801</v>
      </c>
      <c r="Q405" s="1">
        <v>46015</v>
      </c>
      <c r="R405" s="2">
        <v>27.89</v>
      </c>
      <c r="S405">
        <v>1</v>
      </c>
      <c r="T405" t="s">
        <v>58</v>
      </c>
      <c r="U405" t="s">
        <v>315</v>
      </c>
      <c r="V405" s="3">
        <v>0.7</v>
      </c>
      <c r="W405" s="2">
        <v>0</v>
      </c>
      <c r="X405">
        <v>0</v>
      </c>
      <c r="Y405" t="s">
        <v>60</v>
      </c>
      <c r="Z405" t="s">
        <v>317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0.01</v>
      </c>
      <c r="AM405" s="2">
        <v>19.510000000000002</v>
      </c>
      <c r="AN405" s="2">
        <v>19.510000000000002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45985</v>
      </c>
      <c r="B406" t="s">
        <v>48</v>
      </c>
      <c r="C406">
        <v>649163</v>
      </c>
      <c r="D406">
        <v>2029112078</v>
      </c>
      <c r="E406" t="s">
        <v>617</v>
      </c>
      <c r="F406" t="s">
        <v>429</v>
      </c>
      <c r="G406" t="s">
        <v>51</v>
      </c>
      <c r="H406" t="s">
        <v>64</v>
      </c>
      <c r="I406" t="s">
        <v>262</v>
      </c>
      <c r="J406" t="s">
        <v>263</v>
      </c>
      <c r="K406">
        <v>812656</v>
      </c>
      <c r="L406" t="s">
        <v>209</v>
      </c>
      <c r="M406" t="s">
        <v>210</v>
      </c>
      <c r="N406" t="s">
        <v>57</v>
      </c>
      <c r="O406" s="1">
        <v>45802</v>
      </c>
      <c r="Q406" s="1">
        <v>46016</v>
      </c>
      <c r="R406" s="2">
        <v>46.08</v>
      </c>
      <c r="S406">
        <v>1</v>
      </c>
      <c r="T406" t="s">
        <v>58</v>
      </c>
      <c r="U406" t="s">
        <v>315</v>
      </c>
      <c r="V406" s="3">
        <v>0.7</v>
      </c>
      <c r="W406" s="2">
        <v>0</v>
      </c>
      <c r="X406">
        <v>0</v>
      </c>
      <c r="Y406" t="s">
        <v>60</v>
      </c>
      <c r="Z406" t="s">
        <v>317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32.26</v>
      </c>
      <c r="AN406" s="2">
        <v>32.26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45985</v>
      </c>
      <c r="B407" t="s">
        <v>48</v>
      </c>
      <c r="C407">
        <v>649163</v>
      </c>
      <c r="D407">
        <v>2029118392</v>
      </c>
      <c r="E407" t="s">
        <v>618</v>
      </c>
      <c r="F407" t="s">
        <v>619</v>
      </c>
      <c r="G407" t="s">
        <v>51</v>
      </c>
      <c r="H407" t="s">
        <v>64</v>
      </c>
      <c r="I407" t="s">
        <v>262</v>
      </c>
      <c r="J407" t="s">
        <v>263</v>
      </c>
      <c r="K407">
        <v>807212</v>
      </c>
      <c r="L407" t="s">
        <v>498</v>
      </c>
      <c r="M407" t="s">
        <v>499</v>
      </c>
      <c r="N407" t="s">
        <v>57</v>
      </c>
      <c r="O407" s="1">
        <v>45803</v>
      </c>
      <c r="Q407" s="1">
        <v>46017</v>
      </c>
      <c r="R407" s="2">
        <v>76.709999999999994</v>
      </c>
      <c r="S407">
        <v>1</v>
      </c>
      <c r="T407" t="s">
        <v>58</v>
      </c>
      <c r="U407" t="s">
        <v>315</v>
      </c>
      <c r="V407" s="3">
        <v>0.7</v>
      </c>
      <c r="W407" s="2">
        <v>0</v>
      </c>
      <c r="X407">
        <v>0</v>
      </c>
      <c r="Y407" t="s">
        <v>60</v>
      </c>
      <c r="Z407" t="s">
        <v>317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53.7</v>
      </c>
      <c r="AN407" s="2">
        <v>53.7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45985</v>
      </c>
      <c r="B408" t="s">
        <v>48</v>
      </c>
      <c r="C408">
        <v>649163</v>
      </c>
      <c r="D408">
        <v>2029118625</v>
      </c>
      <c r="E408" t="s">
        <v>618</v>
      </c>
      <c r="F408" t="s">
        <v>620</v>
      </c>
      <c r="G408" t="s">
        <v>51</v>
      </c>
      <c r="H408" t="s">
        <v>64</v>
      </c>
      <c r="I408" t="s">
        <v>262</v>
      </c>
      <c r="J408" t="s">
        <v>263</v>
      </c>
      <c r="K408">
        <v>807212</v>
      </c>
      <c r="L408" t="s">
        <v>498</v>
      </c>
      <c r="M408" t="s">
        <v>499</v>
      </c>
      <c r="N408" t="s">
        <v>57</v>
      </c>
      <c r="O408" s="1">
        <v>45803</v>
      </c>
      <c r="Q408" s="1">
        <v>46017</v>
      </c>
      <c r="R408" s="2">
        <v>51</v>
      </c>
      <c r="S408">
        <v>1</v>
      </c>
      <c r="T408" t="s">
        <v>58</v>
      </c>
      <c r="U408" t="s">
        <v>315</v>
      </c>
      <c r="V408" s="3">
        <v>0.7</v>
      </c>
      <c r="W408" s="2">
        <v>0</v>
      </c>
      <c r="X408">
        <v>0</v>
      </c>
      <c r="Y408" t="s">
        <v>60</v>
      </c>
      <c r="Z408" t="s">
        <v>317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35.700000000000003</v>
      </c>
      <c r="AN408" s="2">
        <v>35.700000000000003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45985</v>
      </c>
      <c r="B409" t="s">
        <v>48</v>
      </c>
      <c r="C409">
        <v>649163</v>
      </c>
      <c r="D409">
        <v>2029145085</v>
      </c>
      <c r="E409" t="s">
        <v>428</v>
      </c>
      <c r="F409" t="s">
        <v>429</v>
      </c>
      <c r="G409" t="s">
        <v>51</v>
      </c>
      <c r="H409" t="s">
        <v>64</v>
      </c>
      <c r="I409" t="s">
        <v>262</v>
      </c>
      <c r="J409" t="s">
        <v>263</v>
      </c>
      <c r="K409">
        <v>766422</v>
      </c>
      <c r="L409" t="s">
        <v>430</v>
      </c>
      <c r="M409" t="s">
        <v>332</v>
      </c>
      <c r="N409" t="s">
        <v>57</v>
      </c>
      <c r="O409" s="1">
        <v>45805</v>
      </c>
      <c r="Q409" s="1">
        <v>46019</v>
      </c>
      <c r="R409" s="2">
        <v>115.38</v>
      </c>
      <c r="S409">
        <v>1</v>
      </c>
      <c r="T409" t="s">
        <v>58</v>
      </c>
      <c r="U409" t="s">
        <v>315</v>
      </c>
      <c r="V409" s="3">
        <v>0.7</v>
      </c>
      <c r="W409" s="2">
        <v>0</v>
      </c>
      <c r="X409">
        <v>0</v>
      </c>
      <c r="Y409" t="s">
        <v>60</v>
      </c>
      <c r="Z409" t="s">
        <v>317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80.77</v>
      </c>
      <c r="AN409" s="2">
        <v>80.77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45985</v>
      </c>
      <c r="B410" t="s">
        <v>48</v>
      </c>
      <c r="C410">
        <v>649163</v>
      </c>
      <c r="D410">
        <v>2029215890</v>
      </c>
      <c r="E410" t="s">
        <v>621</v>
      </c>
      <c r="F410" t="s">
        <v>472</v>
      </c>
      <c r="G410" t="s">
        <v>51</v>
      </c>
      <c r="H410" t="s">
        <v>105</v>
      </c>
      <c r="I410" t="s">
        <v>262</v>
      </c>
      <c r="J410" t="s">
        <v>263</v>
      </c>
      <c r="K410">
        <v>856824</v>
      </c>
      <c r="L410" t="s">
        <v>106</v>
      </c>
      <c r="M410" t="s">
        <v>107</v>
      </c>
      <c r="N410" t="s">
        <v>337</v>
      </c>
      <c r="O410" s="1">
        <v>45809</v>
      </c>
      <c r="P410" s="1">
        <v>45971</v>
      </c>
      <c r="Q410" s="1">
        <v>45992</v>
      </c>
      <c r="R410" s="2">
        <v>-77.430000000000007</v>
      </c>
      <c r="S410">
        <v>1</v>
      </c>
      <c r="T410" t="s">
        <v>58</v>
      </c>
      <c r="U410" t="s">
        <v>315</v>
      </c>
      <c r="V410" s="3">
        <v>0.7</v>
      </c>
      <c r="W410" s="2">
        <v>0</v>
      </c>
      <c r="X410">
        <v>-1</v>
      </c>
      <c r="Y410" t="s">
        <v>60</v>
      </c>
      <c r="Z410" t="s">
        <v>317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-54.2</v>
      </c>
      <c r="AN410" s="2">
        <v>-54.2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45985</v>
      </c>
      <c r="B411" t="s">
        <v>48</v>
      </c>
      <c r="C411">
        <v>649163</v>
      </c>
      <c r="D411">
        <v>2029215890</v>
      </c>
      <c r="E411" t="s">
        <v>621</v>
      </c>
      <c r="F411" t="s">
        <v>472</v>
      </c>
      <c r="G411" t="s">
        <v>51</v>
      </c>
      <c r="H411" t="s">
        <v>105</v>
      </c>
      <c r="I411" t="s">
        <v>262</v>
      </c>
      <c r="J411" t="s">
        <v>263</v>
      </c>
      <c r="K411">
        <v>856824</v>
      </c>
      <c r="L411" t="s">
        <v>106</v>
      </c>
      <c r="M411" t="s">
        <v>107</v>
      </c>
      <c r="N411" t="s">
        <v>337</v>
      </c>
      <c r="O411" s="1">
        <v>45809</v>
      </c>
      <c r="P411" s="1">
        <v>45971</v>
      </c>
      <c r="Q411" s="1">
        <v>45992</v>
      </c>
      <c r="R411" s="2">
        <v>-77.430000000000007</v>
      </c>
      <c r="S411">
        <v>1</v>
      </c>
      <c r="T411" t="s">
        <v>58</v>
      </c>
      <c r="U411" t="s">
        <v>315</v>
      </c>
      <c r="V411" s="3">
        <v>0.7</v>
      </c>
      <c r="W411" s="2">
        <v>0</v>
      </c>
      <c r="X411">
        <v>-1</v>
      </c>
      <c r="Y411" t="s">
        <v>60</v>
      </c>
      <c r="Z411" t="s">
        <v>317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-54.2</v>
      </c>
      <c r="AN411" s="2">
        <v>-54.2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45985</v>
      </c>
      <c r="B412" t="s">
        <v>48</v>
      </c>
      <c r="C412">
        <v>649163</v>
      </c>
      <c r="D412">
        <v>2029215890</v>
      </c>
      <c r="E412" t="s">
        <v>621</v>
      </c>
      <c r="F412" t="s">
        <v>472</v>
      </c>
      <c r="G412" t="s">
        <v>51</v>
      </c>
      <c r="H412" t="s">
        <v>105</v>
      </c>
      <c r="I412" t="s">
        <v>262</v>
      </c>
      <c r="J412" t="s">
        <v>263</v>
      </c>
      <c r="K412">
        <v>856824</v>
      </c>
      <c r="L412" t="s">
        <v>106</v>
      </c>
      <c r="M412" t="s">
        <v>107</v>
      </c>
      <c r="N412" t="s">
        <v>337</v>
      </c>
      <c r="O412" s="1">
        <v>45809</v>
      </c>
      <c r="P412" s="1">
        <v>45971</v>
      </c>
      <c r="Q412" s="1">
        <v>45992</v>
      </c>
      <c r="R412" s="2">
        <v>-77.430000000000007</v>
      </c>
      <c r="S412">
        <v>1</v>
      </c>
      <c r="T412" t="s">
        <v>58</v>
      </c>
      <c r="U412" t="s">
        <v>315</v>
      </c>
      <c r="V412" s="3">
        <v>0.7</v>
      </c>
      <c r="W412" s="2">
        <v>0</v>
      </c>
      <c r="X412">
        <v>-1</v>
      </c>
      <c r="Y412" t="s">
        <v>60</v>
      </c>
      <c r="Z412" t="s">
        <v>317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-54.2</v>
      </c>
      <c r="AN412" s="2">
        <v>-54.2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45985</v>
      </c>
      <c r="B413" t="s">
        <v>48</v>
      </c>
      <c r="C413">
        <v>649163</v>
      </c>
      <c r="D413">
        <v>2029215890</v>
      </c>
      <c r="E413" t="s">
        <v>621</v>
      </c>
      <c r="F413" t="s">
        <v>472</v>
      </c>
      <c r="G413" t="s">
        <v>51</v>
      </c>
      <c r="H413" t="s">
        <v>105</v>
      </c>
      <c r="I413" t="s">
        <v>262</v>
      </c>
      <c r="J413" t="s">
        <v>263</v>
      </c>
      <c r="K413">
        <v>856824</v>
      </c>
      <c r="L413" t="s">
        <v>106</v>
      </c>
      <c r="M413" t="s">
        <v>107</v>
      </c>
      <c r="N413" t="s">
        <v>337</v>
      </c>
      <c r="O413" s="1">
        <v>45809</v>
      </c>
      <c r="P413" s="1">
        <v>45971</v>
      </c>
      <c r="Q413" s="1">
        <v>45992</v>
      </c>
      <c r="R413" s="2">
        <v>-77.430000000000007</v>
      </c>
      <c r="S413">
        <v>1</v>
      </c>
      <c r="T413" t="s">
        <v>58</v>
      </c>
      <c r="U413" t="s">
        <v>315</v>
      </c>
      <c r="V413" s="3">
        <v>0.7</v>
      </c>
      <c r="W413" s="2">
        <v>0</v>
      </c>
      <c r="X413">
        <v>-1</v>
      </c>
      <c r="Y413" t="s">
        <v>60</v>
      </c>
      <c r="Z413" t="s">
        <v>317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-54.2</v>
      </c>
      <c r="AN413" s="2">
        <v>-54.2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45985</v>
      </c>
      <c r="B414" t="s">
        <v>48</v>
      </c>
      <c r="C414">
        <v>649163</v>
      </c>
      <c r="D414">
        <v>2029598584</v>
      </c>
      <c r="E414" t="s">
        <v>622</v>
      </c>
      <c r="F414" t="s">
        <v>623</v>
      </c>
      <c r="G414" t="s">
        <v>51</v>
      </c>
      <c r="H414" t="s">
        <v>64</v>
      </c>
      <c r="I414" t="s">
        <v>262</v>
      </c>
      <c r="J414" t="s">
        <v>263</v>
      </c>
      <c r="K414">
        <v>807212</v>
      </c>
      <c r="L414" t="s">
        <v>498</v>
      </c>
      <c r="M414" t="s">
        <v>499</v>
      </c>
      <c r="N414" t="s">
        <v>57</v>
      </c>
      <c r="O414" s="1">
        <v>45832</v>
      </c>
      <c r="Q414" s="1">
        <v>46015</v>
      </c>
      <c r="R414" s="2">
        <v>90.45</v>
      </c>
      <c r="S414">
        <v>1</v>
      </c>
      <c r="T414" t="s">
        <v>58</v>
      </c>
      <c r="U414" t="s">
        <v>315</v>
      </c>
      <c r="V414" s="3">
        <v>0.7</v>
      </c>
      <c r="W414" s="2">
        <v>0</v>
      </c>
      <c r="X414">
        <v>0</v>
      </c>
      <c r="Y414" t="s">
        <v>60</v>
      </c>
      <c r="Z414" t="s">
        <v>317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63.3</v>
      </c>
      <c r="AM414" s="2">
        <v>0.02</v>
      </c>
      <c r="AN414" s="2">
        <v>0.02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45985</v>
      </c>
      <c r="B415" t="s">
        <v>48</v>
      </c>
      <c r="C415">
        <v>649163</v>
      </c>
      <c r="D415">
        <v>2029620630</v>
      </c>
      <c r="E415" t="s">
        <v>375</v>
      </c>
      <c r="F415" t="s">
        <v>376</v>
      </c>
      <c r="G415" t="s">
        <v>51</v>
      </c>
      <c r="H415" t="s">
        <v>64</v>
      </c>
      <c r="I415" t="s">
        <v>262</v>
      </c>
      <c r="J415" t="s">
        <v>263</v>
      </c>
      <c r="K415">
        <v>824062</v>
      </c>
      <c r="L415" t="s">
        <v>115</v>
      </c>
      <c r="M415" t="s">
        <v>116</v>
      </c>
      <c r="N415" t="s">
        <v>57</v>
      </c>
      <c r="O415" s="1">
        <v>45833</v>
      </c>
      <c r="Q415" s="1">
        <v>46016</v>
      </c>
      <c r="R415" s="2">
        <v>11.5</v>
      </c>
      <c r="S415">
        <v>1</v>
      </c>
      <c r="T415" t="s">
        <v>58</v>
      </c>
      <c r="U415" t="s">
        <v>315</v>
      </c>
      <c r="V415" s="3">
        <v>0.7</v>
      </c>
      <c r="W415" s="2">
        <v>0</v>
      </c>
      <c r="X415">
        <v>0</v>
      </c>
      <c r="Y415" t="s">
        <v>60</v>
      </c>
      <c r="Z415" t="s">
        <v>317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8.0500000000000007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45985</v>
      </c>
      <c r="B416" t="s">
        <v>48</v>
      </c>
      <c r="C416">
        <v>649163</v>
      </c>
      <c r="D416">
        <v>2029623277</v>
      </c>
      <c r="E416" t="s">
        <v>431</v>
      </c>
      <c r="F416" t="s">
        <v>432</v>
      </c>
      <c r="G416" t="s">
        <v>51</v>
      </c>
      <c r="H416" t="s">
        <v>64</v>
      </c>
      <c r="I416" t="s">
        <v>262</v>
      </c>
      <c r="J416" t="s">
        <v>263</v>
      </c>
      <c r="K416">
        <v>840313</v>
      </c>
      <c r="L416" t="s">
        <v>433</v>
      </c>
      <c r="M416" t="s">
        <v>434</v>
      </c>
      <c r="N416" t="s">
        <v>57</v>
      </c>
      <c r="O416" s="1">
        <v>45833</v>
      </c>
      <c r="Q416" s="1">
        <v>46016</v>
      </c>
      <c r="R416" s="2">
        <v>56.5</v>
      </c>
      <c r="S416">
        <v>1</v>
      </c>
      <c r="T416" t="s">
        <v>58</v>
      </c>
      <c r="U416" t="s">
        <v>315</v>
      </c>
      <c r="V416" s="3">
        <v>0.7</v>
      </c>
      <c r="W416" s="2">
        <v>0</v>
      </c>
      <c r="X416">
        <v>0</v>
      </c>
      <c r="Y416" t="s">
        <v>60</v>
      </c>
      <c r="Z416" t="s">
        <v>317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39.549999999999997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45985</v>
      </c>
      <c r="B417" t="s">
        <v>48</v>
      </c>
      <c r="C417">
        <v>649163</v>
      </c>
      <c r="D417">
        <v>2029647651</v>
      </c>
      <c r="E417" t="s">
        <v>624</v>
      </c>
      <c r="F417" t="s">
        <v>625</v>
      </c>
      <c r="G417" t="s">
        <v>51</v>
      </c>
      <c r="H417" t="s">
        <v>64</v>
      </c>
      <c r="I417" t="s">
        <v>262</v>
      </c>
      <c r="J417" t="s">
        <v>265</v>
      </c>
      <c r="K417">
        <v>807212</v>
      </c>
      <c r="L417" t="s">
        <v>498</v>
      </c>
      <c r="M417" t="s">
        <v>499</v>
      </c>
      <c r="N417" t="s">
        <v>57</v>
      </c>
      <c r="O417" s="1">
        <v>45834</v>
      </c>
      <c r="Q417" s="1">
        <v>46017</v>
      </c>
      <c r="R417" s="2">
        <v>17.62</v>
      </c>
      <c r="S417">
        <v>1</v>
      </c>
      <c r="T417" t="s">
        <v>58</v>
      </c>
      <c r="U417" t="s">
        <v>315</v>
      </c>
      <c r="V417" s="3">
        <v>0.9</v>
      </c>
      <c r="W417" s="2">
        <v>0</v>
      </c>
      <c r="X417">
        <v>0</v>
      </c>
      <c r="Y417" t="s">
        <v>60</v>
      </c>
      <c r="Z417" t="s">
        <v>317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15.86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45985</v>
      </c>
      <c r="B418" t="s">
        <v>48</v>
      </c>
      <c r="C418">
        <v>649163</v>
      </c>
      <c r="D418">
        <v>2029690468</v>
      </c>
      <c r="E418" t="s">
        <v>626</v>
      </c>
      <c r="F418" t="s">
        <v>627</v>
      </c>
      <c r="G418" t="s">
        <v>51</v>
      </c>
      <c r="H418" t="s">
        <v>135</v>
      </c>
      <c r="I418" t="s">
        <v>262</v>
      </c>
      <c r="J418" t="s">
        <v>263</v>
      </c>
      <c r="K418">
        <v>812994</v>
      </c>
      <c r="L418" t="s">
        <v>443</v>
      </c>
      <c r="M418" t="s">
        <v>444</v>
      </c>
      <c r="N418" t="s">
        <v>57</v>
      </c>
      <c r="O418" s="1">
        <v>45836</v>
      </c>
      <c r="Q418" s="1">
        <v>46019</v>
      </c>
      <c r="R418" s="2">
        <v>164.81</v>
      </c>
      <c r="S418">
        <v>1</v>
      </c>
      <c r="T418" t="s">
        <v>58</v>
      </c>
      <c r="U418" t="s">
        <v>315</v>
      </c>
      <c r="V418" s="3">
        <v>0.7</v>
      </c>
      <c r="W418" s="2">
        <v>0</v>
      </c>
      <c r="X418">
        <v>0</v>
      </c>
      <c r="Y418" t="s">
        <v>60</v>
      </c>
      <c r="Z418" t="s">
        <v>317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115.36</v>
      </c>
      <c r="AM418" s="2">
        <v>0.01</v>
      </c>
      <c r="AN418" s="2">
        <v>0.01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45985</v>
      </c>
      <c r="B419" t="s">
        <v>48</v>
      </c>
      <c r="C419">
        <v>649163</v>
      </c>
      <c r="D419">
        <v>2029692901</v>
      </c>
      <c r="E419" t="s">
        <v>274</v>
      </c>
      <c r="F419" t="s">
        <v>628</v>
      </c>
      <c r="G419" t="s">
        <v>51</v>
      </c>
      <c r="H419" t="s">
        <v>310</v>
      </c>
      <c r="I419" t="s">
        <v>262</v>
      </c>
      <c r="J419" t="s">
        <v>263</v>
      </c>
      <c r="K419">
        <v>882035</v>
      </c>
      <c r="L419" t="s">
        <v>629</v>
      </c>
      <c r="M419" t="s">
        <v>630</v>
      </c>
      <c r="N419" t="s">
        <v>57</v>
      </c>
      <c r="O419" s="1">
        <v>45836</v>
      </c>
      <c r="Q419" s="1">
        <v>46019</v>
      </c>
      <c r="R419" s="2">
        <v>15.18</v>
      </c>
      <c r="S419">
        <v>1</v>
      </c>
      <c r="T419" t="s">
        <v>58</v>
      </c>
      <c r="U419" t="s">
        <v>315</v>
      </c>
      <c r="V419" s="3">
        <v>0.7</v>
      </c>
      <c r="W419" s="2">
        <v>0</v>
      </c>
      <c r="X419">
        <v>0</v>
      </c>
      <c r="Y419" t="s">
        <v>60</v>
      </c>
      <c r="Z419" t="s">
        <v>317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10.62</v>
      </c>
      <c r="AM419" s="2">
        <v>0.01</v>
      </c>
      <c r="AN419" s="2">
        <v>0.01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45985</v>
      </c>
      <c r="B420" t="s">
        <v>48</v>
      </c>
      <c r="C420">
        <v>649163</v>
      </c>
      <c r="D420">
        <v>2029951220</v>
      </c>
      <c r="E420" t="s">
        <v>631</v>
      </c>
      <c r="F420" t="s">
        <v>632</v>
      </c>
      <c r="G420" t="s">
        <v>51</v>
      </c>
      <c r="H420" t="s">
        <v>119</v>
      </c>
      <c r="I420" t="s">
        <v>262</v>
      </c>
      <c r="J420" t="s">
        <v>263</v>
      </c>
      <c r="K420">
        <v>673059</v>
      </c>
      <c r="L420" t="s">
        <v>70</v>
      </c>
      <c r="M420" t="s">
        <v>71</v>
      </c>
      <c r="N420" t="s">
        <v>57</v>
      </c>
      <c r="O420" s="1">
        <v>45853</v>
      </c>
      <c r="Q420" s="1">
        <v>46006</v>
      </c>
      <c r="R420" s="2">
        <v>-125.48</v>
      </c>
      <c r="S420">
        <v>1</v>
      </c>
      <c r="T420" t="s">
        <v>58</v>
      </c>
      <c r="U420" t="s">
        <v>315</v>
      </c>
      <c r="V420" s="3">
        <v>0.7</v>
      </c>
      <c r="W420" s="2">
        <v>0</v>
      </c>
      <c r="X420">
        <v>-1</v>
      </c>
      <c r="Y420" t="s">
        <v>60</v>
      </c>
      <c r="Z420" t="s">
        <v>317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-87.84</v>
      </c>
      <c r="AN420" s="2">
        <v>-87.84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45985</v>
      </c>
      <c r="B421" t="s">
        <v>48</v>
      </c>
      <c r="C421">
        <v>649163</v>
      </c>
      <c r="D421">
        <v>2029992083</v>
      </c>
      <c r="E421" t="s">
        <v>183</v>
      </c>
      <c r="F421" t="s">
        <v>633</v>
      </c>
      <c r="G421" t="s">
        <v>51</v>
      </c>
      <c r="H421" t="s">
        <v>64</v>
      </c>
      <c r="I421" t="s">
        <v>262</v>
      </c>
      <c r="J421" t="s">
        <v>263</v>
      </c>
      <c r="K421">
        <v>839554</v>
      </c>
      <c r="L421" t="s">
        <v>256</v>
      </c>
      <c r="M421" t="s">
        <v>257</v>
      </c>
      <c r="N421" t="s">
        <v>57</v>
      </c>
      <c r="O421" s="1">
        <v>45860</v>
      </c>
      <c r="Q421" s="1">
        <v>46013</v>
      </c>
      <c r="R421" s="2">
        <v>84.57</v>
      </c>
      <c r="S421">
        <v>1</v>
      </c>
      <c r="T421" t="s">
        <v>58</v>
      </c>
      <c r="U421" t="s">
        <v>315</v>
      </c>
      <c r="V421" s="3">
        <v>0.7</v>
      </c>
      <c r="W421" s="2">
        <v>0</v>
      </c>
      <c r="X421">
        <v>0</v>
      </c>
      <c r="Y421" t="s">
        <v>60</v>
      </c>
      <c r="Z421" t="s">
        <v>317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59.2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45985</v>
      </c>
      <c r="B422" t="s">
        <v>48</v>
      </c>
      <c r="C422">
        <v>649163</v>
      </c>
      <c r="D422">
        <v>2030064158</v>
      </c>
      <c r="E422" t="s">
        <v>516</v>
      </c>
      <c r="F422" t="s">
        <v>517</v>
      </c>
      <c r="G422" t="s">
        <v>51</v>
      </c>
      <c r="H422" t="s">
        <v>235</v>
      </c>
      <c r="I422" t="s">
        <v>262</v>
      </c>
      <c r="J422" t="s">
        <v>263</v>
      </c>
      <c r="K422">
        <v>673059</v>
      </c>
      <c r="L422" t="s">
        <v>70</v>
      </c>
      <c r="M422" t="s">
        <v>71</v>
      </c>
      <c r="N422" t="s">
        <v>57</v>
      </c>
      <c r="O422" s="1">
        <v>45860</v>
      </c>
      <c r="Q422" s="1">
        <v>46013</v>
      </c>
      <c r="R422" s="2">
        <v>14.72</v>
      </c>
      <c r="S422">
        <v>1</v>
      </c>
      <c r="T422" t="s">
        <v>58</v>
      </c>
      <c r="U422" t="s">
        <v>315</v>
      </c>
      <c r="V422" s="3">
        <v>0.7</v>
      </c>
      <c r="W422" s="2">
        <v>0</v>
      </c>
      <c r="X422">
        <v>0</v>
      </c>
      <c r="Y422" t="s">
        <v>60</v>
      </c>
      <c r="Z422" t="s">
        <v>317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10.3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45985</v>
      </c>
      <c r="B423" t="s">
        <v>48</v>
      </c>
      <c r="C423">
        <v>649163</v>
      </c>
      <c r="D423">
        <v>2030076096</v>
      </c>
      <c r="E423" t="s">
        <v>634</v>
      </c>
      <c r="F423" t="s">
        <v>498</v>
      </c>
      <c r="G423" t="s">
        <v>51</v>
      </c>
      <c r="H423" t="s">
        <v>64</v>
      </c>
      <c r="I423" t="s">
        <v>262</v>
      </c>
      <c r="J423" t="s">
        <v>263</v>
      </c>
      <c r="K423">
        <v>807212</v>
      </c>
      <c r="L423" t="s">
        <v>498</v>
      </c>
      <c r="M423" t="s">
        <v>499</v>
      </c>
      <c r="N423" t="s">
        <v>57</v>
      </c>
      <c r="O423" s="1">
        <v>45860</v>
      </c>
      <c r="Q423" s="1">
        <v>46013</v>
      </c>
      <c r="R423" s="2">
        <v>34</v>
      </c>
      <c r="S423">
        <v>1</v>
      </c>
      <c r="T423" t="s">
        <v>58</v>
      </c>
      <c r="U423" t="s">
        <v>315</v>
      </c>
      <c r="V423" s="3">
        <v>0.7</v>
      </c>
      <c r="W423" s="2">
        <v>0</v>
      </c>
      <c r="X423">
        <v>0</v>
      </c>
      <c r="Y423" t="s">
        <v>60</v>
      </c>
      <c r="Z423" t="s">
        <v>317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23.8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45985</v>
      </c>
      <c r="B424" t="s">
        <v>48</v>
      </c>
      <c r="C424">
        <v>649163</v>
      </c>
      <c r="D424">
        <v>2030079840</v>
      </c>
      <c r="E424" t="s">
        <v>379</v>
      </c>
      <c r="F424" t="s">
        <v>380</v>
      </c>
      <c r="G424" t="s">
        <v>51</v>
      </c>
      <c r="H424" t="s">
        <v>95</v>
      </c>
      <c r="I424" t="s">
        <v>262</v>
      </c>
      <c r="J424" t="s">
        <v>562</v>
      </c>
      <c r="K424">
        <v>823068</v>
      </c>
      <c r="L424" t="s">
        <v>125</v>
      </c>
      <c r="M424" t="s">
        <v>126</v>
      </c>
      <c r="N424" t="s">
        <v>57</v>
      </c>
      <c r="O424" s="1">
        <v>45861</v>
      </c>
      <c r="Q424" s="1">
        <v>46014</v>
      </c>
      <c r="R424" s="2">
        <v>24.61</v>
      </c>
      <c r="S424">
        <v>1</v>
      </c>
      <c r="T424" t="s">
        <v>58</v>
      </c>
      <c r="U424" t="s">
        <v>315</v>
      </c>
      <c r="V424" s="3">
        <v>0.7</v>
      </c>
      <c r="W424" s="2">
        <v>0</v>
      </c>
      <c r="X424">
        <v>0</v>
      </c>
      <c r="Y424" t="s">
        <v>60</v>
      </c>
      <c r="Z424" t="s">
        <v>317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17.23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45985</v>
      </c>
      <c r="B425" t="s">
        <v>48</v>
      </c>
      <c r="C425">
        <v>649163</v>
      </c>
      <c r="D425">
        <v>2030084096</v>
      </c>
      <c r="E425" t="s">
        <v>635</v>
      </c>
      <c r="F425" t="s">
        <v>636</v>
      </c>
      <c r="G425" t="s">
        <v>51</v>
      </c>
      <c r="H425" t="s">
        <v>64</v>
      </c>
      <c r="I425" t="s">
        <v>262</v>
      </c>
      <c r="J425" t="s">
        <v>302</v>
      </c>
      <c r="K425">
        <v>843573</v>
      </c>
      <c r="L425" t="s">
        <v>227</v>
      </c>
      <c r="M425" t="s">
        <v>228</v>
      </c>
      <c r="N425" t="s">
        <v>57</v>
      </c>
      <c r="O425" s="1">
        <v>45862</v>
      </c>
      <c r="Q425" s="1">
        <v>46015</v>
      </c>
      <c r="R425" s="2">
        <v>25.08</v>
      </c>
      <c r="S425">
        <v>1</v>
      </c>
      <c r="T425" t="s">
        <v>58</v>
      </c>
      <c r="U425" t="s">
        <v>315</v>
      </c>
      <c r="V425" s="3">
        <v>0.42</v>
      </c>
      <c r="W425" s="2">
        <v>0</v>
      </c>
      <c r="X425">
        <v>0</v>
      </c>
      <c r="Y425" t="s">
        <v>60</v>
      </c>
      <c r="Z425" t="s">
        <v>317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10.53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45985</v>
      </c>
      <c r="B426" t="s">
        <v>48</v>
      </c>
      <c r="C426">
        <v>649163</v>
      </c>
      <c r="D426">
        <v>2030084097</v>
      </c>
      <c r="E426" t="s">
        <v>635</v>
      </c>
      <c r="F426" t="s">
        <v>636</v>
      </c>
      <c r="G426" t="s">
        <v>51</v>
      </c>
      <c r="H426" t="s">
        <v>64</v>
      </c>
      <c r="I426" t="s">
        <v>262</v>
      </c>
      <c r="J426" t="s">
        <v>263</v>
      </c>
      <c r="K426">
        <v>843573</v>
      </c>
      <c r="L426" t="s">
        <v>227</v>
      </c>
      <c r="M426" t="s">
        <v>228</v>
      </c>
      <c r="N426" t="s">
        <v>57</v>
      </c>
      <c r="O426" s="1">
        <v>45862</v>
      </c>
      <c r="Q426" s="1">
        <v>46015</v>
      </c>
      <c r="R426" s="2">
        <v>19</v>
      </c>
      <c r="S426">
        <v>1</v>
      </c>
      <c r="T426" t="s">
        <v>58</v>
      </c>
      <c r="U426" t="s">
        <v>315</v>
      </c>
      <c r="V426" s="3">
        <v>0.7</v>
      </c>
      <c r="W426" s="2">
        <v>0</v>
      </c>
      <c r="X426">
        <v>0</v>
      </c>
      <c r="Y426" t="s">
        <v>60</v>
      </c>
      <c r="Z426" t="s">
        <v>317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13.3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45985</v>
      </c>
      <c r="B427" t="s">
        <v>48</v>
      </c>
      <c r="C427">
        <v>649163</v>
      </c>
      <c r="D427">
        <v>2030085143</v>
      </c>
      <c r="E427" t="s">
        <v>381</v>
      </c>
      <c r="F427" t="s">
        <v>382</v>
      </c>
      <c r="G427" t="s">
        <v>51</v>
      </c>
      <c r="H427" t="s">
        <v>64</v>
      </c>
      <c r="I427" t="s">
        <v>262</v>
      </c>
      <c r="J427" t="s">
        <v>263</v>
      </c>
      <c r="K427">
        <v>673059</v>
      </c>
      <c r="L427" t="s">
        <v>70</v>
      </c>
      <c r="M427" t="s">
        <v>71</v>
      </c>
      <c r="N427" t="s">
        <v>57</v>
      </c>
      <c r="O427" s="1">
        <v>45861</v>
      </c>
      <c r="Q427" s="1">
        <v>46014</v>
      </c>
      <c r="R427" s="2">
        <v>153.9</v>
      </c>
      <c r="S427">
        <v>1</v>
      </c>
      <c r="T427" t="s">
        <v>58</v>
      </c>
      <c r="U427" t="s">
        <v>315</v>
      </c>
      <c r="V427" s="3">
        <v>0.7</v>
      </c>
      <c r="W427" s="2">
        <v>0</v>
      </c>
      <c r="X427">
        <v>0</v>
      </c>
      <c r="Y427" t="s">
        <v>60</v>
      </c>
      <c r="Z427" t="s">
        <v>317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107.73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45985</v>
      </c>
      <c r="B428" t="s">
        <v>48</v>
      </c>
      <c r="C428">
        <v>649163</v>
      </c>
      <c r="D428">
        <v>2030105690</v>
      </c>
      <c r="E428" t="s">
        <v>438</v>
      </c>
      <c r="F428" t="s">
        <v>439</v>
      </c>
      <c r="G428" t="s">
        <v>51</v>
      </c>
      <c r="H428" t="s">
        <v>64</v>
      </c>
      <c r="I428" t="s">
        <v>262</v>
      </c>
      <c r="J428" t="s">
        <v>263</v>
      </c>
      <c r="K428">
        <v>856163</v>
      </c>
      <c r="L428" t="s">
        <v>91</v>
      </c>
      <c r="M428" t="s">
        <v>440</v>
      </c>
      <c r="N428" t="s">
        <v>57</v>
      </c>
      <c r="O428" s="1">
        <v>45862</v>
      </c>
      <c r="Q428" s="1">
        <v>46015</v>
      </c>
      <c r="R428" s="2">
        <v>245.95</v>
      </c>
      <c r="S428">
        <v>1</v>
      </c>
      <c r="T428" t="s">
        <v>58</v>
      </c>
      <c r="U428" t="s">
        <v>315</v>
      </c>
      <c r="V428" s="3">
        <v>0.7</v>
      </c>
      <c r="W428" s="2">
        <v>0</v>
      </c>
      <c r="X428">
        <v>0</v>
      </c>
      <c r="Y428" t="s">
        <v>60</v>
      </c>
      <c r="Z428" t="s">
        <v>317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172.16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45985</v>
      </c>
      <c r="B429" t="s">
        <v>48</v>
      </c>
      <c r="C429">
        <v>649163</v>
      </c>
      <c r="D429">
        <v>2030108809</v>
      </c>
      <c r="E429" t="s">
        <v>383</v>
      </c>
      <c r="F429" t="s">
        <v>384</v>
      </c>
      <c r="G429" t="s">
        <v>51</v>
      </c>
      <c r="H429" t="s">
        <v>109</v>
      </c>
      <c r="I429" t="s">
        <v>262</v>
      </c>
      <c r="J429" t="s">
        <v>263</v>
      </c>
      <c r="K429">
        <v>796984</v>
      </c>
      <c r="L429" t="s">
        <v>243</v>
      </c>
      <c r="M429" t="s">
        <v>81</v>
      </c>
      <c r="N429" t="s">
        <v>57</v>
      </c>
      <c r="O429" s="1">
        <v>45862</v>
      </c>
      <c r="Q429" s="1">
        <v>46015</v>
      </c>
      <c r="R429" s="2">
        <v>9.1</v>
      </c>
      <c r="S429">
        <v>1</v>
      </c>
      <c r="T429" t="s">
        <v>58</v>
      </c>
      <c r="U429" t="s">
        <v>315</v>
      </c>
      <c r="V429" s="3">
        <v>0.7</v>
      </c>
      <c r="W429" s="2">
        <v>0</v>
      </c>
      <c r="X429">
        <v>0</v>
      </c>
      <c r="Y429" t="s">
        <v>60</v>
      </c>
      <c r="Z429" t="s">
        <v>317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6.37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45985</v>
      </c>
      <c r="B430" t="s">
        <v>48</v>
      </c>
      <c r="C430">
        <v>649163</v>
      </c>
      <c r="D430">
        <v>2030113890</v>
      </c>
      <c r="E430" t="s">
        <v>518</v>
      </c>
      <c r="F430" t="s">
        <v>519</v>
      </c>
      <c r="G430" t="s">
        <v>51</v>
      </c>
      <c r="H430" t="s">
        <v>310</v>
      </c>
      <c r="I430" t="s">
        <v>262</v>
      </c>
      <c r="J430" t="s">
        <v>263</v>
      </c>
      <c r="K430">
        <v>767312</v>
      </c>
      <c r="L430" t="s">
        <v>156</v>
      </c>
      <c r="M430" t="s">
        <v>157</v>
      </c>
      <c r="N430" t="s">
        <v>57</v>
      </c>
      <c r="O430" s="1">
        <v>45862</v>
      </c>
      <c r="Q430" s="1">
        <v>46015</v>
      </c>
      <c r="R430" s="2">
        <v>16.510000000000002</v>
      </c>
      <c r="S430">
        <v>1</v>
      </c>
      <c r="T430" t="s">
        <v>58</v>
      </c>
      <c r="U430" t="s">
        <v>315</v>
      </c>
      <c r="V430" s="3">
        <v>0.7</v>
      </c>
      <c r="W430" s="2">
        <v>0</v>
      </c>
      <c r="X430">
        <v>0</v>
      </c>
      <c r="Y430" t="s">
        <v>60</v>
      </c>
      <c r="Z430" t="s">
        <v>317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11.56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45985</v>
      </c>
      <c r="B431" t="s">
        <v>48</v>
      </c>
      <c r="C431">
        <v>649163</v>
      </c>
      <c r="D431">
        <v>2030114522</v>
      </c>
      <c r="E431" t="s">
        <v>637</v>
      </c>
      <c r="F431" t="s">
        <v>638</v>
      </c>
      <c r="G431" t="s">
        <v>51</v>
      </c>
      <c r="H431" t="s">
        <v>64</v>
      </c>
      <c r="I431" t="s">
        <v>262</v>
      </c>
      <c r="J431" t="s">
        <v>263</v>
      </c>
      <c r="K431">
        <v>839554</v>
      </c>
      <c r="L431" t="s">
        <v>256</v>
      </c>
      <c r="M431" t="s">
        <v>257</v>
      </c>
      <c r="N431" t="s">
        <v>57</v>
      </c>
      <c r="O431" s="1">
        <v>45863</v>
      </c>
      <c r="Q431" s="1">
        <v>46016</v>
      </c>
      <c r="R431" s="2">
        <v>207.64</v>
      </c>
      <c r="S431">
        <v>1</v>
      </c>
      <c r="T431" t="s">
        <v>58</v>
      </c>
      <c r="U431" t="s">
        <v>315</v>
      </c>
      <c r="V431" s="3">
        <v>0.7</v>
      </c>
      <c r="W431" s="2">
        <v>0</v>
      </c>
      <c r="X431">
        <v>0</v>
      </c>
      <c r="Y431" t="s">
        <v>60</v>
      </c>
      <c r="Z431" t="s">
        <v>317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145.35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45985</v>
      </c>
      <c r="B432" t="s">
        <v>48</v>
      </c>
      <c r="C432">
        <v>649163</v>
      </c>
      <c r="D432">
        <v>2030117415</v>
      </c>
      <c r="E432" t="s">
        <v>518</v>
      </c>
      <c r="F432" t="s">
        <v>519</v>
      </c>
      <c r="G432" t="s">
        <v>51</v>
      </c>
      <c r="H432" t="s">
        <v>310</v>
      </c>
      <c r="I432" t="s">
        <v>262</v>
      </c>
      <c r="J432" t="s">
        <v>265</v>
      </c>
      <c r="K432">
        <v>767312</v>
      </c>
      <c r="L432" t="s">
        <v>156</v>
      </c>
      <c r="M432" t="s">
        <v>157</v>
      </c>
      <c r="N432" t="s">
        <v>57</v>
      </c>
      <c r="O432" s="1">
        <v>45863</v>
      </c>
      <c r="Q432" s="1">
        <v>46016</v>
      </c>
      <c r="R432" s="2">
        <v>69.08</v>
      </c>
      <c r="S432">
        <v>1</v>
      </c>
      <c r="T432" t="s">
        <v>58</v>
      </c>
      <c r="U432" t="s">
        <v>315</v>
      </c>
      <c r="V432" s="3">
        <v>0.9</v>
      </c>
      <c r="W432" s="2">
        <v>0</v>
      </c>
      <c r="X432">
        <v>0</v>
      </c>
      <c r="Y432" t="s">
        <v>60</v>
      </c>
      <c r="Z432" t="s">
        <v>317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62.17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45985</v>
      </c>
      <c r="B433" t="s">
        <v>48</v>
      </c>
      <c r="C433">
        <v>649163</v>
      </c>
      <c r="D433">
        <v>2030125457</v>
      </c>
      <c r="E433" t="s">
        <v>520</v>
      </c>
      <c r="F433" t="s">
        <v>521</v>
      </c>
      <c r="G433" t="s">
        <v>51</v>
      </c>
      <c r="H433" t="s">
        <v>135</v>
      </c>
      <c r="I433" t="s">
        <v>262</v>
      </c>
      <c r="J433" t="s">
        <v>263</v>
      </c>
      <c r="K433">
        <v>856163</v>
      </c>
      <c r="L433" t="s">
        <v>91</v>
      </c>
      <c r="M433" t="s">
        <v>440</v>
      </c>
      <c r="N433" t="s">
        <v>57</v>
      </c>
      <c r="O433" s="1">
        <v>45863</v>
      </c>
      <c r="Q433" s="1">
        <v>46016</v>
      </c>
      <c r="R433" s="2">
        <v>13</v>
      </c>
      <c r="S433">
        <v>1</v>
      </c>
      <c r="T433" t="s">
        <v>58</v>
      </c>
      <c r="U433" t="s">
        <v>315</v>
      </c>
      <c r="V433" s="3">
        <v>0.7</v>
      </c>
      <c r="W433" s="2">
        <v>0</v>
      </c>
      <c r="X433">
        <v>0</v>
      </c>
      <c r="Y433" t="s">
        <v>60</v>
      </c>
      <c r="Z433" t="s">
        <v>317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9.1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45985</v>
      </c>
      <c r="B434" t="s">
        <v>48</v>
      </c>
      <c r="C434">
        <v>649163</v>
      </c>
      <c r="D434">
        <v>2030129459</v>
      </c>
      <c r="E434" t="s">
        <v>359</v>
      </c>
      <c r="F434" t="s">
        <v>639</v>
      </c>
      <c r="G434" t="s">
        <v>51</v>
      </c>
      <c r="H434" t="s">
        <v>348</v>
      </c>
      <c r="I434" t="s">
        <v>262</v>
      </c>
      <c r="J434" t="s">
        <v>263</v>
      </c>
      <c r="K434">
        <v>822865</v>
      </c>
      <c r="L434" t="s">
        <v>148</v>
      </c>
      <c r="M434" t="s">
        <v>149</v>
      </c>
      <c r="N434" t="s">
        <v>57</v>
      </c>
      <c r="O434" s="1">
        <v>45863</v>
      </c>
      <c r="Q434" s="1">
        <v>46016</v>
      </c>
      <c r="R434" s="2">
        <v>30.68</v>
      </c>
      <c r="S434">
        <v>1</v>
      </c>
      <c r="T434" t="s">
        <v>58</v>
      </c>
      <c r="U434" t="s">
        <v>315</v>
      </c>
      <c r="V434" s="3">
        <v>0.7</v>
      </c>
      <c r="W434" s="2">
        <v>0</v>
      </c>
      <c r="X434">
        <v>0</v>
      </c>
      <c r="Y434" t="s">
        <v>60</v>
      </c>
      <c r="Z434" t="s">
        <v>317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21.48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45985</v>
      </c>
      <c r="B435" t="s">
        <v>48</v>
      </c>
      <c r="C435">
        <v>649163</v>
      </c>
      <c r="D435">
        <v>2030145093</v>
      </c>
      <c r="E435" t="s">
        <v>385</v>
      </c>
      <c r="F435" t="s">
        <v>386</v>
      </c>
      <c r="G435" t="s">
        <v>51</v>
      </c>
      <c r="H435" t="s">
        <v>64</v>
      </c>
      <c r="I435" t="s">
        <v>262</v>
      </c>
      <c r="J435" t="s">
        <v>263</v>
      </c>
      <c r="K435">
        <v>824062</v>
      </c>
      <c r="L435" t="s">
        <v>115</v>
      </c>
      <c r="M435" t="s">
        <v>116</v>
      </c>
      <c r="N435" t="s">
        <v>57</v>
      </c>
      <c r="O435" s="1">
        <v>45864</v>
      </c>
      <c r="Q435" s="1">
        <v>46017</v>
      </c>
      <c r="R435" s="2">
        <v>102.7</v>
      </c>
      <c r="S435">
        <v>1</v>
      </c>
      <c r="T435" t="s">
        <v>58</v>
      </c>
      <c r="U435" t="s">
        <v>315</v>
      </c>
      <c r="V435" s="3">
        <v>0.7</v>
      </c>
      <c r="W435" s="2">
        <v>0</v>
      </c>
      <c r="X435">
        <v>0</v>
      </c>
      <c r="Y435" t="s">
        <v>60</v>
      </c>
      <c r="Z435" t="s">
        <v>317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71.89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45985</v>
      </c>
      <c r="B436" t="s">
        <v>48</v>
      </c>
      <c r="C436">
        <v>649163</v>
      </c>
      <c r="D436">
        <v>2030197586</v>
      </c>
      <c r="E436" t="s">
        <v>374</v>
      </c>
      <c r="F436" t="s">
        <v>420</v>
      </c>
      <c r="G436" t="s">
        <v>51</v>
      </c>
      <c r="H436" t="s">
        <v>64</v>
      </c>
      <c r="I436" t="s">
        <v>262</v>
      </c>
      <c r="J436" t="s">
        <v>263</v>
      </c>
      <c r="K436">
        <v>840313</v>
      </c>
      <c r="L436" t="s">
        <v>433</v>
      </c>
      <c r="M436" t="s">
        <v>434</v>
      </c>
      <c r="N436" t="s">
        <v>337</v>
      </c>
      <c r="O436" s="1">
        <v>45870</v>
      </c>
      <c r="P436" s="1">
        <v>45985</v>
      </c>
      <c r="Q436" s="1">
        <v>45992</v>
      </c>
      <c r="R436" s="2">
        <v>-4.22</v>
      </c>
      <c r="S436">
        <v>1</v>
      </c>
      <c r="T436" t="s">
        <v>58</v>
      </c>
      <c r="U436" t="s">
        <v>315</v>
      </c>
      <c r="V436" s="3">
        <v>0.7</v>
      </c>
      <c r="W436" s="2">
        <v>0</v>
      </c>
      <c r="X436">
        <v>-1</v>
      </c>
      <c r="Y436" t="s">
        <v>60</v>
      </c>
      <c r="Z436" t="s">
        <v>317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-2.95</v>
      </c>
      <c r="AN436" s="2">
        <v>-2.95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45985</v>
      </c>
      <c r="B437" t="s">
        <v>48</v>
      </c>
      <c r="C437">
        <v>649163</v>
      </c>
      <c r="D437">
        <v>2030260596</v>
      </c>
      <c r="E437" t="s">
        <v>522</v>
      </c>
      <c r="F437" t="s">
        <v>523</v>
      </c>
      <c r="G437" t="s">
        <v>51</v>
      </c>
      <c r="H437" t="s">
        <v>105</v>
      </c>
      <c r="I437" t="s">
        <v>262</v>
      </c>
      <c r="J437" t="s">
        <v>263</v>
      </c>
      <c r="K437">
        <v>856824</v>
      </c>
      <c r="L437" t="s">
        <v>106</v>
      </c>
      <c r="M437" t="s">
        <v>107</v>
      </c>
      <c r="N437" t="s">
        <v>57</v>
      </c>
      <c r="O437" s="1">
        <v>45871</v>
      </c>
      <c r="Q437" s="1">
        <v>45993</v>
      </c>
      <c r="R437" s="2">
        <v>10.29</v>
      </c>
      <c r="S437">
        <v>1</v>
      </c>
      <c r="T437" t="s">
        <v>58</v>
      </c>
      <c r="U437" t="s">
        <v>315</v>
      </c>
      <c r="V437" s="3">
        <v>0.7</v>
      </c>
      <c r="W437" s="2">
        <v>0</v>
      </c>
      <c r="X437">
        <v>0</v>
      </c>
      <c r="Y437" t="s">
        <v>60</v>
      </c>
      <c r="Z437" t="s">
        <v>317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7.2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45985</v>
      </c>
      <c r="B438" t="s">
        <v>48</v>
      </c>
      <c r="C438">
        <v>649163</v>
      </c>
      <c r="D438">
        <v>2030313588</v>
      </c>
      <c r="E438" t="s">
        <v>640</v>
      </c>
      <c r="F438" t="s">
        <v>641</v>
      </c>
      <c r="G438" t="s">
        <v>51</v>
      </c>
      <c r="H438" t="s">
        <v>105</v>
      </c>
      <c r="I438" t="s">
        <v>262</v>
      </c>
      <c r="J438" t="s">
        <v>263</v>
      </c>
      <c r="K438">
        <v>673059</v>
      </c>
      <c r="L438" t="s">
        <v>70</v>
      </c>
      <c r="M438" t="s">
        <v>71</v>
      </c>
      <c r="N438" t="s">
        <v>57</v>
      </c>
      <c r="O438" s="1">
        <v>45894</v>
      </c>
      <c r="Q438" s="1">
        <v>46016</v>
      </c>
      <c r="R438" s="2">
        <v>120.91</v>
      </c>
      <c r="S438">
        <v>1</v>
      </c>
      <c r="T438" t="s">
        <v>58</v>
      </c>
      <c r="U438" t="s">
        <v>315</v>
      </c>
      <c r="V438" s="3">
        <v>0.7</v>
      </c>
      <c r="W438" s="2">
        <v>0</v>
      </c>
      <c r="X438">
        <v>0</v>
      </c>
      <c r="Y438" t="s">
        <v>60</v>
      </c>
      <c r="Z438" t="s">
        <v>317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84.64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45985</v>
      </c>
      <c r="B439" t="s">
        <v>48</v>
      </c>
      <c r="C439">
        <v>649163</v>
      </c>
      <c r="D439">
        <v>2030359370</v>
      </c>
      <c r="E439" t="s">
        <v>642</v>
      </c>
      <c r="F439" t="s">
        <v>643</v>
      </c>
      <c r="G439" t="s">
        <v>51</v>
      </c>
      <c r="H439" t="s">
        <v>644</v>
      </c>
      <c r="I439" t="s">
        <v>262</v>
      </c>
      <c r="J439" t="s">
        <v>302</v>
      </c>
      <c r="K439">
        <v>767312</v>
      </c>
      <c r="L439" t="s">
        <v>156</v>
      </c>
      <c r="M439" t="s">
        <v>157</v>
      </c>
      <c r="N439" t="s">
        <v>57</v>
      </c>
      <c r="O439" s="1">
        <v>45879</v>
      </c>
      <c r="Q439" s="1">
        <v>46001</v>
      </c>
      <c r="R439" s="2">
        <v>15.73</v>
      </c>
      <c r="S439">
        <v>1</v>
      </c>
      <c r="T439" t="s">
        <v>58</v>
      </c>
      <c r="U439" t="s">
        <v>315</v>
      </c>
      <c r="V439" s="3">
        <v>0.42</v>
      </c>
      <c r="W439" s="2">
        <v>0</v>
      </c>
      <c r="X439">
        <v>0</v>
      </c>
      <c r="Y439" t="s">
        <v>60</v>
      </c>
      <c r="Z439" t="s">
        <v>317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6.61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45985</v>
      </c>
      <c r="B440" t="s">
        <v>48</v>
      </c>
      <c r="C440">
        <v>649163</v>
      </c>
      <c r="D440">
        <v>2030359371</v>
      </c>
      <c r="E440" t="s">
        <v>642</v>
      </c>
      <c r="F440" t="s">
        <v>643</v>
      </c>
      <c r="G440" t="s">
        <v>51</v>
      </c>
      <c r="H440" t="s">
        <v>644</v>
      </c>
      <c r="I440" t="s">
        <v>262</v>
      </c>
      <c r="J440" t="s">
        <v>265</v>
      </c>
      <c r="K440">
        <v>767312</v>
      </c>
      <c r="L440" t="s">
        <v>156</v>
      </c>
      <c r="M440" t="s">
        <v>157</v>
      </c>
      <c r="N440" t="s">
        <v>57</v>
      </c>
      <c r="O440" s="1">
        <v>45879</v>
      </c>
      <c r="Q440" s="1">
        <v>46001</v>
      </c>
      <c r="R440" s="2">
        <v>37.42</v>
      </c>
      <c r="S440">
        <v>1</v>
      </c>
      <c r="T440" t="s">
        <v>58</v>
      </c>
      <c r="U440" t="s">
        <v>315</v>
      </c>
      <c r="V440" s="3">
        <v>0.9</v>
      </c>
      <c r="W440" s="2">
        <v>0</v>
      </c>
      <c r="X440">
        <v>0</v>
      </c>
      <c r="Y440" t="s">
        <v>60</v>
      </c>
      <c r="Z440" t="s">
        <v>317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33.68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45985</v>
      </c>
      <c r="B441" t="s">
        <v>48</v>
      </c>
      <c r="C441">
        <v>649163</v>
      </c>
      <c r="D441">
        <v>2030461447</v>
      </c>
      <c r="E441" t="s">
        <v>274</v>
      </c>
      <c r="F441" t="s">
        <v>524</v>
      </c>
      <c r="G441" t="s">
        <v>51</v>
      </c>
      <c r="H441" t="s">
        <v>335</v>
      </c>
      <c r="I441" t="s">
        <v>262</v>
      </c>
      <c r="J441" t="s">
        <v>265</v>
      </c>
      <c r="K441">
        <v>767312</v>
      </c>
      <c r="L441" t="s">
        <v>156</v>
      </c>
      <c r="M441" t="s">
        <v>157</v>
      </c>
      <c r="N441" t="s">
        <v>57</v>
      </c>
      <c r="O441" s="1">
        <v>45892</v>
      </c>
      <c r="Q441" s="1">
        <v>46014</v>
      </c>
      <c r="R441" s="2">
        <v>51.25</v>
      </c>
      <c r="S441">
        <v>1</v>
      </c>
      <c r="T441" t="s">
        <v>58</v>
      </c>
      <c r="U441" t="s">
        <v>315</v>
      </c>
      <c r="V441" s="3">
        <v>0.9</v>
      </c>
      <c r="W441" s="2">
        <v>0</v>
      </c>
      <c r="X441">
        <v>0</v>
      </c>
      <c r="Y441" t="s">
        <v>60</v>
      </c>
      <c r="Z441" t="s">
        <v>317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46.12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45985</v>
      </c>
      <c r="B442" t="s">
        <v>48</v>
      </c>
      <c r="C442">
        <v>649163</v>
      </c>
      <c r="D442">
        <v>2030529302</v>
      </c>
      <c r="E442" t="s">
        <v>645</v>
      </c>
      <c r="F442" t="s">
        <v>646</v>
      </c>
      <c r="G442" t="s">
        <v>51</v>
      </c>
      <c r="H442" t="s">
        <v>64</v>
      </c>
      <c r="I442" t="s">
        <v>262</v>
      </c>
      <c r="J442" t="s">
        <v>302</v>
      </c>
      <c r="K442">
        <v>884943</v>
      </c>
      <c r="L442" t="s">
        <v>647</v>
      </c>
      <c r="M442" t="s">
        <v>648</v>
      </c>
      <c r="N442" t="s">
        <v>337</v>
      </c>
      <c r="O442" s="1">
        <v>45901</v>
      </c>
      <c r="P442" s="1">
        <v>45985</v>
      </c>
      <c r="Q442" s="1">
        <v>45992</v>
      </c>
      <c r="R442" s="2">
        <v>-16.11</v>
      </c>
      <c r="S442">
        <v>1</v>
      </c>
      <c r="T442" t="s">
        <v>58</v>
      </c>
      <c r="U442" t="s">
        <v>315</v>
      </c>
      <c r="V442" s="3">
        <v>0.42</v>
      </c>
      <c r="W442" s="2">
        <v>0</v>
      </c>
      <c r="X442">
        <v>-1</v>
      </c>
      <c r="Y442" t="s">
        <v>60</v>
      </c>
      <c r="Z442" t="s">
        <v>317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-6.77</v>
      </c>
      <c r="AN442" s="2">
        <v>-6.77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45985</v>
      </c>
      <c r="B443" t="s">
        <v>48</v>
      </c>
      <c r="C443">
        <v>649163</v>
      </c>
      <c r="D443">
        <v>2030552095</v>
      </c>
      <c r="E443" t="s">
        <v>387</v>
      </c>
      <c r="F443" t="s">
        <v>388</v>
      </c>
      <c r="G443" t="s">
        <v>51</v>
      </c>
      <c r="H443" t="s">
        <v>219</v>
      </c>
      <c r="I443" t="s">
        <v>262</v>
      </c>
      <c r="J443" t="s">
        <v>263</v>
      </c>
      <c r="K443">
        <v>753748</v>
      </c>
      <c r="L443" t="s">
        <v>389</v>
      </c>
      <c r="M443" t="s">
        <v>390</v>
      </c>
      <c r="N443" t="s">
        <v>337</v>
      </c>
      <c r="O443" s="1">
        <v>45901</v>
      </c>
      <c r="P443" s="1">
        <v>45985</v>
      </c>
      <c r="Q443" s="1">
        <v>45992</v>
      </c>
      <c r="R443" s="2">
        <v>-35.479999999999997</v>
      </c>
      <c r="S443">
        <v>1</v>
      </c>
      <c r="T443" t="s">
        <v>58</v>
      </c>
      <c r="U443" t="s">
        <v>315</v>
      </c>
      <c r="V443" s="3">
        <v>0.7</v>
      </c>
      <c r="W443" s="2">
        <v>0</v>
      </c>
      <c r="X443">
        <v>-1</v>
      </c>
      <c r="Y443" t="s">
        <v>60</v>
      </c>
      <c r="Z443" t="s">
        <v>317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-24.84</v>
      </c>
      <c r="AN443" s="2">
        <v>-24.84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45985</v>
      </c>
      <c r="B444" t="s">
        <v>48</v>
      </c>
      <c r="C444">
        <v>649163</v>
      </c>
      <c r="D444">
        <v>2030567353</v>
      </c>
      <c r="E444" t="s">
        <v>329</v>
      </c>
      <c r="F444" t="s">
        <v>391</v>
      </c>
      <c r="G444" t="s">
        <v>51</v>
      </c>
      <c r="H444" t="s">
        <v>95</v>
      </c>
      <c r="I444" t="s">
        <v>262</v>
      </c>
      <c r="J444" t="s">
        <v>562</v>
      </c>
      <c r="K444">
        <v>823068</v>
      </c>
      <c r="L444" t="s">
        <v>125</v>
      </c>
      <c r="M444" t="s">
        <v>126</v>
      </c>
      <c r="N444" t="s">
        <v>57</v>
      </c>
      <c r="O444" s="1">
        <v>45892</v>
      </c>
      <c r="Q444" s="1">
        <v>46014</v>
      </c>
      <c r="R444" s="2">
        <v>24.61</v>
      </c>
      <c r="S444">
        <v>1</v>
      </c>
      <c r="T444" t="s">
        <v>58</v>
      </c>
      <c r="U444" t="s">
        <v>315</v>
      </c>
      <c r="V444" s="3">
        <v>0.7</v>
      </c>
      <c r="W444" s="2">
        <v>0</v>
      </c>
      <c r="X444">
        <v>0</v>
      </c>
      <c r="Y444" t="s">
        <v>60</v>
      </c>
      <c r="Z444" t="s">
        <v>317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17.23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45985</v>
      </c>
      <c r="B445" t="s">
        <v>48</v>
      </c>
      <c r="C445">
        <v>649163</v>
      </c>
      <c r="D445">
        <v>2030567355</v>
      </c>
      <c r="E445" t="s">
        <v>329</v>
      </c>
      <c r="F445" t="s">
        <v>391</v>
      </c>
      <c r="G445" t="s">
        <v>51</v>
      </c>
      <c r="H445" t="s">
        <v>95</v>
      </c>
      <c r="I445" t="s">
        <v>262</v>
      </c>
      <c r="J445" t="s">
        <v>302</v>
      </c>
      <c r="K445">
        <v>823068</v>
      </c>
      <c r="L445" t="s">
        <v>125</v>
      </c>
      <c r="M445" t="s">
        <v>126</v>
      </c>
      <c r="N445" t="s">
        <v>57</v>
      </c>
      <c r="O445" s="1">
        <v>45892</v>
      </c>
      <c r="Q445" s="1">
        <v>46014</v>
      </c>
      <c r="R445" s="2">
        <v>38.85</v>
      </c>
      <c r="S445">
        <v>1</v>
      </c>
      <c r="T445" t="s">
        <v>58</v>
      </c>
      <c r="U445" t="s">
        <v>315</v>
      </c>
      <c r="V445" s="3">
        <v>0.42</v>
      </c>
      <c r="W445" s="2">
        <v>0</v>
      </c>
      <c r="X445">
        <v>0</v>
      </c>
      <c r="Y445" t="s">
        <v>60</v>
      </c>
      <c r="Z445" t="s">
        <v>317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16.32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45985</v>
      </c>
      <c r="B446" t="s">
        <v>48</v>
      </c>
      <c r="C446">
        <v>649163</v>
      </c>
      <c r="D446">
        <v>2030613892</v>
      </c>
      <c r="E446" t="s">
        <v>649</v>
      </c>
      <c r="F446" t="s">
        <v>650</v>
      </c>
      <c r="G446" t="s">
        <v>51</v>
      </c>
      <c r="H446" t="s">
        <v>64</v>
      </c>
      <c r="I446" t="s">
        <v>262</v>
      </c>
      <c r="J446" t="s">
        <v>263</v>
      </c>
      <c r="K446">
        <v>812656</v>
      </c>
      <c r="L446" t="s">
        <v>209</v>
      </c>
      <c r="M446" t="s">
        <v>210</v>
      </c>
      <c r="N446" t="s">
        <v>57</v>
      </c>
      <c r="O446" s="1">
        <v>45891</v>
      </c>
      <c r="Q446" s="1">
        <v>46013</v>
      </c>
      <c r="R446" s="2">
        <v>110.16</v>
      </c>
      <c r="S446">
        <v>1</v>
      </c>
      <c r="T446" t="s">
        <v>58</v>
      </c>
      <c r="U446" t="s">
        <v>315</v>
      </c>
      <c r="V446" s="3">
        <v>0.7</v>
      </c>
      <c r="W446" s="2">
        <v>0</v>
      </c>
      <c r="X446">
        <v>0</v>
      </c>
      <c r="Y446" t="s">
        <v>60</v>
      </c>
      <c r="Z446" t="s">
        <v>317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77.11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45985</v>
      </c>
      <c r="B447" t="s">
        <v>48</v>
      </c>
      <c r="C447">
        <v>649163</v>
      </c>
      <c r="D447">
        <v>2030694666</v>
      </c>
      <c r="E447" t="s">
        <v>529</v>
      </c>
      <c r="F447" t="s">
        <v>530</v>
      </c>
      <c r="G447" t="s">
        <v>51</v>
      </c>
      <c r="H447" t="s">
        <v>235</v>
      </c>
      <c r="I447" t="s">
        <v>262</v>
      </c>
      <c r="J447" t="s">
        <v>263</v>
      </c>
      <c r="K447">
        <v>756418</v>
      </c>
      <c r="L447" t="s">
        <v>271</v>
      </c>
      <c r="M447" t="s">
        <v>272</v>
      </c>
      <c r="N447" t="s">
        <v>57</v>
      </c>
      <c r="O447" s="1">
        <v>45896</v>
      </c>
      <c r="Q447" s="1">
        <v>46018</v>
      </c>
      <c r="R447" s="2">
        <v>26.32</v>
      </c>
      <c r="S447">
        <v>1</v>
      </c>
      <c r="T447" t="s">
        <v>58</v>
      </c>
      <c r="U447" t="s">
        <v>315</v>
      </c>
      <c r="V447" s="3">
        <v>0.7</v>
      </c>
      <c r="W447" s="2">
        <v>0</v>
      </c>
      <c r="X447">
        <v>0</v>
      </c>
      <c r="Y447" t="s">
        <v>60</v>
      </c>
      <c r="Z447" t="s">
        <v>317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18.420000000000002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45985</v>
      </c>
      <c r="B448" t="s">
        <v>48</v>
      </c>
      <c r="C448">
        <v>649163</v>
      </c>
      <c r="D448">
        <v>2030707328</v>
      </c>
      <c r="E448" t="s">
        <v>394</v>
      </c>
      <c r="F448" t="s">
        <v>395</v>
      </c>
      <c r="G448" t="s">
        <v>51</v>
      </c>
      <c r="H448" t="s">
        <v>109</v>
      </c>
      <c r="I448" t="s">
        <v>262</v>
      </c>
      <c r="J448" t="s">
        <v>263</v>
      </c>
      <c r="K448">
        <v>756418</v>
      </c>
      <c r="L448" t="s">
        <v>271</v>
      </c>
      <c r="M448" t="s">
        <v>272</v>
      </c>
      <c r="N448" t="s">
        <v>57</v>
      </c>
      <c r="O448" s="1">
        <v>45896</v>
      </c>
      <c r="Q448" s="1">
        <v>46018</v>
      </c>
      <c r="R448" s="2">
        <v>19.489999999999998</v>
      </c>
      <c r="S448">
        <v>1</v>
      </c>
      <c r="T448" t="s">
        <v>58</v>
      </c>
      <c r="U448" t="s">
        <v>315</v>
      </c>
      <c r="V448" s="3">
        <v>0.7</v>
      </c>
      <c r="W448" s="2">
        <v>0</v>
      </c>
      <c r="X448">
        <v>0</v>
      </c>
      <c r="Y448" t="s">
        <v>60</v>
      </c>
      <c r="Z448" t="s">
        <v>317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13.64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45985</v>
      </c>
      <c r="B449" t="s">
        <v>48</v>
      </c>
      <c r="C449">
        <v>649163</v>
      </c>
      <c r="D449">
        <v>2030716585</v>
      </c>
      <c r="E449" t="s">
        <v>170</v>
      </c>
      <c r="F449" t="s">
        <v>396</v>
      </c>
      <c r="G449" t="s">
        <v>51</v>
      </c>
      <c r="H449" t="s">
        <v>95</v>
      </c>
      <c r="I449" t="s">
        <v>262</v>
      </c>
      <c r="J449" t="s">
        <v>562</v>
      </c>
      <c r="K449">
        <v>823068</v>
      </c>
      <c r="L449" t="s">
        <v>125</v>
      </c>
      <c r="M449" t="s">
        <v>126</v>
      </c>
      <c r="N449" t="s">
        <v>57</v>
      </c>
      <c r="O449" s="1">
        <v>45922</v>
      </c>
      <c r="Q449" s="1">
        <v>46013</v>
      </c>
      <c r="R449" s="2">
        <v>24.61</v>
      </c>
      <c r="S449">
        <v>1</v>
      </c>
      <c r="T449" t="s">
        <v>58</v>
      </c>
      <c r="U449" t="s">
        <v>315</v>
      </c>
      <c r="V449" s="3">
        <v>0.7</v>
      </c>
      <c r="W449" s="2">
        <v>0</v>
      </c>
      <c r="X449">
        <v>0</v>
      </c>
      <c r="Y449" t="s">
        <v>60</v>
      </c>
      <c r="Z449" t="s">
        <v>317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17.23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45985</v>
      </c>
      <c r="B450" t="s">
        <v>48</v>
      </c>
      <c r="C450">
        <v>649163</v>
      </c>
      <c r="D450">
        <v>2030805142</v>
      </c>
      <c r="E450" t="s">
        <v>531</v>
      </c>
      <c r="F450" t="s">
        <v>195</v>
      </c>
      <c r="G450" t="s">
        <v>51</v>
      </c>
      <c r="H450" t="s">
        <v>135</v>
      </c>
      <c r="I450" t="s">
        <v>262</v>
      </c>
      <c r="J450" t="s">
        <v>265</v>
      </c>
      <c r="K450">
        <v>792847</v>
      </c>
      <c r="L450" t="s">
        <v>532</v>
      </c>
      <c r="M450" t="s">
        <v>533</v>
      </c>
      <c r="N450" t="s">
        <v>57</v>
      </c>
      <c r="O450" s="1">
        <v>45902</v>
      </c>
      <c r="Q450" s="1">
        <v>45993</v>
      </c>
      <c r="R450" s="2">
        <v>9.25</v>
      </c>
      <c r="S450">
        <v>1</v>
      </c>
      <c r="T450" t="s">
        <v>58</v>
      </c>
      <c r="U450" t="s">
        <v>315</v>
      </c>
      <c r="V450" s="3">
        <v>0.9</v>
      </c>
      <c r="W450" s="2">
        <v>0</v>
      </c>
      <c r="X450">
        <v>0</v>
      </c>
      <c r="Y450" t="s">
        <v>60</v>
      </c>
      <c r="Z450" t="s">
        <v>317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8.32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45985</v>
      </c>
      <c r="B451" t="s">
        <v>48</v>
      </c>
      <c r="C451">
        <v>649163</v>
      </c>
      <c r="D451">
        <v>2030805143</v>
      </c>
      <c r="E451" t="s">
        <v>531</v>
      </c>
      <c r="F451" t="s">
        <v>195</v>
      </c>
      <c r="G451" t="s">
        <v>51</v>
      </c>
      <c r="H451" t="s">
        <v>135</v>
      </c>
      <c r="I451" t="s">
        <v>262</v>
      </c>
      <c r="J451" t="s">
        <v>263</v>
      </c>
      <c r="K451">
        <v>792847</v>
      </c>
      <c r="L451" t="s">
        <v>532</v>
      </c>
      <c r="M451" t="s">
        <v>533</v>
      </c>
      <c r="N451" t="s">
        <v>57</v>
      </c>
      <c r="O451" s="1">
        <v>45902</v>
      </c>
      <c r="Q451" s="1">
        <v>45993</v>
      </c>
      <c r="R451" s="2">
        <v>34.950000000000003</v>
      </c>
      <c r="S451">
        <v>1</v>
      </c>
      <c r="T451" t="s">
        <v>58</v>
      </c>
      <c r="U451" t="s">
        <v>315</v>
      </c>
      <c r="V451" s="3">
        <v>0.7</v>
      </c>
      <c r="W451" s="2">
        <v>0</v>
      </c>
      <c r="X451">
        <v>0</v>
      </c>
      <c r="Y451" t="s">
        <v>60</v>
      </c>
      <c r="Z451" t="s">
        <v>317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24.46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45985</v>
      </c>
      <c r="B452" t="s">
        <v>48</v>
      </c>
      <c r="C452">
        <v>649163</v>
      </c>
      <c r="D452">
        <v>2030823304</v>
      </c>
      <c r="E452" t="s">
        <v>534</v>
      </c>
      <c r="F452" t="s">
        <v>201</v>
      </c>
      <c r="G452" t="s">
        <v>51</v>
      </c>
      <c r="H452" t="s">
        <v>105</v>
      </c>
      <c r="I452" t="s">
        <v>262</v>
      </c>
      <c r="J452" t="s">
        <v>265</v>
      </c>
      <c r="K452">
        <v>767312</v>
      </c>
      <c r="L452" t="s">
        <v>156</v>
      </c>
      <c r="M452" t="s">
        <v>157</v>
      </c>
      <c r="N452" t="s">
        <v>57</v>
      </c>
      <c r="O452" s="1">
        <v>45927</v>
      </c>
      <c r="Q452" s="1">
        <v>46018</v>
      </c>
      <c r="R452" s="2">
        <v>9.8000000000000007</v>
      </c>
      <c r="S452">
        <v>1</v>
      </c>
      <c r="T452" t="s">
        <v>58</v>
      </c>
      <c r="U452" t="s">
        <v>59</v>
      </c>
      <c r="V452" s="3">
        <v>0.9</v>
      </c>
      <c r="W452" s="2">
        <v>0</v>
      </c>
      <c r="X452">
        <v>0</v>
      </c>
      <c r="Y452" t="s">
        <v>60</v>
      </c>
      <c r="Z452" t="s">
        <v>317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8.82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45985</v>
      </c>
      <c r="B453" t="s">
        <v>48</v>
      </c>
      <c r="C453">
        <v>649163</v>
      </c>
      <c r="D453">
        <v>2031024597</v>
      </c>
      <c r="E453" t="s">
        <v>607</v>
      </c>
      <c r="F453" t="s">
        <v>651</v>
      </c>
      <c r="G453" t="s">
        <v>51</v>
      </c>
      <c r="H453" t="s">
        <v>64</v>
      </c>
      <c r="I453" t="s">
        <v>262</v>
      </c>
      <c r="J453" t="s">
        <v>263</v>
      </c>
      <c r="K453">
        <v>843573</v>
      </c>
      <c r="L453" t="s">
        <v>227</v>
      </c>
      <c r="M453" t="s">
        <v>228</v>
      </c>
      <c r="N453" t="s">
        <v>57</v>
      </c>
      <c r="O453" s="1">
        <v>45926</v>
      </c>
      <c r="Q453" s="1">
        <v>46017</v>
      </c>
      <c r="R453" s="2">
        <v>19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317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13.3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45985</v>
      </c>
      <c r="B454" t="s">
        <v>48</v>
      </c>
      <c r="C454">
        <v>649163</v>
      </c>
      <c r="D454">
        <v>2031180132</v>
      </c>
      <c r="E454" t="s">
        <v>397</v>
      </c>
      <c r="F454" t="s">
        <v>398</v>
      </c>
      <c r="G454" t="s">
        <v>51</v>
      </c>
      <c r="H454" t="s">
        <v>219</v>
      </c>
      <c r="I454" t="s">
        <v>262</v>
      </c>
      <c r="J454" t="s">
        <v>263</v>
      </c>
      <c r="K454">
        <v>823350</v>
      </c>
      <c r="L454" t="s">
        <v>91</v>
      </c>
      <c r="M454" t="s">
        <v>92</v>
      </c>
      <c r="N454" t="s">
        <v>57</v>
      </c>
      <c r="O454" s="1">
        <v>45924</v>
      </c>
      <c r="Q454" s="1">
        <v>46015</v>
      </c>
      <c r="R454" s="2">
        <v>101.99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317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71.39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45985</v>
      </c>
      <c r="B455" t="s">
        <v>48</v>
      </c>
      <c r="C455">
        <v>649163</v>
      </c>
      <c r="D455">
        <v>2031190208</v>
      </c>
      <c r="E455" t="s">
        <v>399</v>
      </c>
      <c r="F455" t="s">
        <v>400</v>
      </c>
      <c r="G455" t="s">
        <v>51</v>
      </c>
      <c r="H455" t="s">
        <v>166</v>
      </c>
      <c r="I455" t="s">
        <v>262</v>
      </c>
      <c r="J455" t="s">
        <v>263</v>
      </c>
      <c r="K455">
        <v>823350</v>
      </c>
      <c r="L455" t="s">
        <v>91</v>
      </c>
      <c r="M455" t="s">
        <v>92</v>
      </c>
      <c r="N455" t="s">
        <v>57</v>
      </c>
      <c r="O455" s="1">
        <v>45925</v>
      </c>
      <c r="Q455" s="1">
        <v>46016</v>
      </c>
      <c r="R455" s="2">
        <v>194.05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317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135.84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45985</v>
      </c>
      <c r="B456" t="s">
        <v>48</v>
      </c>
      <c r="C456">
        <v>649163</v>
      </c>
      <c r="D456">
        <v>2031205938</v>
      </c>
      <c r="E456" t="s">
        <v>535</v>
      </c>
      <c r="F456" t="s">
        <v>406</v>
      </c>
      <c r="G456" t="s">
        <v>51</v>
      </c>
      <c r="H456" t="s">
        <v>135</v>
      </c>
      <c r="I456" t="s">
        <v>262</v>
      </c>
      <c r="J456" t="s">
        <v>265</v>
      </c>
      <c r="K456">
        <v>767312</v>
      </c>
      <c r="L456" t="s">
        <v>156</v>
      </c>
      <c r="M456" t="s">
        <v>157</v>
      </c>
      <c r="N456" t="s">
        <v>57</v>
      </c>
      <c r="O456" s="1">
        <v>45923</v>
      </c>
      <c r="Q456" s="1">
        <v>46014</v>
      </c>
      <c r="R456" s="2">
        <v>12.96</v>
      </c>
      <c r="S456">
        <v>1</v>
      </c>
      <c r="T456" t="s">
        <v>58</v>
      </c>
      <c r="U456" t="s">
        <v>59</v>
      </c>
      <c r="V456" s="3">
        <v>0.9</v>
      </c>
      <c r="W456" s="2">
        <v>0</v>
      </c>
      <c r="X456">
        <v>0</v>
      </c>
      <c r="Y456" t="s">
        <v>60</v>
      </c>
      <c r="Z456" t="s">
        <v>317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11.66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45985</v>
      </c>
      <c r="B457" t="s">
        <v>48</v>
      </c>
      <c r="C457">
        <v>649163</v>
      </c>
      <c r="D457">
        <v>2031210580</v>
      </c>
      <c r="E457" t="s">
        <v>401</v>
      </c>
      <c r="F457" t="s">
        <v>402</v>
      </c>
      <c r="G457" t="s">
        <v>51</v>
      </c>
      <c r="H457" t="s">
        <v>105</v>
      </c>
      <c r="I457" t="s">
        <v>262</v>
      </c>
      <c r="J457" t="s">
        <v>263</v>
      </c>
      <c r="K457">
        <v>673059</v>
      </c>
      <c r="L457" t="s">
        <v>70</v>
      </c>
      <c r="M457" t="s">
        <v>71</v>
      </c>
      <c r="N457" t="s">
        <v>57</v>
      </c>
      <c r="O457" s="1">
        <v>45931</v>
      </c>
      <c r="Q457" s="1">
        <v>45992</v>
      </c>
      <c r="R457" s="2">
        <v>27.89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317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19.52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45985</v>
      </c>
      <c r="B458" t="s">
        <v>48</v>
      </c>
      <c r="C458">
        <v>649163</v>
      </c>
      <c r="D458">
        <v>2031210582</v>
      </c>
      <c r="E458" t="s">
        <v>401</v>
      </c>
      <c r="F458" t="s">
        <v>402</v>
      </c>
      <c r="G458" t="s">
        <v>51</v>
      </c>
      <c r="H458" t="s">
        <v>105</v>
      </c>
      <c r="I458" t="s">
        <v>262</v>
      </c>
      <c r="J458" t="s">
        <v>264</v>
      </c>
      <c r="K458">
        <v>673059</v>
      </c>
      <c r="L458" t="s">
        <v>70</v>
      </c>
      <c r="M458" t="s">
        <v>71</v>
      </c>
      <c r="N458" t="s">
        <v>57</v>
      </c>
      <c r="O458" s="1">
        <v>45931</v>
      </c>
      <c r="Q458" s="1">
        <v>45992</v>
      </c>
      <c r="R458" s="2">
        <v>25.73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317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18.010000000000002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45985</v>
      </c>
      <c r="B459" t="s">
        <v>48</v>
      </c>
      <c r="C459">
        <v>649163</v>
      </c>
      <c r="D459">
        <v>2031232214</v>
      </c>
      <c r="E459" t="s">
        <v>652</v>
      </c>
      <c r="F459" t="s">
        <v>653</v>
      </c>
      <c r="G459" t="s">
        <v>51</v>
      </c>
      <c r="H459" t="s">
        <v>64</v>
      </c>
      <c r="I459" t="s">
        <v>262</v>
      </c>
      <c r="J459" t="s">
        <v>263</v>
      </c>
      <c r="K459">
        <v>807212</v>
      </c>
      <c r="L459" t="s">
        <v>498</v>
      </c>
      <c r="M459" t="s">
        <v>499</v>
      </c>
      <c r="N459" t="s">
        <v>57</v>
      </c>
      <c r="O459" s="1">
        <v>45924</v>
      </c>
      <c r="Q459" s="1">
        <v>46015</v>
      </c>
      <c r="R459" s="2">
        <v>28.9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317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20.23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45985</v>
      </c>
      <c r="B460" t="s">
        <v>48</v>
      </c>
      <c r="C460">
        <v>649163</v>
      </c>
      <c r="D460">
        <v>2031242400</v>
      </c>
      <c r="E460" t="s">
        <v>403</v>
      </c>
      <c r="F460" t="s">
        <v>404</v>
      </c>
      <c r="G460" t="s">
        <v>51</v>
      </c>
      <c r="H460" t="s">
        <v>109</v>
      </c>
      <c r="I460" t="s">
        <v>262</v>
      </c>
      <c r="J460" t="s">
        <v>263</v>
      </c>
      <c r="K460">
        <v>816021</v>
      </c>
      <c r="L460" t="s">
        <v>111</v>
      </c>
      <c r="M460" t="s">
        <v>112</v>
      </c>
      <c r="N460" t="s">
        <v>57</v>
      </c>
      <c r="O460" s="1">
        <v>45925</v>
      </c>
      <c r="Q460" s="1">
        <v>46016</v>
      </c>
      <c r="R460" s="2">
        <v>27.38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317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19.170000000000002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45985</v>
      </c>
      <c r="B461" t="s">
        <v>48</v>
      </c>
      <c r="C461">
        <v>649163</v>
      </c>
      <c r="D461">
        <v>2031249951</v>
      </c>
      <c r="E461" t="s">
        <v>538</v>
      </c>
      <c r="F461" t="s">
        <v>123</v>
      </c>
      <c r="G461" t="s">
        <v>51</v>
      </c>
      <c r="H461" t="s">
        <v>64</v>
      </c>
      <c r="I461" t="s">
        <v>262</v>
      </c>
      <c r="J461" t="s">
        <v>263</v>
      </c>
      <c r="K461">
        <v>756803</v>
      </c>
      <c r="L461" t="s">
        <v>539</v>
      </c>
      <c r="M461" t="s">
        <v>179</v>
      </c>
      <c r="N461" t="s">
        <v>57</v>
      </c>
      <c r="O461" s="1">
        <v>45925</v>
      </c>
      <c r="Q461" s="1">
        <v>46016</v>
      </c>
      <c r="R461" s="2">
        <v>28.9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317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20.23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45985</v>
      </c>
      <c r="B462" t="s">
        <v>48</v>
      </c>
      <c r="C462">
        <v>649163</v>
      </c>
      <c r="D462">
        <v>2031255010</v>
      </c>
      <c r="E462" t="s">
        <v>447</v>
      </c>
      <c r="F462" t="s">
        <v>448</v>
      </c>
      <c r="G462" t="s">
        <v>51</v>
      </c>
      <c r="H462" t="s">
        <v>64</v>
      </c>
      <c r="I462" t="s">
        <v>262</v>
      </c>
      <c r="J462" t="s">
        <v>263</v>
      </c>
      <c r="K462">
        <v>812994</v>
      </c>
      <c r="L462" t="s">
        <v>443</v>
      </c>
      <c r="M462" t="s">
        <v>444</v>
      </c>
      <c r="N462" t="s">
        <v>57</v>
      </c>
      <c r="O462" s="1">
        <v>45925</v>
      </c>
      <c r="Q462" s="1">
        <v>46016</v>
      </c>
      <c r="R462" s="2">
        <v>86.25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317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60.38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45985</v>
      </c>
      <c r="B463" t="s">
        <v>48</v>
      </c>
      <c r="C463">
        <v>649163</v>
      </c>
      <c r="D463">
        <v>2031266651</v>
      </c>
      <c r="E463" t="s">
        <v>654</v>
      </c>
      <c r="F463" t="s">
        <v>655</v>
      </c>
      <c r="G463" t="s">
        <v>51</v>
      </c>
      <c r="H463" t="s">
        <v>235</v>
      </c>
      <c r="I463" t="s">
        <v>262</v>
      </c>
      <c r="J463" t="s">
        <v>263</v>
      </c>
      <c r="K463">
        <v>756418</v>
      </c>
      <c r="L463" t="s">
        <v>271</v>
      </c>
      <c r="M463" t="s">
        <v>272</v>
      </c>
      <c r="N463" t="s">
        <v>57</v>
      </c>
      <c r="O463" s="1">
        <v>45926</v>
      </c>
      <c r="Q463" s="1">
        <v>46017</v>
      </c>
      <c r="R463" s="2">
        <v>23.28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317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16.3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45985</v>
      </c>
      <c r="B464" t="s">
        <v>48</v>
      </c>
      <c r="C464">
        <v>649163</v>
      </c>
      <c r="D464">
        <v>2031266652</v>
      </c>
      <c r="E464" t="s">
        <v>654</v>
      </c>
      <c r="F464" t="s">
        <v>655</v>
      </c>
      <c r="G464" t="s">
        <v>51</v>
      </c>
      <c r="H464" t="s">
        <v>235</v>
      </c>
      <c r="I464" t="s">
        <v>262</v>
      </c>
      <c r="J464" t="s">
        <v>264</v>
      </c>
      <c r="K464">
        <v>756418</v>
      </c>
      <c r="L464" t="s">
        <v>271</v>
      </c>
      <c r="M464" t="s">
        <v>272</v>
      </c>
      <c r="N464" t="s">
        <v>57</v>
      </c>
      <c r="O464" s="1">
        <v>45926</v>
      </c>
      <c r="Q464" s="1">
        <v>46017</v>
      </c>
      <c r="R464" s="2">
        <v>25.73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317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18.010000000000002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45985</v>
      </c>
      <c r="B465" t="s">
        <v>48</v>
      </c>
      <c r="C465">
        <v>649163</v>
      </c>
      <c r="D465">
        <v>2031312177</v>
      </c>
      <c r="E465" t="s">
        <v>656</v>
      </c>
      <c r="F465" t="s">
        <v>123</v>
      </c>
      <c r="G465" t="s">
        <v>51</v>
      </c>
      <c r="H465" t="s">
        <v>64</v>
      </c>
      <c r="I465" t="s">
        <v>262</v>
      </c>
      <c r="J465" t="s">
        <v>263</v>
      </c>
      <c r="K465">
        <v>813184</v>
      </c>
      <c r="L465" t="s">
        <v>142</v>
      </c>
      <c r="M465" t="s">
        <v>143</v>
      </c>
      <c r="N465" t="s">
        <v>57</v>
      </c>
      <c r="O465" s="1">
        <v>45928</v>
      </c>
      <c r="Q465" s="1">
        <v>46019</v>
      </c>
      <c r="R465" s="2">
        <v>124.72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317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87.3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45985</v>
      </c>
      <c r="B466" t="s">
        <v>48</v>
      </c>
      <c r="C466">
        <v>649163</v>
      </c>
      <c r="D466">
        <v>2031361277</v>
      </c>
      <c r="E466" t="s">
        <v>540</v>
      </c>
      <c r="F466" t="s">
        <v>189</v>
      </c>
      <c r="G466" t="s">
        <v>51</v>
      </c>
      <c r="H466" t="s">
        <v>64</v>
      </c>
      <c r="I466" t="s">
        <v>262</v>
      </c>
      <c r="J466" t="s">
        <v>263</v>
      </c>
      <c r="K466">
        <v>824081</v>
      </c>
      <c r="L466" t="s">
        <v>541</v>
      </c>
      <c r="M466" t="s">
        <v>542</v>
      </c>
      <c r="N466" t="s">
        <v>57</v>
      </c>
      <c r="O466" s="1">
        <v>45931</v>
      </c>
      <c r="Q466" s="1">
        <v>45992</v>
      </c>
      <c r="R466" s="2">
        <v>88.96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317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62.27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45985</v>
      </c>
      <c r="B467" t="s">
        <v>48</v>
      </c>
      <c r="C467">
        <v>649163</v>
      </c>
      <c r="D467">
        <v>2031615386</v>
      </c>
      <c r="E467" t="s">
        <v>657</v>
      </c>
      <c r="F467" t="s">
        <v>658</v>
      </c>
      <c r="G467" t="s">
        <v>51</v>
      </c>
      <c r="H467" t="s">
        <v>64</v>
      </c>
      <c r="I467" t="s">
        <v>262</v>
      </c>
      <c r="J467" t="s">
        <v>263</v>
      </c>
      <c r="K467">
        <v>820873</v>
      </c>
      <c r="L467" t="s">
        <v>101</v>
      </c>
      <c r="M467" t="s">
        <v>102</v>
      </c>
      <c r="N467" t="s">
        <v>57</v>
      </c>
      <c r="O467" s="1">
        <v>45962</v>
      </c>
      <c r="Q467" s="1">
        <v>45992</v>
      </c>
      <c r="R467" s="2">
        <v>11.5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317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8.0500000000000007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45985</v>
      </c>
      <c r="B468" t="s">
        <v>48</v>
      </c>
      <c r="C468">
        <v>649163</v>
      </c>
      <c r="D468">
        <v>2031709307</v>
      </c>
      <c r="E468" t="s">
        <v>659</v>
      </c>
      <c r="F468" t="s">
        <v>660</v>
      </c>
      <c r="G468" t="s">
        <v>51</v>
      </c>
      <c r="H468" t="s">
        <v>224</v>
      </c>
      <c r="I468" t="s">
        <v>262</v>
      </c>
      <c r="J468" t="s">
        <v>265</v>
      </c>
      <c r="K468">
        <v>767312</v>
      </c>
      <c r="L468" t="s">
        <v>156</v>
      </c>
      <c r="M468" t="s">
        <v>157</v>
      </c>
      <c r="N468" t="s">
        <v>57</v>
      </c>
      <c r="O468" s="1">
        <v>45955</v>
      </c>
      <c r="Q468" s="1">
        <v>46016</v>
      </c>
      <c r="R468" s="2">
        <v>21.83</v>
      </c>
      <c r="S468">
        <v>1</v>
      </c>
      <c r="T468" t="s">
        <v>58</v>
      </c>
      <c r="U468" t="s">
        <v>59</v>
      </c>
      <c r="V468" s="3">
        <v>0.9</v>
      </c>
      <c r="W468" s="2">
        <v>0</v>
      </c>
      <c r="X468">
        <v>0</v>
      </c>
      <c r="Y468" t="s">
        <v>60</v>
      </c>
      <c r="Z468" t="s">
        <v>317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19.649999999999999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45985</v>
      </c>
      <c r="B469" t="s">
        <v>48</v>
      </c>
      <c r="C469">
        <v>649163</v>
      </c>
      <c r="D469">
        <v>2031738860</v>
      </c>
      <c r="E469" t="s">
        <v>405</v>
      </c>
      <c r="F469" t="s">
        <v>406</v>
      </c>
      <c r="G469" t="s">
        <v>51</v>
      </c>
      <c r="H469" t="s">
        <v>105</v>
      </c>
      <c r="I469" t="s">
        <v>262</v>
      </c>
      <c r="J469" t="s">
        <v>263</v>
      </c>
      <c r="K469">
        <v>673059</v>
      </c>
      <c r="L469" t="s">
        <v>70</v>
      </c>
      <c r="M469" t="s">
        <v>71</v>
      </c>
      <c r="N469" t="s">
        <v>57</v>
      </c>
      <c r="O469" s="1">
        <v>45952</v>
      </c>
      <c r="Q469" s="1">
        <v>46013</v>
      </c>
      <c r="R469" s="2">
        <v>31.23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317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21.86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45985</v>
      </c>
      <c r="B470" t="s">
        <v>48</v>
      </c>
      <c r="C470">
        <v>649163</v>
      </c>
      <c r="D470">
        <v>2031750243</v>
      </c>
      <c r="E470" t="s">
        <v>661</v>
      </c>
      <c r="F470" t="s">
        <v>662</v>
      </c>
      <c r="G470" t="s">
        <v>51</v>
      </c>
      <c r="H470" t="s">
        <v>644</v>
      </c>
      <c r="I470" t="s">
        <v>262</v>
      </c>
      <c r="J470" t="s">
        <v>263</v>
      </c>
      <c r="K470">
        <v>767312</v>
      </c>
      <c r="L470" t="s">
        <v>156</v>
      </c>
      <c r="M470" t="s">
        <v>157</v>
      </c>
      <c r="N470" t="s">
        <v>57</v>
      </c>
      <c r="O470" s="1">
        <v>45952</v>
      </c>
      <c r="Q470" s="1">
        <v>46013</v>
      </c>
      <c r="R470" s="2">
        <v>62.75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317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43.92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45985</v>
      </c>
      <c r="B471" t="s">
        <v>48</v>
      </c>
      <c r="C471">
        <v>649163</v>
      </c>
      <c r="D471">
        <v>2031750244</v>
      </c>
      <c r="E471" t="s">
        <v>661</v>
      </c>
      <c r="F471" t="s">
        <v>662</v>
      </c>
      <c r="G471" t="s">
        <v>51</v>
      </c>
      <c r="H471" t="s">
        <v>644</v>
      </c>
      <c r="I471" t="s">
        <v>262</v>
      </c>
      <c r="J471" t="s">
        <v>265</v>
      </c>
      <c r="K471">
        <v>767312</v>
      </c>
      <c r="L471" t="s">
        <v>156</v>
      </c>
      <c r="M471" t="s">
        <v>157</v>
      </c>
      <c r="N471" t="s">
        <v>57</v>
      </c>
      <c r="O471" s="1">
        <v>45952</v>
      </c>
      <c r="Q471" s="1">
        <v>46013</v>
      </c>
      <c r="R471" s="2">
        <v>37.880000000000003</v>
      </c>
      <c r="S471">
        <v>1</v>
      </c>
      <c r="T471" t="s">
        <v>58</v>
      </c>
      <c r="U471" t="s">
        <v>59</v>
      </c>
      <c r="V471" s="3">
        <v>0.9</v>
      </c>
      <c r="W471" s="2">
        <v>0</v>
      </c>
      <c r="X471">
        <v>0</v>
      </c>
      <c r="Y471" t="s">
        <v>60</v>
      </c>
      <c r="Z471" t="s">
        <v>317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34.090000000000003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45985</v>
      </c>
      <c r="B472" t="s">
        <v>48</v>
      </c>
      <c r="C472">
        <v>649163</v>
      </c>
      <c r="D472">
        <v>2031759932</v>
      </c>
      <c r="E472" t="s">
        <v>407</v>
      </c>
      <c r="F472" t="s">
        <v>408</v>
      </c>
      <c r="G472" t="s">
        <v>51</v>
      </c>
      <c r="H472" t="s">
        <v>64</v>
      </c>
      <c r="I472" t="s">
        <v>262</v>
      </c>
      <c r="J472" t="s">
        <v>263</v>
      </c>
      <c r="K472">
        <v>823350</v>
      </c>
      <c r="L472" t="s">
        <v>91</v>
      </c>
      <c r="M472" t="s">
        <v>92</v>
      </c>
      <c r="N472" t="s">
        <v>57</v>
      </c>
      <c r="O472" s="1">
        <v>45954</v>
      </c>
      <c r="Q472" s="1">
        <v>46015</v>
      </c>
      <c r="R472" s="2">
        <v>63.95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317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44.76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45985</v>
      </c>
      <c r="B473" t="s">
        <v>48</v>
      </c>
      <c r="C473">
        <v>649163</v>
      </c>
      <c r="D473">
        <v>2031766018</v>
      </c>
      <c r="E473" t="s">
        <v>663</v>
      </c>
      <c r="F473" t="s">
        <v>664</v>
      </c>
      <c r="G473" t="s">
        <v>51</v>
      </c>
      <c r="H473" t="s">
        <v>64</v>
      </c>
      <c r="I473" t="s">
        <v>262</v>
      </c>
      <c r="J473" t="s">
        <v>263</v>
      </c>
      <c r="K473">
        <v>813184</v>
      </c>
      <c r="L473" t="s">
        <v>142</v>
      </c>
      <c r="M473" t="s">
        <v>143</v>
      </c>
      <c r="N473" t="s">
        <v>57</v>
      </c>
      <c r="O473" s="1">
        <v>45953</v>
      </c>
      <c r="Q473" s="1">
        <v>46014</v>
      </c>
      <c r="R473" s="2">
        <v>74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317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51.8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45985</v>
      </c>
      <c r="B474" t="s">
        <v>48</v>
      </c>
      <c r="C474">
        <v>649163</v>
      </c>
      <c r="D474">
        <v>2031767154</v>
      </c>
      <c r="E474" t="s">
        <v>665</v>
      </c>
      <c r="F474" t="s">
        <v>666</v>
      </c>
      <c r="G474" t="s">
        <v>51</v>
      </c>
      <c r="H474" t="s">
        <v>105</v>
      </c>
      <c r="I474" t="s">
        <v>262</v>
      </c>
      <c r="J474" t="s">
        <v>263</v>
      </c>
      <c r="K474">
        <v>812656</v>
      </c>
      <c r="L474" t="s">
        <v>209</v>
      </c>
      <c r="M474" t="s">
        <v>210</v>
      </c>
      <c r="N474" t="s">
        <v>57</v>
      </c>
      <c r="O474" s="1">
        <v>45953</v>
      </c>
      <c r="Q474" s="1">
        <v>46014</v>
      </c>
      <c r="R474" s="2">
        <v>59.57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317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41.7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45985</v>
      </c>
      <c r="B475" t="s">
        <v>48</v>
      </c>
      <c r="C475">
        <v>649163</v>
      </c>
      <c r="D475">
        <v>2031773320</v>
      </c>
      <c r="E475" t="s">
        <v>667</v>
      </c>
      <c r="F475" t="s">
        <v>668</v>
      </c>
      <c r="G475" t="s">
        <v>51</v>
      </c>
      <c r="H475" t="s">
        <v>135</v>
      </c>
      <c r="I475" t="s">
        <v>262</v>
      </c>
      <c r="J475" t="s">
        <v>263</v>
      </c>
      <c r="K475">
        <v>812656</v>
      </c>
      <c r="L475" t="s">
        <v>209</v>
      </c>
      <c r="M475" t="s">
        <v>210</v>
      </c>
      <c r="N475" t="s">
        <v>57</v>
      </c>
      <c r="O475" s="1">
        <v>45954</v>
      </c>
      <c r="Q475" s="1">
        <v>46015</v>
      </c>
      <c r="R475" s="2">
        <v>132.82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317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92.97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45985</v>
      </c>
      <c r="B476" t="s">
        <v>48</v>
      </c>
      <c r="C476">
        <v>649163</v>
      </c>
      <c r="D476">
        <v>2031775760</v>
      </c>
      <c r="E476" t="s">
        <v>409</v>
      </c>
      <c r="F476" t="s">
        <v>253</v>
      </c>
      <c r="G476" t="s">
        <v>51</v>
      </c>
      <c r="H476" t="s">
        <v>109</v>
      </c>
      <c r="I476" t="s">
        <v>262</v>
      </c>
      <c r="J476" t="s">
        <v>263</v>
      </c>
      <c r="K476">
        <v>816021</v>
      </c>
      <c r="L476" t="s">
        <v>111</v>
      </c>
      <c r="M476" t="s">
        <v>112</v>
      </c>
      <c r="N476" t="s">
        <v>57</v>
      </c>
      <c r="O476" s="1">
        <v>45954</v>
      </c>
      <c r="Q476" s="1">
        <v>46015</v>
      </c>
      <c r="R476" s="2">
        <v>9.1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317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6.37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45985</v>
      </c>
      <c r="B477" t="s">
        <v>48</v>
      </c>
      <c r="C477">
        <v>649163</v>
      </c>
      <c r="D477">
        <v>2031775762</v>
      </c>
      <c r="E477" t="s">
        <v>409</v>
      </c>
      <c r="F477" t="s">
        <v>253</v>
      </c>
      <c r="G477" t="s">
        <v>51</v>
      </c>
      <c r="H477" t="s">
        <v>109</v>
      </c>
      <c r="I477" t="s">
        <v>262</v>
      </c>
      <c r="J477" t="s">
        <v>264</v>
      </c>
      <c r="K477">
        <v>816021</v>
      </c>
      <c r="L477" t="s">
        <v>111</v>
      </c>
      <c r="M477" t="s">
        <v>112</v>
      </c>
      <c r="N477" t="s">
        <v>57</v>
      </c>
      <c r="O477" s="1">
        <v>45954</v>
      </c>
      <c r="Q477" s="1">
        <v>46015</v>
      </c>
      <c r="R477" s="2">
        <v>6.3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317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4.41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45985</v>
      </c>
      <c r="B478" t="s">
        <v>48</v>
      </c>
      <c r="C478">
        <v>649163</v>
      </c>
      <c r="D478">
        <v>2031780521</v>
      </c>
      <c r="E478" t="s">
        <v>669</v>
      </c>
      <c r="F478" t="s">
        <v>438</v>
      </c>
      <c r="G478" t="s">
        <v>51</v>
      </c>
      <c r="H478" t="s">
        <v>95</v>
      </c>
      <c r="I478" t="s">
        <v>262</v>
      </c>
      <c r="J478" t="s">
        <v>264</v>
      </c>
      <c r="K478">
        <v>751867</v>
      </c>
      <c r="L478" t="s">
        <v>82</v>
      </c>
      <c r="M478" t="s">
        <v>83</v>
      </c>
      <c r="N478" t="s">
        <v>57</v>
      </c>
      <c r="O478" s="1">
        <v>45954</v>
      </c>
      <c r="Q478" s="1">
        <v>46015</v>
      </c>
      <c r="R478" s="2">
        <v>24.61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317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17.23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45985</v>
      </c>
      <c r="B479" t="s">
        <v>48</v>
      </c>
      <c r="C479">
        <v>649163</v>
      </c>
      <c r="D479">
        <v>2031799852</v>
      </c>
      <c r="E479" t="s">
        <v>670</v>
      </c>
      <c r="F479" t="s">
        <v>114</v>
      </c>
      <c r="G479" t="s">
        <v>51</v>
      </c>
      <c r="H479" t="s">
        <v>105</v>
      </c>
      <c r="I479" t="s">
        <v>262</v>
      </c>
      <c r="J479" t="s">
        <v>263</v>
      </c>
      <c r="K479">
        <v>856824</v>
      </c>
      <c r="L479" t="s">
        <v>106</v>
      </c>
      <c r="M479" t="s">
        <v>107</v>
      </c>
      <c r="N479" t="s">
        <v>57</v>
      </c>
      <c r="O479" s="1">
        <v>45957</v>
      </c>
      <c r="Q479" s="1">
        <v>46018</v>
      </c>
      <c r="R479" s="2">
        <v>50.9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317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35.630000000000003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45985</v>
      </c>
      <c r="B480" t="s">
        <v>48</v>
      </c>
      <c r="C480">
        <v>649163</v>
      </c>
      <c r="D480">
        <v>2031805822</v>
      </c>
      <c r="E480" t="s">
        <v>671</v>
      </c>
      <c r="F480" t="s">
        <v>438</v>
      </c>
      <c r="G480" t="s">
        <v>51</v>
      </c>
      <c r="H480" t="s">
        <v>135</v>
      </c>
      <c r="I480" t="s">
        <v>262</v>
      </c>
      <c r="J480" t="s">
        <v>263</v>
      </c>
      <c r="K480">
        <v>822865</v>
      </c>
      <c r="L480" t="s">
        <v>148</v>
      </c>
      <c r="M480" t="s">
        <v>149</v>
      </c>
      <c r="N480" t="s">
        <v>57</v>
      </c>
      <c r="O480" s="1">
        <v>45955</v>
      </c>
      <c r="Q480" s="1">
        <v>46016</v>
      </c>
      <c r="R480" s="2">
        <v>83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317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58.1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45985</v>
      </c>
      <c r="B481" t="s">
        <v>48</v>
      </c>
      <c r="C481">
        <v>649163</v>
      </c>
      <c r="D481">
        <v>2031823475</v>
      </c>
      <c r="E481" t="s">
        <v>672</v>
      </c>
      <c r="F481" t="s">
        <v>673</v>
      </c>
      <c r="G481" t="s">
        <v>51</v>
      </c>
      <c r="H481" t="s">
        <v>64</v>
      </c>
      <c r="I481" t="s">
        <v>262</v>
      </c>
      <c r="J481" t="s">
        <v>263</v>
      </c>
      <c r="K481">
        <v>893408</v>
      </c>
      <c r="L481" t="s">
        <v>674</v>
      </c>
      <c r="M481" t="s">
        <v>675</v>
      </c>
      <c r="N481" t="s">
        <v>57</v>
      </c>
      <c r="O481" s="1">
        <v>45956</v>
      </c>
      <c r="Q481" s="1">
        <v>46017</v>
      </c>
      <c r="R481" s="2">
        <v>148.32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317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103.82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45985</v>
      </c>
      <c r="B482" t="s">
        <v>48</v>
      </c>
      <c r="C482">
        <v>649163</v>
      </c>
      <c r="D482">
        <v>2031833749</v>
      </c>
      <c r="E482" t="s">
        <v>543</v>
      </c>
      <c r="F482" t="s">
        <v>544</v>
      </c>
      <c r="G482" t="s">
        <v>51</v>
      </c>
      <c r="H482" t="s">
        <v>224</v>
      </c>
      <c r="I482" t="s">
        <v>262</v>
      </c>
      <c r="J482" t="s">
        <v>263</v>
      </c>
      <c r="K482">
        <v>820140</v>
      </c>
      <c r="L482" t="s">
        <v>177</v>
      </c>
      <c r="M482" t="s">
        <v>66</v>
      </c>
      <c r="N482" t="s">
        <v>57</v>
      </c>
      <c r="O482" s="1">
        <v>45958</v>
      </c>
      <c r="Q482" s="1">
        <v>46019</v>
      </c>
      <c r="R482" s="2">
        <v>11.5</v>
      </c>
      <c r="S482">
        <v>1</v>
      </c>
      <c r="T482" t="s">
        <v>58</v>
      </c>
      <c r="U482" t="s">
        <v>59</v>
      </c>
      <c r="V482" s="3">
        <v>0.3</v>
      </c>
      <c r="W482" s="2">
        <v>0</v>
      </c>
      <c r="X482">
        <v>0</v>
      </c>
      <c r="Y482" t="s">
        <v>60</v>
      </c>
      <c r="Z482" t="s">
        <v>317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3.45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45985</v>
      </c>
      <c r="B483" t="s">
        <v>48</v>
      </c>
      <c r="C483">
        <v>649163</v>
      </c>
      <c r="D483">
        <v>2031845690</v>
      </c>
      <c r="E483" t="s">
        <v>545</v>
      </c>
      <c r="F483" t="s">
        <v>546</v>
      </c>
      <c r="G483" t="s">
        <v>51</v>
      </c>
      <c r="H483" t="s">
        <v>109</v>
      </c>
      <c r="I483" t="s">
        <v>262</v>
      </c>
      <c r="J483" t="s">
        <v>263</v>
      </c>
      <c r="K483">
        <v>796984</v>
      </c>
      <c r="L483" t="s">
        <v>243</v>
      </c>
      <c r="M483" t="s">
        <v>81</v>
      </c>
      <c r="N483" t="s">
        <v>57</v>
      </c>
      <c r="O483" s="1">
        <v>45958</v>
      </c>
      <c r="Q483" s="1">
        <v>46019</v>
      </c>
      <c r="R483" s="2">
        <v>9.1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0</v>
      </c>
      <c r="Y483" t="s">
        <v>60</v>
      </c>
      <c r="Z483" t="s">
        <v>317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6.37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45985</v>
      </c>
      <c r="B484" t="s">
        <v>48</v>
      </c>
      <c r="C484">
        <v>649163</v>
      </c>
      <c r="D484">
        <v>2032050346</v>
      </c>
      <c r="E484" t="s">
        <v>188</v>
      </c>
      <c r="F484" t="s">
        <v>189</v>
      </c>
      <c r="G484" t="s">
        <v>51</v>
      </c>
      <c r="H484" t="s">
        <v>64</v>
      </c>
      <c r="I484" t="s">
        <v>262</v>
      </c>
      <c r="J484" t="s">
        <v>263</v>
      </c>
      <c r="K484">
        <v>894525</v>
      </c>
      <c r="L484" t="s">
        <v>65</v>
      </c>
      <c r="M484" t="s">
        <v>66</v>
      </c>
      <c r="N484" t="s">
        <v>57</v>
      </c>
      <c r="O484" s="1">
        <v>46023</v>
      </c>
      <c r="Q484" s="1">
        <v>46054</v>
      </c>
      <c r="R484" s="2">
        <v>-34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-1</v>
      </c>
      <c r="Y484" t="s">
        <v>60</v>
      </c>
      <c r="Z484" t="s">
        <v>317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-23.8</v>
      </c>
      <c r="AN484" s="2">
        <v>-23.8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45985</v>
      </c>
      <c r="B485" t="s">
        <v>48</v>
      </c>
      <c r="C485">
        <v>649163</v>
      </c>
      <c r="D485">
        <v>2032071973</v>
      </c>
      <c r="E485" t="s">
        <v>639</v>
      </c>
      <c r="F485" t="s">
        <v>676</v>
      </c>
      <c r="G485" t="s">
        <v>51</v>
      </c>
      <c r="H485" t="s">
        <v>64</v>
      </c>
      <c r="I485" t="s">
        <v>262</v>
      </c>
      <c r="J485" t="s">
        <v>263</v>
      </c>
      <c r="K485">
        <v>756803</v>
      </c>
      <c r="L485" t="s">
        <v>539</v>
      </c>
      <c r="M485" t="s">
        <v>179</v>
      </c>
      <c r="N485" t="s">
        <v>337</v>
      </c>
      <c r="O485" s="1">
        <v>45970</v>
      </c>
      <c r="P485" s="1">
        <v>45978</v>
      </c>
      <c r="Q485" s="1">
        <v>46000</v>
      </c>
      <c r="R485" s="2">
        <v>-58.24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-1</v>
      </c>
      <c r="Y485" t="s">
        <v>60</v>
      </c>
      <c r="Z485" t="s">
        <v>317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-40.770000000000003</v>
      </c>
      <c r="AN485" s="2">
        <v>-40.770000000000003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45985</v>
      </c>
      <c r="B486" t="s">
        <v>48</v>
      </c>
      <c r="C486">
        <v>649163</v>
      </c>
      <c r="D486">
        <v>2032071974</v>
      </c>
      <c r="E486" t="s">
        <v>639</v>
      </c>
      <c r="F486" t="s">
        <v>676</v>
      </c>
      <c r="G486" t="s">
        <v>51</v>
      </c>
      <c r="H486" t="s">
        <v>64</v>
      </c>
      <c r="I486" t="s">
        <v>262</v>
      </c>
      <c r="J486" t="s">
        <v>265</v>
      </c>
      <c r="K486">
        <v>756803</v>
      </c>
      <c r="L486" t="s">
        <v>539</v>
      </c>
      <c r="M486" t="s">
        <v>179</v>
      </c>
      <c r="N486" t="s">
        <v>337</v>
      </c>
      <c r="O486" s="1">
        <v>45970</v>
      </c>
      <c r="P486" s="1">
        <v>45978</v>
      </c>
      <c r="Q486" s="1">
        <v>46000</v>
      </c>
      <c r="R486" s="2">
        <v>-20.75</v>
      </c>
      <c r="S486">
        <v>1</v>
      </c>
      <c r="T486" t="s">
        <v>58</v>
      </c>
      <c r="U486" t="s">
        <v>59</v>
      </c>
      <c r="V486" s="3">
        <v>0.9</v>
      </c>
      <c r="W486" s="2">
        <v>0</v>
      </c>
      <c r="X486">
        <v>-1</v>
      </c>
      <c r="Y486" t="s">
        <v>60</v>
      </c>
      <c r="Z486" t="s">
        <v>317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-18.68</v>
      </c>
      <c r="AN486" s="2">
        <v>-18.68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45985</v>
      </c>
      <c r="B487" t="s">
        <v>48</v>
      </c>
      <c r="C487">
        <v>649163</v>
      </c>
      <c r="D487">
        <v>2020392155</v>
      </c>
      <c r="E487" t="s">
        <v>414</v>
      </c>
      <c r="F487" t="s">
        <v>415</v>
      </c>
      <c r="G487" t="s">
        <v>51</v>
      </c>
      <c r="H487" t="s">
        <v>129</v>
      </c>
      <c r="I487" t="s">
        <v>311</v>
      </c>
      <c r="J487" t="s">
        <v>677</v>
      </c>
      <c r="K487">
        <v>673059</v>
      </c>
      <c r="L487" t="s">
        <v>70</v>
      </c>
      <c r="M487" t="s">
        <v>71</v>
      </c>
      <c r="N487" t="s">
        <v>57</v>
      </c>
      <c r="O487" s="1">
        <v>45288</v>
      </c>
      <c r="Q487" s="1">
        <v>46017</v>
      </c>
      <c r="R487" s="2">
        <v>584.87</v>
      </c>
      <c r="S487">
        <v>1</v>
      </c>
      <c r="T487" t="s">
        <v>58</v>
      </c>
      <c r="U487" t="s">
        <v>315</v>
      </c>
      <c r="V487" s="3">
        <v>0.28999999999999998</v>
      </c>
      <c r="W487" s="2">
        <v>0</v>
      </c>
      <c r="X487">
        <v>0</v>
      </c>
      <c r="Y487" t="s">
        <v>316</v>
      </c>
      <c r="Z487" t="s">
        <v>317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169.61</v>
      </c>
      <c r="AN487" s="2">
        <v>169.61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45985</v>
      </c>
      <c r="B488" t="s">
        <v>48</v>
      </c>
      <c r="C488">
        <v>649163</v>
      </c>
      <c r="D488">
        <v>2020461026</v>
      </c>
      <c r="E488" t="s">
        <v>416</v>
      </c>
      <c r="F488" t="s">
        <v>170</v>
      </c>
      <c r="G488" t="s">
        <v>51</v>
      </c>
      <c r="H488" t="s">
        <v>166</v>
      </c>
      <c r="I488" t="s">
        <v>311</v>
      </c>
      <c r="J488" t="s">
        <v>677</v>
      </c>
      <c r="K488">
        <v>673059</v>
      </c>
      <c r="L488" t="s">
        <v>70</v>
      </c>
      <c r="M488" t="s">
        <v>71</v>
      </c>
      <c r="N488" t="s">
        <v>57</v>
      </c>
      <c r="O488" s="1">
        <v>45284</v>
      </c>
      <c r="Q488" s="1">
        <v>46015</v>
      </c>
      <c r="R488" s="2">
        <v>263.83</v>
      </c>
      <c r="S488">
        <v>1</v>
      </c>
      <c r="T488" t="s">
        <v>58</v>
      </c>
      <c r="U488" t="s">
        <v>315</v>
      </c>
      <c r="V488" s="3">
        <v>0.28999999999999998</v>
      </c>
      <c r="W488" s="2">
        <v>0</v>
      </c>
      <c r="X488">
        <v>0</v>
      </c>
      <c r="Y488" t="s">
        <v>316</v>
      </c>
      <c r="Z488" t="s">
        <v>317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76.510000000000005</v>
      </c>
      <c r="AN488" s="2">
        <v>76.510000000000005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45985</v>
      </c>
      <c r="B489" t="s">
        <v>48</v>
      </c>
      <c r="C489">
        <v>649163</v>
      </c>
      <c r="D489">
        <v>2023809265</v>
      </c>
      <c r="E489" t="s">
        <v>420</v>
      </c>
      <c r="F489" t="s">
        <v>421</v>
      </c>
      <c r="G489" t="s">
        <v>51</v>
      </c>
      <c r="H489" t="s">
        <v>129</v>
      </c>
      <c r="I489" t="s">
        <v>311</v>
      </c>
      <c r="J489" t="s">
        <v>677</v>
      </c>
      <c r="K489">
        <v>673059</v>
      </c>
      <c r="L489" t="s">
        <v>70</v>
      </c>
      <c r="M489" t="s">
        <v>71</v>
      </c>
      <c r="N489" t="s">
        <v>57</v>
      </c>
      <c r="O489" s="1">
        <v>45653</v>
      </c>
      <c r="Q489" s="1">
        <v>46018</v>
      </c>
      <c r="R489" s="2">
        <v>252.6</v>
      </c>
      <c r="S489">
        <v>1</v>
      </c>
      <c r="T489" t="s">
        <v>58</v>
      </c>
      <c r="U489" t="s">
        <v>315</v>
      </c>
      <c r="V489" s="3">
        <v>0.28999999999999998</v>
      </c>
      <c r="W489" s="2">
        <v>0</v>
      </c>
      <c r="X489">
        <v>0</v>
      </c>
      <c r="Y489" t="s">
        <v>60</v>
      </c>
      <c r="Z489" t="s">
        <v>317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73.25</v>
      </c>
      <c r="AN489" s="2">
        <v>73.25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45985</v>
      </c>
      <c r="B490" t="s">
        <v>48</v>
      </c>
      <c r="C490">
        <v>649163</v>
      </c>
      <c r="D490">
        <v>2030722441</v>
      </c>
      <c r="E490" t="s">
        <v>441</v>
      </c>
      <c r="F490" t="s">
        <v>442</v>
      </c>
      <c r="G490" t="s">
        <v>51</v>
      </c>
      <c r="H490" t="s">
        <v>129</v>
      </c>
      <c r="I490" t="s">
        <v>311</v>
      </c>
      <c r="J490" t="s">
        <v>312</v>
      </c>
      <c r="K490">
        <v>812994</v>
      </c>
      <c r="L490" t="s">
        <v>443</v>
      </c>
      <c r="M490" t="s">
        <v>444</v>
      </c>
      <c r="N490" t="s">
        <v>57</v>
      </c>
      <c r="O490" s="1">
        <v>45897</v>
      </c>
      <c r="Q490" s="1">
        <v>46019</v>
      </c>
      <c r="R490" s="2">
        <v>150.93</v>
      </c>
      <c r="S490">
        <v>1</v>
      </c>
      <c r="T490" t="s">
        <v>58</v>
      </c>
      <c r="U490" t="s">
        <v>315</v>
      </c>
      <c r="V490" s="3">
        <v>0.28999999999999998</v>
      </c>
      <c r="W490" s="2">
        <v>0</v>
      </c>
      <c r="X490">
        <v>0</v>
      </c>
      <c r="Y490" t="s">
        <v>60</v>
      </c>
      <c r="Z490" t="s">
        <v>317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43.77</v>
      </c>
      <c r="AN490" s="2">
        <v>43.77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45985</v>
      </c>
      <c r="B491" t="s">
        <v>48</v>
      </c>
      <c r="C491">
        <v>649163</v>
      </c>
      <c r="D491">
        <v>2031780522</v>
      </c>
      <c r="E491" t="s">
        <v>669</v>
      </c>
      <c r="F491" t="s">
        <v>438</v>
      </c>
      <c r="G491" t="s">
        <v>51</v>
      </c>
      <c r="H491" t="s">
        <v>95</v>
      </c>
      <c r="I491" t="s">
        <v>311</v>
      </c>
      <c r="J491" t="s">
        <v>678</v>
      </c>
      <c r="K491">
        <v>751867</v>
      </c>
      <c r="L491" t="s">
        <v>82</v>
      </c>
      <c r="M491" t="s">
        <v>83</v>
      </c>
      <c r="N491" t="s">
        <v>57</v>
      </c>
      <c r="O491" s="1">
        <v>45954</v>
      </c>
      <c r="Q491" s="1">
        <v>46015</v>
      </c>
      <c r="R491" s="2">
        <v>142.16</v>
      </c>
      <c r="S491">
        <v>1</v>
      </c>
      <c r="T491" t="s">
        <v>58</v>
      </c>
      <c r="U491" t="s">
        <v>679</v>
      </c>
      <c r="V491" s="3">
        <v>0.27</v>
      </c>
      <c r="W491" s="2">
        <v>0</v>
      </c>
      <c r="X491">
        <v>0</v>
      </c>
      <c r="Y491" t="s">
        <v>60</v>
      </c>
      <c r="Z491" t="s">
        <v>317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38.380000000000003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45985</v>
      </c>
      <c r="B492" t="s">
        <v>48</v>
      </c>
      <c r="C492">
        <v>649163</v>
      </c>
      <c r="D492">
        <v>2031780523</v>
      </c>
      <c r="E492" t="s">
        <v>669</v>
      </c>
      <c r="F492" t="s">
        <v>438</v>
      </c>
      <c r="G492" t="s">
        <v>51</v>
      </c>
      <c r="H492" t="s">
        <v>95</v>
      </c>
      <c r="I492" t="s">
        <v>311</v>
      </c>
      <c r="J492" t="s">
        <v>680</v>
      </c>
      <c r="K492">
        <v>751867</v>
      </c>
      <c r="L492" t="s">
        <v>82</v>
      </c>
      <c r="M492" t="s">
        <v>83</v>
      </c>
      <c r="N492" t="s">
        <v>57</v>
      </c>
      <c r="O492" s="1">
        <v>45954</v>
      </c>
      <c r="Q492" s="1">
        <v>46015</v>
      </c>
      <c r="R492" s="2">
        <v>9.9499999999999993</v>
      </c>
      <c r="S492">
        <v>1</v>
      </c>
      <c r="T492" t="s">
        <v>58</v>
      </c>
      <c r="U492" t="s">
        <v>679</v>
      </c>
      <c r="V492" s="3">
        <v>0.27</v>
      </c>
      <c r="W492" s="2">
        <v>0</v>
      </c>
      <c r="X492">
        <v>0</v>
      </c>
      <c r="Y492" t="s">
        <v>60</v>
      </c>
      <c r="Z492" t="s">
        <v>317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2.69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45985</v>
      </c>
      <c r="B493" t="s">
        <v>48</v>
      </c>
      <c r="C493">
        <v>649163</v>
      </c>
      <c r="D493">
        <v>2031804598</v>
      </c>
      <c r="E493" t="s">
        <v>449</v>
      </c>
      <c r="F493" t="s">
        <v>450</v>
      </c>
      <c r="G493" t="s">
        <v>51</v>
      </c>
      <c r="H493" t="s">
        <v>310</v>
      </c>
      <c r="I493" t="s">
        <v>311</v>
      </c>
      <c r="J493" t="s">
        <v>681</v>
      </c>
      <c r="K493">
        <v>877790</v>
      </c>
      <c r="L493" t="s">
        <v>452</v>
      </c>
      <c r="M493" t="s">
        <v>453</v>
      </c>
      <c r="N493" t="s">
        <v>57</v>
      </c>
      <c r="O493" s="1">
        <v>45955</v>
      </c>
      <c r="Q493" s="1">
        <v>46016</v>
      </c>
      <c r="R493" s="2">
        <v>832.5</v>
      </c>
      <c r="S493">
        <v>1</v>
      </c>
      <c r="T493" t="s">
        <v>58</v>
      </c>
      <c r="U493" t="s">
        <v>168</v>
      </c>
      <c r="V493" s="3">
        <v>0.19</v>
      </c>
      <c r="W493" s="2">
        <v>0</v>
      </c>
      <c r="X493">
        <v>0</v>
      </c>
      <c r="Y493" t="s">
        <v>60</v>
      </c>
      <c r="Z493" t="s">
        <v>317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158.18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45985</v>
      </c>
      <c r="B494" t="s">
        <v>48</v>
      </c>
      <c r="C494">
        <v>649163</v>
      </c>
      <c r="D494">
        <v>2018421687</v>
      </c>
      <c r="E494" t="s">
        <v>682</v>
      </c>
      <c r="F494" t="s">
        <v>141</v>
      </c>
      <c r="G494" t="s">
        <v>51</v>
      </c>
      <c r="H494" t="s">
        <v>105</v>
      </c>
      <c r="I494" t="s">
        <v>683</v>
      </c>
      <c r="J494" t="s">
        <v>684</v>
      </c>
      <c r="K494">
        <v>673059</v>
      </c>
      <c r="L494" t="s">
        <v>70</v>
      </c>
      <c r="M494" t="s">
        <v>71</v>
      </c>
      <c r="N494" t="s">
        <v>57</v>
      </c>
      <c r="O494" s="1">
        <v>45037</v>
      </c>
      <c r="Q494" s="1">
        <v>46012</v>
      </c>
      <c r="R494" s="2">
        <v>113.49</v>
      </c>
      <c r="S494">
        <v>1</v>
      </c>
      <c r="T494" t="s">
        <v>58</v>
      </c>
      <c r="U494" t="s">
        <v>315</v>
      </c>
      <c r="V494" s="4">
        <v>5.2499999999999998E-2</v>
      </c>
      <c r="W494" s="2">
        <v>0</v>
      </c>
      <c r="X494">
        <v>0</v>
      </c>
      <c r="Y494" t="s">
        <v>316</v>
      </c>
      <c r="Z494" t="s">
        <v>317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5.96</v>
      </c>
      <c r="AN494" s="2">
        <v>5.96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45985</v>
      </c>
      <c r="B495" t="s">
        <v>48</v>
      </c>
      <c r="C495">
        <v>649163</v>
      </c>
      <c r="D495">
        <v>2018582686</v>
      </c>
      <c r="E495" t="s">
        <v>561</v>
      </c>
      <c r="F495" t="s">
        <v>170</v>
      </c>
      <c r="G495" t="s">
        <v>51</v>
      </c>
      <c r="H495" t="s">
        <v>105</v>
      </c>
      <c r="I495" t="s">
        <v>683</v>
      </c>
      <c r="J495" t="s">
        <v>684</v>
      </c>
      <c r="K495">
        <v>673059</v>
      </c>
      <c r="L495" t="s">
        <v>70</v>
      </c>
      <c r="M495" t="s">
        <v>71</v>
      </c>
      <c r="N495" t="s">
        <v>57</v>
      </c>
      <c r="O495" s="1">
        <v>45096</v>
      </c>
      <c r="Q495" s="1">
        <v>46010</v>
      </c>
      <c r="R495" s="2">
        <v>95.35</v>
      </c>
      <c r="S495">
        <v>1</v>
      </c>
      <c r="T495" t="s">
        <v>58</v>
      </c>
      <c r="U495" t="s">
        <v>315</v>
      </c>
      <c r="V495" s="4">
        <v>5.2499999999999998E-2</v>
      </c>
      <c r="W495" s="2">
        <v>0</v>
      </c>
      <c r="X495">
        <v>0</v>
      </c>
      <c r="Y495" t="s">
        <v>316</v>
      </c>
      <c r="Z495" t="s">
        <v>317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5.01</v>
      </c>
      <c r="AN495" s="2">
        <v>5.01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45985</v>
      </c>
      <c r="B496" t="s">
        <v>48</v>
      </c>
      <c r="C496">
        <v>649163</v>
      </c>
      <c r="D496">
        <v>2020850122</v>
      </c>
      <c r="E496" t="s">
        <v>685</v>
      </c>
      <c r="F496" t="s">
        <v>83</v>
      </c>
      <c r="G496" t="s">
        <v>51</v>
      </c>
      <c r="H496" t="s">
        <v>235</v>
      </c>
      <c r="I496" t="s">
        <v>683</v>
      </c>
      <c r="J496" t="s">
        <v>684</v>
      </c>
      <c r="K496">
        <v>649164</v>
      </c>
      <c r="L496" t="s">
        <v>686</v>
      </c>
      <c r="M496" t="s">
        <v>274</v>
      </c>
      <c r="N496" t="s">
        <v>57</v>
      </c>
      <c r="O496" s="1">
        <v>45251</v>
      </c>
      <c r="Q496" s="1">
        <v>46012</v>
      </c>
      <c r="R496" s="2">
        <v>130.83000000000001</v>
      </c>
      <c r="S496">
        <v>1</v>
      </c>
      <c r="T496" t="s">
        <v>58</v>
      </c>
      <c r="U496" t="s">
        <v>315</v>
      </c>
      <c r="V496" s="4">
        <v>5.2499999999999998E-2</v>
      </c>
      <c r="W496" s="2">
        <v>0</v>
      </c>
      <c r="X496">
        <v>0</v>
      </c>
      <c r="Y496" t="s">
        <v>316</v>
      </c>
      <c r="Z496" t="s">
        <v>317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6.87</v>
      </c>
      <c r="AN496" s="2">
        <v>6.87</v>
      </c>
      <c r="AO496" s="2">
        <v>0</v>
      </c>
      <c r="AP496" s="2">
        <v>0</v>
      </c>
      <c r="AQ496" s="2">
        <v>0</v>
      </c>
    </row>
    <row r="497" spans="1:44" x14ac:dyDescent="0.25">
      <c r="A497" s="1">
        <v>45985</v>
      </c>
      <c r="B497" t="s">
        <v>48</v>
      </c>
      <c r="C497">
        <v>649163</v>
      </c>
      <c r="D497">
        <v>2022400180</v>
      </c>
      <c r="E497" t="s">
        <v>687</v>
      </c>
      <c r="F497" t="s">
        <v>688</v>
      </c>
      <c r="G497" t="s">
        <v>51</v>
      </c>
      <c r="H497" t="s">
        <v>52</v>
      </c>
      <c r="I497" t="s">
        <v>683</v>
      </c>
      <c r="J497" t="s">
        <v>684</v>
      </c>
      <c r="K497">
        <v>728134</v>
      </c>
      <c r="L497" t="s">
        <v>485</v>
      </c>
      <c r="M497" t="s">
        <v>486</v>
      </c>
      <c r="N497" t="s">
        <v>57</v>
      </c>
      <c r="O497" s="1">
        <v>45374</v>
      </c>
      <c r="Q497" s="1">
        <v>46014</v>
      </c>
      <c r="R497" s="2">
        <v>43.59</v>
      </c>
      <c r="S497">
        <v>1</v>
      </c>
      <c r="T497" t="s">
        <v>58</v>
      </c>
      <c r="U497" t="s">
        <v>315</v>
      </c>
      <c r="V497" s="4">
        <v>5.2499999999999998E-2</v>
      </c>
      <c r="W497" s="2">
        <v>0</v>
      </c>
      <c r="X497">
        <v>0</v>
      </c>
      <c r="Y497" t="s">
        <v>316</v>
      </c>
      <c r="Z497" t="s">
        <v>317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2.29</v>
      </c>
      <c r="AN497" s="2">
        <v>2.29</v>
      </c>
      <c r="AO497" s="2">
        <v>0</v>
      </c>
      <c r="AP497" s="2">
        <v>0</v>
      </c>
      <c r="AQ497" s="2">
        <v>0</v>
      </c>
    </row>
    <row r="498" spans="1:44" x14ac:dyDescent="0.25">
      <c r="A498" s="1">
        <v>45985</v>
      </c>
      <c r="B498" t="s">
        <v>48</v>
      </c>
      <c r="C498">
        <v>649163</v>
      </c>
      <c r="D498">
        <v>2024464934</v>
      </c>
      <c r="E498" t="s">
        <v>551</v>
      </c>
      <c r="F498" t="s">
        <v>552</v>
      </c>
      <c r="G498" t="s">
        <v>51</v>
      </c>
      <c r="H498" t="s">
        <v>64</v>
      </c>
      <c r="I498" t="s">
        <v>683</v>
      </c>
      <c r="J498" t="s">
        <v>684</v>
      </c>
      <c r="K498">
        <v>766422</v>
      </c>
      <c r="L498" t="s">
        <v>430</v>
      </c>
      <c r="M498" t="s">
        <v>332</v>
      </c>
      <c r="N498" t="s">
        <v>57</v>
      </c>
      <c r="O498" s="1">
        <v>45527</v>
      </c>
      <c r="Q498" s="1">
        <v>46014</v>
      </c>
      <c r="R498" s="2">
        <v>109.48</v>
      </c>
      <c r="S498">
        <v>1</v>
      </c>
      <c r="T498" t="s">
        <v>58</v>
      </c>
      <c r="U498" t="s">
        <v>315</v>
      </c>
      <c r="V498" s="4">
        <v>5.2499999999999998E-2</v>
      </c>
      <c r="W498" s="2">
        <v>0</v>
      </c>
      <c r="X498">
        <v>0</v>
      </c>
      <c r="Y498" t="s">
        <v>316</v>
      </c>
      <c r="Z498" t="s">
        <v>317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5.75</v>
      </c>
      <c r="AN498" s="2">
        <v>5.75</v>
      </c>
      <c r="AO498" s="2">
        <v>0</v>
      </c>
      <c r="AP498" s="2">
        <v>0</v>
      </c>
      <c r="AQ498" s="2">
        <v>0</v>
      </c>
    </row>
    <row r="499" spans="1:44" x14ac:dyDescent="0.25">
      <c r="A499" s="1">
        <v>45985</v>
      </c>
      <c r="B499" t="s">
        <v>48</v>
      </c>
      <c r="C499">
        <v>649163</v>
      </c>
      <c r="D499">
        <v>2026211393</v>
      </c>
      <c r="E499" t="s">
        <v>689</v>
      </c>
      <c r="F499" t="s">
        <v>690</v>
      </c>
      <c r="G499" t="s">
        <v>51</v>
      </c>
      <c r="H499" t="s">
        <v>52</v>
      </c>
      <c r="I499" t="s">
        <v>683</v>
      </c>
      <c r="J499" t="s">
        <v>684</v>
      </c>
      <c r="K499">
        <v>728134</v>
      </c>
      <c r="L499" t="s">
        <v>485</v>
      </c>
      <c r="M499" t="s">
        <v>486</v>
      </c>
      <c r="N499" t="s">
        <v>57</v>
      </c>
      <c r="O499" s="1">
        <v>45644</v>
      </c>
      <c r="Q499" s="1">
        <v>46009</v>
      </c>
      <c r="R499" s="2">
        <v>45.54</v>
      </c>
      <c r="S499">
        <v>1</v>
      </c>
      <c r="T499" t="s">
        <v>58</v>
      </c>
      <c r="U499" t="s">
        <v>315</v>
      </c>
      <c r="V499" s="3">
        <v>0.47</v>
      </c>
      <c r="W499" s="2">
        <v>0</v>
      </c>
      <c r="X499">
        <v>0</v>
      </c>
      <c r="Y499" t="s">
        <v>60</v>
      </c>
      <c r="Z499" t="s">
        <v>317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21.4</v>
      </c>
      <c r="AN499" s="2">
        <v>21.4</v>
      </c>
      <c r="AO499" s="2">
        <v>0</v>
      </c>
      <c r="AP499" s="2">
        <v>0</v>
      </c>
      <c r="AQ499" s="2">
        <v>0</v>
      </c>
    </row>
    <row r="500" spans="1:44" x14ac:dyDescent="0.25">
      <c r="A500" s="1">
        <v>45985</v>
      </c>
      <c r="B500" t="s">
        <v>48</v>
      </c>
      <c r="C500">
        <v>649163</v>
      </c>
      <c r="D500">
        <v>2026212129</v>
      </c>
      <c r="E500" t="s">
        <v>691</v>
      </c>
      <c r="F500" t="s">
        <v>253</v>
      </c>
      <c r="G500" t="s">
        <v>51</v>
      </c>
      <c r="H500" t="s">
        <v>52</v>
      </c>
      <c r="I500" t="s">
        <v>683</v>
      </c>
      <c r="J500" t="s">
        <v>684</v>
      </c>
      <c r="K500">
        <v>728134</v>
      </c>
      <c r="L500" t="s">
        <v>485</v>
      </c>
      <c r="M500" t="s">
        <v>486</v>
      </c>
      <c r="N500" t="s">
        <v>57</v>
      </c>
      <c r="O500" s="1">
        <v>45644</v>
      </c>
      <c r="Q500" s="1">
        <v>46009</v>
      </c>
      <c r="R500" s="2">
        <v>45.54</v>
      </c>
      <c r="S500">
        <v>1</v>
      </c>
      <c r="T500" t="s">
        <v>58</v>
      </c>
      <c r="U500" t="s">
        <v>315</v>
      </c>
      <c r="V500" s="3">
        <v>0.47</v>
      </c>
      <c r="W500" s="2">
        <v>0</v>
      </c>
      <c r="X500">
        <v>0</v>
      </c>
      <c r="Y500" t="s">
        <v>60</v>
      </c>
      <c r="Z500" t="s">
        <v>317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21.4</v>
      </c>
      <c r="AN500" s="2">
        <v>21.4</v>
      </c>
      <c r="AO500" s="2">
        <v>0</v>
      </c>
      <c r="AP500" s="2">
        <v>0</v>
      </c>
      <c r="AQ500" s="2">
        <v>0</v>
      </c>
    </row>
    <row r="501" spans="1:44" x14ac:dyDescent="0.25">
      <c r="A501" s="1">
        <v>45985</v>
      </c>
      <c r="B501" t="s">
        <v>48</v>
      </c>
      <c r="C501">
        <v>649163</v>
      </c>
      <c r="D501">
        <v>2026705202</v>
      </c>
      <c r="E501" t="s">
        <v>692</v>
      </c>
      <c r="F501" t="s">
        <v>564</v>
      </c>
      <c r="G501" t="s">
        <v>51</v>
      </c>
      <c r="H501" t="s">
        <v>64</v>
      </c>
      <c r="I501" t="s">
        <v>683</v>
      </c>
      <c r="J501" t="s">
        <v>693</v>
      </c>
      <c r="K501">
        <v>768887</v>
      </c>
      <c r="L501" t="s">
        <v>231</v>
      </c>
      <c r="M501" t="s">
        <v>232</v>
      </c>
      <c r="N501" t="s">
        <v>57</v>
      </c>
      <c r="O501" s="1">
        <v>45679</v>
      </c>
      <c r="Q501" s="1">
        <v>46013</v>
      </c>
      <c r="R501" s="2">
        <v>113.89</v>
      </c>
      <c r="S501">
        <v>1</v>
      </c>
      <c r="T501" t="s">
        <v>58</v>
      </c>
      <c r="U501" t="s">
        <v>315</v>
      </c>
      <c r="V501" s="3">
        <v>0.51</v>
      </c>
      <c r="W501" s="2">
        <v>0</v>
      </c>
      <c r="X501">
        <v>0</v>
      </c>
      <c r="Y501" t="s">
        <v>60</v>
      </c>
      <c r="Z501" t="s">
        <v>317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58.08</v>
      </c>
      <c r="AN501" s="2">
        <v>58.08</v>
      </c>
      <c r="AO501" s="2">
        <v>0</v>
      </c>
      <c r="AP501" s="2">
        <v>0</v>
      </c>
      <c r="AQ501" s="2">
        <v>0</v>
      </c>
    </row>
    <row r="502" spans="1:44" x14ac:dyDescent="0.25">
      <c r="A502" s="1">
        <v>45985</v>
      </c>
      <c r="B502" t="s">
        <v>48</v>
      </c>
      <c r="C502">
        <v>649163</v>
      </c>
      <c r="D502">
        <v>2026705203</v>
      </c>
      <c r="E502" t="s">
        <v>692</v>
      </c>
      <c r="F502" t="s">
        <v>564</v>
      </c>
      <c r="G502" t="s">
        <v>51</v>
      </c>
      <c r="H502" t="s">
        <v>64</v>
      </c>
      <c r="I502" t="s">
        <v>683</v>
      </c>
      <c r="J502" t="s">
        <v>694</v>
      </c>
      <c r="K502">
        <v>768887</v>
      </c>
      <c r="L502" t="s">
        <v>231</v>
      </c>
      <c r="M502" t="s">
        <v>232</v>
      </c>
      <c r="N502" t="s">
        <v>57</v>
      </c>
      <c r="O502" s="1">
        <v>45679</v>
      </c>
      <c r="Q502" s="1">
        <v>46013</v>
      </c>
      <c r="R502" s="2">
        <v>14.95</v>
      </c>
      <c r="S502">
        <v>1</v>
      </c>
      <c r="T502" t="s">
        <v>58</v>
      </c>
      <c r="U502" t="s">
        <v>315</v>
      </c>
      <c r="V502" s="3">
        <v>0.51</v>
      </c>
      <c r="W502" s="2">
        <v>0</v>
      </c>
      <c r="X502">
        <v>0</v>
      </c>
      <c r="Y502" t="s">
        <v>60</v>
      </c>
      <c r="Z502" t="s">
        <v>317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7.62</v>
      </c>
      <c r="AN502" s="2">
        <v>7.62</v>
      </c>
      <c r="AO502" s="2">
        <v>0</v>
      </c>
      <c r="AP502" s="2">
        <v>0</v>
      </c>
      <c r="AQ502" s="2">
        <v>0</v>
      </c>
    </row>
    <row r="503" spans="1:44" x14ac:dyDescent="0.25">
      <c r="A503" s="1">
        <v>45985</v>
      </c>
      <c r="B503" t="s">
        <v>48</v>
      </c>
      <c r="C503">
        <v>649163</v>
      </c>
      <c r="D503">
        <v>2026721618</v>
      </c>
      <c r="E503" t="s">
        <v>611</v>
      </c>
      <c r="F503" t="s">
        <v>329</v>
      </c>
      <c r="G503" t="s">
        <v>51</v>
      </c>
      <c r="H503" t="s">
        <v>132</v>
      </c>
      <c r="I503" t="s">
        <v>683</v>
      </c>
      <c r="J503" t="s">
        <v>693</v>
      </c>
      <c r="K503">
        <v>768887</v>
      </c>
      <c r="L503" t="s">
        <v>231</v>
      </c>
      <c r="M503" t="s">
        <v>232</v>
      </c>
      <c r="N503" t="s">
        <v>57</v>
      </c>
      <c r="O503" s="1">
        <v>45680</v>
      </c>
      <c r="Q503" s="1">
        <v>46014</v>
      </c>
      <c r="R503" s="2">
        <v>113.89</v>
      </c>
      <c r="S503">
        <v>1</v>
      </c>
      <c r="T503" t="s">
        <v>58</v>
      </c>
      <c r="U503" t="s">
        <v>315</v>
      </c>
      <c r="V503" s="3">
        <v>0.51</v>
      </c>
      <c r="W503" s="2">
        <v>0</v>
      </c>
      <c r="X503">
        <v>0</v>
      </c>
      <c r="Y503" t="s">
        <v>60</v>
      </c>
      <c r="Z503" t="s">
        <v>317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58.08</v>
      </c>
      <c r="AN503" s="2">
        <v>58.08</v>
      </c>
      <c r="AO503" s="2">
        <v>0</v>
      </c>
      <c r="AP503" s="2">
        <v>0</v>
      </c>
      <c r="AQ503" s="2">
        <v>0</v>
      </c>
    </row>
    <row r="504" spans="1:44" x14ac:dyDescent="0.25">
      <c r="A504" s="1">
        <v>45985</v>
      </c>
      <c r="B504" t="s">
        <v>48</v>
      </c>
      <c r="C504">
        <v>649163</v>
      </c>
      <c r="D504">
        <v>2027085369</v>
      </c>
      <c r="E504" t="s">
        <v>695</v>
      </c>
      <c r="F504" t="s">
        <v>696</v>
      </c>
      <c r="G504" t="s">
        <v>51</v>
      </c>
      <c r="H504" t="s">
        <v>64</v>
      </c>
      <c r="I504" t="s">
        <v>683</v>
      </c>
      <c r="J504" t="s">
        <v>694</v>
      </c>
      <c r="K504">
        <v>768887</v>
      </c>
      <c r="L504" t="s">
        <v>231</v>
      </c>
      <c r="M504" t="s">
        <v>232</v>
      </c>
      <c r="N504" t="s">
        <v>337</v>
      </c>
      <c r="O504" s="1">
        <v>45717</v>
      </c>
      <c r="P504" s="1">
        <v>45985</v>
      </c>
      <c r="Q504" s="1">
        <v>45992</v>
      </c>
      <c r="R504" s="2">
        <v>-149.55000000000001</v>
      </c>
      <c r="S504">
        <v>1</v>
      </c>
      <c r="T504" t="s">
        <v>58</v>
      </c>
      <c r="U504" t="s">
        <v>315</v>
      </c>
      <c r="V504" s="3">
        <v>0.51</v>
      </c>
      <c r="W504" s="2">
        <v>0</v>
      </c>
      <c r="X504">
        <v>-1</v>
      </c>
      <c r="Y504" t="s">
        <v>60</v>
      </c>
      <c r="Z504" t="s">
        <v>317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-76.27</v>
      </c>
      <c r="AN504" s="2">
        <v>-76.27</v>
      </c>
      <c r="AO504" s="2">
        <v>0</v>
      </c>
      <c r="AP504" s="2">
        <v>0</v>
      </c>
      <c r="AQ504" s="2">
        <v>0</v>
      </c>
    </row>
    <row r="505" spans="1:44" x14ac:dyDescent="0.25">
      <c r="A505" s="1">
        <v>45985</v>
      </c>
      <c r="B505" t="s">
        <v>48</v>
      </c>
      <c r="C505">
        <v>649163</v>
      </c>
      <c r="D505">
        <v>2027883703</v>
      </c>
      <c r="E505" t="s">
        <v>697</v>
      </c>
      <c r="F505" t="s">
        <v>698</v>
      </c>
      <c r="G505" t="s">
        <v>51</v>
      </c>
      <c r="H505" t="s">
        <v>105</v>
      </c>
      <c r="I505" t="s">
        <v>683</v>
      </c>
      <c r="J505" t="s">
        <v>684</v>
      </c>
      <c r="K505">
        <v>767312</v>
      </c>
      <c r="L505" t="s">
        <v>156</v>
      </c>
      <c r="M505" t="s">
        <v>157</v>
      </c>
      <c r="N505" t="s">
        <v>57</v>
      </c>
      <c r="O505" s="1">
        <v>45735</v>
      </c>
      <c r="Q505" s="1">
        <v>46010</v>
      </c>
      <c r="R505" s="2">
        <v>31.52</v>
      </c>
      <c r="S505">
        <v>1</v>
      </c>
      <c r="T505" t="s">
        <v>58</v>
      </c>
      <c r="U505" t="s">
        <v>315</v>
      </c>
      <c r="V505" s="3">
        <v>0.47</v>
      </c>
      <c r="W505" s="2">
        <v>0</v>
      </c>
      <c r="X505">
        <v>0</v>
      </c>
      <c r="Y505" t="s">
        <v>60</v>
      </c>
      <c r="Z505" t="s">
        <v>317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14.81</v>
      </c>
      <c r="AN505" s="2">
        <v>14.81</v>
      </c>
      <c r="AO505" s="2">
        <v>0</v>
      </c>
      <c r="AP505" s="2">
        <v>0</v>
      </c>
      <c r="AQ505" s="2">
        <v>0</v>
      </c>
    </row>
    <row r="506" spans="1:44" x14ac:dyDescent="0.25">
      <c r="A506" s="1">
        <v>45985</v>
      </c>
      <c r="B506" t="s">
        <v>48</v>
      </c>
      <c r="C506">
        <v>649163</v>
      </c>
      <c r="D506">
        <v>2029303774</v>
      </c>
      <c r="E506" t="s">
        <v>699</v>
      </c>
      <c r="F506" t="s">
        <v>255</v>
      </c>
      <c r="G506" t="s">
        <v>51</v>
      </c>
      <c r="H506" t="s">
        <v>52</v>
      </c>
      <c r="I506" t="s">
        <v>683</v>
      </c>
      <c r="J506" t="s">
        <v>684</v>
      </c>
      <c r="K506">
        <v>728134</v>
      </c>
      <c r="L506" t="s">
        <v>485</v>
      </c>
      <c r="M506" t="s">
        <v>486</v>
      </c>
      <c r="N506" t="s">
        <v>57</v>
      </c>
      <c r="O506" s="1">
        <v>45798</v>
      </c>
      <c r="Q506" s="1">
        <v>46012</v>
      </c>
      <c r="R506" s="2">
        <v>37.32</v>
      </c>
      <c r="S506">
        <v>1</v>
      </c>
      <c r="T506" t="s">
        <v>58</v>
      </c>
      <c r="U506" t="s">
        <v>315</v>
      </c>
      <c r="V506" s="3">
        <v>0.47</v>
      </c>
      <c r="W506" s="2">
        <v>0</v>
      </c>
      <c r="X506">
        <v>0</v>
      </c>
      <c r="Y506" t="s">
        <v>60</v>
      </c>
      <c r="Z506" t="s">
        <v>317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17.54</v>
      </c>
      <c r="AN506" s="2">
        <v>17.54</v>
      </c>
      <c r="AO506" s="2">
        <v>0</v>
      </c>
      <c r="AP506" s="2">
        <v>0</v>
      </c>
      <c r="AQ506" s="2">
        <v>0</v>
      </c>
    </row>
    <row r="507" spans="1:44" x14ac:dyDescent="0.25">
      <c r="A507" s="1">
        <v>45985</v>
      </c>
      <c r="B507" t="s">
        <v>48</v>
      </c>
      <c r="C507">
        <v>649163</v>
      </c>
      <c r="D507">
        <v>2030312965</v>
      </c>
      <c r="E507" t="s">
        <v>700</v>
      </c>
      <c r="F507" t="s">
        <v>241</v>
      </c>
      <c r="G507" t="s">
        <v>51</v>
      </c>
      <c r="H507" t="s">
        <v>224</v>
      </c>
      <c r="I507" t="s">
        <v>683</v>
      </c>
      <c r="J507" t="s">
        <v>684</v>
      </c>
      <c r="K507">
        <v>767312</v>
      </c>
      <c r="L507" t="s">
        <v>156</v>
      </c>
      <c r="M507" t="s">
        <v>157</v>
      </c>
      <c r="N507" t="s">
        <v>57</v>
      </c>
      <c r="O507" s="1">
        <v>45874</v>
      </c>
      <c r="Q507" s="1">
        <v>45996</v>
      </c>
      <c r="R507" s="2">
        <v>29.97</v>
      </c>
      <c r="S507">
        <v>1</v>
      </c>
      <c r="T507" t="s">
        <v>58</v>
      </c>
      <c r="U507" t="s">
        <v>315</v>
      </c>
      <c r="V507" s="3">
        <v>0.47</v>
      </c>
      <c r="W507" s="2">
        <v>0</v>
      </c>
      <c r="X507">
        <v>0</v>
      </c>
      <c r="Y507" t="s">
        <v>60</v>
      </c>
      <c r="Z507" t="s">
        <v>317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14.09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4" x14ac:dyDescent="0.25">
      <c r="A508" s="1">
        <v>45985</v>
      </c>
      <c r="B508" t="s">
        <v>48</v>
      </c>
      <c r="C508">
        <v>649163</v>
      </c>
      <c r="D508">
        <v>2031209004</v>
      </c>
      <c r="E508" t="s">
        <v>701</v>
      </c>
      <c r="F508" t="s">
        <v>702</v>
      </c>
      <c r="G508" t="s">
        <v>51</v>
      </c>
      <c r="H508" t="s">
        <v>52</v>
      </c>
      <c r="I508" t="s">
        <v>683</v>
      </c>
      <c r="J508" t="s">
        <v>693</v>
      </c>
      <c r="K508">
        <v>751867</v>
      </c>
      <c r="L508" t="s">
        <v>82</v>
      </c>
      <c r="M508" t="s">
        <v>83</v>
      </c>
      <c r="N508" t="s">
        <v>57</v>
      </c>
      <c r="O508" s="1">
        <v>45923</v>
      </c>
      <c r="Q508" s="1">
        <v>46014</v>
      </c>
      <c r="R508" s="2">
        <v>55.2</v>
      </c>
      <c r="S508">
        <v>1</v>
      </c>
      <c r="T508" t="s">
        <v>58</v>
      </c>
      <c r="U508" t="s">
        <v>59</v>
      </c>
      <c r="V508" s="3">
        <v>0.51</v>
      </c>
      <c r="W508" s="2">
        <v>0</v>
      </c>
      <c r="X508">
        <v>0</v>
      </c>
      <c r="Y508" t="s">
        <v>60</v>
      </c>
      <c r="Z508" t="s">
        <v>317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28.15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4" x14ac:dyDescent="0.25">
      <c r="A509" s="1">
        <v>45985</v>
      </c>
      <c r="B509" t="s">
        <v>48</v>
      </c>
      <c r="C509">
        <v>649163</v>
      </c>
      <c r="D509">
        <v>2031615384</v>
      </c>
      <c r="E509" t="s">
        <v>657</v>
      </c>
      <c r="F509" t="s">
        <v>658</v>
      </c>
      <c r="G509" t="s">
        <v>51</v>
      </c>
      <c r="H509" t="s">
        <v>64</v>
      </c>
      <c r="I509" t="s">
        <v>683</v>
      </c>
      <c r="J509" t="s">
        <v>693</v>
      </c>
      <c r="K509">
        <v>820873</v>
      </c>
      <c r="L509" t="s">
        <v>101</v>
      </c>
      <c r="M509" t="s">
        <v>102</v>
      </c>
      <c r="N509" t="s">
        <v>57</v>
      </c>
      <c r="O509" s="1">
        <v>45962</v>
      </c>
      <c r="Q509" s="1">
        <v>45992</v>
      </c>
      <c r="R509" s="2">
        <v>35.270000000000003</v>
      </c>
      <c r="S509">
        <v>1</v>
      </c>
      <c r="T509" t="s">
        <v>58</v>
      </c>
      <c r="U509" t="s">
        <v>59</v>
      </c>
      <c r="V509" s="3">
        <v>0.51</v>
      </c>
      <c r="W509" s="2">
        <v>0</v>
      </c>
      <c r="X509">
        <v>0</v>
      </c>
      <c r="Y509" t="s">
        <v>60</v>
      </c>
      <c r="Z509" t="s">
        <v>317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17.989999999999998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4" x14ac:dyDescent="0.25">
      <c r="A510" s="1">
        <v>45985</v>
      </c>
      <c r="B510" t="s">
        <v>48</v>
      </c>
      <c r="C510">
        <v>649163</v>
      </c>
      <c r="D510">
        <v>2031615385</v>
      </c>
      <c r="E510" t="s">
        <v>657</v>
      </c>
      <c r="F510" t="s">
        <v>658</v>
      </c>
      <c r="G510" t="s">
        <v>51</v>
      </c>
      <c r="H510" t="s">
        <v>64</v>
      </c>
      <c r="I510" t="s">
        <v>683</v>
      </c>
      <c r="J510" t="s">
        <v>694</v>
      </c>
      <c r="K510">
        <v>820873</v>
      </c>
      <c r="L510" t="s">
        <v>101</v>
      </c>
      <c r="M510" t="s">
        <v>102</v>
      </c>
      <c r="N510" t="s">
        <v>57</v>
      </c>
      <c r="O510" s="1">
        <v>45962</v>
      </c>
      <c r="Q510" s="1">
        <v>45992</v>
      </c>
      <c r="R510" s="2">
        <v>5.95</v>
      </c>
      <c r="S510">
        <v>1</v>
      </c>
      <c r="T510" t="s">
        <v>58</v>
      </c>
      <c r="U510" t="s">
        <v>59</v>
      </c>
      <c r="V510" s="3">
        <v>0.51</v>
      </c>
      <c r="W510" s="2">
        <v>0</v>
      </c>
      <c r="X510">
        <v>0</v>
      </c>
      <c r="Y510" t="s">
        <v>60</v>
      </c>
      <c r="Z510" t="s">
        <v>317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3.03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4" x14ac:dyDescent="0.25">
      <c r="A511" s="1">
        <v>45985</v>
      </c>
      <c r="B511" t="s">
        <v>48</v>
      </c>
      <c r="C511">
        <v>649163</v>
      </c>
      <c r="D511">
        <v>2031646838</v>
      </c>
      <c r="E511" t="s">
        <v>489</v>
      </c>
      <c r="F511" t="s">
        <v>123</v>
      </c>
      <c r="G511" t="s">
        <v>51</v>
      </c>
      <c r="H511" t="s">
        <v>219</v>
      </c>
      <c r="I511" t="s">
        <v>683</v>
      </c>
      <c r="J511" t="s">
        <v>684</v>
      </c>
      <c r="K511">
        <v>822733</v>
      </c>
      <c r="L511" t="s">
        <v>220</v>
      </c>
      <c r="M511" t="s">
        <v>221</v>
      </c>
      <c r="N511" t="s">
        <v>57</v>
      </c>
      <c r="O511" s="1">
        <v>45948</v>
      </c>
      <c r="Q511" s="1">
        <v>46009</v>
      </c>
      <c r="R511" s="2">
        <v>74.209999999999994</v>
      </c>
      <c r="S511">
        <v>1</v>
      </c>
      <c r="T511" t="s">
        <v>58</v>
      </c>
      <c r="U511" t="s">
        <v>59</v>
      </c>
      <c r="V511" s="3">
        <v>0.47</v>
      </c>
      <c r="W511" s="2">
        <v>0</v>
      </c>
      <c r="X511">
        <v>0</v>
      </c>
      <c r="Y511" t="s">
        <v>60</v>
      </c>
      <c r="Z511" t="s">
        <v>317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34.880000000000003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4" x14ac:dyDescent="0.25">
      <c r="A512" s="1">
        <v>45985</v>
      </c>
      <c r="B512" t="s">
        <v>703</v>
      </c>
      <c r="C512">
        <v>780434</v>
      </c>
      <c r="D512">
        <v>2024417986</v>
      </c>
      <c r="E512" t="s">
        <v>704</v>
      </c>
      <c r="F512" t="s">
        <v>71</v>
      </c>
      <c r="G512" t="s">
        <v>51</v>
      </c>
      <c r="I512" t="s">
        <v>262</v>
      </c>
      <c r="J512" t="s">
        <v>562</v>
      </c>
      <c r="K512">
        <v>780434</v>
      </c>
      <c r="L512" t="s">
        <v>705</v>
      </c>
      <c r="M512" t="s">
        <v>81</v>
      </c>
      <c r="N512" t="s">
        <v>337</v>
      </c>
      <c r="O512" s="1">
        <v>45536</v>
      </c>
      <c r="P512" s="1">
        <v>45971</v>
      </c>
      <c r="R512" s="2">
        <v>0</v>
      </c>
      <c r="AB512" s="2">
        <v>0</v>
      </c>
      <c r="AC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t="s">
        <v>706</v>
      </c>
    </row>
    <row r="513" spans="1:44" x14ac:dyDescent="0.25">
      <c r="A513" s="1">
        <v>45985</v>
      </c>
      <c r="B513" t="s">
        <v>703</v>
      </c>
      <c r="C513">
        <v>780434</v>
      </c>
      <c r="D513">
        <v>2024417985</v>
      </c>
      <c r="E513" t="s">
        <v>704</v>
      </c>
      <c r="F513" t="s">
        <v>71</v>
      </c>
      <c r="G513" t="s">
        <v>51</v>
      </c>
      <c r="I513" t="s">
        <v>53</v>
      </c>
      <c r="J513" t="s">
        <v>54</v>
      </c>
      <c r="K513">
        <v>780434</v>
      </c>
      <c r="L513" t="s">
        <v>705</v>
      </c>
      <c r="M513" t="s">
        <v>81</v>
      </c>
      <c r="N513" t="s">
        <v>337</v>
      </c>
      <c r="O513" s="1">
        <v>45536</v>
      </c>
      <c r="P513" s="1">
        <v>45971</v>
      </c>
      <c r="R513" s="2">
        <v>0</v>
      </c>
      <c r="AB513" s="2">
        <v>0</v>
      </c>
      <c r="AC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t="s">
        <v>706</v>
      </c>
    </row>
    <row r="514" spans="1:44" x14ac:dyDescent="0.25">
      <c r="A514" s="1">
        <v>45985</v>
      </c>
      <c r="B514" t="s">
        <v>703</v>
      </c>
      <c r="C514">
        <v>649164</v>
      </c>
      <c r="D514">
        <v>2019186244</v>
      </c>
      <c r="E514" t="s">
        <v>707</v>
      </c>
      <c r="F514" t="s">
        <v>708</v>
      </c>
      <c r="G514" t="s">
        <v>51</v>
      </c>
      <c r="I514" t="s">
        <v>196</v>
      </c>
      <c r="J514" t="s">
        <v>197</v>
      </c>
      <c r="K514">
        <v>649164</v>
      </c>
      <c r="L514" t="s">
        <v>686</v>
      </c>
      <c r="M514" t="s">
        <v>274</v>
      </c>
      <c r="N514" t="s">
        <v>337</v>
      </c>
      <c r="O514" s="1">
        <v>45108</v>
      </c>
      <c r="P514" s="1">
        <v>45985</v>
      </c>
      <c r="R514" s="2">
        <v>0</v>
      </c>
      <c r="AB514" s="2">
        <v>0</v>
      </c>
      <c r="AC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t="s">
        <v>709</v>
      </c>
    </row>
    <row r="515" spans="1:44" x14ac:dyDescent="0.25">
      <c r="A515" s="1">
        <v>45985</v>
      </c>
      <c r="B515" t="s">
        <v>703</v>
      </c>
      <c r="C515">
        <v>649163</v>
      </c>
      <c r="D515">
        <v>2024403626</v>
      </c>
      <c r="E515" t="s">
        <v>422</v>
      </c>
      <c r="F515" t="s">
        <v>423</v>
      </c>
      <c r="G515" t="s">
        <v>51</v>
      </c>
      <c r="I515" t="s">
        <v>160</v>
      </c>
      <c r="J515" t="s">
        <v>161</v>
      </c>
      <c r="K515">
        <v>649163</v>
      </c>
      <c r="L515" t="s">
        <v>82</v>
      </c>
      <c r="M515" t="s">
        <v>83</v>
      </c>
      <c r="N515" t="s">
        <v>337</v>
      </c>
      <c r="O515" s="1">
        <v>45520</v>
      </c>
      <c r="P515" s="1">
        <v>45985</v>
      </c>
      <c r="R515" s="2">
        <v>0</v>
      </c>
      <c r="AB515" s="2">
        <v>0</v>
      </c>
      <c r="AC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t="s">
        <v>709</v>
      </c>
    </row>
    <row r="516" spans="1:44" x14ac:dyDescent="0.25">
      <c r="A516" s="1">
        <v>45985</v>
      </c>
      <c r="B516" t="s">
        <v>703</v>
      </c>
      <c r="C516">
        <v>649163</v>
      </c>
      <c r="D516">
        <v>2022371781</v>
      </c>
      <c r="E516" t="s">
        <v>437</v>
      </c>
      <c r="F516" t="s">
        <v>470</v>
      </c>
      <c r="G516" t="s">
        <v>51</v>
      </c>
      <c r="I516" t="s">
        <v>262</v>
      </c>
      <c r="J516" t="s">
        <v>562</v>
      </c>
      <c r="K516">
        <v>649163</v>
      </c>
      <c r="L516" t="s">
        <v>70</v>
      </c>
      <c r="M516" t="s">
        <v>71</v>
      </c>
      <c r="N516" t="s">
        <v>337</v>
      </c>
      <c r="O516" s="1">
        <v>45383</v>
      </c>
      <c r="P516" s="1">
        <v>45985</v>
      </c>
      <c r="R516" s="2">
        <v>0</v>
      </c>
      <c r="AB516" s="2">
        <v>0</v>
      </c>
      <c r="AC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t="s">
        <v>709</v>
      </c>
    </row>
    <row r="517" spans="1:44" x14ac:dyDescent="0.25">
      <c r="A517" s="1">
        <v>45985</v>
      </c>
      <c r="B517" t="s">
        <v>703</v>
      </c>
      <c r="C517">
        <v>649163</v>
      </c>
      <c r="D517">
        <v>2024403625</v>
      </c>
      <c r="E517" t="s">
        <v>422</v>
      </c>
      <c r="F517" t="s">
        <v>423</v>
      </c>
      <c r="G517" t="s">
        <v>51</v>
      </c>
      <c r="I517" t="s">
        <v>258</v>
      </c>
      <c r="J517" t="s">
        <v>259</v>
      </c>
      <c r="K517">
        <v>649163</v>
      </c>
      <c r="L517" t="s">
        <v>82</v>
      </c>
      <c r="M517" t="s">
        <v>83</v>
      </c>
      <c r="N517" t="s">
        <v>337</v>
      </c>
      <c r="O517" s="1">
        <v>45520</v>
      </c>
      <c r="P517" s="1">
        <v>45985</v>
      </c>
      <c r="R517" s="2">
        <v>0</v>
      </c>
      <c r="AB517" s="2">
        <v>0</v>
      </c>
      <c r="AC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t="s">
        <v>709</v>
      </c>
    </row>
    <row r="518" spans="1:44" x14ac:dyDescent="0.25">
      <c r="A518" s="1">
        <v>45985</v>
      </c>
      <c r="B518" t="s">
        <v>703</v>
      </c>
      <c r="C518">
        <v>651818</v>
      </c>
      <c r="D518">
        <v>2018396887</v>
      </c>
      <c r="E518" t="s">
        <v>710</v>
      </c>
      <c r="F518" t="s">
        <v>711</v>
      </c>
      <c r="G518" t="s">
        <v>51</v>
      </c>
      <c r="I518" t="s">
        <v>262</v>
      </c>
      <c r="J518" t="s">
        <v>265</v>
      </c>
      <c r="K518">
        <v>651818</v>
      </c>
      <c r="L518" t="s">
        <v>331</v>
      </c>
      <c r="M518" t="s">
        <v>332</v>
      </c>
      <c r="N518" t="s">
        <v>337</v>
      </c>
      <c r="O518" s="1">
        <v>45035</v>
      </c>
      <c r="P518" s="1">
        <v>45985</v>
      </c>
      <c r="R518" s="2">
        <v>0</v>
      </c>
      <c r="AB518" s="2">
        <v>0</v>
      </c>
      <c r="AC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t="s">
        <v>709</v>
      </c>
    </row>
    <row r="519" spans="1:44" x14ac:dyDescent="0.25">
      <c r="A519" s="1">
        <v>45985</v>
      </c>
      <c r="B519" t="s">
        <v>703</v>
      </c>
      <c r="C519">
        <v>649163</v>
      </c>
      <c r="D519">
        <v>2022371780</v>
      </c>
      <c r="E519" t="s">
        <v>437</v>
      </c>
      <c r="F519" t="s">
        <v>470</v>
      </c>
      <c r="G519" t="s">
        <v>51</v>
      </c>
      <c r="I519" t="s">
        <v>196</v>
      </c>
      <c r="J519" t="s">
        <v>197</v>
      </c>
      <c r="K519">
        <v>649163</v>
      </c>
      <c r="L519" t="s">
        <v>70</v>
      </c>
      <c r="M519" t="s">
        <v>71</v>
      </c>
      <c r="N519" t="s">
        <v>337</v>
      </c>
      <c r="O519" s="1">
        <v>45383</v>
      </c>
      <c r="P519" s="1">
        <v>45985</v>
      </c>
      <c r="R519" s="2">
        <v>0</v>
      </c>
      <c r="AB519" s="2">
        <v>0</v>
      </c>
      <c r="AC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t="s">
        <v>709</v>
      </c>
    </row>
    <row r="520" spans="1:44" x14ac:dyDescent="0.25">
      <c r="A520" s="1">
        <v>45985</v>
      </c>
      <c r="B520" t="s">
        <v>703</v>
      </c>
      <c r="C520">
        <v>649163</v>
      </c>
      <c r="D520">
        <v>2025167144</v>
      </c>
      <c r="E520" t="s">
        <v>574</v>
      </c>
      <c r="F520" t="s">
        <v>575</v>
      </c>
      <c r="G520" t="s">
        <v>51</v>
      </c>
      <c r="I520" t="s">
        <v>262</v>
      </c>
      <c r="J520" t="s">
        <v>263</v>
      </c>
      <c r="K520">
        <v>649163</v>
      </c>
      <c r="L520" t="s">
        <v>156</v>
      </c>
      <c r="M520" t="s">
        <v>157</v>
      </c>
      <c r="N520" t="s">
        <v>337</v>
      </c>
      <c r="O520" s="1">
        <v>45581</v>
      </c>
      <c r="P520" s="1">
        <v>45985</v>
      </c>
      <c r="R520" s="2">
        <v>0</v>
      </c>
      <c r="AB520" s="2">
        <v>0</v>
      </c>
      <c r="AC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t="s">
        <v>709</v>
      </c>
    </row>
    <row r="521" spans="1:44" x14ac:dyDescent="0.25">
      <c r="A521" s="1">
        <v>45985</v>
      </c>
      <c r="B521" t="s">
        <v>703</v>
      </c>
      <c r="C521">
        <v>649163</v>
      </c>
      <c r="D521">
        <v>2027038281</v>
      </c>
      <c r="E521" t="s">
        <v>352</v>
      </c>
      <c r="F521" t="s">
        <v>353</v>
      </c>
      <c r="G521" t="s">
        <v>51</v>
      </c>
      <c r="I521" t="s">
        <v>89</v>
      </c>
      <c r="J521" t="s">
        <v>110</v>
      </c>
      <c r="K521">
        <v>649163</v>
      </c>
      <c r="L521" t="s">
        <v>111</v>
      </c>
      <c r="M521" t="s">
        <v>112</v>
      </c>
      <c r="N521" t="s">
        <v>337</v>
      </c>
      <c r="O521" s="1">
        <v>45699</v>
      </c>
      <c r="P521" s="1">
        <v>45985</v>
      </c>
      <c r="R521" s="2">
        <v>0</v>
      </c>
      <c r="AB521" s="2">
        <v>0</v>
      </c>
      <c r="AC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t="s">
        <v>709</v>
      </c>
    </row>
    <row r="522" spans="1:44" x14ac:dyDescent="0.25">
      <c r="A522" s="1">
        <v>45985</v>
      </c>
      <c r="B522" t="s">
        <v>703</v>
      </c>
      <c r="C522">
        <v>649163</v>
      </c>
      <c r="D522">
        <v>2020642765</v>
      </c>
      <c r="E522" t="s">
        <v>333</v>
      </c>
      <c r="F522" t="s">
        <v>334</v>
      </c>
      <c r="G522" t="s">
        <v>51</v>
      </c>
      <c r="I522" t="s">
        <v>89</v>
      </c>
      <c r="J522" t="s">
        <v>336</v>
      </c>
      <c r="K522">
        <v>649163</v>
      </c>
      <c r="L522" t="s">
        <v>331</v>
      </c>
      <c r="M522" t="s">
        <v>332</v>
      </c>
      <c r="N522" t="s">
        <v>337</v>
      </c>
      <c r="O522" s="1">
        <v>45261</v>
      </c>
      <c r="P522" s="1">
        <v>45985</v>
      </c>
      <c r="R522" s="2">
        <v>0</v>
      </c>
      <c r="AB522" s="2">
        <v>0</v>
      </c>
      <c r="AC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t="s">
        <v>709</v>
      </c>
    </row>
    <row r="523" spans="1:44" x14ac:dyDescent="0.25">
      <c r="A523" s="1">
        <v>45985</v>
      </c>
      <c r="B523" t="s">
        <v>703</v>
      </c>
      <c r="C523">
        <v>753748</v>
      </c>
      <c r="D523">
        <v>2028992069</v>
      </c>
      <c r="E523" t="s">
        <v>712</v>
      </c>
      <c r="F523" t="s">
        <v>186</v>
      </c>
      <c r="G523" t="s">
        <v>51</v>
      </c>
      <c r="I523" t="s">
        <v>262</v>
      </c>
      <c r="J523" t="s">
        <v>263</v>
      </c>
      <c r="K523">
        <v>753748</v>
      </c>
      <c r="L523" t="s">
        <v>389</v>
      </c>
      <c r="M523" t="s">
        <v>390</v>
      </c>
      <c r="N523" t="s">
        <v>337</v>
      </c>
      <c r="O523" s="1">
        <v>45799</v>
      </c>
      <c r="P523" s="1">
        <v>45985</v>
      </c>
      <c r="R523" s="2">
        <v>0</v>
      </c>
      <c r="AB523" s="2">
        <v>38.01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38.01</v>
      </c>
      <c r="AN523" s="2">
        <v>0</v>
      </c>
      <c r="AO523" s="2">
        <v>0</v>
      </c>
      <c r="AP523" s="2">
        <v>0</v>
      </c>
      <c r="AQ523" s="2">
        <v>0</v>
      </c>
      <c r="AR523" t="s">
        <v>709</v>
      </c>
    </row>
    <row r="524" spans="1:44" x14ac:dyDescent="0.25">
      <c r="A524" s="1">
        <v>45985</v>
      </c>
      <c r="B524" t="s">
        <v>703</v>
      </c>
      <c r="C524">
        <v>651818</v>
      </c>
      <c r="D524">
        <v>2025708570</v>
      </c>
      <c r="E524" t="s">
        <v>582</v>
      </c>
      <c r="F524" t="s">
        <v>472</v>
      </c>
      <c r="G524" t="s">
        <v>51</v>
      </c>
      <c r="I524" t="s">
        <v>89</v>
      </c>
      <c r="J524" t="s">
        <v>336</v>
      </c>
      <c r="K524">
        <v>651818</v>
      </c>
      <c r="L524" t="s">
        <v>331</v>
      </c>
      <c r="M524" t="s">
        <v>332</v>
      </c>
      <c r="N524" t="s">
        <v>337</v>
      </c>
      <c r="O524" s="1">
        <v>45664</v>
      </c>
      <c r="P524" s="1">
        <v>45985</v>
      </c>
      <c r="R524" s="2">
        <v>0</v>
      </c>
      <c r="AB524" s="2">
        <v>0</v>
      </c>
      <c r="AC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t="s">
        <v>709</v>
      </c>
    </row>
    <row r="525" spans="1:44" x14ac:dyDescent="0.25">
      <c r="A525" s="1">
        <v>45985</v>
      </c>
      <c r="B525" t="s">
        <v>703</v>
      </c>
      <c r="C525">
        <v>649163</v>
      </c>
      <c r="D525">
        <v>2025708571</v>
      </c>
      <c r="E525" t="s">
        <v>582</v>
      </c>
      <c r="F525" t="s">
        <v>472</v>
      </c>
      <c r="G525" t="s">
        <v>51</v>
      </c>
      <c r="I525" t="s">
        <v>262</v>
      </c>
      <c r="J525" t="s">
        <v>265</v>
      </c>
      <c r="K525">
        <v>649163</v>
      </c>
      <c r="L525" t="s">
        <v>331</v>
      </c>
      <c r="M525" t="s">
        <v>332</v>
      </c>
      <c r="N525" t="s">
        <v>337</v>
      </c>
      <c r="O525" s="1">
        <v>45664</v>
      </c>
      <c r="P525" s="1">
        <v>45985</v>
      </c>
      <c r="R525" s="2">
        <v>0</v>
      </c>
      <c r="AB525" s="2">
        <v>0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t="s">
        <v>709</v>
      </c>
    </row>
    <row r="526" spans="1:44" x14ac:dyDescent="0.25">
      <c r="A526" s="1">
        <v>45985</v>
      </c>
      <c r="B526" t="s">
        <v>703</v>
      </c>
      <c r="C526">
        <v>649163</v>
      </c>
      <c r="D526">
        <v>2027038282</v>
      </c>
      <c r="E526" t="s">
        <v>352</v>
      </c>
      <c r="F526" t="s">
        <v>353</v>
      </c>
      <c r="G526" t="s">
        <v>51</v>
      </c>
      <c r="I526" t="s">
        <v>196</v>
      </c>
      <c r="J526" t="s">
        <v>197</v>
      </c>
      <c r="K526">
        <v>649163</v>
      </c>
      <c r="L526" t="s">
        <v>111</v>
      </c>
      <c r="M526" t="s">
        <v>112</v>
      </c>
      <c r="N526" t="s">
        <v>337</v>
      </c>
      <c r="O526" s="1">
        <v>45699</v>
      </c>
      <c r="P526" s="1">
        <v>45985</v>
      </c>
      <c r="R526" s="2">
        <v>0</v>
      </c>
      <c r="AB526" s="2">
        <v>0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t="s">
        <v>709</v>
      </c>
    </row>
    <row r="527" spans="1:44" x14ac:dyDescent="0.25">
      <c r="A527" s="1">
        <v>45985</v>
      </c>
      <c r="B527" t="s">
        <v>703</v>
      </c>
      <c r="C527">
        <v>649163</v>
      </c>
      <c r="D527">
        <v>2020642766</v>
      </c>
      <c r="E527" t="s">
        <v>333</v>
      </c>
      <c r="F527" t="s">
        <v>334</v>
      </c>
      <c r="G527" t="s">
        <v>51</v>
      </c>
      <c r="I527" t="s">
        <v>262</v>
      </c>
      <c r="J527" t="s">
        <v>265</v>
      </c>
      <c r="K527">
        <v>649163</v>
      </c>
      <c r="L527" t="s">
        <v>331</v>
      </c>
      <c r="M527" t="s">
        <v>332</v>
      </c>
      <c r="N527" t="s">
        <v>337</v>
      </c>
      <c r="O527" s="1">
        <v>45261</v>
      </c>
      <c r="P527" s="1">
        <v>45985</v>
      </c>
      <c r="R527" s="2">
        <v>0</v>
      </c>
      <c r="AB527" s="2">
        <v>0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t="s">
        <v>709</v>
      </c>
    </row>
    <row r="528" spans="1:44" x14ac:dyDescent="0.25">
      <c r="A528" s="1">
        <v>45985</v>
      </c>
      <c r="B528" t="s">
        <v>703</v>
      </c>
      <c r="C528">
        <v>649163</v>
      </c>
      <c r="D528">
        <v>2030529302</v>
      </c>
      <c r="E528" t="s">
        <v>645</v>
      </c>
      <c r="F528" t="s">
        <v>646</v>
      </c>
      <c r="G528" t="s">
        <v>51</v>
      </c>
      <c r="I528" t="s">
        <v>262</v>
      </c>
      <c r="J528" t="s">
        <v>302</v>
      </c>
      <c r="K528">
        <v>649163</v>
      </c>
      <c r="L528" t="s">
        <v>647</v>
      </c>
      <c r="M528" t="s">
        <v>648</v>
      </c>
      <c r="N528" t="s">
        <v>337</v>
      </c>
      <c r="O528" s="1">
        <v>45901</v>
      </c>
      <c r="P528" s="1">
        <v>45985</v>
      </c>
      <c r="R528" s="2">
        <v>0</v>
      </c>
      <c r="AB528" s="2">
        <v>135.32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67.650000000000006</v>
      </c>
      <c r="AN528" s="2">
        <v>-67.67</v>
      </c>
      <c r="AO528" s="2">
        <v>-67.67</v>
      </c>
      <c r="AP528" s="2">
        <v>0</v>
      </c>
      <c r="AQ528" s="2">
        <v>0</v>
      </c>
      <c r="AR528" t="s">
        <v>709</v>
      </c>
    </row>
    <row r="529" spans="1:44" x14ac:dyDescent="0.25">
      <c r="A529" s="1">
        <v>45985</v>
      </c>
      <c r="B529" t="s">
        <v>703</v>
      </c>
      <c r="C529">
        <v>649163</v>
      </c>
      <c r="D529">
        <v>2030642688</v>
      </c>
      <c r="E529" t="s">
        <v>157</v>
      </c>
      <c r="F529" t="s">
        <v>392</v>
      </c>
      <c r="G529" t="s">
        <v>51</v>
      </c>
      <c r="I529" t="s">
        <v>89</v>
      </c>
      <c r="J529" t="s">
        <v>393</v>
      </c>
      <c r="K529">
        <v>649163</v>
      </c>
      <c r="L529" t="s">
        <v>70</v>
      </c>
      <c r="M529" t="s">
        <v>71</v>
      </c>
      <c r="N529" t="s">
        <v>337</v>
      </c>
      <c r="O529" s="1">
        <v>45901</v>
      </c>
      <c r="P529" s="1">
        <v>45985</v>
      </c>
      <c r="R529" s="2">
        <v>0</v>
      </c>
      <c r="AB529" s="2">
        <v>235.35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117.67</v>
      </c>
      <c r="AN529" s="2">
        <v>-117.68</v>
      </c>
      <c r="AO529" s="2">
        <v>-117.68</v>
      </c>
      <c r="AP529" s="2">
        <v>0</v>
      </c>
      <c r="AQ529" s="2">
        <v>0</v>
      </c>
      <c r="AR529" t="s">
        <v>709</v>
      </c>
    </row>
    <row r="530" spans="1:44" x14ac:dyDescent="0.25">
      <c r="A530" s="1">
        <v>45985</v>
      </c>
      <c r="B530" t="s">
        <v>703</v>
      </c>
      <c r="C530">
        <v>760902</v>
      </c>
      <c r="D530">
        <v>2027993344</v>
      </c>
      <c r="E530" t="s">
        <v>713</v>
      </c>
      <c r="F530" t="s">
        <v>714</v>
      </c>
      <c r="G530" t="s">
        <v>51</v>
      </c>
      <c r="I530" t="s">
        <v>262</v>
      </c>
      <c r="J530" t="s">
        <v>263</v>
      </c>
      <c r="K530">
        <v>760902</v>
      </c>
      <c r="L530" t="s">
        <v>605</v>
      </c>
      <c r="M530" t="s">
        <v>606</v>
      </c>
      <c r="N530" t="s">
        <v>337</v>
      </c>
      <c r="O530" s="1">
        <v>45741</v>
      </c>
      <c r="P530" s="1">
        <v>45985</v>
      </c>
      <c r="R530" s="2">
        <v>0</v>
      </c>
      <c r="AB530" s="2">
        <v>0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t="s">
        <v>709</v>
      </c>
    </row>
    <row r="531" spans="1:44" x14ac:dyDescent="0.25">
      <c r="A531" s="1">
        <v>45985</v>
      </c>
      <c r="B531" t="s">
        <v>703</v>
      </c>
      <c r="C531">
        <v>649163</v>
      </c>
      <c r="D531">
        <v>2029617311</v>
      </c>
      <c r="E531" t="s">
        <v>512</v>
      </c>
      <c r="F531" t="s">
        <v>513</v>
      </c>
      <c r="G531" t="s">
        <v>51</v>
      </c>
      <c r="I531" t="s">
        <v>196</v>
      </c>
      <c r="J531" t="s">
        <v>197</v>
      </c>
      <c r="K531">
        <v>649163</v>
      </c>
      <c r="L531" t="s">
        <v>111</v>
      </c>
      <c r="M531" t="s">
        <v>112</v>
      </c>
      <c r="N531" t="s">
        <v>337</v>
      </c>
      <c r="O531" s="1">
        <v>45842</v>
      </c>
      <c r="P531" s="1">
        <v>45985</v>
      </c>
      <c r="R531" s="2">
        <v>0</v>
      </c>
      <c r="AB531" s="2">
        <v>89.08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74.239999999999995</v>
      </c>
      <c r="AN531" s="2">
        <v>-14.84</v>
      </c>
      <c r="AO531" s="2">
        <v>-14.84</v>
      </c>
      <c r="AP531" s="2">
        <v>0</v>
      </c>
      <c r="AQ531" s="2">
        <v>0</v>
      </c>
      <c r="AR531" t="s">
        <v>709</v>
      </c>
    </row>
    <row r="532" spans="1:44" x14ac:dyDescent="0.25">
      <c r="A532" s="1">
        <v>45985</v>
      </c>
      <c r="B532" t="s">
        <v>703</v>
      </c>
      <c r="C532">
        <v>673059</v>
      </c>
      <c r="D532">
        <v>2030091895</v>
      </c>
      <c r="E532" t="s">
        <v>715</v>
      </c>
      <c r="F532" t="s">
        <v>607</v>
      </c>
      <c r="G532" t="s">
        <v>51</v>
      </c>
      <c r="I532" t="s">
        <v>196</v>
      </c>
      <c r="J532" t="s">
        <v>197</v>
      </c>
      <c r="K532">
        <v>673059</v>
      </c>
      <c r="L532" t="s">
        <v>70</v>
      </c>
      <c r="M532" t="s">
        <v>71</v>
      </c>
      <c r="N532" t="s">
        <v>337</v>
      </c>
      <c r="O532" s="1">
        <v>45861</v>
      </c>
      <c r="P532" s="1">
        <v>45985</v>
      </c>
      <c r="R532" s="2">
        <v>0</v>
      </c>
      <c r="AB532" s="2">
        <v>131.76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65.88</v>
      </c>
      <c r="AN532" s="2">
        <v>-65.88</v>
      </c>
      <c r="AO532" s="2">
        <v>-65.88</v>
      </c>
      <c r="AP532" s="2">
        <v>0</v>
      </c>
      <c r="AQ532" s="2">
        <v>0</v>
      </c>
      <c r="AR532" t="s">
        <v>709</v>
      </c>
    </row>
    <row r="533" spans="1:44" x14ac:dyDescent="0.25">
      <c r="A533" s="1">
        <v>45985</v>
      </c>
      <c r="B533" t="s">
        <v>703</v>
      </c>
      <c r="C533">
        <v>673059</v>
      </c>
      <c r="D533">
        <v>2030091896</v>
      </c>
      <c r="E533" t="s">
        <v>715</v>
      </c>
      <c r="F533" t="s">
        <v>607</v>
      </c>
      <c r="G533" t="s">
        <v>51</v>
      </c>
      <c r="I533" t="s">
        <v>262</v>
      </c>
      <c r="J533" t="s">
        <v>263</v>
      </c>
      <c r="K533">
        <v>673059</v>
      </c>
      <c r="L533" t="s">
        <v>70</v>
      </c>
      <c r="M533" t="s">
        <v>71</v>
      </c>
      <c r="N533" t="s">
        <v>337</v>
      </c>
      <c r="O533" s="1">
        <v>45861</v>
      </c>
      <c r="P533" s="1">
        <v>45985</v>
      </c>
      <c r="R533" s="2">
        <v>0</v>
      </c>
      <c r="AB533" s="2">
        <v>61.82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30.91</v>
      </c>
      <c r="AN533" s="2">
        <v>-30.91</v>
      </c>
      <c r="AO533" s="2">
        <v>-30.91</v>
      </c>
      <c r="AP533" s="2">
        <v>0</v>
      </c>
      <c r="AQ533" s="2">
        <v>0</v>
      </c>
      <c r="AR533" t="s">
        <v>709</v>
      </c>
    </row>
    <row r="534" spans="1:44" x14ac:dyDescent="0.25">
      <c r="A534" s="1">
        <v>45985</v>
      </c>
      <c r="B534" t="s">
        <v>703</v>
      </c>
      <c r="C534">
        <v>649163</v>
      </c>
      <c r="D534">
        <v>2030197586</v>
      </c>
      <c r="E534" t="s">
        <v>374</v>
      </c>
      <c r="F534" t="s">
        <v>420</v>
      </c>
      <c r="G534" t="s">
        <v>51</v>
      </c>
      <c r="I534" t="s">
        <v>262</v>
      </c>
      <c r="J534" t="s">
        <v>263</v>
      </c>
      <c r="K534">
        <v>649163</v>
      </c>
      <c r="L534" t="s">
        <v>433</v>
      </c>
      <c r="M534" t="s">
        <v>434</v>
      </c>
      <c r="N534" t="s">
        <v>337</v>
      </c>
      <c r="O534" s="1">
        <v>45870</v>
      </c>
      <c r="P534" s="1">
        <v>45985</v>
      </c>
      <c r="R534" s="2">
        <v>0</v>
      </c>
      <c r="AB534" s="2">
        <v>48.3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32.200000000000003</v>
      </c>
      <c r="AN534" s="2">
        <v>-16.100000000000001</v>
      </c>
      <c r="AO534" s="2">
        <v>-16.100000000000001</v>
      </c>
      <c r="AP534" s="2">
        <v>0</v>
      </c>
      <c r="AQ534" s="2">
        <v>0</v>
      </c>
      <c r="AR534" t="s">
        <v>709</v>
      </c>
    </row>
    <row r="535" spans="1:44" x14ac:dyDescent="0.25">
      <c r="A535" s="1">
        <v>45985</v>
      </c>
      <c r="B535" t="s">
        <v>703</v>
      </c>
      <c r="C535">
        <v>649163</v>
      </c>
      <c r="D535">
        <v>2022371779</v>
      </c>
      <c r="E535" t="s">
        <v>437</v>
      </c>
      <c r="F535" t="s">
        <v>470</v>
      </c>
      <c r="G535" t="s">
        <v>51</v>
      </c>
      <c r="I535" t="s">
        <v>262</v>
      </c>
      <c r="J535" t="s">
        <v>263</v>
      </c>
      <c r="K535">
        <v>649163</v>
      </c>
      <c r="L535" t="s">
        <v>70</v>
      </c>
      <c r="M535" t="s">
        <v>71</v>
      </c>
      <c r="N535" t="s">
        <v>337</v>
      </c>
      <c r="O535" s="1">
        <v>45383</v>
      </c>
      <c r="P535" s="1">
        <v>45985</v>
      </c>
      <c r="R535" s="2">
        <v>0</v>
      </c>
      <c r="AB535" s="2">
        <v>0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t="s">
        <v>709</v>
      </c>
    </row>
    <row r="536" spans="1:44" x14ac:dyDescent="0.25">
      <c r="A536" s="1">
        <v>45985</v>
      </c>
      <c r="B536" t="s">
        <v>703</v>
      </c>
      <c r="C536">
        <v>649163</v>
      </c>
      <c r="D536">
        <v>2025676065</v>
      </c>
      <c r="E536" t="s">
        <v>580</v>
      </c>
      <c r="F536" t="s">
        <v>581</v>
      </c>
      <c r="G536" t="s">
        <v>51</v>
      </c>
      <c r="I536" t="s">
        <v>262</v>
      </c>
      <c r="J536" t="s">
        <v>263</v>
      </c>
      <c r="K536">
        <v>649163</v>
      </c>
      <c r="L536" t="s">
        <v>122</v>
      </c>
      <c r="M536" t="s">
        <v>123</v>
      </c>
      <c r="N536" t="s">
        <v>337</v>
      </c>
      <c r="O536" s="1">
        <v>45658</v>
      </c>
      <c r="P536" s="1">
        <v>45985</v>
      </c>
      <c r="R536" s="2">
        <v>0</v>
      </c>
      <c r="AB536" s="2">
        <v>0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t="s">
        <v>709</v>
      </c>
    </row>
    <row r="537" spans="1:44" x14ac:dyDescent="0.25">
      <c r="A537" s="1">
        <v>45985</v>
      </c>
      <c r="B537" t="s">
        <v>703</v>
      </c>
      <c r="C537">
        <v>649163</v>
      </c>
      <c r="D537">
        <v>2027038280</v>
      </c>
      <c r="E537" t="s">
        <v>352</v>
      </c>
      <c r="F537" t="s">
        <v>353</v>
      </c>
      <c r="G537" t="s">
        <v>51</v>
      </c>
      <c r="I537" t="s">
        <v>262</v>
      </c>
      <c r="J537" t="s">
        <v>263</v>
      </c>
      <c r="K537">
        <v>649163</v>
      </c>
      <c r="L537" t="s">
        <v>111</v>
      </c>
      <c r="M537" t="s">
        <v>112</v>
      </c>
      <c r="N537" t="s">
        <v>337</v>
      </c>
      <c r="O537" s="1">
        <v>45699</v>
      </c>
      <c r="P537" s="1">
        <v>45985</v>
      </c>
      <c r="R537" s="2">
        <v>0</v>
      </c>
      <c r="AB537" s="2">
        <v>0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t="s">
        <v>709</v>
      </c>
    </row>
    <row r="538" spans="1:44" x14ac:dyDescent="0.25">
      <c r="A538" s="1">
        <v>45985</v>
      </c>
      <c r="B538" t="s">
        <v>703</v>
      </c>
      <c r="C538">
        <v>820873</v>
      </c>
      <c r="D538">
        <v>2027895299</v>
      </c>
      <c r="E538" t="s">
        <v>716</v>
      </c>
      <c r="F538" t="s">
        <v>717</v>
      </c>
      <c r="G538" t="s">
        <v>51</v>
      </c>
      <c r="I538" t="s">
        <v>262</v>
      </c>
      <c r="J538" t="s">
        <v>263</v>
      </c>
      <c r="K538">
        <v>820873</v>
      </c>
      <c r="L538" t="s">
        <v>101</v>
      </c>
      <c r="M538" t="s">
        <v>102</v>
      </c>
      <c r="N538" t="s">
        <v>337</v>
      </c>
      <c r="O538" s="1">
        <v>45735</v>
      </c>
      <c r="P538" s="1">
        <v>45985</v>
      </c>
      <c r="R538" s="2">
        <v>0</v>
      </c>
      <c r="AB538" s="2">
        <v>0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t="s">
        <v>709</v>
      </c>
    </row>
    <row r="539" spans="1:44" x14ac:dyDescent="0.25">
      <c r="A539" s="1">
        <v>45985</v>
      </c>
      <c r="B539" t="s">
        <v>703</v>
      </c>
      <c r="C539">
        <v>649163</v>
      </c>
      <c r="D539">
        <v>2030197587</v>
      </c>
      <c r="E539" t="s">
        <v>374</v>
      </c>
      <c r="F539" t="s">
        <v>420</v>
      </c>
      <c r="G539" t="s">
        <v>51</v>
      </c>
      <c r="I539" t="s">
        <v>196</v>
      </c>
      <c r="J539" t="s">
        <v>197</v>
      </c>
      <c r="K539">
        <v>649163</v>
      </c>
      <c r="L539" t="s">
        <v>433</v>
      </c>
      <c r="M539" t="s">
        <v>434</v>
      </c>
      <c r="N539" t="s">
        <v>337</v>
      </c>
      <c r="O539" s="1">
        <v>45870</v>
      </c>
      <c r="P539" s="1">
        <v>45985</v>
      </c>
      <c r="R539" s="2">
        <v>0</v>
      </c>
      <c r="AB539" s="2">
        <v>174.33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116.23</v>
      </c>
      <c r="AN539" s="2">
        <v>-58.1</v>
      </c>
      <c r="AO539" s="2">
        <v>-58.1</v>
      </c>
      <c r="AP539" s="2">
        <v>0</v>
      </c>
      <c r="AQ539" s="2">
        <v>0</v>
      </c>
      <c r="AR539" t="s">
        <v>709</v>
      </c>
    </row>
    <row r="540" spans="1:44" x14ac:dyDescent="0.25">
      <c r="A540" s="1">
        <v>45985</v>
      </c>
      <c r="B540" t="s">
        <v>703</v>
      </c>
      <c r="C540">
        <v>753748</v>
      </c>
      <c r="D540">
        <v>2028992070</v>
      </c>
      <c r="E540" t="s">
        <v>712</v>
      </c>
      <c r="F540" t="s">
        <v>186</v>
      </c>
      <c r="G540" t="s">
        <v>51</v>
      </c>
      <c r="I540" t="s">
        <v>89</v>
      </c>
      <c r="J540" t="s">
        <v>96</v>
      </c>
      <c r="K540">
        <v>753748</v>
      </c>
      <c r="L540" t="s">
        <v>389</v>
      </c>
      <c r="M540" t="s">
        <v>390</v>
      </c>
      <c r="N540" t="s">
        <v>337</v>
      </c>
      <c r="O540" s="1">
        <v>45799</v>
      </c>
      <c r="P540" s="1">
        <v>45985</v>
      </c>
      <c r="R540" s="2">
        <v>0</v>
      </c>
      <c r="AB540" s="2">
        <v>422.01</v>
      </c>
      <c r="AC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422.01</v>
      </c>
      <c r="AN540" s="2">
        <v>0</v>
      </c>
      <c r="AO540" s="2">
        <v>0</v>
      </c>
      <c r="AP540" s="2">
        <v>0</v>
      </c>
      <c r="AQ540" s="2">
        <v>0</v>
      </c>
      <c r="AR540" t="s">
        <v>709</v>
      </c>
    </row>
    <row r="541" spans="1:44" x14ac:dyDescent="0.25">
      <c r="A541" s="1">
        <v>45985</v>
      </c>
      <c r="B541" t="s">
        <v>703</v>
      </c>
      <c r="C541">
        <v>649163</v>
      </c>
      <c r="D541">
        <v>2030552095</v>
      </c>
      <c r="E541" t="s">
        <v>387</v>
      </c>
      <c r="F541" t="s">
        <v>388</v>
      </c>
      <c r="G541" t="s">
        <v>51</v>
      </c>
      <c r="I541" t="s">
        <v>262</v>
      </c>
      <c r="J541" t="s">
        <v>263</v>
      </c>
      <c r="K541">
        <v>649163</v>
      </c>
      <c r="L541" t="s">
        <v>389</v>
      </c>
      <c r="M541" t="s">
        <v>390</v>
      </c>
      <c r="N541" t="s">
        <v>337</v>
      </c>
      <c r="O541" s="1">
        <v>45901</v>
      </c>
      <c r="P541" s="1">
        <v>45985</v>
      </c>
      <c r="R541" s="2">
        <v>0</v>
      </c>
      <c r="AB541" s="2">
        <v>372.58</v>
      </c>
      <c r="AC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186.3</v>
      </c>
      <c r="AN541" s="2">
        <v>-186.28</v>
      </c>
      <c r="AO541" s="2">
        <v>-186.28</v>
      </c>
      <c r="AP541" s="2">
        <v>0</v>
      </c>
      <c r="AQ541" s="2">
        <v>0</v>
      </c>
      <c r="AR541" t="s">
        <v>709</v>
      </c>
    </row>
    <row r="542" spans="1:44" x14ac:dyDescent="0.25">
      <c r="A542" s="1">
        <v>45985</v>
      </c>
      <c r="B542" t="s">
        <v>703</v>
      </c>
      <c r="C542">
        <v>649163</v>
      </c>
      <c r="D542">
        <v>2030552094</v>
      </c>
      <c r="E542" t="s">
        <v>387</v>
      </c>
      <c r="F542" t="s">
        <v>388</v>
      </c>
      <c r="G542" t="s">
        <v>51</v>
      </c>
      <c r="I542" t="s">
        <v>89</v>
      </c>
      <c r="J542" t="s">
        <v>336</v>
      </c>
      <c r="K542">
        <v>649163</v>
      </c>
      <c r="L542" t="s">
        <v>389</v>
      </c>
      <c r="M542" t="s">
        <v>390</v>
      </c>
      <c r="N542" t="s">
        <v>337</v>
      </c>
      <c r="O542" s="1">
        <v>45901</v>
      </c>
      <c r="P542" s="1">
        <v>45985</v>
      </c>
      <c r="R542" s="2">
        <v>0</v>
      </c>
      <c r="AB542" s="2">
        <v>885.38</v>
      </c>
      <c r="AC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442.68</v>
      </c>
      <c r="AN542" s="2">
        <v>-442.7</v>
      </c>
      <c r="AO542" s="2">
        <v>-442.7</v>
      </c>
      <c r="AP542" s="2">
        <v>0</v>
      </c>
      <c r="AQ542" s="2">
        <v>0</v>
      </c>
      <c r="AR542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272B-A6D1-46CE-B7A8-CA56DE5D1743}">
  <dimension ref="A1:BB169"/>
  <sheetViews>
    <sheetView topLeftCell="E145" workbookViewId="0">
      <selection activeCell="N21" sqref="N21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2.5703125" bestFit="1" customWidth="1"/>
    <col min="4" max="4" width="23.5703125" bestFit="1" customWidth="1"/>
    <col min="5" max="5" width="23.28515625" bestFit="1" customWidth="1"/>
    <col min="6" max="6" width="5.5703125" bestFit="1" customWidth="1"/>
    <col min="7" max="7" width="43" bestFit="1" customWidth="1"/>
    <col min="8" max="8" width="15.7109375" bestFit="1" customWidth="1"/>
    <col min="9" max="9" width="4.5703125" bestFit="1" customWidth="1"/>
    <col min="10" max="11" width="3.5703125" bestFit="1" customWidth="1"/>
    <col min="12" max="12" width="12.5703125" bestFit="1" customWidth="1"/>
    <col min="13" max="13" width="13.5703125" bestFit="1" customWidth="1"/>
    <col min="14" max="14" width="11.42578125" bestFit="1" customWidth="1"/>
    <col min="15" max="15" width="21.42578125" bestFit="1" customWidth="1"/>
    <col min="16" max="16" width="13.5703125" bestFit="1" customWidth="1"/>
    <col min="17" max="17" width="12" bestFit="1" customWidth="1"/>
    <col min="18" max="18" width="16" bestFit="1" customWidth="1"/>
    <col min="19" max="19" width="11.28515625" bestFit="1" customWidth="1"/>
    <col min="20" max="20" width="8.28515625" bestFit="1" customWidth="1"/>
    <col min="21" max="21" width="15.5703125" bestFit="1" customWidth="1"/>
    <col min="22" max="22" width="12.42578125" bestFit="1" customWidth="1"/>
    <col min="23" max="23" width="13.7109375" bestFit="1" customWidth="1"/>
    <col min="24" max="24" width="43" bestFit="1" customWidth="1"/>
  </cols>
  <sheetData>
    <row r="1" spans="1:54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9</v>
      </c>
      <c r="H1" t="s">
        <v>10</v>
      </c>
      <c r="M1" t="s">
        <v>11</v>
      </c>
      <c r="N1" t="s">
        <v>12</v>
      </c>
      <c r="P1" t="s">
        <v>14</v>
      </c>
      <c r="Q1" t="s">
        <v>16</v>
      </c>
      <c r="R1" t="s">
        <v>17</v>
      </c>
      <c r="S1" t="s">
        <v>21</v>
      </c>
      <c r="T1" t="s">
        <v>24</v>
      </c>
      <c r="U1" t="s">
        <v>25</v>
      </c>
      <c r="V1" t="s">
        <v>26</v>
      </c>
      <c r="W1" t="s">
        <v>37</v>
      </c>
    </row>
    <row r="2" spans="1:54" x14ac:dyDescent="0.25">
      <c r="A2" s="5">
        <v>2032226954</v>
      </c>
      <c r="B2" s="5" t="s">
        <v>178</v>
      </c>
      <c r="C2" s="5" t="s">
        <v>179</v>
      </c>
      <c r="D2" s="5" t="str">
        <f t="shared" ref="D2:D33" si="0">CONCATENATE(C2," ",B2)</f>
        <v>JOSE DURAN</v>
      </c>
      <c r="E2" s="5" t="s">
        <v>51</v>
      </c>
      <c r="F2" s="5" t="s">
        <v>64</v>
      </c>
      <c r="G2" s="5" t="s">
        <v>260</v>
      </c>
      <c r="H2" s="5">
        <v>8325282</v>
      </c>
      <c r="I2" s="5" t="s">
        <v>724</v>
      </c>
      <c r="J2" s="5" t="s">
        <v>725</v>
      </c>
      <c r="K2" s="5" t="s">
        <v>726</v>
      </c>
      <c r="L2" s="5" t="str">
        <f>CONCATENATE(H2,I2)</f>
        <v>8325282AV6</v>
      </c>
      <c r="M2" s="5" t="s">
        <v>101</v>
      </c>
      <c r="N2" s="5" t="s">
        <v>102</v>
      </c>
      <c r="O2" s="5" t="str">
        <f t="shared" ref="O2:O33" si="1">CONCATENATE(N2," ",M2)</f>
        <v>Dale Walenga</v>
      </c>
      <c r="P2" s="6">
        <v>45992</v>
      </c>
      <c r="Q2" s="6">
        <v>46023</v>
      </c>
      <c r="R2" s="7">
        <v>163.26</v>
      </c>
      <c r="S2" s="14">
        <v>0.38</v>
      </c>
      <c r="T2" s="5" t="s">
        <v>60</v>
      </c>
      <c r="U2" s="5" t="s">
        <v>61</v>
      </c>
      <c r="V2" s="5">
        <v>6</v>
      </c>
      <c r="W2" s="7">
        <v>62.04</v>
      </c>
      <c r="X2" s="5" t="s">
        <v>260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s="5" customFormat="1" x14ac:dyDescent="0.25">
      <c r="A3" s="5">
        <v>2032226956</v>
      </c>
      <c r="B3" s="5" t="s">
        <v>178</v>
      </c>
      <c r="C3" s="5" t="s">
        <v>179</v>
      </c>
      <c r="D3" s="5" t="str">
        <f t="shared" si="0"/>
        <v>JOSE DURAN</v>
      </c>
      <c r="E3" s="5" t="s">
        <v>51</v>
      </c>
      <c r="F3" s="5" t="s">
        <v>64</v>
      </c>
      <c r="G3" s="5" t="s">
        <v>261</v>
      </c>
      <c r="H3" s="5">
        <v>8325282</v>
      </c>
      <c r="I3" s="5" t="s">
        <v>724</v>
      </c>
      <c r="J3" s="5" t="s">
        <v>725</v>
      </c>
      <c r="K3" s="5" t="s">
        <v>726</v>
      </c>
      <c r="L3" s="5" t="str">
        <f t="shared" ref="L3:L66" si="2">CONCATENATE(H3,I3)</f>
        <v>8325282AV6</v>
      </c>
      <c r="M3" s="5" t="s">
        <v>101</v>
      </c>
      <c r="N3" s="5" t="s">
        <v>102</v>
      </c>
      <c r="O3" s="5" t="str">
        <f t="shared" si="1"/>
        <v>Dale Walenga</v>
      </c>
      <c r="P3" s="6">
        <v>45992</v>
      </c>
      <c r="Q3" s="6">
        <v>46023</v>
      </c>
      <c r="R3" s="7">
        <v>7.09</v>
      </c>
      <c r="S3" s="14">
        <v>0.38</v>
      </c>
      <c r="T3" s="5" t="s">
        <v>60</v>
      </c>
      <c r="U3" s="5" t="s">
        <v>61</v>
      </c>
      <c r="V3" s="5">
        <v>6</v>
      </c>
      <c r="W3" s="7">
        <v>2.69</v>
      </c>
      <c r="X3" s="5" t="s">
        <v>260</v>
      </c>
    </row>
    <row r="4" spans="1:54" s="5" customFormat="1" x14ac:dyDescent="0.25">
      <c r="A4" s="5">
        <v>2032208388</v>
      </c>
      <c r="B4" s="5" t="s">
        <v>108</v>
      </c>
      <c r="C4" s="5" t="s">
        <v>68</v>
      </c>
      <c r="D4" s="5" t="str">
        <f t="shared" si="0"/>
        <v>MARY CARLSON</v>
      </c>
      <c r="E4" s="5" t="s">
        <v>51</v>
      </c>
      <c r="F4" s="5" t="s">
        <v>109</v>
      </c>
      <c r="G4" s="5" t="s">
        <v>110</v>
      </c>
      <c r="H4" s="5">
        <v>16865615</v>
      </c>
      <c r="I4" s="5" t="s">
        <v>724</v>
      </c>
      <c r="J4" s="5" t="s">
        <v>725</v>
      </c>
      <c r="K4" s="5" t="s">
        <v>726</v>
      </c>
      <c r="L4" s="5" t="str">
        <f t="shared" si="2"/>
        <v>16865615AV6</v>
      </c>
      <c r="M4" s="5" t="s">
        <v>111</v>
      </c>
      <c r="N4" s="5" t="s">
        <v>112</v>
      </c>
      <c r="O4" s="5" t="str">
        <f t="shared" si="1"/>
        <v>Heather Geske</v>
      </c>
      <c r="P4" s="6">
        <v>45979</v>
      </c>
      <c r="Q4" s="6">
        <v>46009</v>
      </c>
      <c r="R4" s="7">
        <v>26.53</v>
      </c>
      <c r="S4" s="14">
        <v>0.65</v>
      </c>
      <c r="T4" s="5" t="s">
        <v>60</v>
      </c>
      <c r="U4" s="5" t="s">
        <v>61</v>
      </c>
      <c r="V4" s="5">
        <v>6</v>
      </c>
      <c r="W4" s="7">
        <v>17.239999999999998</v>
      </c>
      <c r="X4" s="5" t="s">
        <v>719</v>
      </c>
    </row>
    <row r="5" spans="1:54" s="5" customFormat="1" x14ac:dyDescent="0.25">
      <c r="A5" s="5">
        <v>2032232355</v>
      </c>
      <c r="B5" s="5" t="s">
        <v>127</v>
      </c>
      <c r="C5" s="5" t="s">
        <v>128</v>
      </c>
      <c r="D5" s="5" t="str">
        <f t="shared" si="0"/>
        <v>TESSA DREILING</v>
      </c>
      <c r="E5" s="5" t="s">
        <v>51</v>
      </c>
      <c r="F5" s="5" t="s">
        <v>129</v>
      </c>
      <c r="G5" s="5" t="s">
        <v>90</v>
      </c>
      <c r="H5" s="5">
        <v>7470776</v>
      </c>
      <c r="I5" s="5" t="s">
        <v>724</v>
      </c>
      <c r="J5" s="5" t="s">
        <v>725</v>
      </c>
      <c r="K5" s="5" t="s">
        <v>726</v>
      </c>
      <c r="L5" s="5" t="str">
        <f t="shared" si="2"/>
        <v>7470776AV6</v>
      </c>
      <c r="M5" s="5" t="s">
        <v>115</v>
      </c>
      <c r="N5" s="5" t="s">
        <v>116</v>
      </c>
      <c r="O5" s="5" t="str">
        <f t="shared" si="1"/>
        <v>Andrew Choi</v>
      </c>
      <c r="P5" s="6">
        <v>46023</v>
      </c>
      <c r="Q5" s="6">
        <v>46054</v>
      </c>
      <c r="R5" s="7">
        <v>32.94</v>
      </c>
      <c r="S5" s="14">
        <v>0.75</v>
      </c>
      <c r="T5" s="5" t="s">
        <v>60</v>
      </c>
      <c r="U5" s="5" t="s">
        <v>61</v>
      </c>
      <c r="V5" s="5">
        <v>6</v>
      </c>
      <c r="W5" s="7">
        <v>24.7</v>
      </c>
      <c r="X5" s="5" t="s">
        <v>718</v>
      </c>
    </row>
    <row r="6" spans="1:54" s="5" customFormat="1" x14ac:dyDescent="0.25">
      <c r="A6" s="5">
        <v>2032249284</v>
      </c>
      <c r="B6" s="5" t="s">
        <v>136</v>
      </c>
      <c r="C6" s="5" t="s">
        <v>137</v>
      </c>
      <c r="D6" s="5" t="str">
        <f t="shared" si="0"/>
        <v>ANNIE ALDEA</v>
      </c>
      <c r="E6" s="5" t="s">
        <v>51</v>
      </c>
      <c r="F6" s="5" t="s">
        <v>64</v>
      </c>
      <c r="G6" s="5" t="s">
        <v>90</v>
      </c>
      <c r="H6" s="5">
        <v>7470776</v>
      </c>
      <c r="I6" s="5" t="s">
        <v>724</v>
      </c>
      <c r="J6" s="5" t="s">
        <v>725</v>
      </c>
      <c r="K6" s="5" t="s">
        <v>726</v>
      </c>
      <c r="L6" s="5" t="str">
        <f t="shared" si="2"/>
        <v>7470776AV6</v>
      </c>
      <c r="M6" s="5" t="s">
        <v>115</v>
      </c>
      <c r="N6" s="5" t="s">
        <v>116</v>
      </c>
      <c r="O6" s="5" t="str">
        <f t="shared" si="1"/>
        <v>Andrew Choi</v>
      </c>
      <c r="P6" s="6">
        <v>46023</v>
      </c>
      <c r="Q6" s="6">
        <v>46054</v>
      </c>
      <c r="R6" s="7">
        <v>139.78</v>
      </c>
      <c r="S6" s="14">
        <v>0.75</v>
      </c>
      <c r="T6" s="5" t="s">
        <v>60</v>
      </c>
      <c r="U6" s="5" t="s">
        <v>61</v>
      </c>
      <c r="V6" s="5">
        <v>6</v>
      </c>
      <c r="W6" s="7">
        <v>104.84</v>
      </c>
      <c r="X6" s="5" t="s">
        <v>718</v>
      </c>
    </row>
    <row r="7" spans="1:54" s="5" customFormat="1" x14ac:dyDescent="0.25">
      <c r="A7" s="5">
        <v>2032307404</v>
      </c>
      <c r="B7" s="5" t="s">
        <v>152</v>
      </c>
      <c r="C7" s="5" t="s">
        <v>152</v>
      </c>
      <c r="D7" s="5" t="str">
        <f t="shared" si="0"/>
        <v>TSOGBUYAN TSOGBUYAN</v>
      </c>
      <c r="E7" s="5" t="s">
        <v>51</v>
      </c>
      <c r="F7" s="5" t="s">
        <v>64</v>
      </c>
      <c r="G7" s="5" t="s">
        <v>90</v>
      </c>
      <c r="H7" s="5">
        <v>7470776</v>
      </c>
      <c r="I7" s="5" t="s">
        <v>724</v>
      </c>
      <c r="J7" s="5" t="s">
        <v>725</v>
      </c>
      <c r="K7" s="5" t="s">
        <v>726</v>
      </c>
      <c r="L7" s="5" t="str">
        <f t="shared" si="2"/>
        <v>7470776AV6</v>
      </c>
      <c r="M7" s="5" t="s">
        <v>115</v>
      </c>
      <c r="N7" s="5" t="s">
        <v>116</v>
      </c>
      <c r="O7" s="5" t="str">
        <f t="shared" si="1"/>
        <v>Andrew Choi</v>
      </c>
      <c r="P7" s="6">
        <v>46023</v>
      </c>
      <c r="Q7" s="6">
        <v>46054</v>
      </c>
      <c r="R7" s="7">
        <v>37.28</v>
      </c>
      <c r="S7" s="14">
        <v>0.75</v>
      </c>
      <c r="T7" s="5" t="s">
        <v>60</v>
      </c>
      <c r="U7" s="5" t="s">
        <v>61</v>
      </c>
      <c r="V7" s="5">
        <v>6</v>
      </c>
      <c r="W7" s="7">
        <v>27.96</v>
      </c>
      <c r="X7" s="5" t="s">
        <v>718</v>
      </c>
    </row>
    <row r="8" spans="1:54" s="5" customFormat="1" x14ac:dyDescent="0.25">
      <c r="A8" s="5">
        <v>2032259244</v>
      </c>
      <c r="B8" s="5" t="s">
        <v>140</v>
      </c>
      <c r="C8" s="5" t="s">
        <v>141</v>
      </c>
      <c r="D8" s="5" t="str">
        <f t="shared" si="0"/>
        <v>ELIZABETH BEZELY</v>
      </c>
      <c r="E8" s="5" t="s">
        <v>51</v>
      </c>
      <c r="F8" s="5" t="s">
        <v>64</v>
      </c>
      <c r="G8" s="5" t="s">
        <v>90</v>
      </c>
      <c r="H8" s="5">
        <v>19681796</v>
      </c>
      <c r="I8" s="5" t="s">
        <v>724</v>
      </c>
      <c r="J8" s="5" t="s">
        <v>725</v>
      </c>
      <c r="K8" s="5" t="s">
        <v>726</v>
      </c>
      <c r="L8" s="5" t="str">
        <f t="shared" si="2"/>
        <v>19681796AV6</v>
      </c>
      <c r="M8" s="5" t="s">
        <v>142</v>
      </c>
      <c r="N8" s="5" t="s">
        <v>143</v>
      </c>
      <c r="O8" s="5" t="str">
        <f t="shared" si="1"/>
        <v>CHRISTIAN TAUGNER</v>
      </c>
      <c r="P8" s="6">
        <v>45981</v>
      </c>
      <c r="Q8" s="6">
        <v>46011</v>
      </c>
      <c r="R8" s="7">
        <v>49.35</v>
      </c>
      <c r="S8" s="14">
        <v>0.75</v>
      </c>
      <c r="T8" s="5" t="s">
        <v>60</v>
      </c>
      <c r="U8" s="5" t="s">
        <v>61</v>
      </c>
      <c r="V8" s="5">
        <v>6</v>
      </c>
      <c r="W8" s="7">
        <v>37.01</v>
      </c>
      <c r="X8" s="5" t="s">
        <v>718</v>
      </c>
    </row>
    <row r="9" spans="1:54" s="5" customFormat="1" x14ac:dyDescent="0.25">
      <c r="A9" s="5">
        <v>2032204650</v>
      </c>
      <c r="B9" s="5" t="s">
        <v>99</v>
      </c>
      <c r="C9" s="5" t="s">
        <v>100</v>
      </c>
      <c r="D9" s="5" t="str">
        <f t="shared" si="0"/>
        <v>DANIELLE TEREZA</v>
      </c>
      <c r="E9" s="5" t="s">
        <v>51</v>
      </c>
      <c r="F9" s="5" t="s">
        <v>64</v>
      </c>
      <c r="G9" s="5" t="s">
        <v>90</v>
      </c>
      <c r="H9" s="5">
        <v>8325282</v>
      </c>
      <c r="I9" s="5" t="s">
        <v>724</v>
      </c>
      <c r="J9" s="5" t="s">
        <v>725</v>
      </c>
      <c r="K9" s="5" t="s">
        <v>726</v>
      </c>
      <c r="L9" s="5" t="str">
        <f t="shared" si="2"/>
        <v>8325282AV6</v>
      </c>
      <c r="M9" s="5" t="s">
        <v>101</v>
      </c>
      <c r="N9" s="5" t="s">
        <v>102</v>
      </c>
      <c r="O9" s="5" t="str">
        <f t="shared" si="1"/>
        <v>Dale Walenga</v>
      </c>
      <c r="P9" s="6">
        <v>45979</v>
      </c>
      <c r="Q9" s="6">
        <v>46009</v>
      </c>
      <c r="R9" s="7">
        <v>62.85</v>
      </c>
      <c r="S9" s="14">
        <v>0.75</v>
      </c>
      <c r="T9" s="5" t="s">
        <v>60</v>
      </c>
      <c r="U9" s="5" t="s">
        <v>61</v>
      </c>
      <c r="V9" s="5">
        <v>6</v>
      </c>
      <c r="W9" s="7">
        <v>47.14</v>
      </c>
      <c r="X9" s="5" t="s">
        <v>718</v>
      </c>
    </row>
    <row r="10" spans="1:54" s="5" customFormat="1" x14ac:dyDescent="0.25">
      <c r="A10" s="5">
        <v>2032208235</v>
      </c>
      <c r="B10" s="5" t="s">
        <v>103</v>
      </c>
      <c r="C10" s="5" t="s">
        <v>104</v>
      </c>
      <c r="D10" s="5" t="str">
        <f t="shared" si="0"/>
        <v>COLEEN VELMS</v>
      </c>
      <c r="E10" s="5" t="s">
        <v>51</v>
      </c>
      <c r="F10" s="5" t="s">
        <v>105</v>
      </c>
      <c r="G10" s="5" t="s">
        <v>90</v>
      </c>
      <c r="H10" s="5">
        <v>18201929</v>
      </c>
      <c r="I10" s="5" t="s">
        <v>724</v>
      </c>
      <c r="J10" s="5" t="s">
        <v>725</v>
      </c>
      <c r="K10" s="5" t="s">
        <v>726</v>
      </c>
      <c r="L10" s="5" t="str">
        <f t="shared" si="2"/>
        <v>18201929AV6</v>
      </c>
      <c r="M10" s="5" t="s">
        <v>106</v>
      </c>
      <c r="N10" s="5" t="s">
        <v>107</v>
      </c>
      <c r="O10" s="5" t="str">
        <f t="shared" si="1"/>
        <v>Jake Shulman</v>
      </c>
      <c r="P10" s="6">
        <v>45979</v>
      </c>
      <c r="Q10" s="6">
        <v>46009</v>
      </c>
      <c r="R10" s="7">
        <v>33.76</v>
      </c>
      <c r="S10" s="14">
        <v>0.75</v>
      </c>
      <c r="T10" s="5" t="s">
        <v>60</v>
      </c>
      <c r="U10" s="5" t="s">
        <v>61</v>
      </c>
      <c r="V10" s="5">
        <v>6</v>
      </c>
      <c r="W10" s="7">
        <v>25.32</v>
      </c>
      <c r="X10" s="5" t="s">
        <v>718</v>
      </c>
    </row>
    <row r="11" spans="1:54" s="5" customFormat="1" x14ac:dyDescent="0.25">
      <c r="A11" s="5">
        <v>2032221673</v>
      </c>
      <c r="B11" s="5" t="s">
        <v>120</v>
      </c>
      <c r="C11" s="5" t="s">
        <v>121</v>
      </c>
      <c r="D11" s="5" t="str">
        <f t="shared" si="0"/>
        <v>JUSTIN CONNOUR</v>
      </c>
      <c r="E11" s="5" t="s">
        <v>51</v>
      </c>
      <c r="F11" s="5" t="s">
        <v>64</v>
      </c>
      <c r="G11" s="5" t="s">
        <v>90</v>
      </c>
      <c r="H11" s="5">
        <v>18828278</v>
      </c>
      <c r="I11" s="5" t="s">
        <v>724</v>
      </c>
      <c r="J11" s="5" t="s">
        <v>725</v>
      </c>
      <c r="K11" s="5" t="s">
        <v>726</v>
      </c>
      <c r="L11" s="5" t="str">
        <f t="shared" si="2"/>
        <v>18828278AV6</v>
      </c>
      <c r="M11" s="5" t="s">
        <v>122</v>
      </c>
      <c r="N11" s="5" t="s">
        <v>123</v>
      </c>
      <c r="O11" s="5" t="str">
        <f t="shared" si="1"/>
        <v>MICHAEL DUNAVANT</v>
      </c>
      <c r="P11" s="6">
        <v>46023</v>
      </c>
      <c r="Q11" s="6">
        <v>46054</v>
      </c>
      <c r="R11" s="7">
        <v>12.91</v>
      </c>
      <c r="S11" s="14">
        <v>0.75</v>
      </c>
      <c r="T11" s="5" t="s">
        <v>60</v>
      </c>
      <c r="U11" s="5" t="s">
        <v>61</v>
      </c>
      <c r="V11" s="5">
        <v>6</v>
      </c>
      <c r="W11" s="7">
        <v>9.68</v>
      </c>
      <c r="X11" s="5" t="s">
        <v>718</v>
      </c>
    </row>
    <row r="12" spans="1:54" s="5" customFormat="1" x14ac:dyDescent="0.25">
      <c r="A12" s="5">
        <v>2032297157</v>
      </c>
      <c r="B12" s="5" t="s">
        <v>150</v>
      </c>
      <c r="C12" s="5" t="s">
        <v>151</v>
      </c>
      <c r="D12" s="5" t="str">
        <f t="shared" si="0"/>
        <v>KIRSTEN ENDRIZZI</v>
      </c>
      <c r="E12" s="5" t="s">
        <v>51</v>
      </c>
      <c r="F12" s="5" t="s">
        <v>64</v>
      </c>
      <c r="G12" s="5" t="s">
        <v>90</v>
      </c>
      <c r="H12" s="5">
        <v>18828278</v>
      </c>
      <c r="I12" s="5" t="s">
        <v>724</v>
      </c>
      <c r="J12" s="5" t="s">
        <v>725</v>
      </c>
      <c r="K12" s="5" t="s">
        <v>726</v>
      </c>
      <c r="L12" s="5" t="str">
        <f t="shared" si="2"/>
        <v>18828278AV6</v>
      </c>
      <c r="M12" s="5" t="s">
        <v>122</v>
      </c>
      <c r="N12" s="5" t="s">
        <v>123</v>
      </c>
      <c r="O12" s="5" t="str">
        <f t="shared" si="1"/>
        <v>MICHAEL DUNAVANT</v>
      </c>
      <c r="P12" s="6">
        <v>46023</v>
      </c>
      <c r="Q12" s="6">
        <v>46054</v>
      </c>
      <c r="R12" s="7">
        <v>54.25</v>
      </c>
      <c r="S12" s="14">
        <v>0.75</v>
      </c>
      <c r="T12" s="5" t="s">
        <v>60</v>
      </c>
      <c r="U12" s="5" t="s">
        <v>61</v>
      </c>
      <c r="V12" s="5">
        <v>6</v>
      </c>
      <c r="W12" s="7">
        <v>40.69</v>
      </c>
      <c r="X12" s="5" t="s">
        <v>718</v>
      </c>
    </row>
    <row r="13" spans="1:54" s="5" customFormat="1" x14ac:dyDescent="0.25">
      <c r="A13" s="5">
        <v>2032057615</v>
      </c>
      <c r="B13" s="5" t="s">
        <v>88</v>
      </c>
      <c r="C13" s="5" t="s">
        <v>81</v>
      </c>
      <c r="D13" s="5" t="str">
        <f t="shared" si="0"/>
        <v>WILLIAM PROSNIEWSKI</v>
      </c>
      <c r="E13" s="5" t="s">
        <v>51</v>
      </c>
      <c r="F13" s="5" t="s">
        <v>64</v>
      </c>
      <c r="G13" s="5" t="s">
        <v>90</v>
      </c>
      <c r="H13" s="5">
        <v>16633294</v>
      </c>
      <c r="I13" s="5" t="s">
        <v>724</v>
      </c>
      <c r="J13" s="5" t="s">
        <v>725</v>
      </c>
      <c r="K13" s="5" t="s">
        <v>726</v>
      </c>
      <c r="L13" s="5" t="str">
        <f t="shared" si="2"/>
        <v>16633294AV6</v>
      </c>
      <c r="M13" s="5" t="s">
        <v>91</v>
      </c>
      <c r="N13" s="5" t="s">
        <v>92</v>
      </c>
      <c r="O13" s="5" t="str">
        <f t="shared" si="1"/>
        <v>Richard Yale</v>
      </c>
      <c r="P13" s="6">
        <v>45992</v>
      </c>
      <c r="Q13" s="6">
        <v>46023</v>
      </c>
      <c r="R13" s="7">
        <v>27.67</v>
      </c>
      <c r="S13" s="14">
        <v>0.75</v>
      </c>
      <c r="T13" s="5" t="s">
        <v>60</v>
      </c>
      <c r="U13" s="5" t="s">
        <v>61</v>
      </c>
      <c r="V13" s="5">
        <v>6</v>
      </c>
      <c r="W13" s="7">
        <v>20.75</v>
      </c>
      <c r="X13" s="5" t="s">
        <v>718</v>
      </c>
    </row>
    <row r="14" spans="1:54" s="5" customFormat="1" x14ac:dyDescent="0.25">
      <c r="A14" s="5">
        <v>2032218109</v>
      </c>
      <c r="B14" s="5" t="s">
        <v>113</v>
      </c>
      <c r="C14" s="5" t="s">
        <v>114</v>
      </c>
      <c r="D14" s="5" t="str">
        <f t="shared" si="0"/>
        <v>BRIAN BERLIN</v>
      </c>
      <c r="E14" s="5" t="s">
        <v>51</v>
      </c>
      <c r="F14" s="5" t="s">
        <v>64</v>
      </c>
      <c r="G14" s="5" t="s">
        <v>96</v>
      </c>
      <c r="H14" s="5">
        <v>7470776</v>
      </c>
      <c r="I14" s="5" t="s">
        <v>724</v>
      </c>
      <c r="J14" s="5" t="s">
        <v>725</v>
      </c>
      <c r="K14" s="5" t="s">
        <v>726</v>
      </c>
      <c r="L14" s="5" t="str">
        <f t="shared" si="2"/>
        <v>7470776AV6</v>
      </c>
      <c r="M14" s="5" t="s">
        <v>115</v>
      </c>
      <c r="N14" s="5" t="s">
        <v>116</v>
      </c>
      <c r="O14" s="5" t="str">
        <f t="shared" si="1"/>
        <v>Andrew Choi</v>
      </c>
      <c r="P14" s="6">
        <v>46023</v>
      </c>
      <c r="Q14" s="6">
        <v>46054</v>
      </c>
      <c r="R14" s="7">
        <v>180.9</v>
      </c>
      <c r="S14" s="14">
        <v>0.9</v>
      </c>
      <c r="T14" s="5" t="s">
        <v>60</v>
      </c>
      <c r="U14" s="5" t="s">
        <v>61</v>
      </c>
      <c r="V14" s="5">
        <v>6</v>
      </c>
      <c r="W14" s="7">
        <v>162.81</v>
      </c>
      <c r="X14" s="5" t="s">
        <v>722</v>
      </c>
    </row>
    <row r="15" spans="1:54" s="5" customFormat="1" x14ac:dyDescent="0.25">
      <c r="A15" s="5">
        <v>2032232356</v>
      </c>
      <c r="B15" s="5" t="s">
        <v>127</v>
      </c>
      <c r="C15" s="5" t="s">
        <v>128</v>
      </c>
      <c r="D15" s="5" t="str">
        <f t="shared" si="0"/>
        <v>TESSA DREILING</v>
      </c>
      <c r="E15" s="5" t="s">
        <v>51</v>
      </c>
      <c r="F15" s="5" t="s">
        <v>129</v>
      </c>
      <c r="G15" s="5" t="s">
        <v>96</v>
      </c>
      <c r="H15" s="5">
        <v>7470776</v>
      </c>
      <c r="I15" s="5" t="s">
        <v>724</v>
      </c>
      <c r="J15" s="5" t="s">
        <v>725</v>
      </c>
      <c r="K15" s="5" t="s">
        <v>726</v>
      </c>
      <c r="L15" s="5" t="str">
        <f t="shared" si="2"/>
        <v>7470776AV6</v>
      </c>
      <c r="M15" s="5" t="s">
        <v>115</v>
      </c>
      <c r="N15" s="5" t="s">
        <v>116</v>
      </c>
      <c r="O15" s="5" t="str">
        <f t="shared" si="1"/>
        <v>Andrew Choi</v>
      </c>
      <c r="P15" s="6">
        <v>46023</v>
      </c>
      <c r="Q15" s="6">
        <v>46054</v>
      </c>
      <c r="R15" s="7">
        <v>41.91</v>
      </c>
      <c r="S15" s="14">
        <v>0.9</v>
      </c>
      <c r="T15" s="5" t="s">
        <v>60</v>
      </c>
      <c r="U15" s="5" t="s">
        <v>61</v>
      </c>
      <c r="V15" s="5">
        <v>6</v>
      </c>
      <c r="W15" s="7">
        <v>37.72</v>
      </c>
      <c r="X15" s="5" t="s">
        <v>722</v>
      </c>
    </row>
    <row r="16" spans="1:54" s="5" customFormat="1" x14ac:dyDescent="0.25">
      <c r="A16" s="5">
        <v>2032235780</v>
      </c>
      <c r="B16" s="5" t="s">
        <v>130</v>
      </c>
      <c r="C16" s="5" t="s">
        <v>131</v>
      </c>
      <c r="D16" s="5" t="str">
        <f t="shared" si="0"/>
        <v>DONALD KROMREY</v>
      </c>
      <c r="E16" s="5" t="s">
        <v>51</v>
      </c>
      <c r="F16" s="5" t="s">
        <v>132</v>
      </c>
      <c r="G16" s="5" t="s">
        <v>96</v>
      </c>
      <c r="H16" s="5">
        <v>7470776</v>
      </c>
      <c r="I16" s="5" t="s">
        <v>724</v>
      </c>
      <c r="J16" s="5" t="s">
        <v>725</v>
      </c>
      <c r="K16" s="5" t="s">
        <v>726</v>
      </c>
      <c r="L16" s="5" t="str">
        <f t="shared" si="2"/>
        <v>7470776AV6</v>
      </c>
      <c r="M16" s="5" t="s">
        <v>115</v>
      </c>
      <c r="N16" s="5" t="s">
        <v>116</v>
      </c>
      <c r="O16" s="5" t="str">
        <f t="shared" si="1"/>
        <v>Andrew Choi</v>
      </c>
      <c r="P16" s="6">
        <v>46023</v>
      </c>
      <c r="Q16" s="6">
        <v>46054</v>
      </c>
      <c r="R16" s="7">
        <v>90.79</v>
      </c>
      <c r="S16" s="14">
        <v>0.9</v>
      </c>
      <c r="T16" s="5" t="s">
        <v>60</v>
      </c>
      <c r="U16" s="5" t="s">
        <v>61</v>
      </c>
      <c r="V16" s="5">
        <v>6</v>
      </c>
      <c r="W16" s="7">
        <v>81.709999999999994</v>
      </c>
      <c r="X16" s="5" t="s">
        <v>722</v>
      </c>
    </row>
    <row r="17" spans="1:24" s="5" customFormat="1" x14ac:dyDescent="0.25">
      <c r="A17" s="5">
        <v>2032293407</v>
      </c>
      <c r="B17" s="5" t="s">
        <v>144</v>
      </c>
      <c r="C17" s="5" t="s">
        <v>145</v>
      </c>
      <c r="D17" s="5" t="str">
        <f t="shared" si="0"/>
        <v>PETER FOURTOUNIS</v>
      </c>
      <c r="E17" s="5" t="s">
        <v>51</v>
      </c>
      <c r="F17" s="5" t="s">
        <v>64</v>
      </c>
      <c r="G17" s="5" t="s">
        <v>96</v>
      </c>
      <c r="H17" s="5">
        <v>7470776</v>
      </c>
      <c r="I17" s="5" t="s">
        <v>724</v>
      </c>
      <c r="J17" s="5" t="s">
        <v>725</v>
      </c>
      <c r="K17" s="5" t="s">
        <v>726</v>
      </c>
      <c r="L17" s="5" t="str">
        <f t="shared" si="2"/>
        <v>7470776AV6</v>
      </c>
      <c r="M17" s="5" t="s">
        <v>115</v>
      </c>
      <c r="N17" s="5" t="s">
        <v>116</v>
      </c>
      <c r="O17" s="5" t="str">
        <f t="shared" si="1"/>
        <v>Andrew Choi</v>
      </c>
      <c r="P17" s="6">
        <v>46023</v>
      </c>
      <c r="Q17" s="6">
        <v>46054</v>
      </c>
      <c r="R17" s="7">
        <v>72.67</v>
      </c>
      <c r="S17" s="14">
        <v>0.9</v>
      </c>
      <c r="T17" s="5" t="s">
        <v>60</v>
      </c>
      <c r="U17" s="5" t="s">
        <v>61</v>
      </c>
      <c r="V17" s="5">
        <v>6</v>
      </c>
      <c r="W17" s="7">
        <v>65.400000000000006</v>
      </c>
      <c r="X17" s="5" t="s">
        <v>722</v>
      </c>
    </row>
    <row r="18" spans="1:24" s="5" customFormat="1" x14ac:dyDescent="0.25">
      <c r="A18" s="5">
        <v>2032307405</v>
      </c>
      <c r="B18" s="5" t="s">
        <v>152</v>
      </c>
      <c r="C18" s="5" t="s">
        <v>152</v>
      </c>
      <c r="D18" s="5" t="str">
        <f t="shared" si="0"/>
        <v>TSOGBUYAN TSOGBUYAN</v>
      </c>
      <c r="E18" s="5" t="s">
        <v>51</v>
      </c>
      <c r="F18" s="5" t="s">
        <v>64</v>
      </c>
      <c r="G18" s="5" t="s">
        <v>96</v>
      </c>
      <c r="H18" s="5">
        <v>7470776</v>
      </c>
      <c r="I18" s="5" t="s">
        <v>724</v>
      </c>
      <c r="J18" s="5" t="s">
        <v>725</v>
      </c>
      <c r="K18" s="5" t="s">
        <v>726</v>
      </c>
      <c r="L18" s="5" t="str">
        <f t="shared" si="2"/>
        <v>7470776AV6</v>
      </c>
      <c r="M18" s="5" t="s">
        <v>115</v>
      </c>
      <c r="N18" s="5" t="s">
        <v>116</v>
      </c>
      <c r="O18" s="5" t="str">
        <f t="shared" si="1"/>
        <v>Andrew Choi</v>
      </c>
      <c r="P18" s="6">
        <v>46023</v>
      </c>
      <c r="Q18" s="6">
        <v>46054</v>
      </c>
      <c r="R18" s="7">
        <v>84.41</v>
      </c>
      <c r="S18" s="14">
        <v>0.9</v>
      </c>
      <c r="T18" s="5" t="s">
        <v>60</v>
      </c>
      <c r="U18" s="5" t="s">
        <v>61</v>
      </c>
      <c r="V18" s="5">
        <v>6</v>
      </c>
      <c r="W18" s="7">
        <v>75.97</v>
      </c>
      <c r="X18" s="5" t="s">
        <v>722</v>
      </c>
    </row>
    <row r="19" spans="1:24" s="5" customFormat="1" x14ac:dyDescent="0.25">
      <c r="A19" s="5">
        <v>2032293755</v>
      </c>
      <c r="B19" s="5" t="s">
        <v>146</v>
      </c>
      <c r="C19" s="5" t="s">
        <v>147</v>
      </c>
      <c r="D19" s="5" t="str">
        <f t="shared" si="0"/>
        <v>JOSHUA WILE</v>
      </c>
      <c r="E19" s="5" t="s">
        <v>51</v>
      </c>
      <c r="F19" s="5" t="s">
        <v>135</v>
      </c>
      <c r="G19" s="5" t="s">
        <v>96</v>
      </c>
      <c r="H19" s="5">
        <v>21421111</v>
      </c>
      <c r="I19" s="5" t="s">
        <v>724</v>
      </c>
      <c r="J19" s="5" t="s">
        <v>725</v>
      </c>
      <c r="K19" s="5" t="s">
        <v>726</v>
      </c>
      <c r="L19" s="5" t="str">
        <f t="shared" si="2"/>
        <v>21421111AV6</v>
      </c>
      <c r="M19" s="5" t="s">
        <v>148</v>
      </c>
      <c r="N19" s="5" t="s">
        <v>149</v>
      </c>
      <c r="O19" s="5" t="str">
        <f t="shared" si="1"/>
        <v>Kirk Tigue</v>
      </c>
      <c r="P19" s="6">
        <v>45983</v>
      </c>
      <c r="Q19" s="6">
        <v>46013</v>
      </c>
      <c r="R19" s="7">
        <v>27.48</v>
      </c>
      <c r="S19" s="14">
        <v>0.9</v>
      </c>
      <c r="T19" s="5" t="s">
        <v>60</v>
      </c>
      <c r="U19" s="5" t="s">
        <v>61</v>
      </c>
      <c r="V19" s="5">
        <v>6</v>
      </c>
      <c r="W19" s="7">
        <v>24.73</v>
      </c>
      <c r="X19" s="5" t="s">
        <v>722</v>
      </c>
    </row>
    <row r="20" spans="1:24" s="5" customFormat="1" x14ac:dyDescent="0.25">
      <c r="A20" s="5">
        <v>2032311360</v>
      </c>
      <c r="B20" s="5" t="s">
        <v>153</v>
      </c>
      <c r="C20" s="5" t="s">
        <v>154</v>
      </c>
      <c r="D20" s="5" t="str">
        <f t="shared" si="0"/>
        <v>JONATHAN HUBBARD</v>
      </c>
      <c r="E20" s="5" t="s">
        <v>51</v>
      </c>
      <c r="F20" s="5" t="s">
        <v>155</v>
      </c>
      <c r="G20" s="5" t="s">
        <v>96</v>
      </c>
      <c r="H20" s="5">
        <v>371819</v>
      </c>
      <c r="I20" s="5" t="s">
        <v>724</v>
      </c>
      <c r="J20" s="5" t="s">
        <v>725</v>
      </c>
      <c r="K20" s="5" t="s">
        <v>726</v>
      </c>
      <c r="L20" s="5" t="str">
        <f t="shared" si="2"/>
        <v>371819AV6</v>
      </c>
      <c r="M20" s="5" t="s">
        <v>156</v>
      </c>
      <c r="N20" s="5" t="s">
        <v>157</v>
      </c>
      <c r="O20" s="5" t="str">
        <f t="shared" si="1"/>
        <v>THOMAS PARDUE</v>
      </c>
      <c r="P20" s="6">
        <v>46023</v>
      </c>
      <c r="Q20" s="6">
        <v>46054</v>
      </c>
      <c r="R20" s="7">
        <v>119.25</v>
      </c>
      <c r="S20" s="14">
        <v>0.9</v>
      </c>
      <c r="T20" s="5" t="s">
        <v>60</v>
      </c>
      <c r="U20" s="5" t="s">
        <v>61</v>
      </c>
      <c r="V20" s="5">
        <v>6</v>
      </c>
      <c r="W20" s="7">
        <v>107.32</v>
      </c>
      <c r="X20" s="5" t="s">
        <v>722</v>
      </c>
    </row>
    <row r="21" spans="1:24" s="5" customFormat="1" x14ac:dyDescent="0.25">
      <c r="A21" s="5">
        <v>2032261024</v>
      </c>
      <c r="B21" s="5" t="s">
        <v>301</v>
      </c>
      <c r="C21" s="5" t="s">
        <v>240</v>
      </c>
      <c r="D21" s="5" t="str">
        <f t="shared" si="0"/>
        <v>GEORGE AMBE</v>
      </c>
      <c r="E21" s="5" t="s">
        <v>51</v>
      </c>
      <c r="F21" s="5" t="s">
        <v>95</v>
      </c>
      <c r="G21" s="5" t="s">
        <v>302</v>
      </c>
      <c r="H21" s="5">
        <v>17554531</v>
      </c>
      <c r="I21" s="5" t="s">
        <v>724</v>
      </c>
      <c r="J21" s="5" t="s">
        <v>725</v>
      </c>
      <c r="K21" s="5" t="s">
        <v>726</v>
      </c>
      <c r="L21" s="5" t="str">
        <f t="shared" si="2"/>
        <v>17554531AV6</v>
      </c>
      <c r="M21" s="5" t="s">
        <v>303</v>
      </c>
      <c r="N21" s="5" t="s">
        <v>304</v>
      </c>
      <c r="O21" s="5" t="str">
        <f t="shared" si="1"/>
        <v>Brittany Oliver</v>
      </c>
      <c r="P21" s="6">
        <v>45981</v>
      </c>
      <c r="Q21" s="6">
        <v>46011</v>
      </c>
      <c r="R21" s="7">
        <v>51.6</v>
      </c>
      <c r="S21" s="14">
        <v>0.42</v>
      </c>
      <c r="T21" s="5" t="s">
        <v>60</v>
      </c>
      <c r="U21" s="5" t="s">
        <v>61</v>
      </c>
      <c r="V21" s="5">
        <v>6</v>
      </c>
      <c r="W21" s="7">
        <v>21.67</v>
      </c>
      <c r="X21" s="5" t="s">
        <v>302</v>
      </c>
    </row>
    <row r="22" spans="1:24" s="5" customFormat="1" x14ac:dyDescent="0.25">
      <c r="A22" s="5">
        <v>2032226957</v>
      </c>
      <c r="B22" s="5" t="s">
        <v>178</v>
      </c>
      <c r="C22" s="5" t="s">
        <v>179</v>
      </c>
      <c r="D22" s="5" t="str">
        <f t="shared" si="0"/>
        <v>JOSE DURAN</v>
      </c>
      <c r="E22" s="5" t="s">
        <v>51</v>
      </c>
      <c r="F22" s="5" t="s">
        <v>64</v>
      </c>
      <c r="G22" s="5" t="s">
        <v>180</v>
      </c>
      <c r="H22" s="5">
        <v>8325282</v>
      </c>
      <c r="I22" s="5" t="s">
        <v>724</v>
      </c>
      <c r="J22" s="5" t="s">
        <v>725</v>
      </c>
      <c r="K22" s="5" t="s">
        <v>726</v>
      </c>
      <c r="L22" s="5" t="str">
        <f t="shared" si="2"/>
        <v>8325282AV6</v>
      </c>
      <c r="M22" s="5" t="s">
        <v>101</v>
      </c>
      <c r="N22" s="5" t="s">
        <v>102</v>
      </c>
      <c r="O22" s="5" t="str">
        <f t="shared" si="1"/>
        <v>Dale Walenga</v>
      </c>
      <c r="P22" s="6">
        <v>45992</v>
      </c>
      <c r="Q22" s="6">
        <v>46023</v>
      </c>
      <c r="R22" s="7">
        <v>15</v>
      </c>
      <c r="S22" s="14">
        <v>0.38</v>
      </c>
      <c r="T22" s="5" t="s">
        <v>60</v>
      </c>
      <c r="U22" s="5" t="s">
        <v>61</v>
      </c>
      <c r="V22" s="5">
        <v>6</v>
      </c>
      <c r="W22" s="7">
        <v>5.7</v>
      </c>
      <c r="X22" s="5" t="s">
        <v>180</v>
      </c>
    </row>
    <row r="23" spans="1:24" s="5" customFormat="1" x14ac:dyDescent="0.25">
      <c r="A23" s="5">
        <v>2032248635</v>
      </c>
      <c r="B23" s="5" t="s">
        <v>184</v>
      </c>
      <c r="C23" s="5" t="s">
        <v>185</v>
      </c>
      <c r="D23" s="5" t="str">
        <f t="shared" si="0"/>
        <v>LAURIE PATKUNAS</v>
      </c>
      <c r="E23" s="5" t="s">
        <v>51</v>
      </c>
      <c r="F23" s="5" t="s">
        <v>64</v>
      </c>
      <c r="G23" s="5" t="s">
        <v>161</v>
      </c>
      <c r="H23" s="5">
        <v>8812322</v>
      </c>
      <c r="I23" s="5" t="s">
        <v>724</v>
      </c>
      <c r="J23" s="5" t="s">
        <v>725</v>
      </c>
      <c r="K23" s="5" t="s">
        <v>726</v>
      </c>
      <c r="L23" s="5" t="str">
        <f t="shared" si="2"/>
        <v>8812322AV6</v>
      </c>
      <c r="M23" s="5" t="s">
        <v>65</v>
      </c>
      <c r="N23" s="5" t="s">
        <v>66</v>
      </c>
      <c r="O23" s="5" t="str">
        <f t="shared" si="1"/>
        <v>Matthew Sherman</v>
      </c>
      <c r="P23" s="6">
        <v>46023</v>
      </c>
      <c r="Q23" s="6">
        <v>46054</v>
      </c>
      <c r="R23" s="7">
        <v>15</v>
      </c>
      <c r="S23" s="14">
        <v>0.38</v>
      </c>
      <c r="T23" s="5" t="s">
        <v>60</v>
      </c>
      <c r="U23" s="5" t="s">
        <v>61</v>
      </c>
      <c r="V23" s="5">
        <v>6</v>
      </c>
      <c r="W23" s="7">
        <v>5.7</v>
      </c>
      <c r="X23" s="5" t="s">
        <v>161</v>
      </c>
    </row>
    <row r="24" spans="1:24" s="5" customFormat="1" x14ac:dyDescent="0.25">
      <c r="A24" s="5">
        <v>2032254516</v>
      </c>
      <c r="B24" s="5" t="s">
        <v>186</v>
      </c>
      <c r="C24" s="5" t="s">
        <v>187</v>
      </c>
      <c r="D24" s="5" t="str">
        <f t="shared" si="0"/>
        <v>CONNIE SCOTT</v>
      </c>
      <c r="E24" s="5" t="s">
        <v>51</v>
      </c>
      <c r="F24" s="5" t="s">
        <v>64</v>
      </c>
      <c r="G24" s="5" t="s">
        <v>161</v>
      </c>
      <c r="H24" s="5">
        <v>8812322</v>
      </c>
      <c r="I24" s="5" t="s">
        <v>724</v>
      </c>
      <c r="J24" s="5" t="s">
        <v>725</v>
      </c>
      <c r="K24" s="5" t="s">
        <v>726</v>
      </c>
      <c r="L24" s="5" t="str">
        <f t="shared" si="2"/>
        <v>8812322AV6</v>
      </c>
      <c r="M24" s="5" t="s">
        <v>65</v>
      </c>
      <c r="N24" s="5" t="s">
        <v>66</v>
      </c>
      <c r="O24" s="5" t="str">
        <f t="shared" si="1"/>
        <v>Matthew Sherman</v>
      </c>
      <c r="P24" s="6">
        <v>46023</v>
      </c>
      <c r="Q24" s="6">
        <v>46054</v>
      </c>
      <c r="R24" s="7">
        <v>15</v>
      </c>
      <c r="S24" s="14">
        <v>0.38</v>
      </c>
      <c r="T24" s="5" t="s">
        <v>60</v>
      </c>
      <c r="U24" s="5" t="s">
        <v>61</v>
      </c>
      <c r="V24" s="5">
        <v>6</v>
      </c>
      <c r="W24" s="7">
        <v>5.7</v>
      </c>
      <c r="X24" s="5" t="s">
        <v>161</v>
      </c>
    </row>
    <row r="25" spans="1:24" s="5" customFormat="1" x14ac:dyDescent="0.25">
      <c r="A25" s="5">
        <v>2032261892</v>
      </c>
      <c r="B25" s="5" t="s">
        <v>188</v>
      </c>
      <c r="C25" s="5" t="s">
        <v>189</v>
      </c>
      <c r="D25" s="5" t="str">
        <f t="shared" si="0"/>
        <v>JULIE HODGSON</v>
      </c>
      <c r="E25" s="5" t="s">
        <v>51</v>
      </c>
      <c r="F25" s="5" t="s">
        <v>64</v>
      </c>
      <c r="G25" s="5" t="s">
        <v>161</v>
      </c>
      <c r="H25" s="5">
        <v>8812322</v>
      </c>
      <c r="I25" s="5" t="s">
        <v>724</v>
      </c>
      <c r="J25" s="5" t="s">
        <v>725</v>
      </c>
      <c r="K25" s="5" t="s">
        <v>726</v>
      </c>
      <c r="L25" s="5" t="str">
        <f t="shared" si="2"/>
        <v>8812322AV6</v>
      </c>
      <c r="M25" s="5" t="s">
        <v>65</v>
      </c>
      <c r="N25" s="5" t="s">
        <v>66</v>
      </c>
      <c r="O25" s="5" t="str">
        <f t="shared" si="1"/>
        <v>Matthew Sherman</v>
      </c>
      <c r="P25" s="6">
        <v>46023</v>
      </c>
      <c r="Q25" s="6">
        <v>46054</v>
      </c>
      <c r="R25" s="7">
        <v>15</v>
      </c>
      <c r="S25" s="14">
        <v>0.38</v>
      </c>
      <c r="T25" s="5" t="s">
        <v>60</v>
      </c>
      <c r="U25" s="5" t="s">
        <v>61</v>
      </c>
      <c r="V25" s="5">
        <v>6</v>
      </c>
      <c r="W25" s="7">
        <v>5.7</v>
      </c>
      <c r="X25" s="5" t="s">
        <v>161</v>
      </c>
    </row>
    <row r="26" spans="1:24" s="5" customFormat="1" x14ac:dyDescent="0.25">
      <c r="A26" s="5">
        <v>2032274712</v>
      </c>
      <c r="B26" s="5" t="s">
        <v>190</v>
      </c>
      <c r="C26" s="5" t="s">
        <v>191</v>
      </c>
      <c r="D26" s="5" t="str">
        <f t="shared" si="0"/>
        <v>ROSE BOGNER</v>
      </c>
      <c r="E26" s="5" t="s">
        <v>51</v>
      </c>
      <c r="F26" s="5" t="s">
        <v>64</v>
      </c>
      <c r="G26" s="5" t="s">
        <v>161</v>
      </c>
      <c r="H26" s="5">
        <v>8812322</v>
      </c>
      <c r="I26" s="5" t="s">
        <v>724</v>
      </c>
      <c r="J26" s="5" t="s">
        <v>725</v>
      </c>
      <c r="K26" s="5" t="s">
        <v>726</v>
      </c>
      <c r="L26" s="5" t="str">
        <f t="shared" si="2"/>
        <v>8812322AV6</v>
      </c>
      <c r="M26" s="5" t="s">
        <v>65</v>
      </c>
      <c r="N26" s="5" t="s">
        <v>66</v>
      </c>
      <c r="O26" s="5" t="str">
        <f t="shared" si="1"/>
        <v>Matthew Sherman</v>
      </c>
      <c r="P26" s="6">
        <v>46023</v>
      </c>
      <c r="Q26" s="6">
        <v>46054</v>
      </c>
      <c r="R26" s="7">
        <v>15</v>
      </c>
      <c r="S26" s="14">
        <v>0.38</v>
      </c>
      <c r="T26" s="5" t="s">
        <v>60</v>
      </c>
      <c r="U26" s="5" t="s">
        <v>61</v>
      </c>
      <c r="V26" s="5">
        <v>6</v>
      </c>
      <c r="W26" s="7">
        <v>5.7</v>
      </c>
      <c r="X26" s="5" t="s">
        <v>161</v>
      </c>
    </row>
    <row r="27" spans="1:24" s="5" customFormat="1" x14ac:dyDescent="0.25">
      <c r="A27" s="5">
        <v>2032279006</v>
      </c>
      <c r="B27" s="5" t="s">
        <v>192</v>
      </c>
      <c r="C27" s="5" t="s">
        <v>193</v>
      </c>
      <c r="D27" s="5" t="str">
        <f t="shared" si="0"/>
        <v>INDIRA BYERS</v>
      </c>
      <c r="E27" s="5" t="s">
        <v>51</v>
      </c>
      <c r="F27" s="5" t="s">
        <v>64</v>
      </c>
      <c r="G27" s="5" t="s">
        <v>161</v>
      </c>
      <c r="H27" s="5">
        <v>8812322</v>
      </c>
      <c r="I27" s="5" t="s">
        <v>724</v>
      </c>
      <c r="J27" s="5" t="s">
        <v>725</v>
      </c>
      <c r="K27" s="5" t="s">
        <v>726</v>
      </c>
      <c r="L27" s="5" t="str">
        <f t="shared" si="2"/>
        <v>8812322AV6</v>
      </c>
      <c r="M27" s="5" t="s">
        <v>65</v>
      </c>
      <c r="N27" s="5" t="s">
        <v>66</v>
      </c>
      <c r="O27" s="5" t="str">
        <f t="shared" si="1"/>
        <v>Matthew Sherman</v>
      </c>
      <c r="P27" s="6">
        <v>46023</v>
      </c>
      <c r="Q27" s="6">
        <v>46054</v>
      </c>
      <c r="R27" s="7">
        <v>15</v>
      </c>
      <c r="S27" s="14">
        <v>0.38</v>
      </c>
      <c r="T27" s="5" t="s">
        <v>60</v>
      </c>
      <c r="U27" s="5" t="s">
        <v>61</v>
      </c>
      <c r="V27" s="5">
        <v>6</v>
      </c>
      <c r="W27" s="7">
        <v>5.7</v>
      </c>
      <c r="X27" s="5" t="s">
        <v>161</v>
      </c>
    </row>
    <row r="28" spans="1:24" s="5" customFormat="1" x14ac:dyDescent="0.25">
      <c r="A28" s="5">
        <v>2032208386</v>
      </c>
      <c r="B28" s="5" t="s">
        <v>108</v>
      </c>
      <c r="C28" s="5" t="s">
        <v>68</v>
      </c>
      <c r="D28" s="5" t="str">
        <f t="shared" si="0"/>
        <v>MARY CARLSON</v>
      </c>
      <c r="E28" s="5" t="s">
        <v>51</v>
      </c>
      <c r="F28" s="5" t="s">
        <v>109</v>
      </c>
      <c r="G28" s="5" t="s">
        <v>259</v>
      </c>
      <c r="H28" s="5">
        <v>16865615</v>
      </c>
      <c r="I28" s="5" t="s">
        <v>724</v>
      </c>
      <c r="J28" s="5" t="s">
        <v>725</v>
      </c>
      <c r="K28" s="5" t="s">
        <v>726</v>
      </c>
      <c r="L28" s="5" t="str">
        <f t="shared" si="2"/>
        <v>16865615AV6</v>
      </c>
      <c r="M28" s="5" t="s">
        <v>111</v>
      </c>
      <c r="N28" s="5" t="s">
        <v>112</v>
      </c>
      <c r="O28" s="5" t="str">
        <f t="shared" si="1"/>
        <v>Heather Geske</v>
      </c>
      <c r="P28" s="6">
        <v>45979</v>
      </c>
      <c r="Q28" s="6">
        <v>46009</v>
      </c>
      <c r="R28" s="7">
        <v>23.63</v>
      </c>
      <c r="S28" s="14">
        <v>0.38</v>
      </c>
      <c r="T28" s="5" t="s">
        <v>60</v>
      </c>
      <c r="U28" s="5" t="s">
        <v>61</v>
      </c>
      <c r="V28" s="5">
        <v>6</v>
      </c>
      <c r="W28" s="7">
        <v>8.98</v>
      </c>
      <c r="X28" s="5" t="s">
        <v>259</v>
      </c>
    </row>
    <row r="29" spans="1:24" s="5" customFormat="1" x14ac:dyDescent="0.25">
      <c r="A29" s="5">
        <v>2032217924</v>
      </c>
      <c r="B29" s="5" t="s">
        <v>72</v>
      </c>
      <c r="C29" s="5" t="s">
        <v>73</v>
      </c>
      <c r="D29" s="5" t="str">
        <f t="shared" si="0"/>
        <v>SUSAN WEIKLE</v>
      </c>
      <c r="E29" s="5" t="s">
        <v>51</v>
      </c>
      <c r="F29" s="5" t="s">
        <v>64</v>
      </c>
      <c r="G29" s="5" t="s">
        <v>259</v>
      </c>
      <c r="H29" s="5">
        <v>8812322</v>
      </c>
      <c r="I29" s="5" t="s">
        <v>724</v>
      </c>
      <c r="J29" s="5" t="s">
        <v>725</v>
      </c>
      <c r="K29" s="5" t="s">
        <v>726</v>
      </c>
      <c r="L29" s="5" t="str">
        <f t="shared" si="2"/>
        <v>8812322AV6</v>
      </c>
      <c r="M29" s="5" t="s">
        <v>65</v>
      </c>
      <c r="N29" s="5" t="s">
        <v>66</v>
      </c>
      <c r="O29" s="5" t="str">
        <f t="shared" si="1"/>
        <v>Matthew Sherman</v>
      </c>
      <c r="P29" s="6">
        <v>46023</v>
      </c>
      <c r="Q29" s="6">
        <v>46054</v>
      </c>
      <c r="R29" s="7">
        <v>36.450000000000003</v>
      </c>
      <c r="S29" s="14">
        <v>0.38</v>
      </c>
      <c r="T29" s="5" t="s">
        <v>60</v>
      </c>
      <c r="U29" s="5" t="s">
        <v>61</v>
      </c>
      <c r="V29" s="5">
        <v>6</v>
      </c>
      <c r="W29" s="7">
        <v>13.85</v>
      </c>
      <c r="X29" s="5" t="s">
        <v>259</v>
      </c>
    </row>
    <row r="30" spans="1:24" s="5" customFormat="1" x14ac:dyDescent="0.25">
      <c r="A30" s="5">
        <v>2032231076</v>
      </c>
      <c r="B30" s="5" t="s">
        <v>74</v>
      </c>
      <c r="C30" s="5" t="s">
        <v>75</v>
      </c>
      <c r="D30" s="5" t="str">
        <f t="shared" si="0"/>
        <v>BRADLEY SANDERS</v>
      </c>
      <c r="E30" s="5" t="s">
        <v>51</v>
      </c>
      <c r="F30" s="5" t="s">
        <v>64</v>
      </c>
      <c r="G30" s="5" t="s">
        <v>259</v>
      </c>
      <c r="H30" s="5">
        <v>8812322</v>
      </c>
      <c r="I30" s="5" t="s">
        <v>724</v>
      </c>
      <c r="J30" s="5" t="s">
        <v>725</v>
      </c>
      <c r="K30" s="5" t="s">
        <v>726</v>
      </c>
      <c r="L30" s="5" t="str">
        <f t="shared" si="2"/>
        <v>8812322AV6</v>
      </c>
      <c r="M30" s="5" t="s">
        <v>65</v>
      </c>
      <c r="N30" s="5" t="s">
        <v>66</v>
      </c>
      <c r="O30" s="5" t="str">
        <f t="shared" si="1"/>
        <v>Matthew Sherman</v>
      </c>
      <c r="P30" s="6">
        <v>46023</v>
      </c>
      <c r="Q30" s="6">
        <v>46054</v>
      </c>
      <c r="R30" s="7">
        <v>39.44</v>
      </c>
      <c r="S30" s="14">
        <v>0.38</v>
      </c>
      <c r="T30" s="5" t="s">
        <v>60</v>
      </c>
      <c r="U30" s="5" t="s">
        <v>61</v>
      </c>
      <c r="V30" s="5">
        <v>6</v>
      </c>
      <c r="W30" s="7">
        <v>14.99</v>
      </c>
      <c r="X30" s="5" t="s">
        <v>259</v>
      </c>
    </row>
    <row r="31" spans="1:24" s="5" customFormat="1" x14ac:dyDescent="0.25">
      <c r="A31" s="5">
        <v>2032247822</v>
      </c>
      <c r="B31" s="5" t="s">
        <v>76</v>
      </c>
      <c r="C31" s="5" t="s">
        <v>77</v>
      </c>
      <c r="D31" s="5" t="str">
        <f t="shared" si="0"/>
        <v>CRAIG HANNIG</v>
      </c>
      <c r="E31" s="5" t="s">
        <v>51</v>
      </c>
      <c r="F31" s="5" t="s">
        <v>64</v>
      </c>
      <c r="G31" s="5" t="s">
        <v>259</v>
      </c>
      <c r="H31" s="5">
        <v>8812322</v>
      </c>
      <c r="I31" s="5" t="s">
        <v>724</v>
      </c>
      <c r="J31" s="5" t="s">
        <v>725</v>
      </c>
      <c r="K31" s="5" t="s">
        <v>726</v>
      </c>
      <c r="L31" s="5" t="str">
        <f t="shared" si="2"/>
        <v>8812322AV6</v>
      </c>
      <c r="M31" s="5" t="s">
        <v>65</v>
      </c>
      <c r="N31" s="5" t="s">
        <v>66</v>
      </c>
      <c r="O31" s="5" t="str">
        <f t="shared" si="1"/>
        <v>Matthew Sherman</v>
      </c>
      <c r="P31" s="6">
        <v>46023</v>
      </c>
      <c r="Q31" s="6">
        <v>46054</v>
      </c>
      <c r="R31" s="7">
        <v>72.98</v>
      </c>
      <c r="S31" s="14">
        <v>0.38</v>
      </c>
      <c r="T31" s="5" t="s">
        <v>60</v>
      </c>
      <c r="U31" s="5" t="s">
        <v>61</v>
      </c>
      <c r="V31" s="5">
        <v>6</v>
      </c>
      <c r="W31" s="7">
        <v>27.73</v>
      </c>
      <c r="X31" s="5" t="s">
        <v>259</v>
      </c>
    </row>
    <row r="32" spans="1:24" s="5" customFormat="1" x14ac:dyDescent="0.25">
      <c r="A32" s="5">
        <v>2032248633</v>
      </c>
      <c r="B32" s="5" t="s">
        <v>184</v>
      </c>
      <c r="C32" s="5" t="s">
        <v>185</v>
      </c>
      <c r="D32" s="5" t="str">
        <f t="shared" si="0"/>
        <v>LAURIE PATKUNAS</v>
      </c>
      <c r="E32" s="5" t="s">
        <v>51</v>
      </c>
      <c r="F32" s="5" t="s">
        <v>64</v>
      </c>
      <c r="G32" s="5" t="s">
        <v>259</v>
      </c>
      <c r="H32" s="5">
        <v>8812322</v>
      </c>
      <c r="I32" s="5" t="s">
        <v>724</v>
      </c>
      <c r="J32" s="5" t="s">
        <v>725</v>
      </c>
      <c r="K32" s="5" t="s">
        <v>726</v>
      </c>
      <c r="L32" s="5" t="str">
        <f t="shared" si="2"/>
        <v>8812322AV6</v>
      </c>
      <c r="M32" s="5" t="s">
        <v>65</v>
      </c>
      <c r="N32" s="5" t="s">
        <v>66</v>
      </c>
      <c r="O32" s="5" t="str">
        <f t="shared" si="1"/>
        <v>Matthew Sherman</v>
      </c>
      <c r="P32" s="6">
        <v>46023</v>
      </c>
      <c r="Q32" s="6">
        <v>46054</v>
      </c>
      <c r="R32" s="7">
        <v>42.53</v>
      </c>
      <c r="S32" s="14">
        <v>0.38</v>
      </c>
      <c r="T32" s="5" t="s">
        <v>60</v>
      </c>
      <c r="U32" s="5" t="s">
        <v>61</v>
      </c>
      <c r="V32" s="5">
        <v>6</v>
      </c>
      <c r="W32" s="7">
        <v>16.16</v>
      </c>
      <c r="X32" s="5" t="s">
        <v>259</v>
      </c>
    </row>
    <row r="33" spans="1:54" s="5" customFormat="1" x14ac:dyDescent="0.25">
      <c r="A33" s="5">
        <v>2032254514</v>
      </c>
      <c r="B33" s="5" t="s">
        <v>186</v>
      </c>
      <c r="C33" s="5" t="s">
        <v>187</v>
      </c>
      <c r="D33" s="5" t="str">
        <f t="shared" si="0"/>
        <v>CONNIE SCOTT</v>
      </c>
      <c r="E33" s="5" t="s">
        <v>51</v>
      </c>
      <c r="F33" s="5" t="s">
        <v>64</v>
      </c>
      <c r="G33" s="5" t="s">
        <v>259</v>
      </c>
      <c r="H33" s="5">
        <v>8812322</v>
      </c>
      <c r="I33" s="5" t="s">
        <v>724</v>
      </c>
      <c r="J33" s="5" t="s">
        <v>725</v>
      </c>
      <c r="K33" s="5" t="s">
        <v>726</v>
      </c>
      <c r="L33" s="5" t="str">
        <f t="shared" si="2"/>
        <v>8812322AV6</v>
      </c>
      <c r="M33" s="5" t="s">
        <v>65</v>
      </c>
      <c r="N33" s="5" t="s">
        <v>66</v>
      </c>
      <c r="O33" s="5" t="str">
        <f t="shared" si="1"/>
        <v>Matthew Sherman</v>
      </c>
      <c r="P33" s="6">
        <v>46023</v>
      </c>
      <c r="Q33" s="6">
        <v>46054</v>
      </c>
      <c r="R33" s="7">
        <v>42.1</v>
      </c>
      <c r="S33" s="14">
        <v>0.38</v>
      </c>
      <c r="T33" s="5" t="s">
        <v>60</v>
      </c>
      <c r="U33" s="5" t="s">
        <v>61</v>
      </c>
      <c r="V33" s="5">
        <v>6</v>
      </c>
      <c r="W33" s="7">
        <v>16</v>
      </c>
      <c r="X33" s="5" t="s">
        <v>259</v>
      </c>
    </row>
    <row r="34" spans="1:54" s="5" customFormat="1" x14ac:dyDescent="0.25">
      <c r="A34" s="5">
        <v>2032261890</v>
      </c>
      <c r="B34" s="5" t="s">
        <v>188</v>
      </c>
      <c r="C34" s="5" t="s">
        <v>189</v>
      </c>
      <c r="D34" s="5" t="str">
        <f t="shared" ref="D34:D65" si="3">CONCATENATE(C34," ",B34)</f>
        <v>JULIE HODGSON</v>
      </c>
      <c r="E34" s="5" t="s">
        <v>51</v>
      </c>
      <c r="F34" s="5" t="s">
        <v>64</v>
      </c>
      <c r="G34" s="5" t="s">
        <v>259</v>
      </c>
      <c r="H34" s="5">
        <v>8812322</v>
      </c>
      <c r="I34" s="5" t="s">
        <v>724</v>
      </c>
      <c r="J34" s="5" t="s">
        <v>725</v>
      </c>
      <c r="K34" s="5" t="s">
        <v>726</v>
      </c>
      <c r="L34" s="5" t="str">
        <f t="shared" si="2"/>
        <v>8812322AV6</v>
      </c>
      <c r="M34" s="5" t="s">
        <v>65</v>
      </c>
      <c r="N34" s="5" t="s">
        <v>66</v>
      </c>
      <c r="O34" s="5" t="str">
        <f t="shared" ref="O34:O65" si="4">CONCATENATE(N34," ",M34)</f>
        <v>Matthew Sherman</v>
      </c>
      <c r="P34" s="6">
        <v>46023</v>
      </c>
      <c r="Q34" s="6">
        <v>46054</v>
      </c>
      <c r="R34" s="7">
        <v>42.1</v>
      </c>
      <c r="S34" s="14">
        <v>0.38</v>
      </c>
      <c r="T34" s="5" t="s">
        <v>60</v>
      </c>
      <c r="U34" s="5" t="s">
        <v>61</v>
      </c>
      <c r="V34" s="5">
        <v>6</v>
      </c>
      <c r="W34" s="7">
        <v>16</v>
      </c>
      <c r="X34" s="5" t="s">
        <v>259</v>
      </c>
    </row>
    <row r="35" spans="1:54" x14ac:dyDescent="0.25">
      <c r="A35" s="5">
        <v>2032274710</v>
      </c>
      <c r="B35" s="5" t="s">
        <v>190</v>
      </c>
      <c r="C35" s="5" t="s">
        <v>191</v>
      </c>
      <c r="D35" s="5" t="str">
        <f t="shared" si="3"/>
        <v>ROSE BOGNER</v>
      </c>
      <c r="E35" s="5" t="s">
        <v>51</v>
      </c>
      <c r="F35" s="5" t="s">
        <v>64</v>
      </c>
      <c r="G35" s="5" t="s">
        <v>259</v>
      </c>
      <c r="H35" s="5">
        <v>8812322</v>
      </c>
      <c r="I35" s="5" t="s">
        <v>724</v>
      </c>
      <c r="J35" s="5" t="s">
        <v>725</v>
      </c>
      <c r="K35" s="5" t="s">
        <v>726</v>
      </c>
      <c r="L35" s="5" t="str">
        <f t="shared" si="2"/>
        <v>8812322AV6</v>
      </c>
      <c r="M35" s="5" t="s">
        <v>65</v>
      </c>
      <c r="N35" s="5" t="s">
        <v>66</v>
      </c>
      <c r="O35" s="5" t="str">
        <f t="shared" si="4"/>
        <v>Matthew Sherman</v>
      </c>
      <c r="P35" s="6">
        <v>46023</v>
      </c>
      <c r="Q35" s="6">
        <v>46054</v>
      </c>
      <c r="R35" s="7">
        <v>55.44</v>
      </c>
      <c r="S35" s="14">
        <v>0.38</v>
      </c>
      <c r="T35" s="5" t="s">
        <v>60</v>
      </c>
      <c r="U35" s="5" t="s">
        <v>61</v>
      </c>
      <c r="V35" s="5">
        <v>6</v>
      </c>
      <c r="W35" s="7">
        <v>21.07</v>
      </c>
      <c r="X35" s="5" t="s">
        <v>259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5">
        <v>2032279004</v>
      </c>
      <c r="B36" s="5" t="s">
        <v>192</v>
      </c>
      <c r="C36" s="5" t="s">
        <v>193</v>
      </c>
      <c r="D36" s="5" t="str">
        <f t="shared" si="3"/>
        <v>INDIRA BYERS</v>
      </c>
      <c r="E36" s="5" t="s">
        <v>51</v>
      </c>
      <c r="F36" s="5" t="s">
        <v>64</v>
      </c>
      <c r="G36" s="5" t="s">
        <v>259</v>
      </c>
      <c r="H36" s="5">
        <v>8812322</v>
      </c>
      <c r="I36" s="5" t="s">
        <v>724</v>
      </c>
      <c r="J36" s="5" t="s">
        <v>725</v>
      </c>
      <c r="K36" s="5" t="s">
        <v>726</v>
      </c>
      <c r="L36" s="5" t="str">
        <f t="shared" si="2"/>
        <v>8812322AV6</v>
      </c>
      <c r="M36" s="5" t="s">
        <v>65</v>
      </c>
      <c r="N36" s="5" t="s">
        <v>66</v>
      </c>
      <c r="O36" s="5" t="str">
        <f t="shared" si="4"/>
        <v>Matthew Sherman</v>
      </c>
      <c r="P36" s="6">
        <v>46023</v>
      </c>
      <c r="Q36" s="6">
        <v>46054</v>
      </c>
      <c r="R36" s="7">
        <v>39.97</v>
      </c>
      <c r="S36" s="14">
        <v>0.38</v>
      </c>
      <c r="T36" s="5" t="s">
        <v>60</v>
      </c>
      <c r="U36" s="5" t="s">
        <v>61</v>
      </c>
      <c r="V36" s="5">
        <v>6</v>
      </c>
      <c r="W36" s="7">
        <v>15.19</v>
      </c>
      <c r="X36" s="5" t="s">
        <v>259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5">
        <v>2032234325</v>
      </c>
      <c r="B37" s="5" t="s">
        <v>229</v>
      </c>
      <c r="C37" s="5" t="s">
        <v>230</v>
      </c>
      <c r="D37" s="5" t="str">
        <f t="shared" si="3"/>
        <v>SAMANTHA MYERS</v>
      </c>
      <c r="E37" s="5" t="s">
        <v>51</v>
      </c>
      <c r="F37" s="5" t="s">
        <v>64</v>
      </c>
      <c r="G37" s="5" t="s">
        <v>263</v>
      </c>
      <c r="H37" s="5">
        <v>16912722</v>
      </c>
      <c r="I37" s="5" t="s">
        <v>724</v>
      </c>
      <c r="J37" s="5" t="s">
        <v>725</v>
      </c>
      <c r="K37" s="5" t="s">
        <v>726</v>
      </c>
      <c r="L37" s="5" t="str">
        <f t="shared" si="2"/>
        <v>16912722AV6</v>
      </c>
      <c r="M37" s="5" t="s">
        <v>231</v>
      </c>
      <c r="N37" s="5" t="s">
        <v>232</v>
      </c>
      <c r="O37" s="5" t="str">
        <f t="shared" si="4"/>
        <v>ANDREA PETRUNGARO</v>
      </c>
      <c r="P37" s="6">
        <v>45980</v>
      </c>
      <c r="Q37" s="6">
        <v>46010</v>
      </c>
      <c r="R37" s="7">
        <v>72.760000000000005</v>
      </c>
      <c r="S37" s="14">
        <v>0.7</v>
      </c>
      <c r="T37" s="5" t="s">
        <v>60</v>
      </c>
      <c r="U37" s="5" t="s">
        <v>61</v>
      </c>
      <c r="V37" s="5">
        <v>6</v>
      </c>
      <c r="W37" s="7">
        <v>50.93</v>
      </c>
      <c r="X37" s="5" t="s">
        <v>263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5">
        <v>2032218108</v>
      </c>
      <c r="B38" s="5" t="s">
        <v>113</v>
      </c>
      <c r="C38" s="5" t="s">
        <v>114</v>
      </c>
      <c r="D38" s="5" t="str">
        <f t="shared" si="3"/>
        <v>BRIAN BERLIN</v>
      </c>
      <c r="E38" s="5" t="s">
        <v>51</v>
      </c>
      <c r="F38" s="5" t="s">
        <v>64</v>
      </c>
      <c r="G38" s="5" t="s">
        <v>263</v>
      </c>
      <c r="H38" s="5">
        <v>7470776</v>
      </c>
      <c r="I38" s="5" t="s">
        <v>724</v>
      </c>
      <c r="J38" s="5" t="s">
        <v>725</v>
      </c>
      <c r="K38" s="5" t="s">
        <v>726</v>
      </c>
      <c r="L38" s="5" t="str">
        <f t="shared" si="2"/>
        <v>7470776AV6</v>
      </c>
      <c r="M38" s="5" t="s">
        <v>115</v>
      </c>
      <c r="N38" s="5" t="s">
        <v>116</v>
      </c>
      <c r="O38" s="5" t="str">
        <f t="shared" si="4"/>
        <v>Andrew Choi</v>
      </c>
      <c r="P38" s="6">
        <v>46023</v>
      </c>
      <c r="Q38" s="6">
        <v>46054</v>
      </c>
      <c r="R38" s="7">
        <v>55.59</v>
      </c>
      <c r="S38" s="14">
        <v>0.7</v>
      </c>
      <c r="T38" s="5" t="s">
        <v>60</v>
      </c>
      <c r="U38" s="5" t="s">
        <v>61</v>
      </c>
      <c r="V38" s="5">
        <v>6</v>
      </c>
      <c r="W38" s="7">
        <v>38.909999999999997</v>
      </c>
      <c r="X38" s="5" t="s">
        <v>263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s="5" customFormat="1" x14ac:dyDescent="0.25">
      <c r="A39" s="5">
        <v>2032232354</v>
      </c>
      <c r="B39" s="5" t="s">
        <v>127</v>
      </c>
      <c r="C39" s="5" t="s">
        <v>128</v>
      </c>
      <c r="D39" s="5" t="str">
        <f t="shared" si="3"/>
        <v>TESSA DREILING</v>
      </c>
      <c r="E39" s="5" t="s">
        <v>51</v>
      </c>
      <c r="F39" s="5" t="s">
        <v>129</v>
      </c>
      <c r="G39" s="5" t="s">
        <v>263</v>
      </c>
      <c r="H39" s="5">
        <v>7470776</v>
      </c>
      <c r="I39" s="5" t="s">
        <v>724</v>
      </c>
      <c r="J39" s="5" t="s">
        <v>725</v>
      </c>
      <c r="K39" s="5" t="s">
        <v>726</v>
      </c>
      <c r="L39" s="5" t="str">
        <f t="shared" si="2"/>
        <v>7470776AV6</v>
      </c>
      <c r="M39" s="5" t="s">
        <v>115</v>
      </c>
      <c r="N39" s="5" t="s">
        <v>116</v>
      </c>
      <c r="O39" s="5" t="str">
        <f t="shared" si="4"/>
        <v>Andrew Choi</v>
      </c>
      <c r="P39" s="6">
        <v>46023</v>
      </c>
      <c r="Q39" s="6">
        <v>46054</v>
      </c>
      <c r="R39" s="7">
        <v>29.48</v>
      </c>
      <c r="S39" s="14">
        <v>0.7</v>
      </c>
      <c r="T39" s="5" t="s">
        <v>60</v>
      </c>
      <c r="U39" s="5" t="s">
        <v>61</v>
      </c>
      <c r="V39" s="5">
        <v>6</v>
      </c>
      <c r="W39" s="7">
        <v>20.64</v>
      </c>
      <c r="X39" s="5" t="s">
        <v>263</v>
      </c>
    </row>
    <row r="40" spans="1:54" x14ac:dyDescent="0.25">
      <c r="A40" s="5">
        <v>2032235779</v>
      </c>
      <c r="B40" s="5" t="s">
        <v>130</v>
      </c>
      <c r="C40" s="5" t="s">
        <v>131</v>
      </c>
      <c r="D40" s="5" t="str">
        <f t="shared" si="3"/>
        <v>DONALD KROMREY</v>
      </c>
      <c r="E40" s="5" t="s">
        <v>51</v>
      </c>
      <c r="F40" s="5" t="s">
        <v>132</v>
      </c>
      <c r="G40" s="5" t="s">
        <v>263</v>
      </c>
      <c r="H40" s="5">
        <v>7470776</v>
      </c>
      <c r="I40" s="5" t="s">
        <v>724</v>
      </c>
      <c r="J40" s="5" t="s">
        <v>725</v>
      </c>
      <c r="K40" s="5" t="s">
        <v>726</v>
      </c>
      <c r="L40" s="5" t="str">
        <f t="shared" si="2"/>
        <v>7470776AV6</v>
      </c>
      <c r="M40" s="5" t="s">
        <v>115</v>
      </c>
      <c r="N40" s="5" t="s">
        <v>116</v>
      </c>
      <c r="O40" s="5" t="str">
        <f t="shared" si="4"/>
        <v>Andrew Choi</v>
      </c>
      <c r="P40" s="6">
        <v>46023</v>
      </c>
      <c r="Q40" s="6">
        <v>46054</v>
      </c>
      <c r="R40" s="7">
        <v>29.6</v>
      </c>
      <c r="S40" s="14">
        <v>0.7</v>
      </c>
      <c r="T40" s="5" t="s">
        <v>60</v>
      </c>
      <c r="U40" s="5" t="s">
        <v>61</v>
      </c>
      <c r="V40" s="5">
        <v>6</v>
      </c>
      <c r="W40" s="7">
        <v>20.72</v>
      </c>
      <c r="X40" s="5" t="s">
        <v>263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5">
        <v>2032249283</v>
      </c>
      <c r="B41" s="5" t="s">
        <v>136</v>
      </c>
      <c r="C41" s="5" t="s">
        <v>137</v>
      </c>
      <c r="D41" s="5" t="str">
        <f t="shared" si="3"/>
        <v>ANNIE ALDEA</v>
      </c>
      <c r="E41" s="5" t="s">
        <v>51</v>
      </c>
      <c r="F41" s="5" t="s">
        <v>64</v>
      </c>
      <c r="G41" s="5" t="s">
        <v>263</v>
      </c>
      <c r="H41" s="5">
        <v>7470776</v>
      </c>
      <c r="I41" s="5" t="s">
        <v>724</v>
      </c>
      <c r="J41" s="5" t="s">
        <v>725</v>
      </c>
      <c r="K41" s="5" t="s">
        <v>726</v>
      </c>
      <c r="L41" s="5" t="str">
        <f t="shared" si="2"/>
        <v>7470776AV6</v>
      </c>
      <c r="M41" s="5" t="s">
        <v>115</v>
      </c>
      <c r="N41" s="5" t="s">
        <v>116</v>
      </c>
      <c r="O41" s="5" t="str">
        <f t="shared" si="4"/>
        <v>Andrew Choi</v>
      </c>
      <c r="P41" s="6">
        <v>46023</v>
      </c>
      <c r="Q41" s="6">
        <v>46054</v>
      </c>
      <c r="R41" s="7">
        <v>27.5</v>
      </c>
      <c r="S41" s="14">
        <v>0.7</v>
      </c>
      <c r="T41" s="5" t="s">
        <v>60</v>
      </c>
      <c r="U41" s="5" t="s">
        <v>61</v>
      </c>
      <c r="V41" s="5">
        <v>6</v>
      </c>
      <c r="W41" s="7">
        <v>19.25</v>
      </c>
      <c r="X41" s="5" t="s">
        <v>263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5">
        <v>2032253422</v>
      </c>
      <c r="B42" s="5" t="s">
        <v>237</v>
      </c>
      <c r="C42" s="5" t="s">
        <v>238</v>
      </c>
      <c r="D42" s="5" t="str">
        <f t="shared" si="3"/>
        <v>LENUTA ROTARU</v>
      </c>
      <c r="E42" s="5" t="s">
        <v>51</v>
      </c>
      <c r="F42" s="5" t="s">
        <v>64</v>
      </c>
      <c r="G42" s="5" t="s">
        <v>263</v>
      </c>
      <c r="H42" s="5">
        <v>7470776</v>
      </c>
      <c r="I42" s="5" t="s">
        <v>724</v>
      </c>
      <c r="J42" s="5" t="s">
        <v>725</v>
      </c>
      <c r="K42" s="5" t="s">
        <v>726</v>
      </c>
      <c r="L42" s="5" t="str">
        <f t="shared" si="2"/>
        <v>7470776AV6</v>
      </c>
      <c r="M42" s="5" t="s">
        <v>115</v>
      </c>
      <c r="N42" s="5" t="s">
        <v>116</v>
      </c>
      <c r="O42" s="5" t="str">
        <f t="shared" si="4"/>
        <v>Andrew Choi</v>
      </c>
      <c r="P42" s="6">
        <v>46023</v>
      </c>
      <c r="Q42" s="6">
        <v>46054</v>
      </c>
      <c r="R42" s="7">
        <v>27.5</v>
      </c>
      <c r="S42" s="14">
        <v>0.7</v>
      </c>
      <c r="T42" s="5" t="s">
        <v>60</v>
      </c>
      <c r="U42" s="5" t="s">
        <v>61</v>
      </c>
      <c r="V42" s="5">
        <v>6</v>
      </c>
      <c r="W42" s="7">
        <v>19.25</v>
      </c>
      <c r="X42" s="5" t="s">
        <v>263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5">
        <v>2032254534</v>
      </c>
      <c r="B43" s="5" t="s">
        <v>239</v>
      </c>
      <c r="C43" s="5" t="s">
        <v>240</v>
      </c>
      <c r="D43" s="5" t="str">
        <f t="shared" si="3"/>
        <v>GEORGE TUDOR</v>
      </c>
      <c r="E43" s="5" t="s">
        <v>51</v>
      </c>
      <c r="F43" s="5" t="s">
        <v>64</v>
      </c>
      <c r="G43" s="5" t="s">
        <v>263</v>
      </c>
      <c r="H43" s="5">
        <v>7470776</v>
      </c>
      <c r="I43" s="5" t="s">
        <v>724</v>
      </c>
      <c r="J43" s="5" t="s">
        <v>725</v>
      </c>
      <c r="K43" s="5" t="s">
        <v>726</v>
      </c>
      <c r="L43" s="5" t="str">
        <f t="shared" si="2"/>
        <v>7470776AV6</v>
      </c>
      <c r="M43" s="5" t="s">
        <v>115</v>
      </c>
      <c r="N43" s="5" t="s">
        <v>116</v>
      </c>
      <c r="O43" s="5" t="str">
        <f t="shared" si="4"/>
        <v>Andrew Choi</v>
      </c>
      <c r="P43" s="6">
        <v>46023</v>
      </c>
      <c r="Q43" s="6">
        <v>46054</v>
      </c>
      <c r="R43" s="7">
        <v>27.5</v>
      </c>
      <c r="S43" s="14">
        <v>0.7</v>
      </c>
      <c r="T43" s="5" t="s">
        <v>60</v>
      </c>
      <c r="U43" s="5" t="s">
        <v>61</v>
      </c>
      <c r="V43" s="5">
        <v>6</v>
      </c>
      <c r="W43" s="7">
        <v>19.25</v>
      </c>
      <c r="X43" s="5" t="s">
        <v>263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A44" s="5">
        <v>2032257733</v>
      </c>
      <c r="B44" s="5" t="s">
        <v>244</v>
      </c>
      <c r="C44" s="5" t="s">
        <v>245</v>
      </c>
      <c r="D44" s="5" t="str">
        <f t="shared" si="3"/>
        <v>NICOLE SHAVER</v>
      </c>
      <c r="E44" s="5" t="s">
        <v>51</v>
      </c>
      <c r="F44" s="5" t="s">
        <v>64</v>
      </c>
      <c r="G44" s="5" t="s">
        <v>263</v>
      </c>
      <c r="H44" s="5">
        <v>7470776</v>
      </c>
      <c r="I44" s="5" t="s">
        <v>724</v>
      </c>
      <c r="J44" s="5" t="s">
        <v>725</v>
      </c>
      <c r="K44" s="5" t="s">
        <v>726</v>
      </c>
      <c r="L44" s="5" t="str">
        <f t="shared" si="2"/>
        <v>7470776AV6</v>
      </c>
      <c r="M44" s="5" t="s">
        <v>115</v>
      </c>
      <c r="N44" s="5" t="s">
        <v>116</v>
      </c>
      <c r="O44" s="5" t="str">
        <f t="shared" si="4"/>
        <v>Andrew Choi</v>
      </c>
      <c r="P44" s="6">
        <v>46023</v>
      </c>
      <c r="Q44" s="6">
        <v>46054</v>
      </c>
      <c r="R44" s="7">
        <v>27.5</v>
      </c>
      <c r="S44" s="14">
        <v>0.7</v>
      </c>
      <c r="T44" s="5" t="s">
        <v>60</v>
      </c>
      <c r="U44" s="5" t="s">
        <v>61</v>
      </c>
      <c r="V44" s="5">
        <v>6</v>
      </c>
      <c r="W44" s="7">
        <v>19.25</v>
      </c>
      <c r="X44" s="5" t="s">
        <v>263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s="5" customFormat="1" x14ac:dyDescent="0.25">
      <c r="A45" s="5">
        <v>2032293406</v>
      </c>
      <c r="B45" s="5" t="s">
        <v>144</v>
      </c>
      <c r="C45" s="5" t="s">
        <v>145</v>
      </c>
      <c r="D45" s="5" t="str">
        <f t="shared" si="3"/>
        <v>PETER FOURTOUNIS</v>
      </c>
      <c r="E45" s="5" t="s">
        <v>51</v>
      </c>
      <c r="F45" s="5" t="s">
        <v>64</v>
      </c>
      <c r="G45" s="5" t="s">
        <v>263</v>
      </c>
      <c r="H45" s="5">
        <v>7470776</v>
      </c>
      <c r="I45" s="5" t="s">
        <v>724</v>
      </c>
      <c r="J45" s="5" t="s">
        <v>725</v>
      </c>
      <c r="K45" s="5" t="s">
        <v>726</v>
      </c>
      <c r="L45" s="5" t="str">
        <f t="shared" si="2"/>
        <v>7470776AV6</v>
      </c>
      <c r="M45" s="5" t="s">
        <v>115</v>
      </c>
      <c r="N45" s="5" t="s">
        <v>116</v>
      </c>
      <c r="O45" s="5" t="str">
        <f t="shared" si="4"/>
        <v>Andrew Choi</v>
      </c>
      <c r="P45" s="6">
        <v>46023</v>
      </c>
      <c r="Q45" s="6">
        <v>46054</v>
      </c>
      <c r="R45" s="7">
        <v>22</v>
      </c>
      <c r="S45" s="14">
        <v>0.7</v>
      </c>
      <c r="T45" s="5" t="s">
        <v>60</v>
      </c>
      <c r="U45" s="5" t="s">
        <v>61</v>
      </c>
      <c r="V45" s="5">
        <v>6</v>
      </c>
      <c r="W45" s="7">
        <v>15.4</v>
      </c>
      <c r="X45" s="5" t="s">
        <v>263</v>
      </c>
    </row>
    <row r="46" spans="1:54" s="5" customFormat="1" x14ac:dyDescent="0.25">
      <c r="A46" s="5">
        <v>2032305551</v>
      </c>
      <c r="B46" s="5" t="s">
        <v>252</v>
      </c>
      <c r="C46" s="5" t="s">
        <v>253</v>
      </c>
      <c r="D46" s="5" t="str">
        <f t="shared" si="3"/>
        <v>DAVID IMPEY</v>
      </c>
      <c r="E46" s="5" t="s">
        <v>51</v>
      </c>
      <c r="F46" s="5" t="s">
        <v>64</v>
      </c>
      <c r="G46" s="5" t="s">
        <v>263</v>
      </c>
      <c r="H46" s="5">
        <v>7470776</v>
      </c>
      <c r="I46" s="5" t="s">
        <v>724</v>
      </c>
      <c r="J46" s="5" t="s">
        <v>725</v>
      </c>
      <c r="K46" s="5" t="s">
        <v>726</v>
      </c>
      <c r="L46" s="5" t="str">
        <f t="shared" si="2"/>
        <v>7470776AV6</v>
      </c>
      <c r="M46" s="5" t="s">
        <v>115</v>
      </c>
      <c r="N46" s="5" t="s">
        <v>116</v>
      </c>
      <c r="O46" s="5" t="str">
        <f t="shared" si="4"/>
        <v>Andrew Choi</v>
      </c>
      <c r="P46" s="6">
        <v>46023</v>
      </c>
      <c r="Q46" s="6">
        <v>46054</v>
      </c>
      <c r="R46" s="7">
        <v>73.760000000000005</v>
      </c>
      <c r="S46" s="14">
        <v>0.7</v>
      </c>
      <c r="T46" s="5" t="s">
        <v>60</v>
      </c>
      <c r="U46" s="5" t="s">
        <v>61</v>
      </c>
      <c r="V46" s="5">
        <v>6</v>
      </c>
      <c r="W46" s="7">
        <v>51.63</v>
      </c>
      <c r="X46" s="5" t="s">
        <v>263</v>
      </c>
    </row>
    <row r="47" spans="1:54" s="5" customFormat="1" x14ac:dyDescent="0.25">
      <c r="A47" s="5">
        <v>2032307403</v>
      </c>
      <c r="B47" s="5" t="s">
        <v>152</v>
      </c>
      <c r="C47" s="5" t="s">
        <v>152</v>
      </c>
      <c r="D47" s="5" t="str">
        <f t="shared" si="3"/>
        <v>TSOGBUYAN TSOGBUYAN</v>
      </c>
      <c r="E47" s="5" t="s">
        <v>51</v>
      </c>
      <c r="F47" s="5" t="s">
        <v>64</v>
      </c>
      <c r="G47" s="5" t="s">
        <v>263</v>
      </c>
      <c r="H47" s="5">
        <v>7470776</v>
      </c>
      <c r="I47" s="5" t="s">
        <v>724</v>
      </c>
      <c r="J47" s="5" t="s">
        <v>725</v>
      </c>
      <c r="K47" s="5" t="s">
        <v>726</v>
      </c>
      <c r="L47" s="5" t="str">
        <f t="shared" si="2"/>
        <v>7470776AV6</v>
      </c>
      <c r="M47" s="5" t="s">
        <v>115</v>
      </c>
      <c r="N47" s="5" t="s">
        <v>116</v>
      </c>
      <c r="O47" s="5" t="str">
        <f t="shared" si="4"/>
        <v>Andrew Choi</v>
      </c>
      <c r="P47" s="6">
        <v>46023</v>
      </c>
      <c r="Q47" s="6">
        <v>46054</v>
      </c>
      <c r="R47" s="7">
        <v>22</v>
      </c>
      <c r="S47" s="14">
        <v>0.7</v>
      </c>
      <c r="T47" s="5" t="s">
        <v>60</v>
      </c>
      <c r="U47" s="5" t="s">
        <v>61</v>
      </c>
      <c r="V47" s="5">
        <v>6</v>
      </c>
      <c r="W47" s="7">
        <v>15.4</v>
      </c>
      <c r="X47" s="5" t="s">
        <v>263</v>
      </c>
    </row>
    <row r="48" spans="1:54" s="5" customFormat="1" x14ac:dyDescent="0.25">
      <c r="A48" s="5">
        <v>2032237311</v>
      </c>
      <c r="B48" s="5" t="s">
        <v>285</v>
      </c>
      <c r="C48" s="5" t="s">
        <v>286</v>
      </c>
      <c r="D48" s="5" t="str">
        <f t="shared" si="3"/>
        <v>NANCY CROWTHER</v>
      </c>
      <c r="E48" s="5" t="s">
        <v>51</v>
      </c>
      <c r="F48" s="5" t="s">
        <v>64</v>
      </c>
      <c r="G48" s="5" t="s">
        <v>263</v>
      </c>
      <c r="H48" s="5">
        <v>19681796</v>
      </c>
      <c r="I48" s="5" t="s">
        <v>724</v>
      </c>
      <c r="J48" s="5" t="s">
        <v>725</v>
      </c>
      <c r="K48" s="5" t="s">
        <v>726</v>
      </c>
      <c r="L48" s="5" t="str">
        <f t="shared" si="2"/>
        <v>19681796AV6</v>
      </c>
      <c r="M48" s="5" t="s">
        <v>142</v>
      </c>
      <c r="N48" s="5" t="s">
        <v>143</v>
      </c>
      <c r="O48" s="5" t="str">
        <f t="shared" si="4"/>
        <v>CHRISTIAN TAUGNER</v>
      </c>
      <c r="P48" s="6">
        <v>45981</v>
      </c>
      <c r="Q48" s="6">
        <v>46011</v>
      </c>
      <c r="R48" s="7">
        <v>78.400000000000006</v>
      </c>
      <c r="S48" s="14">
        <v>0.7</v>
      </c>
      <c r="T48" s="5" t="s">
        <v>60</v>
      </c>
      <c r="U48" s="5" t="s">
        <v>61</v>
      </c>
      <c r="V48" s="5">
        <v>6</v>
      </c>
      <c r="W48" s="7">
        <v>54.88</v>
      </c>
      <c r="X48" s="5" t="s">
        <v>263</v>
      </c>
    </row>
    <row r="49" spans="1:54" s="5" customFormat="1" x14ac:dyDescent="0.25">
      <c r="A49" s="5">
        <v>2032250175</v>
      </c>
      <c r="B49" s="5" t="s">
        <v>236</v>
      </c>
      <c r="C49" s="5" t="s">
        <v>195</v>
      </c>
      <c r="D49" s="5" t="str">
        <f t="shared" si="3"/>
        <v>NATALIE MASSE</v>
      </c>
      <c r="E49" s="5" t="s">
        <v>51</v>
      </c>
      <c r="F49" s="5" t="s">
        <v>64</v>
      </c>
      <c r="G49" s="5" t="s">
        <v>263</v>
      </c>
      <c r="H49" s="5">
        <v>19681796</v>
      </c>
      <c r="I49" s="5" t="s">
        <v>724</v>
      </c>
      <c r="J49" s="5" t="s">
        <v>725</v>
      </c>
      <c r="K49" s="5" t="s">
        <v>726</v>
      </c>
      <c r="L49" s="5" t="str">
        <f t="shared" si="2"/>
        <v>19681796AV6</v>
      </c>
      <c r="M49" s="5" t="s">
        <v>142</v>
      </c>
      <c r="N49" s="5" t="s">
        <v>143</v>
      </c>
      <c r="O49" s="5" t="str">
        <f t="shared" si="4"/>
        <v>CHRISTIAN TAUGNER</v>
      </c>
      <c r="P49" s="6">
        <v>45981</v>
      </c>
      <c r="Q49" s="6">
        <v>46011</v>
      </c>
      <c r="R49" s="7">
        <v>11.5</v>
      </c>
      <c r="S49" s="14">
        <v>0.7</v>
      </c>
      <c r="T49" s="5" t="s">
        <v>60</v>
      </c>
      <c r="U49" s="5" t="s">
        <v>61</v>
      </c>
      <c r="V49" s="5">
        <v>6</v>
      </c>
      <c r="W49" s="7">
        <v>8.0500000000000007</v>
      </c>
      <c r="X49" s="5" t="s">
        <v>263</v>
      </c>
    </row>
    <row r="50" spans="1:54" s="5" customFormat="1" x14ac:dyDescent="0.25">
      <c r="A50" s="5">
        <v>2032255258</v>
      </c>
      <c r="B50" s="5" t="s">
        <v>297</v>
      </c>
      <c r="C50" s="5" t="s">
        <v>298</v>
      </c>
      <c r="D50" s="5" t="str">
        <f t="shared" si="3"/>
        <v>JACS SCHEINMAN</v>
      </c>
      <c r="E50" s="5" t="s">
        <v>51</v>
      </c>
      <c r="F50" s="5" t="s">
        <v>64</v>
      </c>
      <c r="G50" s="5" t="s">
        <v>263</v>
      </c>
      <c r="H50" s="5">
        <v>19681796</v>
      </c>
      <c r="I50" s="5" t="s">
        <v>724</v>
      </c>
      <c r="J50" s="5" t="s">
        <v>725</v>
      </c>
      <c r="K50" s="5" t="s">
        <v>726</v>
      </c>
      <c r="L50" s="5" t="str">
        <f t="shared" si="2"/>
        <v>19681796AV6</v>
      </c>
      <c r="M50" s="5" t="s">
        <v>142</v>
      </c>
      <c r="N50" s="5" t="s">
        <v>143</v>
      </c>
      <c r="O50" s="5" t="str">
        <f t="shared" si="4"/>
        <v>CHRISTIAN TAUGNER</v>
      </c>
      <c r="P50" s="6">
        <v>45982</v>
      </c>
      <c r="Q50" s="6">
        <v>46012</v>
      </c>
      <c r="R50" s="7">
        <v>46.08</v>
      </c>
      <c r="S50" s="14">
        <v>0.7</v>
      </c>
      <c r="T50" s="5" t="s">
        <v>60</v>
      </c>
      <c r="U50" s="5" t="s">
        <v>61</v>
      </c>
      <c r="V50" s="5">
        <v>6</v>
      </c>
      <c r="W50" s="7">
        <v>32.26</v>
      </c>
      <c r="X50" s="5" t="s">
        <v>263</v>
      </c>
    </row>
    <row r="51" spans="1:54" s="5" customFormat="1" x14ac:dyDescent="0.25">
      <c r="A51" s="5">
        <v>2032259243</v>
      </c>
      <c r="B51" s="5" t="s">
        <v>140</v>
      </c>
      <c r="C51" s="5" t="s">
        <v>141</v>
      </c>
      <c r="D51" s="5" t="str">
        <f t="shared" si="3"/>
        <v>ELIZABETH BEZELY</v>
      </c>
      <c r="E51" s="5" t="s">
        <v>51</v>
      </c>
      <c r="F51" s="5" t="s">
        <v>64</v>
      </c>
      <c r="G51" s="5" t="s">
        <v>263</v>
      </c>
      <c r="H51" s="5">
        <v>19681796</v>
      </c>
      <c r="I51" s="5" t="s">
        <v>724</v>
      </c>
      <c r="J51" s="5" t="s">
        <v>725</v>
      </c>
      <c r="K51" s="5" t="s">
        <v>726</v>
      </c>
      <c r="L51" s="5" t="str">
        <f t="shared" si="2"/>
        <v>19681796AV6</v>
      </c>
      <c r="M51" s="5" t="s">
        <v>142</v>
      </c>
      <c r="N51" s="5" t="s">
        <v>143</v>
      </c>
      <c r="O51" s="5" t="str">
        <f t="shared" si="4"/>
        <v>CHRISTIAN TAUGNER</v>
      </c>
      <c r="P51" s="6">
        <v>45981</v>
      </c>
      <c r="Q51" s="6">
        <v>46011</v>
      </c>
      <c r="R51" s="7">
        <v>79.72</v>
      </c>
      <c r="S51" s="14">
        <v>0.7</v>
      </c>
      <c r="T51" s="5" t="s">
        <v>60</v>
      </c>
      <c r="U51" s="5" t="s">
        <v>61</v>
      </c>
      <c r="V51" s="5">
        <v>6</v>
      </c>
      <c r="W51" s="7">
        <v>55.8</v>
      </c>
      <c r="X51" s="5" t="s">
        <v>263</v>
      </c>
    </row>
    <row r="52" spans="1:54" s="5" customFormat="1" x14ac:dyDescent="0.25">
      <c r="A52" s="5">
        <v>2032270277</v>
      </c>
      <c r="B52" s="5" t="s">
        <v>246</v>
      </c>
      <c r="C52" s="5" t="s">
        <v>247</v>
      </c>
      <c r="D52" s="5" t="str">
        <f t="shared" si="3"/>
        <v>CLEVELAND CLARK</v>
      </c>
      <c r="E52" s="5" t="s">
        <v>51</v>
      </c>
      <c r="F52" s="5" t="s">
        <v>135</v>
      </c>
      <c r="G52" s="5" t="s">
        <v>263</v>
      </c>
      <c r="H52" s="5">
        <v>19681796</v>
      </c>
      <c r="I52" s="5" t="s">
        <v>724</v>
      </c>
      <c r="J52" s="5" t="s">
        <v>725</v>
      </c>
      <c r="K52" s="5" t="s">
        <v>726</v>
      </c>
      <c r="L52" s="5" t="str">
        <f t="shared" si="2"/>
        <v>19681796AV6</v>
      </c>
      <c r="M52" s="5" t="s">
        <v>142</v>
      </c>
      <c r="N52" s="5" t="s">
        <v>143</v>
      </c>
      <c r="O52" s="5" t="str">
        <f t="shared" si="4"/>
        <v>CHRISTIAN TAUGNER</v>
      </c>
      <c r="P52" s="6">
        <v>45982</v>
      </c>
      <c r="Q52" s="6">
        <v>46012</v>
      </c>
      <c r="R52" s="7">
        <v>48.76</v>
      </c>
      <c r="S52" s="14">
        <v>0.7</v>
      </c>
      <c r="T52" s="5" t="s">
        <v>60</v>
      </c>
      <c r="U52" s="5" t="s">
        <v>61</v>
      </c>
      <c r="V52" s="5">
        <v>6</v>
      </c>
      <c r="W52" s="7">
        <v>34.130000000000003</v>
      </c>
      <c r="X52" s="5" t="s">
        <v>263</v>
      </c>
    </row>
    <row r="53" spans="1:54" s="5" customFormat="1" x14ac:dyDescent="0.25">
      <c r="A53" s="5">
        <v>2032204649</v>
      </c>
      <c r="B53" s="5" t="s">
        <v>99</v>
      </c>
      <c r="C53" s="5" t="s">
        <v>100</v>
      </c>
      <c r="D53" s="5" t="str">
        <f t="shared" si="3"/>
        <v>DANIELLE TEREZA</v>
      </c>
      <c r="E53" s="5" t="s">
        <v>51</v>
      </c>
      <c r="F53" s="5" t="s">
        <v>64</v>
      </c>
      <c r="G53" s="5" t="s">
        <v>263</v>
      </c>
      <c r="H53" s="5">
        <v>8325282</v>
      </c>
      <c r="I53" s="5" t="s">
        <v>724</v>
      </c>
      <c r="J53" s="5" t="s">
        <v>725</v>
      </c>
      <c r="K53" s="5" t="s">
        <v>726</v>
      </c>
      <c r="L53" s="5" t="str">
        <f t="shared" si="2"/>
        <v>8325282AV6</v>
      </c>
      <c r="M53" s="5" t="s">
        <v>101</v>
      </c>
      <c r="N53" s="5" t="s">
        <v>102</v>
      </c>
      <c r="O53" s="5" t="str">
        <f t="shared" si="4"/>
        <v>Dale Walenga</v>
      </c>
      <c r="P53" s="6">
        <v>45979</v>
      </c>
      <c r="Q53" s="6">
        <v>46009</v>
      </c>
      <c r="R53" s="7">
        <v>26.5</v>
      </c>
      <c r="S53" s="14">
        <v>0.7</v>
      </c>
      <c r="T53" s="5" t="s">
        <v>60</v>
      </c>
      <c r="U53" s="5" t="s">
        <v>61</v>
      </c>
      <c r="V53" s="5">
        <v>6</v>
      </c>
      <c r="W53" s="7">
        <v>18.55</v>
      </c>
      <c r="X53" s="5" t="s">
        <v>263</v>
      </c>
    </row>
    <row r="54" spans="1:54" s="5" customFormat="1" x14ac:dyDescent="0.25">
      <c r="A54" s="5">
        <v>2032209862</v>
      </c>
      <c r="B54" s="5" t="s">
        <v>266</v>
      </c>
      <c r="C54" s="5" t="s">
        <v>189</v>
      </c>
      <c r="D54" s="5" t="str">
        <f t="shared" si="3"/>
        <v>JULIE MAZUROWSKI</v>
      </c>
      <c r="E54" s="5" t="s">
        <v>51</v>
      </c>
      <c r="F54" s="5" t="s">
        <v>64</v>
      </c>
      <c r="G54" s="5" t="s">
        <v>263</v>
      </c>
      <c r="H54" s="5">
        <v>8814784</v>
      </c>
      <c r="I54" s="5" t="s">
        <v>724</v>
      </c>
      <c r="J54" s="5" t="s">
        <v>725</v>
      </c>
      <c r="K54" s="5" t="s">
        <v>726</v>
      </c>
      <c r="L54" s="5" t="str">
        <f t="shared" si="2"/>
        <v>8814784AV6</v>
      </c>
      <c r="M54" s="5" t="s">
        <v>250</v>
      </c>
      <c r="N54" s="5" t="s">
        <v>251</v>
      </c>
      <c r="O54" s="5" t="str">
        <f t="shared" si="4"/>
        <v>FRANK LISKOVEC</v>
      </c>
      <c r="P54" s="6">
        <v>46023</v>
      </c>
      <c r="Q54" s="6">
        <v>46054</v>
      </c>
      <c r="R54" s="7">
        <v>198.36</v>
      </c>
      <c r="S54" s="14">
        <v>0.7</v>
      </c>
      <c r="T54" s="5" t="s">
        <v>60</v>
      </c>
      <c r="U54" s="5" t="s">
        <v>61</v>
      </c>
      <c r="V54" s="5">
        <v>6</v>
      </c>
      <c r="W54" s="7">
        <v>138.85</v>
      </c>
      <c r="X54" s="5" t="s">
        <v>263</v>
      </c>
    </row>
    <row r="55" spans="1:54" x14ac:dyDescent="0.25">
      <c r="A55" s="5">
        <v>2032296529</v>
      </c>
      <c r="B55" s="5" t="s">
        <v>248</v>
      </c>
      <c r="C55" s="5" t="s">
        <v>249</v>
      </c>
      <c r="D55" s="5" t="str">
        <f t="shared" si="3"/>
        <v>CHRIS CABANBAN</v>
      </c>
      <c r="E55" s="5" t="s">
        <v>51</v>
      </c>
      <c r="F55" s="5" t="s">
        <v>64</v>
      </c>
      <c r="G55" s="5" t="s">
        <v>263</v>
      </c>
      <c r="H55" s="5">
        <v>8814784</v>
      </c>
      <c r="I55" s="5" t="s">
        <v>724</v>
      </c>
      <c r="J55" s="5" t="s">
        <v>725</v>
      </c>
      <c r="K55" s="5" t="s">
        <v>726</v>
      </c>
      <c r="L55" s="5" t="str">
        <f t="shared" si="2"/>
        <v>8814784AV6</v>
      </c>
      <c r="M55" s="5" t="s">
        <v>250</v>
      </c>
      <c r="N55" s="5" t="s">
        <v>251</v>
      </c>
      <c r="O55" s="5" t="str">
        <f t="shared" si="4"/>
        <v>FRANK LISKOVEC</v>
      </c>
      <c r="P55" s="6">
        <v>46023</v>
      </c>
      <c r="Q55" s="6">
        <v>46054</v>
      </c>
      <c r="R55" s="7">
        <v>37.18</v>
      </c>
      <c r="S55" s="14">
        <v>0.7</v>
      </c>
      <c r="T55" s="5" t="s">
        <v>60</v>
      </c>
      <c r="U55" s="5" t="s">
        <v>61</v>
      </c>
      <c r="V55" s="5">
        <v>6</v>
      </c>
      <c r="W55" s="7">
        <v>26.03</v>
      </c>
      <c r="X55" s="5" t="s">
        <v>263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5">
        <v>2032208387</v>
      </c>
      <c r="B56" s="5" t="s">
        <v>108</v>
      </c>
      <c r="C56" s="5" t="s">
        <v>68</v>
      </c>
      <c r="D56" s="5" t="str">
        <f t="shared" si="3"/>
        <v>MARY CARLSON</v>
      </c>
      <c r="E56" s="5" t="s">
        <v>51</v>
      </c>
      <c r="F56" s="5" t="s">
        <v>109</v>
      </c>
      <c r="G56" s="5" t="s">
        <v>263</v>
      </c>
      <c r="H56" s="5">
        <v>16865615</v>
      </c>
      <c r="I56" s="5" t="s">
        <v>724</v>
      </c>
      <c r="J56" s="5" t="s">
        <v>725</v>
      </c>
      <c r="K56" s="5" t="s">
        <v>726</v>
      </c>
      <c r="L56" s="5" t="str">
        <f t="shared" si="2"/>
        <v>16865615AV6</v>
      </c>
      <c r="M56" s="5" t="s">
        <v>111</v>
      </c>
      <c r="N56" s="5" t="s">
        <v>112</v>
      </c>
      <c r="O56" s="5" t="str">
        <f t="shared" si="4"/>
        <v>Heather Geske</v>
      </c>
      <c r="P56" s="6">
        <v>45979</v>
      </c>
      <c r="Q56" s="6">
        <v>46009</v>
      </c>
      <c r="R56" s="7">
        <v>9.1</v>
      </c>
      <c r="S56" s="14">
        <v>0.7</v>
      </c>
      <c r="T56" s="5" t="s">
        <v>60</v>
      </c>
      <c r="U56" s="5" t="s">
        <v>61</v>
      </c>
      <c r="V56" s="5">
        <v>6</v>
      </c>
      <c r="W56" s="7">
        <v>6.37</v>
      </c>
      <c r="X56" s="5" t="s">
        <v>263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x14ac:dyDescent="0.25">
      <c r="A57" s="5">
        <v>2032222104</v>
      </c>
      <c r="B57" s="5" t="s">
        <v>215</v>
      </c>
      <c r="C57" s="5" t="s">
        <v>216</v>
      </c>
      <c r="D57" s="5" t="str">
        <f t="shared" si="3"/>
        <v>CHARLES NEEDLE</v>
      </c>
      <c r="E57" s="5" t="s">
        <v>51</v>
      </c>
      <c r="F57" s="5" t="s">
        <v>109</v>
      </c>
      <c r="G57" s="5" t="s">
        <v>263</v>
      </c>
      <c r="H57" s="5">
        <v>16865615</v>
      </c>
      <c r="I57" s="5" t="s">
        <v>724</v>
      </c>
      <c r="J57" s="5" t="s">
        <v>725</v>
      </c>
      <c r="K57" s="5" t="s">
        <v>726</v>
      </c>
      <c r="L57" s="5" t="str">
        <f t="shared" si="2"/>
        <v>16865615AV6</v>
      </c>
      <c r="M57" s="5" t="s">
        <v>111</v>
      </c>
      <c r="N57" s="5" t="s">
        <v>112</v>
      </c>
      <c r="O57" s="5" t="str">
        <f t="shared" si="4"/>
        <v>Heather Geske</v>
      </c>
      <c r="P57" s="6">
        <v>45979</v>
      </c>
      <c r="Q57" s="6">
        <v>46009</v>
      </c>
      <c r="R57" s="7">
        <v>18.2</v>
      </c>
      <c r="S57" s="14">
        <v>0.7</v>
      </c>
      <c r="T57" s="5" t="s">
        <v>60</v>
      </c>
      <c r="U57" s="5" t="s">
        <v>61</v>
      </c>
      <c r="V57" s="5">
        <v>6</v>
      </c>
      <c r="W57" s="7">
        <v>12.74</v>
      </c>
      <c r="X57" s="5" t="s">
        <v>263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x14ac:dyDescent="0.25">
      <c r="A58" s="5">
        <v>2032208234</v>
      </c>
      <c r="B58" s="5" t="s">
        <v>103</v>
      </c>
      <c r="C58" s="5" t="s">
        <v>104</v>
      </c>
      <c r="D58" s="5" t="str">
        <f t="shared" si="3"/>
        <v>COLEEN VELMS</v>
      </c>
      <c r="E58" s="5" t="s">
        <v>51</v>
      </c>
      <c r="F58" s="5" t="s">
        <v>105</v>
      </c>
      <c r="G58" s="5" t="s">
        <v>263</v>
      </c>
      <c r="H58" s="5">
        <v>18201929</v>
      </c>
      <c r="I58" s="5" t="s">
        <v>724</v>
      </c>
      <c r="J58" s="5" t="s">
        <v>725</v>
      </c>
      <c r="K58" s="5" t="s">
        <v>726</v>
      </c>
      <c r="L58" s="5" t="str">
        <f t="shared" si="2"/>
        <v>18201929AV6</v>
      </c>
      <c r="M58" s="5" t="s">
        <v>106</v>
      </c>
      <c r="N58" s="5" t="s">
        <v>107</v>
      </c>
      <c r="O58" s="5" t="str">
        <f t="shared" si="4"/>
        <v>Jake Shulman</v>
      </c>
      <c r="P58" s="6">
        <v>45979</v>
      </c>
      <c r="Q58" s="6">
        <v>46009</v>
      </c>
      <c r="R58" s="7">
        <v>8.58</v>
      </c>
      <c r="S58" s="14">
        <v>0.7</v>
      </c>
      <c r="T58" s="5" t="s">
        <v>60</v>
      </c>
      <c r="U58" s="5" t="s">
        <v>61</v>
      </c>
      <c r="V58" s="5">
        <v>6</v>
      </c>
      <c r="W58" s="7">
        <v>6.01</v>
      </c>
      <c r="X58" s="5" t="s">
        <v>263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25">
      <c r="A59" s="5">
        <v>2032233321</v>
      </c>
      <c r="B59" s="5" t="s">
        <v>225</v>
      </c>
      <c r="C59" s="5" t="s">
        <v>226</v>
      </c>
      <c r="D59" s="5" t="str">
        <f t="shared" si="3"/>
        <v>FELIPE GARCIA</v>
      </c>
      <c r="E59" s="5" t="s">
        <v>51</v>
      </c>
      <c r="F59" s="5" t="s">
        <v>64</v>
      </c>
      <c r="G59" s="5" t="s">
        <v>263</v>
      </c>
      <c r="H59" s="5">
        <v>17143996</v>
      </c>
      <c r="I59" s="5" t="s">
        <v>724</v>
      </c>
      <c r="J59" s="5" t="s">
        <v>725</v>
      </c>
      <c r="K59" s="5" t="s">
        <v>726</v>
      </c>
      <c r="L59" s="5" t="str">
        <f t="shared" si="2"/>
        <v>17143996AV6</v>
      </c>
      <c r="M59" s="5" t="s">
        <v>227</v>
      </c>
      <c r="N59" s="5" t="s">
        <v>228</v>
      </c>
      <c r="O59" s="5" t="str">
        <f t="shared" si="4"/>
        <v>James Allen</v>
      </c>
      <c r="P59" s="6">
        <v>45981</v>
      </c>
      <c r="Q59" s="6">
        <v>46011</v>
      </c>
      <c r="R59" s="7">
        <v>11.5</v>
      </c>
      <c r="S59" s="14">
        <v>0.7</v>
      </c>
      <c r="T59" s="5" t="s">
        <v>60</v>
      </c>
      <c r="U59" s="5" t="s">
        <v>61</v>
      </c>
      <c r="V59" s="5">
        <v>6</v>
      </c>
      <c r="W59" s="7">
        <v>8.0500000000000007</v>
      </c>
      <c r="X59" s="5" t="s">
        <v>263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s="5" customFormat="1" x14ac:dyDescent="0.25">
      <c r="A60" s="5">
        <v>2032222994</v>
      </c>
      <c r="B60" s="5" t="s">
        <v>268</v>
      </c>
      <c r="C60" s="5" t="s">
        <v>269</v>
      </c>
      <c r="D60" s="5" t="str">
        <f t="shared" si="3"/>
        <v>COLLETTE POOLE</v>
      </c>
      <c r="E60" s="5" t="s">
        <v>51</v>
      </c>
      <c r="F60" s="5" t="s">
        <v>270</v>
      </c>
      <c r="G60" s="5" t="s">
        <v>263</v>
      </c>
      <c r="H60" s="5">
        <v>19279958</v>
      </c>
      <c r="I60" s="5" t="s">
        <v>724</v>
      </c>
      <c r="J60" s="5" t="s">
        <v>725</v>
      </c>
      <c r="K60" s="5" t="s">
        <v>726</v>
      </c>
      <c r="L60" s="5" t="str">
        <f t="shared" si="2"/>
        <v>19279958AV6</v>
      </c>
      <c r="M60" s="5" t="s">
        <v>271</v>
      </c>
      <c r="N60" s="5" t="s">
        <v>272</v>
      </c>
      <c r="O60" s="5" t="str">
        <f t="shared" si="4"/>
        <v>JARED KINYUA</v>
      </c>
      <c r="P60" s="6">
        <v>45979</v>
      </c>
      <c r="Q60" s="6">
        <v>46009</v>
      </c>
      <c r="R60" s="7">
        <v>15.29</v>
      </c>
      <c r="S60" s="14">
        <v>0.7</v>
      </c>
      <c r="T60" s="5" t="s">
        <v>60</v>
      </c>
      <c r="U60" s="5" t="s">
        <v>61</v>
      </c>
      <c r="V60" s="5">
        <v>6</v>
      </c>
      <c r="W60" s="7">
        <v>10.7</v>
      </c>
      <c r="X60" s="5" t="s">
        <v>263</v>
      </c>
    </row>
    <row r="61" spans="1:54" s="5" customFormat="1" x14ac:dyDescent="0.25">
      <c r="A61" s="5">
        <v>2032241668</v>
      </c>
      <c r="B61" s="5" t="s">
        <v>287</v>
      </c>
      <c r="C61" s="5" t="s">
        <v>288</v>
      </c>
      <c r="D61" s="5" t="str">
        <f t="shared" si="3"/>
        <v>EVELYN ELIAS</v>
      </c>
      <c r="E61" s="5" t="s">
        <v>51</v>
      </c>
      <c r="F61" s="5" t="s">
        <v>135</v>
      </c>
      <c r="G61" s="5" t="s">
        <v>263</v>
      </c>
      <c r="H61" s="5">
        <v>21421111</v>
      </c>
      <c r="I61" s="5" t="s">
        <v>724</v>
      </c>
      <c r="J61" s="5" t="s">
        <v>725</v>
      </c>
      <c r="K61" s="5" t="s">
        <v>726</v>
      </c>
      <c r="L61" s="5" t="str">
        <f t="shared" si="2"/>
        <v>21421111AV6</v>
      </c>
      <c r="M61" s="5" t="s">
        <v>148</v>
      </c>
      <c r="N61" s="5" t="s">
        <v>149</v>
      </c>
      <c r="O61" s="5" t="str">
        <f t="shared" si="4"/>
        <v>Kirk Tigue</v>
      </c>
      <c r="P61" s="6">
        <v>45982</v>
      </c>
      <c r="Q61" s="6">
        <v>46012</v>
      </c>
      <c r="R61" s="7">
        <v>176.94</v>
      </c>
      <c r="S61" s="14">
        <v>0.7</v>
      </c>
      <c r="T61" s="5" t="s">
        <v>60</v>
      </c>
      <c r="U61" s="5" t="s">
        <v>61</v>
      </c>
      <c r="V61" s="5">
        <v>6</v>
      </c>
      <c r="W61" s="7">
        <v>123.86</v>
      </c>
      <c r="X61" s="5" t="s">
        <v>263</v>
      </c>
    </row>
    <row r="62" spans="1:54" s="5" customFormat="1" x14ac:dyDescent="0.25">
      <c r="A62" s="5">
        <v>2032293754</v>
      </c>
      <c r="B62" s="5" t="s">
        <v>146</v>
      </c>
      <c r="C62" s="5" t="s">
        <v>147</v>
      </c>
      <c r="D62" s="5" t="str">
        <f t="shared" si="3"/>
        <v>JOSHUA WILE</v>
      </c>
      <c r="E62" s="5" t="s">
        <v>51</v>
      </c>
      <c r="F62" s="5" t="s">
        <v>135</v>
      </c>
      <c r="G62" s="5" t="s">
        <v>263</v>
      </c>
      <c r="H62" s="5">
        <v>21421111</v>
      </c>
      <c r="I62" s="5" t="s">
        <v>724</v>
      </c>
      <c r="J62" s="5" t="s">
        <v>725</v>
      </c>
      <c r="K62" s="5" t="s">
        <v>726</v>
      </c>
      <c r="L62" s="5" t="str">
        <f t="shared" si="2"/>
        <v>21421111AV6</v>
      </c>
      <c r="M62" s="5" t="s">
        <v>148</v>
      </c>
      <c r="N62" s="5" t="s">
        <v>149</v>
      </c>
      <c r="O62" s="5" t="str">
        <f t="shared" si="4"/>
        <v>Kirk Tigue</v>
      </c>
      <c r="P62" s="6">
        <v>45983</v>
      </c>
      <c r="Q62" s="6">
        <v>46013</v>
      </c>
      <c r="R62" s="7">
        <v>83</v>
      </c>
      <c r="S62" s="14">
        <v>0.7</v>
      </c>
      <c r="T62" s="5" t="s">
        <v>60</v>
      </c>
      <c r="U62" s="5" t="s">
        <v>61</v>
      </c>
      <c r="V62" s="5">
        <v>6</v>
      </c>
      <c r="W62" s="7">
        <v>58.1</v>
      </c>
      <c r="X62" s="5" t="s">
        <v>263</v>
      </c>
    </row>
    <row r="63" spans="1:54" s="5" customFormat="1" x14ac:dyDescent="0.25">
      <c r="A63" s="5">
        <v>2032320011</v>
      </c>
      <c r="B63" s="5" t="s">
        <v>254</v>
      </c>
      <c r="C63" s="5" t="s">
        <v>255</v>
      </c>
      <c r="D63" s="5" t="str">
        <f t="shared" si="3"/>
        <v>BEVERLY PHILIPS</v>
      </c>
      <c r="E63" s="5" t="s">
        <v>51</v>
      </c>
      <c r="F63" s="5" t="s">
        <v>135</v>
      </c>
      <c r="G63" s="5" t="s">
        <v>263</v>
      </c>
      <c r="H63" s="5">
        <v>21436172</v>
      </c>
      <c r="I63" s="5" t="s">
        <v>724</v>
      </c>
      <c r="J63" s="5" t="s">
        <v>725</v>
      </c>
      <c r="K63" s="5" t="s">
        <v>726</v>
      </c>
      <c r="L63" s="5" t="str">
        <f t="shared" si="2"/>
        <v>21436172AV6</v>
      </c>
      <c r="M63" s="5" t="s">
        <v>256</v>
      </c>
      <c r="N63" s="5" t="s">
        <v>257</v>
      </c>
      <c r="O63" s="5" t="str">
        <f t="shared" si="4"/>
        <v>Latesha Rose</v>
      </c>
      <c r="P63" s="6">
        <v>45984</v>
      </c>
      <c r="Q63" s="6">
        <v>46014</v>
      </c>
      <c r="R63" s="7">
        <v>210.64</v>
      </c>
      <c r="S63" s="14">
        <v>0.7</v>
      </c>
      <c r="T63" s="5" t="s">
        <v>60</v>
      </c>
      <c r="U63" s="5" t="s">
        <v>61</v>
      </c>
      <c r="V63" s="5">
        <v>6</v>
      </c>
      <c r="W63" s="7">
        <v>147.44999999999999</v>
      </c>
      <c r="X63" s="5" t="s">
        <v>263</v>
      </c>
    </row>
    <row r="64" spans="1:54" s="5" customFormat="1" x14ac:dyDescent="0.25">
      <c r="A64" s="5">
        <v>2032247823</v>
      </c>
      <c r="B64" s="5" t="s">
        <v>76</v>
      </c>
      <c r="C64" s="5" t="s">
        <v>77</v>
      </c>
      <c r="D64" s="5" t="str">
        <f t="shared" si="3"/>
        <v>CRAIG HANNIG</v>
      </c>
      <c r="E64" s="5" t="s">
        <v>51</v>
      </c>
      <c r="F64" s="5" t="s">
        <v>64</v>
      </c>
      <c r="G64" s="5" t="s">
        <v>263</v>
      </c>
      <c r="H64" s="5">
        <v>8812322</v>
      </c>
      <c r="I64" s="5" t="s">
        <v>724</v>
      </c>
      <c r="J64" s="5" t="s">
        <v>725</v>
      </c>
      <c r="K64" s="5" t="s">
        <v>726</v>
      </c>
      <c r="L64" s="5" t="str">
        <f t="shared" si="2"/>
        <v>8812322AV6</v>
      </c>
      <c r="M64" s="5" t="s">
        <v>65</v>
      </c>
      <c r="N64" s="5" t="s">
        <v>66</v>
      </c>
      <c r="O64" s="5" t="str">
        <f t="shared" si="4"/>
        <v>Matthew Sherman</v>
      </c>
      <c r="P64" s="6">
        <v>46023</v>
      </c>
      <c r="Q64" s="6">
        <v>46054</v>
      </c>
      <c r="R64" s="7">
        <v>27.5</v>
      </c>
      <c r="S64" s="14">
        <v>0.7</v>
      </c>
      <c r="T64" s="5" t="s">
        <v>60</v>
      </c>
      <c r="U64" s="5" t="s">
        <v>61</v>
      </c>
      <c r="V64" s="5">
        <v>6</v>
      </c>
      <c r="W64" s="7">
        <v>19.25</v>
      </c>
      <c r="X64" s="5" t="s">
        <v>263</v>
      </c>
    </row>
    <row r="65" spans="1:54" s="5" customFormat="1" x14ac:dyDescent="0.25">
      <c r="A65" s="5">
        <v>2032248634</v>
      </c>
      <c r="B65" s="5" t="s">
        <v>184</v>
      </c>
      <c r="C65" s="5" t="s">
        <v>185</v>
      </c>
      <c r="D65" s="5" t="str">
        <f t="shared" si="3"/>
        <v>LAURIE PATKUNAS</v>
      </c>
      <c r="E65" s="5" t="s">
        <v>51</v>
      </c>
      <c r="F65" s="5" t="s">
        <v>64</v>
      </c>
      <c r="G65" s="5" t="s">
        <v>263</v>
      </c>
      <c r="H65" s="5">
        <v>8812322</v>
      </c>
      <c r="I65" s="5" t="s">
        <v>724</v>
      </c>
      <c r="J65" s="5" t="s">
        <v>725</v>
      </c>
      <c r="K65" s="5" t="s">
        <v>726</v>
      </c>
      <c r="L65" s="5" t="str">
        <f t="shared" si="2"/>
        <v>8812322AV6</v>
      </c>
      <c r="M65" s="5" t="s">
        <v>65</v>
      </c>
      <c r="N65" s="5" t="s">
        <v>66</v>
      </c>
      <c r="O65" s="5" t="str">
        <f t="shared" si="4"/>
        <v>Matthew Sherman</v>
      </c>
      <c r="P65" s="6">
        <v>46023</v>
      </c>
      <c r="Q65" s="6">
        <v>46054</v>
      </c>
      <c r="R65" s="7">
        <v>26.5</v>
      </c>
      <c r="S65" s="14">
        <v>0.7</v>
      </c>
      <c r="T65" s="5" t="s">
        <v>60</v>
      </c>
      <c r="U65" s="5" t="s">
        <v>61</v>
      </c>
      <c r="V65" s="5">
        <v>6</v>
      </c>
      <c r="W65" s="7">
        <v>18.55</v>
      </c>
      <c r="X65" s="5" t="s">
        <v>263</v>
      </c>
    </row>
    <row r="66" spans="1:54" x14ac:dyDescent="0.25">
      <c r="A66" s="5">
        <v>2032254515</v>
      </c>
      <c r="B66" s="5" t="s">
        <v>186</v>
      </c>
      <c r="C66" s="5" t="s">
        <v>187</v>
      </c>
      <c r="D66" s="5" t="str">
        <f t="shared" ref="D66:D97" si="5">CONCATENATE(C66," ",B66)</f>
        <v>CONNIE SCOTT</v>
      </c>
      <c r="E66" s="5" t="s">
        <v>51</v>
      </c>
      <c r="F66" s="5" t="s">
        <v>64</v>
      </c>
      <c r="G66" s="5" t="s">
        <v>263</v>
      </c>
      <c r="H66" s="5">
        <v>8812322</v>
      </c>
      <c r="I66" s="5" t="s">
        <v>724</v>
      </c>
      <c r="J66" s="5" t="s">
        <v>725</v>
      </c>
      <c r="K66" s="5" t="s">
        <v>726</v>
      </c>
      <c r="L66" s="5" t="str">
        <f t="shared" si="2"/>
        <v>8812322AV6</v>
      </c>
      <c r="M66" s="5" t="s">
        <v>65</v>
      </c>
      <c r="N66" s="5" t="s">
        <v>66</v>
      </c>
      <c r="O66" s="5" t="str">
        <f t="shared" ref="O66:O97" si="6">CONCATENATE(N66," ",M66)</f>
        <v>Matthew Sherman</v>
      </c>
      <c r="P66" s="6">
        <v>46023</v>
      </c>
      <c r="Q66" s="6">
        <v>46054</v>
      </c>
      <c r="R66" s="7">
        <v>34</v>
      </c>
      <c r="S66" s="14">
        <v>0.7</v>
      </c>
      <c r="T66" s="5" t="s">
        <v>60</v>
      </c>
      <c r="U66" s="5" t="s">
        <v>61</v>
      </c>
      <c r="V66" s="5">
        <v>6</v>
      </c>
      <c r="W66" s="7">
        <v>23.8</v>
      </c>
      <c r="X66" s="5" t="s">
        <v>263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5">
        <v>2032261891</v>
      </c>
      <c r="B67" s="5" t="s">
        <v>188</v>
      </c>
      <c r="C67" s="5" t="s">
        <v>189</v>
      </c>
      <c r="D67" s="5" t="str">
        <f t="shared" si="5"/>
        <v>JULIE HODGSON</v>
      </c>
      <c r="E67" s="5" t="s">
        <v>51</v>
      </c>
      <c r="F67" s="5" t="s">
        <v>64</v>
      </c>
      <c r="G67" s="5" t="s">
        <v>263</v>
      </c>
      <c r="H67" s="5">
        <v>8812322</v>
      </c>
      <c r="I67" s="5" t="s">
        <v>724</v>
      </c>
      <c r="J67" s="5" t="s">
        <v>725</v>
      </c>
      <c r="K67" s="5" t="s">
        <v>726</v>
      </c>
      <c r="L67" s="5" t="str">
        <f t="shared" ref="L67:L112" si="7">CONCATENATE(H67,I67)</f>
        <v>8812322AV6</v>
      </c>
      <c r="M67" s="5" t="s">
        <v>65</v>
      </c>
      <c r="N67" s="5" t="s">
        <v>66</v>
      </c>
      <c r="O67" s="5" t="str">
        <f t="shared" si="6"/>
        <v>Matthew Sherman</v>
      </c>
      <c r="P67" s="6">
        <v>46023</v>
      </c>
      <c r="Q67" s="6">
        <v>46054</v>
      </c>
      <c r="R67" s="7">
        <v>34</v>
      </c>
      <c r="S67" s="14">
        <v>0.7</v>
      </c>
      <c r="T67" s="5" t="s">
        <v>60</v>
      </c>
      <c r="U67" s="5" t="s">
        <v>61</v>
      </c>
      <c r="V67" s="5">
        <v>6</v>
      </c>
      <c r="W67" s="7">
        <v>23.8</v>
      </c>
      <c r="X67" s="5" t="s">
        <v>263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x14ac:dyDescent="0.25">
      <c r="A68" s="5">
        <v>2032274711</v>
      </c>
      <c r="B68" s="5" t="s">
        <v>190</v>
      </c>
      <c r="C68" s="5" t="s">
        <v>191</v>
      </c>
      <c r="D68" s="5" t="str">
        <f t="shared" si="5"/>
        <v>ROSE BOGNER</v>
      </c>
      <c r="E68" s="5" t="s">
        <v>51</v>
      </c>
      <c r="F68" s="5" t="s">
        <v>64</v>
      </c>
      <c r="G68" s="5" t="s">
        <v>263</v>
      </c>
      <c r="H68" s="5">
        <v>8812322</v>
      </c>
      <c r="I68" s="5" t="s">
        <v>724</v>
      </c>
      <c r="J68" s="5" t="s">
        <v>725</v>
      </c>
      <c r="K68" s="5" t="s">
        <v>726</v>
      </c>
      <c r="L68" s="5" t="str">
        <f t="shared" si="7"/>
        <v>8812322AV6</v>
      </c>
      <c r="M68" s="5" t="s">
        <v>65</v>
      </c>
      <c r="N68" s="5" t="s">
        <v>66</v>
      </c>
      <c r="O68" s="5" t="str">
        <f t="shared" si="6"/>
        <v>Matthew Sherman</v>
      </c>
      <c r="P68" s="6">
        <v>46023</v>
      </c>
      <c r="Q68" s="6">
        <v>46054</v>
      </c>
      <c r="R68" s="7">
        <v>44.19</v>
      </c>
      <c r="S68" s="14">
        <v>0.7</v>
      </c>
      <c r="T68" s="5" t="s">
        <v>60</v>
      </c>
      <c r="U68" s="5" t="s">
        <v>61</v>
      </c>
      <c r="V68" s="5">
        <v>6</v>
      </c>
      <c r="W68" s="7">
        <v>30.93</v>
      </c>
      <c r="X68" s="5" t="s">
        <v>263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s="5" customFormat="1" x14ac:dyDescent="0.25">
      <c r="A69" s="5">
        <v>2032279005</v>
      </c>
      <c r="B69" s="5" t="s">
        <v>192</v>
      </c>
      <c r="C69" s="5" t="s">
        <v>193</v>
      </c>
      <c r="D69" s="5" t="str">
        <f t="shared" si="5"/>
        <v>INDIRA BYERS</v>
      </c>
      <c r="E69" s="5" t="s">
        <v>51</v>
      </c>
      <c r="F69" s="5" t="s">
        <v>64</v>
      </c>
      <c r="G69" s="5" t="s">
        <v>263</v>
      </c>
      <c r="H69" s="5">
        <v>8812322</v>
      </c>
      <c r="I69" s="5" t="s">
        <v>724</v>
      </c>
      <c r="J69" s="5" t="s">
        <v>725</v>
      </c>
      <c r="K69" s="5" t="s">
        <v>726</v>
      </c>
      <c r="L69" s="5" t="str">
        <f t="shared" si="7"/>
        <v>8812322AV6</v>
      </c>
      <c r="M69" s="5" t="s">
        <v>65</v>
      </c>
      <c r="N69" s="5" t="s">
        <v>66</v>
      </c>
      <c r="O69" s="5" t="str">
        <f t="shared" si="6"/>
        <v>Matthew Sherman</v>
      </c>
      <c r="P69" s="6">
        <v>46023</v>
      </c>
      <c r="Q69" s="6">
        <v>46054</v>
      </c>
      <c r="R69" s="7">
        <v>51</v>
      </c>
      <c r="S69" s="14">
        <v>0.7</v>
      </c>
      <c r="T69" s="5" t="s">
        <v>60</v>
      </c>
      <c r="U69" s="5" t="s">
        <v>61</v>
      </c>
      <c r="V69" s="5">
        <v>6</v>
      </c>
      <c r="W69" s="7">
        <v>35.700000000000003</v>
      </c>
      <c r="X69" s="5" t="s">
        <v>263</v>
      </c>
    </row>
    <row r="70" spans="1:54" s="5" customFormat="1" x14ac:dyDescent="0.25">
      <c r="A70" s="5">
        <v>2032221672</v>
      </c>
      <c r="B70" s="5" t="s">
        <v>120</v>
      </c>
      <c r="C70" s="5" t="s">
        <v>121</v>
      </c>
      <c r="D70" s="5" t="str">
        <f t="shared" si="5"/>
        <v>JUSTIN CONNOUR</v>
      </c>
      <c r="E70" s="5" t="s">
        <v>51</v>
      </c>
      <c r="F70" s="5" t="s">
        <v>64</v>
      </c>
      <c r="G70" s="5" t="s">
        <v>263</v>
      </c>
      <c r="H70" s="5">
        <v>18828278</v>
      </c>
      <c r="I70" s="5" t="s">
        <v>724</v>
      </c>
      <c r="J70" s="5" t="s">
        <v>725</v>
      </c>
      <c r="K70" s="5" t="s">
        <v>726</v>
      </c>
      <c r="L70" s="5" t="str">
        <f t="shared" si="7"/>
        <v>18828278AV6</v>
      </c>
      <c r="M70" s="5" t="s">
        <v>122</v>
      </c>
      <c r="N70" s="5" t="s">
        <v>123</v>
      </c>
      <c r="O70" s="5" t="str">
        <f t="shared" si="6"/>
        <v>MICHAEL DUNAVANT</v>
      </c>
      <c r="P70" s="6">
        <v>46023</v>
      </c>
      <c r="Q70" s="6">
        <v>46054</v>
      </c>
      <c r="R70" s="7">
        <v>46.08</v>
      </c>
      <c r="S70" s="14">
        <v>0.7</v>
      </c>
      <c r="T70" s="5" t="s">
        <v>60</v>
      </c>
      <c r="U70" s="5" t="s">
        <v>61</v>
      </c>
      <c r="V70" s="5">
        <v>6</v>
      </c>
      <c r="W70" s="7">
        <v>32.26</v>
      </c>
      <c r="X70" s="5" t="s">
        <v>263</v>
      </c>
    </row>
    <row r="71" spans="1:54" s="5" customFormat="1" x14ac:dyDescent="0.25">
      <c r="A71" s="5">
        <v>2032297156</v>
      </c>
      <c r="B71" s="5" t="s">
        <v>150</v>
      </c>
      <c r="C71" s="5" t="s">
        <v>151</v>
      </c>
      <c r="D71" s="5" t="str">
        <f t="shared" si="5"/>
        <v>KIRSTEN ENDRIZZI</v>
      </c>
      <c r="E71" s="5" t="s">
        <v>51</v>
      </c>
      <c r="F71" s="5" t="s">
        <v>64</v>
      </c>
      <c r="G71" s="5" t="s">
        <v>263</v>
      </c>
      <c r="H71" s="5">
        <v>18828278</v>
      </c>
      <c r="I71" s="5" t="s">
        <v>724</v>
      </c>
      <c r="J71" s="5" t="s">
        <v>725</v>
      </c>
      <c r="K71" s="5" t="s">
        <v>726</v>
      </c>
      <c r="L71" s="5" t="str">
        <f t="shared" si="7"/>
        <v>18828278AV6</v>
      </c>
      <c r="M71" s="5" t="s">
        <v>122</v>
      </c>
      <c r="N71" s="5" t="s">
        <v>123</v>
      </c>
      <c r="O71" s="5" t="str">
        <f t="shared" si="6"/>
        <v>MICHAEL DUNAVANT</v>
      </c>
      <c r="P71" s="6">
        <v>46023</v>
      </c>
      <c r="Q71" s="6">
        <v>46054</v>
      </c>
      <c r="R71" s="7">
        <v>30</v>
      </c>
      <c r="S71" s="14">
        <v>0.7</v>
      </c>
      <c r="T71" s="5" t="s">
        <v>60</v>
      </c>
      <c r="U71" s="5" t="s">
        <v>61</v>
      </c>
      <c r="V71" s="5">
        <v>6</v>
      </c>
      <c r="W71" s="7">
        <v>21</v>
      </c>
      <c r="X71" s="5" t="s">
        <v>263</v>
      </c>
    </row>
    <row r="72" spans="1:54" x14ac:dyDescent="0.25">
      <c r="A72" s="5">
        <v>2032057614</v>
      </c>
      <c r="B72" s="5" t="s">
        <v>88</v>
      </c>
      <c r="C72" s="5" t="s">
        <v>81</v>
      </c>
      <c r="D72" s="5" t="str">
        <f t="shared" si="5"/>
        <v>WILLIAM PROSNIEWSKI</v>
      </c>
      <c r="E72" s="5" t="s">
        <v>51</v>
      </c>
      <c r="F72" s="5" t="s">
        <v>64</v>
      </c>
      <c r="G72" s="5" t="s">
        <v>263</v>
      </c>
      <c r="H72" s="5">
        <v>16633294</v>
      </c>
      <c r="I72" s="5" t="s">
        <v>724</v>
      </c>
      <c r="J72" s="5" t="s">
        <v>725</v>
      </c>
      <c r="K72" s="5" t="s">
        <v>726</v>
      </c>
      <c r="L72" s="5" t="str">
        <f t="shared" si="7"/>
        <v>16633294AV6</v>
      </c>
      <c r="M72" s="5" t="s">
        <v>91</v>
      </c>
      <c r="N72" s="5" t="s">
        <v>92</v>
      </c>
      <c r="O72" s="5" t="str">
        <f t="shared" si="6"/>
        <v>Richard Yale</v>
      </c>
      <c r="P72" s="6">
        <v>45992</v>
      </c>
      <c r="Q72" s="6">
        <v>46023</v>
      </c>
      <c r="R72" s="7">
        <v>129.28</v>
      </c>
      <c r="S72" s="14">
        <v>0.7</v>
      </c>
      <c r="T72" s="5" t="s">
        <v>60</v>
      </c>
      <c r="U72" s="5" t="s">
        <v>61</v>
      </c>
      <c r="V72" s="5">
        <v>6</v>
      </c>
      <c r="W72" s="7">
        <v>90.5</v>
      </c>
      <c r="X72" s="5" t="s">
        <v>263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x14ac:dyDescent="0.25">
      <c r="A73" s="5">
        <v>2032233383</v>
      </c>
      <c r="B73" s="5" t="s">
        <v>281</v>
      </c>
      <c r="C73" s="5" t="s">
        <v>282</v>
      </c>
      <c r="D73" s="5" t="str">
        <f t="shared" si="5"/>
        <v>JON BORDELON</v>
      </c>
      <c r="E73" s="5" t="s">
        <v>51</v>
      </c>
      <c r="F73" s="5" t="s">
        <v>183</v>
      </c>
      <c r="G73" s="5" t="s">
        <v>263</v>
      </c>
      <c r="H73" s="5">
        <v>371819</v>
      </c>
      <c r="I73" s="5" t="s">
        <v>724</v>
      </c>
      <c r="J73" s="5" t="s">
        <v>725</v>
      </c>
      <c r="K73" s="5" t="s">
        <v>726</v>
      </c>
      <c r="L73" s="5" t="str">
        <f t="shared" si="7"/>
        <v>371819AV6</v>
      </c>
      <c r="M73" s="5" t="s">
        <v>156</v>
      </c>
      <c r="N73" s="5" t="s">
        <v>157</v>
      </c>
      <c r="O73" s="5" t="str">
        <f t="shared" si="6"/>
        <v>THOMAS PARDUE</v>
      </c>
      <c r="P73" s="6">
        <v>46023</v>
      </c>
      <c r="Q73" s="6">
        <v>46054</v>
      </c>
      <c r="R73" s="7">
        <v>135.72</v>
      </c>
      <c r="S73" s="14">
        <v>0.7</v>
      </c>
      <c r="T73" s="5" t="s">
        <v>60</v>
      </c>
      <c r="U73" s="5" t="s">
        <v>61</v>
      </c>
      <c r="V73" s="5">
        <v>6</v>
      </c>
      <c r="W73" s="7">
        <v>95</v>
      </c>
      <c r="X73" s="5" t="s">
        <v>263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x14ac:dyDescent="0.25">
      <c r="A74" s="5">
        <v>2032236389</v>
      </c>
      <c r="B74" s="5" t="s">
        <v>283</v>
      </c>
      <c r="C74" s="5" t="s">
        <v>284</v>
      </c>
      <c r="D74" s="5" t="str">
        <f t="shared" si="5"/>
        <v>ASHLEY CHESTANG</v>
      </c>
      <c r="E74" s="5" t="s">
        <v>51</v>
      </c>
      <c r="F74" s="5" t="s">
        <v>155</v>
      </c>
      <c r="G74" s="5" t="s">
        <v>263</v>
      </c>
      <c r="H74" s="5">
        <v>371819</v>
      </c>
      <c r="I74" s="5" t="s">
        <v>724</v>
      </c>
      <c r="J74" s="5" t="s">
        <v>725</v>
      </c>
      <c r="K74" s="5" t="s">
        <v>726</v>
      </c>
      <c r="L74" s="5" t="str">
        <f t="shared" si="7"/>
        <v>371819AV6</v>
      </c>
      <c r="M74" s="5" t="s">
        <v>156</v>
      </c>
      <c r="N74" s="5" t="s">
        <v>157</v>
      </c>
      <c r="O74" s="5" t="str">
        <f t="shared" si="6"/>
        <v>THOMAS PARDUE</v>
      </c>
      <c r="P74" s="6">
        <v>45980</v>
      </c>
      <c r="Q74" s="6">
        <v>46010</v>
      </c>
      <c r="R74" s="7">
        <v>55.68</v>
      </c>
      <c r="S74" s="14">
        <v>0.7</v>
      </c>
      <c r="T74" s="5" t="s">
        <v>60</v>
      </c>
      <c r="U74" s="5" t="s">
        <v>61</v>
      </c>
      <c r="V74" s="5">
        <v>6</v>
      </c>
      <c r="W74" s="7">
        <v>38.979999999999997</v>
      </c>
      <c r="X74" s="5" t="s">
        <v>263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x14ac:dyDescent="0.25">
      <c r="A75" s="5">
        <v>2032311361</v>
      </c>
      <c r="B75" s="5" t="s">
        <v>153</v>
      </c>
      <c r="C75" s="5" t="s">
        <v>154</v>
      </c>
      <c r="D75" s="5" t="str">
        <f t="shared" si="5"/>
        <v>JONATHAN HUBBARD</v>
      </c>
      <c r="E75" s="5" t="s">
        <v>51</v>
      </c>
      <c r="F75" s="5" t="s">
        <v>155</v>
      </c>
      <c r="G75" s="5" t="s">
        <v>263</v>
      </c>
      <c r="H75" s="5">
        <v>371819</v>
      </c>
      <c r="I75" s="5" t="s">
        <v>724</v>
      </c>
      <c r="J75" s="5" t="s">
        <v>725</v>
      </c>
      <c r="K75" s="5" t="s">
        <v>726</v>
      </c>
      <c r="L75" s="5" t="str">
        <f t="shared" si="7"/>
        <v>371819AV6</v>
      </c>
      <c r="M75" s="5" t="s">
        <v>156</v>
      </c>
      <c r="N75" s="5" t="s">
        <v>157</v>
      </c>
      <c r="O75" s="5" t="str">
        <f t="shared" si="6"/>
        <v>THOMAS PARDUE</v>
      </c>
      <c r="P75" s="6">
        <v>46023</v>
      </c>
      <c r="Q75" s="6">
        <v>46054</v>
      </c>
      <c r="R75" s="7">
        <v>51.19</v>
      </c>
      <c r="S75" s="14">
        <v>0.7</v>
      </c>
      <c r="T75" s="5" t="s">
        <v>60</v>
      </c>
      <c r="U75" s="5" t="s">
        <v>61</v>
      </c>
      <c r="V75" s="5">
        <v>6</v>
      </c>
      <c r="W75" s="7">
        <v>35.83</v>
      </c>
      <c r="X75" s="5" t="s">
        <v>263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s="5" customFormat="1" x14ac:dyDescent="0.25">
      <c r="A76" s="5">
        <v>2032256023</v>
      </c>
      <c r="B76" s="5" t="s">
        <v>241</v>
      </c>
      <c r="C76" s="5" t="s">
        <v>242</v>
      </c>
      <c r="D76" s="5" t="str">
        <f t="shared" si="5"/>
        <v>ROBERT DAVIS</v>
      </c>
      <c r="E76" s="5" t="s">
        <v>51</v>
      </c>
      <c r="F76" s="5" t="s">
        <v>109</v>
      </c>
      <c r="G76" s="5" t="s">
        <v>263</v>
      </c>
      <c r="H76" s="5">
        <v>21313588</v>
      </c>
      <c r="I76" s="5" t="s">
        <v>724</v>
      </c>
      <c r="J76" s="5" t="s">
        <v>725</v>
      </c>
      <c r="K76" s="5" t="s">
        <v>726</v>
      </c>
      <c r="L76" s="5" t="str">
        <f t="shared" si="7"/>
        <v>21313588AV6</v>
      </c>
      <c r="M76" s="5" t="s">
        <v>243</v>
      </c>
      <c r="N76" s="5" t="s">
        <v>81</v>
      </c>
      <c r="O76" s="5" t="str">
        <f t="shared" si="6"/>
        <v>WILLIAM GESKE</v>
      </c>
      <c r="P76" s="6">
        <v>45981</v>
      </c>
      <c r="Q76" s="6">
        <v>46011</v>
      </c>
      <c r="R76" s="7">
        <v>9.1</v>
      </c>
      <c r="S76" s="14">
        <v>0.7</v>
      </c>
      <c r="T76" s="5" t="s">
        <v>60</v>
      </c>
      <c r="U76" s="5" t="s">
        <v>61</v>
      </c>
      <c r="V76" s="5">
        <v>6</v>
      </c>
      <c r="W76" s="7">
        <v>6.37</v>
      </c>
      <c r="X76" s="5" t="s">
        <v>263</v>
      </c>
    </row>
    <row r="77" spans="1:54" s="5" customFormat="1" x14ac:dyDescent="0.25">
      <c r="A77" s="5">
        <v>2032234326</v>
      </c>
      <c r="B77" s="5" t="s">
        <v>229</v>
      </c>
      <c r="C77" s="5" t="s">
        <v>230</v>
      </c>
      <c r="D77" s="5" t="str">
        <f t="shared" si="5"/>
        <v>SAMANTHA MYERS</v>
      </c>
      <c r="E77" s="5" t="s">
        <v>51</v>
      </c>
      <c r="F77" s="5" t="s">
        <v>64</v>
      </c>
      <c r="G77" s="5" t="s">
        <v>197</v>
      </c>
      <c r="H77" s="5">
        <v>16912722</v>
      </c>
      <c r="I77" s="5" t="s">
        <v>724</v>
      </c>
      <c r="J77" s="5" t="s">
        <v>725</v>
      </c>
      <c r="K77" s="5" t="s">
        <v>726</v>
      </c>
      <c r="L77" s="5" t="str">
        <f t="shared" si="7"/>
        <v>16912722AV6</v>
      </c>
      <c r="M77" s="5" t="s">
        <v>231</v>
      </c>
      <c r="N77" s="5" t="s">
        <v>232</v>
      </c>
      <c r="O77" s="5" t="str">
        <f t="shared" si="6"/>
        <v>ANDREA PETRUNGARO</v>
      </c>
      <c r="P77" s="6">
        <v>45980</v>
      </c>
      <c r="Q77" s="6">
        <v>46010</v>
      </c>
      <c r="R77" s="7">
        <v>77.48</v>
      </c>
      <c r="S77" s="15">
        <v>0.375</v>
      </c>
      <c r="T77" s="5" t="s">
        <v>60</v>
      </c>
      <c r="U77" s="5" t="s">
        <v>61</v>
      </c>
      <c r="V77" s="5">
        <v>6</v>
      </c>
      <c r="W77" s="7">
        <v>29.06</v>
      </c>
      <c r="X77" s="5" t="s">
        <v>197</v>
      </c>
    </row>
    <row r="78" spans="1:54" s="5" customFormat="1" x14ac:dyDescent="0.25">
      <c r="A78" s="5">
        <v>2032218110</v>
      </c>
      <c r="B78" s="5" t="s">
        <v>113</v>
      </c>
      <c r="C78" s="5" t="s">
        <v>114</v>
      </c>
      <c r="D78" s="5" t="str">
        <f t="shared" si="5"/>
        <v>BRIAN BERLIN</v>
      </c>
      <c r="E78" s="5" t="s">
        <v>51</v>
      </c>
      <c r="F78" s="5" t="s">
        <v>64</v>
      </c>
      <c r="G78" s="5" t="s">
        <v>197</v>
      </c>
      <c r="H78" s="5">
        <v>7470776</v>
      </c>
      <c r="I78" s="5" t="s">
        <v>724</v>
      </c>
      <c r="J78" s="5" t="s">
        <v>725</v>
      </c>
      <c r="K78" s="5" t="s">
        <v>726</v>
      </c>
      <c r="L78" s="5" t="str">
        <f t="shared" si="7"/>
        <v>7470776AV6</v>
      </c>
      <c r="M78" s="5" t="s">
        <v>115</v>
      </c>
      <c r="N78" s="5" t="s">
        <v>116</v>
      </c>
      <c r="O78" s="5" t="str">
        <f t="shared" si="6"/>
        <v>Andrew Choi</v>
      </c>
      <c r="P78" s="6">
        <v>46023</v>
      </c>
      <c r="Q78" s="6">
        <v>46054</v>
      </c>
      <c r="R78" s="7">
        <v>152.33000000000001</v>
      </c>
      <c r="S78" s="15">
        <v>0.375</v>
      </c>
      <c r="T78" s="5" t="s">
        <v>60</v>
      </c>
      <c r="U78" s="5" t="s">
        <v>61</v>
      </c>
      <c r="V78" s="5">
        <v>6</v>
      </c>
      <c r="W78" s="7">
        <v>57.12</v>
      </c>
      <c r="X78" s="5" t="s">
        <v>197</v>
      </c>
    </row>
    <row r="79" spans="1:54" s="5" customFormat="1" x14ac:dyDescent="0.25">
      <c r="A79" s="5">
        <v>2032232357</v>
      </c>
      <c r="B79" s="5" t="s">
        <v>127</v>
      </c>
      <c r="C79" s="5" t="s">
        <v>128</v>
      </c>
      <c r="D79" s="5" t="str">
        <f t="shared" si="5"/>
        <v>TESSA DREILING</v>
      </c>
      <c r="E79" s="5" t="s">
        <v>51</v>
      </c>
      <c r="F79" s="5" t="s">
        <v>129</v>
      </c>
      <c r="G79" s="5" t="s">
        <v>197</v>
      </c>
      <c r="H79" s="5">
        <v>7470776</v>
      </c>
      <c r="I79" s="5" t="s">
        <v>724</v>
      </c>
      <c r="J79" s="5" t="s">
        <v>725</v>
      </c>
      <c r="K79" s="5" t="s">
        <v>726</v>
      </c>
      <c r="L79" s="5" t="str">
        <f t="shared" si="7"/>
        <v>7470776AV6</v>
      </c>
      <c r="M79" s="5" t="s">
        <v>115</v>
      </c>
      <c r="N79" s="5" t="s">
        <v>116</v>
      </c>
      <c r="O79" s="5" t="str">
        <f t="shared" si="6"/>
        <v>Andrew Choi</v>
      </c>
      <c r="P79" s="6">
        <v>46023</v>
      </c>
      <c r="Q79" s="6">
        <v>46054</v>
      </c>
      <c r="R79" s="7">
        <v>216.53</v>
      </c>
      <c r="S79" s="15">
        <v>0.375</v>
      </c>
      <c r="T79" s="5" t="s">
        <v>60</v>
      </c>
      <c r="U79" s="5" t="s">
        <v>61</v>
      </c>
      <c r="V79" s="5">
        <v>6</v>
      </c>
      <c r="W79" s="7">
        <v>81.2</v>
      </c>
      <c r="X79" s="5" t="s">
        <v>197</v>
      </c>
    </row>
    <row r="80" spans="1:54" s="5" customFormat="1" x14ac:dyDescent="0.25">
      <c r="A80" s="5">
        <v>2032235781</v>
      </c>
      <c r="B80" s="5" t="s">
        <v>130</v>
      </c>
      <c r="C80" s="5" t="s">
        <v>131</v>
      </c>
      <c r="D80" s="5" t="str">
        <f t="shared" si="5"/>
        <v>DONALD KROMREY</v>
      </c>
      <c r="E80" s="5" t="s">
        <v>51</v>
      </c>
      <c r="F80" s="5" t="s">
        <v>132</v>
      </c>
      <c r="G80" s="5" t="s">
        <v>197</v>
      </c>
      <c r="H80" s="5">
        <v>7470776</v>
      </c>
      <c r="I80" s="5" t="s">
        <v>724</v>
      </c>
      <c r="J80" s="5" t="s">
        <v>725</v>
      </c>
      <c r="K80" s="5" t="s">
        <v>726</v>
      </c>
      <c r="L80" s="5" t="str">
        <f t="shared" si="7"/>
        <v>7470776AV6</v>
      </c>
      <c r="M80" s="5" t="s">
        <v>115</v>
      </c>
      <c r="N80" s="5" t="s">
        <v>116</v>
      </c>
      <c r="O80" s="5" t="str">
        <f t="shared" si="6"/>
        <v>Andrew Choi</v>
      </c>
      <c r="P80" s="6">
        <v>46023</v>
      </c>
      <c r="Q80" s="6">
        <v>46054</v>
      </c>
      <c r="R80" s="7">
        <v>61.93</v>
      </c>
      <c r="S80" s="15">
        <v>0.375</v>
      </c>
      <c r="T80" s="5" t="s">
        <v>60</v>
      </c>
      <c r="U80" s="5" t="s">
        <v>61</v>
      </c>
      <c r="V80" s="5">
        <v>6</v>
      </c>
      <c r="W80" s="7">
        <v>23.22</v>
      </c>
      <c r="X80" s="5" t="s">
        <v>197</v>
      </c>
    </row>
    <row r="81" spans="1:54" s="5" customFormat="1" x14ac:dyDescent="0.25">
      <c r="A81" s="5">
        <v>2032249285</v>
      </c>
      <c r="B81" s="5" t="s">
        <v>136</v>
      </c>
      <c r="C81" s="5" t="s">
        <v>137</v>
      </c>
      <c r="D81" s="5" t="str">
        <f t="shared" si="5"/>
        <v>ANNIE ALDEA</v>
      </c>
      <c r="E81" s="5" t="s">
        <v>51</v>
      </c>
      <c r="F81" s="5" t="s">
        <v>64</v>
      </c>
      <c r="G81" s="5" t="s">
        <v>197</v>
      </c>
      <c r="H81" s="5">
        <v>7470776</v>
      </c>
      <c r="I81" s="5" t="s">
        <v>724</v>
      </c>
      <c r="J81" s="5" t="s">
        <v>725</v>
      </c>
      <c r="K81" s="5" t="s">
        <v>726</v>
      </c>
      <c r="L81" s="5" t="str">
        <f t="shared" si="7"/>
        <v>7470776AV6</v>
      </c>
      <c r="M81" s="5" t="s">
        <v>115</v>
      </c>
      <c r="N81" s="5" t="s">
        <v>116</v>
      </c>
      <c r="O81" s="5" t="str">
        <f t="shared" si="6"/>
        <v>Andrew Choi</v>
      </c>
      <c r="P81" s="6">
        <v>46023</v>
      </c>
      <c r="Q81" s="6">
        <v>46054</v>
      </c>
      <c r="R81" s="7">
        <v>152.33000000000001</v>
      </c>
      <c r="S81" s="15">
        <v>0.375</v>
      </c>
      <c r="T81" s="5" t="s">
        <v>60</v>
      </c>
      <c r="U81" s="5" t="s">
        <v>61</v>
      </c>
      <c r="V81" s="5">
        <v>6</v>
      </c>
      <c r="W81" s="7">
        <v>57.12</v>
      </c>
      <c r="X81" s="5" t="s">
        <v>197</v>
      </c>
    </row>
    <row r="82" spans="1:54" s="5" customFormat="1" x14ac:dyDescent="0.25">
      <c r="A82" s="5">
        <v>2032253423</v>
      </c>
      <c r="B82" s="5" t="s">
        <v>237</v>
      </c>
      <c r="C82" s="5" t="s">
        <v>238</v>
      </c>
      <c r="D82" s="5" t="str">
        <f t="shared" si="5"/>
        <v>LENUTA ROTARU</v>
      </c>
      <c r="E82" s="5" t="s">
        <v>51</v>
      </c>
      <c r="F82" s="5" t="s">
        <v>64</v>
      </c>
      <c r="G82" s="5" t="s">
        <v>197</v>
      </c>
      <c r="H82" s="5">
        <v>7470776</v>
      </c>
      <c r="I82" s="5" t="s">
        <v>724</v>
      </c>
      <c r="J82" s="5" t="s">
        <v>725</v>
      </c>
      <c r="K82" s="5" t="s">
        <v>726</v>
      </c>
      <c r="L82" s="5" t="str">
        <f t="shared" si="7"/>
        <v>7470776AV6</v>
      </c>
      <c r="M82" s="5" t="s">
        <v>115</v>
      </c>
      <c r="N82" s="5" t="s">
        <v>116</v>
      </c>
      <c r="O82" s="5" t="str">
        <f t="shared" si="6"/>
        <v>Andrew Choi</v>
      </c>
      <c r="P82" s="6">
        <v>46023</v>
      </c>
      <c r="Q82" s="6">
        <v>46054</v>
      </c>
      <c r="R82" s="7">
        <v>160.96</v>
      </c>
      <c r="S82" s="15">
        <v>0.375</v>
      </c>
      <c r="T82" s="5" t="s">
        <v>60</v>
      </c>
      <c r="U82" s="5" t="s">
        <v>61</v>
      </c>
      <c r="V82" s="5">
        <v>6</v>
      </c>
      <c r="W82" s="7">
        <v>60.36</v>
      </c>
      <c r="X82" s="5" t="s">
        <v>197</v>
      </c>
    </row>
    <row r="83" spans="1:54" s="5" customFormat="1" x14ac:dyDescent="0.25">
      <c r="A83" s="5">
        <v>2032254535</v>
      </c>
      <c r="B83" s="5" t="s">
        <v>239</v>
      </c>
      <c r="C83" s="5" t="s">
        <v>240</v>
      </c>
      <c r="D83" s="5" t="str">
        <f t="shared" si="5"/>
        <v>GEORGE TUDOR</v>
      </c>
      <c r="E83" s="5" t="s">
        <v>51</v>
      </c>
      <c r="F83" s="5" t="s">
        <v>64</v>
      </c>
      <c r="G83" s="5" t="s">
        <v>197</v>
      </c>
      <c r="H83" s="5">
        <v>7470776</v>
      </c>
      <c r="I83" s="5" t="s">
        <v>724</v>
      </c>
      <c r="J83" s="5" t="s">
        <v>725</v>
      </c>
      <c r="K83" s="5" t="s">
        <v>726</v>
      </c>
      <c r="L83" s="5" t="str">
        <f t="shared" si="7"/>
        <v>7470776AV6</v>
      </c>
      <c r="M83" s="5" t="s">
        <v>115</v>
      </c>
      <c r="N83" s="5" t="s">
        <v>116</v>
      </c>
      <c r="O83" s="5" t="str">
        <f t="shared" si="6"/>
        <v>Andrew Choi</v>
      </c>
      <c r="P83" s="6">
        <v>46023</v>
      </c>
      <c r="Q83" s="6">
        <v>46054</v>
      </c>
      <c r="R83" s="7">
        <v>152.33000000000001</v>
      </c>
      <c r="S83" s="15">
        <v>0.375</v>
      </c>
      <c r="T83" s="5" t="s">
        <v>60</v>
      </c>
      <c r="U83" s="5" t="s">
        <v>61</v>
      </c>
      <c r="V83" s="5">
        <v>6</v>
      </c>
      <c r="W83" s="7">
        <v>57.12</v>
      </c>
      <c r="X83" s="5" t="s">
        <v>197</v>
      </c>
    </row>
    <row r="84" spans="1:54" s="5" customFormat="1" x14ac:dyDescent="0.25">
      <c r="A84" s="5">
        <v>2032257734</v>
      </c>
      <c r="B84" s="5" t="s">
        <v>244</v>
      </c>
      <c r="C84" s="5" t="s">
        <v>245</v>
      </c>
      <c r="D84" s="5" t="str">
        <f t="shared" si="5"/>
        <v>NICOLE SHAVER</v>
      </c>
      <c r="E84" s="5" t="s">
        <v>51</v>
      </c>
      <c r="F84" s="5" t="s">
        <v>64</v>
      </c>
      <c r="G84" s="5" t="s">
        <v>197</v>
      </c>
      <c r="H84" s="5">
        <v>7470776</v>
      </c>
      <c r="I84" s="5" t="s">
        <v>724</v>
      </c>
      <c r="J84" s="5" t="s">
        <v>725</v>
      </c>
      <c r="K84" s="5" t="s">
        <v>726</v>
      </c>
      <c r="L84" s="5" t="str">
        <f t="shared" si="7"/>
        <v>7470776AV6</v>
      </c>
      <c r="M84" s="5" t="s">
        <v>115</v>
      </c>
      <c r="N84" s="5" t="s">
        <v>116</v>
      </c>
      <c r="O84" s="5" t="str">
        <f t="shared" si="6"/>
        <v>Andrew Choi</v>
      </c>
      <c r="P84" s="6">
        <v>46023</v>
      </c>
      <c r="Q84" s="6">
        <v>46054</v>
      </c>
      <c r="R84" s="7">
        <v>261.47000000000003</v>
      </c>
      <c r="S84" s="15">
        <v>0.375</v>
      </c>
      <c r="T84" s="5" t="s">
        <v>60</v>
      </c>
      <c r="U84" s="5" t="s">
        <v>61</v>
      </c>
      <c r="V84" s="5">
        <v>6</v>
      </c>
      <c r="W84" s="7">
        <v>98.05</v>
      </c>
      <c r="X84" s="5" t="s">
        <v>197</v>
      </c>
    </row>
    <row r="85" spans="1:54" s="5" customFormat="1" x14ac:dyDescent="0.25">
      <c r="A85" s="5">
        <v>2032293405</v>
      </c>
      <c r="B85" s="5" t="s">
        <v>144</v>
      </c>
      <c r="C85" s="5" t="s">
        <v>145</v>
      </c>
      <c r="D85" s="5" t="str">
        <f t="shared" si="5"/>
        <v>PETER FOURTOUNIS</v>
      </c>
      <c r="E85" s="5" t="s">
        <v>51</v>
      </c>
      <c r="F85" s="5" t="s">
        <v>64</v>
      </c>
      <c r="G85" s="5" t="s">
        <v>197</v>
      </c>
      <c r="H85" s="5">
        <v>7470776</v>
      </c>
      <c r="I85" s="5" t="s">
        <v>724</v>
      </c>
      <c r="J85" s="5" t="s">
        <v>725</v>
      </c>
      <c r="K85" s="5" t="s">
        <v>726</v>
      </c>
      <c r="L85" s="5" t="str">
        <f t="shared" si="7"/>
        <v>7470776AV6</v>
      </c>
      <c r="M85" s="5" t="s">
        <v>115</v>
      </c>
      <c r="N85" s="5" t="s">
        <v>116</v>
      </c>
      <c r="O85" s="5" t="str">
        <f t="shared" si="6"/>
        <v>Andrew Choi</v>
      </c>
      <c r="P85" s="6">
        <v>46023</v>
      </c>
      <c r="Q85" s="6">
        <v>46054</v>
      </c>
      <c r="R85" s="7">
        <v>78.760000000000005</v>
      </c>
      <c r="S85" s="15">
        <v>0.375</v>
      </c>
      <c r="T85" s="5" t="s">
        <v>60</v>
      </c>
      <c r="U85" s="5" t="s">
        <v>61</v>
      </c>
      <c r="V85" s="5">
        <v>6</v>
      </c>
      <c r="W85" s="7">
        <v>29.54</v>
      </c>
      <c r="X85" s="5" t="s">
        <v>197</v>
      </c>
    </row>
    <row r="86" spans="1:54" s="5" customFormat="1" x14ac:dyDescent="0.25">
      <c r="A86" s="5">
        <v>2032305550</v>
      </c>
      <c r="B86" s="5" t="s">
        <v>252</v>
      </c>
      <c r="C86" s="5" t="s">
        <v>253</v>
      </c>
      <c r="D86" s="5" t="str">
        <f t="shared" si="5"/>
        <v>DAVID IMPEY</v>
      </c>
      <c r="E86" s="5" t="s">
        <v>51</v>
      </c>
      <c r="F86" s="5" t="s">
        <v>64</v>
      </c>
      <c r="G86" s="5" t="s">
        <v>197</v>
      </c>
      <c r="H86" s="5">
        <v>7470776</v>
      </c>
      <c r="I86" s="5" t="s">
        <v>724</v>
      </c>
      <c r="J86" s="5" t="s">
        <v>725</v>
      </c>
      <c r="K86" s="5" t="s">
        <v>726</v>
      </c>
      <c r="L86" s="5" t="str">
        <f t="shared" si="7"/>
        <v>7470776AV6</v>
      </c>
      <c r="M86" s="5" t="s">
        <v>115</v>
      </c>
      <c r="N86" s="5" t="s">
        <v>116</v>
      </c>
      <c r="O86" s="5" t="str">
        <f t="shared" si="6"/>
        <v>Andrew Choi</v>
      </c>
      <c r="P86" s="6">
        <v>46023</v>
      </c>
      <c r="Q86" s="6">
        <v>46054</v>
      </c>
      <c r="R86" s="7">
        <v>78.760000000000005</v>
      </c>
      <c r="S86" s="15">
        <v>0.375</v>
      </c>
      <c r="T86" s="5" t="s">
        <v>60</v>
      </c>
      <c r="U86" s="5" t="s">
        <v>61</v>
      </c>
      <c r="V86" s="5">
        <v>6</v>
      </c>
      <c r="W86" s="7">
        <v>29.54</v>
      </c>
      <c r="X86" s="5" t="s">
        <v>197</v>
      </c>
    </row>
    <row r="87" spans="1:54" s="5" customFormat="1" x14ac:dyDescent="0.25">
      <c r="A87" s="5">
        <v>2032307402</v>
      </c>
      <c r="B87" s="5" t="s">
        <v>152</v>
      </c>
      <c r="C87" s="5" t="s">
        <v>152</v>
      </c>
      <c r="D87" s="5" t="str">
        <f t="shared" si="5"/>
        <v>TSOGBUYAN TSOGBUYAN</v>
      </c>
      <c r="E87" s="5" t="s">
        <v>51</v>
      </c>
      <c r="F87" s="5" t="s">
        <v>64</v>
      </c>
      <c r="G87" s="5" t="s">
        <v>197</v>
      </c>
      <c r="H87" s="5">
        <v>7470776</v>
      </c>
      <c r="I87" s="5" t="s">
        <v>724</v>
      </c>
      <c r="J87" s="5" t="s">
        <v>725</v>
      </c>
      <c r="K87" s="5" t="s">
        <v>726</v>
      </c>
      <c r="L87" s="5" t="str">
        <f t="shared" si="7"/>
        <v>7470776AV6</v>
      </c>
      <c r="M87" s="5" t="s">
        <v>115</v>
      </c>
      <c r="N87" s="5" t="s">
        <v>116</v>
      </c>
      <c r="O87" s="5" t="str">
        <f t="shared" si="6"/>
        <v>Andrew Choi</v>
      </c>
      <c r="P87" s="6">
        <v>46023</v>
      </c>
      <c r="Q87" s="6">
        <v>46054</v>
      </c>
      <c r="R87" s="7">
        <v>78.760000000000005</v>
      </c>
      <c r="S87" s="15">
        <v>0.375</v>
      </c>
      <c r="T87" s="5" t="s">
        <v>60</v>
      </c>
      <c r="U87" s="5" t="s">
        <v>61</v>
      </c>
      <c r="V87" s="5">
        <v>6</v>
      </c>
      <c r="W87" s="7">
        <v>29.54</v>
      </c>
      <c r="X87" s="5" t="s">
        <v>197</v>
      </c>
    </row>
    <row r="88" spans="1:54" x14ac:dyDescent="0.25">
      <c r="A88" s="5">
        <v>2032250176</v>
      </c>
      <c r="B88" s="5" t="s">
        <v>236</v>
      </c>
      <c r="C88" s="5" t="s">
        <v>195</v>
      </c>
      <c r="D88" s="5" t="str">
        <f t="shared" si="5"/>
        <v>NATALIE MASSE</v>
      </c>
      <c r="E88" s="5" t="s">
        <v>51</v>
      </c>
      <c r="F88" s="5" t="s">
        <v>64</v>
      </c>
      <c r="G88" s="5" t="s">
        <v>197</v>
      </c>
      <c r="H88" s="5">
        <v>19681796</v>
      </c>
      <c r="I88" s="5" t="s">
        <v>724</v>
      </c>
      <c r="J88" s="5" t="s">
        <v>725</v>
      </c>
      <c r="K88" s="5" t="s">
        <v>726</v>
      </c>
      <c r="L88" s="5" t="str">
        <f t="shared" si="7"/>
        <v>19681796AV6</v>
      </c>
      <c r="M88" s="5" t="s">
        <v>142</v>
      </c>
      <c r="N88" s="5" t="s">
        <v>143</v>
      </c>
      <c r="O88" s="5" t="str">
        <f t="shared" si="6"/>
        <v>CHRISTIAN TAUGNER</v>
      </c>
      <c r="P88" s="6">
        <v>45981</v>
      </c>
      <c r="Q88" s="6">
        <v>46011</v>
      </c>
      <c r="R88" s="7">
        <v>53.87</v>
      </c>
      <c r="S88" s="15">
        <v>0.375</v>
      </c>
      <c r="T88" s="5" t="s">
        <v>60</v>
      </c>
      <c r="U88" s="5" t="s">
        <v>61</v>
      </c>
      <c r="V88" s="5">
        <v>6</v>
      </c>
      <c r="W88" s="7">
        <v>20.2</v>
      </c>
      <c r="X88" s="5" t="s">
        <v>197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x14ac:dyDescent="0.25">
      <c r="A89" s="5">
        <v>2032259245</v>
      </c>
      <c r="B89" s="5" t="s">
        <v>140</v>
      </c>
      <c r="C89" s="5" t="s">
        <v>141</v>
      </c>
      <c r="D89" s="5" t="str">
        <f t="shared" si="5"/>
        <v>ELIZABETH BEZELY</v>
      </c>
      <c r="E89" s="5" t="s">
        <v>51</v>
      </c>
      <c r="F89" s="5" t="s">
        <v>64</v>
      </c>
      <c r="G89" s="5" t="s">
        <v>197</v>
      </c>
      <c r="H89" s="5">
        <v>19681796</v>
      </c>
      <c r="I89" s="5" t="s">
        <v>724</v>
      </c>
      <c r="J89" s="5" t="s">
        <v>725</v>
      </c>
      <c r="K89" s="5" t="s">
        <v>726</v>
      </c>
      <c r="L89" s="5" t="str">
        <f t="shared" si="7"/>
        <v>19681796AV6</v>
      </c>
      <c r="M89" s="5" t="s">
        <v>142</v>
      </c>
      <c r="N89" s="5" t="s">
        <v>143</v>
      </c>
      <c r="O89" s="5" t="str">
        <f t="shared" si="6"/>
        <v>CHRISTIAN TAUGNER</v>
      </c>
      <c r="P89" s="6">
        <v>45981</v>
      </c>
      <c r="Q89" s="6">
        <v>46011</v>
      </c>
      <c r="R89" s="7">
        <v>53.87</v>
      </c>
      <c r="S89" s="15">
        <v>0.375</v>
      </c>
      <c r="T89" s="5" t="s">
        <v>60</v>
      </c>
      <c r="U89" s="5" t="s">
        <v>61</v>
      </c>
      <c r="V89" s="5">
        <v>6</v>
      </c>
      <c r="W89" s="7">
        <v>20.2</v>
      </c>
      <c r="X89" s="5" t="s">
        <v>197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x14ac:dyDescent="0.25">
      <c r="A90" s="5">
        <v>2032270276</v>
      </c>
      <c r="B90" s="5" t="s">
        <v>246</v>
      </c>
      <c r="C90" s="5" t="s">
        <v>247</v>
      </c>
      <c r="D90" s="5" t="str">
        <f t="shared" si="5"/>
        <v>CLEVELAND CLARK</v>
      </c>
      <c r="E90" s="5" t="s">
        <v>51</v>
      </c>
      <c r="F90" s="5" t="s">
        <v>135</v>
      </c>
      <c r="G90" s="5" t="s">
        <v>197</v>
      </c>
      <c r="H90" s="5">
        <v>19681796</v>
      </c>
      <c r="I90" s="5" t="s">
        <v>724</v>
      </c>
      <c r="J90" s="5" t="s">
        <v>725</v>
      </c>
      <c r="K90" s="5" t="s">
        <v>726</v>
      </c>
      <c r="L90" s="5" t="str">
        <f t="shared" si="7"/>
        <v>19681796AV6</v>
      </c>
      <c r="M90" s="5" t="s">
        <v>142</v>
      </c>
      <c r="N90" s="5" t="s">
        <v>143</v>
      </c>
      <c r="O90" s="5" t="str">
        <f t="shared" si="6"/>
        <v>CHRISTIAN TAUGNER</v>
      </c>
      <c r="P90" s="6">
        <v>45982</v>
      </c>
      <c r="Q90" s="6">
        <v>46012</v>
      </c>
      <c r="R90" s="7">
        <v>41.29</v>
      </c>
      <c r="S90" s="15">
        <v>0.375</v>
      </c>
      <c r="T90" s="5" t="s">
        <v>60</v>
      </c>
      <c r="U90" s="5" t="s">
        <v>61</v>
      </c>
      <c r="V90" s="5">
        <v>6</v>
      </c>
      <c r="W90" s="7">
        <v>15.48</v>
      </c>
      <c r="X90" s="5" t="s">
        <v>197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x14ac:dyDescent="0.25">
      <c r="A91" s="5">
        <v>2032296528</v>
      </c>
      <c r="B91" s="5" t="s">
        <v>248</v>
      </c>
      <c r="C91" s="5" t="s">
        <v>249</v>
      </c>
      <c r="D91" s="5" t="str">
        <f t="shared" si="5"/>
        <v>CHRIS CABANBAN</v>
      </c>
      <c r="E91" s="5" t="s">
        <v>51</v>
      </c>
      <c r="F91" s="5" t="s">
        <v>64</v>
      </c>
      <c r="G91" s="5" t="s">
        <v>197</v>
      </c>
      <c r="H91" s="5">
        <v>8814784</v>
      </c>
      <c r="I91" s="5" t="s">
        <v>724</v>
      </c>
      <c r="J91" s="5" t="s">
        <v>725</v>
      </c>
      <c r="K91" s="5" t="s">
        <v>726</v>
      </c>
      <c r="L91" s="5" t="str">
        <f t="shared" si="7"/>
        <v>8814784AV6</v>
      </c>
      <c r="M91" s="5" t="s">
        <v>250</v>
      </c>
      <c r="N91" s="5" t="s">
        <v>251</v>
      </c>
      <c r="O91" s="5" t="str">
        <f t="shared" si="6"/>
        <v>FRANK LISKOVEC</v>
      </c>
      <c r="P91" s="6">
        <v>46023</v>
      </c>
      <c r="Q91" s="6">
        <v>46054</v>
      </c>
      <c r="R91" s="7">
        <v>54.7</v>
      </c>
      <c r="S91" s="15">
        <v>0.375</v>
      </c>
      <c r="T91" s="5" t="s">
        <v>60</v>
      </c>
      <c r="U91" s="5" t="s">
        <v>61</v>
      </c>
      <c r="V91" s="5">
        <v>6</v>
      </c>
      <c r="W91" s="7">
        <v>20.51</v>
      </c>
      <c r="X91" s="5" t="s">
        <v>197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x14ac:dyDescent="0.25">
      <c r="A92" s="5">
        <v>2032208389</v>
      </c>
      <c r="B92" s="5" t="s">
        <v>108</v>
      </c>
      <c r="C92" s="5" t="s">
        <v>68</v>
      </c>
      <c r="D92" s="5" t="str">
        <f t="shared" si="5"/>
        <v>MARY CARLSON</v>
      </c>
      <c r="E92" s="5" t="s">
        <v>51</v>
      </c>
      <c r="F92" s="5" t="s">
        <v>109</v>
      </c>
      <c r="G92" s="5" t="s">
        <v>197</v>
      </c>
      <c r="H92" s="5">
        <v>16865615</v>
      </c>
      <c r="I92" s="5" t="s">
        <v>724</v>
      </c>
      <c r="J92" s="5" t="s">
        <v>725</v>
      </c>
      <c r="K92" s="5" t="s">
        <v>726</v>
      </c>
      <c r="L92" s="5" t="str">
        <f t="shared" si="7"/>
        <v>16865615AV6</v>
      </c>
      <c r="M92" s="5" t="s">
        <v>111</v>
      </c>
      <c r="N92" s="5" t="s">
        <v>112</v>
      </c>
      <c r="O92" s="5" t="str">
        <f t="shared" si="6"/>
        <v>Heather Geske</v>
      </c>
      <c r="P92" s="6">
        <v>45979</v>
      </c>
      <c r="Q92" s="6">
        <v>46009</v>
      </c>
      <c r="R92" s="7">
        <v>47.28</v>
      </c>
      <c r="S92" s="15">
        <v>0.375</v>
      </c>
      <c r="T92" s="5" t="s">
        <v>60</v>
      </c>
      <c r="U92" s="5" t="s">
        <v>61</v>
      </c>
      <c r="V92" s="5">
        <v>6</v>
      </c>
      <c r="W92" s="7">
        <v>17.73</v>
      </c>
      <c r="X92" s="5" t="s">
        <v>197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5">
        <v>2032222105</v>
      </c>
      <c r="B93" s="5" t="s">
        <v>215</v>
      </c>
      <c r="C93" s="5" t="s">
        <v>216</v>
      </c>
      <c r="D93" s="5" t="str">
        <f t="shared" si="5"/>
        <v>CHARLES NEEDLE</v>
      </c>
      <c r="E93" s="5" t="s">
        <v>51</v>
      </c>
      <c r="F93" s="5" t="s">
        <v>109</v>
      </c>
      <c r="G93" s="5" t="s">
        <v>197</v>
      </c>
      <c r="H93" s="5">
        <v>16865615</v>
      </c>
      <c r="I93" s="5" t="s">
        <v>724</v>
      </c>
      <c r="J93" s="5" t="s">
        <v>725</v>
      </c>
      <c r="K93" s="5" t="s">
        <v>726</v>
      </c>
      <c r="L93" s="5" t="str">
        <f t="shared" si="7"/>
        <v>16865615AV6</v>
      </c>
      <c r="M93" s="5" t="s">
        <v>111</v>
      </c>
      <c r="N93" s="5" t="s">
        <v>112</v>
      </c>
      <c r="O93" s="5" t="str">
        <f t="shared" si="6"/>
        <v>Heather Geske</v>
      </c>
      <c r="P93" s="6">
        <v>45979</v>
      </c>
      <c r="Q93" s="6">
        <v>46009</v>
      </c>
      <c r="R93" s="7">
        <v>138.78</v>
      </c>
      <c r="S93" s="15">
        <v>0.375</v>
      </c>
      <c r="T93" s="5" t="s">
        <v>60</v>
      </c>
      <c r="U93" s="5" t="s">
        <v>61</v>
      </c>
      <c r="V93" s="5">
        <v>6</v>
      </c>
      <c r="W93" s="7">
        <v>52.04</v>
      </c>
      <c r="X93" s="5" t="s">
        <v>197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5">
        <v>2032233322</v>
      </c>
      <c r="B94" s="5" t="s">
        <v>225</v>
      </c>
      <c r="C94" s="5" t="s">
        <v>226</v>
      </c>
      <c r="D94" s="5" t="str">
        <f t="shared" si="5"/>
        <v>FELIPE GARCIA</v>
      </c>
      <c r="E94" s="5" t="s">
        <v>51</v>
      </c>
      <c r="F94" s="5" t="s">
        <v>64</v>
      </c>
      <c r="G94" s="5" t="s">
        <v>197</v>
      </c>
      <c r="H94" s="5">
        <v>17143996</v>
      </c>
      <c r="I94" s="5" t="s">
        <v>724</v>
      </c>
      <c r="J94" s="5" t="s">
        <v>725</v>
      </c>
      <c r="K94" s="5" t="s">
        <v>726</v>
      </c>
      <c r="L94" s="5" t="str">
        <f t="shared" si="7"/>
        <v>17143996AV6</v>
      </c>
      <c r="M94" s="5" t="s">
        <v>227</v>
      </c>
      <c r="N94" s="5" t="s">
        <v>228</v>
      </c>
      <c r="O94" s="5" t="str">
        <f t="shared" si="6"/>
        <v>James Allen</v>
      </c>
      <c r="P94" s="6">
        <v>45981</v>
      </c>
      <c r="Q94" s="6">
        <v>46011</v>
      </c>
      <c r="R94" s="7">
        <v>77.48</v>
      </c>
      <c r="S94" s="15">
        <v>0.375</v>
      </c>
      <c r="T94" s="5" t="s">
        <v>60</v>
      </c>
      <c r="U94" s="5" t="s">
        <v>61</v>
      </c>
      <c r="V94" s="5">
        <v>6</v>
      </c>
      <c r="W94" s="7">
        <v>29.06</v>
      </c>
      <c r="X94" s="5" t="s">
        <v>197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x14ac:dyDescent="0.25">
      <c r="A95" s="5">
        <v>2032320010</v>
      </c>
      <c r="B95" s="5" t="s">
        <v>254</v>
      </c>
      <c r="C95" s="5" t="s">
        <v>255</v>
      </c>
      <c r="D95" s="5" t="str">
        <f t="shared" si="5"/>
        <v>BEVERLY PHILIPS</v>
      </c>
      <c r="E95" s="5" t="s">
        <v>51</v>
      </c>
      <c r="F95" s="5" t="s">
        <v>135</v>
      </c>
      <c r="G95" s="5" t="s">
        <v>197</v>
      </c>
      <c r="H95" s="5">
        <v>21436172</v>
      </c>
      <c r="I95" s="5" t="s">
        <v>724</v>
      </c>
      <c r="J95" s="5" t="s">
        <v>725</v>
      </c>
      <c r="K95" s="5" t="s">
        <v>726</v>
      </c>
      <c r="L95" s="5" t="str">
        <f t="shared" si="7"/>
        <v>21436172AV6</v>
      </c>
      <c r="M95" s="5" t="s">
        <v>256</v>
      </c>
      <c r="N95" s="5" t="s">
        <v>257</v>
      </c>
      <c r="O95" s="5" t="str">
        <f t="shared" si="6"/>
        <v>Latesha Rose</v>
      </c>
      <c r="P95" s="6">
        <v>45984</v>
      </c>
      <c r="Q95" s="6">
        <v>46014</v>
      </c>
      <c r="R95" s="7">
        <v>69.3</v>
      </c>
      <c r="S95" s="15">
        <v>0.375</v>
      </c>
      <c r="T95" s="5" t="s">
        <v>60</v>
      </c>
      <c r="U95" s="5" t="s">
        <v>61</v>
      </c>
      <c r="V95" s="5">
        <v>6</v>
      </c>
      <c r="W95" s="7">
        <v>25.99</v>
      </c>
      <c r="X95" s="5" t="s">
        <v>197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5">
        <v>2032227315</v>
      </c>
      <c r="B96" s="5" t="s">
        <v>222</v>
      </c>
      <c r="C96" s="5" t="s">
        <v>223</v>
      </c>
      <c r="D96" s="5" t="str">
        <f t="shared" si="5"/>
        <v>FRIDA NKEMBE</v>
      </c>
      <c r="E96" s="5" t="s">
        <v>51</v>
      </c>
      <c r="F96" s="5" t="s">
        <v>224</v>
      </c>
      <c r="G96" s="5" t="s">
        <v>197</v>
      </c>
      <c r="H96" s="5">
        <v>371819</v>
      </c>
      <c r="I96" s="5" t="s">
        <v>724</v>
      </c>
      <c r="J96" s="5" t="s">
        <v>725</v>
      </c>
      <c r="K96" s="5" t="s">
        <v>726</v>
      </c>
      <c r="L96" s="5" t="str">
        <f t="shared" si="7"/>
        <v>371819AV6</v>
      </c>
      <c r="M96" s="5" t="s">
        <v>156</v>
      </c>
      <c r="N96" s="5" t="s">
        <v>157</v>
      </c>
      <c r="O96" s="5" t="str">
        <f t="shared" si="6"/>
        <v>THOMAS PARDUE</v>
      </c>
      <c r="P96" s="6">
        <v>45980</v>
      </c>
      <c r="Q96" s="6">
        <v>46010</v>
      </c>
      <c r="R96" s="7">
        <v>29.5</v>
      </c>
      <c r="S96" s="15">
        <v>0.375</v>
      </c>
      <c r="T96" s="5" t="s">
        <v>60</v>
      </c>
      <c r="U96" s="5" t="s">
        <v>61</v>
      </c>
      <c r="V96" s="5">
        <v>6</v>
      </c>
      <c r="W96" s="7">
        <v>11.06</v>
      </c>
      <c r="X96" s="5" t="s">
        <v>197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5">
        <v>2032311362</v>
      </c>
      <c r="B97" s="5" t="s">
        <v>153</v>
      </c>
      <c r="C97" s="5" t="s">
        <v>154</v>
      </c>
      <c r="D97" s="5" t="str">
        <f t="shared" si="5"/>
        <v>JONATHAN HUBBARD</v>
      </c>
      <c r="E97" s="5" t="s">
        <v>51</v>
      </c>
      <c r="F97" s="5" t="s">
        <v>155</v>
      </c>
      <c r="G97" s="5" t="s">
        <v>197</v>
      </c>
      <c r="H97" s="5">
        <v>371819</v>
      </c>
      <c r="I97" s="5" t="s">
        <v>724</v>
      </c>
      <c r="J97" s="5" t="s">
        <v>725</v>
      </c>
      <c r="K97" s="5" t="s">
        <v>726</v>
      </c>
      <c r="L97" s="5" t="str">
        <f t="shared" si="7"/>
        <v>371819AV6</v>
      </c>
      <c r="M97" s="5" t="s">
        <v>156</v>
      </c>
      <c r="N97" s="5" t="s">
        <v>157</v>
      </c>
      <c r="O97" s="5" t="str">
        <f t="shared" si="6"/>
        <v>THOMAS PARDUE</v>
      </c>
      <c r="P97" s="6">
        <v>46023</v>
      </c>
      <c r="Q97" s="6">
        <v>46054</v>
      </c>
      <c r="R97" s="7">
        <v>26.86</v>
      </c>
      <c r="S97" s="15">
        <v>0.375</v>
      </c>
      <c r="T97" s="5" t="s">
        <v>60</v>
      </c>
      <c r="U97" s="5" t="s">
        <v>61</v>
      </c>
      <c r="V97" s="5">
        <v>6</v>
      </c>
      <c r="W97" s="7">
        <v>10.07</v>
      </c>
      <c r="X97" s="5" t="s">
        <v>197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s="5" customFormat="1" x14ac:dyDescent="0.25">
      <c r="A98" s="5">
        <v>2032256024</v>
      </c>
      <c r="B98" s="5" t="s">
        <v>241</v>
      </c>
      <c r="C98" s="5" t="s">
        <v>242</v>
      </c>
      <c r="D98" s="5" t="str">
        <f t="shared" ref="D98:D129" si="8">CONCATENATE(C98," ",B98)</f>
        <v>ROBERT DAVIS</v>
      </c>
      <c r="E98" s="5" t="s">
        <v>51</v>
      </c>
      <c r="F98" s="5" t="s">
        <v>109</v>
      </c>
      <c r="G98" s="5" t="s">
        <v>197</v>
      </c>
      <c r="H98" s="5">
        <v>21313588</v>
      </c>
      <c r="I98" s="5" t="s">
        <v>724</v>
      </c>
      <c r="J98" s="5" t="s">
        <v>725</v>
      </c>
      <c r="K98" s="5" t="s">
        <v>726</v>
      </c>
      <c r="L98" s="5" t="str">
        <f t="shared" si="7"/>
        <v>21313588AV6</v>
      </c>
      <c r="M98" s="5" t="s">
        <v>243</v>
      </c>
      <c r="N98" s="5" t="s">
        <v>81</v>
      </c>
      <c r="O98" s="5" t="str">
        <f t="shared" ref="O98:O129" si="9">CONCATENATE(N98," ",M98)</f>
        <v>WILLIAM GESKE</v>
      </c>
      <c r="P98" s="6">
        <v>45981</v>
      </c>
      <c r="Q98" s="6">
        <v>46011</v>
      </c>
      <c r="R98" s="7">
        <v>71.760000000000005</v>
      </c>
      <c r="S98" s="15">
        <v>0.375</v>
      </c>
      <c r="T98" s="5" t="s">
        <v>60</v>
      </c>
      <c r="U98" s="5" t="s">
        <v>61</v>
      </c>
      <c r="V98" s="5">
        <v>6</v>
      </c>
      <c r="W98" s="7">
        <v>26.91</v>
      </c>
      <c r="X98" s="5" t="s">
        <v>197</v>
      </c>
    </row>
    <row r="99" spans="1:54" s="5" customFormat="1" x14ac:dyDescent="0.25">
      <c r="A99" s="5">
        <v>2032249286</v>
      </c>
      <c r="B99" s="5" t="s">
        <v>136</v>
      </c>
      <c r="C99" s="5" t="s">
        <v>137</v>
      </c>
      <c r="D99" s="5" t="str">
        <f t="shared" si="8"/>
        <v>ANNIE ALDEA</v>
      </c>
      <c r="E99" s="5" t="s">
        <v>51</v>
      </c>
      <c r="F99" s="5" t="s">
        <v>64</v>
      </c>
      <c r="G99" s="5" t="s">
        <v>265</v>
      </c>
      <c r="H99" s="5">
        <v>7470776</v>
      </c>
      <c r="I99" s="5" t="s">
        <v>724</v>
      </c>
      <c r="J99" s="5" t="s">
        <v>725</v>
      </c>
      <c r="K99" s="5" t="s">
        <v>726</v>
      </c>
      <c r="L99" s="5" t="str">
        <f t="shared" si="7"/>
        <v>7470776AV6</v>
      </c>
      <c r="M99" s="5" t="s">
        <v>115</v>
      </c>
      <c r="N99" s="5" t="s">
        <v>116</v>
      </c>
      <c r="O99" s="5" t="str">
        <f t="shared" si="9"/>
        <v>Andrew Choi</v>
      </c>
      <c r="P99" s="6">
        <v>46023</v>
      </c>
      <c r="Q99" s="6">
        <v>46054</v>
      </c>
      <c r="R99" s="7">
        <v>114.25</v>
      </c>
      <c r="S99" s="14">
        <v>0.9</v>
      </c>
      <c r="T99" s="5" t="s">
        <v>60</v>
      </c>
      <c r="U99" s="5" t="s">
        <v>61</v>
      </c>
      <c r="V99" s="5">
        <v>6</v>
      </c>
      <c r="W99" s="7">
        <v>102.82</v>
      </c>
      <c r="X99" s="5" t="s">
        <v>265</v>
      </c>
    </row>
    <row r="100" spans="1:54" s="5" customFormat="1" x14ac:dyDescent="0.25">
      <c r="A100" s="5">
        <v>2032305552</v>
      </c>
      <c r="B100" s="5" t="s">
        <v>252</v>
      </c>
      <c r="C100" s="5" t="s">
        <v>253</v>
      </c>
      <c r="D100" s="5" t="str">
        <f t="shared" si="8"/>
        <v>DAVID IMPEY</v>
      </c>
      <c r="E100" s="5" t="s">
        <v>51</v>
      </c>
      <c r="F100" s="5" t="s">
        <v>64</v>
      </c>
      <c r="G100" s="5" t="s">
        <v>265</v>
      </c>
      <c r="H100" s="5">
        <v>7470776</v>
      </c>
      <c r="I100" s="5" t="s">
        <v>724</v>
      </c>
      <c r="J100" s="5" t="s">
        <v>725</v>
      </c>
      <c r="K100" s="5" t="s">
        <v>726</v>
      </c>
      <c r="L100" s="5" t="str">
        <f t="shared" si="7"/>
        <v>7470776AV6</v>
      </c>
      <c r="M100" s="5" t="s">
        <v>115</v>
      </c>
      <c r="N100" s="5" t="s">
        <v>116</v>
      </c>
      <c r="O100" s="5" t="str">
        <f t="shared" si="9"/>
        <v>Andrew Choi</v>
      </c>
      <c r="P100" s="6">
        <v>46023</v>
      </c>
      <c r="Q100" s="6">
        <v>46054</v>
      </c>
      <c r="R100" s="7">
        <v>35.85</v>
      </c>
      <c r="S100" s="14">
        <v>0.9</v>
      </c>
      <c r="T100" s="5" t="s">
        <v>60</v>
      </c>
      <c r="U100" s="5" t="s">
        <v>61</v>
      </c>
      <c r="V100" s="5">
        <v>6</v>
      </c>
      <c r="W100" s="7">
        <v>32.26</v>
      </c>
      <c r="X100" s="5" t="s">
        <v>265</v>
      </c>
    </row>
    <row r="101" spans="1:54" s="5" customFormat="1" x14ac:dyDescent="0.25">
      <c r="A101" s="5">
        <v>2032270278</v>
      </c>
      <c r="B101" s="5" t="s">
        <v>246</v>
      </c>
      <c r="C101" s="5" t="s">
        <v>247</v>
      </c>
      <c r="D101" s="5" t="str">
        <f t="shared" si="8"/>
        <v>CLEVELAND CLARK</v>
      </c>
      <c r="E101" s="5" t="s">
        <v>51</v>
      </c>
      <c r="F101" s="5" t="s">
        <v>135</v>
      </c>
      <c r="G101" s="5" t="s">
        <v>265</v>
      </c>
      <c r="H101" s="5">
        <v>19681796</v>
      </c>
      <c r="I101" s="5" t="s">
        <v>724</v>
      </c>
      <c r="J101" s="5" t="s">
        <v>725</v>
      </c>
      <c r="K101" s="5" t="s">
        <v>726</v>
      </c>
      <c r="L101" s="5" t="str">
        <f t="shared" si="7"/>
        <v>19681796AV6</v>
      </c>
      <c r="M101" s="5" t="s">
        <v>142</v>
      </c>
      <c r="N101" s="5" t="s">
        <v>143</v>
      </c>
      <c r="O101" s="5" t="str">
        <f t="shared" si="9"/>
        <v>CHRISTIAN TAUGNER</v>
      </c>
      <c r="P101" s="6">
        <v>45982</v>
      </c>
      <c r="Q101" s="6">
        <v>46012</v>
      </c>
      <c r="R101" s="7">
        <v>11.88</v>
      </c>
      <c r="S101" s="14">
        <v>0.9</v>
      </c>
      <c r="T101" s="5" t="s">
        <v>60</v>
      </c>
      <c r="U101" s="5" t="s">
        <v>61</v>
      </c>
      <c r="V101" s="5">
        <v>6</v>
      </c>
      <c r="W101" s="7">
        <v>10.69</v>
      </c>
      <c r="X101" s="5" t="s">
        <v>265</v>
      </c>
    </row>
    <row r="102" spans="1:54" s="5" customFormat="1" x14ac:dyDescent="0.25">
      <c r="A102" s="5">
        <v>2032226955</v>
      </c>
      <c r="B102" s="5" t="s">
        <v>178</v>
      </c>
      <c r="C102" s="5" t="s">
        <v>179</v>
      </c>
      <c r="D102" s="5" t="str">
        <f t="shared" si="8"/>
        <v>JOSE DURAN</v>
      </c>
      <c r="E102" s="5" t="s">
        <v>51</v>
      </c>
      <c r="F102" s="5" t="s">
        <v>64</v>
      </c>
      <c r="G102" s="5" t="s">
        <v>265</v>
      </c>
      <c r="H102" s="5">
        <v>8325282</v>
      </c>
      <c r="I102" s="5" t="s">
        <v>724</v>
      </c>
      <c r="J102" s="5" t="s">
        <v>725</v>
      </c>
      <c r="K102" s="5" t="s">
        <v>726</v>
      </c>
      <c r="L102" s="5" t="str">
        <f t="shared" si="7"/>
        <v>8325282AV6</v>
      </c>
      <c r="M102" s="5" t="s">
        <v>101</v>
      </c>
      <c r="N102" s="5" t="s">
        <v>102</v>
      </c>
      <c r="O102" s="5" t="str">
        <f t="shared" si="9"/>
        <v>Dale Walenga</v>
      </c>
      <c r="P102" s="6">
        <v>45992</v>
      </c>
      <c r="Q102" s="6">
        <v>46023</v>
      </c>
      <c r="R102" s="7">
        <v>51.25</v>
      </c>
      <c r="S102" s="14">
        <v>0.9</v>
      </c>
      <c r="T102" s="5" t="s">
        <v>60</v>
      </c>
      <c r="U102" s="5" t="s">
        <v>61</v>
      </c>
      <c r="V102" s="5">
        <v>6</v>
      </c>
      <c r="W102" s="7">
        <v>46.12</v>
      </c>
      <c r="X102" s="5" t="s">
        <v>265</v>
      </c>
    </row>
    <row r="103" spans="1:54" s="5" customFormat="1" x14ac:dyDescent="0.25">
      <c r="A103" s="5">
        <v>2032208390</v>
      </c>
      <c r="B103" s="5" t="s">
        <v>108</v>
      </c>
      <c r="C103" s="5" t="s">
        <v>68</v>
      </c>
      <c r="D103" s="5" t="str">
        <f t="shared" si="8"/>
        <v>MARY CARLSON</v>
      </c>
      <c r="E103" s="5" t="s">
        <v>51</v>
      </c>
      <c r="F103" s="5" t="s">
        <v>109</v>
      </c>
      <c r="G103" s="5" t="s">
        <v>265</v>
      </c>
      <c r="H103" s="5">
        <v>16865615</v>
      </c>
      <c r="I103" s="5" t="s">
        <v>724</v>
      </c>
      <c r="J103" s="5" t="s">
        <v>725</v>
      </c>
      <c r="K103" s="5" t="s">
        <v>726</v>
      </c>
      <c r="L103" s="5" t="str">
        <f t="shared" si="7"/>
        <v>16865615AV6</v>
      </c>
      <c r="M103" s="5" t="s">
        <v>111</v>
      </c>
      <c r="N103" s="5" t="s">
        <v>112</v>
      </c>
      <c r="O103" s="5" t="str">
        <f t="shared" si="9"/>
        <v>Heather Geske</v>
      </c>
      <c r="P103" s="6">
        <v>45979</v>
      </c>
      <c r="Q103" s="6">
        <v>46009</v>
      </c>
      <c r="R103" s="7">
        <v>37</v>
      </c>
      <c r="S103" s="14">
        <v>0.9</v>
      </c>
      <c r="T103" s="5" t="s">
        <v>60</v>
      </c>
      <c r="U103" s="5" t="s">
        <v>61</v>
      </c>
      <c r="V103" s="5">
        <v>6</v>
      </c>
      <c r="W103" s="7">
        <v>33.299999999999997</v>
      </c>
      <c r="X103" s="5" t="s">
        <v>265</v>
      </c>
    </row>
    <row r="104" spans="1:54" x14ac:dyDescent="0.25">
      <c r="A104" s="5">
        <v>2032320012</v>
      </c>
      <c r="B104" s="5" t="s">
        <v>254</v>
      </c>
      <c r="C104" s="5" t="s">
        <v>255</v>
      </c>
      <c r="D104" s="5" t="str">
        <f t="shared" si="8"/>
        <v>BEVERLY PHILIPS</v>
      </c>
      <c r="E104" s="5" t="s">
        <v>51</v>
      </c>
      <c r="F104" s="5" t="s">
        <v>135</v>
      </c>
      <c r="G104" s="5" t="s">
        <v>265</v>
      </c>
      <c r="H104" s="5">
        <v>21436172</v>
      </c>
      <c r="I104" s="5" t="s">
        <v>724</v>
      </c>
      <c r="J104" s="5" t="s">
        <v>725</v>
      </c>
      <c r="K104" s="5" t="s">
        <v>726</v>
      </c>
      <c r="L104" s="5" t="str">
        <f t="shared" si="7"/>
        <v>21436172AV6</v>
      </c>
      <c r="M104" s="5" t="s">
        <v>256</v>
      </c>
      <c r="N104" s="5" t="s">
        <v>257</v>
      </c>
      <c r="O104" s="5" t="str">
        <f t="shared" si="9"/>
        <v>Latesha Rose</v>
      </c>
      <c r="P104" s="6">
        <v>45984</v>
      </c>
      <c r="Q104" s="6">
        <v>46014</v>
      </c>
      <c r="R104" s="7">
        <v>123.06</v>
      </c>
      <c r="S104" s="14">
        <v>0.9</v>
      </c>
      <c r="T104" s="5" t="s">
        <v>60</v>
      </c>
      <c r="U104" s="5" t="s">
        <v>61</v>
      </c>
      <c r="V104" s="5">
        <v>6</v>
      </c>
      <c r="W104" s="7">
        <v>110.75</v>
      </c>
      <c r="X104" s="5" t="s">
        <v>265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x14ac:dyDescent="0.25">
      <c r="A105" s="5">
        <v>2032236390</v>
      </c>
      <c r="B105" s="5" t="s">
        <v>283</v>
      </c>
      <c r="C105" s="5" t="s">
        <v>284</v>
      </c>
      <c r="D105" s="5" t="str">
        <f t="shared" si="8"/>
        <v>ASHLEY CHESTANG</v>
      </c>
      <c r="E105" s="5" t="s">
        <v>51</v>
      </c>
      <c r="F105" s="5" t="s">
        <v>155</v>
      </c>
      <c r="G105" s="5" t="s">
        <v>265</v>
      </c>
      <c r="H105" s="5">
        <v>371819</v>
      </c>
      <c r="I105" s="5" t="s">
        <v>724</v>
      </c>
      <c r="J105" s="5" t="s">
        <v>725</v>
      </c>
      <c r="K105" s="5" t="s">
        <v>726</v>
      </c>
      <c r="L105" s="5" t="str">
        <f t="shared" si="7"/>
        <v>371819AV6</v>
      </c>
      <c r="M105" s="5" t="s">
        <v>156</v>
      </c>
      <c r="N105" s="5" t="s">
        <v>157</v>
      </c>
      <c r="O105" s="5" t="str">
        <f t="shared" si="9"/>
        <v>THOMAS PARDUE</v>
      </c>
      <c r="P105" s="6">
        <v>45980</v>
      </c>
      <c r="Q105" s="6">
        <v>46010</v>
      </c>
      <c r="R105" s="7">
        <v>21.83</v>
      </c>
      <c r="S105" s="14">
        <v>0.9</v>
      </c>
      <c r="T105" s="5" t="s">
        <v>60</v>
      </c>
      <c r="U105" s="5" t="s">
        <v>61</v>
      </c>
      <c r="V105" s="5">
        <v>6</v>
      </c>
      <c r="W105" s="7">
        <v>19.649999999999999</v>
      </c>
      <c r="X105" s="5" t="s">
        <v>265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s="5" customFormat="1" x14ac:dyDescent="0.25">
      <c r="A106" s="5">
        <v>2032245740</v>
      </c>
      <c r="B106" s="5" t="s">
        <v>293</v>
      </c>
      <c r="C106" s="5" t="s">
        <v>210</v>
      </c>
      <c r="D106" s="5" t="str">
        <f t="shared" si="8"/>
        <v>GARY CONCHO</v>
      </c>
      <c r="E106" s="5" t="s">
        <v>51</v>
      </c>
      <c r="F106" s="5" t="s">
        <v>294</v>
      </c>
      <c r="G106" s="5" t="s">
        <v>265</v>
      </c>
      <c r="H106" s="5">
        <v>371819</v>
      </c>
      <c r="I106" s="5" t="s">
        <v>724</v>
      </c>
      <c r="J106" s="5" t="s">
        <v>725</v>
      </c>
      <c r="K106" s="5" t="s">
        <v>726</v>
      </c>
      <c r="L106" s="5" t="str">
        <f t="shared" si="7"/>
        <v>371819AV6</v>
      </c>
      <c r="M106" s="5" t="s">
        <v>156</v>
      </c>
      <c r="N106" s="5" t="s">
        <v>157</v>
      </c>
      <c r="O106" s="5" t="str">
        <f t="shared" si="9"/>
        <v>THOMAS PARDUE</v>
      </c>
      <c r="P106" s="6">
        <v>45982</v>
      </c>
      <c r="Q106" s="6">
        <v>46012</v>
      </c>
      <c r="R106" s="7">
        <v>74.92</v>
      </c>
      <c r="S106" s="14">
        <v>0.9</v>
      </c>
      <c r="T106" s="5" t="s">
        <v>60</v>
      </c>
      <c r="U106" s="5" t="s">
        <v>61</v>
      </c>
      <c r="V106" s="5">
        <v>6</v>
      </c>
      <c r="W106" s="7">
        <v>67.430000000000007</v>
      </c>
      <c r="X106" s="5" t="s">
        <v>265</v>
      </c>
    </row>
    <row r="107" spans="1:54" s="5" customFormat="1" x14ac:dyDescent="0.25">
      <c r="A107" s="5">
        <v>2032209136</v>
      </c>
      <c r="B107" s="5" t="s">
        <v>62</v>
      </c>
      <c r="C107" s="5" t="s">
        <v>63</v>
      </c>
      <c r="D107" s="5" t="str">
        <f t="shared" si="8"/>
        <v>KELLY KOCHER</v>
      </c>
      <c r="E107" s="5" t="s">
        <v>51</v>
      </c>
      <c r="F107" s="5" t="s">
        <v>64</v>
      </c>
      <c r="G107" s="5" t="s">
        <v>54</v>
      </c>
      <c r="H107" s="5">
        <v>8812322</v>
      </c>
      <c r="I107" s="5" t="s">
        <v>724</v>
      </c>
      <c r="J107" s="5" t="s">
        <v>725</v>
      </c>
      <c r="K107" s="5" t="s">
        <v>726</v>
      </c>
      <c r="L107" s="5" t="str">
        <f t="shared" si="7"/>
        <v>8812322AV6</v>
      </c>
      <c r="M107" s="5" t="s">
        <v>65</v>
      </c>
      <c r="N107" s="5" t="s">
        <v>66</v>
      </c>
      <c r="O107" s="5" t="str">
        <f t="shared" si="9"/>
        <v>Matthew Sherman</v>
      </c>
      <c r="P107" s="6">
        <v>46023</v>
      </c>
      <c r="Q107" s="6">
        <v>46054</v>
      </c>
      <c r="R107" s="7">
        <v>75.75</v>
      </c>
      <c r="S107" s="14">
        <v>0.6</v>
      </c>
      <c r="T107" s="5" t="s">
        <v>60</v>
      </c>
      <c r="U107" s="5" t="s">
        <v>61</v>
      </c>
      <c r="V107" s="5">
        <v>6</v>
      </c>
      <c r="W107" s="7">
        <v>45.45</v>
      </c>
      <c r="X107" s="5" t="s">
        <v>54</v>
      </c>
    </row>
    <row r="108" spans="1:54" s="5" customFormat="1" x14ac:dyDescent="0.25">
      <c r="A108" s="5">
        <v>2032217925</v>
      </c>
      <c r="B108" s="5" t="s">
        <v>72</v>
      </c>
      <c r="C108" s="5" t="s">
        <v>73</v>
      </c>
      <c r="D108" s="5" t="str">
        <f t="shared" si="8"/>
        <v>SUSAN WEIKLE</v>
      </c>
      <c r="E108" s="5" t="s">
        <v>51</v>
      </c>
      <c r="F108" s="5" t="s">
        <v>64</v>
      </c>
      <c r="G108" s="5" t="s">
        <v>54</v>
      </c>
      <c r="H108" s="5">
        <v>8812322</v>
      </c>
      <c r="I108" s="5" t="s">
        <v>724</v>
      </c>
      <c r="J108" s="5" t="s">
        <v>725</v>
      </c>
      <c r="K108" s="5" t="s">
        <v>726</v>
      </c>
      <c r="L108" s="5" t="str">
        <f t="shared" si="7"/>
        <v>8812322AV6</v>
      </c>
      <c r="M108" s="5" t="s">
        <v>65</v>
      </c>
      <c r="N108" s="5" t="s">
        <v>66</v>
      </c>
      <c r="O108" s="5" t="str">
        <f t="shared" si="9"/>
        <v>Matthew Sherman</v>
      </c>
      <c r="P108" s="6">
        <v>46023</v>
      </c>
      <c r="Q108" s="6">
        <v>46054</v>
      </c>
      <c r="R108" s="7">
        <v>56.69</v>
      </c>
      <c r="S108" s="14">
        <v>0.6</v>
      </c>
      <c r="T108" s="5" t="s">
        <v>60</v>
      </c>
      <c r="U108" s="5" t="s">
        <v>61</v>
      </c>
      <c r="V108" s="5">
        <v>6</v>
      </c>
      <c r="W108" s="7">
        <v>34.01</v>
      </c>
      <c r="X108" s="5" t="s">
        <v>54</v>
      </c>
    </row>
    <row r="109" spans="1:54" s="5" customFormat="1" x14ac:dyDescent="0.25">
      <c r="A109" s="5">
        <v>2032231077</v>
      </c>
      <c r="B109" s="5" t="s">
        <v>74</v>
      </c>
      <c r="C109" s="5" t="s">
        <v>75</v>
      </c>
      <c r="D109" s="5" t="str">
        <f t="shared" si="8"/>
        <v>BRADLEY SANDERS</v>
      </c>
      <c r="E109" s="5" t="s">
        <v>51</v>
      </c>
      <c r="F109" s="5" t="s">
        <v>64</v>
      </c>
      <c r="G109" s="5" t="s">
        <v>54</v>
      </c>
      <c r="H109" s="5">
        <v>8812322</v>
      </c>
      <c r="I109" s="5" t="s">
        <v>724</v>
      </c>
      <c r="J109" s="5" t="s">
        <v>725</v>
      </c>
      <c r="K109" s="5" t="s">
        <v>726</v>
      </c>
      <c r="L109" s="5" t="str">
        <f t="shared" si="7"/>
        <v>8812322AV6</v>
      </c>
      <c r="M109" s="5" t="s">
        <v>65</v>
      </c>
      <c r="N109" s="5" t="s">
        <v>66</v>
      </c>
      <c r="O109" s="5" t="str">
        <f t="shared" si="9"/>
        <v>Matthew Sherman</v>
      </c>
      <c r="P109" s="6">
        <v>46023</v>
      </c>
      <c r="Q109" s="6">
        <v>46054</v>
      </c>
      <c r="R109" s="7">
        <v>79.75</v>
      </c>
      <c r="S109" s="14">
        <v>0.6</v>
      </c>
      <c r="T109" s="5" t="s">
        <v>60</v>
      </c>
      <c r="U109" s="5" t="s">
        <v>61</v>
      </c>
      <c r="V109" s="5">
        <v>6</v>
      </c>
      <c r="W109" s="7">
        <v>47.85</v>
      </c>
      <c r="X109" s="5" t="s">
        <v>54</v>
      </c>
    </row>
    <row r="110" spans="1:54" s="5" customFormat="1" x14ac:dyDescent="0.25">
      <c r="A110" s="5">
        <v>2032247824</v>
      </c>
      <c r="B110" s="5" t="s">
        <v>76</v>
      </c>
      <c r="C110" s="5" t="s">
        <v>77</v>
      </c>
      <c r="D110" s="5" t="str">
        <f t="shared" si="8"/>
        <v>CRAIG HANNIG</v>
      </c>
      <c r="E110" s="5" t="s">
        <v>51</v>
      </c>
      <c r="F110" s="5" t="s">
        <v>64</v>
      </c>
      <c r="G110" s="5" t="s">
        <v>54</v>
      </c>
      <c r="H110" s="5">
        <v>8812322</v>
      </c>
      <c r="I110" s="5" t="s">
        <v>724</v>
      </c>
      <c r="J110" s="5" t="s">
        <v>725</v>
      </c>
      <c r="K110" s="5" t="s">
        <v>726</v>
      </c>
      <c r="L110" s="5" t="str">
        <f t="shared" si="7"/>
        <v>8812322AV6</v>
      </c>
      <c r="M110" s="5" t="s">
        <v>65</v>
      </c>
      <c r="N110" s="5" t="s">
        <v>66</v>
      </c>
      <c r="O110" s="5" t="str">
        <f t="shared" si="9"/>
        <v>Matthew Sherman</v>
      </c>
      <c r="P110" s="6">
        <v>46023</v>
      </c>
      <c r="Q110" s="6">
        <v>46054</v>
      </c>
      <c r="R110" s="7">
        <v>95.73</v>
      </c>
      <c r="S110" s="14">
        <v>0.6</v>
      </c>
      <c r="T110" s="5" t="s">
        <v>60</v>
      </c>
      <c r="U110" s="5" t="s">
        <v>61</v>
      </c>
      <c r="V110" s="5">
        <v>6</v>
      </c>
      <c r="W110" s="7">
        <v>57.44</v>
      </c>
      <c r="X110" s="5" t="s">
        <v>54</v>
      </c>
    </row>
    <row r="111" spans="1:54" s="5" customFormat="1" x14ac:dyDescent="0.25">
      <c r="A111" s="5">
        <v>2032262158</v>
      </c>
      <c r="B111" s="5" t="s">
        <v>78</v>
      </c>
      <c r="C111" s="5" t="s">
        <v>79</v>
      </c>
      <c r="D111" s="5" t="str">
        <f t="shared" si="8"/>
        <v>DANIEL HILDENBRAND</v>
      </c>
      <c r="E111" s="5" t="s">
        <v>51</v>
      </c>
      <c r="F111" s="5" t="s">
        <v>64</v>
      </c>
      <c r="G111" s="5" t="s">
        <v>54</v>
      </c>
      <c r="H111" s="5">
        <v>8812322</v>
      </c>
      <c r="I111" s="5" t="s">
        <v>724</v>
      </c>
      <c r="J111" s="5" t="s">
        <v>725</v>
      </c>
      <c r="K111" s="5" t="s">
        <v>726</v>
      </c>
      <c r="L111" s="5" t="str">
        <f t="shared" si="7"/>
        <v>8812322AV6</v>
      </c>
      <c r="M111" s="5" t="s">
        <v>65</v>
      </c>
      <c r="N111" s="5" t="s">
        <v>66</v>
      </c>
      <c r="O111" s="5" t="str">
        <f t="shared" si="9"/>
        <v>Matthew Sherman</v>
      </c>
      <c r="P111" s="6">
        <v>46023</v>
      </c>
      <c r="Q111" s="6">
        <v>46054</v>
      </c>
      <c r="R111" s="7">
        <v>108.52</v>
      </c>
      <c r="S111" s="14">
        <v>0.6</v>
      </c>
      <c r="T111" s="5" t="s">
        <v>60</v>
      </c>
      <c r="U111" s="5" t="s">
        <v>61</v>
      </c>
      <c r="V111" s="5">
        <v>6</v>
      </c>
      <c r="W111" s="7">
        <v>65.11</v>
      </c>
      <c r="X111" s="5" t="s">
        <v>54</v>
      </c>
    </row>
    <row r="112" spans="1:54" s="5" customFormat="1" x14ac:dyDescent="0.25">
      <c r="A112" s="5">
        <v>2032306214</v>
      </c>
      <c r="B112" s="5" t="s">
        <v>86</v>
      </c>
      <c r="C112" s="5" t="s">
        <v>87</v>
      </c>
      <c r="D112" s="5" t="str">
        <f t="shared" si="8"/>
        <v>MELISSA PHILLIPS</v>
      </c>
      <c r="E112" s="5" t="s">
        <v>51</v>
      </c>
      <c r="F112" s="5" t="s">
        <v>64</v>
      </c>
      <c r="G112" s="5" t="s">
        <v>54</v>
      </c>
      <c r="H112" s="5">
        <v>8812322</v>
      </c>
      <c r="I112" s="5" t="s">
        <v>724</v>
      </c>
      <c r="J112" s="5" t="s">
        <v>725</v>
      </c>
      <c r="K112" s="5" t="s">
        <v>726</v>
      </c>
      <c r="L112" s="5" t="str">
        <f t="shared" si="7"/>
        <v>8812322AV6</v>
      </c>
      <c r="M112" s="5" t="s">
        <v>65</v>
      </c>
      <c r="N112" s="5" t="s">
        <v>66</v>
      </c>
      <c r="O112" s="5" t="str">
        <f t="shared" si="9"/>
        <v>Matthew Sherman</v>
      </c>
      <c r="P112" s="6">
        <v>46023</v>
      </c>
      <c r="Q112" s="6">
        <v>46054</v>
      </c>
      <c r="R112" s="7">
        <v>52.69</v>
      </c>
      <c r="S112" s="14">
        <v>0.6</v>
      </c>
      <c r="T112" s="5" t="s">
        <v>60</v>
      </c>
      <c r="U112" s="5" t="s">
        <v>61</v>
      </c>
      <c r="V112" s="5">
        <v>6</v>
      </c>
      <c r="W112" s="7">
        <v>31.61</v>
      </c>
      <c r="X112" s="5" t="s">
        <v>54</v>
      </c>
    </row>
    <row r="113" spans="1:54" x14ac:dyDescent="0.25">
      <c r="A113">
        <v>2032206980</v>
      </c>
      <c r="B113" t="s">
        <v>206</v>
      </c>
      <c r="C113" t="s">
        <v>207</v>
      </c>
      <c r="D113" t="str">
        <f t="shared" si="8"/>
        <v>STEPHEN MATTINGLY</v>
      </c>
      <c r="E113" t="s">
        <v>51</v>
      </c>
      <c r="F113" t="s">
        <v>208</v>
      </c>
      <c r="G113" t="s">
        <v>264</v>
      </c>
      <c r="H113">
        <v>9213293</v>
      </c>
      <c r="J113" t="s">
        <v>316</v>
      </c>
      <c r="K113" t="s">
        <v>727</v>
      </c>
      <c r="L113">
        <v>9213293</v>
      </c>
      <c r="M113" t="s">
        <v>209</v>
      </c>
      <c r="N113" t="s">
        <v>210</v>
      </c>
      <c r="O113" t="str">
        <f t="shared" si="9"/>
        <v>GARY PORTUGAL</v>
      </c>
      <c r="P113" s="1">
        <v>45979</v>
      </c>
      <c r="Q113" s="1">
        <v>46009</v>
      </c>
      <c r="R113" s="2">
        <v>21.44</v>
      </c>
      <c r="S113" s="3">
        <v>0.7</v>
      </c>
      <c r="T113" t="s">
        <v>60</v>
      </c>
      <c r="U113" t="s">
        <v>61</v>
      </c>
      <c r="V113">
        <v>6</v>
      </c>
      <c r="W113" s="2">
        <v>15.01</v>
      </c>
      <c r="X113" t="s">
        <v>562</v>
      </c>
    </row>
    <row r="114" spans="1:54" s="5" customFormat="1" x14ac:dyDescent="0.25">
      <c r="A114">
        <v>2032225156</v>
      </c>
      <c r="B114" t="s">
        <v>124</v>
      </c>
      <c r="C114" t="s">
        <v>68</v>
      </c>
      <c r="D114" t="str">
        <f t="shared" si="8"/>
        <v>MARY LYNCH</v>
      </c>
      <c r="E114" t="s">
        <v>51</v>
      </c>
      <c r="F114" t="s">
        <v>95</v>
      </c>
      <c r="G114" t="s">
        <v>264</v>
      </c>
      <c r="H114">
        <v>5442438</v>
      </c>
      <c r="I114"/>
      <c r="J114" t="s">
        <v>316</v>
      </c>
      <c r="K114" t="s">
        <v>727</v>
      </c>
      <c r="L114">
        <v>5442438</v>
      </c>
      <c r="M114" t="s">
        <v>125</v>
      </c>
      <c r="N114" t="s">
        <v>126</v>
      </c>
      <c r="O114" t="str">
        <f t="shared" si="9"/>
        <v>Ronald Max</v>
      </c>
      <c r="P114" s="1">
        <v>45992</v>
      </c>
      <c r="Q114" s="1">
        <v>46023</v>
      </c>
      <c r="R114" s="2">
        <v>24.61</v>
      </c>
      <c r="S114" s="3">
        <v>0.7</v>
      </c>
      <c r="T114" t="s">
        <v>60</v>
      </c>
      <c r="U114" t="s">
        <v>61</v>
      </c>
      <c r="V114">
        <v>6</v>
      </c>
      <c r="W114" s="2">
        <v>17.23</v>
      </c>
      <c r="X114" t="s">
        <v>562</v>
      </c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1:54" s="5" customFormat="1" x14ac:dyDescent="0.25">
      <c r="A115">
        <v>2032297146</v>
      </c>
      <c r="B115" t="s">
        <v>307</v>
      </c>
      <c r="C115" t="s">
        <v>83</v>
      </c>
      <c r="D115" t="str">
        <f t="shared" si="8"/>
        <v>JOHN MULLHAUSEN</v>
      </c>
      <c r="E115" t="s">
        <v>51</v>
      </c>
      <c r="F115" t="s">
        <v>95</v>
      </c>
      <c r="G115" t="s">
        <v>264</v>
      </c>
      <c r="H115">
        <v>5442438</v>
      </c>
      <c r="I115"/>
      <c r="J115" t="s">
        <v>316</v>
      </c>
      <c r="K115" t="s">
        <v>727</v>
      </c>
      <c r="L115">
        <v>5442438</v>
      </c>
      <c r="M115" t="s">
        <v>125</v>
      </c>
      <c r="N115" t="s">
        <v>126</v>
      </c>
      <c r="O115" t="str">
        <f t="shared" si="9"/>
        <v>Ronald Max</v>
      </c>
      <c r="P115" s="1">
        <v>45988</v>
      </c>
      <c r="Q115" s="1">
        <v>46018</v>
      </c>
      <c r="R115" s="2">
        <v>24.61</v>
      </c>
      <c r="S115" s="3">
        <v>0.7</v>
      </c>
      <c r="T115" t="s">
        <v>60</v>
      </c>
      <c r="U115" t="s">
        <v>61</v>
      </c>
      <c r="V115">
        <v>6</v>
      </c>
      <c r="W115" s="2">
        <v>17.23</v>
      </c>
      <c r="X115" t="s">
        <v>562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 spans="1:54" s="5" customFormat="1" x14ac:dyDescent="0.25">
      <c r="A116">
        <v>2032218882</v>
      </c>
      <c r="B116" t="s">
        <v>117</v>
      </c>
      <c r="C116" t="s">
        <v>118</v>
      </c>
      <c r="D116" t="str">
        <f t="shared" si="8"/>
        <v>BRAYDEN SMITH</v>
      </c>
      <c r="E116" t="s">
        <v>51</v>
      </c>
      <c r="F116" t="s">
        <v>119</v>
      </c>
      <c r="G116" t="s">
        <v>264</v>
      </c>
      <c r="H116">
        <v>8977234</v>
      </c>
      <c r="I116"/>
      <c r="J116" t="s">
        <v>316</v>
      </c>
      <c r="K116" t="s">
        <v>727</v>
      </c>
      <c r="L116">
        <v>8977234</v>
      </c>
      <c r="M116" t="s">
        <v>70</v>
      </c>
      <c r="N116" t="s">
        <v>71</v>
      </c>
      <c r="O116" t="str">
        <f t="shared" si="9"/>
        <v>RYAN CALTAGIRONE</v>
      </c>
      <c r="P116" s="1">
        <v>46023</v>
      </c>
      <c r="Q116" s="1">
        <v>46054</v>
      </c>
      <c r="R116" s="2">
        <v>25.73</v>
      </c>
      <c r="S116" s="3">
        <v>0.7</v>
      </c>
      <c r="T116" t="s">
        <v>60</v>
      </c>
      <c r="U116" t="s">
        <v>61</v>
      </c>
      <c r="V116">
        <v>6</v>
      </c>
      <c r="W116" s="2">
        <v>18.010000000000002</v>
      </c>
      <c r="X116" t="s">
        <v>562</v>
      </c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</row>
    <row r="117" spans="1:54" s="5" customFormat="1" x14ac:dyDescent="0.25">
      <c r="A117">
        <v>2032238785</v>
      </c>
      <c r="B117" t="s">
        <v>133</v>
      </c>
      <c r="C117" t="s">
        <v>134</v>
      </c>
      <c r="D117" t="str">
        <f t="shared" si="8"/>
        <v>ERNEST MANTES</v>
      </c>
      <c r="E117" t="s">
        <v>51</v>
      </c>
      <c r="F117" t="s">
        <v>135</v>
      </c>
      <c r="G117" t="s">
        <v>260</v>
      </c>
      <c r="H117">
        <v>8977234</v>
      </c>
      <c r="I117"/>
      <c r="J117" t="s">
        <v>316</v>
      </c>
      <c r="K117" t="s">
        <v>727</v>
      </c>
      <c r="L117">
        <v>8977234</v>
      </c>
      <c r="M117" t="s">
        <v>70</v>
      </c>
      <c r="N117" t="s">
        <v>71</v>
      </c>
      <c r="O117" t="str">
        <f t="shared" si="9"/>
        <v>RYAN CALTAGIRONE</v>
      </c>
      <c r="P117" s="1">
        <v>46023</v>
      </c>
      <c r="Q117" s="1">
        <v>46054</v>
      </c>
      <c r="R117" s="2">
        <v>333.96</v>
      </c>
      <c r="S117" s="3">
        <v>0.38</v>
      </c>
      <c r="T117" t="s">
        <v>60</v>
      </c>
      <c r="U117" t="s">
        <v>61</v>
      </c>
      <c r="V117">
        <v>6</v>
      </c>
      <c r="W117" s="2">
        <v>126.9</v>
      </c>
      <c r="X117" t="s">
        <v>260</v>
      </c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</row>
    <row r="118" spans="1:54" s="5" customFormat="1" x14ac:dyDescent="0.25">
      <c r="A118">
        <v>2032238788</v>
      </c>
      <c r="B118" t="s">
        <v>133</v>
      </c>
      <c r="C118" t="s">
        <v>134</v>
      </c>
      <c r="D118" t="str">
        <f t="shared" si="8"/>
        <v>ERNEST MANTES</v>
      </c>
      <c r="E118" t="s">
        <v>51</v>
      </c>
      <c r="F118" t="s">
        <v>135</v>
      </c>
      <c r="G118" t="s">
        <v>261</v>
      </c>
      <c r="H118">
        <v>8977234</v>
      </c>
      <c r="I118"/>
      <c r="J118" t="s">
        <v>316</v>
      </c>
      <c r="K118" t="s">
        <v>727</v>
      </c>
      <c r="L118">
        <v>8977234</v>
      </c>
      <c r="M118" t="s">
        <v>70</v>
      </c>
      <c r="N118" t="s">
        <v>71</v>
      </c>
      <c r="O118" t="str">
        <f t="shared" si="9"/>
        <v>RYAN CALTAGIRONE</v>
      </c>
      <c r="P118" s="1">
        <v>46023</v>
      </c>
      <c r="Q118" s="1">
        <v>46054</v>
      </c>
      <c r="R118" s="2">
        <v>7.09</v>
      </c>
      <c r="S118" s="3">
        <v>0.38</v>
      </c>
      <c r="T118" t="s">
        <v>60</v>
      </c>
      <c r="U118" t="s">
        <v>61</v>
      </c>
      <c r="V118">
        <v>6</v>
      </c>
      <c r="W118" s="2">
        <v>2.69</v>
      </c>
      <c r="X118" t="s">
        <v>260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 spans="1:54" s="5" customFormat="1" x14ac:dyDescent="0.25">
      <c r="A119">
        <v>2032218881</v>
      </c>
      <c r="B119" t="s">
        <v>117</v>
      </c>
      <c r="C119" t="s">
        <v>118</v>
      </c>
      <c r="D119" t="str">
        <f t="shared" si="8"/>
        <v>BRAYDEN SMITH</v>
      </c>
      <c r="E119" t="s">
        <v>51</v>
      </c>
      <c r="F119" t="s">
        <v>119</v>
      </c>
      <c r="G119" t="s">
        <v>90</v>
      </c>
      <c r="H119">
        <v>8977234</v>
      </c>
      <c r="I119"/>
      <c r="J119" t="s">
        <v>316</v>
      </c>
      <c r="K119" t="s">
        <v>727</v>
      </c>
      <c r="L119">
        <v>8977234</v>
      </c>
      <c r="M119" t="s">
        <v>70</v>
      </c>
      <c r="N119" t="s">
        <v>71</v>
      </c>
      <c r="O119" t="str">
        <f t="shared" si="9"/>
        <v>RYAN CALTAGIRONE</v>
      </c>
      <c r="P119" s="1">
        <v>46023</v>
      </c>
      <c r="Q119" s="1">
        <v>46054</v>
      </c>
      <c r="R119" s="2">
        <v>16.27</v>
      </c>
      <c r="S119" s="3">
        <v>0.75</v>
      </c>
      <c r="T119" t="s">
        <v>60</v>
      </c>
      <c r="U119" t="s">
        <v>61</v>
      </c>
      <c r="V119">
        <v>6</v>
      </c>
      <c r="W119" s="2">
        <v>12.2</v>
      </c>
      <c r="X119" t="s">
        <v>718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1:54" s="5" customFormat="1" x14ac:dyDescent="0.25">
      <c r="A120">
        <v>2032238787</v>
      </c>
      <c r="B120" t="s">
        <v>133</v>
      </c>
      <c r="C120" t="s">
        <v>134</v>
      </c>
      <c r="D120" t="str">
        <f t="shared" si="8"/>
        <v>ERNEST MANTES</v>
      </c>
      <c r="E120" t="s">
        <v>51</v>
      </c>
      <c r="F120" t="s">
        <v>135</v>
      </c>
      <c r="G120" t="s">
        <v>90</v>
      </c>
      <c r="H120">
        <v>8977234</v>
      </c>
      <c r="I120"/>
      <c r="J120" t="s">
        <v>316</v>
      </c>
      <c r="K120" t="s">
        <v>727</v>
      </c>
      <c r="L120">
        <v>8977234</v>
      </c>
      <c r="M120" t="s">
        <v>70</v>
      </c>
      <c r="N120" t="s">
        <v>71</v>
      </c>
      <c r="O120" t="str">
        <f t="shared" si="9"/>
        <v>RYAN CALTAGIRONE</v>
      </c>
      <c r="P120" s="1">
        <v>46023</v>
      </c>
      <c r="Q120" s="1">
        <v>46054</v>
      </c>
      <c r="R120" s="2">
        <v>89.85</v>
      </c>
      <c r="S120" s="3">
        <v>0.75</v>
      </c>
      <c r="T120" t="s">
        <v>60</v>
      </c>
      <c r="U120" t="s">
        <v>61</v>
      </c>
      <c r="V120">
        <v>6</v>
      </c>
      <c r="W120" s="2">
        <v>67.39</v>
      </c>
      <c r="X120" t="s">
        <v>718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 spans="1:54" s="5" customFormat="1" x14ac:dyDescent="0.25">
      <c r="A121">
        <v>2032257837</v>
      </c>
      <c r="B121" t="s">
        <v>138</v>
      </c>
      <c r="C121" t="s">
        <v>139</v>
      </c>
      <c r="D121" t="str">
        <f t="shared" si="8"/>
        <v>ROY RAMOS</v>
      </c>
      <c r="E121" t="s">
        <v>51</v>
      </c>
      <c r="F121" t="s">
        <v>135</v>
      </c>
      <c r="G121" t="s">
        <v>90</v>
      </c>
      <c r="H121">
        <v>8977234</v>
      </c>
      <c r="I121"/>
      <c r="J121" t="s">
        <v>316</v>
      </c>
      <c r="K121" t="s">
        <v>727</v>
      </c>
      <c r="L121">
        <v>8977234</v>
      </c>
      <c r="M121" t="s">
        <v>70</v>
      </c>
      <c r="N121" t="s">
        <v>71</v>
      </c>
      <c r="O121" t="str">
        <f t="shared" si="9"/>
        <v>RYAN CALTAGIRONE</v>
      </c>
      <c r="P121" s="1">
        <v>46023</v>
      </c>
      <c r="Q121" s="1">
        <v>46054</v>
      </c>
      <c r="R121" s="2">
        <v>100.83</v>
      </c>
      <c r="S121" s="3">
        <v>0.75</v>
      </c>
      <c r="T121" t="s">
        <v>60</v>
      </c>
      <c r="U121" t="s">
        <v>61</v>
      </c>
      <c r="V121">
        <v>6</v>
      </c>
      <c r="W121" s="2">
        <v>75.62</v>
      </c>
      <c r="X121" t="s">
        <v>718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 spans="1:54" s="5" customFormat="1" x14ac:dyDescent="0.25">
      <c r="A122">
        <v>2032072470</v>
      </c>
      <c r="B122" t="s">
        <v>93</v>
      </c>
      <c r="C122" t="s">
        <v>94</v>
      </c>
      <c r="D122" t="str">
        <f t="shared" si="8"/>
        <v>PATRICIA RICHARDSON</v>
      </c>
      <c r="E122" t="s">
        <v>51</v>
      </c>
      <c r="F122" t="s">
        <v>95</v>
      </c>
      <c r="G122" t="s">
        <v>96</v>
      </c>
      <c r="H122">
        <v>9079571</v>
      </c>
      <c r="I122"/>
      <c r="J122" t="s">
        <v>316</v>
      </c>
      <c r="K122" t="s">
        <v>727</v>
      </c>
      <c r="L122">
        <v>9079571</v>
      </c>
      <c r="M122" t="s">
        <v>97</v>
      </c>
      <c r="N122" t="s">
        <v>98</v>
      </c>
      <c r="O122" t="str">
        <f t="shared" si="9"/>
        <v>ADAM RICHTER</v>
      </c>
      <c r="P122" s="1">
        <v>45986</v>
      </c>
      <c r="Q122" s="1">
        <v>46016</v>
      </c>
      <c r="R122" s="2">
        <v>100.12</v>
      </c>
      <c r="S122" s="3">
        <v>0.9</v>
      </c>
      <c r="T122" t="s">
        <v>60</v>
      </c>
      <c r="U122" t="s">
        <v>61</v>
      </c>
      <c r="V122">
        <v>6</v>
      </c>
      <c r="W122" s="2">
        <v>90.11</v>
      </c>
      <c r="X122" t="s">
        <v>722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</row>
    <row r="123" spans="1:54" s="5" customFormat="1" x14ac:dyDescent="0.25">
      <c r="A123">
        <v>2032225155</v>
      </c>
      <c r="B123" t="s">
        <v>124</v>
      </c>
      <c r="C123" t="s">
        <v>68</v>
      </c>
      <c r="D123" t="str">
        <f t="shared" si="8"/>
        <v>MARY LYNCH</v>
      </c>
      <c r="E123" t="s">
        <v>51</v>
      </c>
      <c r="F123" t="s">
        <v>95</v>
      </c>
      <c r="G123" t="s">
        <v>96</v>
      </c>
      <c r="H123">
        <v>5442438</v>
      </c>
      <c r="I123"/>
      <c r="J123" t="s">
        <v>316</v>
      </c>
      <c r="K123" t="s">
        <v>727</v>
      </c>
      <c r="L123">
        <v>5442438</v>
      </c>
      <c r="M123" t="s">
        <v>125</v>
      </c>
      <c r="N123" t="s">
        <v>126</v>
      </c>
      <c r="O123" t="str">
        <f t="shared" si="9"/>
        <v>Ronald Max</v>
      </c>
      <c r="P123" s="1">
        <v>45992</v>
      </c>
      <c r="Q123" s="1">
        <v>46023</v>
      </c>
      <c r="R123" s="2">
        <v>84.81</v>
      </c>
      <c r="S123" s="3">
        <v>0.9</v>
      </c>
      <c r="T123" t="s">
        <v>60</v>
      </c>
      <c r="U123" t="s">
        <v>61</v>
      </c>
      <c r="V123">
        <v>6</v>
      </c>
      <c r="W123" s="2">
        <v>76.33</v>
      </c>
      <c r="X123" t="s">
        <v>722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 spans="1:54" s="5" customFormat="1" x14ac:dyDescent="0.25">
      <c r="A124">
        <v>2032238789</v>
      </c>
      <c r="B124" t="s">
        <v>133</v>
      </c>
      <c r="C124" t="s">
        <v>134</v>
      </c>
      <c r="D124" t="str">
        <f t="shared" si="8"/>
        <v>ERNEST MANTES</v>
      </c>
      <c r="E124" t="s">
        <v>51</v>
      </c>
      <c r="F124" t="s">
        <v>135</v>
      </c>
      <c r="G124" t="s">
        <v>180</v>
      </c>
      <c r="H124">
        <v>8977234</v>
      </c>
      <c r="I124"/>
      <c r="J124" t="s">
        <v>316</v>
      </c>
      <c r="K124" t="s">
        <v>727</v>
      </c>
      <c r="L124">
        <v>8977234</v>
      </c>
      <c r="M124" t="s">
        <v>70</v>
      </c>
      <c r="N124" t="s">
        <v>71</v>
      </c>
      <c r="O124" t="str">
        <f t="shared" si="9"/>
        <v>RYAN CALTAGIRONE</v>
      </c>
      <c r="P124" s="1">
        <v>46023</v>
      </c>
      <c r="Q124" s="1">
        <v>46054</v>
      </c>
      <c r="R124" s="2">
        <v>15</v>
      </c>
      <c r="S124" s="3">
        <v>0.38</v>
      </c>
      <c r="T124" t="s">
        <v>60</v>
      </c>
      <c r="U124" t="s">
        <v>61</v>
      </c>
      <c r="V124">
        <v>6</v>
      </c>
      <c r="W124" s="2">
        <v>5.7</v>
      </c>
      <c r="X124" t="s">
        <v>180</v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</row>
    <row r="125" spans="1:54" s="5" customFormat="1" x14ac:dyDescent="0.25">
      <c r="A125">
        <v>2032235343</v>
      </c>
      <c r="B125" t="s">
        <v>181</v>
      </c>
      <c r="C125" t="s">
        <v>182</v>
      </c>
      <c r="D125" t="str">
        <f t="shared" si="8"/>
        <v>KEYAHANA BLACK</v>
      </c>
      <c r="E125" t="s">
        <v>51</v>
      </c>
      <c r="F125" t="s">
        <v>183</v>
      </c>
      <c r="G125" t="s">
        <v>161</v>
      </c>
      <c r="H125">
        <v>17425766</v>
      </c>
      <c r="I125"/>
      <c r="J125" t="s">
        <v>316</v>
      </c>
      <c r="K125" t="s">
        <v>727</v>
      </c>
      <c r="L125">
        <v>17425766</v>
      </c>
      <c r="M125" t="s">
        <v>55</v>
      </c>
      <c r="N125" t="s">
        <v>56</v>
      </c>
      <c r="O125" t="str">
        <f t="shared" si="9"/>
        <v>CAROL FOLEY</v>
      </c>
      <c r="P125" s="1">
        <v>45980</v>
      </c>
      <c r="Q125" s="1">
        <v>46010</v>
      </c>
      <c r="R125" s="2">
        <v>15</v>
      </c>
      <c r="S125" s="3">
        <v>0.38</v>
      </c>
      <c r="T125" t="s">
        <v>60</v>
      </c>
      <c r="U125" t="s">
        <v>61</v>
      </c>
      <c r="V125">
        <v>6</v>
      </c>
      <c r="W125" s="2">
        <v>5.7</v>
      </c>
      <c r="X125" t="s">
        <v>161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1:54" s="5" customFormat="1" x14ac:dyDescent="0.25">
      <c r="A126">
        <v>2032123240</v>
      </c>
      <c r="B126" t="s">
        <v>158</v>
      </c>
      <c r="C126" t="s">
        <v>159</v>
      </c>
      <c r="D126" t="str">
        <f t="shared" si="8"/>
        <v>THEODORE ALLEN</v>
      </c>
      <c r="E126" t="s">
        <v>51</v>
      </c>
      <c r="F126" t="s">
        <v>52</v>
      </c>
      <c r="G126" t="s">
        <v>161</v>
      </c>
      <c r="H126">
        <v>21758900</v>
      </c>
      <c r="I126"/>
      <c r="J126" t="s">
        <v>316</v>
      </c>
      <c r="K126" t="s">
        <v>727</v>
      </c>
      <c r="L126">
        <v>21758900</v>
      </c>
      <c r="M126" t="s">
        <v>162</v>
      </c>
      <c r="N126" t="s">
        <v>163</v>
      </c>
      <c r="O126" t="str">
        <f t="shared" si="9"/>
        <v>John Rader</v>
      </c>
      <c r="P126" s="1">
        <v>45992</v>
      </c>
      <c r="Q126" s="1">
        <v>46023</v>
      </c>
      <c r="R126" s="2">
        <v>15</v>
      </c>
      <c r="S126" s="3">
        <v>0.38</v>
      </c>
      <c r="T126" t="s">
        <v>60</v>
      </c>
      <c r="U126" t="s">
        <v>61</v>
      </c>
      <c r="V126">
        <v>6</v>
      </c>
      <c r="W126" s="2">
        <v>5.7</v>
      </c>
      <c r="X126" t="s">
        <v>161</v>
      </c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 spans="1:54" s="5" customFormat="1" x14ac:dyDescent="0.25">
      <c r="A127">
        <v>2032203620</v>
      </c>
      <c r="B127" t="s">
        <v>169</v>
      </c>
      <c r="C127" t="s">
        <v>170</v>
      </c>
      <c r="D127" t="str">
        <f t="shared" si="8"/>
        <v>TIMOTHY LOVING</v>
      </c>
      <c r="E127" t="s">
        <v>51</v>
      </c>
      <c r="F127" t="s">
        <v>105</v>
      </c>
      <c r="G127" t="s">
        <v>167</v>
      </c>
      <c r="H127">
        <v>21605264</v>
      </c>
      <c r="I127"/>
      <c r="J127" t="s">
        <v>316</v>
      </c>
      <c r="K127" t="s">
        <v>727</v>
      </c>
      <c r="L127">
        <v>21605264</v>
      </c>
      <c r="M127" t="s">
        <v>171</v>
      </c>
      <c r="N127" t="s">
        <v>172</v>
      </c>
      <c r="O127" t="str">
        <f t="shared" si="9"/>
        <v>Erica Solivan</v>
      </c>
      <c r="P127" s="1">
        <v>45978</v>
      </c>
      <c r="Q127" s="1">
        <v>46008</v>
      </c>
      <c r="R127" s="2">
        <v>15</v>
      </c>
      <c r="S127" s="3">
        <v>0.28999999999999998</v>
      </c>
      <c r="T127" t="s">
        <v>60</v>
      </c>
      <c r="U127" t="s">
        <v>61</v>
      </c>
      <c r="V127">
        <v>0</v>
      </c>
      <c r="W127" s="2">
        <v>4.3499999999999996</v>
      </c>
      <c r="X127" t="s">
        <v>723</v>
      </c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 spans="1:54" s="5" customFormat="1" x14ac:dyDescent="0.25">
      <c r="A128">
        <v>2032210732</v>
      </c>
      <c r="B128" t="s">
        <v>174</v>
      </c>
      <c r="C128" t="s">
        <v>175</v>
      </c>
      <c r="D128" t="str">
        <f t="shared" si="8"/>
        <v>KAYLIE STONE</v>
      </c>
      <c r="E128" t="s">
        <v>51</v>
      </c>
      <c r="F128" t="s">
        <v>176</v>
      </c>
      <c r="G128" t="s">
        <v>167</v>
      </c>
      <c r="H128">
        <v>20411454</v>
      </c>
      <c r="I128"/>
      <c r="J128" t="s">
        <v>316</v>
      </c>
      <c r="K128" t="s">
        <v>727</v>
      </c>
      <c r="L128">
        <v>20411454</v>
      </c>
      <c r="M128" t="s">
        <v>177</v>
      </c>
      <c r="N128" t="s">
        <v>66</v>
      </c>
      <c r="O128" t="s">
        <v>721</v>
      </c>
      <c r="P128" s="1">
        <v>45992</v>
      </c>
      <c r="Q128" s="1">
        <v>46023</v>
      </c>
      <c r="R128" s="2">
        <v>1.35</v>
      </c>
      <c r="S128" s="3">
        <v>0.09</v>
      </c>
      <c r="T128" t="s">
        <v>60</v>
      </c>
      <c r="U128" t="s">
        <v>61</v>
      </c>
      <c r="V128">
        <v>0</v>
      </c>
      <c r="W128" s="2">
        <v>1.35</v>
      </c>
      <c r="X128" t="s">
        <v>720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 spans="1:54" s="5" customFormat="1" x14ac:dyDescent="0.25">
      <c r="A129">
        <v>2032136867</v>
      </c>
      <c r="B129" t="s">
        <v>164</v>
      </c>
      <c r="C129" t="s">
        <v>165</v>
      </c>
      <c r="D129" t="str">
        <f t="shared" si="8"/>
        <v>REGINA KROKEL</v>
      </c>
      <c r="E129" t="s">
        <v>51</v>
      </c>
      <c r="F129" t="s">
        <v>166</v>
      </c>
      <c r="G129" t="s">
        <v>167</v>
      </c>
      <c r="H129">
        <v>8977234</v>
      </c>
      <c r="I129"/>
      <c r="J129" t="s">
        <v>316</v>
      </c>
      <c r="K129" t="s">
        <v>727</v>
      </c>
      <c r="L129">
        <v>8977234</v>
      </c>
      <c r="M129" t="s">
        <v>70</v>
      </c>
      <c r="N129" t="s">
        <v>71</v>
      </c>
      <c r="O129" t="str">
        <f t="shared" ref="O129:O135" si="10">CONCATENATE(N129," ",M129)</f>
        <v>RYAN CALTAGIRONE</v>
      </c>
      <c r="P129" s="1">
        <v>46023</v>
      </c>
      <c r="Q129" s="1">
        <v>46054</v>
      </c>
      <c r="R129" s="2">
        <v>15</v>
      </c>
      <c r="S129" s="3">
        <v>0.28999999999999998</v>
      </c>
      <c r="T129" t="s">
        <v>60</v>
      </c>
      <c r="U129" t="s">
        <v>61</v>
      </c>
      <c r="V129">
        <v>6</v>
      </c>
      <c r="W129" s="2">
        <v>4.3499999999999996</v>
      </c>
      <c r="X129" t="s">
        <v>723</v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 spans="1:54" s="5" customFormat="1" x14ac:dyDescent="0.25">
      <c r="A130">
        <v>2032204739</v>
      </c>
      <c r="B130" t="s">
        <v>49</v>
      </c>
      <c r="C130" t="s">
        <v>50</v>
      </c>
      <c r="D130" t="str">
        <f t="shared" ref="D130:D161" si="11">CONCATENATE(C130," ",B130)</f>
        <v>JEROME PALUMBO</v>
      </c>
      <c r="E130" t="s">
        <v>51</v>
      </c>
      <c r="F130" t="s">
        <v>52</v>
      </c>
      <c r="G130" t="s">
        <v>259</v>
      </c>
      <c r="H130">
        <v>17425766</v>
      </c>
      <c r="I130"/>
      <c r="J130" t="s">
        <v>316</v>
      </c>
      <c r="K130" t="s">
        <v>727</v>
      </c>
      <c r="L130">
        <v>17425766</v>
      </c>
      <c r="M130" t="s">
        <v>55</v>
      </c>
      <c r="N130" t="s">
        <v>56</v>
      </c>
      <c r="O130" t="str">
        <f t="shared" si="10"/>
        <v>CAROL FOLEY</v>
      </c>
      <c r="P130" s="1">
        <v>45992</v>
      </c>
      <c r="Q130" s="1">
        <v>46023</v>
      </c>
      <c r="R130" s="2">
        <v>61.39</v>
      </c>
      <c r="S130" s="3">
        <v>0.38</v>
      </c>
      <c r="T130" t="s">
        <v>60</v>
      </c>
      <c r="U130" t="s">
        <v>61</v>
      </c>
      <c r="V130">
        <v>6</v>
      </c>
      <c r="W130" s="2">
        <v>23.33</v>
      </c>
      <c r="X130" t="s">
        <v>259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</row>
    <row r="131" spans="1:54" s="5" customFormat="1" x14ac:dyDescent="0.25">
      <c r="A131">
        <v>2032235341</v>
      </c>
      <c r="B131" t="s">
        <v>181</v>
      </c>
      <c r="C131" t="s">
        <v>182</v>
      </c>
      <c r="D131" t="str">
        <f t="shared" si="11"/>
        <v>KEYAHANA BLACK</v>
      </c>
      <c r="E131" t="s">
        <v>51</v>
      </c>
      <c r="F131" t="s">
        <v>183</v>
      </c>
      <c r="G131" t="s">
        <v>259</v>
      </c>
      <c r="H131">
        <v>17425766</v>
      </c>
      <c r="I131"/>
      <c r="J131" t="s">
        <v>316</v>
      </c>
      <c r="K131" t="s">
        <v>727</v>
      </c>
      <c r="L131">
        <v>17425766</v>
      </c>
      <c r="M131" t="s">
        <v>55</v>
      </c>
      <c r="N131" t="s">
        <v>56</v>
      </c>
      <c r="O131" t="str">
        <f t="shared" si="10"/>
        <v>CAROL FOLEY</v>
      </c>
      <c r="P131" s="1">
        <v>45980</v>
      </c>
      <c r="Q131" s="1">
        <v>46010</v>
      </c>
      <c r="R131" s="2">
        <v>20.76</v>
      </c>
      <c r="S131" s="3">
        <v>0.38</v>
      </c>
      <c r="T131" t="s">
        <v>60</v>
      </c>
      <c r="U131" t="s">
        <v>61</v>
      </c>
      <c r="V131">
        <v>6</v>
      </c>
      <c r="W131" s="2">
        <v>7.89</v>
      </c>
      <c r="X131" t="s">
        <v>259</v>
      </c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1:54" s="5" customFormat="1" x14ac:dyDescent="0.25">
      <c r="A132">
        <v>2032123239</v>
      </c>
      <c r="B132" t="s">
        <v>158</v>
      </c>
      <c r="C132" t="s">
        <v>159</v>
      </c>
      <c r="D132" t="str">
        <f t="shared" si="11"/>
        <v>THEODORE ALLEN</v>
      </c>
      <c r="E132" t="s">
        <v>51</v>
      </c>
      <c r="F132" t="s">
        <v>52</v>
      </c>
      <c r="G132" t="s">
        <v>259</v>
      </c>
      <c r="H132">
        <v>21758900</v>
      </c>
      <c r="I132"/>
      <c r="J132" t="s">
        <v>316</v>
      </c>
      <c r="K132" t="s">
        <v>727</v>
      </c>
      <c r="L132">
        <v>21758900</v>
      </c>
      <c r="M132" t="s">
        <v>162</v>
      </c>
      <c r="N132" t="s">
        <v>163</v>
      </c>
      <c r="O132" t="str">
        <f t="shared" si="10"/>
        <v>John Rader</v>
      </c>
      <c r="P132" s="1">
        <v>45992</v>
      </c>
      <c r="Q132" s="1">
        <v>46023</v>
      </c>
      <c r="R132" s="2">
        <v>55.16</v>
      </c>
      <c r="S132" s="3">
        <v>0.38</v>
      </c>
      <c r="T132" t="s">
        <v>60</v>
      </c>
      <c r="U132" t="s">
        <v>61</v>
      </c>
      <c r="V132">
        <v>6</v>
      </c>
      <c r="W132" s="2">
        <v>20.96</v>
      </c>
      <c r="X132" t="s">
        <v>259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1:54" s="5" customFormat="1" x14ac:dyDescent="0.25">
      <c r="A133">
        <v>2032273118</v>
      </c>
      <c r="B133" t="s">
        <v>80</v>
      </c>
      <c r="C133" t="s">
        <v>81</v>
      </c>
      <c r="D133" t="str">
        <f t="shared" si="11"/>
        <v>WILLIAM GALLAGHER</v>
      </c>
      <c r="E133" t="s">
        <v>51</v>
      </c>
      <c r="F133" t="s">
        <v>52</v>
      </c>
      <c r="G133" t="s">
        <v>259</v>
      </c>
      <c r="H133">
        <v>18781057</v>
      </c>
      <c r="I133"/>
      <c r="J133" t="s">
        <v>316</v>
      </c>
      <c r="K133" t="s">
        <v>727</v>
      </c>
      <c r="L133">
        <v>18781057</v>
      </c>
      <c r="M133" t="s">
        <v>82</v>
      </c>
      <c r="N133" t="s">
        <v>83</v>
      </c>
      <c r="O133" t="str">
        <f t="shared" si="10"/>
        <v>JOHN ROKEN</v>
      </c>
      <c r="P133" s="1">
        <v>45992</v>
      </c>
      <c r="Q133" s="1">
        <v>46023</v>
      </c>
      <c r="R133" s="2">
        <v>55.16</v>
      </c>
      <c r="S133" s="3">
        <v>0.38</v>
      </c>
      <c r="T133" t="s">
        <v>60</v>
      </c>
      <c r="U133" t="s">
        <v>61</v>
      </c>
      <c r="V133">
        <v>6</v>
      </c>
      <c r="W133" s="2">
        <v>20.96</v>
      </c>
      <c r="X133" t="s">
        <v>259</v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1:54" s="5" customFormat="1" x14ac:dyDescent="0.25">
      <c r="A134">
        <v>2032282127</v>
      </c>
      <c r="B134" t="s">
        <v>84</v>
      </c>
      <c r="C134" t="s">
        <v>85</v>
      </c>
      <c r="D134" t="str">
        <f t="shared" si="11"/>
        <v>CLAIR JR</v>
      </c>
      <c r="E134" t="s">
        <v>51</v>
      </c>
      <c r="F134" t="s">
        <v>52</v>
      </c>
      <c r="G134" t="s">
        <v>259</v>
      </c>
      <c r="H134">
        <v>18781057</v>
      </c>
      <c r="I134"/>
      <c r="J134" t="s">
        <v>316</v>
      </c>
      <c r="K134" t="s">
        <v>727</v>
      </c>
      <c r="L134">
        <v>18781057</v>
      </c>
      <c r="M134" t="s">
        <v>82</v>
      </c>
      <c r="N134" t="s">
        <v>83</v>
      </c>
      <c r="O134" t="str">
        <f t="shared" si="10"/>
        <v>JOHN ROKEN</v>
      </c>
      <c r="P134" s="1">
        <v>45992</v>
      </c>
      <c r="Q134" s="1">
        <v>46023</v>
      </c>
      <c r="R134" s="2">
        <v>46.13</v>
      </c>
      <c r="S134" s="3">
        <v>0.38</v>
      </c>
      <c r="T134" t="s">
        <v>60</v>
      </c>
      <c r="U134" t="s">
        <v>61</v>
      </c>
      <c r="V134">
        <v>6</v>
      </c>
      <c r="W134" s="2">
        <v>17.53</v>
      </c>
      <c r="X134" t="s">
        <v>259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1:54" s="5" customFormat="1" x14ac:dyDescent="0.25">
      <c r="A135">
        <v>2032203619</v>
      </c>
      <c r="B135" t="s">
        <v>169</v>
      </c>
      <c r="C135" t="s">
        <v>170</v>
      </c>
      <c r="D135" t="str">
        <f t="shared" si="11"/>
        <v>TIMOTHY LOVING</v>
      </c>
      <c r="E135" t="s">
        <v>51</v>
      </c>
      <c r="F135" t="s">
        <v>105</v>
      </c>
      <c r="G135" t="s">
        <v>312</v>
      </c>
      <c r="H135">
        <v>21605264</v>
      </c>
      <c r="I135"/>
      <c r="J135" t="s">
        <v>316</v>
      </c>
      <c r="K135" t="s">
        <v>727</v>
      </c>
      <c r="L135">
        <v>21605264</v>
      </c>
      <c r="M135" t="s">
        <v>171</v>
      </c>
      <c r="N135" t="s">
        <v>172</v>
      </c>
      <c r="O135" t="str">
        <f t="shared" si="10"/>
        <v>Erica Solivan</v>
      </c>
      <c r="P135" s="1">
        <v>45978</v>
      </c>
      <c r="Q135" s="1">
        <v>46008</v>
      </c>
      <c r="R135" s="2">
        <v>180.45</v>
      </c>
      <c r="S135" s="3">
        <v>0.28999999999999998</v>
      </c>
      <c r="T135" t="s">
        <v>60</v>
      </c>
      <c r="U135" t="s">
        <v>61</v>
      </c>
      <c r="V135">
        <v>0</v>
      </c>
      <c r="W135" s="2">
        <v>52.33</v>
      </c>
      <c r="X135" t="s">
        <v>312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1:54" s="5" customFormat="1" x14ac:dyDescent="0.25">
      <c r="A136">
        <v>2032210731</v>
      </c>
      <c r="B136" t="s">
        <v>174</v>
      </c>
      <c r="C136" t="s">
        <v>175</v>
      </c>
      <c r="D136" t="str">
        <f t="shared" si="11"/>
        <v>KAYLIE STONE</v>
      </c>
      <c r="E136" t="s">
        <v>51</v>
      </c>
      <c r="F136" t="s">
        <v>176</v>
      </c>
      <c r="G136" t="s">
        <v>312</v>
      </c>
      <c r="H136">
        <v>20411454</v>
      </c>
      <c r="I136"/>
      <c r="J136" t="s">
        <v>316</v>
      </c>
      <c r="K136" t="s">
        <v>727</v>
      </c>
      <c r="L136">
        <v>20411454</v>
      </c>
      <c r="M136" t="s">
        <v>177</v>
      </c>
      <c r="N136" t="s">
        <v>66</v>
      </c>
      <c r="O136" t="s">
        <v>721</v>
      </c>
      <c r="P136" s="1">
        <v>45992</v>
      </c>
      <c r="Q136" s="1">
        <v>46023</v>
      </c>
      <c r="R136" s="2">
        <v>15.97</v>
      </c>
      <c r="S136" s="3">
        <v>0.09</v>
      </c>
      <c r="T136" t="s">
        <v>60</v>
      </c>
      <c r="U136" t="s">
        <v>61</v>
      </c>
      <c r="V136">
        <v>0</v>
      </c>
      <c r="W136" s="2">
        <v>15.97</v>
      </c>
      <c r="X136" t="s">
        <v>720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1:54" x14ac:dyDescent="0.25">
      <c r="A137">
        <v>2032136866</v>
      </c>
      <c r="B137" t="s">
        <v>164</v>
      </c>
      <c r="C137" t="s">
        <v>165</v>
      </c>
      <c r="D137" t="str">
        <f t="shared" si="11"/>
        <v>REGINA KROKEL</v>
      </c>
      <c r="E137" t="s">
        <v>51</v>
      </c>
      <c r="F137" t="s">
        <v>166</v>
      </c>
      <c r="G137" t="s">
        <v>312</v>
      </c>
      <c r="H137">
        <v>8977234</v>
      </c>
      <c r="J137" t="s">
        <v>316</v>
      </c>
      <c r="K137" t="s">
        <v>727</v>
      </c>
      <c r="L137">
        <v>8977234</v>
      </c>
      <c r="M137" t="s">
        <v>70</v>
      </c>
      <c r="N137" t="s">
        <v>71</v>
      </c>
      <c r="O137" t="str">
        <f t="shared" ref="O137:O169" si="12">CONCATENATE(N137," ",M137)</f>
        <v>RYAN CALTAGIRONE</v>
      </c>
      <c r="P137" s="1">
        <v>46023</v>
      </c>
      <c r="Q137" s="1">
        <v>46054</v>
      </c>
      <c r="R137" s="2">
        <v>479.21</v>
      </c>
      <c r="S137" s="3">
        <v>0.28999999999999998</v>
      </c>
      <c r="T137" t="s">
        <v>60</v>
      </c>
      <c r="U137" t="s">
        <v>61</v>
      </c>
      <c r="V137">
        <v>6</v>
      </c>
      <c r="W137" s="2">
        <v>138.97</v>
      </c>
      <c r="X137" t="s">
        <v>312</v>
      </c>
    </row>
    <row r="138" spans="1:54" x14ac:dyDescent="0.25">
      <c r="A138">
        <v>2032216440</v>
      </c>
      <c r="B138" t="s">
        <v>211</v>
      </c>
      <c r="C138" t="s">
        <v>212</v>
      </c>
      <c r="D138" t="str">
        <f t="shared" si="11"/>
        <v>LINDA WIDELL</v>
      </c>
      <c r="E138" t="s">
        <v>51</v>
      </c>
      <c r="F138" t="s">
        <v>135</v>
      </c>
      <c r="G138" t="s">
        <v>263</v>
      </c>
      <c r="H138">
        <v>21348299</v>
      </c>
      <c r="J138" t="s">
        <v>316</v>
      </c>
      <c r="K138" t="s">
        <v>727</v>
      </c>
      <c r="L138">
        <v>21348299</v>
      </c>
      <c r="M138" t="s">
        <v>213</v>
      </c>
      <c r="N138" t="s">
        <v>214</v>
      </c>
      <c r="O138" t="str">
        <f t="shared" si="12"/>
        <v>BARRY BRENNER</v>
      </c>
      <c r="P138" s="1">
        <v>45979</v>
      </c>
      <c r="Q138" s="1">
        <v>46009</v>
      </c>
      <c r="R138" s="2">
        <v>13</v>
      </c>
      <c r="S138" s="3">
        <v>0.7</v>
      </c>
      <c r="T138" t="s">
        <v>60</v>
      </c>
      <c r="U138" t="s">
        <v>61</v>
      </c>
      <c r="V138">
        <v>6</v>
      </c>
      <c r="W138" s="2">
        <v>9.1</v>
      </c>
      <c r="X138" t="s">
        <v>263</v>
      </c>
    </row>
    <row r="139" spans="1:54" x14ac:dyDescent="0.25">
      <c r="A139">
        <v>2032229006</v>
      </c>
      <c r="B139" t="s">
        <v>277</v>
      </c>
      <c r="C139" t="s">
        <v>278</v>
      </c>
      <c r="D139" t="str">
        <f t="shared" si="11"/>
        <v>KATHRYN SWENSON</v>
      </c>
      <c r="E139" t="s">
        <v>51</v>
      </c>
      <c r="F139" t="s">
        <v>64</v>
      </c>
      <c r="G139" t="s">
        <v>263</v>
      </c>
      <c r="H139">
        <v>21348299</v>
      </c>
      <c r="J139" t="s">
        <v>316</v>
      </c>
      <c r="K139" t="s">
        <v>727</v>
      </c>
      <c r="L139">
        <v>21348299</v>
      </c>
      <c r="M139" t="s">
        <v>213</v>
      </c>
      <c r="N139" t="s">
        <v>214</v>
      </c>
      <c r="O139" t="str">
        <f t="shared" si="12"/>
        <v>BARRY BRENNER</v>
      </c>
      <c r="P139" s="1">
        <v>45980</v>
      </c>
      <c r="Q139" s="1">
        <v>46010</v>
      </c>
      <c r="R139" s="2">
        <v>58.24</v>
      </c>
      <c r="S139" s="3">
        <v>0.7</v>
      </c>
      <c r="T139" t="s">
        <v>60</v>
      </c>
      <c r="U139" t="s">
        <v>61</v>
      </c>
      <c r="V139">
        <v>6</v>
      </c>
      <c r="W139" s="2">
        <v>40.770000000000003</v>
      </c>
      <c r="X139" t="s">
        <v>263</v>
      </c>
    </row>
    <row r="140" spans="1:54" x14ac:dyDescent="0.25">
      <c r="A140">
        <v>2032257731</v>
      </c>
      <c r="B140" t="s">
        <v>299</v>
      </c>
      <c r="C140" t="s">
        <v>300</v>
      </c>
      <c r="D140" t="str">
        <f t="shared" si="11"/>
        <v>ANSHUMAN REDDY</v>
      </c>
      <c r="E140" t="s">
        <v>51</v>
      </c>
      <c r="F140" t="s">
        <v>64</v>
      </c>
      <c r="G140" t="s">
        <v>263</v>
      </c>
      <c r="H140">
        <v>21348299</v>
      </c>
      <c r="J140" t="s">
        <v>316</v>
      </c>
      <c r="K140" t="s">
        <v>727</v>
      </c>
      <c r="L140">
        <v>21348299</v>
      </c>
      <c r="M140" t="s">
        <v>213</v>
      </c>
      <c r="N140" t="s">
        <v>214</v>
      </c>
      <c r="O140" t="str">
        <f t="shared" si="12"/>
        <v>BARRY BRENNER</v>
      </c>
      <c r="P140" s="1">
        <v>45981</v>
      </c>
      <c r="Q140" s="1">
        <v>46011</v>
      </c>
      <c r="R140" s="2">
        <v>58.24</v>
      </c>
      <c r="S140" s="3">
        <v>0.7</v>
      </c>
      <c r="T140" t="s">
        <v>60</v>
      </c>
      <c r="U140" t="s">
        <v>61</v>
      </c>
      <c r="V140">
        <v>6</v>
      </c>
      <c r="W140" s="2">
        <v>40.770000000000003</v>
      </c>
      <c r="X140" t="s">
        <v>263</v>
      </c>
    </row>
    <row r="141" spans="1:54" x14ac:dyDescent="0.25">
      <c r="A141">
        <v>2032222373</v>
      </c>
      <c r="B141" t="s">
        <v>217</v>
      </c>
      <c r="C141" t="s">
        <v>267</v>
      </c>
      <c r="D141" t="str">
        <f t="shared" si="11"/>
        <v>AUBREY CROCKER</v>
      </c>
      <c r="E141" t="s">
        <v>51</v>
      </c>
      <c r="F141" t="s">
        <v>219</v>
      </c>
      <c r="G141" t="s">
        <v>263</v>
      </c>
      <c r="H141">
        <v>21435997</v>
      </c>
      <c r="J141" t="s">
        <v>316</v>
      </c>
      <c r="K141" t="s">
        <v>727</v>
      </c>
      <c r="L141">
        <v>21435997</v>
      </c>
      <c r="M141" t="s">
        <v>220</v>
      </c>
      <c r="N141" t="s">
        <v>221</v>
      </c>
      <c r="O141" t="str">
        <f t="shared" si="12"/>
        <v>Christopher Brousseau</v>
      </c>
      <c r="P141" s="1">
        <v>45979</v>
      </c>
      <c r="Q141" s="1">
        <v>46009</v>
      </c>
      <c r="R141" s="2">
        <v>45.46</v>
      </c>
      <c r="S141" s="3">
        <v>0.7</v>
      </c>
      <c r="T141" t="s">
        <v>60</v>
      </c>
      <c r="U141" t="s">
        <v>61</v>
      </c>
      <c r="V141">
        <v>6</v>
      </c>
      <c r="W141" s="2">
        <v>31.82</v>
      </c>
      <c r="X141" t="s">
        <v>263</v>
      </c>
    </row>
    <row r="142" spans="1:54" x14ac:dyDescent="0.25">
      <c r="A142">
        <v>2032223333</v>
      </c>
      <c r="B142" t="s">
        <v>217</v>
      </c>
      <c r="C142" t="s">
        <v>218</v>
      </c>
      <c r="D142" t="str">
        <f t="shared" si="11"/>
        <v>CATHERINE CROCKER</v>
      </c>
      <c r="E142" t="s">
        <v>51</v>
      </c>
      <c r="F142" t="s">
        <v>219</v>
      </c>
      <c r="G142" t="s">
        <v>263</v>
      </c>
      <c r="H142">
        <v>21435997</v>
      </c>
      <c r="J142" t="s">
        <v>316</v>
      </c>
      <c r="K142" t="s">
        <v>727</v>
      </c>
      <c r="L142">
        <v>21435997</v>
      </c>
      <c r="M142" t="s">
        <v>220</v>
      </c>
      <c r="N142" t="s">
        <v>221</v>
      </c>
      <c r="O142" t="str">
        <f t="shared" si="12"/>
        <v>Christopher Brousseau</v>
      </c>
      <c r="P142" s="1">
        <v>45980</v>
      </c>
      <c r="Q142" s="1">
        <v>46010</v>
      </c>
      <c r="R142" s="2">
        <v>85.36</v>
      </c>
      <c r="S142" s="3">
        <v>0.7</v>
      </c>
      <c r="T142" t="s">
        <v>60</v>
      </c>
      <c r="U142" t="s">
        <v>61</v>
      </c>
      <c r="V142">
        <v>6</v>
      </c>
      <c r="W142" s="2">
        <v>59.75</v>
      </c>
      <c r="X142" t="s">
        <v>263</v>
      </c>
    </row>
    <row r="143" spans="1:54" x14ac:dyDescent="0.25">
      <c r="A143">
        <v>2032242441</v>
      </c>
      <c r="B143" t="s">
        <v>289</v>
      </c>
      <c r="C143" t="s">
        <v>290</v>
      </c>
      <c r="D143" t="str">
        <f t="shared" si="11"/>
        <v>KEVIN MEADOWS</v>
      </c>
      <c r="E143" t="s">
        <v>51</v>
      </c>
      <c r="F143" t="s">
        <v>64</v>
      </c>
      <c r="G143" t="s">
        <v>263</v>
      </c>
      <c r="H143">
        <v>17437820</v>
      </c>
      <c r="J143" t="s">
        <v>316</v>
      </c>
      <c r="K143" t="s">
        <v>727</v>
      </c>
      <c r="L143">
        <v>17437820</v>
      </c>
      <c r="M143" t="s">
        <v>291</v>
      </c>
      <c r="N143" t="s">
        <v>292</v>
      </c>
      <c r="O143" t="str">
        <f t="shared" si="12"/>
        <v>COLLEEN FINNIGAN</v>
      </c>
      <c r="P143" s="1">
        <v>46023</v>
      </c>
      <c r="Q143" s="1">
        <v>46054</v>
      </c>
      <c r="R143" s="2">
        <v>96</v>
      </c>
      <c r="S143" s="3">
        <v>0.7</v>
      </c>
      <c r="T143" t="s">
        <v>60</v>
      </c>
      <c r="U143" t="s">
        <v>61</v>
      </c>
      <c r="V143">
        <v>6</v>
      </c>
      <c r="W143" s="2">
        <v>67.2</v>
      </c>
      <c r="X143" t="s">
        <v>263</v>
      </c>
    </row>
    <row r="144" spans="1:54" x14ac:dyDescent="0.25">
      <c r="A144">
        <v>2032247100</v>
      </c>
      <c r="B144" t="s">
        <v>295</v>
      </c>
      <c r="C144" t="s">
        <v>296</v>
      </c>
      <c r="D144" t="str">
        <f t="shared" si="11"/>
        <v>MEHUL PATEL</v>
      </c>
      <c r="E144" t="s">
        <v>51</v>
      </c>
      <c r="F144" t="s">
        <v>64</v>
      </c>
      <c r="G144" t="s">
        <v>263</v>
      </c>
      <c r="H144">
        <v>17437820</v>
      </c>
      <c r="J144" t="s">
        <v>316</v>
      </c>
      <c r="K144" t="s">
        <v>727</v>
      </c>
      <c r="L144">
        <v>17437820</v>
      </c>
      <c r="M144" t="s">
        <v>291</v>
      </c>
      <c r="N144" t="s">
        <v>292</v>
      </c>
      <c r="O144" t="str">
        <f t="shared" si="12"/>
        <v>COLLEEN FINNIGAN</v>
      </c>
      <c r="P144" s="1">
        <v>46023</v>
      </c>
      <c r="Q144" s="1">
        <v>46054</v>
      </c>
      <c r="R144" s="2">
        <v>153.66999999999999</v>
      </c>
      <c r="S144" s="3">
        <v>0.7</v>
      </c>
      <c r="T144" t="s">
        <v>60</v>
      </c>
      <c r="U144" t="s">
        <v>61</v>
      </c>
      <c r="V144">
        <v>6</v>
      </c>
      <c r="W144" s="2">
        <v>107.57</v>
      </c>
      <c r="X144" t="s">
        <v>263</v>
      </c>
    </row>
    <row r="145" spans="1:54" x14ac:dyDescent="0.25">
      <c r="A145">
        <v>2032281783</v>
      </c>
      <c r="B145" t="s">
        <v>305</v>
      </c>
      <c r="C145" t="s">
        <v>306</v>
      </c>
      <c r="D145" t="str">
        <f t="shared" si="11"/>
        <v>ERICA SOLIVAN</v>
      </c>
      <c r="E145" t="s">
        <v>51</v>
      </c>
      <c r="F145" t="s">
        <v>105</v>
      </c>
      <c r="G145" t="s">
        <v>263</v>
      </c>
      <c r="H145">
        <v>21605264</v>
      </c>
      <c r="J145" t="s">
        <v>316</v>
      </c>
      <c r="K145" t="s">
        <v>727</v>
      </c>
      <c r="L145">
        <v>21605264</v>
      </c>
      <c r="M145" t="s">
        <v>171</v>
      </c>
      <c r="N145" t="s">
        <v>172</v>
      </c>
      <c r="O145" t="str">
        <f t="shared" si="12"/>
        <v>Erica Solivan</v>
      </c>
      <c r="P145" s="1">
        <v>45982</v>
      </c>
      <c r="Q145" s="1">
        <v>46012</v>
      </c>
      <c r="R145" s="2">
        <v>31.23</v>
      </c>
      <c r="S145" s="3">
        <v>0.7</v>
      </c>
      <c r="T145" t="s">
        <v>60</v>
      </c>
      <c r="U145" t="s">
        <v>61</v>
      </c>
      <c r="V145">
        <v>6</v>
      </c>
      <c r="W145" s="2">
        <v>21.86</v>
      </c>
      <c r="X145" t="s">
        <v>263</v>
      </c>
    </row>
    <row r="146" spans="1:54" x14ac:dyDescent="0.25">
      <c r="A146">
        <v>2032309635</v>
      </c>
      <c r="B146" t="s">
        <v>308</v>
      </c>
      <c r="C146" t="s">
        <v>309</v>
      </c>
      <c r="D146" t="str">
        <f t="shared" si="11"/>
        <v>RONDA FINLAY</v>
      </c>
      <c r="E146" t="s">
        <v>51</v>
      </c>
      <c r="F146" t="s">
        <v>310</v>
      </c>
      <c r="G146" t="s">
        <v>263</v>
      </c>
      <c r="H146">
        <v>9213293</v>
      </c>
      <c r="J146" t="s">
        <v>316</v>
      </c>
      <c r="K146" t="s">
        <v>727</v>
      </c>
      <c r="L146">
        <v>9213293</v>
      </c>
      <c r="M146" t="s">
        <v>209</v>
      </c>
      <c r="N146" t="s">
        <v>210</v>
      </c>
      <c r="O146" t="str">
        <f t="shared" si="12"/>
        <v>GARY PORTUGAL</v>
      </c>
      <c r="P146" s="1">
        <v>45983</v>
      </c>
      <c r="Q146" s="1">
        <v>46013</v>
      </c>
      <c r="R146" s="2">
        <v>61.02</v>
      </c>
      <c r="S146" s="3">
        <v>0.7</v>
      </c>
      <c r="T146" t="s">
        <v>60</v>
      </c>
      <c r="U146" t="s">
        <v>61</v>
      </c>
      <c r="V146">
        <v>6</v>
      </c>
      <c r="W146" s="2">
        <v>42.71</v>
      </c>
      <c r="X146" t="s">
        <v>263</v>
      </c>
    </row>
    <row r="147" spans="1:54" x14ac:dyDescent="0.25">
      <c r="A147">
        <v>2032226248</v>
      </c>
      <c r="B147" t="s">
        <v>273</v>
      </c>
      <c r="C147" t="s">
        <v>274</v>
      </c>
      <c r="D147" t="str">
        <f t="shared" si="11"/>
        <v>JASON LEVINS</v>
      </c>
      <c r="E147" t="s">
        <v>51</v>
      </c>
      <c r="F147" t="s">
        <v>105</v>
      </c>
      <c r="G147" t="s">
        <v>263</v>
      </c>
      <c r="H147">
        <v>17516272</v>
      </c>
      <c r="J147" t="s">
        <v>316</v>
      </c>
      <c r="K147" t="s">
        <v>727</v>
      </c>
      <c r="L147">
        <v>17516272</v>
      </c>
      <c r="M147" t="s">
        <v>275</v>
      </c>
      <c r="N147" t="s">
        <v>276</v>
      </c>
      <c r="O147" t="str">
        <f t="shared" si="12"/>
        <v>Kenneth Weitzman</v>
      </c>
      <c r="P147" s="1">
        <v>45992</v>
      </c>
      <c r="Q147" s="1">
        <v>46023</v>
      </c>
      <c r="R147" s="2">
        <v>10.75</v>
      </c>
      <c r="S147" s="3">
        <v>0.7</v>
      </c>
      <c r="T147" t="s">
        <v>60</v>
      </c>
      <c r="U147" t="s">
        <v>61</v>
      </c>
      <c r="V147">
        <v>6</v>
      </c>
      <c r="W147" s="2">
        <v>7.52</v>
      </c>
      <c r="X147" t="s">
        <v>263</v>
      </c>
    </row>
    <row r="148" spans="1:54" x14ac:dyDescent="0.25">
      <c r="A148">
        <v>2032136865</v>
      </c>
      <c r="B148" t="s">
        <v>164</v>
      </c>
      <c r="C148" t="s">
        <v>165</v>
      </c>
      <c r="D148" t="str">
        <f t="shared" si="11"/>
        <v>REGINA KROKEL</v>
      </c>
      <c r="E148" t="s">
        <v>51</v>
      </c>
      <c r="F148" t="s">
        <v>166</v>
      </c>
      <c r="G148" t="s">
        <v>263</v>
      </c>
      <c r="H148">
        <v>8977234</v>
      </c>
      <c r="J148" t="s">
        <v>316</v>
      </c>
      <c r="K148" t="s">
        <v>727</v>
      </c>
      <c r="L148">
        <v>8977234</v>
      </c>
      <c r="M148" t="s">
        <v>70</v>
      </c>
      <c r="N148" t="s">
        <v>71</v>
      </c>
      <c r="O148" t="str">
        <f t="shared" si="12"/>
        <v>RYAN CALTAGIRONE</v>
      </c>
      <c r="P148" s="1">
        <v>46023</v>
      </c>
      <c r="Q148" s="1">
        <v>46054</v>
      </c>
      <c r="R148" s="2">
        <v>29.63</v>
      </c>
      <c r="S148" s="3">
        <v>0.7</v>
      </c>
      <c r="T148" t="s">
        <v>60</v>
      </c>
      <c r="U148" t="s">
        <v>61</v>
      </c>
      <c r="V148">
        <v>6</v>
      </c>
      <c r="W148" s="2">
        <v>20.74</v>
      </c>
      <c r="X148" t="s">
        <v>263</v>
      </c>
    </row>
    <row r="149" spans="1:54" x14ac:dyDescent="0.25">
      <c r="A149">
        <v>2032210560</v>
      </c>
      <c r="B149" t="s">
        <v>67</v>
      </c>
      <c r="C149" t="s">
        <v>68</v>
      </c>
      <c r="D149" t="str">
        <f t="shared" si="11"/>
        <v>MARY SLUTZ</v>
      </c>
      <c r="E149" t="s">
        <v>51</v>
      </c>
      <c r="F149" t="s">
        <v>69</v>
      </c>
      <c r="G149" t="s">
        <v>263</v>
      </c>
      <c r="H149">
        <v>8977234</v>
      </c>
      <c r="J149" t="s">
        <v>316</v>
      </c>
      <c r="K149" t="s">
        <v>727</v>
      </c>
      <c r="L149">
        <v>8977234</v>
      </c>
      <c r="M149" t="s">
        <v>70</v>
      </c>
      <c r="N149" t="s">
        <v>71</v>
      </c>
      <c r="O149" t="str">
        <f t="shared" si="12"/>
        <v>RYAN CALTAGIRONE</v>
      </c>
      <c r="P149" s="1">
        <v>46023</v>
      </c>
      <c r="Q149" s="1">
        <v>46054</v>
      </c>
      <c r="R149" s="2">
        <v>79.58</v>
      </c>
      <c r="S149" s="3">
        <v>0.7</v>
      </c>
      <c r="T149" t="s">
        <v>60</v>
      </c>
      <c r="U149" t="s">
        <v>61</v>
      </c>
      <c r="V149">
        <v>6</v>
      </c>
      <c r="W149" s="2">
        <v>55.71</v>
      </c>
      <c r="X149" t="s">
        <v>263</v>
      </c>
    </row>
    <row r="150" spans="1:54" x14ac:dyDescent="0.25">
      <c r="A150">
        <v>2032218880</v>
      </c>
      <c r="B150" t="s">
        <v>117</v>
      </c>
      <c r="C150" t="s">
        <v>118</v>
      </c>
      <c r="D150" t="str">
        <f t="shared" si="11"/>
        <v>BRAYDEN SMITH</v>
      </c>
      <c r="E150" t="s">
        <v>51</v>
      </c>
      <c r="F150" t="s">
        <v>119</v>
      </c>
      <c r="G150" t="s">
        <v>263</v>
      </c>
      <c r="H150">
        <v>8977234</v>
      </c>
      <c r="J150" t="s">
        <v>316</v>
      </c>
      <c r="K150" t="s">
        <v>727</v>
      </c>
      <c r="L150">
        <v>8977234</v>
      </c>
      <c r="M150" t="s">
        <v>70</v>
      </c>
      <c r="N150" t="s">
        <v>71</v>
      </c>
      <c r="O150" t="str">
        <f t="shared" si="12"/>
        <v>RYAN CALTAGIRONE</v>
      </c>
      <c r="P150" s="1">
        <v>46023</v>
      </c>
      <c r="Q150" s="1">
        <v>46054</v>
      </c>
      <c r="R150" s="2">
        <v>63.95</v>
      </c>
      <c r="S150" s="3">
        <v>0.7</v>
      </c>
      <c r="T150" t="s">
        <v>60</v>
      </c>
      <c r="U150" t="s">
        <v>61</v>
      </c>
      <c r="V150">
        <v>6</v>
      </c>
      <c r="W150" s="2">
        <v>44.76</v>
      </c>
      <c r="X150" t="s">
        <v>263</v>
      </c>
    </row>
    <row r="151" spans="1:54" x14ac:dyDescent="0.25">
      <c r="A151">
        <v>2032238786</v>
      </c>
      <c r="B151" t="s">
        <v>133</v>
      </c>
      <c r="C151" t="s">
        <v>134</v>
      </c>
      <c r="D151" t="str">
        <f t="shared" si="11"/>
        <v>ERNEST MANTES</v>
      </c>
      <c r="E151" t="s">
        <v>51</v>
      </c>
      <c r="F151" t="s">
        <v>135</v>
      </c>
      <c r="G151" t="s">
        <v>263</v>
      </c>
      <c r="H151">
        <v>8977234</v>
      </c>
      <c r="J151" t="s">
        <v>316</v>
      </c>
      <c r="K151" t="s">
        <v>727</v>
      </c>
      <c r="L151">
        <v>8977234</v>
      </c>
      <c r="M151" t="s">
        <v>70</v>
      </c>
      <c r="N151" t="s">
        <v>71</v>
      </c>
      <c r="O151" t="str">
        <f t="shared" si="12"/>
        <v>RYAN CALTAGIRONE</v>
      </c>
      <c r="P151" s="1">
        <v>46023</v>
      </c>
      <c r="Q151" s="1">
        <v>46054</v>
      </c>
      <c r="R151" s="2">
        <v>68.61</v>
      </c>
      <c r="S151" s="3">
        <v>0.7</v>
      </c>
      <c r="T151" t="s">
        <v>60</v>
      </c>
      <c r="U151" t="s">
        <v>61</v>
      </c>
      <c r="V151">
        <v>6</v>
      </c>
      <c r="W151" s="2">
        <v>48.03</v>
      </c>
      <c r="X151" t="s">
        <v>263</v>
      </c>
    </row>
    <row r="152" spans="1:54" x14ac:dyDescent="0.25">
      <c r="A152">
        <v>2032257836</v>
      </c>
      <c r="B152" t="s">
        <v>138</v>
      </c>
      <c r="C152" t="s">
        <v>139</v>
      </c>
      <c r="D152" t="str">
        <f t="shared" si="11"/>
        <v>ROY RAMOS</v>
      </c>
      <c r="E152" t="s">
        <v>51</v>
      </c>
      <c r="F152" t="s">
        <v>135</v>
      </c>
      <c r="G152" t="s">
        <v>263</v>
      </c>
      <c r="H152">
        <v>8977234</v>
      </c>
      <c r="J152" t="s">
        <v>316</v>
      </c>
      <c r="K152" t="s">
        <v>727</v>
      </c>
      <c r="L152">
        <v>8977234</v>
      </c>
      <c r="M152" t="s">
        <v>70</v>
      </c>
      <c r="N152" t="s">
        <v>71</v>
      </c>
      <c r="O152" t="str">
        <f t="shared" si="12"/>
        <v>RYAN CALTAGIRONE</v>
      </c>
      <c r="P152" s="1">
        <v>46023</v>
      </c>
      <c r="Q152" s="1">
        <v>46054</v>
      </c>
      <c r="R152" s="2">
        <v>80.73</v>
      </c>
      <c r="S152" s="3">
        <v>0.7</v>
      </c>
      <c r="T152" t="s">
        <v>60</v>
      </c>
      <c r="U152" t="s">
        <v>61</v>
      </c>
      <c r="V152">
        <v>6</v>
      </c>
      <c r="W152" s="2">
        <v>56.51</v>
      </c>
      <c r="X152" t="s">
        <v>263</v>
      </c>
    </row>
    <row r="153" spans="1:54" x14ac:dyDescent="0.25">
      <c r="A153">
        <v>2032032432</v>
      </c>
      <c r="B153" t="s">
        <v>194</v>
      </c>
      <c r="C153" t="s">
        <v>195</v>
      </c>
      <c r="D153" t="str">
        <f t="shared" si="11"/>
        <v>NATALIE ROMO</v>
      </c>
      <c r="E153" t="s">
        <v>51</v>
      </c>
      <c r="F153" t="s">
        <v>64</v>
      </c>
      <c r="G153" t="s">
        <v>263</v>
      </c>
      <c r="H153">
        <v>19396223</v>
      </c>
      <c r="J153" t="s">
        <v>316</v>
      </c>
      <c r="K153" t="s">
        <v>727</v>
      </c>
      <c r="L153">
        <v>19396223</v>
      </c>
      <c r="M153" t="s">
        <v>198</v>
      </c>
      <c r="N153" t="s">
        <v>199</v>
      </c>
      <c r="O153" t="str">
        <f t="shared" si="12"/>
        <v>Saadia Abdul</v>
      </c>
      <c r="P153" s="1">
        <v>45985</v>
      </c>
      <c r="Q153" s="1">
        <v>46015</v>
      </c>
      <c r="R153" s="2">
        <v>15.75</v>
      </c>
      <c r="S153" s="3">
        <v>0.7</v>
      </c>
      <c r="T153" t="s">
        <v>60</v>
      </c>
      <c r="U153" t="s">
        <v>61</v>
      </c>
      <c r="V153">
        <v>6</v>
      </c>
      <c r="W153" s="2">
        <v>11.02</v>
      </c>
      <c r="X153" t="s">
        <v>263</v>
      </c>
    </row>
    <row r="154" spans="1:54" x14ac:dyDescent="0.25">
      <c r="A154">
        <v>2032216441</v>
      </c>
      <c r="B154" t="s">
        <v>211</v>
      </c>
      <c r="C154" t="s">
        <v>212</v>
      </c>
      <c r="D154" t="str">
        <f t="shared" si="11"/>
        <v>LINDA WIDELL</v>
      </c>
      <c r="E154" t="s">
        <v>51</v>
      </c>
      <c r="F154" t="s">
        <v>135</v>
      </c>
      <c r="G154" t="s">
        <v>197</v>
      </c>
      <c r="H154">
        <v>21348299</v>
      </c>
      <c r="J154" t="s">
        <v>316</v>
      </c>
      <c r="K154" t="s">
        <v>727</v>
      </c>
      <c r="L154">
        <v>21348299</v>
      </c>
      <c r="M154" t="s">
        <v>213</v>
      </c>
      <c r="N154" t="s">
        <v>214</v>
      </c>
      <c r="O154" t="str">
        <f t="shared" si="12"/>
        <v>BARRY BRENNER</v>
      </c>
      <c r="P154" s="1">
        <v>45979</v>
      </c>
      <c r="Q154" s="1">
        <v>46009</v>
      </c>
      <c r="R154" s="2">
        <v>36.03</v>
      </c>
      <c r="S154" s="4">
        <v>0.375</v>
      </c>
      <c r="T154" t="s">
        <v>60</v>
      </c>
      <c r="U154" t="s">
        <v>61</v>
      </c>
      <c r="V154">
        <v>6</v>
      </c>
      <c r="W154" s="2">
        <v>13.51</v>
      </c>
      <c r="X154" t="s">
        <v>197</v>
      </c>
    </row>
    <row r="155" spans="1:54" x14ac:dyDescent="0.25">
      <c r="A155">
        <v>2032235342</v>
      </c>
      <c r="B155" t="s">
        <v>181</v>
      </c>
      <c r="C155" t="s">
        <v>182</v>
      </c>
      <c r="D155" t="str">
        <f t="shared" si="11"/>
        <v>KEYAHANA BLACK</v>
      </c>
      <c r="E155" t="s">
        <v>51</v>
      </c>
      <c r="F155" t="s">
        <v>183</v>
      </c>
      <c r="G155" t="s">
        <v>197</v>
      </c>
      <c r="H155">
        <v>17425766</v>
      </c>
      <c r="J155" t="s">
        <v>316</v>
      </c>
      <c r="K155" t="s">
        <v>727</v>
      </c>
      <c r="L155">
        <v>17425766</v>
      </c>
      <c r="M155" t="s">
        <v>55</v>
      </c>
      <c r="N155" t="s">
        <v>56</v>
      </c>
      <c r="O155" t="str">
        <f t="shared" si="12"/>
        <v>CAROL FOLEY</v>
      </c>
      <c r="P155" s="1">
        <v>45980</v>
      </c>
      <c r="Q155" s="1">
        <v>46010</v>
      </c>
      <c r="R155" s="2">
        <v>26.7</v>
      </c>
      <c r="S155" s="4">
        <v>0.375</v>
      </c>
      <c r="T155" t="s">
        <v>60</v>
      </c>
      <c r="U155" t="s">
        <v>61</v>
      </c>
      <c r="V155">
        <v>6</v>
      </c>
      <c r="W155" s="2">
        <v>10.01</v>
      </c>
      <c r="X155" t="s">
        <v>197</v>
      </c>
    </row>
    <row r="156" spans="1:54" x14ac:dyDescent="0.25">
      <c r="A156">
        <v>2032223334</v>
      </c>
      <c r="B156" t="s">
        <v>217</v>
      </c>
      <c r="C156" t="s">
        <v>218</v>
      </c>
      <c r="D156" t="str">
        <f t="shared" si="11"/>
        <v>CATHERINE CROCKER</v>
      </c>
      <c r="E156" t="s">
        <v>51</v>
      </c>
      <c r="F156" t="s">
        <v>219</v>
      </c>
      <c r="G156" t="s">
        <v>197</v>
      </c>
      <c r="H156">
        <v>21435997</v>
      </c>
      <c r="J156" t="s">
        <v>316</v>
      </c>
      <c r="K156" t="s">
        <v>727</v>
      </c>
      <c r="L156">
        <v>21435997</v>
      </c>
      <c r="M156" t="s">
        <v>220</v>
      </c>
      <c r="N156" t="s">
        <v>221</v>
      </c>
      <c r="O156" t="str">
        <f t="shared" si="12"/>
        <v>Christopher Brousseau</v>
      </c>
      <c r="P156" s="1">
        <v>45980</v>
      </c>
      <c r="Q156" s="1">
        <v>46010</v>
      </c>
      <c r="R156" s="2">
        <v>44.86</v>
      </c>
      <c r="S156" s="4">
        <v>0.375</v>
      </c>
      <c r="T156" t="s">
        <v>60</v>
      </c>
      <c r="U156" t="s">
        <v>61</v>
      </c>
      <c r="V156">
        <v>6</v>
      </c>
      <c r="W156" s="2">
        <v>16.82</v>
      </c>
      <c r="X156" t="s">
        <v>197</v>
      </c>
    </row>
    <row r="157" spans="1:54" x14ac:dyDescent="0.25">
      <c r="A157">
        <v>2032206979</v>
      </c>
      <c r="B157" t="s">
        <v>206</v>
      </c>
      <c r="C157" t="s">
        <v>207</v>
      </c>
      <c r="D157" t="str">
        <f t="shared" si="11"/>
        <v>STEPHEN MATTINGLY</v>
      </c>
      <c r="E157" t="s">
        <v>51</v>
      </c>
      <c r="F157" t="s">
        <v>208</v>
      </c>
      <c r="G157" t="s">
        <v>197</v>
      </c>
      <c r="H157">
        <v>9213293</v>
      </c>
      <c r="J157" t="s">
        <v>316</v>
      </c>
      <c r="K157" t="s">
        <v>727</v>
      </c>
      <c r="L157">
        <v>9213293</v>
      </c>
      <c r="M157" t="s">
        <v>209</v>
      </c>
      <c r="N157" t="s">
        <v>210</v>
      </c>
      <c r="O157" t="str">
        <f t="shared" si="12"/>
        <v>GARY PORTUGAL</v>
      </c>
      <c r="P157" s="1">
        <v>45979</v>
      </c>
      <c r="Q157" s="1">
        <v>46009</v>
      </c>
      <c r="R157" s="2">
        <v>54.83</v>
      </c>
      <c r="S157" s="4">
        <v>0.375</v>
      </c>
      <c r="T157" t="s">
        <v>60</v>
      </c>
      <c r="U157" t="s">
        <v>61</v>
      </c>
      <c r="V157">
        <v>6</v>
      </c>
      <c r="W157" s="2">
        <v>20.56</v>
      </c>
      <c r="X157" t="s">
        <v>197</v>
      </c>
    </row>
    <row r="158" spans="1:54" x14ac:dyDescent="0.25">
      <c r="A158">
        <v>2032184182</v>
      </c>
      <c r="B158" t="s">
        <v>200</v>
      </c>
      <c r="C158" t="s">
        <v>201</v>
      </c>
      <c r="D158" t="str">
        <f t="shared" si="11"/>
        <v>HEATHER BUNDY</v>
      </c>
      <c r="E158" t="s">
        <v>51</v>
      </c>
      <c r="F158" t="s">
        <v>166</v>
      </c>
      <c r="G158" t="s">
        <v>197</v>
      </c>
      <c r="H158">
        <v>8046194</v>
      </c>
      <c r="J158" t="s">
        <v>316</v>
      </c>
      <c r="K158" t="s">
        <v>727</v>
      </c>
      <c r="L158">
        <v>8046194</v>
      </c>
      <c r="M158" t="s">
        <v>202</v>
      </c>
      <c r="N158" t="s">
        <v>203</v>
      </c>
      <c r="O158" t="str">
        <f t="shared" si="12"/>
        <v>H Allan</v>
      </c>
      <c r="P158" s="1">
        <v>45981</v>
      </c>
      <c r="Q158" s="1">
        <v>46011</v>
      </c>
      <c r="R158" s="2">
        <v>27.46</v>
      </c>
      <c r="S158" s="4">
        <v>0.375</v>
      </c>
      <c r="T158" t="s">
        <v>60</v>
      </c>
      <c r="U158" t="s">
        <v>61</v>
      </c>
      <c r="V158">
        <v>6</v>
      </c>
      <c r="W158" s="2">
        <v>10.3</v>
      </c>
      <c r="X158" t="s">
        <v>197</v>
      </c>
    </row>
    <row r="159" spans="1:54" x14ac:dyDescent="0.25">
      <c r="A159">
        <v>2032206790</v>
      </c>
      <c r="B159" t="s">
        <v>204</v>
      </c>
      <c r="C159" t="s">
        <v>205</v>
      </c>
      <c r="D159" t="str">
        <f t="shared" si="11"/>
        <v>JESSE HERMAN</v>
      </c>
      <c r="E159" t="s">
        <v>51</v>
      </c>
      <c r="F159" t="s">
        <v>52</v>
      </c>
      <c r="G159" t="s">
        <v>197</v>
      </c>
      <c r="H159">
        <v>18781057</v>
      </c>
      <c r="J159" t="s">
        <v>316</v>
      </c>
      <c r="K159" t="s">
        <v>727</v>
      </c>
      <c r="L159">
        <v>18781057</v>
      </c>
      <c r="M159" t="s">
        <v>82</v>
      </c>
      <c r="N159" t="s">
        <v>83</v>
      </c>
      <c r="O159" t="str">
        <f t="shared" si="12"/>
        <v>JOHN ROKEN</v>
      </c>
      <c r="P159" s="1">
        <v>45979</v>
      </c>
      <c r="Q159" s="1">
        <v>46009</v>
      </c>
      <c r="R159" s="2">
        <v>37.549999999999997</v>
      </c>
      <c r="S159" s="4">
        <v>0.375</v>
      </c>
      <c r="T159" t="s">
        <v>60</v>
      </c>
      <c r="U159" t="s">
        <v>61</v>
      </c>
      <c r="V159">
        <v>6</v>
      </c>
      <c r="W159" s="2">
        <v>14.08</v>
      </c>
      <c r="X159" t="s">
        <v>197</v>
      </c>
    </row>
    <row r="160" spans="1:54" s="5" customFormat="1" x14ac:dyDescent="0.25">
      <c r="A160">
        <v>2032239925</v>
      </c>
      <c r="B160" t="s">
        <v>233</v>
      </c>
      <c r="C160" t="s">
        <v>234</v>
      </c>
      <c r="D160" t="str">
        <f t="shared" si="11"/>
        <v>JADA MURRAY</v>
      </c>
      <c r="E160" t="s">
        <v>51</v>
      </c>
      <c r="F160" t="s">
        <v>235</v>
      </c>
      <c r="G160" t="s">
        <v>197</v>
      </c>
      <c r="H160">
        <v>18781057</v>
      </c>
      <c r="I160"/>
      <c r="J160" t="s">
        <v>316</v>
      </c>
      <c r="K160" t="s">
        <v>727</v>
      </c>
      <c r="L160">
        <v>18781057</v>
      </c>
      <c r="M160" t="s">
        <v>82</v>
      </c>
      <c r="N160" t="s">
        <v>83</v>
      </c>
      <c r="O160" t="str">
        <f t="shared" si="12"/>
        <v>JOHN ROKEN</v>
      </c>
      <c r="P160" s="1">
        <v>45980</v>
      </c>
      <c r="Q160" s="1">
        <v>46010</v>
      </c>
      <c r="R160" s="2">
        <v>43.28</v>
      </c>
      <c r="S160" s="4">
        <v>0.375</v>
      </c>
      <c r="T160" t="s">
        <v>60</v>
      </c>
      <c r="U160" t="s">
        <v>61</v>
      </c>
      <c r="V160">
        <v>6</v>
      </c>
      <c r="W160" s="2">
        <v>16.23</v>
      </c>
      <c r="X160" t="s">
        <v>197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54" s="5" customFormat="1" x14ac:dyDescent="0.25">
      <c r="A161">
        <v>2032273117</v>
      </c>
      <c r="B161" t="s">
        <v>80</v>
      </c>
      <c r="C161" t="s">
        <v>81</v>
      </c>
      <c r="D161" t="str">
        <f t="shared" si="11"/>
        <v>WILLIAM GALLAGHER</v>
      </c>
      <c r="E161" t="s">
        <v>51</v>
      </c>
      <c r="F161" t="s">
        <v>52</v>
      </c>
      <c r="G161" t="s">
        <v>197</v>
      </c>
      <c r="H161">
        <v>18781057</v>
      </c>
      <c r="I161"/>
      <c r="J161" t="s">
        <v>316</v>
      </c>
      <c r="K161" t="s">
        <v>727</v>
      </c>
      <c r="L161">
        <v>18781057</v>
      </c>
      <c r="M161" t="s">
        <v>82</v>
      </c>
      <c r="N161" t="s">
        <v>83</v>
      </c>
      <c r="O161" t="str">
        <f t="shared" si="12"/>
        <v>JOHN ROKEN</v>
      </c>
      <c r="P161" s="1">
        <v>45992</v>
      </c>
      <c r="Q161" s="1">
        <v>46023</v>
      </c>
      <c r="R161" s="2">
        <v>46.59</v>
      </c>
      <c r="S161" s="4">
        <v>0.375</v>
      </c>
      <c r="T161" t="s">
        <v>60</v>
      </c>
      <c r="U161" t="s">
        <v>61</v>
      </c>
      <c r="V161">
        <v>6</v>
      </c>
      <c r="W161" s="2">
        <v>17.47</v>
      </c>
      <c r="X161" t="s">
        <v>197</v>
      </c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</row>
    <row r="162" spans="1:54" s="5" customFormat="1" x14ac:dyDescent="0.25">
      <c r="A162">
        <v>2032257838</v>
      </c>
      <c r="B162" t="s">
        <v>138</v>
      </c>
      <c r="C162" t="s">
        <v>139</v>
      </c>
      <c r="D162" t="str">
        <f t="shared" ref="D162:D193" si="13">CONCATENATE(C162," ",B162)</f>
        <v>ROY RAMOS</v>
      </c>
      <c r="E162" t="s">
        <v>51</v>
      </c>
      <c r="F162" t="s">
        <v>135</v>
      </c>
      <c r="G162" t="s">
        <v>197</v>
      </c>
      <c r="H162">
        <v>8977234</v>
      </c>
      <c r="I162"/>
      <c r="J162" t="s">
        <v>316</v>
      </c>
      <c r="K162" t="s">
        <v>727</v>
      </c>
      <c r="L162">
        <v>8977234</v>
      </c>
      <c r="M162" t="s">
        <v>70</v>
      </c>
      <c r="N162" t="s">
        <v>71</v>
      </c>
      <c r="O162" t="str">
        <f t="shared" si="12"/>
        <v>RYAN CALTAGIRONE</v>
      </c>
      <c r="P162" s="1">
        <v>46023</v>
      </c>
      <c r="Q162" s="1">
        <v>46054</v>
      </c>
      <c r="R162" s="2">
        <v>28.82</v>
      </c>
      <c r="S162" s="4">
        <v>0.375</v>
      </c>
      <c r="T162" t="s">
        <v>60</v>
      </c>
      <c r="U162" t="s">
        <v>61</v>
      </c>
      <c r="V162">
        <v>6</v>
      </c>
      <c r="W162" s="2">
        <v>10.81</v>
      </c>
      <c r="X162" t="s">
        <v>197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</row>
    <row r="163" spans="1:54" s="5" customFormat="1" x14ac:dyDescent="0.25">
      <c r="A163">
        <v>2032032433</v>
      </c>
      <c r="B163" t="s">
        <v>194</v>
      </c>
      <c r="C163" t="s">
        <v>195</v>
      </c>
      <c r="D163" t="str">
        <f t="shared" si="13"/>
        <v>NATALIE ROMO</v>
      </c>
      <c r="E163" t="s">
        <v>51</v>
      </c>
      <c r="F163" t="s">
        <v>64</v>
      </c>
      <c r="G163" t="s">
        <v>197</v>
      </c>
      <c r="H163">
        <v>19396223</v>
      </c>
      <c r="I163"/>
      <c r="J163" t="s">
        <v>316</v>
      </c>
      <c r="K163" t="s">
        <v>727</v>
      </c>
      <c r="L163">
        <v>19396223</v>
      </c>
      <c r="M163" t="s">
        <v>198</v>
      </c>
      <c r="N163" t="s">
        <v>199</v>
      </c>
      <c r="O163" t="str">
        <f t="shared" si="12"/>
        <v>Saadia Abdul</v>
      </c>
      <c r="P163" s="1">
        <v>45985</v>
      </c>
      <c r="Q163" s="1">
        <v>46015</v>
      </c>
      <c r="R163" s="2">
        <v>158.56</v>
      </c>
      <c r="S163" s="4">
        <v>0.375</v>
      </c>
      <c r="T163" t="s">
        <v>60</v>
      </c>
      <c r="U163" t="s">
        <v>61</v>
      </c>
      <c r="V163">
        <v>6</v>
      </c>
      <c r="W163" s="2">
        <v>59.46</v>
      </c>
      <c r="X163" t="s">
        <v>197</v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</row>
    <row r="164" spans="1:54" s="5" customFormat="1" x14ac:dyDescent="0.25">
      <c r="A164">
        <v>2032231789</v>
      </c>
      <c r="B164" t="s">
        <v>279</v>
      </c>
      <c r="C164" t="s">
        <v>280</v>
      </c>
      <c r="D164" t="str">
        <f t="shared" si="13"/>
        <v>KENNETH NICASTRO</v>
      </c>
      <c r="E164" t="s">
        <v>51</v>
      </c>
      <c r="F164" t="s">
        <v>95</v>
      </c>
      <c r="G164" t="s">
        <v>265</v>
      </c>
      <c r="H164">
        <v>5442438</v>
      </c>
      <c r="I164"/>
      <c r="J164" t="s">
        <v>316</v>
      </c>
      <c r="K164" t="s">
        <v>727</v>
      </c>
      <c r="L164">
        <v>5442438</v>
      </c>
      <c r="M164" t="s">
        <v>125</v>
      </c>
      <c r="N164" t="s">
        <v>126</v>
      </c>
      <c r="O164" t="str">
        <f t="shared" si="12"/>
        <v>Ronald Max</v>
      </c>
      <c r="P164" s="1">
        <v>45980</v>
      </c>
      <c r="Q164" s="1">
        <v>46010</v>
      </c>
      <c r="R164" s="2">
        <v>35.85</v>
      </c>
      <c r="S164" s="3">
        <v>0.9</v>
      </c>
      <c r="T164" t="s">
        <v>60</v>
      </c>
      <c r="U164" t="s">
        <v>61</v>
      </c>
      <c r="V164">
        <v>6</v>
      </c>
      <c r="W164" s="2">
        <v>32.26</v>
      </c>
      <c r="X164" t="s">
        <v>265</v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</row>
    <row r="165" spans="1:54" s="5" customFormat="1" x14ac:dyDescent="0.25">
      <c r="A165">
        <v>2032297145</v>
      </c>
      <c r="B165" t="s">
        <v>307</v>
      </c>
      <c r="C165" t="s">
        <v>83</v>
      </c>
      <c r="D165" t="str">
        <f t="shared" si="13"/>
        <v>JOHN MULLHAUSEN</v>
      </c>
      <c r="E165" t="s">
        <v>51</v>
      </c>
      <c r="F165" t="s">
        <v>95</v>
      </c>
      <c r="G165" t="s">
        <v>265</v>
      </c>
      <c r="H165">
        <v>5442438</v>
      </c>
      <c r="I165"/>
      <c r="J165" t="s">
        <v>316</v>
      </c>
      <c r="K165" t="s">
        <v>727</v>
      </c>
      <c r="L165">
        <v>5442438</v>
      </c>
      <c r="M165" t="s">
        <v>125</v>
      </c>
      <c r="N165" t="s">
        <v>126</v>
      </c>
      <c r="O165" t="str">
        <f t="shared" si="12"/>
        <v>Ronald Max</v>
      </c>
      <c r="P165" s="1">
        <v>45988</v>
      </c>
      <c r="Q165" s="1">
        <v>46018</v>
      </c>
      <c r="R165" s="2">
        <v>67.88</v>
      </c>
      <c r="S165" s="3">
        <v>0.9</v>
      </c>
      <c r="T165" t="s">
        <v>60</v>
      </c>
      <c r="U165" t="s">
        <v>61</v>
      </c>
      <c r="V165">
        <v>6</v>
      </c>
      <c r="W165" s="2">
        <v>61.09</v>
      </c>
      <c r="X165" t="s">
        <v>265</v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</row>
    <row r="166" spans="1:54" s="5" customFormat="1" x14ac:dyDescent="0.25">
      <c r="A166">
        <v>2032204740</v>
      </c>
      <c r="B166" t="s">
        <v>49</v>
      </c>
      <c r="C166" t="s">
        <v>50</v>
      </c>
      <c r="D166" t="str">
        <f t="shared" si="13"/>
        <v>JEROME PALUMBO</v>
      </c>
      <c r="E166" t="s">
        <v>51</v>
      </c>
      <c r="F166" t="s">
        <v>52</v>
      </c>
      <c r="G166" t="s">
        <v>54</v>
      </c>
      <c r="H166">
        <v>17425766</v>
      </c>
      <c r="I166"/>
      <c r="J166" t="s">
        <v>316</v>
      </c>
      <c r="K166" t="s">
        <v>727</v>
      </c>
      <c r="L166">
        <v>17425766</v>
      </c>
      <c r="M166" t="s">
        <v>55</v>
      </c>
      <c r="N166" t="s">
        <v>56</v>
      </c>
      <c r="O166" t="str">
        <f t="shared" si="12"/>
        <v>CAROL FOLEY</v>
      </c>
      <c r="P166" s="1">
        <v>45992</v>
      </c>
      <c r="Q166" s="1">
        <v>46023</v>
      </c>
      <c r="R166" s="2">
        <v>40.159999999999997</v>
      </c>
      <c r="S166" s="3">
        <v>0.6</v>
      </c>
      <c r="T166" t="s">
        <v>60</v>
      </c>
      <c r="U166" t="s">
        <v>61</v>
      </c>
      <c r="V166">
        <v>6</v>
      </c>
      <c r="W166" s="2">
        <v>24.1</v>
      </c>
      <c r="X166" t="s">
        <v>54</v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</row>
    <row r="167" spans="1:54" s="5" customFormat="1" x14ac:dyDescent="0.25">
      <c r="A167">
        <v>2032273119</v>
      </c>
      <c r="B167" t="s">
        <v>80</v>
      </c>
      <c r="C167" t="s">
        <v>81</v>
      </c>
      <c r="D167" t="str">
        <f t="shared" si="13"/>
        <v>WILLIAM GALLAGHER</v>
      </c>
      <c r="E167" t="s">
        <v>51</v>
      </c>
      <c r="F167" t="s">
        <v>52</v>
      </c>
      <c r="G167" t="s">
        <v>54</v>
      </c>
      <c r="H167">
        <v>18781057</v>
      </c>
      <c r="I167"/>
      <c r="J167" t="s">
        <v>316</v>
      </c>
      <c r="K167" t="s">
        <v>727</v>
      </c>
      <c r="L167">
        <v>18781057</v>
      </c>
      <c r="M167" t="s">
        <v>82</v>
      </c>
      <c r="N167" t="s">
        <v>83</v>
      </c>
      <c r="O167" t="str">
        <f t="shared" si="12"/>
        <v>JOHN ROKEN</v>
      </c>
      <c r="P167" s="1">
        <v>45992</v>
      </c>
      <c r="Q167" s="1">
        <v>46023</v>
      </c>
      <c r="R167" s="2">
        <v>46.45</v>
      </c>
      <c r="S167" s="3">
        <v>0.6</v>
      </c>
      <c r="T167" t="s">
        <v>60</v>
      </c>
      <c r="U167" t="s">
        <v>61</v>
      </c>
      <c r="V167">
        <v>6</v>
      </c>
      <c r="W167" s="2">
        <v>27.87</v>
      </c>
      <c r="X167" t="s">
        <v>54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</row>
    <row r="168" spans="1:54" s="5" customFormat="1" x14ac:dyDescent="0.25">
      <c r="A168">
        <v>2032282128</v>
      </c>
      <c r="B168" t="s">
        <v>84</v>
      </c>
      <c r="C168" t="s">
        <v>85</v>
      </c>
      <c r="D168" t="str">
        <f t="shared" si="13"/>
        <v>CLAIR JR</v>
      </c>
      <c r="E168" t="s">
        <v>51</v>
      </c>
      <c r="F168" t="s">
        <v>52</v>
      </c>
      <c r="G168" t="s">
        <v>54</v>
      </c>
      <c r="H168">
        <v>18781057</v>
      </c>
      <c r="I168"/>
      <c r="J168" t="s">
        <v>316</v>
      </c>
      <c r="K168" t="s">
        <v>727</v>
      </c>
      <c r="L168">
        <v>18781057</v>
      </c>
      <c r="M168" t="s">
        <v>82</v>
      </c>
      <c r="N168" t="s">
        <v>83</v>
      </c>
      <c r="O168" t="str">
        <f t="shared" si="12"/>
        <v>JOHN ROKEN</v>
      </c>
      <c r="P168" s="1">
        <v>45992</v>
      </c>
      <c r="Q168" s="1">
        <v>46023</v>
      </c>
      <c r="R168" s="2">
        <v>56.69</v>
      </c>
      <c r="S168" s="3">
        <v>0.6</v>
      </c>
      <c r="T168" t="s">
        <v>60</v>
      </c>
      <c r="U168" t="s">
        <v>61</v>
      </c>
      <c r="V168">
        <v>6</v>
      </c>
      <c r="W168" s="2">
        <v>34.01</v>
      </c>
      <c r="X168" t="s">
        <v>54</v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</row>
    <row r="169" spans="1:54" s="5" customFormat="1" x14ac:dyDescent="0.25">
      <c r="A169">
        <v>2032210561</v>
      </c>
      <c r="B169" t="s">
        <v>67</v>
      </c>
      <c r="C169" t="s">
        <v>68</v>
      </c>
      <c r="D169" t="str">
        <f t="shared" si="13"/>
        <v>MARY SLUTZ</v>
      </c>
      <c r="E169" t="s">
        <v>51</v>
      </c>
      <c r="F169" t="s">
        <v>69</v>
      </c>
      <c r="G169" t="s">
        <v>54</v>
      </c>
      <c r="H169">
        <v>8977234</v>
      </c>
      <c r="I169"/>
      <c r="J169" t="s">
        <v>316</v>
      </c>
      <c r="K169" t="s">
        <v>727</v>
      </c>
      <c r="L169">
        <v>8977234</v>
      </c>
      <c r="M169" t="s">
        <v>70</v>
      </c>
      <c r="N169" t="s">
        <v>71</v>
      </c>
      <c r="O169" t="str">
        <f t="shared" si="12"/>
        <v>RYAN CALTAGIRONE</v>
      </c>
      <c r="P169" s="1">
        <v>46023</v>
      </c>
      <c r="Q169" s="1">
        <v>46054</v>
      </c>
      <c r="R169" s="2">
        <v>61.18</v>
      </c>
      <c r="S169" s="3">
        <v>0.6</v>
      </c>
      <c r="T169" t="s">
        <v>60</v>
      </c>
      <c r="U169" t="s">
        <v>61</v>
      </c>
      <c r="V169">
        <v>6</v>
      </c>
      <c r="W169" s="2">
        <v>36.71</v>
      </c>
      <c r="X169" t="s">
        <v>54</v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</row>
  </sheetData>
  <sortState xmlns:xlrd2="http://schemas.microsoft.com/office/spreadsheetml/2017/richdata2" ref="A2:BB169">
    <sortCondition sortBy="cellColor" ref="A2:A169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6FCA-31DE-4A61-BCD6-E590D82946CF}">
  <dimension ref="A1:BA314"/>
  <sheetViews>
    <sheetView topLeftCell="A241" workbookViewId="0">
      <selection activeCell="E2" sqref="E2:E314"/>
    </sheetView>
  </sheetViews>
  <sheetFormatPr defaultRowHeight="15" x14ac:dyDescent="0.25"/>
  <cols>
    <col min="1" max="1" width="11" bestFit="1" customWidth="1"/>
    <col min="2" max="2" width="11.42578125" customWidth="1"/>
    <col min="3" max="4" width="10.85546875" customWidth="1"/>
    <col min="5" max="5" width="5.5703125" bestFit="1" customWidth="1"/>
    <col min="6" max="6" width="10" customWidth="1"/>
    <col min="7" max="7" width="21" customWidth="1"/>
    <col min="8" max="8" width="13.140625" customWidth="1"/>
    <col min="9" max="9" width="9.5703125" customWidth="1"/>
    <col min="10" max="11" width="9.85546875" customWidth="1"/>
    <col min="12" max="12" width="13.5703125" bestFit="1" customWidth="1"/>
    <col min="13" max="13" width="12" bestFit="1" customWidth="1"/>
    <col min="14" max="14" width="6.140625" customWidth="1"/>
    <col min="15" max="15" width="7.5703125" customWidth="1"/>
    <col min="16" max="16" width="7.28515625" customWidth="1"/>
    <col min="17" max="17" width="10.140625" customWidth="1"/>
    <col min="18" max="18" width="12.7109375" bestFit="1" customWidth="1"/>
    <col min="19" max="19" width="11.28515625" bestFit="1" customWidth="1"/>
    <col min="20" max="20" width="8.28515625" bestFit="1" customWidth="1"/>
    <col min="21" max="21" width="7.5703125" customWidth="1"/>
    <col min="22" max="22" width="13.7109375" bestFit="1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16</v>
      </c>
      <c r="Q1" t="s">
        <v>17</v>
      </c>
      <c r="R1" t="s">
        <v>19</v>
      </c>
      <c r="S1" t="s">
        <v>21</v>
      </c>
      <c r="T1" t="s">
        <v>24</v>
      </c>
      <c r="U1" t="s">
        <v>25</v>
      </c>
      <c r="V1" t="s">
        <v>37</v>
      </c>
    </row>
    <row r="2" spans="1:53" x14ac:dyDescent="0.25">
      <c r="A2" s="5">
        <v>2031615386</v>
      </c>
      <c r="B2" s="5" t="s">
        <v>657</v>
      </c>
      <c r="C2" s="5" t="s">
        <v>658</v>
      </c>
      <c r="D2" s="5" t="str">
        <f t="shared" ref="D2:D65" si="0">CONCATENATE(C2," ",B2)</f>
        <v>ROBIN CHRIST</v>
      </c>
      <c r="E2" s="5" t="s">
        <v>64</v>
      </c>
      <c r="F2" s="5" t="s">
        <v>262</v>
      </c>
      <c r="G2" s="5" t="s">
        <v>263</v>
      </c>
      <c r="H2" s="5">
        <v>8325282</v>
      </c>
      <c r="I2" s="5" t="s">
        <v>101</v>
      </c>
      <c r="J2" s="5" t="s">
        <v>102</v>
      </c>
      <c r="K2" s="5" t="str">
        <f t="shared" ref="K2:K33" si="1">CONCATENATE(J2," ",I2)</f>
        <v>Dale Walenga</v>
      </c>
      <c r="L2" s="6">
        <v>45962</v>
      </c>
      <c r="M2" s="6">
        <v>45992</v>
      </c>
      <c r="N2" s="5">
        <f t="shared" ref="N2:N65" si="2">DATEDIF(L2,M2,"M")</f>
        <v>1</v>
      </c>
      <c r="O2" s="5" t="s">
        <v>316</v>
      </c>
      <c r="P2" s="5" t="s">
        <v>736</v>
      </c>
      <c r="Q2" s="7">
        <v>11.5</v>
      </c>
      <c r="R2" s="5" t="s">
        <v>58</v>
      </c>
      <c r="S2" s="14">
        <v>0.7</v>
      </c>
      <c r="T2" s="5" t="s">
        <v>60</v>
      </c>
      <c r="U2" s="5" t="s">
        <v>317</v>
      </c>
      <c r="V2" s="7">
        <v>8.0500000000000007</v>
      </c>
      <c r="W2" s="5" t="s">
        <v>263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s="5" customFormat="1" x14ac:dyDescent="0.25">
      <c r="A3" s="5">
        <v>2032050346</v>
      </c>
      <c r="B3" s="5" t="s">
        <v>188</v>
      </c>
      <c r="C3" s="5" t="s">
        <v>189</v>
      </c>
      <c r="D3" s="5" t="str">
        <f t="shared" si="0"/>
        <v>JULIE HODGSON</v>
      </c>
      <c r="E3" s="5" t="s">
        <v>64</v>
      </c>
      <c r="F3" s="5" t="s">
        <v>262</v>
      </c>
      <c r="G3" s="5" t="s">
        <v>263</v>
      </c>
      <c r="H3" s="5">
        <v>8812322</v>
      </c>
      <c r="I3" s="5" t="s">
        <v>65</v>
      </c>
      <c r="J3" s="5" t="s">
        <v>66</v>
      </c>
      <c r="K3" s="5" t="str">
        <f t="shared" si="1"/>
        <v>Matthew Sherman</v>
      </c>
      <c r="L3" s="6">
        <v>46023</v>
      </c>
      <c r="M3" s="6">
        <v>46054</v>
      </c>
      <c r="N3" s="5">
        <f t="shared" si="2"/>
        <v>1</v>
      </c>
      <c r="O3" s="5" t="s">
        <v>316</v>
      </c>
      <c r="P3" s="5" t="s">
        <v>736</v>
      </c>
      <c r="Q3" s="7">
        <v>-34</v>
      </c>
      <c r="R3" s="5" t="s">
        <v>58</v>
      </c>
      <c r="S3" s="14">
        <v>0.7</v>
      </c>
      <c r="T3" s="5" t="s">
        <v>60</v>
      </c>
      <c r="U3" s="5" t="s">
        <v>317</v>
      </c>
      <c r="V3" s="7">
        <v>-23.8</v>
      </c>
      <c r="W3" s="5" t="s">
        <v>263</v>
      </c>
    </row>
    <row r="4" spans="1:53" s="5" customFormat="1" x14ac:dyDescent="0.25">
      <c r="A4" s="5">
        <v>2031615385</v>
      </c>
      <c r="B4" s="5" t="s">
        <v>657</v>
      </c>
      <c r="C4" s="5" t="s">
        <v>658</v>
      </c>
      <c r="D4" s="5" t="str">
        <f t="shared" si="0"/>
        <v>ROBIN CHRIST</v>
      </c>
      <c r="E4" s="5" t="s">
        <v>64</v>
      </c>
      <c r="F4" s="5" t="s">
        <v>683</v>
      </c>
      <c r="G4" s="5" t="s">
        <v>694</v>
      </c>
      <c r="H4" s="5">
        <v>8325282</v>
      </c>
      <c r="I4" s="5" t="s">
        <v>101</v>
      </c>
      <c r="J4" s="5" t="s">
        <v>102</v>
      </c>
      <c r="K4" s="5" t="str">
        <f t="shared" si="1"/>
        <v>Dale Walenga</v>
      </c>
      <c r="L4" s="6">
        <v>45962</v>
      </c>
      <c r="M4" s="6">
        <v>45992</v>
      </c>
      <c r="N4" s="5">
        <f t="shared" si="2"/>
        <v>1</v>
      </c>
      <c r="O4" s="5" t="s">
        <v>316</v>
      </c>
      <c r="P4" s="5" t="s">
        <v>736</v>
      </c>
      <c r="Q4" s="7">
        <v>5.95</v>
      </c>
      <c r="R4" s="5" t="s">
        <v>58</v>
      </c>
      <c r="S4" s="14">
        <v>0.51</v>
      </c>
      <c r="T4" s="5" t="s">
        <v>60</v>
      </c>
      <c r="U4" s="5" t="s">
        <v>317</v>
      </c>
      <c r="V4" s="7">
        <v>3.03</v>
      </c>
      <c r="W4" s="5" t="s">
        <v>693</v>
      </c>
    </row>
    <row r="5" spans="1:53" s="5" customFormat="1" x14ac:dyDescent="0.25">
      <c r="A5" s="5">
        <v>2031615384</v>
      </c>
      <c r="B5" s="5" t="s">
        <v>657</v>
      </c>
      <c r="C5" s="5" t="s">
        <v>658</v>
      </c>
      <c r="D5" s="5" t="str">
        <f t="shared" si="0"/>
        <v>ROBIN CHRIST</v>
      </c>
      <c r="E5" s="5" t="s">
        <v>64</v>
      </c>
      <c r="F5" s="5" t="s">
        <v>683</v>
      </c>
      <c r="G5" s="5" t="s">
        <v>693</v>
      </c>
      <c r="H5" s="5">
        <v>8325282</v>
      </c>
      <c r="I5" s="5" t="s">
        <v>101</v>
      </c>
      <c r="J5" s="5" t="s">
        <v>102</v>
      </c>
      <c r="K5" s="5" t="str">
        <f t="shared" si="1"/>
        <v>Dale Walenga</v>
      </c>
      <c r="L5" s="6">
        <v>45962</v>
      </c>
      <c r="M5" s="6">
        <v>45992</v>
      </c>
      <c r="N5" s="5">
        <f t="shared" si="2"/>
        <v>1</v>
      </c>
      <c r="O5" s="5" t="s">
        <v>316</v>
      </c>
      <c r="P5" s="5" t="s">
        <v>736</v>
      </c>
      <c r="Q5" s="7">
        <v>35.270000000000003</v>
      </c>
      <c r="R5" s="5" t="s">
        <v>58</v>
      </c>
      <c r="S5" s="14">
        <v>0.51</v>
      </c>
      <c r="T5" s="5" t="s">
        <v>60</v>
      </c>
      <c r="U5" s="5" t="s">
        <v>317</v>
      </c>
      <c r="V5" s="7">
        <v>17.989999999999998</v>
      </c>
      <c r="W5" s="5" t="s">
        <v>693</v>
      </c>
    </row>
    <row r="6" spans="1:53" s="5" customFormat="1" x14ac:dyDescent="0.25">
      <c r="A6" s="5">
        <v>2032050347</v>
      </c>
      <c r="B6" s="5" t="s">
        <v>188</v>
      </c>
      <c r="C6" s="5" t="s">
        <v>189</v>
      </c>
      <c r="D6" s="5" t="str">
        <f t="shared" si="0"/>
        <v>JULIE HODGSON</v>
      </c>
      <c r="E6" s="5" t="s">
        <v>64</v>
      </c>
      <c r="F6" s="5" t="s">
        <v>160</v>
      </c>
      <c r="G6" s="5" t="s">
        <v>161</v>
      </c>
      <c r="H6" s="5">
        <v>8812322</v>
      </c>
      <c r="I6" s="5" t="s">
        <v>65</v>
      </c>
      <c r="J6" s="5" t="s">
        <v>66</v>
      </c>
      <c r="K6" s="5" t="str">
        <f t="shared" si="1"/>
        <v>Matthew Sherman</v>
      </c>
      <c r="L6" s="6">
        <v>46023</v>
      </c>
      <c r="M6" s="6">
        <v>46054</v>
      </c>
      <c r="N6" s="5">
        <f t="shared" si="2"/>
        <v>1</v>
      </c>
      <c r="O6" s="5" t="s">
        <v>316</v>
      </c>
      <c r="P6" s="5" t="s">
        <v>736</v>
      </c>
      <c r="Q6" s="7">
        <v>-15</v>
      </c>
      <c r="R6" s="5" t="s">
        <v>58</v>
      </c>
      <c r="S6" s="14">
        <v>0.38</v>
      </c>
      <c r="T6" s="5" t="s">
        <v>60</v>
      </c>
      <c r="U6" s="5" t="s">
        <v>317</v>
      </c>
      <c r="V6" s="7">
        <v>-5.7</v>
      </c>
      <c r="W6" s="5" t="s">
        <v>161</v>
      </c>
    </row>
    <row r="7" spans="1:53" s="5" customFormat="1" x14ac:dyDescent="0.25">
      <c r="A7" s="5">
        <v>2032050345</v>
      </c>
      <c r="B7" s="5" t="s">
        <v>188</v>
      </c>
      <c r="C7" s="5" t="s">
        <v>189</v>
      </c>
      <c r="D7" s="5" t="str">
        <f t="shared" si="0"/>
        <v>JULIE HODGSON</v>
      </c>
      <c r="E7" s="5" t="s">
        <v>64</v>
      </c>
      <c r="F7" s="5" t="s">
        <v>258</v>
      </c>
      <c r="G7" s="5" t="s">
        <v>259</v>
      </c>
      <c r="H7" s="5">
        <v>8812322</v>
      </c>
      <c r="I7" s="5" t="s">
        <v>65</v>
      </c>
      <c r="J7" s="5" t="s">
        <v>66</v>
      </c>
      <c r="K7" s="5" t="str">
        <f t="shared" si="1"/>
        <v>Matthew Sherman</v>
      </c>
      <c r="L7" s="6">
        <v>46023</v>
      </c>
      <c r="M7" s="6">
        <v>46054</v>
      </c>
      <c r="N7" s="5">
        <f t="shared" si="2"/>
        <v>1</v>
      </c>
      <c r="O7" s="5" t="s">
        <v>316</v>
      </c>
      <c r="P7" s="5" t="s">
        <v>736</v>
      </c>
      <c r="Q7" s="7">
        <v>-42.1</v>
      </c>
      <c r="R7" s="5" t="s">
        <v>58</v>
      </c>
      <c r="S7" s="14">
        <v>0.38</v>
      </c>
      <c r="T7" s="5" t="s">
        <v>60</v>
      </c>
      <c r="U7" s="5" t="s">
        <v>317</v>
      </c>
      <c r="V7" s="7">
        <v>-16</v>
      </c>
      <c r="W7" s="5" t="s">
        <v>259</v>
      </c>
    </row>
    <row r="8" spans="1:53" s="5" customFormat="1" x14ac:dyDescent="0.25">
      <c r="A8" s="5">
        <v>2031759934</v>
      </c>
      <c r="B8" s="5" t="s">
        <v>407</v>
      </c>
      <c r="C8" s="5" t="s">
        <v>408</v>
      </c>
      <c r="D8" s="5" t="str">
        <f t="shared" si="0"/>
        <v>KRISTA STARK</v>
      </c>
      <c r="E8" s="5" t="s">
        <v>64</v>
      </c>
      <c r="F8" s="5" t="s">
        <v>89</v>
      </c>
      <c r="G8" s="5" t="s">
        <v>96</v>
      </c>
      <c r="H8" s="5">
        <v>16633294</v>
      </c>
      <c r="I8" s="5" t="s">
        <v>91</v>
      </c>
      <c r="J8" s="5" t="s">
        <v>92</v>
      </c>
      <c r="K8" s="5" t="str">
        <f t="shared" si="1"/>
        <v>Richard Yale</v>
      </c>
      <c r="L8" s="6">
        <v>45954</v>
      </c>
      <c r="M8" s="6">
        <v>46015</v>
      </c>
      <c r="N8" s="5">
        <f t="shared" si="2"/>
        <v>2</v>
      </c>
      <c r="O8" s="5" t="s">
        <v>316</v>
      </c>
      <c r="P8" s="5" t="s">
        <v>736</v>
      </c>
      <c r="Q8" s="7">
        <v>42.75</v>
      </c>
      <c r="R8" s="5" t="s">
        <v>58</v>
      </c>
      <c r="S8" s="14">
        <v>0.9</v>
      </c>
      <c r="T8" s="5" t="s">
        <v>60</v>
      </c>
      <c r="U8" s="5" t="s">
        <v>317</v>
      </c>
      <c r="V8" s="7">
        <v>38.479999999999997</v>
      </c>
      <c r="W8" s="5" t="s">
        <v>722</v>
      </c>
    </row>
    <row r="9" spans="1:53" s="5" customFormat="1" x14ac:dyDescent="0.25">
      <c r="A9" s="5">
        <v>2031709307</v>
      </c>
      <c r="B9" s="5" t="s">
        <v>659</v>
      </c>
      <c r="C9" s="5" t="s">
        <v>660</v>
      </c>
      <c r="D9" s="5" t="str">
        <f t="shared" si="0"/>
        <v>MILEAH LYONS</v>
      </c>
      <c r="E9" s="5" t="s">
        <v>224</v>
      </c>
      <c r="F9" s="5" t="s">
        <v>262</v>
      </c>
      <c r="G9" s="5" t="s">
        <v>265</v>
      </c>
      <c r="H9" s="5">
        <v>371819</v>
      </c>
      <c r="I9" s="5" t="s">
        <v>156</v>
      </c>
      <c r="J9" s="5" t="s">
        <v>157</v>
      </c>
      <c r="K9" s="5" t="str">
        <f t="shared" si="1"/>
        <v>THOMAS PARDUE</v>
      </c>
      <c r="L9" s="6">
        <v>45955</v>
      </c>
      <c r="M9" s="6">
        <v>46016</v>
      </c>
      <c r="N9" s="5">
        <f t="shared" si="2"/>
        <v>2</v>
      </c>
      <c r="O9" s="5" t="s">
        <v>316</v>
      </c>
      <c r="P9" s="5" t="s">
        <v>736</v>
      </c>
      <c r="Q9" s="7">
        <v>21.83</v>
      </c>
      <c r="R9" s="5" t="s">
        <v>58</v>
      </c>
      <c r="S9" s="14">
        <v>0.9</v>
      </c>
      <c r="T9" s="5" t="s">
        <v>60</v>
      </c>
      <c r="U9" s="5" t="s">
        <v>317</v>
      </c>
      <c r="V9" s="7">
        <v>19.649999999999999</v>
      </c>
      <c r="W9" s="5" t="s">
        <v>265</v>
      </c>
    </row>
    <row r="10" spans="1:53" s="5" customFormat="1" x14ac:dyDescent="0.25">
      <c r="A10" s="5">
        <v>2031750244</v>
      </c>
      <c r="B10" s="5" t="s">
        <v>661</v>
      </c>
      <c r="C10" s="5" t="s">
        <v>662</v>
      </c>
      <c r="D10" s="5" t="str">
        <f t="shared" si="0"/>
        <v>KITTY KENNERLY</v>
      </c>
      <c r="E10" s="5" t="s">
        <v>644</v>
      </c>
      <c r="F10" s="5" t="s">
        <v>262</v>
      </c>
      <c r="G10" s="5" t="s">
        <v>265</v>
      </c>
      <c r="H10" s="5">
        <v>371819</v>
      </c>
      <c r="I10" s="5" t="s">
        <v>156</v>
      </c>
      <c r="J10" s="5" t="s">
        <v>157</v>
      </c>
      <c r="K10" s="5" t="str">
        <f t="shared" si="1"/>
        <v>THOMAS PARDUE</v>
      </c>
      <c r="L10" s="6">
        <v>45952</v>
      </c>
      <c r="M10" s="6">
        <v>46013</v>
      </c>
      <c r="N10" s="5">
        <f t="shared" si="2"/>
        <v>2</v>
      </c>
      <c r="O10" s="5" t="s">
        <v>316</v>
      </c>
      <c r="P10" s="5" t="s">
        <v>736</v>
      </c>
      <c r="Q10" s="7">
        <v>37.880000000000003</v>
      </c>
      <c r="R10" s="5" t="s">
        <v>58</v>
      </c>
      <c r="S10" s="14">
        <v>0.9</v>
      </c>
      <c r="T10" s="5" t="s">
        <v>60</v>
      </c>
      <c r="U10" s="5" t="s">
        <v>317</v>
      </c>
      <c r="V10" s="7">
        <v>34.090000000000003</v>
      </c>
      <c r="W10" s="5" t="s">
        <v>265</v>
      </c>
    </row>
    <row r="11" spans="1:53" s="5" customFormat="1" x14ac:dyDescent="0.25">
      <c r="A11" s="5">
        <v>2031775761</v>
      </c>
      <c r="B11" s="5" t="s">
        <v>409</v>
      </c>
      <c r="C11" s="5" t="s">
        <v>253</v>
      </c>
      <c r="D11" s="5" t="str">
        <f t="shared" si="0"/>
        <v>DAVID SUGAR</v>
      </c>
      <c r="E11" s="5" t="s">
        <v>109</v>
      </c>
      <c r="F11" s="5" t="s">
        <v>89</v>
      </c>
      <c r="G11" s="5" t="s">
        <v>90</v>
      </c>
      <c r="H11" s="5">
        <v>16865615</v>
      </c>
      <c r="I11" s="5" t="s">
        <v>111</v>
      </c>
      <c r="J11" s="5" t="s">
        <v>112</v>
      </c>
      <c r="K11" s="5" t="str">
        <f t="shared" si="1"/>
        <v>Heather Geske</v>
      </c>
      <c r="L11" s="6">
        <v>45954</v>
      </c>
      <c r="M11" s="6">
        <v>46015</v>
      </c>
      <c r="N11" s="5">
        <f t="shared" si="2"/>
        <v>2</v>
      </c>
      <c r="O11" s="5" t="s">
        <v>316</v>
      </c>
      <c r="P11" s="5" t="s">
        <v>736</v>
      </c>
      <c r="Q11" s="7">
        <v>59.29</v>
      </c>
      <c r="R11" s="5" t="s">
        <v>58</v>
      </c>
      <c r="S11" s="14">
        <v>0.75</v>
      </c>
      <c r="T11" s="5" t="s">
        <v>60</v>
      </c>
      <c r="U11" s="5" t="s">
        <v>317</v>
      </c>
      <c r="V11" s="7">
        <v>44.47</v>
      </c>
      <c r="W11" s="5" t="s">
        <v>718</v>
      </c>
    </row>
    <row r="12" spans="1:53" s="5" customFormat="1" x14ac:dyDescent="0.25">
      <c r="A12" s="5">
        <v>2031759933</v>
      </c>
      <c r="B12" s="5" t="s">
        <v>407</v>
      </c>
      <c r="C12" s="5" t="s">
        <v>408</v>
      </c>
      <c r="D12" s="5" t="str">
        <f t="shared" si="0"/>
        <v>KRISTA STARK</v>
      </c>
      <c r="E12" s="5" t="s">
        <v>64</v>
      </c>
      <c r="F12" s="5" t="s">
        <v>89</v>
      </c>
      <c r="G12" s="5" t="s">
        <v>90</v>
      </c>
      <c r="H12" s="5">
        <v>16633294</v>
      </c>
      <c r="I12" s="5" t="s">
        <v>91</v>
      </c>
      <c r="J12" s="5" t="s">
        <v>92</v>
      </c>
      <c r="K12" s="5" t="str">
        <f t="shared" si="1"/>
        <v>Richard Yale</v>
      </c>
      <c r="L12" s="6">
        <v>45954</v>
      </c>
      <c r="M12" s="6">
        <v>46015</v>
      </c>
      <c r="N12" s="5">
        <f t="shared" si="2"/>
        <v>2</v>
      </c>
      <c r="O12" s="5" t="s">
        <v>316</v>
      </c>
      <c r="P12" s="5" t="s">
        <v>736</v>
      </c>
      <c r="Q12" s="7">
        <v>25.33</v>
      </c>
      <c r="R12" s="5" t="s">
        <v>58</v>
      </c>
      <c r="S12" s="14">
        <v>0.75</v>
      </c>
      <c r="T12" s="5" t="s">
        <v>60</v>
      </c>
      <c r="U12" s="5" t="s">
        <v>317</v>
      </c>
      <c r="V12" s="7">
        <v>19</v>
      </c>
      <c r="W12" s="5" t="s">
        <v>718</v>
      </c>
    </row>
    <row r="13" spans="1:53" s="5" customFormat="1" x14ac:dyDescent="0.25">
      <c r="A13" s="5">
        <v>2031775762</v>
      </c>
      <c r="B13" s="5" t="s">
        <v>409</v>
      </c>
      <c r="C13" s="5" t="s">
        <v>253</v>
      </c>
      <c r="D13" s="5" t="str">
        <f t="shared" si="0"/>
        <v>DAVID SUGAR</v>
      </c>
      <c r="E13" s="5" t="s">
        <v>109</v>
      </c>
      <c r="F13" s="5" t="s">
        <v>262</v>
      </c>
      <c r="G13" s="5" t="s">
        <v>264</v>
      </c>
      <c r="H13" s="5">
        <v>16865615</v>
      </c>
      <c r="I13" s="5" t="s">
        <v>111</v>
      </c>
      <c r="J13" s="5" t="s">
        <v>112</v>
      </c>
      <c r="K13" s="5" t="str">
        <f t="shared" si="1"/>
        <v>Heather Geske</v>
      </c>
      <c r="L13" s="6">
        <v>45954</v>
      </c>
      <c r="M13" s="6">
        <v>46015</v>
      </c>
      <c r="N13" s="5">
        <f t="shared" si="2"/>
        <v>2</v>
      </c>
      <c r="O13" s="5" t="s">
        <v>316</v>
      </c>
      <c r="P13" s="5" t="s">
        <v>736</v>
      </c>
      <c r="Q13" s="7">
        <v>6.3</v>
      </c>
      <c r="R13" s="5" t="s">
        <v>58</v>
      </c>
      <c r="S13" s="14">
        <v>0.7</v>
      </c>
      <c r="T13" s="5" t="s">
        <v>60</v>
      </c>
      <c r="U13" s="5" t="s">
        <v>317</v>
      </c>
      <c r="V13" s="7">
        <v>4.41</v>
      </c>
      <c r="W13" s="5" t="s">
        <v>562</v>
      </c>
    </row>
    <row r="14" spans="1:53" s="5" customFormat="1" x14ac:dyDescent="0.25">
      <c r="A14" s="5">
        <v>2031766018</v>
      </c>
      <c r="B14" s="5" t="s">
        <v>663</v>
      </c>
      <c r="C14" s="5" t="s">
        <v>664</v>
      </c>
      <c r="D14" s="5" t="str">
        <f t="shared" si="0"/>
        <v>LAURA DERUSHA</v>
      </c>
      <c r="E14" s="5" t="s">
        <v>64</v>
      </c>
      <c r="F14" s="5" t="s">
        <v>262</v>
      </c>
      <c r="G14" s="5" t="s">
        <v>263</v>
      </c>
      <c r="H14" s="5">
        <v>19681796</v>
      </c>
      <c r="I14" s="5" t="s">
        <v>142</v>
      </c>
      <c r="J14" s="5" t="s">
        <v>143</v>
      </c>
      <c r="K14" s="5" t="str">
        <f t="shared" si="1"/>
        <v>CHRISTIAN TAUGNER</v>
      </c>
      <c r="L14" s="6">
        <v>45953</v>
      </c>
      <c r="M14" s="6">
        <v>46014</v>
      </c>
      <c r="N14" s="5">
        <f t="shared" si="2"/>
        <v>2</v>
      </c>
      <c r="O14" s="5" t="s">
        <v>316</v>
      </c>
      <c r="P14" s="5" t="s">
        <v>736</v>
      </c>
      <c r="Q14" s="7">
        <v>74</v>
      </c>
      <c r="R14" s="5" t="s">
        <v>58</v>
      </c>
      <c r="S14" s="14">
        <v>0.7</v>
      </c>
      <c r="T14" s="5" t="s">
        <v>60</v>
      </c>
      <c r="U14" s="5" t="s">
        <v>317</v>
      </c>
      <c r="V14" s="7">
        <v>51.8</v>
      </c>
      <c r="W14" s="5" t="s">
        <v>263</v>
      </c>
    </row>
    <row r="15" spans="1:53" s="5" customFormat="1" x14ac:dyDescent="0.25">
      <c r="A15" s="5">
        <v>2031775760</v>
      </c>
      <c r="B15" s="5" t="s">
        <v>409</v>
      </c>
      <c r="C15" s="5" t="s">
        <v>253</v>
      </c>
      <c r="D15" s="5" t="str">
        <f t="shared" si="0"/>
        <v>DAVID SUGAR</v>
      </c>
      <c r="E15" s="5" t="s">
        <v>109</v>
      </c>
      <c r="F15" s="5" t="s">
        <v>262</v>
      </c>
      <c r="G15" s="5" t="s">
        <v>263</v>
      </c>
      <c r="H15" s="5">
        <v>16865615</v>
      </c>
      <c r="I15" s="5" t="s">
        <v>111</v>
      </c>
      <c r="J15" s="5" t="s">
        <v>112</v>
      </c>
      <c r="K15" s="5" t="str">
        <f t="shared" si="1"/>
        <v>Heather Geske</v>
      </c>
      <c r="L15" s="6">
        <v>45954</v>
      </c>
      <c r="M15" s="6">
        <v>46015</v>
      </c>
      <c r="N15" s="5">
        <f t="shared" si="2"/>
        <v>2</v>
      </c>
      <c r="O15" s="5" t="s">
        <v>316</v>
      </c>
      <c r="P15" s="5" t="s">
        <v>736</v>
      </c>
      <c r="Q15" s="7">
        <v>9.1</v>
      </c>
      <c r="R15" s="5" t="s">
        <v>58</v>
      </c>
      <c r="S15" s="14">
        <v>0.7</v>
      </c>
      <c r="T15" s="5" t="s">
        <v>60</v>
      </c>
      <c r="U15" s="5" t="s">
        <v>317</v>
      </c>
      <c r="V15" s="7">
        <v>6.37</v>
      </c>
      <c r="W15" s="5" t="s">
        <v>263</v>
      </c>
    </row>
    <row r="16" spans="1:53" s="5" customFormat="1" x14ac:dyDescent="0.25">
      <c r="A16" s="5">
        <v>2031799852</v>
      </c>
      <c r="B16" s="5" t="s">
        <v>670</v>
      </c>
      <c r="C16" s="5" t="s">
        <v>114</v>
      </c>
      <c r="D16" s="5" t="str">
        <f t="shared" si="0"/>
        <v>BRIAN SANDBERG</v>
      </c>
      <c r="E16" s="5" t="s">
        <v>105</v>
      </c>
      <c r="F16" s="5" t="s">
        <v>262</v>
      </c>
      <c r="G16" s="5" t="s">
        <v>263</v>
      </c>
      <c r="H16" s="5" t="s">
        <v>730</v>
      </c>
      <c r="I16" s="5" t="s">
        <v>106</v>
      </c>
      <c r="J16" s="5" t="s">
        <v>107</v>
      </c>
      <c r="K16" s="5" t="str">
        <f t="shared" si="1"/>
        <v>Jake Shulman</v>
      </c>
      <c r="L16" s="6">
        <v>45957</v>
      </c>
      <c r="M16" s="6">
        <v>46018</v>
      </c>
      <c r="N16" s="5">
        <f t="shared" si="2"/>
        <v>2</v>
      </c>
      <c r="O16" s="5" t="s">
        <v>316</v>
      </c>
      <c r="P16" s="5" t="s">
        <v>736</v>
      </c>
      <c r="Q16" s="7">
        <v>50.9</v>
      </c>
      <c r="R16" s="5" t="s">
        <v>58</v>
      </c>
      <c r="S16" s="14">
        <v>0.7</v>
      </c>
      <c r="T16" s="5" t="s">
        <v>60</v>
      </c>
      <c r="U16" s="5" t="s">
        <v>317</v>
      </c>
      <c r="V16" s="7">
        <v>35.630000000000003</v>
      </c>
      <c r="W16" s="5" t="s">
        <v>263</v>
      </c>
    </row>
    <row r="17" spans="1:53" s="5" customFormat="1" x14ac:dyDescent="0.25">
      <c r="A17" s="5">
        <v>2031805822</v>
      </c>
      <c r="B17" s="5" t="s">
        <v>671</v>
      </c>
      <c r="C17" s="5" t="s">
        <v>438</v>
      </c>
      <c r="D17" s="5" t="str">
        <f t="shared" si="0"/>
        <v>JAMES HAMILTON</v>
      </c>
      <c r="E17" s="5" t="s">
        <v>135</v>
      </c>
      <c r="F17" s="5" t="s">
        <v>262</v>
      </c>
      <c r="G17" s="5" t="s">
        <v>263</v>
      </c>
      <c r="H17" s="5">
        <v>21421111</v>
      </c>
      <c r="I17" s="5" t="s">
        <v>148</v>
      </c>
      <c r="J17" s="5" t="s">
        <v>149</v>
      </c>
      <c r="K17" s="5" t="str">
        <f t="shared" si="1"/>
        <v>Kirk Tigue</v>
      </c>
      <c r="L17" s="6">
        <v>45955</v>
      </c>
      <c r="M17" s="6">
        <v>46016</v>
      </c>
      <c r="N17" s="5">
        <f t="shared" si="2"/>
        <v>2</v>
      </c>
      <c r="O17" s="5" t="s">
        <v>316</v>
      </c>
      <c r="P17" s="5" t="s">
        <v>736</v>
      </c>
      <c r="Q17" s="7">
        <v>83</v>
      </c>
      <c r="R17" s="5" t="s">
        <v>58</v>
      </c>
      <c r="S17" s="14">
        <v>0.7</v>
      </c>
      <c r="T17" s="5" t="s">
        <v>60</v>
      </c>
      <c r="U17" s="5" t="s">
        <v>317</v>
      </c>
      <c r="V17" s="7">
        <v>58.1</v>
      </c>
      <c r="W17" s="5" t="s">
        <v>263</v>
      </c>
    </row>
    <row r="18" spans="1:53" s="5" customFormat="1" x14ac:dyDescent="0.25">
      <c r="A18" s="5">
        <v>2031823475</v>
      </c>
      <c r="B18" s="5" t="s">
        <v>672</v>
      </c>
      <c r="C18" s="5" t="s">
        <v>673</v>
      </c>
      <c r="D18" s="5" t="str">
        <f t="shared" si="0"/>
        <v>MAURICE ELZY</v>
      </c>
      <c r="E18" s="5" t="s">
        <v>64</v>
      </c>
      <c r="F18" s="5" t="s">
        <v>262</v>
      </c>
      <c r="G18" s="5" t="s">
        <v>263</v>
      </c>
      <c r="H18" s="5">
        <v>21648482</v>
      </c>
      <c r="I18" s="5" t="s">
        <v>674</v>
      </c>
      <c r="J18" s="5" t="s">
        <v>675</v>
      </c>
      <c r="K18" s="5" t="str">
        <f t="shared" si="1"/>
        <v>Raluca Cheregi</v>
      </c>
      <c r="L18" s="6">
        <v>45956</v>
      </c>
      <c r="M18" s="6">
        <v>46017</v>
      </c>
      <c r="N18" s="5">
        <f t="shared" si="2"/>
        <v>2</v>
      </c>
      <c r="O18" s="5" t="s">
        <v>316</v>
      </c>
      <c r="P18" s="5" t="s">
        <v>736</v>
      </c>
      <c r="Q18" s="7">
        <v>148.32</v>
      </c>
      <c r="R18" s="5" t="s">
        <v>58</v>
      </c>
      <c r="S18" s="14">
        <v>0.7</v>
      </c>
      <c r="T18" s="5" t="s">
        <v>60</v>
      </c>
      <c r="U18" s="5" t="s">
        <v>317</v>
      </c>
      <c r="V18" s="7">
        <v>103.82</v>
      </c>
      <c r="W18" s="5" t="s">
        <v>263</v>
      </c>
    </row>
    <row r="19" spans="1:53" s="5" customFormat="1" x14ac:dyDescent="0.25">
      <c r="A19" s="5">
        <v>2031759932</v>
      </c>
      <c r="B19" s="5" t="s">
        <v>407</v>
      </c>
      <c r="C19" s="5" t="s">
        <v>408</v>
      </c>
      <c r="D19" s="5" t="str">
        <f t="shared" si="0"/>
        <v>KRISTA STARK</v>
      </c>
      <c r="E19" s="5" t="s">
        <v>64</v>
      </c>
      <c r="F19" s="5" t="s">
        <v>262</v>
      </c>
      <c r="G19" s="5" t="s">
        <v>263</v>
      </c>
      <c r="H19" s="5">
        <v>16633294</v>
      </c>
      <c r="I19" s="5" t="s">
        <v>91</v>
      </c>
      <c r="J19" s="5" t="s">
        <v>92</v>
      </c>
      <c r="K19" s="5" t="str">
        <f t="shared" si="1"/>
        <v>Richard Yale</v>
      </c>
      <c r="L19" s="6">
        <v>45954</v>
      </c>
      <c r="M19" s="6">
        <v>46015</v>
      </c>
      <c r="N19" s="5">
        <f t="shared" si="2"/>
        <v>2</v>
      </c>
      <c r="O19" s="5" t="s">
        <v>316</v>
      </c>
      <c r="P19" s="5" t="s">
        <v>736</v>
      </c>
      <c r="Q19" s="7">
        <v>63.95</v>
      </c>
      <c r="R19" s="5" t="s">
        <v>58</v>
      </c>
      <c r="S19" s="14">
        <v>0.7</v>
      </c>
      <c r="T19" s="5" t="s">
        <v>60</v>
      </c>
      <c r="U19" s="5" t="s">
        <v>317</v>
      </c>
      <c r="V19" s="7">
        <v>44.76</v>
      </c>
      <c r="W19" s="5" t="s">
        <v>263</v>
      </c>
    </row>
    <row r="20" spans="1:53" s="5" customFormat="1" x14ac:dyDescent="0.25">
      <c r="A20" s="5">
        <v>2031361277</v>
      </c>
      <c r="B20" s="5" t="s">
        <v>540</v>
      </c>
      <c r="C20" s="5" t="s">
        <v>189</v>
      </c>
      <c r="D20" s="5" t="str">
        <f t="shared" si="0"/>
        <v>JULIE SOMMESE</v>
      </c>
      <c r="E20" s="5" t="s">
        <v>64</v>
      </c>
      <c r="F20" s="5" t="s">
        <v>262</v>
      </c>
      <c r="G20" s="5" t="s">
        <v>263</v>
      </c>
      <c r="H20" s="5">
        <v>17126004</v>
      </c>
      <c r="I20" s="5" t="s">
        <v>541</v>
      </c>
      <c r="J20" s="5" t="s">
        <v>542</v>
      </c>
      <c r="K20" s="5" t="str">
        <f t="shared" si="1"/>
        <v>Stephanie Drapac</v>
      </c>
      <c r="L20" s="6">
        <v>45931</v>
      </c>
      <c r="M20" s="6">
        <v>45992</v>
      </c>
      <c r="N20" s="5">
        <f t="shared" si="2"/>
        <v>2</v>
      </c>
      <c r="O20" s="5" t="s">
        <v>316</v>
      </c>
      <c r="P20" s="5" t="s">
        <v>736</v>
      </c>
      <c r="Q20" s="7">
        <v>88.96</v>
      </c>
      <c r="R20" s="5" t="s">
        <v>58</v>
      </c>
      <c r="S20" s="14">
        <v>0.7</v>
      </c>
      <c r="T20" s="5" t="s">
        <v>60</v>
      </c>
      <c r="U20" s="5" t="s">
        <v>317</v>
      </c>
      <c r="V20" s="7">
        <v>62.27</v>
      </c>
      <c r="W20" s="5" t="s">
        <v>263</v>
      </c>
    </row>
    <row r="21" spans="1:53" x14ac:dyDescent="0.25">
      <c r="A21" s="5">
        <v>2031750243</v>
      </c>
      <c r="B21" s="5" t="s">
        <v>661</v>
      </c>
      <c r="C21" s="5" t="s">
        <v>662</v>
      </c>
      <c r="D21" s="5" t="str">
        <f t="shared" si="0"/>
        <v>KITTY KENNERLY</v>
      </c>
      <c r="E21" s="5" t="s">
        <v>644</v>
      </c>
      <c r="F21" s="5" t="s">
        <v>262</v>
      </c>
      <c r="G21" s="5" t="s">
        <v>263</v>
      </c>
      <c r="H21" s="5">
        <v>371819</v>
      </c>
      <c r="I21" s="5" t="s">
        <v>156</v>
      </c>
      <c r="J21" s="5" t="s">
        <v>157</v>
      </c>
      <c r="K21" s="5" t="str">
        <f t="shared" si="1"/>
        <v>THOMAS PARDUE</v>
      </c>
      <c r="L21" s="6">
        <v>45952</v>
      </c>
      <c r="M21" s="6">
        <v>46013</v>
      </c>
      <c r="N21" s="5">
        <f t="shared" si="2"/>
        <v>2</v>
      </c>
      <c r="O21" s="5" t="s">
        <v>316</v>
      </c>
      <c r="P21" s="5" t="s">
        <v>736</v>
      </c>
      <c r="Q21" s="7">
        <v>62.75</v>
      </c>
      <c r="R21" s="5" t="s">
        <v>58</v>
      </c>
      <c r="S21" s="14">
        <v>0.7</v>
      </c>
      <c r="T21" s="5" t="s">
        <v>60</v>
      </c>
      <c r="U21" s="5" t="s">
        <v>317</v>
      </c>
      <c r="V21" s="7">
        <v>43.92</v>
      </c>
      <c r="W21" s="5" t="s">
        <v>263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>
        <v>2031845690</v>
      </c>
      <c r="B22" s="5" t="s">
        <v>545</v>
      </c>
      <c r="C22" s="5" t="s">
        <v>546</v>
      </c>
      <c r="D22" s="5" t="str">
        <f t="shared" si="0"/>
        <v>RUTH VAETH</v>
      </c>
      <c r="E22" s="5" t="s">
        <v>109</v>
      </c>
      <c r="F22" s="5" t="s">
        <v>262</v>
      </c>
      <c r="G22" s="5" t="s">
        <v>263</v>
      </c>
      <c r="H22" s="5">
        <v>21313588</v>
      </c>
      <c r="I22" s="5" t="s">
        <v>243</v>
      </c>
      <c r="J22" s="5" t="s">
        <v>81</v>
      </c>
      <c r="K22" s="5" t="str">
        <f t="shared" si="1"/>
        <v>WILLIAM GESKE</v>
      </c>
      <c r="L22" s="6">
        <v>45958</v>
      </c>
      <c r="M22" s="6">
        <v>46019</v>
      </c>
      <c r="N22" s="5">
        <f t="shared" si="2"/>
        <v>2</v>
      </c>
      <c r="O22" s="5" t="s">
        <v>316</v>
      </c>
      <c r="P22" s="5" t="s">
        <v>736</v>
      </c>
      <c r="Q22" s="7">
        <v>9.1</v>
      </c>
      <c r="R22" s="5" t="s">
        <v>58</v>
      </c>
      <c r="S22" s="14">
        <v>0.7</v>
      </c>
      <c r="T22" s="5" t="s">
        <v>60</v>
      </c>
      <c r="U22" s="5" t="s">
        <v>317</v>
      </c>
      <c r="V22" s="7">
        <v>6.37</v>
      </c>
      <c r="W22" s="5" t="s">
        <v>263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>
        <v>2031759931</v>
      </c>
      <c r="B23" s="5" t="s">
        <v>407</v>
      </c>
      <c r="C23" s="5" t="s">
        <v>408</v>
      </c>
      <c r="D23" s="5" t="str">
        <f t="shared" si="0"/>
        <v>KRISTA STARK</v>
      </c>
      <c r="E23" s="5" t="s">
        <v>64</v>
      </c>
      <c r="F23" s="5" t="s">
        <v>196</v>
      </c>
      <c r="G23" s="5" t="s">
        <v>197</v>
      </c>
      <c r="H23" s="5">
        <v>16633294</v>
      </c>
      <c r="I23" s="5" t="s">
        <v>91</v>
      </c>
      <c r="J23" s="5" t="s">
        <v>92</v>
      </c>
      <c r="K23" s="5" t="str">
        <f t="shared" si="1"/>
        <v>Richard Yale</v>
      </c>
      <c r="L23" s="6">
        <v>45954</v>
      </c>
      <c r="M23" s="6">
        <v>46015</v>
      </c>
      <c r="N23" s="5">
        <f t="shared" si="2"/>
        <v>2</v>
      </c>
      <c r="O23" s="5" t="s">
        <v>316</v>
      </c>
      <c r="P23" s="5" t="s">
        <v>736</v>
      </c>
      <c r="Q23" s="7">
        <v>77.48</v>
      </c>
      <c r="R23" s="5" t="s">
        <v>58</v>
      </c>
      <c r="S23" s="15">
        <v>0.375</v>
      </c>
      <c r="T23" s="5" t="s">
        <v>60</v>
      </c>
      <c r="U23" s="5" t="s">
        <v>317</v>
      </c>
      <c r="V23" s="7">
        <v>29.06</v>
      </c>
      <c r="W23" s="5" t="s">
        <v>197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5">
        <v>2031361276</v>
      </c>
      <c r="B24" s="5" t="s">
        <v>540</v>
      </c>
      <c r="C24" s="5" t="s">
        <v>189</v>
      </c>
      <c r="D24" s="5" t="str">
        <f t="shared" si="0"/>
        <v>JULIE SOMMESE</v>
      </c>
      <c r="E24" s="5" t="s">
        <v>64</v>
      </c>
      <c r="F24" s="5" t="s">
        <v>196</v>
      </c>
      <c r="G24" s="5" t="s">
        <v>197</v>
      </c>
      <c r="H24" s="5">
        <v>17126004</v>
      </c>
      <c r="I24" s="5" t="s">
        <v>541</v>
      </c>
      <c r="J24" s="5" t="s">
        <v>542</v>
      </c>
      <c r="K24" s="5" t="str">
        <f t="shared" si="1"/>
        <v>Stephanie Drapac</v>
      </c>
      <c r="L24" s="6">
        <v>45931</v>
      </c>
      <c r="M24" s="6">
        <v>45992</v>
      </c>
      <c r="N24" s="5">
        <f t="shared" si="2"/>
        <v>2</v>
      </c>
      <c r="O24" s="5" t="s">
        <v>316</v>
      </c>
      <c r="P24" s="5" t="s">
        <v>736</v>
      </c>
      <c r="Q24" s="7">
        <v>53.87</v>
      </c>
      <c r="R24" s="5" t="s">
        <v>58</v>
      </c>
      <c r="S24" s="15">
        <v>0.375</v>
      </c>
      <c r="T24" s="5" t="s">
        <v>60</v>
      </c>
      <c r="U24" s="5" t="s">
        <v>317</v>
      </c>
      <c r="V24" s="7">
        <v>20.2</v>
      </c>
      <c r="W24" s="5" t="s">
        <v>197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s="5" customFormat="1" x14ac:dyDescent="0.25">
      <c r="A25" s="5">
        <v>2031845691</v>
      </c>
      <c r="B25" s="5" t="s">
        <v>545</v>
      </c>
      <c r="C25" s="5" t="s">
        <v>546</v>
      </c>
      <c r="D25" s="5" t="str">
        <f t="shared" si="0"/>
        <v>RUTH VAETH</v>
      </c>
      <c r="E25" s="5" t="s">
        <v>109</v>
      </c>
      <c r="F25" s="5" t="s">
        <v>196</v>
      </c>
      <c r="G25" s="5" t="s">
        <v>197</v>
      </c>
      <c r="H25" s="5">
        <v>21313588</v>
      </c>
      <c r="I25" s="5" t="s">
        <v>243</v>
      </c>
      <c r="J25" s="5" t="s">
        <v>81</v>
      </c>
      <c r="K25" s="5" t="str">
        <f t="shared" si="1"/>
        <v>WILLIAM GESKE</v>
      </c>
      <c r="L25" s="6">
        <v>45958</v>
      </c>
      <c r="M25" s="6">
        <v>46019</v>
      </c>
      <c r="N25" s="5">
        <f t="shared" si="2"/>
        <v>2</v>
      </c>
      <c r="O25" s="5" t="s">
        <v>316</v>
      </c>
      <c r="P25" s="5" t="s">
        <v>736</v>
      </c>
      <c r="Q25" s="7">
        <v>71.760000000000005</v>
      </c>
      <c r="R25" s="5" t="s">
        <v>58</v>
      </c>
      <c r="S25" s="15">
        <v>0.375</v>
      </c>
      <c r="T25" s="5" t="s">
        <v>60</v>
      </c>
      <c r="U25" s="5" t="s">
        <v>317</v>
      </c>
      <c r="V25" s="7">
        <v>26.91</v>
      </c>
      <c r="W25" s="5" t="s">
        <v>197</v>
      </c>
    </row>
    <row r="26" spans="1:53" s="5" customFormat="1" x14ac:dyDescent="0.25">
      <c r="A26" s="5">
        <v>2031804599</v>
      </c>
      <c r="B26" s="5" t="s">
        <v>449</v>
      </c>
      <c r="C26" s="5" t="s">
        <v>450</v>
      </c>
      <c r="D26" s="5" t="str">
        <f t="shared" si="0"/>
        <v>LESLIE RARDIN</v>
      </c>
      <c r="E26" s="5" t="s">
        <v>310</v>
      </c>
      <c r="F26" s="5" t="s">
        <v>160</v>
      </c>
      <c r="G26" s="5" t="s">
        <v>451</v>
      </c>
      <c r="H26" s="5">
        <v>20724564</v>
      </c>
      <c r="I26" s="5" t="s">
        <v>452</v>
      </c>
      <c r="J26" s="5" t="s">
        <v>453</v>
      </c>
      <c r="K26" s="5" t="str">
        <f t="shared" si="1"/>
        <v>Marsha Sanderock</v>
      </c>
      <c r="L26" s="6">
        <v>45955</v>
      </c>
      <c r="M26" s="6">
        <v>46016</v>
      </c>
      <c r="N26" s="5">
        <f t="shared" si="2"/>
        <v>2</v>
      </c>
      <c r="O26" s="5" t="s">
        <v>316</v>
      </c>
      <c r="P26" s="5" t="s">
        <v>736</v>
      </c>
      <c r="Q26" s="7">
        <v>15</v>
      </c>
      <c r="R26" s="5" t="s">
        <v>58</v>
      </c>
      <c r="S26" s="14">
        <v>0.19</v>
      </c>
      <c r="T26" s="5" t="s">
        <v>60</v>
      </c>
      <c r="U26" s="5" t="s">
        <v>317</v>
      </c>
      <c r="V26" s="7">
        <v>2.85</v>
      </c>
      <c r="W26" s="5" t="s">
        <v>451</v>
      </c>
    </row>
    <row r="27" spans="1:53" s="5" customFormat="1" x14ac:dyDescent="0.25">
      <c r="A27" s="5">
        <v>2031804598</v>
      </c>
      <c r="B27" s="5" t="s">
        <v>449</v>
      </c>
      <c r="C27" s="5" t="s">
        <v>450</v>
      </c>
      <c r="D27" s="5" t="str">
        <f t="shared" si="0"/>
        <v>LESLIE RARDIN</v>
      </c>
      <c r="E27" s="5" t="s">
        <v>310</v>
      </c>
      <c r="F27" s="5" t="s">
        <v>311</v>
      </c>
      <c r="G27" s="5" t="s">
        <v>681</v>
      </c>
      <c r="H27" s="5">
        <v>20724564</v>
      </c>
      <c r="I27" s="5" t="s">
        <v>452</v>
      </c>
      <c r="J27" s="5" t="s">
        <v>453</v>
      </c>
      <c r="K27" s="5" t="str">
        <f t="shared" si="1"/>
        <v>Marsha Sanderock</v>
      </c>
      <c r="L27" s="6">
        <v>45955</v>
      </c>
      <c r="M27" s="6">
        <v>46016</v>
      </c>
      <c r="N27" s="5">
        <f t="shared" si="2"/>
        <v>2</v>
      </c>
      <c r="O27" s="5" t="s">
        <v>316</v>
      </c>
      <c r="P27" s="5" t="s">
        <v>736</v>
      </c>
      <c r="Q27" s="7">
        <v>832.5</v>
      </c>
      <c r="R27" s="5" t="s">
        <v>58</v>
      </c>
      <c r="S27" s="14">
        <v>0.19</v>
      </c>
      <c r="T27" s="5" t="s">
        <v>60</v>
      </c>
      <c r="U27" s="5" t="s">
        <v>317</v>
      </c>
      <c r="V27" s="7">
        <v>158.18</v>
      </c>
      <c r="W27" s="5" t="s">
        <v>681</v>
      </c>
    </row>
    <row r="28" spans="1:53" s="5" customFormat="1" x14ac:dyDescent="0.25">
      <c r="A28" s="5">
        <v>2030823304</v>
      </c>
      <c r="B28" s="5" t="s">
        <v>534</v>
      </c>
      <c r="C28" s="5" t="s">
        <v>201</v>
      </c>
      <c r="D28" s="5" t="str">
        <f t="shared" si="0"/>
        <v>HEATHER FRIEDMANN</v>
      </c>
      <c r="E28" s="5" t="s">
        <v>105</v>
      </c>
      <c r="F28" s="5" t="s">
        <v>262</v>
      </c>
      <c r="G28" s="5" t="s">
        <v>265</v>
      </c>
      <c r="H28" s="5">
        <v>371819</v>
      </c>
      <c r="I28" s="5" t="s">
        <v>156</v>
      </c>
      <c r="J28" s="5" t="s">
        <v>157</v>
      </c>
      <c r="K28" s="5" t="str">
        <f t="shared" si="1"/>
        <v>THOMAS PARDUE</v>
      </c>
      <c r="L28" s="6">
        <v>45927</v>
      </c>
      <c r="M28" s="6">
        <v>46018</v>
      </c>
      <c r="N28" s="5">
        <f t="shared" si="2"/>
        <v>3</v>
      </c>
      <c r="O28" s="5" t="s">
        <v>316</v>
      </c>
      <c r="P28" s="5" t="s">
        <v>736</v>
      </c>
      <c r="Q28" s="7">
        <v>9.8000000000000007</v>
      </c>
      <c r="R28" s="5" t="s">
        <v>58</v>
      </c>
      <c r="S28" s="14">
        <v>0.9</v>
      </c>
      <c r="T28" s="5" t="s">
        <v>60</v>
      </c>
      <c r="U28" s="5" t="s">
        <v>317</v>
      </c>
      <c r="V28" s="7">
        <v>8.82</v>
      </c>
      <c r="W28" s="5" t="s">
        <v>265</v>
      </c>
    </row>
    <row r="29" spans="1:53" s="5" customFormat="1" x14ac:dyDescent="0.25">
      <c r="A29" s="5">
        <v>2031205938</v>
      </c>
      <c r="B29" s="5" t="s">
        <v>535</v>
      </c>
      <c r="C29" s="5" t="s">
        <v>406</v>
      </c>
      <c r="D29" s="5" t="str">
        <f t="shared" si="0"/>
        <v>JESSICA WILKINSON</v>
      </c>
      <c r="E29" s="5" t="s">
        <v>135</v>
      </c>
      <c r="F29" s="5" t="s">
        <v>262</v>
      </c>
      <c r="G29" s="5" t="s">
        <v>265</v>
      </c>
      <c r="H29" s="5">
        <v>371819</v>
      </c>
      <c r="I29" s="5" t="s">
        <v>156</v>
      </c>
      <c r="J29" s="5" t="s">
        <v>157</v>
      </c>
      <c r="K29" s="5" t="str">
        <f t="shared" si="1"/>
        <v>THOMAS PARDUE</v>
      </c>
      <c r="L29" s="6">
        <v>45923</v>
      </c>
      <c r="M29" s="6">
        <v>46014</v>
      </c>
      <c r="N29" s="5">
        <f t="shared" si="2"/>
        <v>3</v>
      </c>
      <c r="O29" s="5" t="s">
        <v>316</v>
      </c>
      <c r="P29" s="5" t="s">
        <v>736</v>
      </c>
      <c r="Q29" s="7">
        <v>12.96</v>
      </c>
      <c r="R29" s="5" t="s">
        <v>58</v>
      </c>
      <c r="S29" s="14">
        <v>0.9</v>
      </c>
      <c r="T29" s="5" t="s">
        <v>60</v>
      </c>
      <c r="U29" s="5" t="s">
        <v>317</v>
      </c>
      <c r="V29" s="7">
        <v>11.66</v>
      </c>
      <c r="W29" s="5" t="s">
        <v>265</v>
      </c>
    </row>
    <row r="30" spans="1:53" x14ac:dyDescent="0.25">
      <c r="A30" s="5">
        <v>2030805142</v>
      </c>
      <c r="B30" s="5" t="s">
        <v>531</v>
      </c>
      <c r="C30" s="5" t="s">
        <v>195</v>
      </c>
      <c r="D30" s="5" t="str">
        <f t="shared" si="0"/>
        <v>NATALIE BERGERON</v>
      </c>
      <c r="E30" s="5" t="s">
        <v>135</v>
      </c>
      <c r="F30" s="5" t="s">
        <v>262</v>
      </c>
      <c r="G30" s="5" t="s">
        <v>265</v>
      </c>
      <c r="H30" s="5" t="s">
        <v>732</v>
      </c>
      <c r="I30" s="5" t="s">
        <v>532</v>
      </c>
      <c r="J30" s="5" t="s">
        <v>533</v>
      </c>
      <c r="K30" s="5" t="str">
        <f t="shared" si="1"/>
        <v>VICTOR FUENTES</v>
      </c>
      <c r="L30" s="6">
        <v>45902</v>
      </c>
      <c r="M30" s="6">
        <v>45993</v>
      </c>
      <c r="N30" s="5">
        <f t="shared" si="2"/>
        <v>3</v>
      </c>
      <c r="O30" s="5" t="s">
        <v>316</v>
      </c>
      <c r="P30" s="5" t="s">
        <v>736</v>
      </c>
      <c r="Q30" s="7">
        <v>9.25</v>
      </c>
      <c r="R30" s="5" t="s">
        <v>58</v>
      </c>
      <c r="S30" s="14">
        <v>0.9</v>
      </c>
      <c r="T30" s="5" t="s">
        <v>60</v>
      </c>
      <c r="U30" s="5" t="s">
        <v>317</v>
      </c>
      <c r="V30" s="7">
        <v>8.32</v>
      </c>
      <c r="W30" s="5" t="s">
        <v>265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>
        <v>2031242401</v>
      </c>
      <c r="B31" s="5" t="s">
        <v>403</v>
      </c>
      <c r="C31" s="5" t="s">
        <v>404</v>
      </c>
      <c r="D31" s="5" t="str">
        <f t="shared" si="0"/>
        <v>KATY IBSEN</v>
      </c>
      <c r="E31" s="5" t="s">
        <v>109</v>
      </c>
      <c r="F31" s="5" t="s">
        <v>89</v>
      </c>
      <c r="G31" s="5" t="s">
        <v>90</v>
      </c>
      <c r="H31" s="5">
        <v>16865615</v>
      </c>
      <c r="I31" s="5" t="s">
        <v>111</v>
      </c>
      <c r="J31" s="5" t="s">
        <v>112</v>
      </c>
      <c r="K31" s="5" t="str">
        <f t="shared" si="1"/>
        <v>Heather Geske</v>
      </c>
      <c r="L31" s="6">
        <v>45925</v>
      </c>
      <c r="M31" s="6">
        <v>46016</v>
      </c>
      <c r="N31" s="5">
        <f t="shared" si="2"/>
        <v>3</v>
      </c>
      <c r="O31" s="5" t="s">
        <v>316</v>
      </c>
      <c r="P31" s="5" t="s">
        <v>736</v>
      </c>
      <c r="Q31" s="7">
        <v>40.06</v>
      </c>
      <c r="R31" s="5" t="s">
        <v>58</v>
      </c>
      <c r="S31" s="14">
        <v>0.75</v>
      </c>
      <c r="T31" s="5" t="s">
        <v>60</v>
      </c>
      <c r="U31" s="5" t="s">
        <v>317</v>
      </c>
      <c r="V31" s="7">
        <v>30.04</v>
      </c>
      <c r="W31" s="5" t="s">
        <v>718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>
        <v>2031180133</v>
      </c>
      <c r="B32" s="5" t="s">
        <v>397</v>
      </c>
      <c r="C32" s="5" t="s">
        <v>398</v>
      </c>
      <c r="D32" s="5" t="str">
        <f t="shared" si="0"/>
        <v>MARGARET BALDWIN</v>
      </c>
      <c r="E32" s="5" t="s">
        <v>219</v>
      </c>
      <c r="F32" s="5" t="s">
        <v>89</v>
      </c>
      <c r="G32" s="5" t="s">
        <v>90</v>
      </c>
      <c r="H32" s="5">
        <v>16633294</v>
      </c>
      <c r="I32" s="5" t="s">
        <v>91</v>
      </c>
      <c r="J32" s="5" t="s">
        <v>92</v>
      </c>
      <c r="K32" s="5" t="str">
        <f t="shared" si="1"/>
        <v>Richard Yale</v>
      </c>
      <c r="L32" s="6">
        <v>45924</v>
      </c>
      <c r="M32" s="6">
        <v>46015</v>
      </c>
      <c r="N32" s="5">
        <f t="shared" si="2"/>
        <v>3</v>
      </c>
      <c r="O32" s="5" t="s">
        <v>316</v>
      </c>
      <c r="P32" s="5" t="s">
        <v>736</v>
      </c>
      <c r="Q32" s="7">
        <v>71.63</v>
      </c>
      <c r="R32" s="5" t="s">
        <v>58</v>
      </c>
      <c r="S32" s="14">
        <v>0.75</v>
      </c>
      <c r="T32" s="5" t="s">
        <v>60</v>
      </c>
      <c r="U32" s="5" t="s">
        <v>317</v>
      </c>
      <c r="V32" s="7">
        <v>53.72</v>
      </c>
      <c r="W32" s="5" t="s">
        <v>718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s="5" customFormat="1" x14ac:dyDescent="0.25">
      <c r="A33" s="5">
        <v>2031190209</v>
      </c>
      <c r="B33" s="5" t="s">
        <v>399</v>
      </c>
      <c r="C33" s="5" t="s">
        <v>400</v>
      </c>
      <c r="D33" s="5" t="str">
        <f t="shared" si="0"/>
        <v>JANICE SEMPRINI</v>
      </c>
      <c r="E33" s="5" t="s">
        <v>166</v>
      </c>
      <c r="F33" s="5" t="s">
        <v>89</v>
      </c>
      <c r="G33" s="5" t="s">
        <v>90</v>
      </c>
      <c r="H33" s="5">
        <v>16633294</v>
      </c>
      <c r="I33" s="5" t="s">
        <v>91</v>
      </c>
      <c r="J33" s="5" t="s">
        <v>92</v>
      </c>
      <c r="K33" s="5" t="str">
        <f t="shared" si="1"/>
        <v>Richard Yale</v>
      </c>
      <c r="L33" s="6">
        <v>45925</v>
      </c>
      <c r="M33" s="6">
        <v>46016</v>
      </c>
      <c r="N33" s="5">
        <f t="shared" si="2"/>
        <v>3</v>
      </c>
      <c r="O33" s="5" t="s">
        <v>316</v>
      </c>
      <c r="P33" s="5" t="s">
        <v>736</v>
      </c>
      <c r="Q33" s="7">
        <v>80.8</v>
      </c>
      <c r="R33" s="5" t="s">
        <v>58</v>
      </c>
      <c r="S33" s="14">
        <v>0.75</v>
      </c>
      <c r="T33" s="5" t="s">
        <v>60</v>
      </c>
      <c r="U33" s="5" t="s">
        <v>317</v>
      </c>
      <c r="V33" s="7">
        <v>60.6</v>
      </c>
      <c r="W33" s="5" t="s">
        <v>718</v>
      </c>
    </row>
    <row r="34" spans="1:53" s="5" customFormat="1" x14ac:dyDescent="0.25">
      <c r="A34" s="5">
        <v>2031312177</v>
      </c>
      <c r="B34" s="5" t="s">
        <v>656</v>
      </c>
      <c r="C34" s="5" t="s">
        <v>123</v>
      </c>
      <c r="D34" s="5" t="str">
        <f t="shared" si="0"/>
        <v>MICHAEL COTTER</v>
      </c>
      <c r="E34" s="5" t="s">
        <v>64</v>
      </c>
      <c r="F34" s="5" t="s">
        <v>262</v>
      </c>
      <c r="G34" s="5" t="s">
        <v>263</v>
      </c>
      <c r="H34" s="5">
        <v>19681796</v>
      </c>
      <c r="I34" s="5" t="s">
        <v>142</v>
      </c>
      <c r="J34" s="5" t="s">
        <v>143</v>
      </c>
      <c r="K34" s="5" t="str">
        <f t="shared" ref="K34:K65" si="3">CONCATENATE(J34," ",I34)</f>
        <v>CHRISTIAN TAUGNER</v>
      </c>
      <c r="L34" s="6">
        <v>45928</v>
      </c>
      <c r="M34" s="6">
        <v>46019</v>
      </c>
      <c r="N34" s="5">
        <f t="shared" si="2"/>
        <v>3</v>
      </c>
      <c r="O34" s="5" t="s">
        <v>316</v>
      </c>
      <c r="P34" s="5" t="s">
        <v>736</v>
      </c>
      <c r="Q34" s="7">
        <v>124.72</v>
      </c>
      <c r="R34" s="5" t="s">
        <v>58</v>
      </c>
      <c r="S34" s="14">
        <v>0.7</v>
      </c>
      <c r="T34" s="5" t="s">
        <v>60</v>
      </c>
      <c r="U34" s="5" t="s">
        <v>317</v>
      </c>
      <c r="V34" s="7">
        <v>87.3</v>
      </c>
      <c r="W34" s="5" t="s">
        <v>263</v>
      </c>
    </row>
    <row r="35" spans="1:53" s="5" customFormat="1" x14ac:dyDescent="0.25">
      <c r="A35" s="5">
        <v>2031242400</v>
      </c>
      <c r="B35" s="5" t="s">
        <v>403</v>
      </c>
      <c r="C35" s="5" t="s">
        <v>404</v>
      </c>
      <c r="D35" s="5" t="str">
        <f t="shared" si="0"/>
        <v>KATY IBSEN</v>
      </c>
      <c r="E35" s="5" t="s">
        <v>109</v>
      </c>
      <c r="F35" s="5" t="s">
        <v>262</v>
      </c>
      <c r="G35" s="5" t="s">
        <v>263</v>
      </c>
      <c r="H35" s="5">
        <v>16865615</v>
      </c>
      <c r="I35" s="5" t="s">
        <v>111</v>
      </c>
      <c r="J35" s="5" t="s">
        <v>112</v>
      </c>
      <c r="K35" s="5" t="str">
        <f t="shared" si="3"/>
        <v>Heather Geske</v>
      </c>
      <c r="L35" s="6">
        <v>45925</v>
      </c>
      <c r="M35" s="6">
        <v>46016</v>
      </c>
      <c r="N35" s="5">
        <f t="shared" si="2"/>
        <v>3</v>
      </c>
      <c r="O35" s="5" t="s">
        <v>316</v>
      </c>
      <c r="P35" s="5" t="s">
        <v>736</v>
      </c>
      <c r="Q35" s="7">
        <v>27.38</v>
      </c>
      <c r="R35" s="5" t="s">
        <v>58</v>
      </c>
      <c r="S35" s="14">
        <v>0.7</v>
      </c>
      <c r="T35" s="5" t="s">
        <v>60</v>
      </c>
      <c r="U35" s="5" t="s">
        <v>317</v>
      </c>
      <c r="V35" s="7">
        <v>19.170000000000002</v>
      </c>
      <c r="W35" s="5" t="s">
        <v>263</v>
      </c>
    </row>
    <row r="36" spans="1:53" s="5" customFormat="1" x14ac:dyDescent="0.25">
      <c r="A36" s="5">
        <v>2031024597</v>
      </c>
      <c r="B36" s="5" t="s">
        <v>607</v>
      </c>
      <c r="C36" s="5" t="s">
        <v>651</v>
      </c>
      <c r="D36" s="5" t="str">
        <f t="shared" si="0"/>
        <v>DOROTHY BROWN</v>
      </c>
      <c r="E36" s="5" t="s">
        <v>64</v>
      </c>
      <c r="F36" s="5" t="s">
        <v>262</v>
      </c>
      <c r="G36" s="5" t="s">
        <v>263</v>
      </c>
      <c r="H36" s="5">
        <v>17143996</v>
      </c>
      <c r="I36" s="5" t="s">
        <v>227</v>
      </c>
      <c r="J36" s="5" t="s">
        <v>228</v>
      </c>
      <c r="K36" s="5" t="str">
        <f t="shared" si="3"/>
        <v>James Allen</v>
      </c>
      <c r="L36" s="6">
        <v>45926</v>
      </c>
      <c r="M36" s="6">
        <v>46017</v>
      </c>
      <c r="N36" s="5">
        <f t="shared" si="2"/>
        <v>3</v>
      </c>
      <c r="O36" s="5" t="s">
        <v>316</v>
      </c>
      <c r="P36" s="5" t="s">
        <v>736</v>
      </c>
      <c r="Q36" s="7">
        <v>19</v>
      </c>
      <c r="R36" s="5" t="s">
        <v>58</v>
      </c>
      <c r="S36" s="14">
        <v>0.7</v>
      </c>
      <c r="T36" s="5" t="s">
        <v>60</v>
      </c>
      <c r="U36" s="5" t="s">
        <v>317</v>
      </c>
      <c r="V36" s="7">
        <v>13.3</v>
      </c>
      <c r="W36" s="5" t="s">
        <v>263</v>
      </c>
    </row>
    <row r="37" spans="1:53" x14ac:dyDescent="0.25">
      <c r="A37" s="5">
        <v>2031249951</v>
      </c>
      <c r="B37" s="5" t="s">
        <v>538</v>
      </c>
      <c r="C37" s="5" t="s">
        <v>123</v>
      </c>
      <c r="D37" s="5" t="str">
        <f t="shared" si="0"/>
        <v>MICHAEL ITURBE</v>
      </c>
      <c r="E37" s="5" t="s">
        <v>64</v>
      </c>
      <c r="F37" s="5" t="s">
        <v>262</v>
      </c>
      <c r="G37" s="5" t="s">
        <v>263</v>
      </c>
      <c r="H37" s="5">
        <v>20212926</v>
      </c>
      <c r="I37" s="5" t="s">
        <v>539</v>
      </c>
      <c r="J37" s="5" t="s">
        <v>179</v>
      </c>
      <c r="K37" s="5" t="str">
        <f t="shared" si="3"/>
        <v>JOSE TORRES</v>
      </c>
      <c r="L37" s="6">
        <v>45925</v>
      </c>
      <c r="M37" s="6">
        <v>46016</v>
      </c>
      <c r="N37" s="5">
        <f t="shared" si="2"/>
        <v>3</v>
      </c>
      <c r="O37" s="5" t="s">
        <v>316</v>
      </c>
      <c r="P37" s="5" t="s">
        <v>736</v>
      </c>
      <c r="Q37" s="7">
        <v>28.9</v>
      </c>
      <c r="R37" s="5" t="s">
        <v>58</v>
      </c>
      <c r="S37" s="14">
        <v>0.7</v>
      </c>
      <c r="T37" s="5" t="s">
        <v>60</v>
      </c>
      <c r="U37" s="5" t="s">
        <v>317</v>
      </c>
      <c r="V37" s="7">
        <v>20.23</v>
      </c>
      <c r="W37" s="5" t="s">
        <v>263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>
        <v>2031232214</v>
      </c>
      <c r="B38" s="5" t="s">
        <v>652</v>
      </c>
      <c r="C38" s="5" t="s">
        <v>653</v>
      </c>
      <c r="D38" s="5" t="str">
        <f t="shared" si="0"/>
        <v>LKHAGVASUREN OTGONBAYAR</v>
      </c>
      <c r="E38" s="5" t="s">
        <v>64</v>
      </c>
      <c r="F38" s="5" t="s">
        <v>262</v>
      </c>
      <c r="G38" s="5" t="s">
        <v>263</v>
      </c>
      <c r="H38" s="5">
        <v>20220688</v>
      </c>
      <c r="I38" s="5" t="s">
        <v>498</v>
      </c>
      <c r="J38" s="5" t="s">
        <v>499</v>
      </c>
      <c r="K38" s="5" t="str">
        <f t="shared" si="3"/>
        <v>NASANDELGER ZANA</v>
      </c>
      <c r="L38" s="6">
        <v>45924</v>
      </c>
      <c r="M38" s="6">
        <v>46015</v>
      </c>
      <c r="N38" s="5">
        <f t="shared" si="2"/>
        <v>3</v>
      </c>
      <c r="O38" s="5" t="s">
        <v>316</v>
      </c>
      <c r="P38" s="5" t="s">
        <v>736</v>
      </c>
      <c r="Q38" s="7">
        <v>28.9</v>
      </c>
      <c r="R38" s="5" t="s">
        <v>58</v>
      </c>
      <c r="S38" s="14">
        <v>0.7</v>
      </c>
      <c r="T38" s="5" t="s">
        <v>60</v>
      </c>
      <c r="U38" s="5" t="s">
        <v>317</v>
      </c>
      <c r="V38" s="7">
        <v>20.23</v>
      </c>
      <c r="W38" s="5" t="s">
        <v>263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5">
        <v>2031255010</v>
      </c>
      <c r="B39" s="5" t="s">
        <v>447</v>
      </c>
      <c r="C39" s="5" t="s">
        <v>448</v>
      </c>
      <c r="D39" s="5" t="str">
        <f t="shared" si="0"/>
        <v>ACE SALMETE</v>
      </c>
      <c r="E39" s="5" t="s">
        <v>64</v>
      </c>
      <c r="F39" s="5" t="s">
        <v>262</v>
      </c>
      <c r="G39" s="5" t="s">
        <v>263</v>
      </c>
      <c r="H39" s="5">
        <v>19200754</v>
      </c>
      <c r="I39" s="5" t="s">
        <v>443</v>
      </c>
      <c r="J39" s="5" t="s">
        <v>444</v>
      </c>
      <c r="K39" s="5" t="str">
        <f t="shared" si="3"/>
        <v>RICARDO SANTOS</v>
      </c>
      <c r="L39" s="6">
        <v>45925</v>
      </c>
      <c r="M39" s="6">
        <v>46016</v>
      </c>
      <c r="N39" s="5">
        <f t="shared" si="2"/>
        <v>3</v>
      </c>
      <c r="O39" s="5" t="s">
        <v>316</v>
      </c>
      <c r="P39" s="5" t="s">
        <v>736</v>
      </c>
      <c r="Q39" s="7">
        <v>86.25</v>
      </c>
      <c r="R39" s="5" t="s">
        <v>58</v>
      </c>
      <c r="S39" s="14">
        <v>0.7</v>
      </c>
      <c r="T39" s="5" t="s">
        <v>60</v>
      </c>
      <c r="U39" s="5" t="s">
        <v>317</v>
      </c>
      <c r="V39" s="7">
        <v>60.38</v>
      </c>
      <c r="W39" s="5" t="s">
        <v>263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5">
        <v>2031180132</v>
      </c>
      <c r="B40" s="5" t="s">
        <v>397</v>
      </c>
      <c r="C40" s="5" t="s">
        <v>398</v>
      </c>
      <c r="D40" s="5" t="str">
        <f t="shared" si="0"/>
        <v>MARGARET BALDWIN</v>
      </c>
      <c r="E40" s="5" t="s">
        <v>219</v>
      </c>
      <c r="F40" s="5" t="s">
        <v>262</v>
      </c>
      <c r="G40" s="5" t="s">
        <v>263</v>
      </c>
      <c r="H40" s="5">
        <v>16633294</v>
      </c>
      <c r="I40" s="5" t="s">
        <v>91</v>
      </c>
      <c r="J40" s="5" t="s">
        <v>92</v>
      </c>
      <c r="K40" s="5" t="str">
        <f t="shared" si="3"/>
        <v>Richard Yale</v>
      </c>
      <c r="L40" s="6">
        <v>45924</v>
      </c>
      <c r="M40" s="6">
        <v>46015</v>
      </c>
      <c r="N40" s="5">
        <f t="shared" si="2"/>
        <v>3</v>
      </c>
      <c r="O40" s="5" t="s">
        <v>316</v>
      </c>
      <c r="P40" s="5" t="s">
        <v>736</v>
      </c>
      <c r="Q40" s="7">
        <v>101.99</v>
      </c>
      <c r="R40" s="5" t="s">
        <v>58</v>
      </c>
      <c r="S40" s="14">
        <v>0.7</v>
      </c>
      <c r="T40" s="5" t="s">
        <v>60</v>
      </c>
      <c r="U40" s="5" t="s">
        <v>317</v>
      </c>
      <c r="V40" s="7">
        <v>71.39</v>
      </c>
      <c r="W40" s="5" t="s">
        <v>263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>
        <v>2031190208</v>
      </c>
      <c r="B41" s="5" t="s">
        <v>399</v>
      </c>
      <c r="C41" s="5" t="s">
        <v>400</v>
      </c>
      <c r="D41" s="5" t="str">
        <f t="shared" si="0"/>
        <v>JANICE SEMPRINI</v>
      </c>
      <c r="E41" s="5" t="s">
        <v>166</v>
      </c>
      <c r="F41" s="5" t="s">
        <v>262</v>
      </c>
      <c r="G41" s="5" t="s">
        <v>263</v>
      </c>
      <c r="H41" s="5">
        <v>16633294</v>
      </c>
      <c r="I41" s="5" t="s">
        <v>91</v>
      </c>
      <c r="J41" s="5" t="s">
        <v>92</v>
      </c>
      <c r="K41" s="5" t="str">
        <f t="shared" si="3"/>
        <v>Richard Yale</v>
      </c>
      <c r="L41" s="6">
        <v>45925</v>
      </c>
      <c r="M41" s="6">
        <v>46016</v>
      </c>
      <c r="N41" s="5">
        <f t="shared" si="2"/>
        <v>3</v>
      </c>
      <c r="O41" s="5" t="s">
        <v>316</v>
      </c>
      <c r="P41" s="5" t="s">
        <v>736</v>
      </c>
      <c r="Q41" s="7">
        <v>194.05</v>
      </c>
      <c r="R41" s="5" t="s">
        <v>58</v>
      </c>
      <c r="S41" s="14">
        <v>0.7</v>
      </c>
      <c r="T41" s="5" t="s">
        <v>60</v>
      </c>
      <c r="U41" s="5" t="s">
        <v>317</v>
      </c>
      <c r="V41" s="7">
        <v>135.84</v>
      </c>
      <c r="W41" s="5" t="s">
        <v>263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5">
        <v>2030805143</v>
      </c>
      <c r="B42" s="5" t="s">
        <v>531</v>
      </c>
      <c r="C42" s="5" t="s">
        <v>195</v>
      </c>
      <c r="D42" s="5" t="str">
        <f t="shared" si="0"/>
        <v>NATALIE BERGERON</v>
      </c>
      <c r="E42" s="5" t="s">
        <v>135</v>
      </c>
      <c r="F42" s="5" t="s">
        <v>262</v>
      </c>
      <c r="G42" s="5" t="s">
        <v>263</v>
      </c>
      <c r="H42" s="5" t="s">
        <v>732</v>
      </c>
      <c r="I42" s="5" t="s">
        <v>532</v>
      </c>
      <c r="J42" s="5" t="s">
        <v>533</v>
      </c>
      <c r="K42" s="5" t="str">
        <f t="shared" si="3"/>
        <v>VICTOR FUENTES</v>
      </c>
      <c r="L42" s="6">
        <v>45902</v>
      </c>
      <c r="M42" s="6">
        <v>45993</v>
      </c>
      <c r="N42" s="5">
        <f t="shared" si="2"/>
        <v>3</v>
      </c>
      <c r="O42" s="5" t="s">
        <v>316</v>
      </c>
      <c r="P42" s="5" t="s">
        <v>736</v>
      </c>
      <c r="Q42" s="7">
        <v>34.950000000000003</v>
      </c>
      <c r="R42" s="5" t="s">
        <v>58</v>
      </c>
      <c r="S42" s="14">
        <v>0.7</v>
      </c>
      <c r="T42" s="5" t="s">
        <v>60</v>
      </c>
      <c r="U42" s="5" t="s">
        <v>317</v>
      </c>
      <c r="V42" s="7">
        <v>24.46</v>
      </c>
      <c r="W42" s="5" t="s">
        <v>263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5">
        <v>2031226327</v>
      </c>
      <c r="B43" s="5" t="s">
        <v>445</v>
      </c>
      <c r="C43" s="5" t="s">
        <v>446</v>
      </c>
      <c r="D43" s="5" t="str">
        <f t="shared" si="0"/>
        <v>KAREN DUFFLEY</v>
      </c>
      <c r="E43" s="5" t="s">
        <v>135</v>
      </c>
      <c r="F43" s="5" t="s">
        <v>258</v>
      </c>
      <c r="G43" s="5" t="s">
        <v>260</v>
      </c>
      <c r="H43" s="5">
        <v>8325282</v>
      </c>
      <c r="I43" s="5" t="s">
        <v>101</v>
      </c>
      <c r="J43" s="5" t="s">
        <v>102</v>
      </c>
      <c r="K43" s="5" t="str">
        <f t="shared" si="3"/>
        <v>Dale Walenga</v>
      </c>
      <c r="L43" s="6">
        <v>45924</v>
      </c>
      <c r="M43" s="6">
        <v>46015</v>
      </c>
      <c r="N43" s="5">
        <f t="shared" si="2"/>
        <v>3</v>
      </c>
      <c r="O43" s="5" t="s">
        <v>316</v>
      </c>
      <c r="P43" s="5" t="s">
        <v>736</v>
      </c>
      <c r="Q43" s="7">
        <v>401.35</v>
      </c>
      <c r="R43" s="5" t="s">
        <v>58</v>
      </c>
      <c r="S43" s="14">
        <v>0.38</v>
      </c>
      <c r="T43" s="5" t="s">
        <v>60</v>
      </c>
      <c r="U43" s="5" t="s">
        <v>317</v>
      </c>
      <c r="V43" s="7">
        <v>152.51</v>
      </c>
      <c r="W43" s="5" t="s">
        <v>260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5">
        <v>2031255008</v>
      </c>
      <c r="B44" s="5" t="s">
        <v>447</v>
      </c>
      <c r="C44" s="5" t="s">
        <v>448</v>
      </c>
      <c r="D44" s="5" t="str">
        <f t="shared" si="0"/>
        <v>ACE SALMETE</v>
      </c>
      <c r="E44" s="5" t="s">
        <v>64</v>
      </c>
      <c r="F44" s="5" t="s">
        <v>258</v>
      </c>
      <c r="G44" s="5" t="s">
        <v>260</v>
      </c>
      <c r="H44" s="5">
        <v>19200754</v>
      </c>
      <c r="I44" s="5" t="s">
        <v>443</v>
      </c>
      <c r="J44" s="5" t="s">
        <v>444</v>
      </c>
      <c r="K44" s="5" t="str">
        <f t="shared" si="3"/>
        <v>RICARDO SANTOS</v>
      </c>
      <c r="L44" s="6">
        <v>45925</v>
      </c>
      <c r="M44" s="6">
        <v>46016</v>
      </c>
      <c r="N44" s="5">
        <f t="shared" si="2"/>
        <v>3</v>
      </c>
      <c r="O44" s="5" t="s">
        <v>316</v>
      </c>
      <c r="P44" s="5" t="s">
        <v>736</v>
      </c>
      <c r="Q44" s="7">
        <v>328.85</v>
      </c>
      <c r="R44" s="5" t="s">
        <v>58</v>
      </c>
      <c r="S44" s="14">
        <v>0.38</v>
      </c>
      <c r="T44" s="5" t="s">
        <v>60</v>
      </c>
      <c r="U44" s="5" t="s">
        <v>317</v>
      </c>
      <c r="V44" s="7">
        <v>124.96</v>
      </c>
      <c r="W44" s="5" t="s">
        <v>260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x14ac:dyDescent="0.25">
      <c r="A45" s="5">
        <v>2031226328</v>
      </c>
      <c r="B45" s="5" t="s">
        <v>445</v>
      </c>
      <c r="C45" s="5" t="s">
        <v>446</v>
      </c>
      <c r="D45" s="5" t="str">
        <f t="shared" si="0"/>
        <v>KAREN DUFFLEY</v>
      </c>
      <c r="E45" s="5" t="s">
        <v>135</v>
      </c>
      <c r="F45" s="5" t="s">
        <v>258</v>
      </c>
      <c r="G45" s="5" t="s">
        <v>261</v>
      </c>
      <c r="H45" s="5">
        <v>8325282</v>
      </c>
      <c r="I45" s="5" t="s">
        <v>101</v>
      </c>
      <c r="J45" s="5" t="s">
        <v>102</v>
      </c>
      <c r="K45" s="5" t="str">
        <f t="shared" si="3"/>
        <v>Dale Walenga</v>
      </c>
      <c r="L45" s="6">
        <v>45924</v>
      </c>
      <c r="M45" s="6">
        <v>46015</v>
      </c>
      <c r="N45" s="5">
        <f t="shared" si="2"/>
        <v>3</v>
      </c>
      <c r="O45" s="5" t="s">
        <v>316</v>
      </c>
      <c r="P45" s="5" t="s">
        <v>736</v>
      </c>
      <c r="Q45" s="7">
        <v>7.09</v>
      </c>
      <c r="R45" s="5" t="s">
        <v>58</v>
      </c>
      <c r="S45" s="14">
        <v>0.38</v>
      </c>
      <c r="T45" s="5" t="s">
        <v>60</v>
      </c>
      <c r="U45" s="5" t="s">
        <v>317</v>
      </c>
      <c r="V45" s="7">
        <v>2.69</v>
      </c>
      <c r="W45" s="5" t="s">
        <v>260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x14ac:dyDescent="0.25">
      <c r="A46" s="5">
        <v>2031255009</v>
      </c>
      <c r="B46" s="5" t="s">
        <v>447</v>
      </c>
      <c r="C46" s="5" t="s">
        <v>448</v>
      </c>
      <c r="D46" s="5" t="str">
        <f t="shared" si="0"/>
        <v>ACE SALMETE</v>
      </c>
      <c r="E46" s="5" t="s">
        <v>64</v>
      </c>
      <c r="F46" s="5" t="s">
        <v>258</v>
      </c>
      <c r="G46" s="5" t="s">
        <v>261</v>
      </c>
      <c r="H46" s="5">
        <v>19200754</v>
      </c>
      <c r="I46" s="5" t="s">
        <v>443</v>
      </c>
      <c r="J46" s="5" t="s">
        <v>444</v>
      </c>
      <c r="K46" s="5" t="str">
        <f t="shared" si="3"/>
        <v>RICARDO SANTOS</v>
      </c>
      <c r="L46" s="6">
        <v>45925</v>
      </c>
      <c r="M46" s="6">
        <v>46016</v>
      </c>
      <c r="N46" s="5">
        <f t="shared" si="2"/>
        <v>3</v>
      </c>
      <c r="O46" s="5" t="s">
        <v>316</v>
      </c>
      <c r="P46" s="5" t="s">
        <v>736</v>
      </c>
      <c r="Q46" s="7">
        <v>7.09</v>
      </c>
      <c r="R46" s="5" t="s">
        <v>58</v>
      </c>
      <c r="S46" s="14">
        <v>0.38</v>
      </c>
      <c r="T46" s="5" t="s">
        <v>60</v>
      </c>
      <c r="U46" s="5" t="s">
        <v>317</v>
      </c>
      <c r="V46" s="7">
        <v>2.69</v>
      </c>
      <c r="W46" s="5" t="s">
        <v>260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5">
        <v>2031226329</v>
      </c>
      <c r="B47" s="5" t="s">
        <v>445</v>
      </c>
      <c r="C47" s="5" t="s">
        <v>446</v>
      </c>
      <c r="D47" s="5" t="str">
        <f t="shared" si="0"/>
        <v>KAREN DUFFLEY</v>
      </c>
      <c r="E47" s="5" t="s">
        <v>135</v>
      </c>
      <c r="F47" s="5" t="s">
        <v>160</v>
      </c>
      <c r="G47" s="5" t="s">
        <v>180</v>
      </c>
      <c r="H47" s="5">
        <v>8325282</v>
      </c>
      <c r="I47" s="5" t="s">
        <v>101</v>
      </c>
      <c r="J47" s="5" t="s">
        <v>102</v>
      </c>
      <c r="K47" s="5" t="str">
        <f t="shared" si="3"/>
        <v>Dale Walenga</v>
      </c>
      <c r="L47" s="6">
        <v>45924</v>
      </c>
      <c r="M47" s="6">
        <v>46015</v>
      </c>
      <c r="N47" s="5">
        <f t="shared" si="2"/>
        <v>3</v>
      </c>
      <c r="O47" s="5" t="s">
        <v>316</v>
      </c>
      <c r="P47" s="5" t="s">
        <v>736</v>
      </c>
      <c r="Q47" s="7">
        <v>15</v>
      </c>
      <c r="R47" s="5" t="s">
        <v>58</v>
      </c>
      <c r="S47" s="14">
        <v>0.38</v>
      </c>
      <c r="T47" s="5" t="s">
        <v>60</v>
      </c>
      <c r="U47" s="5" t="s">
        <v>317</v>
      </c>
      <c r="V47" s="7">
        <v>5.7</v>
      </c>
      <c r="W47" s="5" t="s">
        <v>180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s="5" customFormat="1" x14ac:dyDescent="0.25">
      <c r="A48" s="5">
        <v>2031255011</v>
      </c>
      <c r="B48" s="5" t="s">
        <v>447</v>
      </c>
      <c r="C48" s="5" t="s">
        <v>448</v>
      </c>
      <c r="D48" s="5" t="str">
        <f t="shared" si="0"/>
        <v>ACE SALMETE</v>
      </c>
      <c r="E48" s="5" t="s">
        <v>64</v>
      </c>
      <c r="F48" s="5" t="s">
        <v>160</v>
      </c>
      <c r="G48" s="5" t="s">
        <v>180</v>
      </c>
      <c r="H48" s="5">
        <v>19200754</v>
      </c>
      <c r="I48" s="5" t="s">
        <v>443</v>
      </c>
      <c r="J48" s="5" t="s">
        <v>444</v>
      </c>
      <c r="K48" s="5" t="str">
        <f t="shared" si="3"/>
        <v>RICARDO SANTOS</v>
      </c>
      <c r="L48" s="6">
        <v>45925</v>
      </c>
      <c r="M48" s="6">
        <v>46016</v>
      </c>
      <c r="N48" s="5">
        <f t="shared" si="2"/>
        <v>3</v>
      </c>
      <c r="O48" s="5" t="s">
        <v>316</v>
      </c>
      <c r="P48" s="5" t="s">
        <v>736</v>
      </c>
      <c r="Q48" s="7">
        <v>15</v>
      </c>
      <c r="R48" s="5" t="s">
        <v>58</v>
      </c>
      <c r="S48" s="14">
        <v>0.38</v>
      </c>
      <c r="T48" s="5" t="s">
        <v>60</v>
      </c>
      <c r="U48" s="5" t="s">
        <v>317</v>
      </c>
      <c r="V48" s="7">
        <v>5.7</v>
      </c>
      <c r="W48" s="5" t="s">
        <v>180</v>
      </c>
    </row>
    <row r="49" spans="1:53" s="5" customFormat="1" x14ac:dyDescent="0.25">
      <c r="A49" s="5">
        <v>2031249950</v>
      </c>
      <c r="B49" s="5" t="s">
        <v>538</v>
      </c>
      <c r="C49" s="5" t="s">
        <v>123</v>
      </c>
      <c r="D49" s="5" t="str">
        <f t="shared" si="0"/>
        <v>MICHAEL ITURBE</v>
      </c>
      <c r="E49" s="5" t="s">
        <v>64</v>
      </c>
      <c r="F49" s="5" t="s">
        <v>196</v>
      </c>
      <c r="G49" s="5" t="s">
        <v>197</v>
      </c>
      <c r="H49" s="5">
        <v>20212926</v>
      </c>
      <c r="I49" s="5" t="s">
        <v>539</v>
      </c>
      <c r="J49" s="5" t="s">
        <v>179</v>
      </c>
      <c r="K49" s="5" t="str">
        <f t="shared" si="3"/>
        <v>JOSE TORRES</v>
      </c>
      <c r="L49" s="6">
        <v>45925</v>
      </c>
      <c r="M49" s="6">
        <v>46016</v>
      </c>
      <c r="N49" s="5">
        <f t="shared" si="2"/>
        <v>3</v>
      </c>
      <c r="O49" s="5" t="s">
        <v>316</v>
      </c>
      <c r="P49" s="5" t="s">
        <v>736</v>
      </c>
      <c r="Q49" s="7">
        <v>53.87</v>
      </c>
      <c r="R49" s="5" t="s">
        <v>58</v>
      </c>
      <c r="S49" s="15">
        <v>0.375</v>
      </c>
      <c r="T49" s="5" t="s">
        <v>60</v>
      </c>
      <c r="U49" s="5" t="s">
        <v>317</v>
      </c>
      <c r="V49" s="7">
        <v>20.2</v>
      </c>
      <c r="W49" s="5" t="s">
        <v>197</v>
      </c>
    </row>
    <row r="50" spans="1:53" s="5" customFormat="1" x14ac:dyDescent="0.25">
      <c r="A50" s="5">
        <v>2031255007</v>
      </c>
      <c r="B50" s="5" t="s">
        <v>447</v>
      </c>
      <c r="C50" s="5" t="s">
        <v>448</v>
      </c>
      <c r="D50" s="5" t="str">
        <f t="shared" si="0"/>
        <v>ACE SALMETE</v>
      </c>
      <c r="E50" s="5" t="s">
        <v>64</v>
      </c>
      <c r="F50" s="5" t="s">
        <v>196</v>
      </c>
      <c r="G50" s="5" t="s">
        <v>197</v>
      </c>
      <c r="H50" s="5">
        <v>19200754</v>
      </c>
      <c r="I50" s="5" t="s">
        <v>443</v>
      </c>
      <c r="J50" s="5" t="s">
        <v>444</v>
      </c>
      <c r="K50" s="5" t="str">
        <f t="shared" si="3"/>
        <v>RICARDO SANTOS</v>
      </c>
      <c r="L50" s="6">
        <v>45925</v>
      </c>
      <c r="M50" s="6">
        <v>46016</v>
      </c>
      <c r="N50" s="5">
        <f t="shared" si="2"/>
        <v>3</v>
      </c>
      <c r="O50" s="5" t="s">
        <v>316</v>
      </c>
      <c r="P50" s="5" t="s">
        <v>736</v>
      </c>
      <c r="Q50" s="7">
        <v>257.49</v>
      </c>
      <c r="R50" s="5" t="s">
        <v>58</v>
      </c>
      <c r="S50" s="15">
        <v>0.375</v>
      </c>
      <c r="T50" s="5" t="s">
        <v>60</v>
      </c>
      <c r="U50" s="5" t="s">
        <v>317</v>
      </c>
      <c r="V50" s="7">
        <v>96.56</v>
      </c>
      <c r="W50" s="5" t="s">
        <v>197</v>
      </c>
    </row>
    <row r="51" spans="1:53" s="5" customFormat="1" x14ac:dyDescent="0.25">
      <c r="A51" s="5">
        <v>2031180131</v>
      </c>
      <c r="B51" s="5" t="s">
        <v>397</v>
      </c>
      <c r="C51" s="5" t="s">
        <v>398</v>
      </c>
      <c r="D51" s="5" t="str">
        <f t="shared" si="0"/>
        <v>MARGARET BALDWIN</v>
      </c>
      <c r="E51" s="5" t="s">
        <v>219</v>
      </c>
      <c r="F51" s="5" t="s">
        <v>196</v>
      </c>
      <c r="G51" s="5" t="s">
        <v>197</v>
      </c>
      <c r="H51" s="5">
        <v>16633294</v>
      </c>
      <c r="I51" s="5" t="s">
        <v>91</v>
      </c>
      <c r="J51" s="5" t="s">
        <v>92</v>
      </c>
      <c r="K51" s="5" t="str">
        <f t="shared" si="3"/>
        <v>Richard Yale</v>
      </c>
      <c r="L51" s="6">
        <v>45924</v>
      </c>
      <c r="M51" s="6">
        <v>46015</v>
      </c>
      <c r="N51" s="5">
        <f t="shared" si="2"/>
        <v>3</v>
      </c>
      <c r="O51" s="5" t="s">
        <v>316</v>
      </c>
      <c r="P51" s="5" t="s">
        <v>736</v>
      </c>
      <c r="Q51" s="7">
        <v>69.69</v>
      </c>
      <c r="R51" s="5" t="s">
        <v>58</v>
      </c>
      <c r="S51" s="15">
        <v>0.375</v>
      </c>
      <c r="T51" s="5" t="s">
        <v>60</v>
      </c>
      <c r="U51" s="5" t="s">
        <v>317</v>
      </c>
      <c r="V51" s="7">
        <v>26.13</v>
      </c>
      <c r="W51" s="5" t="s">
        <v>197</v>
      </c>
    </row>
    <row r="52" spans="1:53" x14ac:dyDescent="0.25">
      <c r="A52" s="5">
        <v>2031190207</v>
      </c>
      <c r="B52" s="5" t="s">
        <v>399</v>
      </c>
      <c r="C52" s="5" t="s">
        <v>400</v>
      </c>
      <c r="D52" s="5" t="str">
        <f t="shared" si="0"/>
        <v>JANICE SEMPRINI</v>
      </c>
      <c r="E52" s="5" t="s">
        <v>166</v>
      </c>
      <c r="F52" s="5" t="s">
        <v>196</v>
      </c>
      <c r="G52" s="5" t="s">
        <v>197</v>
      </c>
      <c r="H52" s="5">
        <v>16633294</v>
      </c>
      <c r="I52" s="5" t="s">
        <v>91</v>
      </c>
      <c r="J52" s="5" t="s">
        <v>92</v>
      </c>
      <c r="K52" s="5" t="str">
        <f t="shared" si="3"/>
        <v>Richard Yale</v>
      </c>
      <c r="L52" s="6">
        <v>45925</v>
      </c>
      <c r="M52" s="6">
        <v>46016</v>
      </c>
      <c r="N52" s="5">
        <f t="shared" si="2"/>
        <v>3</v>
      </c>
      <c r="O52" s="5" t="s">
        <v>316</v>
      </c>
      <c r="P52" s="5" t="s">
        <v>736</v>
      </c>
      <c r="Q52" s="7">
        <v>63.74</v>
      </c>
      <c r="R52" s="5" t="s">
        <v>58</v>
      </c>
      <c r="S52" s="15">
        <v>0.375</v>
      </c>
      <c r="T52" s="5" t="s">
        <v>60</v>
      </c>
      <c r="U52" s="5" t="s">
        <v>317</v>
      </c>
      <c r="V52" s="7">
        <v>23.9</v>
      </c>
      <c r="W52" s="5" t="s">
        <v>197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s="5" customFormat="1" x14ac:dyDescent="0.25">
      <c r="A53" s="5">
        <v>2030823303</v>
      </c>
      <c r="B53" s="5" t="s">
        <v>534</v>
      </c>
      <c r="C53" s="5" t="s">
        <v>201</v>
      </c>
      <c r="D53" s="5" t="str">
        <f t="shared" si="0"/>
        <v>HEATHER FRIEDMANN</v>
      </c>
      <c r="E53" s="5" t="s">
        <v>105</v>
      </c>
      <c r="F53" s="5" t="s">
        <v>196</v>
      </c>
      <c r="G53" s="5" t="s">
        <v>197</v>
      </c>
      <c r="H53" s="5">
        <v>371819</v>
      </c>
      <c r="I53" s="5" t="s">
        <v>156</v>
      </c>
      <c r="J53" s="5" t="s">
        <v>157</v>
      </c>
      <c r="K53" s="5" t="str">
        <f t="shared" si="3"/>
        <v>THOMAS PARDUE</v>
      </c>
      <c r="L53" s="6">
        <v>45927</v>
      </c>
      <c r="M53" s="6">
        <v>46018</v>
      </c>
      <c r="N53" s="5">
        <f t="shared" si="2"/>
        <v>3</v>
      </c>
      <c r="O53" s="5" t="s">
        <v>316</v>
      </c>
      <c r="P53" s="5" t="s">
        <v>736</v>
      </c>
      <c r="Q53" s="7">
        <v>65.2</v>
      </c>
      <c r="R53" s="5" t="s">
        <v>58</v>
      </c>
      <c r="S53" s="15">
        <v>0.375</v>
      </c>
      <c r="T53" s="5" t="s">
        <v>60</v>
      </c>
      <c r="U53" s="5" t="s">
        <v>317</v>
      </c>
      <c r="V53" s="7">
        <v>24.45</v>
      </c>
      <c r="W53" s="5" t="s">
        <v>197</v>
      </c>
    </row>
    <row r="54" spans="1:53" s="5" customFormat="1" x14ac:dyDescent="0.25">
      <c r="A54" s="5">
        <v>2031205937</v>
      </c>
      <c r="B54" s="5" t="s">
        <v>535</v>
      </c>
      <c r="C54" s="5" t="s">
        <v>406</v>
      </c>
      <c r="D54" s="5" t="str">
        <f t="shared" si="0"/>
        <v>JESSICA WILKINSON</v>
      </c>
      <c r="E54" s="5" t="s">
        <v>135</v>
      </c>
      <c r="F54" s="5" t="s">
        <v>196</v>
      </c>
      <c r="G54" s="5" t="s">
        <v>197</v>
      </c>
      <c r="H54" s="5">
        <v>371819</v>
      </c>
      <c r="I54" s="5" t="s">
        <v>156</v>
      </c>
      <c r="J54" s="5" t="s">
        <v>157</v>
      </c>
      <c r="K54" s="5" t="str">
        <f t="shared" si="3"/>
        <v>THOMAS PARDUE</v>
      </c>
      <c r="L54" s="6">
        <v>45923</v>
      </c>
      <c r="M54" s="6">
        <v>46014</v>
      </c>
      <c r="N54" s="5">
        <f t="shared" si="2"/>
        <v>3</v>
      </c>
      <c r="O54" s="5" t="s">
        <v>316</v>
      </c>
      <c r="P54" s="5" t="s">
        <v>736</v>
      </c>
      <c r="Q54" s="7">
        <v>28.38</v>
      </c>
      <c r="R54" s="5" t="s">
        <v>58</v>
      </c>
      <c r="S54" s="15">
        <v>0.375</v>
      </c>
      <c r="T54" s="5" t="s">
        <v>60</v>
      </c>
      <c r="U54" s="5" t="s">
        <v>317</v>
      </c>
      <c r="V54" s="7">
        <v>10.64</v>
      </c>
      <c r="W54" s="5" t="s">
        <v>197</v>
      </c>
    </row>
    <row r="55" spans="1:53" s="5" customFormat="1" x14ac:dyDescent="0.25">
      <c r="A55" s="5">
        <v>2031218305</v>
      </c>
      <c r="B55" s="5" t="s">
        <v>536</v>
      </c>
      <c r="C55" s="5" t="s">
        <v>537</v>
      </c>
      <c r="D55" s="5" t="str">
        <f t="shared" si="0"/>
        <v>CAMILIA NKOPPE</v>
      </c>
      <c r="E55" s="5" t="s">
        <v>224</v>
      </c>
      <c r="F55" s="5" t="s">
        <v>196</v>
      </c>
      <c r="G55" s="5" t="s">
        <v>197</v>
      </c>
      <c r="H55" s="5">
        <v>371819</v>
      </c>
      <c r="I55" s="5" t="s">
        <v>156</v>
      </c>
      <c r="J55" s="5" t="s">
        <v>157</v>
      </c>
      <c r="K55" s="5" t="str">
        <f t="shared" si="3"/>
        <v>THOMAS PARDUE</v>
      </c>
      <c r="L55" s="6">
        <v>45924</v>
      </c>
      <c r="M55" s="6">
        <v>46015</v>
      </c>
      <c r="N55" s="5">
        <f t="shared" si="2"/>
        <v>3</v>
      </c>
      <c r="O55" s="5" t="s">
        <v>316</v>
      </c>
      <c r="P55" s="5" t="s">
        <v>736</v>
      </c>
      <c r="Q55" s="7">
        <v>78.349999999999994</v>
      </c>
      <c r="R55" s="5" t="s">
        <v>58</v>
      </c>
      <c r="S55" s="15">
        <v>0.375</v>
      </c>
      <c r="T55" s="5" t="s">
        <v>60</v>
      </c>
      <c r="U55" s="5" t="s">
        <v>317</v>
      </c>
      <c r="V55" s="7">
        <v>29.38</v>
      </c>
      <c r="W55" s="5" t="s">
        <v>197</v>
      </c>
    </row>
    <row r="56" spans="1:53" s="5" customFormat="1" x14ac:dyDescent="0.25">
      <c r="A56" s="5">
        <v>2030805144</v>
      </c>
      <c r="B56" s="5" t="s">
        <v>531</v>
      </c>
      <c r="C56" s="5" t="s">
        <v>195</v>
      </c>
      <c r="D56" s="5" t="str">
        <f t="shared" si="0"/>
        <v>NATALIE BERGERON</v>
      </c>
      <c r="E56" s="5" t="s">
        <v>135</v>
      </c>
      <c r="F56" s="5" t="s">
        <v>196</v>
      </c>
      <c r="G56" s="5" t="s">
        <v>197</v>
      </c>
      <c r="H56" s="5" t="s">
        <v>732</v>
      </c>
      <c r="I56" s="5" t="s">
        <v>532</v>
      </c>
      <c r="J56" s="5" t="s">
        <v>533</v>
      </c>
      <c r="K56" s="5" t="str">
        <f t="shared" si="3"/>
        <v>VICTOR FUENTES</v>
      </c>
      <c r="L56" s="6">
        <v>45902</v>
      </c>
      <c r="M56" s="6">
        <v>45993</v>
      </c>
      <c r="N56" s="5">
        <f t="shared" si="2"/>
        <v>3</v>
      </c>
      <c r="O56" s="5" t="s">
        <v>316</v>
      </c>
      <c r="P56" s="5" t="s">
        <v>736</v>
      </c>
      <c r="Q56" s="7">
        <v>60.3</v>
      </c>
      <c r="R56" s="5" t="s">
        <v>58</v>
      </c>
      <c r="S56" s="15">
        <v>0.375</v>
      </c>
      <c r="T56" s="5" t="s">
        <v>60</v>
      </c>
      <c r="U56" s="5" t="s">
        <v>317</v>
      </c>
      <c r="V56" s="7">
        <v>22.61</v>
      </c>
      <c r="W56" s="5" t="s">
        <v>197</v>
      </c>
    </row>
    <row r="57" spans="1:53" s="5" customFormat="1" x14ac:dyDescent="0.25">
      <c r="A57" s="5">
        <v>2030359371</v>
      </c>
      <c r="B57" s="5" t="s">
        <v>642</v>
      </c>
      <c r="C57" s="5" t="s">
        <v>643</v>
      </c>
      <c r="D57" s="5" t="str">
        <f t="shared" si="0"/>
        <v>PLAINFEATHER LUJUANA</v>
      </c>
      <c r="E57" s="5" t="s">
        <v>644</v>
      </c>
      <c r="F57" s="5" t="s">
        <v>262</v>
      </c>
      <c r="G57" s="5" t="s">
        <v>265</v>
      </c>
      <c r="H57" s="5">
        <v>371819</v>
      </c>
      <c r="I57" s="5" t="s">
        <v>156</v>
      </c>
      <c r="J57" s="5" t="s">
        <v>157</v>
      </c>
      <c r="K57" s="5" t="str">
        <f t="shared" si="3"/>
        <v>THOMAS PARDUE</v>
      </c>
      <c r="L57" s="6">
        <v>45879</v>
      </c>
      <c r="M57" s="6">
        <v>46001</v>
      </c>
      <c r="N57" s="5">
        <f t="shared" si="2"/>
        <v>4</v>
      </c>
      <c r="O57" s="5" t="s">
        <v>316</v>
      </c>
      <c r="P57" s="5" t="s">
        <v>736</v>
      </c>
      <c r="Q57" s="7">
        <v>37.42</v>
      </c>
      <c r="R57" s="5" t="s">
        <v>58</v>
      </c>
      <c r="S57" s="14">
        <v>0.9</v>
      </c>
      <c r="T57" s="5" t="s">
        <v>60</v>
      </c>
      <c r="U57" s="5" t="s">
        <v>317</v>
      </c>
      <c r="V57" s="7">
        <v>33.68</v>
      </c>
      <c r="W57" s="5" t="s">
        <v>265</v>
      </c>
    </row>
    <row r="58" spans="1:53" s="5" customFormat="1" x14ac:dyDescent="0.25">
      <c r="A58" s="5">
        <v>2030461447</v>
      </c>
      <c r="B58" s="5" t="s">
        <v>274</v>
      </c>
      <c r="C58" s="5" t="s">
        <v>524</v>
      </c>
      <c r="D58" s="5" t="str">
        <f t="shared" si="0"/>
        <v>MELTON JASON</v>
      </c>
      <c r="E58" s="5" t="s">
        <v>335</v>
      </c>
      <c r="F58" s="5" t="s">
        <v>262</v>
      </c>
      <c r="G58" s="5" t="s">
        <v>265</v>
      </c>
      <c r="H58" s="5">
        <v>371819</v>
      </c>
      <c r="I58" s="5" t="s">
        <v>156</v>
      </c>
      <c r="J58" s="5" t="s">
        <v>157</v>
      </c>
      <c r="K58" s="5" t="str">
        <f t="shared" si="3"/>
        <v>THOMAS PARDUE</v>
      </c>
      <c r="L58" s="6">
        <v>45892</v>
      </c>
      <c r="M58" s="6">
        <v>46014</v>
      </c>
      <c r="N58" s="5">
        <f t="shared" si="2"/>
        <v>4</v>
      </c>
      <c r="O58" s="5" t="s">
        <v>316</v>
      </c>
      <c r="P58" s="5" t="s">
        <v>736</v>
      </c>
      <c r="Q58" s="7">
        <v>51.25</v>
      </c>
      <c r="R58" s="5" t="s">
        <v>58</v>
      </c>
      <c r="S58" s="14">
        <v>0.9</v>
      </c>
      <c r="T58" s="5" t="s">
        <v>60</v>
      </c>
      <c r="U58" s="5" t="s">
        <v>317</v>
      </c>
      <c r="V58" s="7">
        <v>46.12</v>
      </c>
      <c r="W58" s="5" t="s">
        <v>265</v>
      </c>
    </row>
    <row r="59" spans="1:53" s="5" customFormat="1" x14ac:dyDescent="0.25">
      <c r="A59" s="5">
        <v>2030260596</v>
      </c>
      <c r="B59" s="5" t="s">
        <v>522</v>
      </c>
      <c r="C59" s="5" t="s">
        <v>523</v>
      </c>
      <c r="D59" s="5" t="str">
        <f t="shared" si="0"/>
        <v>NESBITT KAMEY</v>
      </c>
      <c r="E59" s="5" t="s">
        <v>105</v>
      </c>
      <c r="F59" s="5" t="s">
        <v>262</v>
      </c>
      <c r="G59" s="5" t="s">
        <v>263</v>
      </c>
      <c r="H59" s="5" t="s">
        <v>730</v>
      </c>
      <c r="I59" s="5" t="s">
        <v>106</v>
      </c>
      <c r="J59" s="5" t="s">
        <v>107</v>
      </c>
      <c r="K59" s="5" t="str">
        <f t="shared" si="3"/>
        <v>Jake Shulman</v>
      </c>
      <c r="L59" s="6">
        <v>45871</v>
      </c>
      <c r="M59" s="6">
        <v>45993</v>
      </c>
      <c r="N59" s="5">
        <f t="shared" si="2"/>
        <v>4</v>
      </c>
      <c r="O59" s="5" t="s">
        <v>316</v>
      </c>
      <c r="P59" s="5" t="s">
        <v>736</v>
      </c>
      <c r="Q59" s="7">
        <v>10.29</v>
      </c>
      <c r="R59" s="5" t="s">
        <v>58</v>
      </c>
      <c r="S59" s="14">
        <v>0.7</v>
      </c>
      <c r="T59" s="5" t="s">
        <v>60</v>
      </c>
      <c r="U59" s="5" t="s">
        <v>317</v>
      </c>
      <c r="V59" s="7">
        <v>7.2</v>
      </c>
      <c r="W59" s="5" t="s">
        <v>263</v>
      </c>
    </row>
    <row r="60" spans="1:53" s="5" customFormat="1" x14ac:dyDescent="0.25">
      <c r="A60" s="5">
        <v>2030312965</v>
      </c>
      <c r="B60" s="5" t="s">
        <v>700</v>
      </c>
      <c r="C60" s="5" t="s">
        <v>241</v>
      </c>
      <c r="D60" s="5" t="str">
        <f t="shared" si="0"/>
        <v>DAVIS LOWELL</v>
      </c>
      <c r="E60" s="5" t="s">
        <v>224</v>
      </c>
      <c r="F60" s="5" t="s">
        <v>683</v>
      </c>
      <c r="G60" s="5" t="s">
        <v>684</v>
      </c>
      <c r="H60" s="5">
        <v>371819</v>
      </c>
      <c r="I60" s="5" t="s">
        <v>156</v>
      </c>
      <c r="J60" s="5" t="s">
        <v>157</v>
      </c>
      <c r="K60" s="5" t="str">
        <f t="shared" si="3"/>
        <v>THOMAS PARDUE</v>
      </c>
      <c r="L60" s="6">
        <v>45874</v>
      </c>
      <c r="M60" s="6">
        <v>45996</v>
      </c>
      <c r="N60" s="5">
        <f t="shared" si="2"/>
        <v>4</v>
      </c>
      <c r="O60" s="5" t="s">
        <v>316</v>
      </c>
      <c r="P60" s="5" t="s">
        <v>736</v>
      </c>
      <c r="Q60" s="7">
        <v>29.97</v>
      </c>
      <c r="R60" s="5" t="s">
        <v>58</v>
      </c>
      <c r="S60" s="14">
        <v>0.47</v>
      </c>
      <c r="T60" s="5" t="s">
        <v>60</v>
      </c>
      <c r="U60" s="5" t="s">
        <v>317</v>
      </c>
      <c r="V60" s="7">
        <v>14.09</v>
      </c>
      <c r="W60" s="5" t="s">
        <v>684</v>
      </c>
    </row>
    <row r="61" spans="1:53" s="5" customFormat="1" x14ac:dyDescent="0.25">
      <c r="A61" s="5">
        <v>2030359370</v>
      </c>
      <c r="B61" s="5" t="s">
        <v>642</v>
      </c>
      <c r="C61" s="5" t="s">
        <v>643</v>
      </c>
      <c r="D61" s="5" t="str">
        <f t="shared" si="0"/>
        <v>PLAINFEATHER LUJUANA</v>
      </c>
      <c r="E61" s="5" t="s">
        <v>644</v>
      </c>
      <c r="F61" s="5" t="s">
        <v>262</v>
      </c>
      <c r="G61" s="5" t="s">
        <v>302</v>
      </c>
      <c r="H61" s="5">
        <v>371819</v>
      </c>
      <c r="I61" s="5" t="s">
        <v>156</v>
      </c>
      <c r="J61" s="5" t="s">
        <v>157</v>
      </c>
      <c r="K61" s="5" t="str">
        <f t="shared" si="3"/>
        <v>THOMAS PARDUE</v>
      </c>
      <c r="L61" s="6">
        <v>45879</v>
      </c>
      <c r="M61" s="6">
        <v>46001</v>
      </c>
      <c r="N61" s="5">
        <f t="shared" si="2"/>
        <v>4</v>
      </c>
      <c r="O61" s="5" t="s">
        <v>316</v>
      </c>
      <c r="P61" s="5" t="s">
        <v>736</v>
      </c>
      <c r="Q61" s="7">
        <v>15.73</v>
      </c>
      <c r="R61" s="5" t="s">
        <v>58</v>
      </c>
      <c r="S61" s="14">
        <v>0.42</v>
      </c>
      <c r="T61" s="5" t="s">
        <v>60</v>
      </c>
      <c r="U61" s="5" t="s">
        <v>317</v>
      </c>
      <c r="V61" s="7">
        <v>6.61</v>
      </c>
      <c r="W61" s="5" t="s">
        <v>302</v>
      </c>
    </row>
    <row r="62" spans="1:53" s="5" customFormat="1" x14ac:dyDescent="0.25">
      <c r="A62" s="5">
        <v>2030601614</v>
      </c>
      <c r="B62" s="5" t="s">
        <v>525</v>
      </c>
      <c r="C62" s="5" t="s">
        <v>526</v>
      </c>
      <c r="D62" s="5" t="str">
        <f t="shared" si="0"/>
        <v>O'CONNOR SARAH</v>
      </c>
      <c r="E62" s="5" t="s">
        <v>64</v>
      </c>
      <c r="F62" s="5" t="s">
        <v>196</v>
      </c>
      <c r="G62" s="5" t="s">
        <v>197</v>
      </c>
      <c r="H62" s="5">
        <v>19681796</v>
      </c>
      <c r="I62" s="5" t="s">
        <v>142</v>
      </c>
      <c r="J62" s="5" t="s">
        <v>143</v>
      </c>
      <c r="K62" s="5" t="str">
        <f t="shared" si="3"/>
        <v>CHRISTIAN TAUGNER</v>
      </c>
      <c r="L62" s="6">
        <v>45891</v>
      </c>
      <c r="M62" s="6">
        <v>46013</v>
      </c>
      <c r="N62" s="5">
        <f t="shared" si="2"/>
        <v>4</v>
      </c>
      <c r="O62" s="5" t="s">
        <v>316</v>
      </c>
      <c r="P62" s="5" t="s">
        <v>736</v>
      </c>
      <c r="Q62" s="7">
        <v>63.37</v>
      </c>
      <c r="R62" s="5" t="s">
        <v>58</v>
      </c>
      <c r="S62" s="15">
        <v>0.375</v>
      </c>
      <c r="T62" s="5" t="s">
        <v>60</v>
      </c>
      <c r="U62" s="5" t="s">
        <v>317</v>
      </c>
      <c r="V62" s="7">
        <v>23.76</v>
      </c>
      <c r="W62" s="5" t="s">
        <v>197</v>
      </c>
    </row>
    <row r="63" spans="1:53" s="5" customFormat="1" x14ac:dyDescent="0.25">
      <c r="A63" s="5">
        <v>2030260595</v>
      </c>
      <c r="B63" s="5" t="s">
        <v>522</v>
      </c>
      <c r="C63" s="5" t="s">
        <v>523</v>
      </c>
      <c r="D63" s="5" t="str">
        <f t="shared" si="0"/>
        <v>NESBITT KAMEY</v>
      </c>
      <c r="E63" s="5" t="s">
        <v>105</v>
      </c>
      <c r="F63" s="5" t="s">
        <v>196</v>
      </c>
      <c r="G63" s="5" t="s">
        <v>197</v>
      </c>
      <c r="H63" s="5" t="s">
        <v>730</v>
      </c>
      <c r="I63" s="5" t="s">
        <v>106</v>
      </c>
      <c r="J63" s="5" t="s">
        <v>107</v>
      </c>
      <c r="K63" s="5" t="str">
        <f t="shared" si="3"/>
        <v>Jake Shulman</v>
      </c>
      <c r="L63" s="6">
        <v>45871</v>
      </c>
      <c r="M63" s="6">
        <v>45993</v>
      </c>
      <c r="N63" s="5">
        <f t="shared" si="2"/>
        <v>4</v>
      </c>
      <c r="O63" s="5" t="s">
        <v>316</v>
      </c>
      <c r="P63" s="5" t="s">
        <v>736</v>
      </c>
      <c r="Q63" s="7">
        <v>24.54</v>
      </c>
      <c r="R63" s="5" t="s">
        <v>58</v>
      </c>
      <c r="S63" s="15">
        <v>0.375</v>
      </c>
      <c r="T63" s="5" t="s">
        <v>60</v>
      </c>
      <c r="U63" s="5" t="s">
        <v>317</v>
      </c>
      <c r="V63" s="7">
        <v>9.1999999999999993</v>
      </c>
      <c r="W63" s="5" t="s">
        <v>197</v>
      </c>
    </row>
    <row r="64" spans="1:53" x14ac:dyDescent="0.25">
      <c r="A64" s="5">
        <v>2030461446</v>
      </c>
      <c r="B64" s="5" t="s">
        <v>274</v>
      </c>
      <c r="C64" s="5" t="s">
        <v>524</v>
      </c>
      <c r="D64" s="5" t="str">
        <f t="shared" si="0"/>
        <v>MELTON JASON</v>
      </c>
      <c r="E64" s="5" t="s">
        <v>335</v>
      </c>
      <c r="F64" s="5" t="s">
        <v>196</v>
      </c>
      <c r="G64" s="5" t="s">
        <v>197</v>
      </c>
      <c r="H64" s="5">
        <v>371819</v>
      </c>
      <c r="I64" s="5" t="s">
        <v>156</v>
      </c>
      <c r="J64" s="5" t="s">
        <v>157</v>
      </c>
      <c r="K64" s="5" t="str">
        <f t="shared" si="3"/>
        <v>THOMAS PARDUE</v>
      </c>
      <c r="L64" s="6">
        <v>45892</v>
      </c>
      <c r="M64" s="6">
        <v>46014</v>
      </c>
      <c r="N64" s="5">
        <f t="shared" si="2"/>
        <v>4</v>
      </c>
      <c r="O64" s="5" t="s">
        <v>316</v>
      </c>
      <c r="P64" s="5" t="s">
        <v>736</v>
      </c>
      <c r="Q64" s="7">
        <v>79.27</v>
      </c>
      <c r="R64" s="5" t="s">
        <v>58</v>
      </c>
      <c r="S64" s="15">
        <v>0.375</v>
      </c>
      <c r="T64" s="5" t="s">
        <v>60</v>
      </c>
      <c r="U64" s="5" t="s">
        <v>317</v>
      </c>
      <c r="V64" s="7">
        <v>29.73</v>
      </c>
      <c r="W64" s="5" t="s">
        <v>197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x14ac:dyDescent="0.25">
      <c r="A65" s="5">
        <v>2030722442</v>
      </c>
      <c r="B65" s="5" t="s">
        <v>441</v>
      </c>
      <c r="C65" s="5" t="s">
        <v>442</v>
      </c>
      <c r="D65" s="5" t="str">
        <f t="shared" si="0"/>
        <v>LEVINSON JADE</v>
      </c>
      <c r="E65" s="5" t="s">
        <v>129</v>
      </c>
      <c r="F65" s="5" t="s">
        <v>160</v>
      </c>
      <c r="G65" s="5" t="s">
        <v>167</v>
      </c>
      <c r="H65" s="5">
        <v>19200754</v>
      </c>
      <c r="I65" s="5" t="s">
        <v>443</v>
      </c>
      <c r="J65" s="5" t="s">
        <v>444</v>
      </c>
      <c r="K65" s="5" t="str">
        <f t="shared" si="3"/>
        <v>RICARDO SANTOS</v>
      </c>
      <c r="L65" s="6">
        <v>45897</v>
      </c>
      <c r="M65" s="6">
        <v>46019</v>
      </c>
      <c r="N65" s="5">
        <f t="shared" si="2"/>
        <v>4</v>
      </c>
      <c r="O65" s="5" t="s">
        <v>316</v>
      </c>
      <c r="P65" s="5" t="s">
        <v>736</v>
      </c>
      <c r="Q65" s="7">
        <v>15</v>
      </c>
      <c r="R65" s="5" t="s">
        <v>58</v>
      </c>
      <c r="S65" s="14">
        <v>0.28999999999999998</v>
      </c>
      <c r="T65" s="5" t="s">
        <v>60</v>
      </c>
      <c r="U65" s="5" t="s">
        <v>317</v>
      </c>
      <c r="V65" s="7">
        <v>4.3499999999999996</v>
      </c>
      <c r="W65" s="5" t="s">
        <v>723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x14ac:dyDescent="0.25">
      <c r="A66" s="5">
        <v>2030722441</v>
      </c>
      <c r="B66" s="5" t="s">
        <v>441</v>
      </c>
      <c r="C66" s="5" t="s">
        <v>442</v>
      </c>
      <c r="D66" s="5" t="str">
        <f t="shared" ref="D66:D129" si="4">CONCATENATE(C66," ",B66)</f>
        <v>LEVINSON JADE</v>
      </c>
      <c r="E66" s="5" t="s">
        <v>129</v>
      </c>
      <c r="F66" s="5" t="s">
        <v>311</v>
      </c>
      <c r="G66" s="5" t="s">
        <v>312</v>
      </c>
      <c r="H66" s="5">
        <v>19200754</v>
      </c>
      <c r="I66" s="5" t="s">
        <v>443</v>
      </c>
      <c r="J66" s="5" t="s">
        <v>444</v>
      </c>
      <c r="K66" s="5" t="str">
        <f t="shared" ref="K66:K97" si="5">CONCATENATE(J66," ",I66)</f>
        <v>RICARDO SANTOS</v>
      </c>
      <c r="L66" s="6">
        <v>45897</v>
      </c>
      <c r="M66" s="6">
        <v>46019</v>
      </c>
      <c r="N66" s="5">
        <f t="shared" ref="N66:N129" si="6">DATEDIF(L66,M66,"M")</f>
        <v>4</v>
      </c>
      <c r="O66" s="5" t="s">
        <v>316</v>
      </c>
      <c r="P66" s="5" t="s">
        <v>736</v>
      </c>
      <c r="Q66" s="7">
        <v>150.93</v>
      </c>
      <c r="R66" s="5" t="s">
        <v>58</v>
      </c>
      <c r="S66" s="14">
        <v>0.28999999999999998</v>
      </c>
      <c r="T66" s="5" t="s">
        <v>60</v>
      </c>
      <c r="U66" s="5" t="s">
        <v>317</v>
      </c>
      <c r="V66" s="7">
        <v>43.77</v>
      </c>
      <c r="W66" s="5" t="s">
        <v>312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5">
        <v>2030145092</v>
      </c>
      <c r="B67" s="5" t="s">
        <v>385</v>
      </c>
      <c r="C67" s="5" t="s">
        <v>386</v>
      </c>
      <c r="D67" s="5" t="str">
        <f t="shared" si="4"/>
        <v>CHEREGI RALUCA</v>
      </c>
      <c r="E67" s="5" t="s">
        <v>64</v>
      </c>
      <c r="F67" s="5" t="s">
        <v>89</v>
      </c>
      <c r="G67" s="5" t="s">
        <v>96</v>
      </c>
      <c r="H67" s="5">
        <v>7470776</v>
      </c>
      <c r="I67" s="5" t="s">
        <v>115</v>
      </c>
      <c r="J67" s="5" t="s">
        <v>116</v>
      </c>
      <c r="K67" s="5" t="str">
        <f t="shared" si="5"/>
        <v>Andrew Choi</v>
      </c>
      <c r="L67" s="6">
        <v>45864</v>
      </c>
      <c r="M67" s="6">
        <v>46017</v>
      </c>
      <c r="N67" s="5">
        <f t="shared" si="6"/>
        <v>5</v>
      </c>
      <c r="O67" s="5" t="s">
        <v>316</v>
      </c>
      <c r="P67" s="5" t="s">
        <v>736</v>
      </c>
      <c r="Q67" s="7">
        <v>62.71</v>
      </c>
      <c r="R67" s="5" t="s">
        <v>58</v>
      </c>
      <c r="S67" s="14">
        <v>0.9</v>
      </c>
      <c r="T67" s="5" t="s">
        <v>60</v>
      </c>
      <c r="U67" s="5" t="s">
        <v>317</v>
      </c>
      <c r="V67" s="7">
        <v>56.44</v>
      </c>
      <c r="W67" s="5" t="s">
        <v>722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5">
        <v>2030108810</v>
      </c>
      <c r="B68" s="5" t="s">
        <v>383</v>
      </c>
      <c r="C68" s="5" t="s">
        <v>384</v>
      </c>
      <c r="D68" s="5" t="str">
        <f t="shared" si="4"/>
        <v>CARR LAUREN</v>
      </c>
      <c r="E68" s="5" t="s">
        <v>109</v>
      </c>
      <c r="F68" s="5" t="s">
        <v>89</v>
      </c>
      <c r="G68" s="5" t="s">
        <v>96</v>
      </c>
      <c r="H68" s="5">
        <v>21313588</v>
      </c>
      <c r="I68" s="5" t="s">
        <v>243</v>
      </c>
      <c r="J68" s="5" t="s">
        <v>81</v>
      </c>
      <c r="K68" s="5" t="str">
        <f t="shared" si="5"/>
        <v>WILLIAM GESKE</v>
      </c>
      <c r="L68" s="6">
        <v>45862</v>
      </c>
      <c r="M68" s="6">
        <v>46015</v>
      </c>
      <c r="N68" s="5">
        <f t="shared" si="6"/>
        <v>5</v>
      </c>
      <c r="O68" s="5" t="s">
        <v>316</v>
      </c>
      <c r="P68" s="5" t="s">
        <v>736</v>
      </c>
      <c r="Q68" s="7">
        <v>36.130000000000003</v>
      </c>
      <c r="R68" s="5" t="s">
        <v>58</v>
      </c>
      <c r="S68" s="14">
        <v>0.9</v>
      </c>
      <c r="T68" s="5" t="s">
        <v>60</v>
      </c>
      <c r="U68" s="5" t="s">
        <v>317</v>
      </c>
      <c r="V68" s="7">
        <v>32.520000000000003</v>
      </c>
      <c r="W68" s="5" t="s">
        <v>722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5">
        <v>2030117415</v>
      </c>
      <c r="B69" s="5" t="s">
        <v>518</v>
      </c>
      <c r="C69" s="5" t="s">
        <v>519</v>
      </c>
      <c r="D69" s="5" t="str">
        <f t="shared" si="4"/>
        <v>THORNTON DAWN</v>
      </c>
      <c r="E69" s="5" t="s">
        <v>310</v>
      </c>
      <c r="F69" s="5" t="s">
        <v>262</v>
      </c>
      <c r="G69" s="5" t="s">
        <v>265</v>
      </c>
      <c r="H69" s="5">
        <v>371819</v>
      </c>
      <c r="I69" s="5" t="s">
        <v>156</v>
      </c>
      <c r="J69" s="5" t="s">
        <v>157</v>
      </c>
      <c r="K69" s="5" t="str">
        <f t="shared" si="5"/>
        <v>THOMAS PARDUE</v>
      </c>
      <c r="L69" s="6">
        <v>45863</v>
      </c>
      <c r="M69" s="6">
        <v>46016</v>
      </c>
      <c r="N69" s="5">
        <f t="shared" si="6"/>
        <v>5</v>
      </c>
      <c r="O69" s="5" t="s">
        <v>316</v>
      </c>
      <c r="P69" s="5" t="s">
        <v>736</v>
      </c>
      <c r="Q69" s="7">
        <v>69.08</v>
      </c>
      <c r="R69" s="5" t="s">
        <v>58</v>
      </c>
      <c r="S69" s="14">
        <v>0.9</v>
      </c>
      <c r="T69" s="5" t="s">
        <v>60</v>
      </c>
      <c r="U69" s="5" t="s">
        <v>317</v>
      </c>
      <c r="V69" s="7">
        <v>62.17</v>
      </c>
      <c r="W69" s="5" t="s">
        <v>265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x14ac:dyDescent="0.25">
      <c r="A70" s="5">
        <v>2030077439</v>
      </c>
      <c r="B70" s="5" t="s">
        <v>377</v>
      </c>
      <c r="C70" s="5" t="s">
        <v>181</v>
      </c>
      <c r="D70" s="5" t="str">
        <f t="shared" si="4"/>
        <v>BLACK TONYA</v>
      </c>
      <c r="E70" s="5" t="s">
        <v>378</v>
      </c>
      <c r="F70" s="5" t="s">
        <v>89</v>
      </c>
      <c r="G70" s="5" t="s">
        <v>90</v>
      </c>
      <c r="H70" s="5" t="s">
        <v>730</v>
      </c>
      <c r="I70" s="5" t="s">
        <v>106</v>
      </c>
      <c r="J70" s="5" t="s">
        <v>107</v>
      </c>
      <c r="K70" s="5" t="str">
        <f t="shared" si="5"/>
        <v>Jake Shulman</v>
      </c>
      <c r="L70" s="6">
        <v>45860</v>
      </c>
      <c r="M70" s="6">
        <v>46013</v>
      </c>
      <c r="N70" s="5">
        <f t="shared" si="6"/>
        <v>5</v>
      </c>
      <c r="O70" s="5" t="s">
        <v>316</v>
      </c>
      <c r="P70" s="5" t="s">
        <v>736</v>
      </c>
      <c r="Q70" s="7">
        <v>48.01</v>
      </c>
      <c r="R70" s="5" t="s">
        <v>58</v>
      </c>
      <c r="S70" s="14">
        <v>0.75</v>
      </c>
      <c r="T70" s="5" t="s">
        <v>60</v>
      </c>
      <c r="U70" s="5" t="s">
        <v>317</v>
      </c>
      <c r="V70" s="7">
        <v>36.01</v>
      </c>
      <c r="W70" s="5" t="s">
        <v>718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s="5" customFormat="1" x14ac:dyDescent="0.25">
      <c r="A71" s="5">
        <v>2030145093</v>
      </c>
      <c r="B71" s="5" t="s">
        <v>385</v>
      </c>
      <c r="C71" s="5" t="s">
        <v>386</v>
      </c>
      <c r="D71" s="5" t="str">
        <f t="shared" si="4"/>
        <v>CHEREGI RALUCA</v>
      </c>
      <c r="E71" s="5" t="s">
        <v>64</v>
      </c>
      <c r="F71" s="5" t="s">
        <v>262</v>
      </c>
      <c r="G71" s="5" t="s">
        <v>263</v>
      </c>
      <c r="H71" s="5">
        <v>7470776</v>
      </c>
      <c r="I71" s="5" t="s">
        <v>115</v>
      </c>
      <c r="J71" s="5" t="s">
        <v>116</v>
      </c>
      <c r="K71" s="5" t="str">
        <f t="shared" si="5"/>
        <v>Andrew Choi</v>
      </c>
      <c r="L71" s="6">
        <v>45864</v>
      </c>
      <c r="M71" s="6">
        <v>46017</v>
      </c>
      <c r="N71" s="5">
        <f t="shared" si="6"/>
        <v>5</v>
      </c>
      <c r="O71" s="5" t="s">
        <v>316</v>
      </c>
      <c r="P71" s="5" t="s">
        <v>736</v>
      </c>
      <c r="Q71" s="7">
        <v>102.7</v>
      </c>
      <c r="R71" s="5" t="s">
        <v>58</v>
      </c>
      <c r="S71" s="14">
        <v>0.7</v>
      </c>
      <c r="T71" s="5" t="s">
        <v>60</v>
      </c>
      <c r="U71" s="5" t="s">
        <v>317</v>
      </c>
      <c r="V71" s="7">
        <v>71.89</v>
      </c>
      <c r="W71" s="5" t="s">
        <v>263</v>
      </c>
    </row>
    <row r="72" spans="1:53" x14ac:dyDescent="0.25">
      <c r="A72" s="5">
        <v>2030084097</v>
      </c>
      <c r="B72" s="5" t="s">
        <v>635</v>
      </c>
      <c r="C72" s="5" t="s">
        <v>636</v>
      </c>
      <c r="D72" s="5" t="str">
        <f t="shared" si="4"/>
        <v>WEASE MIKE</v>
      </c>
      <c r="E72" s="5" t="s">
        <v>64</v>
      </c>
      <c r="F72" s="5" t="s">
        <v>262</v>
      </c>
      <c r="G72" s="5" t="s">
        <v>263</v>
      </c>
      <c r="H72" s="5">
        <v>17143996</v>
      </c>
      <c r="I72" s="5" t="s">
        <v>227</v>
      </c>
      <c r="J72" s="5" t="s">
        <v>228</v>
      </c>
      <c r="K72" s="5" t="str">
        <f t="shared" si="5"/>
        <v>James Allen</v>
      </c>
      <c r="L72" s="6">
        <v>45862</v>
      </c>
      <c r="M72" s="6">
        <v>46015</v>
      </c>
      <c r="N72" s="5">
        <f t="shared" si="6"/>
        <v>5</v>
      </c>
      <c r="O72" s="5" t="s">
        <v>316</v>
      </c>
      <c r="P72" s="5" t="s">
        <v>736</v>
      </c>
      <c r="Q72" s="7">
        <v>19</v>
      </c>
      <c r="R72" s="5" t="s">
        <v>58</v>
      </c>
      <c r="S72" s="14">
        <v>0.7</v>
      </c>
      <c r="T72" s="5" t="s">
        <v>60</v>
      </c>
      <c r="U72" s="5" t="s">
        <v>317</v>
      </c>
      <c r="V72" s="7">
        <v>13.3</v>
      </c>
      <c r="W72" s="5" t="s">
        <v>263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5">
        <v>2030129459</v>
      </c>
      <c r="B73" s="5" t="s">
        <v>359</v>
      </c>
      <c r="C73" s="5" t="s">
        <v>639</v>
      </c>
      <c r="D73" s="5" t="str">
        <f t="shared" si="4"/>
        <v>BENJAMIN ANGELA</v>
      </c>
      <c r="E73" s="5" t="s">
        <v>348</v>
      </c>
      <c r="F73" s="5" t="s">
        <v>262</v>
      </c>
      <c r="G73" s="5" t="s">
        <v>263</v>
      </c>
      <c r="H73" s="5">
        <v>21421111</v>
      </c>
      <c r="I73" s="5" t="s">
        <v>148</v>
      </c>
      <c r="J73" s="5" t="s">
        <v>149</v>
      </c>
      <c r="K73" s="5" t="str">
        <f t="shared" si="5"/>
        <v>Kirk Tigue</v>
      </c>
      <c r="L73" s="6">
        <v>45863</v>
      </c>
      <c r="M73" s="6">
        <v>46016</v>
      </c>
      <c r="N73" s="5">
        <f t="shared" si="6"/>
        <v>5</v>
      </c>
      <c r="O73" s="5" t="s">
        <v>316</v>
      </c>
      <c r="P73" s="5" t="s">
        <v>736</v>
      </c>
      <c r="Q73" s="7">
        <v>30.68</v>
      </c>
      <c r="R73" s="5" t="s">
        <v>58</v>
      </c>
      <c r="S73" s="14">
        <v>0.7</v>
      </c>
      <c r="T73" s="5" t="s">
        <v>60</v>
      </c>
      <c r="U73" s="5" t="s">
        <v>317</v>
      </c>
      <c r="V73" s="7">
        <v>21.48</v>
      </c>
      <c r="W73" s="5" t="s">
        <v>263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5">
        <v>2029992083</v>
      </c>
      <c r="B74" s="5" t="s">
        <v>183</v>
      </c>
      <c r="C74" s="5" t="s">
        <v>633</v>
      </c>
      <c r="D74" s="5" t="str">
        <f t="shared" si="4"/>
        <v>HICKS LA</v>
      </c>
      <c r="E74" s="5" t="s">
        <v>64</v>
      </c>
      <c r="F74" s="5" t="s">
        <v>262</v>
      </c>
      <c r="G74" s="5" t="s">
        <v>263</v>
      </c>
      <c r="H74" s="5">
        <v>21436172</v>
      </c>
      <c r="I74" s="5" t="s">
        <v>256</v>
      </c>
      <c r="J74" s="5" t="s">
        <v>257</v>
      </c>
      <c r="K74" s="5" t="str">
        <f t="shared" si="5"/>
        <v>Latesha Rose</v>
      </c>
      <c r="L74" s="6">
        <v>45860</v>
      </c>
      <c r="M74" s="6">
        <v>46013</v>
      </c>
      <c r="N74" s="5">
        <f t="shared" si="6"/>
        <v>5</v>
      </c>
      <c r="O74" s="5" t="s">
        <v>316</v>
      </c>
      <c r="P74" s="5" t="s">
        <v>736</v>
      </c>
      <c r="Q74" s="7">
        <v>84.57</v>
      </c>
      <c r="R74" s="5" t="s">
        <v>58</v>
      </c>
      <c r="S74" s="14">
        <v>0.7</v>
      </c>
      <c r="T74" s="5" t="s">
        <v>60</v>
      </c>
      <c r="U74" s="5" t="s">
        <v>317</v>
      </c>
      <c r="V74" s="7">
        <v>59.2</v>
      </c>
      <c r="W74" s="5" t="s">
        <v>263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5">
        <v>2030114522</v>
      </c>
      <c r="B75" s="5" t="s">
        <v>637</v>
      </c>
      <c r="C75" s="5" t="s">
        <v>638</v>
      </c>
      <c r="D75" s="5" t="str">
        <f t="shared" si="4"/>
        <v>HOUSE MARCIE</v>
      </c>
      <c r="E75" s="5" t="s">
        <v>64</v>
      </c>
      <c r="F75" s="5" t="s">
        <v>262</v>
      </c>
      <c r="G75" s="5" t="s">
        <v>263</v>
      </c>
      <c r="H75" s="5">
        <v>21436172</v>
      </c>
      <c r="I75" s="5" t="s">
        <v>256</v>
      </c>
      <c r="J75" s="5" t="s">
        <v>257</v>
      </c>
      <c r="K75" s="5" t="str">
        <f t="shared" si="5"/>
        <v>Latesha Rose</v>
      </c>
      <c r="L75" s="6">
        <v>45863</v>
      </c>
      <c r="M75" s="6">
        <v>46016</v>
      </c>
      <c r="N75" s="5">
        <f t="shared" si="6"/>
        <v>5</v>
      </c>
      <c r="O75" s="5" t="s">
        <v>316</v>
      </c>
      <c r="P75" s="5" t="s">
        <v>736</v>
      </c>
      <c r="Q75" s="7">
        <v>207.64</v>
      </c>
      <c r="R75" s="5" t="s">
        <v>58</v>
      </c>
      <c r="S75" s="14">
        <v>0.7</v>
      </c>
      <c r="T75" s="5" t="s">
        <v>60</v>
      </c>
      <c r="U75" s="5" t="s">
        <v>317</v>
      </c>
      <c r="V75" s="7">
        <v>145.35</v>
      </c>
      <c r="W75" s="5" t="s">
        <v>263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5">
        <v>2030076096</v>
      </c>
      <c r="B76" s="5" t="s">
        <v>634</v>
      </c>
      <c r="C76" s="5" t="s">
        <v>498</v>
      </c>
      <c r="D76" s="5" t="str">
        <f t="shared" si="4"/>
        <v>ZANA NASANJARGAL</v>
      </c>
      <c r="E76" s="5" t="s">
        <v>64</v>
      </c>
      <c r="F76" s="5" t="s">
        <v>262</v>
      </c>
      <c r="G76" s="5" t="s">
        <v>263</v>
      </c>
      <c r="H76" s="5">
        <v>20220688</v>
      </c>
      <c r="I76" s="5" t="s">
        <v>498</v>
      </c>
      <c r="J76" s="5" t="s">
        <v>499</v>
      </c>
      <c r="K76" s="5" t="str">
        <f t="shared" si="5"/>
        <v>NASANDELGER ZANA</v>
      </c>
      <c r="L76" s="6">
        <v>45860</v>
      </c>
      <c r="M76" s="6">
        <v>46013</v>
      </c>
      <c r="N76" s="5">
        <f t="shared" si="6"/>
        <v>5</v>
      </c>
      <c r="O76" s="5" t="s">
        <v>316</v>
      </c>
      <c r="P76" s="5" t="s">
        <v>736</v>
      </c>
      <c r="Q76" s="7">
        <v>34</v>
      </c>
      <c r="R76" s="5" t="s">
        <v>58</v>
      </c>
      <c r="S76" s="14">
        <v>0.7</v>
      </c>
      <c r="T76" s="5" t="s">
        <v>60</v>
      </c>
      <c r="U76" s="5" t="s">
        <v>317</v>
      </c>
      <c r="V76" s="7">
        <v>23.8</v>
      </c>
      <c r="W76" s="5" t="s">
        <v>263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s="5" customFormat="1" x14ac:dyDescent="0.25">
      <c r="A77" s="5">
        <v>2030113890</v>
      </c>
      <c r="B77" s="5" t="s">
        <v>518</v>
      </c>
      <c r="C77" s="5" t="s">
        <v>519</v>
      </c>
      <c r="D77" s="5" t="str">
        <f t="shared" si="4"/>
        <v>THORNTON DAWN</v>
      </c>
      <c r="E77" s="5" t="s">
        <v>310</v>
      </c>
      <c r="F77" s="5" t="s">
        <v>262</v>
      </c>
      <c r="G77" s="5" t="s">
        <v>263</v>
      </c>
      <c r="H77" s="5">
        <v>371819</v>
      </c>
      <c r="I77" s="5" t="s">
        <v>156</v>
      </c>
      <c r="J77" s="5" t="s">
        <v>157</v>
      </c>
      <c r="K77" s="5" t="str">
        <f t="shared" si="5"/>
        <v>THOMAS PARDUE</v>
      </c>
      <c r="L77" s="6">
        <v>45862</v>
      </c>
      <c r="M77" s="6">
        <v>46015</v>
      </c>
      <c r="N77" s="5">
        <f t="shared" si="6"/>
        <v>5</v>
      </c>
      <c r="O77" s="5" t="s">
        <v>316</v>
      </c>
      <c r="P77" s="5" t="s">
        <v>736</v>
      </c>
      <c r="Q77" s="7">
        <v>16.510000000000002</v>
      </c>
      <c r="R77" s="5" t="s">
        <v>58</v>
      </c>
      <c r="S77" s="14">
        <v>0.7</v>
      </c>
      <c r="T77" s="5" t="s">
        <v>60</v>
      </c>
      <c r="U77" s="5" t="s">
        <v>317</v>
      </c>
      <c r="V77" s="7">
        <v>11.56</v>
      </c>
      <c r="W77" s="5" t="s">
        <v>263</v>
      </c>
    </row>
    <row r="78" spans="1:53" s="5" customFormat="1" x14ac:dyDescent="0.25">
      <c r="A78" s="5">
        <v>2030108809</v>
      </c>
      <c r="B78" s="5" t="s">
        <v>383</v>
      </c>
      <c r="C78" s="5" t="s">
        <v>384</v>
      </c>
      <c r="D78" s="5" t="str">
        <f t="shared" si="4"/>
        <v>CARR LAUREN</v>
      </c>
      <c r="E78" s="5" t="s">
        <v>109</v>
      </c>
      <c r="F78" s="5" t="s">
        <v>262</v>
      </c>
      <c r="G78" s="5" t="s">
        <v>263</v>
      </c>
      <c r="H78" s="5">
        <v>21313588</v>
      </c>
      <c r="I78" s="5" t="s">
        <v>243</v>
      </c>
      <c r="J78" s="5" t="s">
        <v>81</v>
      </c>
      <c r="K78" s="5" t="str">
        <f t="shared" si="5"/>
        <v>WILLIAM GESKE</v>
      </c>
      <c r="L78" s="6">
        <v>45862</v>
      </c>
      <c r="M78" s="6">
        <v>46015</v>
      </c>
      <c r="N78" s="5">
        <f t="shared" si="6"/>
        <v>5</v>
      </c>
      <c r="O78" s="5" t="s">
        <v>316</v>
      </c>
      <c r="P78" s="5" t="s">
        <v>736</v>
      </c>
      <c r="Q78" s="7">
        <v>9.1</v>
      </c>
      <c r="R78" s="5" t="s">
        <v>58</v>
      </c>
      <c r="S78" s="14">
        <v>0.7</v>
      </c>
      <c r="T78" s="5" t="s">
        <v>60</v>
      </c>
      <c r="U78" s="5" t="s">
        <v>317</v>
      </c>
      <c r="V78" s="7">
        <v>6.37</v>
      </c>
      <c r="W78" s="5" t="s">
        <v>263</v>
      </c>
    </row>
    <row r="79" spans="1:53" s="5" customFormat="1" x14ac:dyDescent="0.25">
      <c r="A79" s="5">
        <v>2030084096</v>
      </c>
      <c r="B79" s="5" t="s">
        <v>635</v>
      </c>
      <c r="C79" s="5" t="s">
        <v>636</v>
      </c>
      <c r="D79" s="5" t="str">
        <f t="shared" si="4"/>
        <v>WEASE MIKE</v>
      </c>
      <c r="E79" s="5" t="s">
        <v>64</v>
      </c>
      <c r="F79" s="5" t="s">
        <v>262</v>
      </c>
      <c r="G79" s="5" t="s">
        <v>302</v>
      </c>
      <c r="H79" s="5">
        <v>17143996</v>
      </c>
      <c r="I79" s="5" t="s">
        <v>227</v>
      </c>
      <c r="J79" s="5" t="s">
        <v>228</v>
      </c>
      <c r="K79" s="5" t="str">
        <f t="shared" si="5"/>
        <v>James Allen</v>
      </c>
      <c r="L79" s="6">
        <v>45862</v>
      </c>
      <c r="M79" s="6">
        <v>46015</v>
      </c>
      <c r="N79" s="5">
        <f t="shared" si="6"/>
        <v>5</v>
      </c>
      <c r="O79" s="5" t="s">
        <v>316</v>
      </c>
      <c r="P79" s="5" t="s">
        <v>736</v>
      </c>
      <c r="Q79" s="7">
        <v>25.08</v>
      </c>
      <c r="R79" s="5" t="s">
        <v>58</v>
      </c>
      <c r="S79" s="14">
        <v>0.42</v>
      </c>
      <c r="T79" s="5" t="s">
        <v>60</v>
      </c>
      <c r="U79" s="5" t="s">
        <v>317</v>
      </c>
      <c r="V79" s="7">
        <v>10.53</v>
      </c>
      <c r="W79" s="5" t="s">
        <v>302</v>
      </c>
    </row>
    <row r="80" spans="1:53" s="5" customFormat="1" x14ac:dyDescent="0.25">
      <c r="A80" s="5">
        <v>2030108811</v>
      </c>
      <c r="B80" s="5" t="s">
        <v>383</v>
      </c>
      <c r="C80" s="5" t="s">
        <v>384</v>
      </c>
      <c r="D80" s="5" t="str">
        <f t="shared" si="4"/>
        <v>CARR LAUREN</v>
      </c>
      <c r="E80" s="5" t="s">
        <v>109</v>
      </c>
      <c r="F80" s="5" t="s">
        <v>258</v>
      </c>
      <c r="G80" s="5" t="s">
        <v>259</v>
      </c>
      <c r="H80" s="5">
        <v>21313588</v>
      </c>
      <c r="I80" s="5" t="s">
        <v>243</v>
      </c>
      <c r="J80" s="5" t="s">
        <v>81</v>
      </c>
      <c r="K80" s="5" t="str">
        <f t="shared" si="5"/>
        <v>WILLIAM GESKE</v>
      </c>
      <c r="L80" s="6">
        <v>45862</v>
      </c>
      <c r="M80" s="6">
        <v>46015</v>
      </c>
      <c r="N80" s="5">
        <f t="shared" si="6"/>
        <v>5</v>
      </c>
      <c r="O80" s="5" t="s">
        <v>316</v>
      </c>
      <c r="P80" s="5" t="s">
        <v>736</v>
      </c>
      <c r="Q80" s="7">
        <v>16.91</v>
      </c>
      <c r="R80" s="5" t="s">
        <v>58</v>
      </c>
      <c r="S80" s="14">
        <v>0.38</v>
      </c>
      <c r="T80" s="5" t="s">
        <v>60</v>
      </c>
      <c r="U80" s="5" t="s">
        <v>317</v>
      </c>
      <c r="V80" s="7">
        <v>6.43</v>
      </c>
      <c r="W80" s="5" t="s">
        <v>259</v>
      </c>
    </row>
    <row r="81" spans="1:53" s="5" customFormat="1" x14ac:dyDescent="0.25">
      <c r="A81" s="5">
        <v>2030113889</v>
      </c>
      <c r="B81" s="5" t="s">
        <v>518</v>
      </c>
      <c r="C81" s="5" t="s">
        <v>519</v>
      </c>
      <c r="D81" s="5" t="str">
        <f t="shared" si="4"/>
        <v>THORNTON DAWN</v>
      </c>
      <c r="E81" s="5" t="s">
        <v>310</v>
      </c>
      <c r="F81" s="5" t="s">
        <v>196</v>
      </c>
      <c r="G81" s="5" t="s">
        <v>197</v>
      </c>
      <c r="H81" s="5">
        <v>371819</v>
      </c>
      <c r="I81" s="5" t="s">
        <v>156</v>
      </c>
      <c r="J81" s="5" t="s">
        <v>157</v>
      </c>
      <c r="K81" s="5" t="str">
        <f t="shared" si="5"/>
        <v>THOMAS PARDUE</v>
      </c>
      <c r="L81" s="6">
        <v>45862</v>
      </c>
      <c r="M81" s="6">
        <v>46015</v>
      </c>
      <c r="N81" s="5">
        <f t="shared" si="6"/>
        <v>5</v>
      </c>
      <c r="O81" s="5" t="s">
        <v>316</v>
      </c>
      <c r="P81" s="5" t="s">
        <v>736</v>
      </c>
      <c r="Q81" s="7">
        <v>62.71</v>
      </c>
      <c r="R81" s="5" t="s">
        <v>58</v>
      </c>
      <c r="S81" s="15">
        <v>0.375</v>
      </c>
      <c r="T81" s="5" t="s">
        <v>60</v>
      </c>
      <c r="U81" s="5" t="s">
        <v>317</v>
      </c>
      <c r="V81" s="7">
        <v>23.52</v>
      </c>
      <c r="W81" s="5" t="s">
        <v>197</v>
      </c>
    </row>
    <row r="82" spans="1:53" s="5" customFormat="1" x14ac:dyDescent="0.25">
      <c r="A82" s="5">
        <v>2030108808</v>
      </c>
      <c r="B82" s="5" t="s">
        <v>383</v>
      </c>
      <c r="C82" s="5" t="s">
        <v>384</v>
      </c>
      <c r="D82" s="5" t="str">
        <f t="shared" si="4"/>
        <v>CARR LAUREN</v>
      </c>
      <c r="E82" s="5" t="s">
        <v>109</v>
      </c>
      <c r="F82" s="5" t="s">
        <v>196</v>
      </c>
      <c r="G82" s="5" t="s">
        <v>197</v>
      </c>
      <c r="H82" s="5">
        <v>21313588</v>
      </c>
      <c r="I82" s="5" t="s">
        <v>243</v>
      </c>
      <c r="J82" s="5" t="s">
        <v>81</v>
      </c>
      <c r="K82" s="5" t="str">
        <f t="shared" si="5"/>
        <v>WILLIAM GESKE</v>
      </c>
      <c r="L82" s="6">
        <v>45862</v>
      </c>
      <c r="M82" s="6">
        <v>46015</v>
      </c>
      <c r="N82" s="5">
        <f t="shared" si="6"/>
        <v>5</v>
      </c>
      <c r="O82" s="5" t="s">
        <v>316</v>
      </c>
      <c r="P82" s="5" t="s">
        <v>736</v>
      </c>
      <c r="Q82" s="7">
        <v>47.28</v>
      </c>
      <c r="R82" s="5" t="s">
        <v>58</v>
      </c>
      <c r="S82" s="15">
        <v>0.375</v>
      </c>
      <c r="T82" s="5" t="s">
        <v>60</v>
      </c>
      <c r="U82" s="5" t="s">
        <v>317</v>
      </c>
      <c r="V82" s="7">
        <v>17.73</v>
      </c>
      <c r="W82" s="5" t="s">
        <v>197</v>
      </c>
    </row>
    <row r="83" spans="1:53" x14ac:dyDescent="0.25">
      <c r="A83" s="5">
        <v>2029620629</v>
      </c>
      <c r="B83" s="5" t="s">
        <v>375</v>
      </c>
      <c r="C83" s="5" t="s">
        <v>376</v>
      </c>
      <c r="D83" s="5" t="str">
        <f t="shared" si="4"/>
        <v>CETRE CARLOS</v>
      </c>
      <c r="E83" s="5" t="s">
        <v>64</v>
      </c>
      <c r="F83" s="5" t="s">
        <v>89</v>
      </c>
      <c r="G83" s="5" t="s">
        <v>96</v>
      </c>
      <c r="H83" s="5">
        <v>7470776</v>
      </c>
      <c r="I83" s="5" t="s">
        <v>115</v>
      </c>
      <c r="J83" s="5" t="s">
        <v>116</v>
      </c>
      <c r="K83" s="5" t="str">
        <f t="shared" si="5"/>
        <v>Andrew Choi</v>
      </c>
      <c r="L83" s="6">
        <v>45833</v>
      </c>
      <c r="M83" s="6">
        <v>46016</v>
      </c>
      <c r="N83" s="5">
        <f t="shared" si="6"/>
        <v>6</v>
      </c>
      <c r="O83" s="5" t="s">
        <v>316</v>
      </c>
      <c r="P83" s="5" t="s">
        <v>727</v>
      </c>
      <c r="Q83" s="7">
        <v>145.06</v>
      </c>
      <c r="R83" s="5" t="s">
        <v>58</v>
      </c>
      <c r="S83" s="14">
        <v>0.9</v>
      </c>
      <c r="T83" s="5" t="s">
        <v>60</v>
      </c>
      <c r="U83" s="5" t="s">
        <v>317</v>
      </c>
      <c r="V83" s="7">
        <v>130.55000000000001</v>
      </c>
      <c r="W83" s="5" t="s">
        <v>722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5">
        <v>2029647651</v>
      </c>
      <c r="B84" s="5" t="s">
        <v>624</v>
      </c>
      <c r="C84" s="5" t="s">
        <v>625</v>
      </c>
      <c r="D84" s="5" t="str">
        <f t="shared" si="4"/>
        <v>ERDENE TERGUUNBAYAR</v>
      </c>
      <c r="E84" s="5" t="s">
        <v>64</v>
      </c>
      <c r="F84" s="5" t="s">
        <v>262</v>
      </c>
      <c r="G84" s="5" t="s">
        <v>265</v>
      </c>
      <c r="H84" s="5">
        <v>20220688</v>
      </c>
      <c r="I84" s="5" t="s">
        <v>498</v>
      </c>
      <c r="J84" s="5" t="s">
        <v>499</v>
      </c>
      <c r="K84" s="5" t="str">
        <f t="shared" si="5"/>
        <v>NASANDELGER ZANA</v>
      </c>
      <c r="L84" s="6">
        <v>45834</v>
      </c>
      <c r="M84" s="6">
        <v>46017</v>
      </c>
      <c r="N84" s="5">
        <f t="shared" si="6"/>
        <v>6</v>
      </c>
      <c r="O84" s="5" t="s">
        <v>316</v>
      </c>
      <c r="P84" s="5" t="s">
        <v>727</v>
      </c>
      <c r="Q84" s="7">
        <v>17.62</v>
      </c>
      <c r="R84" s="5" t="s">
        <v>58</v>
      </c>
      <c r="S84" s="14">
        <v>0.9</v>
      </c>
      <c r="T84" s="5" t="s">
        <v>60</v>
      </c>
      <c r="U84" s="5" t="s">
        <v>317</v>
      </c>
      <c r="V84" s="7">
        <v>15.86</v>
      </c>
      <c r="W84" s="5" t="s">
        <v>265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5">
        <v>2029620630</v>
      </c>
      <c r="B85" s="5" t="s">
        <v>375</v>
      </c>
      <c r="C85" s="5" t="s">
        <v>376</v>
      </c>
      <c r="D85" s="5" t="str">
        <f t="shared" si="4"/>
        <v>CETRE CARLOS</v>
      </c>
      <c r="E85" s="5" t="s">
        <v>64</v>
      </c>
      <c r="F85" s="5" t="s">
        <v>262</v>
      </c>
      <c r="G85" s="5" t="s">
        <v>263</v>
      </c>
      <c r="H85" s="5">
        <v>7470776</v>
      </c>
      <c r="I85" s="5" t="s">
        <v>115</v>
      </c>
      <c r="J85" s="5" t="s">
        <v>116</v>
      </c>
      <c r="K85" s="5" t="str">
        <f t="shared" si="5"/>
        <v>Andrew Choi</v>
      </c>
      <c r="L85" s="6">
        <v>45833</v>
      </c>
      <c r="M85" s="6">
        <v>46016</v>
      </c>
      <c r="N85" s="5">
        <f t="shared" si="6"/>
        <v>6</v>
      </c>
      <c r="O85" s="5" t="s">
        <v>316</v>
      </c>
      <c r="P85" s="5" t="s">
        <v>727</v>
      </c>
      <c r="Q85" s="7">
        <v>11.5</v>
      </c>
      <c r="R85" s="5" t="s">
        <v>58</v>
      </c>
      <c r="S85" s="14">
        <v>0.7</v>
      </c>
      <c r="T85" s="5" t="s">
        <v>60</v>
      </c>
      <c r="U85" s="5" t="s">
        <v>317</v>
      </c>
      <c r="V85" s="7">
        <v>8.0500000000000007</v>
      </c>
      <c r="W85" s="5" t="s">
        <v>263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s="5" customFormat="1" x14ac:dyDescent="0.25">
      <c r="A86" s="5">
        <v>2029623277</v>
      </c>
      <c r="B86" s="5" t="s">
        <v>431</v>
      </c>
      <c r="C86" s="5" t="s">
        <v>432</v>
      </c>
      <c r="D86" s="5" t="str">
        <f t="shared" si="4"/>
        <v>KNOEBEL ETHAN</v>
      </c>
      <c r="E86" s="5" t="s">
        <v>64</v>
      </c>
      <c r="F86" s="5" t="s">
        <v>262</v>
      </c>
      <c r="G86" s="5" t="s">
        <v>263</v>
      </c>
      <c r="H86" s="5">
        <v>7146581</v>
      </c>
      <c r="I86" s="5" t="s">
        <v>433</v>
      </c>
      <c r="J86" s="5" t="s">
        <v>434</v>
      </c>
      <c r="K86" s="5" t="str">
        <f t="shared" si="5"/>
        <v>Anthony Hunsberger</v>
      </c>
      <c r="L86" s="6">
        <v>45833</v>
      </c>
      <c r="M86" s="6">
        <v>46016</v>
      </c>
      <c r="N86" s="5">
        <f t="shared" si="6"/>
        <v>6</v>
      </c>
      <c r="O86" s="5" t="s">
        <v>316</v>
      </c>
      <c r="P86" s="5" t="s">
        <v>727</v>
      </c>
      <c r="Q86" s="7">
        <v>56.5</v>
      </c>
      <c r="R86" s="5" t="s">
        <v>58</v>
      </c>
      <c r="S86" s="14">
        <v>0.7</v>
      </c>
      <c r="T86" s="5" t="s">
        <v>60</v>
      </c>
      <c r="U86" s="5" t="s">
        <v>317</v>
      </c>
      <c r="V86" s="7">
        <v>39.549999999999997</v>
      </c>
      <c r="W86" s="5" t="s">
        <v>263</v>
      </c>
    </row>
    <row r="87" spans="1:53" x14ac:dyDescent="0.25">
      <c r="A87" s="5">
        <v>2029598584</v>
      </c>
      <c r="B87" s="5" t="s">
        <v>622</v>
      </c>
      <c r="C87" s="5" t="s">
        <v>623</v>
      </c>
      <c r="D87" s="5" t="str">
        <f t="shared" si="4"/>
        <v>SUKHBAATAR SUVDAA</v>
      </c>
      <c r="E87" s="5" t="s">
        <v>64</v>
      </c>
      <c r="F87" s="5" t="s">
        <v>262</v>
      </c>
      <c r="G87" s="5" t="s">
        <v>263</v>
      </c>
      <c r="H87" s="5">
        <v>20220688</v>
      </c>
      <c r="I87" s="5" t="s">
        <v>498</v>
      </c>
      <c r="J87" s="5" t="s">
        <v>499</v>
      </c>
      <c r="K87" s="5" t="str">
        <f t="shared" si="5"/>
        <v>NASANDELGER ZANA</v>
      </c>
      <c r="L87" s="6">
        <v>45832</v>
      </c>
      <c r="M87" s="6">
        <v>46015</v>
      </c>
      <c r="N87" s="5">
        <f t="shared" si="6"/>
        <v>6</v>
      </c>
      <c r="O87" s="5" t="s">
        <v>316</v>
      </c>
      <c r="P87" s="5" t="s">
        <v>727</v>
      </c>
      <c r="Q87" s="7">
        <v>90.45</v>
      </c>
      <c r="R87" s="5" t="s">
        <v>58</v>
      </c>
      <c r="S87" s="14">
        <v>0.7</v>
      </c>
      <c r="T87" s="5" t="s">
        <v>60</v>
      </c>
      <c r="U87" s="5" t="s">
        <v>317</v>
      </c>
      <c r="V87" s="7">
        <v>63.3</v>
      </c>
      <c r="W87" s="5" t="s">
        <v>263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5">
        <v>2029690468</v>
      </c>
      <c r="B88" s="5" t="s">
        <v>626</v>
      </c>
      <c r="C88" s="5" t="s">
        <v>627</v>
      </c>
      <c r="D88" s="5" t="str">
        <f t="shared" si="4"/>
        <v>SPENCER EDWARD</v>
      </c>
      <c r="E88" s="5" t="s">
        <v>135</v>
      </c>
      <c r="F88" s="5" t="s">
        <v>262</v>
      </c>
      <c r="G88" s="5" t="s">
        <v>263</v>
      </c>
      <c r="H88" s="5">
        <v>19200754</v>
      </c>
      <c r="I88" s="5" t="s">
        <v>443</v>
      </c>
      <c r="J88" s="5" t="s">
        <v>444</v>
      </c>
      <c r="K88" s="5" t="str">
        <f t="shared" si="5"/>
        <v>RICARDO SANTOS</v>
      </c>
      <c r="L88" s="6">
        <v>45836</v>
      </c>
      <c r="M88" s="6">
        <v>46019</v>
      </c>
      <c r="N88" s="5">
        <f t="shared" si="6"/>
        <v>6</v>
      </c>
      <c r="O88" s="5" t="s">
        <v>316</v>
      </c>
      <c r="P88" s="5" t="s">
        <v>727</v>
      </c>
      <c r="Q88" s="7">
        <v>164.81</v>
      </c>
      <c r="R88" s="5" t="s">
        <v>58</v>
      </c>
      <c r="S88" s="14">
        <v>0.7</v>
      </c>
      <c r="T88" s="5" t="s">
        <v>60</v>
      </c>
      <c r="U88" s="5" t="s">
        <v>317</v>
      </c>
      <c r="V88" s="7">
        <v>115.36</v>
      </c>
      <c r="W88" s="5" t="s">
        <v>263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5">
        <v>2029620627</v>
      </c>
      <c r="B89" s="5" t="s">
        <v>375</v>
      </c>
      <c r="C89" s="5" t="s">
        <v>376</v>
      </c>
      <c r="D89" s="5" t="str">
        <f t="shared" si="4"/>
        <v>CETRE CARLOS</v>
      </c>
      <c r="E89" s="5" t="s">
        <v>64</v>
      </c>
      <c r="F89" s="5" t="s">
        <v>258</v>
      </c>
      <c r="G89" s="5" t="s">
        <v>260</v>
      </c>
      <c r="H89" s="5">
        <v>7470776</v>
      </c>
      <c r="I89" s="5" t="s">
        <v>115</v>
      </c>
      <c r="J89" s="5" t="s">
        <v>116</v>
      </c>
      <c r="K89" s="5" t="str">
        <f t="shared" si="5"/>
        <v>Andrew Choi</v>
      </c>
      <c r="L89" s="6">
        <v>45833</v>
      </c>
      <c r="M89" s="6">
        <v>46016</v>
      </c>
      <c r="N89" s="5">
        <f t="shared" si="6"/>
        <v>6</v>
      </c>
      <c r="O89" s="5" t="s">
        <v>316</v>
      </c>
      <c r="P89" s="5" t="s">
        <v>727</v>
      </c>
      <c r="Q89" s="7">
        <v>226.98</v>
      </c>
      <c r="R89" s="5" t="s">
        <v>58</v>
      </c>
      <c r="S89" s="14">
        <v>0.38</v>
      </c>
      <c r="T89" s="5" t="s">
        <v>60</v>
      </c>
      <c r="U89" s="5" t="s">
        <v>317</v>
      </c>
      <c r="V89" s="7">
        <v>86.25</v>
      </c>
      <c r="W89" s="5" t="s">
        <v>260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5">
        <v>2029623274</v>
      </c>
      <c r="B90" s="5" t="s">
        <v>431</v>
      </c>
      <c r="C90" s="5" t="s">
        <v>432</v>
      </c>
      <c r="D90" s="5" t="str">
        <f t="shared" si="4"/>
        <v>KNOEBEL ETHAN</v>
      </c>
      <c r="E90" s="5" t="s">
        <v>64</v>
      </c>
      <c r="F90" s="5" t="s">
        <v>258</v>
      </c>
      <c r="G90" s="5" t="s">
        <v>260</v>
      </c>
      <c r="H90" s="5">
        <v>7146581</v>
      </c>
      <c r="I90" s="5" t="s">
        <v>433</v>
      </c>
      <c r="J90" s="5" t="s">
        <v>434</v>
      </c>
      <c r="K90" s="5" t="str">
        <f t="shared" si="5"/>
        <v>Anthony Hunsberger</v>
      </c>
      <c r="L90" s="6">
        <v>45833</v>
      </c>
      <c r="M90" s="6">
        <v>46016</v>
      </c>
      <c r="N90" s="5">
        <f t="shared" si="6"/>
        <v>6</v>
      </c>
      <c r="O90" s="5" t="s">
        <v>316</v>
      </c>
      <c r="P90" s="5" t="s">
        <v>727</v>
      </c>
      <c r="Q90" s="7">
        <v>172.55</v>
      </c>
      <c r="R90" s="5" t="s">
        <v>58</v>
      </c>
      <c r="S90" s="14">
        <v>0.38</v>
      </c>
      <c r="T90" s="5" t="s">
        <v>60</v>
      </c>
      <c r="U90" s="5" t="s">
        <v>317</v>
      </c>
      <c r="V90" s="7">
        <v>65.56</v>
      </c>
      <c r="W90" s="5" t="s">
        <v>260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5">
        <v>2029620628</v>
      </c>
      <c r="B91" s="5" t="s">
        <v>375</v>
      </c>
      <c r="C91" s="5" t="s">
        <v>376</v>
      </c>
      <c r="D91" s="5" t="str">
        <f t="shared" si="4"/>
        <v>CETRE CARLOS</v>
      </c>
      <c r="E91" s="5" t="s">
        <v>64</v>
      </c>
      <c r="F91" s="5" t="s">
        <v>258</v>
      </c>
      <c r="G91" s="5" t="s">
        <v>261</v>
      </c>
      <c r="H91" s="5">
        <v>7470776</v>
      </c>
      <c r="I91" s="5" t="s">
        <v>115</v>
      </c>
      <c r="J91" s="5" t="s">
        <v>116</v>
      </c>
      <c r="K91" s="5" t="str">
        <f t="shared" si="5"/>
        <v>Andrew Choi</v>
      </c>
      <c r="L91" s="6">
        <v>45833</v>
      </c>
      <c r="M91" s="6">
        <v>46016</v>
      </c>
      <c r="N91" s="5">
        <f t="shared" si="6"/>
        <v>6</v>
      </c>
      <c r="O91" s="5" t="s">
        <v>316</v>
      </c>
      <c r="P91" s="5" t="s">
        <v>727</v>
      </c>
      <c r="Q91" s="7">
        <v>7.09</v>
      </c>
      <c r="R91" s="5" t="s">
        <v>58</v>
      </c>
      <c r="S91" s="14">
        <v>0.38</v>
      </c>
      <c r="T91" s="5" t="s">
        <v>60</v>
      </c>
      <c r="U91" s="5" t="s">
        <v>317</v>
      </c>
      <c r="V91" s="7">
        <v>2.69</v>
      </c>
      <c r="W91" s="5" t="s">
        <v>260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5">
        <v>2029623275</v>
      </c>
      <c r="B92" s="5" t="s">
        <v>431</v>
      </c>
      <c r="C92" s="5" t="s">
        <v>432</v>
      </c>
      <c r="D92" s="5" t="str">
        <f t="shared" si="4"/>
        <v>KNOEBEL ETHAN</v>
      </c>
      <c r="E92" s="5" t="s">
        <v>64</v>
      </c>
      <c r="F92" s="5" t="s">
        <v>258</v>
      </c>
      <c r="G92" s="5" t="s">
        <v>261</v>
      </c>
      <c r="H92" s="5">
        <v>7146581</v>
      </c>
      <c r="I92" s="5" t="s">
        <v>433</v>
      </c>
      <c r="J92" s="5" t="s">
        <v>434</v>
      </c>
      <c r="K92" s="5" t="str">
        <f t="shared" si="5"/>
        <v>Anthony Hunsberger</v>
      </c>
      <c r="L92" s="6">
        <v>45833</v>
      </c>
      <c r="M92" s="6">
        <v>46016</v>
      </c>
      <c r="N92" s="5">
        <f t="shared" si="6"/>
        <v>6</v>
      </c>
      <c r="O92" s="5" t="s">
        <v>316</v>
      </c>
      <c r="P92" s="5" t="s">
        <v>727</v>
      </c>
      <c r="Q92" s="7">
        <v>7.09</v>
      </c>
      <c r="R92" s="5" t="s">
        <v>58</v>
      </c>
      <c r="S92" s="14">
        <v>0.38</v>
      </c>
      <c r="T92" s="5" t="s">
        <v>60</v>
      </c>
      <c r="U92" s="5" t="s">
        <v>317</v>
      </c>
      <c r="V92" s="7">
        <v>2.69</v>
      </c>
      <c r="W92" s="5" t="s">
        <v>260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5">
        <v>2029620631</v>
      </c>
      <c r="B93" s="5" t="s">
        <v>375</v>
      </c>
      <c r="C93" s="5" t="s">
        <v>376</v>
      </c>
      <c r="D93" s="5" t="str">
        <f t="shared" si="4"/>
        <v>CETRE CARLOS</v>
      </c>
      <c r="E93" s="5" t="s">
        <v>64</v>
      </c>
      <c r="F93" s="5" t="s">
        <v>160</v>
      </c>
      <c r="G93" s="5" t="s">
        <v>180</v>
      </c>
      <c r="H93" s="5">
        <v>7470776</v>
      </c>
      <c r="I93" s="5" t="s">
        <v>115</v>
      </c>
      <c r="J93" s="5" t="s">
        <v>116</v>
      </c>
      <c r="K93" s="5" t="str">
        <f t="shared" si="5"/>
        <v>Andrew Choi</v>
      </c>
      <c r="L93" s="6">
        <v>45833</v>
      </c>
      <c r="M93" s="6">
        <v>46016</v>
      </c>
      <c r="N93" s="5">
        <f t="shared" si="6"/>
        <v>6</v>
      </c>
      <c r="O93" s="5" t="s">
        <v>316</v>
      </c>
      <c r="P93" s="5" t="s">
        <v>727</v>
      </c>
      <c r="Q93" s="7">
        <v>15</v>
      </c>
      <c r="R93" s="5" t="s">
        <v>58</v>
      </c>
      <c r="S93" s="14">
        <v>0.38</v>
      </c>
      <c r="T93" s="5" t="s">
        <v>60</v>
      </c>
      <c r="U93" s="5" t="s">
        <v>317</v>
      </c>
      <c r="V93" s="7">
        <v>5.7</v>
      </c>
      <c r="W93" s="5" t="s">
        <v>180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5">
        <v>2029623278</v>
      </c>
      <c r="B94" s="5" t="s">
        <v>431</v>
      </c>
      <c r="C94" s="5" t="s">
        <v>432</v>
      </c>
      <c r="D94" s="5" t="str">
        <f t="shared" si="4"/>
        <v>KNOEBEL ETHAN</v>
      </c>
      <c r="E94" s="5" t="s">
        <v>64</v>
      </c>
      <c r="F94" s="5" t="s">
        <v>160</v>
      </c>
      <c r="G94" s="5" t="s">
        <v>180</v>
      </c>
      <c r="H94" s="5">
        <v>7146581</v>
      </c>
      <c r="I94" s="5" t="s">
        <v>433</v>
      </c>
      <c r="J94" s="5" t="s">
        <v>434</v>
      </c>
      <c r="K94" s="5" t="str">
        <f t="shared" si="5"/>
        <v>Anthony Hunsberger</v>
      </c>
      <c r="L94" s="6">
        <v>45833</v>
      </c>
      <c r="M94" s="6">
        <v>46016</v>
      </c>
      <c r="N94" s="5">
        <f t="shared" si="6"/>
        <v>6</v>
      </c>
      <c r="O94" s="5" t="s">
        <v>316</v>
      </c>
      <c r="P94" s="5" t="s">
        <v>727</v>
      </c>
      <c r="Q94" s="7">
        <v>15</v>
      </c>
      <c r="R94" s="5" t="s">
        <v>58</v>
      </c>
      <c r="S94" s="14">
        <v>0.38</v>
      </c>
      <c r="T94" s="5" t="s">
        <v>60</v>
      </c>
      <c r="U94" s="5" t="s">
        <v>317</v>
      </c>
      <c r="V94" s="7">
        <v>5.7</v>
      </c>
      <c r="W94" s="5" t="s">
        <v>180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5">
        <v>2029623276</v>
      </c>
      <c r="B95" s="5" t="s">
        <v>431</v>
      </c>
      <c r="C95" s="5" t="s">
        <v>432</v>
      </c>
      <c r="D95" s="5" t="str">
        <f t="shared" si="4"/>
        <v>KNOEBEL ETHAN</v>
      </c>
      <c r="E95" s="5" t="s">
        <v>64</v>
      </c>
      <c r="F95" s="5" t="s">
        <v>258</v>
      </c>
      <c r="G95" s="5" t="s">
        <v>259</v>
      </c>
      <c r="H95" s="5">
        <v>7146581</v>
      </c>
      <c r="I95" s="5" t="s">
        <v>433</v>
      </c>
      <c r="J95" s="5" t="s">
        <v>434</v>
      </c>
      <c r="K95" s="5" t="str">
        <f t="shared" si="5"/>
        <v>Anthony Hunsberger</v>
      </c>
      <c r="L95" s="6">
        <v>45833</v>
      </c>
      <c r="M95" s="6">
        <v>46016</v>
      </c>
      <c r="N95" s="5">
        <f t="shared" si="6"/>
        <v>6</v>
      </c>
      <c r="O95" s="5" t="s">
        <v>316</v>
      </c>
      <c r="P95" s="5" t="s">
        <v>727</v>
      </c>
      <c r="Q95" s="7">
        <v>11.71</v>
      </c>
      <c r="R95" s="5" t="s">
        <v>58</v>
      </c>
      <c r="S95" s="14">
        <v>0.38</v>
      </c>
      <c r="T95" s="5" t="s">
        <v>60</v>
      </c>
      <c r="U95" s="5" t="s">
        <v>317</v>
      </c>
      <c r="V95" s="7">
        <v>4.45</v>
      </c>
      <c r="W95" s="5" t="s">
        <v>259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s="5" customFormat="1" x14ac:dyDescent="0.25">
      <c r="A96" s="5">
        <v>2029690054</v>
      </c>
      <c r="B96" s="5" t="s">
        <v>514</v>
      </c>
      <c r="C96" s="5" t="s">
        <v>515</v>
      </c>
      <c r="D96" s="5" t="str">
        <f t="shared" si="4"/>
        <v>FARROW BRANDY</v>
      </c>
      <c r="E96" s="5" t="s">
        <v>52</v>
      </c>
      <c r="F96" s="5" t="s">
        <v>196</v>
      </c>
      <c r="G96" s="5" t="s">
        <v>197</v>
      </c>
      <c r="H96" s="5">
        <v>8971826</v>
      </c>
      <c r="I96" s="5" t="s">
        <v>314</v>
      </c>
      <c r="J96" s="5" t="s">
        <v>186</v>
      </c>
      <c r="K96" s="5" t="str">
        <f t="shared" si="5"/>
        <v>SCOTT AGUGLIA</v>
      </c>
      <c r="L96" s="6">
        <v>45836</v>
      </c>
      <c r="M96" s="6">
        <v>46019</v>
      </c>
      <c r="N96" s="5">
        <f t="shared" si="6"/>
        <v>6</v>
      </c>
      <c r="O96" s="5" t="s">
        <v>316</v>
      </c>
      <c r="P96" s="5" t="s">
        <v>727</v>
      </c>
      <c r="Q96" s="7">
        <v>58.98</v>
      </c>
      <c r="R96" s="5" t="s">
        <v>58</v>
      </c>
      <c r="S96" s="15">
        <v>0.375</v>
      </c>
      <c r="T96" s="5" t="s">
        <v>60</v>
      </c>
      <c r="U96" s="5" t="s">
        <v>317</v>
      </c>
      <c r="V96" s="7">
        <v>22.12</v>
      </c>
      <c r="W96" s="5" t="s">
        <v>197</v>
      </c>
    </row>
    <row r="97" spans="1:23" s="5" customFormat="1" x14ac:dyDescent="0.25">
      <c r="A97" s="5">
        <v>2029062371</v>
      </c>
      <c r="B97" s="5" t="s">
        <v>509</v>
      </c>
      <c r="C97" s="5" t="s">
        <v>510</v>
      </c>
      <c r="D97" s="5" t="str">
        <f t="shared" si="4"/>
        <v>VANESSA SALAZAR</v>
      </c>
      <c r="E97" s="5" t="s">
        <v>129</v>
      </c>
      <c r="F97" s="5" t="s">
        <v>262</v>
      </c>
      <c r="G97" s="5" t="s">
        <v>265</v>
      </c>
      <c r="H97" s="5">
        <v>371819</v>
      </c>
      <c r="I97" s="5" t="s">
        <v>156</v>
      </c>
      <c r="J97" s="5" t="s">
        <v>157</v>
      </c>
      <c r="K97" s="5" t="str">
        <f t="shared" si="5"/>
        <v>THOMAS PARDUE</v>
      </c>
      <c r="L97" s="6">
        <v>45800</v>
      </c>
      <c r="M97" s="6">
        <v>46014</v>
      </c>
      <c r="N97" s="5">
        <f t="shared" si="6"/>
        <v>7</v>
      </c>
      <c r="O97" s="5" t="s">
        <v>316</v>
      </c>
      <c r="P97" s="5" t="s">
        <v>727</v>
      </c>
      <c r="Q97" s="7">
        <v>28.83</v>
      </c>
      <c r="R97" s="5" t="s">
        <v>58</v>
      </c>
      <c r="S97" s="14">
        <v>0.9</v>
      </c>
      <c r="T97" s="5" t="s">
        <v>60</v>
      </c>
      <c r="U97" s="5" t="s">
        <v>317</v>
      </c>
      <c r="V97" s="7">
        <v>25.95</v>
      </c>
      <c r="W97" s="5" t="s">
        <v>265</v>
      </c>
    </row>
    <row r="98" spans="1:23" s="5" customFormat="1" x14ac:dyDescent="0.25">
      <c r="A98" s="5">
        <v>2029101373</v>
      </c>
      <c r="B98" s="5" t="s">
        <v>373</v>
      </c>
      <c r="C98" s="5" t="s">
        <v>374</v>
      </c>
      <c r="D98" s="5" t="str">
        <f t="shared" si="4"/>
        <v>JEREMY HIGDON</v>
      </c>
      <c r="E98" s="5" t="s">
        <v>105</v>
      </c>
      <c r="F98" s="5" t="s">
        <v>262</v>
      </c>
      <c r="G98" s="5" t="s">
        <v>265</v>
      </c>
      <c r="H98" s="5">
        <v>371819</v>
      </c>
      <c r="I98" s="5" t="s">
        <v>156</v>
      </c>
      <c r="J98" s="5" t="s">
        <v>157</v>
      </c>
      <c r="K98" s="5" t="str">
        <f t="shared" ref="K98:K129" si="7">CONCATENATE(J98," ",I98)</f>
        <v>THOMAS PARDUE</v>
      </c>
      <c r="L98" s="6">
        <v>45801</v>
      </c>
      <c r="M98" s="6">
        <v>46015</v>
      </c>
      <c r="N98" s="5">
        <f t="shared" si="6"/>
        <v>7</v>
      </c>
      <c r="O98" s="5" t="s">
        <v>316</v>
      </c>
      <c r="P98" s="5" t="s">
        <v>727</v>
      </c>
      <c r="Q98" s="7">
        <v>33.75</v>
      </c>
      <c r="R98" s="5" t="s">
        <v>58</v>
      </c>
      <c r="S98" s="14">
        <v>0.9</v>
      </c>
      <c r="T98" s="5" t="s">
        <v>60</v>
      </c>
      <c r="U98" s="5" t="s">
        <v>317</v>
      </c>
      <c r="V98" s="7">
        <v>30.38</v>
      </c>
      <c r="W98" s="5" t="s">
        <v>265</v>
      </c>
    </row>
    <row r="99" spans="1:23" s="5" customFormat="1" x14ac:dyDescent="0.25">
      <c r="A99" s="5">
        <v>2029026298</v>
      </c>
      <c r="B99" s="5" t="s">
        <v>117</v>
      </c>
      <c r="C99" s="5" t="s">
        <v>506</v>
      </c>
      <c r="D99" s="5" t="str">
        <f t="shared" si="4"/>
        <v>KRISTINA SMITH</v>
      </c>
      <c r="E99" s="5" t="s">
        <v>424</v>
      </c>
      <c r="F99" s="5" t="s">
        <v>262</v>
      </c>
      <c r="G99" s="5" t="s">
        <v>265</v>
      </c>
      <c r="H99" s="5">
        <v>371819</v>
      </c>
      <c r="I99" s="5" t="s">
        <v>156</v>
      </c>
      <c r="J99" s="5" t="s">
        <v>157</v>
      </c>
      <c r="K99" s="5" t="str">
        <f t="shared" si="7"/>
        <v>THOMAS PARDUE</v>
      </c>
      <c r="L99" s="6">
        <v>45798</v>
      </c>
      <c r="M99" s="6">
        <v>46012</v>
      </c>
      <c r="N99" s="5">
        <f t="shared" si="6"/>
        <v>7</v>
      </c>
      <c r="O99" s="5" t="s">
        <v>316</v>
      </c>
      <c r="P99" s="5" t="s">
        <v>727</v>
      </c>
      <c r="Q99" s="7">
        <v>44.13</v>
      </c>
      <c r="R99" s="5" t="s">
        <v>58</v>
      </c>
      <c r="S99" s="14">
        <v>0.9</v>
      </c>
      <c r="T99" s="5" t="s">
        <v>60</v>
      </c>
      <c r="U99" s="5" t="s">
        <v>317</v>
      </c>
      <c r="V99" s="7">
        <v>39.72</v>
      </c>
      <c r="W99" s="5" t="s">
        <v>265</v>
      </c>
    </row>
    <row r="100" spans="1:23" s="5" customFormat="1" x14ac:dyDescent="0.25">
      <c r="A100" s="5">
        <v>2029073661</v>
      </c>
      <c r="B100" s="5" t="s">
        <v>323</v>
      </c>
      <c r="C100" s="5" t="s">
        <v>324</v>
      </c>
      <c r="D100" s="5" t="str">
        <f t="shared" si="4"/>
        <v>ERIN HENNESSY</v>
      </c>
      <c r="E100" s="5" t="s">
        <v>235</v>
      </c>
      <c r="F100" s="5" t="s">
        <v>262</v>
      </c>
      <c r="G100" s="5" t="s">
        <v>263</v>
      </c>
      <c r="H100" s="5">
        <v>19586992</v>
      </c>
      <c r="I100" s="5" t="s">
        <v>326</v>
      </c>
      <c r="J100" s="5" t="s">
        <v>327</v>
      </c>
      <c r="K100" s="5" t="str">
        <f t="shared" si="7"/>
        <v>Barry Schumann</v>
      </c>
      <c r="L100" s="6">
        <v>45801</v>
      </c>
      <c r="M100" s="6">
        <v>46015</v>
      </c>
      <c r="N100" s="5">
        <f t="shared" si="6"/>
        <v>7</v>
      </c>
      <c r="O100" s="5" t="s">
        <v>316</v>
      </c>
      <c r="P100" s="5" t="s">
        <v>727</v>
      </c>
      <c r="Q100" s="7">
        <v>26.32</v>
      </c>
      <c r="R100" s="5" t="s">
        <v>58</v>
      </c>
      <c r="S100" s="14">
        <v>0.7</v>
      </c>
      <c r="T100" s="5" t="s">
        <v>60</v>
      </c>
      <c r="U100" s="5" t="s">
        <v>317</v>
      </c>
      <c r="V100" s="7">
        <v>18.420000000000002</v>
      </c>
      <c r="W100" s="5" t="s">
        <v>263</v>
      </c>
    </row>
    <row r="101" spans="1:23" s="5" customFormat="1" x14ac:dyDescent="0.25">
      <c r="A101" s="5">
        <v>2029057172</v>
      </c>
      <c r="B101" s="5" t="s">
        <v>615</v>
      </c>
      <c r="C101" s="5" t="s">
        <v>616</v>
      </c>
      <c r="D101" s="5" t="str">
        <f t="shared" si="4"/>
        <v>RANDAL FRITZ</v>
      </c>
      <c r="E101" s="5" t="s">
        <v>132</v>
      </c>
      <c r="F101" s="5" t="s">
        <v>262</v>
      </c>
      <c r="G101" s="5" t="s">
        <v>263</v>
      </c>
      <c r="H101" s="5">
        <v>19681796</v>
      </c>
      <c r="I101" s="5" t="s">
        <v>142</v>
      </c>
      <c r="J101" s="5" t="s">
        <v>143</v>
      </c>
      <c r="K101" s="5" t="str">
        <f t="shared" si="7"/>
        <v>CHRISTIAN TAUGNER</v>
      </c>
      <c r="L101" s="6">
        <v>45799</v>
      </c>
      <c r="M101" s="6">
        <v>46013</v>
      </c>
      <c r="N101" s="5">
        <f t="shared" si="6"/>
        <v>7</v>
      </c>
      <c r="O101" s="5" t="s">
        <v>316</v>
      </c>
      <c r="P101" s="5" t="s">
        <v>727</v>
      </c>
      <c r="Q101" s="7">
        <v>78.73</v>
      </c>
      <c r="R101" s="5" t="s">
        <v>58</v>
      </c>
      <c r="S101" s="14">
        <v>0.7</v>
      </c>
      <c r="T101" s="5" t="s">
        <v>60</v>
      </c>
      <c r="U101" s="5" t="s">
        <v>317</v>
      </c>
      <c r="V101" s="7">
        <v>55.1</v>
      </c>
      <c r="W101" s="5" t="s">
        <v>263</v>
      </c>
    </row>
    <row r="102" spans="1:23" s="5" customFormat="1" x14ac:dyDescent="0.25">
      <c r="A102" s="5">
        <v>2029145085</v>
      </c>
      <c r="B102" s="5" t="s">
        <v>428</v>
      </c>
      <c r="C102" s="5" t="s">
        <v>429</v>
      </c>
      <c r="D102" s="5" t="str">
        <f t="shared" si="4"/>
        <v>JUDITH O'REILLY</v>
      </c>
      <c r="E102" s="5" t="s">
        <v>64</v>
      </c>
      <c r="F102" s="5" t="s">
        <v>262</v>
      </c>
      <c r="G102" s="5" t="s">
        <v>263</v>
      </c>
      <c r="H102" s="5">
        <v>17094718</v>
      </c>
      <c r="I102" s="5" t="s">
        <v>430</v>
      </c>
      <c r="J102" s="5" t="s">
        <v>332</v>
      </c>
      <c r="K102" s="5" t="str">
        <f t="shared" si="7"/>
        <v>GREGORY HANSFORD</v>
      </c>
      <c r="L102" s="6">
        <v>45805</v>
      </c>
      <c r="M102" s="6">
        <v>46019</v>
      </c>
      <c r="N102" s="5">
        <f t="shared" si="6"/>
        <v>7</v>
      </c>
      <c r="O102" s="5" t="s">
        <v>316</v>
      </c>
      <c r="P102" s="5" t="s">
        <v>727</v>
      </c>
      <c r="Q102" s="7">
        <v>115.38</v>
      </c>
      <c r="R102" s="5" t="s">
        <v>58</v>
      </c>
      <c r="S102" s="14">
        <v>0.7</v>
      </c>
      <c r="T102" s="5" t="s">
        <v>60</v>
      </c>
      <c r="U102" s="5" t="s">
        <v>317</v>
      </c>
      <c r="V102" s="7">
        <v>80.77</v>
      </c>
      <c r="W102" s="5" t="s">
        <v>263</v>
      </c>
    </row>
    <row r="103" spans="1:23" s="5" customFormat="1" x14ac:dyDescent="0.25">
      <c r="A103" s="5">
        <v>2029118625</v>
      </c>
      <c r="B103" s="5" t="s">
        <v>618</v>
      </c>
      <c r="C103" s="5" t="s">
        <v>620</v>
      </c>
      <c r="D103" s="5" t="str">
        <f t="shared" si="4"/>
        <v>TUVSHINJARGAL ALTAN</v>
      </c>
      <c r="E103" s="5" t="s">
        <v>64</v>
      </c>
      <c r="F103" s="5" t="s">
        <v>262</v>
      </c>
      <c r="G103" s="5" t="s">
        <v>263</v>
      </c>
      <c r="H103" s="5">
        <v>20220688</v>
      </c>
      <c r="I103" s="5" t="s">
        <v>498</v>
      </c>
      <c r="J103" s="5" t="s">
        <v>499</v>
      </c>
      <c r="K103" s="5" t="str">
        <f t="shared" si="7"/>
        <v>NASANDELGER ZANA</v>
      </c>
      <c r="L103" s="6">
        <v>45803</v>
      </c>
      <c r="M103" s="6">
        <v>46017</v>
      </c>
      <c r="N103" s="5">
        <f t="shared" si="6"/>
        <v>7</v>
      </c>
      <c r="O103" s="5" t="s">
        <v>316</v>
      </c>
      <c r="P103" s="5" t="s">
        <v>727</v>
      </c>
      <c r="Q103" s="7">
        <v>51</v>
      </c>
      <c r="R103" s="5" t="s">
        <v>58</v>
      </c>
      <c r="S103" s="14">
        <v>0.7</v>
      </c>
      <c r="T103" s="5" t="s">
        <v>60</v>
      </c>
      <c r="U103" s="5" t="s">
        <v>317</v>
      </c>
      <c r="V103" s="7">
        <v>35.700000000000003</v>
      </c>
      <c r="W103" s="5" t="s">
        <v>263</v>
      </c>
    </row>
    <row r="104" spans="1:23" s="5" customFormat="1" x14ac:dyDescent="0.25">
      <c r="A104" s="5">
        <v>2029118392</v>
      </c>
      <c r="B104" s="5" t="s">
        <v>618</v>
      </c>
      <c r="C104" s="5" t="s">
        <v>619</v>
      </c>
      <c r="D104" s="5" t="str">
        <f t="shared" si="4"/>
        <v>TUUL ALTAN</v>
      </c>
      <c r="E104" s="5" t="s">
        <v>64</v>
      </c>
      <c r="F104" s="5" t="s">
        <v>262</v>
      </c>
      <c r="G104" s="5" t="s">
        <v>263</v>
      </c>
      <c r="H104" s="5">
        <v>20220688</v>
      </c>
      <c r="I104" s="5" t="s">
        <v>498</v>
      </c>
      <c r="J104" s="5" t="s">
        <v>499</v>
      </c>
      <c r="K104" s="5" t="str">
        <f t="shared" si="7"/>
        <v>NASANDELGER ZANA</v>
      </c>
      <c r="L104" s="6">
        <v>45803</v>
      </c>
      <c r="M104" s="6">
        <v>46017</v>
      </c>
      <c r="N104" s="5">
        <f t="shared" si="6"/>
        <v>7</v>
      </c>
      <c r="O104" s="5" t="s">
        <v>316</v>
      </c>
      <c r="P104" s="5" t="s">
        <v>727</v>
      </c>
      <c r="Q104" s="7">
        <v>76.709999999999994</v>
      </c>
      <c r="R104" s="5" t="s">
        <v>58</v>
      </c>
      <c r="S104" s="14">
        <v>0.7</v>
      </c>
      <c r="T104" s="5" t="s">
        <v>60</v>
      </c>
      <c r="U104" s="5" t="s">
        <v>317</v>
      </c>
      <c r="V104" s="7">
        <v>53.7</v>
      </c>
      <c r="W104" s="5" t="s">
        <v>263</v>
      </c>
    </row>
    <row r="105" spans="1:23" s="5" customFormat="1" x14ac:dyDescent="0.25">
      <c r="A105" s="5">
        <v>2029081352</v>
      </c>
      <c r="B105" s="5" t="s">
        <v>511</v>
      </c>
      <c r="C105" s="5" t="s">
        <v>472</v>
      </c>
      <c r="D105" s="5" t="str">
        <f t="shared" si="4"/>
        <v>MICHELLE YALE</v>
      </c>
      <c r="E105" s="5" t="s">
        <v>64</v>
      </c>
      <c r="F105" s="5" t="s">
        <v>262</v>
      </c>
      <c r="G105" s="5" t="s">
        <v>263</v>
      </c>
      <c r="H105" s="5">
        <v>16633294</v>
      </c>
      <c r="I105" s="5" t="s">
        <v>91</v>
      </c>
      <c r="J105" s="5" t="s">
        <v>92</v>
      </c>
      <c r="K105" s="5" t="str">
        <f t="shared" si="7"/>
        <v>Richard Yale</v>
      </c>
      <c r="L105" s="6">
        <v>45800</v>
      </c>
      <c r="M105" s="6">
        <v>46014</v>
      </c>
      <c r="N105" s="5">
        <f t="shared" si="6"/>
        <v>7</v>
      </c>
      <c r="O105" s="5" t="s">
        <v>316</v>
      </c>
      <c r="P105" s="5" t="s">
        <v>727</v>
      </c>
      <c r="Q105" s="7">
        <v>11.5</v>
      </c>
      <c r="R105" s="5" t="s">
        <v>58</v>
      </c>
      <c r="S105" s="14">
        <v>0.7</v>
      </c>
      <c r="T105" s="5" t="s">
        <v>60</v>
      </c>
      <c r="U105" s="5" t="s">
        <v>317</v>
      </c>
      <c r="V105" s="7">
        <v>8.0500000000000007</v>
      </c>
      <c r="W105" s="5" t="s">
        <v>263</v>
      </c>
    </row>
    <row r="106" spans="1:23" s="5" customFormat="1" x14ac:dyDescent="0.25">
      <c r="A106" s="5">
        <v>2028942347</v>
      </c>
      <c r="B106" s="5" t="s">
        <v>613</v>
      </c>
      <c r="C106" s="5" t="s">
        <v>614</v>
      </c>
      <c r="D106" s="5" t="str">
        <f t="shared" si="4"/>
        <v>TAMARA SILVETTI</v>
      </c>
      <c r="E106" s="5" t="s">
        <v>64</v>
      </c>
      <c r="F106" s="5" t="s">
        <v>262</v>
      </c>
      <c r="G106" s="5" t="s">
        <v>263</v>
      </c>
      <c r="H106" s="5">
        <v>16633294</v>
      </c>
      <c r="I106" s="5" t="s">
        <v>91</v>
      </c>
      <c r="J106" s="5" t="s">
        <v>92</v>
      </c>
      <c r="K106" s="5" t="str">
        <f t="shared" si="7"/>
        <v>Richard Yale</v>
      </c>
      <c r="L106" s="6">
        <v>45801</v>
      </c>
      <c r="M106" s="6">
        <v>46015</v>
      </c>
      <c r="N106" s="5">
        <f t="shared" si="6"/>
        <v>7</v>
      </c>
      <c r="O106" s="5" t="s">
        <v>316</v>
      </c>
      <c r="P106" s="5" t="s">
        <v>727</v>
      </c>
      <c r="Q106" s="7">
        <v>192.61</v>
      </c>
      <c r="R106" s="5" t="s">
        <v>58</v>
      </c>
      <c r="S106" s="14">
        <v>0.7</v>
      </c>
      <c r="T106" s="5" t="s">
        <v>60</v>
      </c>
      <c r="U106" s="5" t="s">
        <v>317</v>
      </c>
      <c r="V106" s="7">
        <v>134.83000000000001</v>
      </c>
      <c r="W106" s="5" t="s">
        <v>263</v>
      </c>
    </row>
    <row r="107" spans="1:23" s="5" customFormat="1" x14ac:dyDescent="0.25">
      <c r="A107" s="5">
        <v>2029101374</v>
      </c>
      <c r="B107" s="5" t="s">
        <v>373</v>
      </c>
      <c r="C107" s="5" t="s">
        <v>374</v>
      </c>
      <c r="D107" s="5" t="str">
        <f t="shared" si="4"/>
        <v>JEREMY HIGDON</v>
      </c>
      <c r="E107" s="5" t="s">
        <v>105</v>
      </c>
      <c r="F107" s="5" t="s">
        <v>262</v>
      </c>
      <c r="G107" s="5" t="s">
        <v>263</v>
      </c>
      <c r="H107" s="5">
        <v>371819</v>
      </c>
      <c r="I107" s="5" t="s">
        <v>156</v>
      </c>
      <c r="J107" s="5" t="s">
        <v>157</v>
      </c>
      <c r="K107" s="5" t="str">
        <f t="shared" si="7"/>
        <v>THOMAS PARDUE</v>
      </c>
      <c r="L107" s="6">
        <v>45801</v>
      </c>
      <c r="M107" s="6">
        <v>46015</v>
      </c>
      <c r="N107" s="5">
        <f t="shared" si="6"/>
        <v>7</v>
      </c>
      <c r="O107" s="5" t="s">
        <v>316</v>
      </c>
      <c r="P107" s="5" t="s">
        <v>727</v>
      </c>
      <c r="Q107" s="7">
        <v>27.89</v>
      </c>
      <c r="R107" s="5" t="s">
        <v>58</v>
      </c>
      <c r="S107" s="14">
        <v>0.7</v>
      </c>
      <c r="T107" s="5" t="s">
        <v>60</v>
      </c>
      <c r="U107" s="5" t="s">
        <v>317</v>
      </c>
      <c r="V107" s="7">
        <v>19.510000000000002</v>
      </c>
      <c r="W107" s="5" t="s">
        <v>263</v>
      </c>
    </row>
    <row r="108" spans="1:23" s="5" customFormat="1" x14ac:dyDescent="0.25">
      <c r="A108" s="5">
        <v>2029062372</v>
      </c>
      <c r="B108" s="5" t="s">
        <v>509</v>
      </c>
      <c r="C108" s="5" t="s">
        <v>510</v>
      </c>
      <c r="D108" s="5" t="str">
        <f t="shared" si="4"/>
        <v>VANESSA SALAZAR</v>
      </c>
      <c r="E108" s="5" t="s">
        <v>129</v>
      </c>
      <c r="F108" s="5" t="s">
        <v>262</v>
      </c>
      <c r="G108" s="5" t="s">
        <v>263</v>
      </c>
      <c r="H108" s="5">
        <v>371819</v>
      </c>
      <c r="I108" s="5" t="s">
        <v>156</v>
      </c>
      <c r="J108" s="5" t="s">
        <v>157</v>
      </c>
      <c r="K108" s="5" t="str">
        <f t="shared" si="7"/>
        <v>THOMAS PARDUE</v>
      </c>
      <c r="L108" s="6">
        <v>45800</v>
      </c>
      <c r="M108" s="6">
        <v>46014</v>
      </c>
      <c r="N108" s="5">
        <f t="shared" si="6"/>
        <v>7</v>
      </c>
      <c r="O108" s="5" t="s">
        <v>316</v>
      </c>
      <c r="P108" s="5" t="s">
        <v>727</v>
      </c>
      <c r="Q108" s="7">
        <v>29.48</v>
      </c>
      <c r="R108" s="5" t="s">
        <v>58</v>
      </c>
      <c r="S108" s="14">
        <v>0.7</v>
      </c>
      <c r="T108" s="5" t="s">
        <v>60</v>
      </c>
      <c r="U108" s="5" t="s">
        <v>317</v>
      </c>
      <c r="V108" s="7">
        <v>20.64</v>
      </c>
      <c r="W108" s="5" t="s">
        <v>263</v>
      </c>
    </row>
    <row r="109" spans="1:23" s="5" customFormat="1" x14ac:dyDescent="0.25">
      <c r="A109" s="5">
        <v>2029101372</v>
      </c>
      <c r="B109" s="5" t="s">
        <v>373</v>
      </c>
      <c r="C109" s="5" t="s">
        <v>374</v>
      </c>
      <c r="D109" s="5" t="str">
        <f t="shared" si="4"/>
        <v>JEREMY HIGDON</v>
      </c>
      <c r="E109" s="5" t="s">
        <v>105</v>
      </c>
      <c r="F109" s="5" t="s">
        <v>89</v>
      </c>
      <c r="G109" s="5" t="s">
        <v>110</v>
      </c>
      <c r="H109" s="5">
        <v>371819</v>
      </c>
      <c r="I109" s="5" t="s">
        <v>156</v>
      </c>
      <c r="J109" s="5" t="s">
        <v>157</v>
      </c>
      <c r="K109" s="5" t="str">
        <f t="shared" si="7"/>
        <v>THOMAS PARDUE</v>
      </c>
      <c r="L109" s="6">
        <v>45801</v>
      </c>
      <c r="M109" s="6">
        <v>46015</v>
      </c>
      <c r="N109" s="5">
        <f t="shared" si="6"/>
        <v>7</v>
      </c>
      <c r="O109" s="5" t="s">
        <v>316</v>
      </c>
      <c r="P109" s="5" t="s">
        <v>727</v>
      </c>
      <c r="Q109" s="7">
        <v>53.79</v>
      </c>
      <c r="R109" s="5" t="s">
        <v>58</v>
      </c>
      <c r="S109" s="14">
        <v>0.65</v>
      </c>
      <c r="T109" s="5" t="s">
        <v>60</v>
      </c>
      <c r="U109" s="5" t="s">
        <v>317</v>
      </c>
      <c r="V109" s="7">
        <v>34.950000000000003</v>
      </c>
      <c r="W109" s="5" t="s">
        <v>719</v>
      </c>
    </row>
    <row r="110" spans="1:23" s="5" customFormat="1" x14ac:dyDescent="0.25">
      <c r="A110" s="5">
        <v>2029073662</v>
      </c>
      <c r="B110" s="5" t="s">
        <v>323</v>
      </c>
      <c r="C110" s="5" t="s">
        <v>324</v>
      </c>
      <c r="D110" s="5" t="str">
        <f t="shared" si="4"/>
        <v>ERIN HENNESSY</v>
      </c>
      <c r="E110" s="5" t="s">
        <v>235</v>
      </c>
      <c r="F110" s="5" t="s">
        <v>53</v>
      </c>
      <c r="G110" s="5" t="s">
        <v>325</v>
      </c>
      <c r="H110" s="5">
        <v>19586992</v>
      </c>
      <c r="I110" s="5" t="s">
        <v>326</v>
      </c>
      <c r="J110" s="5" t="s">
        <v>327</v>
      </c>
      <c r="K110" s="5" t="str">
        <f t="shared" si="7"/>
        <v>Barry Schumann</v>
      </c>
      <c r="L110" s="6">
        <v>45801</v>
      </c>
      <c r="M110" s="6">
        <v>46015</v>
      </c>
      <c r="N110" s="5">
        <f t="shared" si="6"/>
        <v>7</v>
      </c>
      <c r="O110" s="5" t="s">
        <v>316</v>
      </c>
      <c r="P110" s="5" t="s">
        <v>727</v>
      </c>
      <c r="Q110" s="7">
        <v>50.6</v>
      </c>
      <c r="R110" s="5" t="s">
        <v>58</v>
      </c>
      <c r="S110" s="14">
        <v>0.6</v>
      </c>
      <c r="T110" s="5" t="s">
        <v>60</v>
      </c>
      <c r="U110" s="5" t="s">
        <v>317</v>
      </c>
      <c r="V110" s="7">
        <v>30.36</v>
      </c>
      <c r="W110" s="5" t="s">
        <v>325</v>
      </c>
    </row>
    <row r="111" spans="1:23" s="5" customFormat="1" x14ac:dyDescent="0.25">
      <c r="A111" s="5">
        <v>2029145087</v>
      </c>
      <c r="B111" s="5" t="s">
        <v>428</v>
      </c>
      <c r="C111" s="5" t="s">
        <v>429</v>
      </c>
      <c r="D111" s="5" t="str">
        <f t="shared" si="4"/>
        <v>JUDITH O'REILLY</v>
      </c>
      <c r="E111" s="5" t="s">
        <v>64</v>
      </c>
      <c r="F111" s="5" t="s">
        <v>160</v>
      </c>
      <c r="G111" s="5" t="s">
        <v>161</v>
      </c>
      <c r="H111" s="5">
        <v>17094718</v>
      </c>
      <c r="I111" s="5" t="s">
        <v>430</v>
      </c>
      <c r="J111" s="5" t="s">
        <v>332</v>
      </c>
      <c r="K111" s="5" t="str">
        <f t="shared" si="7"/>
        <v>GREGORY HANSFORD</v>
      </c>
      <c r="L111" s="6">
        <v>45805</v>
      </c>
      <c r="M111" s="6">
        <v>46019</v>
      </c>
      <c r="N111" s="5">
        <f t="shared" si="6"/>
        <v>7</v>
      </c>
      <c r="O111" s="5" t="s">
        <v>316</v>
      </c>
      <c r="P111" s="5" t="s">
        <v>727</v>
      </c>
      <c r="Q111" s="7">
        <v>15</v>
      </c>
      <c r="R111" s="5" t="s">
        <v>58</v>
      </c>
      <c r="S111" s="14">
        <v>0.38</v>
      </c>
      <c r="T111" s="5" t="s">
        <v>60</v>
      </c>
      <c r="U111" s="5" t="s">
        <v>317</v>
      </c>
      <c r="V111" s="7">
        <v>5.7</v>
      </c>
      <c r="W111" s="5" t="s">
        <v>161</v>
      </c>
    </row>
    <row r="112" spans="1:23" s="5" customFormat="1" x14ac:dyDescent="0.25">
      <c r="A112" s="5">
        <v>2029145086</v>
      </c>
      <c r="B112" s="5" t="s">
        <v>428</v>
      </c>
      <c r="C112" s="5" t="s">
        <v>429</v>
      </c>
      <c r="D112" s="5" t="str">
        <f t="shared" si="4"/>
        <v>JUDITH O'REILLY</v>
      </c>
      <c r="E112" s="5" t="s">
        <v>64</v>
      </c>
      <c r="F112" s="5" t="s">
        <v>258</v>
      </c>
      <c r="G112" s="5" t="s">
        <v>259</v>
      </c>
      <c r="H112" s="5">
        <v>17094718</v>
      </c>
      <c r="I112" s="5" t="s">
        <v>430</v>
      </c>
      <c r="J112" s="5" t="s">
        <v>332</v>
      </c>
      <c r="K112" s="5" t="str">
        <f t="shared" si="7"/>
        <v>GREGORY HANSFORD</v>
      </c>
      <c r="L112" s="6">
        <v>45805</v>
      </c>
      <c r="M112" s="6">
        <v>46019</v>
      </c>
      <c r="N112" s="5">
        <f t="shared" si="6"/>
        <v>7</v>
      </c>
      <c r="O112" s="5" t="s">
        <v>316</v>
      </c>
      <c r="P112" s="5" t="s">
        <v>727</v>
      </c>
      <c r="Q112" s="7">
        <v>25.15</v>
      </c>
      <c r="R112" s="5" t="s">
        <v>58</v>
      </c>
      <c r="S112" s="14">
        <v>0.38</v>
      </c>
      <c r="T112" s="5" t="s">
        <v>60</v>
      </c>
      <c r="U112" s="5" t="s">
        <v>317</v>
      </c>
      <c r="V112" s="7">
        <v>9.56</v>
      </c>
      <c r="W112" s="5" t="s">
        <v>259</v>
      </c>
    </row>
    <row r="113" spans="1:53" s="5" customFormat="1" x14ac:dyDescent="0.25">
      <c r="A113" s="5">
        <v>2029145084</v>
      </c>
      <c r="B113" s="5" t="s">
        <v>428</v>
      </c>
      <c r="C113" s="5" t="s">
        <v>429</v>
      </c>
      <c r="D113" s="5" t="str">
        <f t="shared" si="4"/>
        <v>JUDITH O'REILLY</v>
      </c>
      <c r="E113" s="5" t="s">
        <v>64</v>
      </c>
      <c r="F113" s="5" t="s">
        <v>196</v>
      </c>
      <c r="G113" s="5" t="s">
        <v>197</v>
      </c>
      <c r="H113" s="5">
        <v>17094718</v>
      </c>
      <c r="I113" s="5" t="s">
        <v>430</v>
      </c>
      <c r="J113" s="5" t="s">
        <v>332</v>
      </c>
      <c r="K113" s="5" t="str">
        <f t="shared" si="7"/>
        <v>GREGORY HANSFORD</v>
      </c>
      <c r="L113" s="6">
        <v>45805</v>
      </c>
      <c r="M113" s="6">
        <v>46019</v>
      </c>
      <c r="N113" s="5">
        <f t="shared" si="6"/>
        <v>7</v>
      </c>
      <c r="O113" s="5" t="s">
        <v>316</v>
      </c>
      <c r="P113" s="5" t="s">
        <v>727</v>
      </c>
      <c r="Q113" s="7">
        <v>27.64</v>
      </c>
      <c r="R113" s="5" t="s">
        <v>58</v>
      </c>
      <c r="S113" s="15">
        <v>0.375</v>
      </c>
      <c r="T113" s="5" t="s">
        <v>60</v>
      </c>
      <c r="U113" s="5" t="s">
        <v>317</v>
      </c>
      <c r="V113" s="7">
        <v>10.35</v>
      </c>
      <c r="W113" s="5" t="s">
        <v>197</v>
      </c>
    </row>
    <row r="114" spans="1:53" s="5" customFormat="1" x14ac:dyDescent="0.25">
      <c r="A114" s="5">
        <v>2029081351</v>
      </c>
      <c r="B114" s="5" t="s">
        <v>511</v>
      </c>
      <c r="C114" s="5" t="s">
        <v>472</v>
      </c>
      <c r="D114" s="5" t="str">
        <f t="shared" si="4"/>
        <v>MICHELLE YALE</v>
      </c>
      <c r="E114" s="5" t="s">
        <v>64</v>
      </c>
      <c r="F114" s="5" t="s">
        <v>196</v>
      </c>
      <c r="G114" s="5" t="s">
        <v>197</v>
      </c>
      <c r="H114" s="5">
        <v>16633294</v>
      </c>
      <c r="I114" s="5" t="s">
        <v>91</v>
      </c>
      <c r="J114" s="5" t="s">
        <v>92</v>
      </c>
      <c r="K114" s="5" t="str">
        <f t="shared" si="7"/>
        <v>Richard Yale</v>
      </c>
      <c r="L114" s="6">
        <v>45800</v>
      </c>
      <c r="M114" s="6">
        <v>46014</v>
      </c>
      <c r="N114" s="5">
        <f t="shared" si="6"/>
        <v>7</v>
      </c>
      <c r="O114" s="5" t="s">
        <v>316</v>
      </c>
      <c r="P114" s="5" t="s">
        <v>727</v>
      </c>
      <c r="Q114" s="7">
        <v>57.19</v>
      </c>
      <c r="R114" s="5" t="s">
        <v>58</v>
      </c>
      <c r="S114" s="15">
        <v>0.375</v>
      </c>
      <c r="T114" s="5" t="s">
        <v>60</v>
      </c>
      <c r="U114" s="5" t="s">
        <v>317</v>
      </c>
      <c r="V114" s="7">
        <v>21.45</v>
      </c>
      <c r="W114" s="5" t="s">
        <v>197</v>
      </c>
    </row>
    <row r="115" spans="1:53" s="5" customFormat="1" x14ac:dyDescent="0.25">
      <c r="A115" s="5">
        <v>2029026297</v>
      </c>
      <c r="B115" s="5" t="s">
        <v>117</v>
      </c>
      <c r="C115" s="5" t="s">
        <v>506</v>
      </c>
      <c r="D115" s="5" t="str">
        <f t="shared" si="4"/>
        <v>KRISTINA SMITH</v>
      </c>
      <c r="E115" s="5" t="s">
        <v>424</v>
      </c>
      <c r="F115" s="5" t="s">
        <v>196</v>
      </c>
      <c r="G115" s="5" t="s">
        <v>197</v>
      </c>
      <c r="H115" s="5">
        <v>371819</v>
      </c>
      <c r="I115" s="5" t="s">
        <v>156</v>
      </c>
      <c r="J115" s="5" t="s">
        <v>157</v>
      </c>
      <c r="K115" s="5" t="str">
        <f t="shared" si="7"/>
        <v>THOMAS PARDUE</v>
      </c>
      <c r="L115" s="6">
        <v>45798</v>
      </c>
      <c r="M115" s="6">
        <v>46012</v>
      </c>
      <c r="N115" s="5">
        <f t="shared" si="6"/>
        <v>7</v>
      </c>
      <c r="O115" s="5" t="s">
        <v>316</v>
      </c>
      <c r="P115" s="5" t="s">
        <v>727</v>
      </c>
      <c r="Q115" s="7">
        <v>23.79</v>
      </c>
      <c r="R115" s="5" t="s">
        <v>58</v>
      </c>
      <c r="S115" s="15">
        <v>0.375</v>
      </c>
      <c r="T115" s="5" t="s">
        <v>60</v>
      </c>
      <c r="U115" s="5" t="s">
        <v>317</v>
      </c>
      <c r="V115" s="7">
        <v>8.92</v>
      </c>
      <c r="W115" s="5" t="s">
        <v>197</v>
      </c>
    </row>
    <row r="116" spans="1:53" s="5" customFormat="1" x14ac:dyDescent="0.25">
      <c r="A116" s="5">
        <v>2029062370</v>
      </c>
      <c r="B116" s="5" t="s">
        <v>509</v>
      </c>
      <c r="C116" s="5" t="s">
        <v>510</v>
      </c>
      <c r="D116" s="5" t="str">
        <f t="shared" si="4"/>
        <v>VANESSA SALAZAR</v>
      </c>
      <c r="E116" s="5" t="s">
        <v>129</v>
      </c>
      <c r="F116" s="5" t="s">
        <v>196</v>
      </c>
      <c r="G116" s="5" t="s">
        <v>197</v>
      </c>
      <c r="H116" s="5">
        <v>371819</v>
      </c>
      <c r="I116" s="5" t="s">
        <v>156</v>
      </c>
      <c r="J116" s="5" t="s">
        <v>157</v>
      </c>
      <c r="K116" s="5" t="str">
        <f t="shared" si="7"/>
        <v>THOMAS PARDUE</v>
      </c>
      <c r="L116" s="6">
        <v>45800</v>
      </c>
      <c r="M116" s="6">
        <v>46014</v>
      </c>
      <c r="N116" s="5">
        <f t="shared" si="6"/>
        <v>7</v>
      </c>
      <c r="O116" s="5" t="s">
        <v>316</v>
      </c>
      <c r="P116" s="5" t="s">
        <v>727</v>
      </c>
      <c r="Q116" s="7">
        <v>122.99</v>
      </c>
      <c r="R116" s="5" t="s">
        <v>58</v>
      </c>
      <c r="S116" s="15">
        <v>0.375</v>
      </c>
      <c r="T116" s="5" t="s">
        <v>60</v>
      </c>
      <c r="U116" s="5" t="s">
        <v>317</v>
      </c>
      <c r="V116" s="7">
        <v>46.12</v>
      </c>
      <c r="W116" s="5" t="s">
        <v>197</v>
      </c>
    </row>
    <row r="117" spans="1:53" s="5" customFormat="1" x14ac:dyDescent="0.25">
      <c r="A117" s="5">
        <v>2029051888</v>
      </c>
      <c r="B117" s="5" t="s">
        <v>354</v>
      </c>
      <c r="C117" s="5" t="s">
        <v>427</v>
      </c>
      <c r="D117" s="5" t="str">
        <f t="shared" si="4"/>
        <v>REX BUSH</v>
      </c>
      <c r="E117" s="5" t="s">
        <v>135</v>
      </c>
      <c r="F117" s="5" t="s">
        <v>160</v>
      </c>
      <c r="G117" s="5" t="s">
        <v>167</v>
      </c>
      <c r="H117" s="5" t="s">
        <v>730</v>
      </c>
      <c r="I117" s="5" t="s">
        <v>106</v>
      </c>
      <c r="J117" s="5" t="s">
        <v>107</v>
      </c>
      <c r="K117" s="5" t="str">
        <f t="shared" si="7"/>
        <v>Jake Shulman</v>
      </c>
      <c r="L117" s="6">
        <v>45799</v>
      </c>
      <c r="M117" s="6">
        <v>46013</v>
      </c>
      <c r="N117" s="5">
        <f t="shared" si="6"/>
        <v>7</v>
      </c>
      <c r="O117" s="5" t="s">
        <v>316</v>
      </c>
      <c r="P117" s="5" t="s">
        <v>727</v>
      </c>
      <c r="Q117" s="7">
        <v>15</v>
      </c>
      <c r="R117" s="5" t="s">
        <v>58</v>
      </c>
      <c r="S117" s="14">
        <v>0.28999999999999998</v>
      </c>
      <c r="T117" s="5" t="s">
        <v>60</v>
      </c>
      <c r="U117" s="5" t="s">
        <v>317</v>
      </c>
      <c r="V117" s="7">
        <v>4.3499999999999996</v>
      </c>
      <c r="W117" s="5" t="s">
        <v>723</v>
      </c>
    </row>
    <row r="118" spans="1:53" s="5" customFormat="1" x14ac:dyDescent="0.25">
      <c r="A118" s="5">
        <v>2028461883</v>
      </c>
      <c r="B118" s="5" t="s">
        <v>367</v>
      </c>
      <c r="C118" s="5" t="s">
        <v>368</v>
      </c>
      <c r="D118" s="5" t="str">
        <f t="shared" si="4"/>
        <v>JULIA LAIT</v>
      </c>
      <c r="E118" s="5" t="s">
        <v>132</v>
      </c>
      <c r="F118" s="5" t="s">
        <v>89</v>
      </c>
      <c r="G118" s="5" t="s">
        <v>96</v>
      </c>
      <c r="H118" s="5">
        <v>16633294</v>
      </c>
      <c r="I118" s="5" t="s">
        <v>91</v>
      </c>
      <c r="J118" s="5" t="s">
        <v>92</v>
      </c>
      <c r="K118" s="5" t="str">
        <f t="shared" si="7"/>
        <v>Richard Yale</v>
      </c>
      <c r="L118" s="6">
        <v>45772</v>
      </c>
      <c r="M118" s="6">
        <v>46016</v>
      </c>
      <c r="N118" s="5">
        <f t="shared" si="6"/>
        <v>8</v>
      </c>
      <c r="O118" s="5" t="s">
        <v>316</v>
      </c>
      <c r="P118" s="5" t="s">
        <v>727</v>
      </c>
      <c r="Q118" s="7">
        <v>36.82</v>
      </c>
      <c r="R118" s="5" t="s">
        <v>58</v>
      </c>
      <c r="S118" s="14">
        <v>0.9</v>
      </c>
      <c r="T118" s="5" t="s">
        <v>60</v>
      </c>
      <c r="U118" s="5" t="s">
        <v>317</v>
      </c>
      <c r="V118" s="7">
        <v>33.14</v>
      </c>
      <c r="W118" s="5" t="s">
        <v>722</v>
      </c>
    </row>
    <row r="119" spans="1:53" s="5" customFormat="1" x14ac:dyDescent="0.25">
      <c r="A119" s="5">
        <v>2028498801</v>
      </c>
      <c r="B119" s="5" t="s">
        <v>369</v>
      </c>
      <c r="C119" s="5" t="s">
        <v>170</v>
      </c>
      <c r="D119" s="5" t="str">
        <f t="shared" si="4"/>
        <v>TIMOTHY VAWTER</v>
      </c>
      <c r="E119" s="5" t="s">
        <v>310</v>
      </c>
      <c r="F119" s="5" t="s">
        <v>262</v>
      </c>
      <c r="G119" s="5" t="s">
        <v>265</v>
      </c>
      <c r="H119" s="5">
        <v>16633294</v>
      </c>
      <c r="I119" s="5" t="s">
        <v>91</v>
      </c>
      <c r="J119" s="5" t="s">
        <v>92</v>
      </c>
      <c r="K119" s="5" t="str">
        <f t="shared" si="7"/>
        <v>Richard Yale</v>
      </c>
      <c r="L119" s="6">
        <v>45772</v>
      </c>
      <c r="M119" s="6">
        <v>46016</v>
      </c>
      <c r="N119" s="5">
        <f t="shared" si="6"/>
        <v>8</v>
      </c>
      <c r="O119" s="5" t="s">
        <v>316</v>
      </c>
      <c r="P119" s="5" t="s">
        <v>727</v>
      </c>
      <c r="Q119" s="7">
        <v>56.75</v>
      </c>
      <c r="R119" s="5" t="s">
        <v>58</v>
      </c>
      <c r="S119" s="14">
        <v>0.9</v>
      </c>
      <c r="T119" s="5" t="s">
        <v>60</v>
      </c>
      <c r="U119" s="5" t="s">
        <v>317</v>
      </c>
      <c r="V119" s="7">
        <v>51.08</v>
      </c>
      <c r="W119" s="5" t="s">
        <v>265</v>
      </c>
    </row>
    <row r="120" spans="1:53" x14ac:dyDescent="0.25">
      <c r="A120" s="5">
        <v>2028498800</v>
      </c>
      <c r="B120" s="5" t="s">
        <v>369</v>
      </c>
      <c r="C120" s="5" t="s">
        <v>170</v>
      </c>
      <c r="D120" s="5" t="str">
        <f t="shared" si="4"/>
        <v>TIMOTHY VAWTER</v>
      </c>
      <c r="E120" s="5" t="s">
        <v>310</v>
      </c>
      <c r="F120" s="5" t="s">
        <v>89</v>
      </c>
      <c r="G120" s="5" t="s">
        <v>336</v>
      </c>
      <c r="H120" s="5">
        <v>16633294</v>
      </c>
      <c r="I120" s="5" t="s">
        <v>91</v>
      </c>
      <c r="J120" s="5" t="s">
        <v>92</v>
      </c>
      <c r="K120" s="5" t="str">
        <f t="shared" si="7"/>
        <v>Richard Yale</v>
      </c>
      <c r="L120" s="6">
        <v>45772</v>
      </c>
      <c r="M120" s="6">
        <v>46016</v>
      </c>
      <c r="N120" s="5">
        <f t="shared" si="6"/>
        <v>8</v>
      </c>
      <c r="O120" s="5" t="s">
        <v>316</v>
      </c>
      <c r="P120" s="5" t="s">
        <v>727</v>
      </c>
      <c r="Q120" s="7">
        <v>28.95</v>
      </c>
      <c r="R120" s="5" t="s">
        <v>58</v>
      </c>
      <c r="S120" s="14">
        <v>0.75</v>
      </c>
      <c r="T120" s="5" t="s">
        <v>60</v>
      </c>
      <c r="U120" s="5" t="s">
        <v>317</v>
      </c>
      <c r="V120" s="7">
        <v>21.71</v>
      </c>
      <c r="W120" s="5" t="s">
        <v>718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5">
        <v>2028000917</v>
      </c>
      <c r="B121" s="5" t="s">
        <v>547</v>
      </c>
      <c r="C121" s="5" t="s">
        <v>548</v>
      </c>
      <c r="D121" s="5" t="str">
        <f t="shared" si="4"/>
        <v>ANGELO GALLARELLO</v>
      </c>
      <c r="E121" s="5" t="s">
        <v>549</v>
      </c>
      <c r="F121" s="5" t="s">
        <v>262</v>
      </c>
      <c r="G121" s="5" t="s">
        <v>263</v>
      </c>
      <c r="H121" s="5">
        <v>7470776</v>
      </c>
      <c r="I121" s="5" t="s">
        <v>115</v>
      </c>
      <c r="J121" s="5" t="s">
        <v>116</v>
      </c>
      <c r="K121" s="5" t="str">
        <f t="shared" si="7"/>
        <v>Andrew Choi</v>
      </c>
      <c r="L121" s="6">
        <v>45770</v>
      </c>
      <c r="M121" s="6">
        <v>46014</v>
      </c>
      <c r="N121" s="5">
        <f t="shared" si="6"/>
        <v>8</v>
      </c>
      <c r="O121" s="5" t="s">
        <v>316</v>
      </c>
      <c r="P121" s="5" t="s">
        <v>727</v>
      </c>
      <c r="Q121" s="7">
        <v>54.98</v>
      </c>
      <c r="R121" s="5" t="s">
        <v>58</v>
      </c>
      <c r="S121" s="14">
        <v>0.7</v>
      </c>
      <c r="T121" s="5" t="s">
        <v>60</v>
      </c>
      <c r="U121" s="5" t="s">
        <v>317</v>
      </c>
      <c r="V121" s="7">
        <v>38.49</v>
      </c>
      <c r="W121" s="5" t="s">
        <v>263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5">
        <v>2028627543</v>
      </c>
      <c r="B122" s="5" t="s">
        <v>504</v>
      </c>
      <c r="C122" s="5" t="s">
        <v>505</v>
      </c>
      <c r="D122" s="5" t="str">
        <f t="shared" si="4"/>
        <v>DELIA DIAZ</v>
      </c>
      <c r="E122" s="5" t="s">
        <v>132</v>
      </c>
      <c r="F122" s="5" t="s">
        <v>262</v>
      </c>
      <c r="G122" s="5" t="s">
        <v>263</v>
      </c>
      <c r="H122" s="5">
        <v>8325282</v>
      </c>
      <c r="I122" s="5" t="s">
        <v>101</v>
      </c>
      <c r="J122" s="5" t="s">
        <v>102</v>
      </c>
      <c r="K122" s="5" t="str">
        <f t="shared" si="7"/>
        <v>Dale Walenga</v>
      </c>
      <c r="L122" s="6">
        <v>45774</v>
      </c>
      <c r="M122" s="6">
        <v>46018</v>
      </c>
      <c r="N122" s="5">
        <f t="shared" si="6"/>
        <v>8</v>
      </c>
      <c r="O122" s="5" t="s">
        <v>316</v>
      </c>
      <c r="P122" s="5" t="s">
        <v>727</v>
      </c>
      <c r="Q122" s="7">
        <v>11.5</v>
      </c>
      <c r="R122" s="5" t="s">
        <v>58</v>
      </c>
      <c r="S122" s="14">
        <v>0.7</v>
      </c>
      <c r="T122" s="5" t="s">
        <v>60</v>
      </c>
      <c r="U122" s="5" t="s">
        <v>317</v>
      </c>
      <c r="V122" s="7">
        <v>8.0500000000000007</v>
      </c>
      <c r="W122" s="5" t="s">
        <v>263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x14ac:dyDescent="0.25">
      <c r="A123" s="5">
        <v>2028498799</v>
      </c>
      <c r="B123" s="5" t="s">
        <v>369</v>
      </c>
      <c r="C123" s="5" t="s">
        <v>170</v>
      </c>
      <c r="D123" s="5" t="str">
        <f t="shared" si="4"/>
        <v>TIMOTHY VAWTER</v>
      </c>
      <c r="E123" s="5" t="s">
        <v>310</v>
      </c>
      <c r="F123" s="5" t="s">
        <v>262</v>
      </c>
      <c r="G123" s="5" t="s">
        <v>263</v>
      </c>
      <c r="H123" s="5">
        <v>16633294</v>
      </c>
      <c r="I123" s="5" t="s">
        <v>91</v>
      </c>
      <c r="J123" s="5" t="s">
        <v>92</v>
      </c>
      <c r="K123" s="5" t="str">
        <f t="shared" si="7"/>
        <v>Richard Yale</v>
      </c>
      <c r="L123" s="6">
        <v>45772</v>
      </c>
      <c r="M123" s="6">
        <v>46016</v>
      </c>
      <c r="N123" s="5">
        <f t="shared" si="6"/>
        <v>8</v>
      </c>
      <c r="O123" s="5" t="s">
        <v>316</v>
      </c>
      <c r="P123" s="5" t="s">
        <v>727</v>
      </c>
      <c r="Q123" s="7">
        <v>30.58</v>
      </c>
      <c r="R123" s="5" t="s">
        <v>58</v>
      </c>
      <c r="S123" s="14">
        <v>0.7</v>
      </c>
      <c r="T123" s="5" t="s">
        <v>60</v>
      </c>
      <c r="U123" s="5" t="s">
        <v>317</v>
      </c>
      <c r="V123" s="7">
        <v>21.41</v>
      </c>
      <c r="W123" s="5" t="s">
        <v>263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x14ac:dyDescent="0.25">
      <c r="A124" s="5">
        <v>2028461882</v>
      </c>
      <c r="B124" s="5" t="s">
        <v>367</v>
      </c>
      <c r="C124" s="5" t="s">
        <v>368</v>
      </c>
      <c r="D124" s="5" t="str">
        <f t="shared" si="4"/>
        <v>JULIA LAIT</v>
      </c>
      <c r="E124" s="5" t="s">
        <v>132</v>
      </c>
      <c r="F124" s="5" t="s">
        <v>262</v>
      </c>
      <c r="G124" s="5" t="s">
        <v>263</v>
      </c>
      <c r="H124" s="5">
        <v>16633294</v>
      </c>
      <c r="I124" s="5" t="s">
        <v>91</v>
      </c>
      <c r="J124" s="5" t="s">
        <v>92</v>
      </c>
      <c r="K124" s="5" t="str">
        <f t="shared" si="7"/>
        <v>Richard Yale</v>
      </c>
      <c r="L124" s="6">
        <v>45772</v>
      </c>
      <c r="M124" s="6">
        <v>46016</v>
      </c>
      <c r="N124" s="5">
        <f t="shared" si="6"/>
        <v>8</v>
      </c>
      <c r="O124" s="5" t="s">
        <v>316</v>
      </c>
      <c r="P124" s="5" t="s">
        <v>727</v>
      </c>
      <c r="Q124" s="7">
        <v>58.94</v>
      </c>
      <c r="R124" s="5" t="s">
        <v>58</v>
      </c>
      <c r="S124" s="14">
        <v>0.7</v>
      </c>
      <c r="T124" s="5" t="s">
        <v>60</v>
      </c>
      <c r="U124" s="5" t="s">
        <v>317</v>
      </c>
      <c r="V124" s="7">
        <v>41.26</v>
      </c>
      <c r="W124" s="5" t="s">
        <v>263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x14ac:dyDescent="0.25">
      <c r="A125" s="5">
        <v>2028320246</v>
      </c>
      <c r="B125" s="5" t="s">
        <v>318</v>
      </c>
      <c r="C125" s="5" t="s">
        <v>319</v>
      </c>
      <c r="D125" s="5" t="str">
        <f t="shared" si="4"/>
        <v>MAGDALENA CABRAL</v>
      </c>
      <c r="E125" s="5" t="s">
        <v>235</v>
      </c>
      <c r="F125" s="5" t="s">
        <v>53</v>
      </c>
      <c r="G125" s="5" t="s">
        <v>320</v>
      </c>
      <c r="H125" s="5">
        <v>16633294</v>
      </c>
      <c r="I125" s="5" t="s">
        <v>91</v>
      </c>
      <c r="J125" s="5" t="s">
        <v>92</v>
      </c>
      <c r="K125" s="5" t="str">
        <f t="shared" si="7"/>
        <v>Richard Yale</v>
      </c>
      <c r="L125" s="6">
        <v>45772</v>
      </c>
      <c r="M125" s="6">
        <v>46016</v>
      </c>
      <c r="N125" s="5">
        <f t="shared" si="6"/>
        <v>8</v>
      </c>
      <c r="O125" s="5" t="s">
        <v>316</v>
      </c>
      <c r="P125" s="5" t="s">
        <v>727</v>
      </c>
      <c r="Q125" s="7">
        <v>68.52</v>
      </c>
      <c r="R125" s="5" t="s">
        <v>58</v>
      </c>
      <c r="S125" s="14">
        <v>0.6</v>
      </c>
      <c r="T125" s="5" t="s">
        <v>60</v>
      </c>
      <c r="U125" s="5" t="s">
        <v>317</v>
      </c>
      <c r="V125" s="7">
        <v>41.11</v>
      </c>
      <c r="W125" s="5" t="s">
        <v>320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5">
        <v>2028000915</v>
      </c>
      <c r="B126" s="5" t="s">
        <v>547</v>
      </c>
      <c r="C126" s="5" t="s">
        <v>548</v>
      </c>
      <c r="D126" s="5" t="str">
        <f t="shared" si="4"/>
        <v>ANGELO GALLARELLO</v>
      </c>
      <c r="E126" s="5" t="s">
        <v>549</v>
      </c>
      <c r="F126" s="5" t="s">
        <v>258</v>
      </c>
      <c r="G126" s="5" t="s">
        <v>260</v>
      </c>
      <c r="H126" s="5">
        <v>7470776</v>
      </c>
      <c r="I126" s="5" t="s">
        <v>115</v>
      </c>
      <c r="J126" s="5" t="s">
        <v>116</v>
      </c>
      <c r="K126" s="5" t="str">
        <f t="shared" si="7"/>
        <v>Andrew Choi</v>
      </c>
      <c r="L126" s="6">
        <v>45770</v>
      </c>
      <c r="M126" s="6">
        <v>46014</v>
      </c>
      <c r="N126" s="5">
        <f t="shared" si="6"/>
        <v>8</v>
      </c>
      <c r="O126" s="5" t="s">
        <v>316</v>
      </c>
      <c r="P126" s="5" t="s">
        <v>727</v>
      </c>
      <c r="Q126" s="7">
        <v>131.32</v>
      </c>
      <c r="R126" s="5" t="s">
        <v>58</v>
      </c>
      <c r="S126" s="14">
        <v>0.38</v>
      </c>
      <c r="T126" s="5" t="s">
        <v>60</v>
      </c>
      <c r="U126" s="5" t="s">
        <v>317</v>
      </c>
      <c r="V126" s="7">
        <v>49.9</v>
      </c>
      <c r="W126" s="5" t="s">
        <v>260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5">
        <v>2028533939</v>
      </c>
      <c r="B127" s="5" t="s">
        <v>425</v>
      </c>
      <c r="C127" s="5" t="s">
        <v>426</v>
      </c>
      <c r="D127" s="5" t="str">
        <f t="shared" si="4"/>
        <v>JENNIFER WALENGA</v>
      </c>
      <c r="E127" s="5" t="s">
        <v>64</v>
      </c>
      <c r="F127" s="5" t="s">
        <v>258</v>
      </c>
      <c r="G127" s="5" t="s">
        <v>260</v>
      </c>
      <c r="H127" s="5">
        <v>8325282</v>
      </c>
      <c r="I127" s="5" t="s">
        <v>101</v>
      </c>
      <c r="J127" s="5" t="s">
        <v>102</v>
      </c>
      <c r="K127" s="5" t="str">
        <f t="shared" si="7"/>
        <v>Dale Walenga</v>
      </c>
      <c r="L127" s="6">
        <v>45770</v>
      </c>
      <c r="M127" s="6">
        <v>46014</v>
      </c>
      <c r="N127" s="5">
        <f t="shared" si="6"/>
        <v>8</v>
      </c>
      <c r="O127" s="5" t="s">
        <v>316</v>
      </c>
      <c r="P127" s="5" t="s">
        <v>727</v>
      </c>
      <c r="Q127" s="7">
        <v>139</v>
      </c>
      <c r="R127" s="5" t="s">
        <v>58</v>
      </c>
      <c r="S127" s="14">
        <v>0.38</v>
      </c>
      <c r="T127" s="5" t="s">
        <v>60</v>
      </c>
      <c r="U127" s="5" t="s">
        <v>317</v>
      </c>
      <c r="V127" s="7">
        <v>52.82</v>
      </c>
      <c r="W127" s="5" t="s">
        <v>260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5">
        <v>2028000916</v>
      </c>
      <c r="B128" s="5" t="s">
        <v>547</v>
      </c>
      <c r="C128" s="5" t="s">
        <v>548</v>
      </c>
      <c r="D128" s="5" t="str">
        <f t="shared" si="4"/>
        <v>ANGELO GALLARELLO</v>
      </c>
      <c r="E128" s="5" t="s">
        <v>549</v>
      </c>
      <c r="F128" s="5" t="s">
        <v>258</v>
      </c>
      <c r="G128" s="5" t="s">
        <v>261</v>
      </c>
      <c r="H128" s="5">
        <v>7470776</v>
      </c>
      <c r="I128" s="5" t="s">
        <v>115</v>
      </c>
      <c r="J128" s="5" t="s">
        <v>116</v>
      </c>
      <c r="K128" s="5" t="str">
        <f t="shared" si="7"/>
        <v>Andrew Choi</v>
      </c>
      <c r="L128" s="6">
        <v>45770</v>
      </c>
      <c r="M128" s="6">
        <v>46014</v>
      </c>
      <c r="N128" s="5">
        <f t="shared" si="6"/>
        <v>8</v>
      </c>
      <c r="O128" s="5" t="s">
        <v>316</v>
      </c>
      <c r="P128" s="5" t="s">
        <v>727</v>
      </c>
      <c r="Q128" s="7">
        <v>7.09</v>
      </c>
      <c r="R128" s="5" t="s">
        <v>58</v>
      </c>
      <c r="S128" s="14">
        <v>0.38</v>
      </c>
      <c r="T128" s="5" t="s">
        <v>60</v>
      </c>
      <c r="U128" s="5" t="s">
        <v>317</v>
      </c>
      <c r="V128" s="7">
        <v>2.69</v>
      </c>
      <c r="W128" s="5" t="s">
        <v>260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5">
        <v>2028627542</v>
      </c>
      <c r="B129" s="5" t="s">
        <v>504</v>
      </c>
      <c r="C129" s="5" t="s">
        <v>505</v>
      </c>
      <c r="D129" s="5" t="str">
        <f t="shared" si="4"/>
        <v>DELIA DIAZ</v>
      </c>
      <c r="E129" s="5" t="s">
        <v>132</v>
      </c>
      <c r="F129" s="5" t="s">
        <v>258</v>
      </c>
      <c r="G129" s="5" t="s">
        <v>261</v>
      </c>
      <c r="H129" s="5">
        <v>8325282</v>
      </c>
      <c r="I129" s="5" t="s">
        <v>101</v>
      </c>
      <c r="J129" s="5" t="s">
        <v>102</v>
      </c>
      <c r="K129" s="5" t="str">
        <f t="shared" si="7"/>
        <v>Dale Walenga</v>
      </c>
      <c r="L129" s="6">
        <v>45774</v>
      </c>
      <c r="M129" s="6">
        <v>46018</v>
      </c>
      <c r="N129" s="5">
        <f t="shared" si="6"/>
        <v>8</v>
      </c>
      <c r="O129" s="5" t="s">
        <v>316</v>
      </c>
      <c r="P129" s="5" t="s">
        <v>727</v>
      </c>
      <c r="Q129" s="7">
        <v>7.09</v>
      </c>
      <c r="R129" s="5" t="s">
        <v>58</v>
      </c>
      <c r="S129" s="14">
        <v>0.38</v>
      </c>
      <c r="T129" s="5" t="s">
        <v>60</v>
      </c>
      <c r="U129" s="5" t="s">
        <v>317</v>
      </c>
      <c r="V129" s="7">
        <v>2.69</v>
      </c>
      <c r="W129" s="5" t="s">
        <v>260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5">
        <v>2028533940</v>
      </c>
      <c r="B130" s="5" t="s">
        <v>425</v>
      </c>
      <c r="C130" s="5" t="s">
        <v>426</v>
      </c>
      <c r="D130" s="5" t="str">
        <f t="shared" ref="D130:D193" si="8">CONCATENATE(C130," ",B130)</f>
        <v>JENNIFER WALENGA</v>
      </c>
      <c r="E130" s="5" t="s">
        <v>64</v>
      </c>
      <c r="F130" s="5" t="s">
        <v>160</v>
      </c>
      <c r="G130" s="5" t="s">
        <v>180</v>
      </c>
      <c r="H130" s="5">
        <v>8325282</v>
      </c>
      <c r="I130" s="5" t="s">
        <v>101</v>
      </c>
      <c r="J130" s="5" t="s">
        <v>102</v>
      </c>
      <c r="K130" s="5" t="str">
        <f t="shared" ref="K130:K161" si="9">CONCATENATE(J130," ",I130)</f>
        <v>Dale Walenga</v>
      </c>
      <c r="L130" s="6">
        <v>45770</v>
      </c>
      <c r="M130" s="6">
        <v>46014</v>
      </c>
      <c r="N130" s="5">
        <f t="shared" ref="N130:N193" si="10">DATEDIF(L130,M130,"M")</f>
        <v>8</v>
      </c>
      <c r="O130" s="5" t="s">
        <v>316</v>
      </c>
      <c r="P130" s="5" t="s">
        <v>727</v>
      </c>
      <c r="Q130" s="7">
        <v>15</v>
      </c>
      <c r="R130" s="5" t="s">
        <v>58</v>
      </c>
      <c r="S130" s="14">
        <v>0.38</v>
      </c>
      <c r="T130" s="5" t="s">
        <v>60</v>
      </c>
      <c r="U130" s="5" t="s">
        <v>317</v>
      </c>
      <c r="V130" s="7">
        <v>5.7</v>
      </c>
      <c r="W130" s="5" t="s">
        <v>180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5">
        <v>2028627544</v>
      </c>
      <c r="B131" s="5" t="s">
        <v>504</v>
      </c>
      <c r="C131" s="5" t="s">
        <v>505</v>
      </c>
      <c r="D131" s="5" t="str">
        <f t="shared" si="8"/>
        <v>DELIA DIAZ</v>
      </c>
      <c r="E131" s="5" t="s">
        <v>132</v>
      </c>
      <c r="F131" s="5" t="s">
        <v>196</v>
      </c>
      <c r="G131" s="5" t="s">
        <v>197</v>
      </c>
      <c r="H131" s="5">
        <v>8325282</v>
      </c>
      <c r="I131" s="5" t="s">
        <v>101</v>
      </c>
      <c r="J131" s="5" t="s">
        <v>102</v>
      </c>
      <c r="K131" s="5" t="str">
        <f t="shared" si="9"/>
        <v>Dale Walenga</v>
      </c>
      <c r="L131" s="6">
        <v>45774</v>
      </c>
      <c r="M131" s="6">
        <v>46018</v>
      </c>
      <c r="N131" s="5">
        <f t="shared" si="10"/>
        <v>8</v>
      </c>
      <c r="O131" s="5" t="s">
        <v>316</v>
      </c>
      <c r="P131" s="5" t="s">
        <v>727</v>
      </c>
      <c r="Q131" s="7">
        <v>18.64</v>
      </c>
      <c r="R131" s="5" t="s">
        <v>58</v>
      </c>
      <c r="S131" s="15">
        <v>0.375</v>
      </c>
      <c r="T131" s="5" t="s">
        <v>60</v>
      </c>
      <c r="U131" s="5" t="s">
        <v>317</v>
      </c>
      <c r="V131" s="7">
        <v>6.99</v>
      </c>
      <c r="W131" s="5" t="s">
        <v>197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5">
        <v>2028498798</v>
      </c>
      <c r="B132" s="5" t="s">
        <v>369</v>
      </c>
      <c r="C132" s="5" t="s">
        <v>170</v>
      </c>
      <c r="D132" s="5" t="str">
        <f t="shared" si="8"/>
        <v>TIMOTHY VAWTER</v>
      </c>
      <c r="E132" s="5" t="s">
        <v>310</v>
      </c>
      <c r="F132" s="5" t="s">
        <v>196</v>
      </c>
      <c r="G132" s="5" t="s">
        <v>197</v>
      </c>
      <c r="H132" s="5">
        <v>16633294</v>
      </c>
      <c r="I132" s="5" t="s">
        <v>91</v>
      </c>
      <c r="J132" s="5" t="s">
        <v>92</v>
      </c>
      <c r="K132" s="5" t="str">
        <f t="shared" si="9"/>
        <v>Richard Yale</v>
      </c>
      <c r="L132" s="6">
        <v>45772</v>
      </c>
      <c r="M132" s="6">
        <v>46016</v>
      </c>
      <c r="N132" s="5">
        <f t="shared" si="10"/>
        <v>8</v>
      </c>
      <c r="O132" s="5" t="s">
        <v>316</v>
      </c>
      <c r="P132" s="5" t="s">
        <v>727</v>
      </c>
      <c r="Q132" s="7">
        <v>58.15</v>
      </c>
      <c r="R132" s="5" t="s">
        <v>58</v>
      </c>
      <c r="S132" s="15">
        <v>0.375</v>
      </c>
      <c r="T132" s="5" t="s">
        <v>60</v>
      </c>
      <c r="U132" s="5" t="s">
        <v>317</v>
      </c>
      <c r="V132" s="7">
        <v>21.81</v>
      </c>
      <c r="W132" s="5" t="s">
        <v>197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5">
        <v>2028320247</v>
      </c>
      <c r="B133" s="5" t="s">
        <v>318</v>
      </c>
      <c r="C133" s="5" t="s">
        <v>319</v>
      </c>
      <c r="D133" s="5" t="str">
        <f t="shared" si="8"/>
        <v>MAGDALENA CABRAL</v>
      </c>
      <c r="E133" s="5" t="s">
        <v>235</v>
      </c>
      <c r="F133" s="5" t="s">
        <v>196</v>
      </c>
      <c r="G133" s="5" t="s">
        <v>197</v>
      </c>
      <c r="H133" s="5">
        <v>16633294</v>
      </c>
      <c r="I133" s="5" t="s">
        <v>91</v>
      </c>
      <c r="J133" s="5" t="s">
        <v>92</v>
      </c>
      <c r="K133" s="5" t="str">
        <f t="shared" si="9"/>
        <v>Richard Yale</v>
      </c>
      <c r="L133" s="6">
        <v>45772</v>
      </c>
      <c r="M133" s="6">
        <v>46016</v>
      </c>
      <c r="N133" s="5">
        <f t="shared" si="10"/>
        <v>8</v>
      </c>
      <c r="O133" s="5" t="s">
        <v>316</v>
      </c>
      <c r="P133" s="5" t="s">
        <v>727</v>
      </c>
      <c r="Q133" s="7">
        <v>66.5</v>
      </c>
      <c r="R133" s="5" t="s">
        <v>58</v>
      </c>
      <c r="S133" s="15">
        <v>0.375</v>
      </c>
      <c r="T133" s="5" t="s">
        <v>60</v>
      </c>
      <c r="U133" s="5" t="s">
        <v>317</v>
      </c>
      <c r="V133" s="7">
        <v>24.94</v>
      </c>
      <c r="W133" s="5" t="s">
        <v>197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5">
        <v>2028461881</v>
      </c>
      <c r="B134" s="5" t="s">
        <v>367</v>
      </c>
      <c r="C134" s="5" t="s">
        <v>368</v>
      </c>
      <c r="D134" s="5" t="str">
        <f t="shared" si="8"/>
        <v>JULIA LAIT</v>
      </c>
      <c r="E134" s="5" t="s">
        <v>132</v>
      </c>
      <c r="F134" s="5" t="s">
        <v>196</v>
      </c>
      <c r="G134" s="5" t="s">
        <v>197</v>
      </c>
      <c r="H134" s="5">
        <v>16633294</v>
      </c>
      <c r="I134" s="5" t="s">
        <v>91</v>
      </c>
      <c r="J134" s="5" t="s">
        <v>92</v>
      </c>
      <c r="K134" s="5" t="str">
        <f t="shared" si="9"/>
        <v>Richard Yale</v>
      </c>
      <c r="L134" s="6">
        <v>45772</v>
      </c>
      <c r="M134" s="6">
        <v>46016</v>
      </c>
      <c r="N134" s="5">
        <f t="shared" si="10"/>
        <v>8</v>
      </c>
      <c r="O134" s="5" t="s">
        <v>316</v>
      </c>
      <c r="P134" s="5" t="s">
        <v>727</v>
      </c>
      <c r="Q134" s="7">
        <v>78.41</v>
      </c>
      <c r="R134" s="5" t="s">
        <v>58</v>
      </c>
      <c r="S134" s="15">
        <v>0.375</v>
      </c>
      <c r="T134" s="5" t="s">
        <v>60</v>
      </c>
      <c r="U134" s="5" t="s">
        <v>317</v>
      </c>
      <c r="V134" s="7">
        <v>29.4</v>
      </c>
      <c r="W134" s="5" t="s">
        <v>197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5">
        <v>2027913474</v>
      </c>
      <c r="B135" s="5" t="s">
        <v>361</v>
      </c>
      <c r="C135" s="5" t="s">
        <v>362</v>
      </c>
      <c r="D135" s="5" t="str">
        <f t="shared" si="8"/>
        <v>MONIKA AUFDERHEIDE</v>
      </c>
      <c r="E135" s="5" t="s">
        <v>109</v>
      </c>
      <c r="F135" s="5" t="s">
        <v>89</v>
      </c>
      <c r="G135" s="5" t="s">
        <v>96</v>
      </c>
      <c r="H135" s="5">
        <v>16865615</v>
      </c>
      <c r="I135" s="5" t="s">
        <v>111</v>
      </c>
      <c r="J135" s="5" t="s">
        <v>112</v>
      </c>
      <c r="K135" s="5" t="str">
        <f t="shared" si="9"/>
        <v>Heather Geske</v>
      </c>
      <c r="L135" s="6">
        <v>45738</v>
      </c>
      <c r="M135" s="6">
        <v>46013</v>
      </c>
      <c r="N135" s="5">
        <f t="shared" si="10"/>
        <v>9</v>
      </c>
      <c r="O135" s="5" t="s">
        <v>316</v>
      </c>
      <c r="P135" s="5" t="s">
        <v>727</v>
      </c>
      <c r="Q135" s="7">
        <v>111.54</v>
      </c>
      <c r="R135" s="5" t="s">
        <v>58</v>
      </c>
      <c r="S135" s="14">
        <v>0.9</v>
      </c>
      <c r="T135" s="5" t="s">
        <v>60</v>
      </c>
      <c r="U135" s="5" t="s">
        <v>317</v>
      </c>
      <c r="V135" s="7">
        <v>100.39</v>
      </c>
      <c r="W135" s="5" t="s">
        <v>722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5">
        <v>2027904551</v>
      </c>
      <c r="B136" s="5" t="s">
        <v>601</v>
      </c>
      <c r="C136" s="5" t="s">
        <v>334</v>
      </c>
      <c r="D136" s="5" t="str">
        <f t="shared" si="8"/>
        <v>PAMELA DEATON</v>
      </c>
      <c r="E136" s="5" t="s">
        <v>64</v>
      </c>
      <c r="F136" s="5" t="s">
        <v>262</v>
      </c>
      <c r="G136" s="5" t="s">
        <v>265</v>
      </c>
      <c r="H136" s="5">
        <v>8244481</v>
      </c>
      <c r="I136" s="5" t="s">
        <v>601</v>
      </c>
      <c r="J136" s="5" t="s">
        <v>334</v>
      </c>
      <c r="K136" s="5" t="str">
        <f t="shared" si="9"/>
        <v>PAMELA DEATON</v>
      </c>
      <c r="L136" s="6">
        <v>45741</v>
      </c>
      <c r="M136" s="6">
        <v>46016</v>
      </c>
      <c r="N136" s="5">
        <f t="shared" si="10"/>
        <v>9</v>
      </c>
      <c r="O136" s="5" t="s">
        <v>316</v>
      </c>
      <c r="P136" s="5" t="s">
        <v>727</v>
      </c>
      <c r="Q136" s="7">
        <v>46.42</v>
      </c>
      <c r="R136" s="5" t="s">
        <v>58</v>
      </c>
      <c r="S136" s="14">
        <v>0.9</v>
      </c>
      <c r="T136" s="5" t="s">
        <v>60</v>
      </c>
      <c r="U136" s="5" t="s">
        <v>317</v>
      </c>
      <c r="V136" s="7">
        <v>41.78</v>
      </c>
      <c r="W136" s="5" t="s">
        <v>265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5">
        <v>2028070290</v>
      </c>
      <c r="B137" s="5" t="s">
        <v>608</v>
      </c>
      <c r="C137" s="5" t="s">
        <v>609</v>
      </c>
      <c r="D137" s="5" t="str">
        <f t="shared" si="8"/>
        <v>SANDRA GABOURY</v>
      </c>
      <c r="E137" s="5" t="s">
        <v>105</v>
      </c>
      <c r="F137" s="5" t="s">
        <v>262</v>
      </c>
      <c r="G137" s="5" t="s">
        <v>263</v>
      </c>
      <c r="H137" s="5">
        <v>16912722</v>
      </c>
      <c r="I137" s="5" t="s">
        <v>231</v>
      </c>
      <c r="J137" s="5" t="s">
        <v>232</v>
      </c>
      <c r="K137" s="5" t="str">
        <f t="shared" si="9"/>
        <v>ANDREA PETRUNGARO</v>
      </c>
      <c r="L137" s="6">
        <v>45744</v>
      </c>
      <c r="M137" s="6">
        <v>46019</v>
      </c>
      <c r="N137" s="5">
        <f t="shared" si="10"/>
        <v>9</v>
      </c>
      <c r="O137" s="5" t="s">
        <v>316</v>
      </c>
      <c r="P137" s="5" t="s">
        <v>727</v>
      </c>
      <c r="Q137" s="7">
        <v>95.41</v>
      </c>
      <c r="R137" s="5" t="s">
        <v>58</v>
      </c>
      <c r="S137" s="14">
        <v>0.7</v>
      </c>
      <c r="T137" s="5" t="s">
        <v>60</v>
      </c>
      <c r="U137" s="5" t="s">
        <v>317</v>
      </c>
      <c r="V137" s="7">
        <v>66.790000000000006</v>
      </c>
      <c r="W137" s="5" t="s">
        <v>263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s="5" customFormat="1" x14ac:dyDescent="0.25">
      <c r="A138" s="5">
        <v>2028005041</v>
      </c>
      <c r="B138" s="5" t="s">
        <v>502</v>
      </c>
      <c r="C138" s="5" t="s">
        <v>503</v>
      </c>
      <c r="D138" s="5" t="str">
        <f t="shared" si="8"/>
        <v>MELVIN FERNANDEZ</v>
      </c>
      <c r="E138" s="5" t="s">
        <v>64</v>
      </c>
      <c r="F138" s="5" t="s">
        <v>262</v>
      </c>
      <c r="G138" s="5" t="s">
        <v>263</v>
      </c>
      <c r="H138" s="5">
        <v>7470776</v>
      </c>
      <c r="I138" s="5" t="s">
        <v>115</v>
      </c>
      <c r="J138" s="5" t="s">
        <v>116</v>
      </c>
      <c r="K138" s="5" t="str">
        <f t="shared" si="9"/>
        <v>Andrew Choi</v>
      </c>
      <c r="L138" s="6">
        <v>45741</v>
      </c>
      <c r="M138" s="6">
        <v>46016</v>
      </c>
      <c r="N138" s="5">
        <f t="shared" si="10"/>
        <v>9</v>
      </c>
      <c r="O138" s="5" t="s">
        <v>316</v>
      </c>
      <c r="P138" s="5" t="s">
        <v>727</v>
      </c>
      <c r="Q138" s="7">
        <v>15.75</v>
      </c>
      <c r="R138" s="5" t="s">
        <v>58</v>
      </c>
      <c r="S138" s="14">
        <v>0.7</v>
      </c>
      <c r="T138" s="5" t="s">
        <v>60</v>
      </c>
      <c r="U138" s="5" t="s">
        <v>317</v>
      </c>
      <c r="V138" s="7">
        <v>11.02</v>
      </c>
      <c r="W138" s="5" t="s">
        <v>263</v>
      </c>
    </row>
    <row r="139" spans="1:53" s="5" customFormat="1" x14ac:dyDescent="0.25">
      <c r="A139" s="5">
        <v>2027996023</v>
      </c>
      <c r="B139" s="5" t="s">
        <v>157</v>
      </c>
      <c r="C139" s="5" t="s">
        <v>364</v>
      </c>
      <c r="D139" s="5" t="str">
        <f t="shared" si="8"/>
        <v>CAMERON THOMAS</v>
      </c>
      <c r="E139" s="5" t="s">
        <v>105</v>
      </c>
      <c r="F139" s="5" t="s">
        <v>262</v>
      </c>
      <c r="G139" s="5" t="s">
        <v>263</v>
      </c>
      <c r="H139" s="5">
        <v>19586992</v>
      </c>
      <c r="I139" s="5" t="s">
        <v>326</v>
      </c>
      <c r="J139" s="5" t="s">
        <v>327</v>
      </c>
      <c r="K139" s="5" t="str">
        <f t="shared" si="9"/>
        <v>Barry Schumann</v>
      </c>
      <c r="L139" s="6">
        <v>45743</v>
      </c>
      <c r="M139" s="6">
        <v>46018</v>
      </c>
      <c r="N139" s="5">
        <f t="shared" si="10"/>
        <v>9</v>
      </c>
      <c r="O139" s="5" t="s">
        <v>316</v>
      </c>
      <c r="P139" s="5" t="s">
        <v>727</v>
      </c>
      <c r="Q139" s="7">
        <v>18.350000000000001</v>
      </c>
      <c r="R139" s="5" t="s">
        <v>58</v>
      </c>
      <c r="S139" s="14">
        <v>0.7</v>
      </c>
      <c r="T139" s="5" t="s">
        <v>60</v>
      </c>
      <c r="U139" s="5" t="s">
        <v>317</v>
      </c>
      <c r="V139" s="7">
        <v>12.84</v>
      </c>
      <c r="W139" s="5" t="s">
        <v>263</v>
      </c>
    </row>
    <row r="140" spans="1:53" x14ac:dyDescent="0.25">
      <c r="A140" s="5">
        <v>2027913472</v>
      </c>
      <c r="B140" s="5" t="s">
        <v>361</v>
      </c>
      <c r="C140" s="5" t="s">
        <v>362</v>
      </c>
      <c r="D140" s="5" t="str">
        <f t="shared" si="8"/>
        <v>MONIKA AUFDERHEIDE</v>
      </c>
      <c r="E140" s="5" t="s">
        <v>109</v>
      </c>
      <c r="F140" s="5" t="s">
        <v>262</v>
      </c>
      <c r="G140" s="5" t="s">
        <v>263</v>
      </c>
      <c r="H140" s="5">
        <v>16865615</v>
      </c>
      <c r="I140" s="5" t="s">
        <v>111</v>
      </c>
      <c r="J140" s="5" t="s">
        <v>112</v>
      </c>
      <c r="K140" s="5" t="str">
        <f t="shared" si="9"/>
        <v>Heather Geske</v>
      </c>
      <c r="L140" s="6">
        <v>45738</v>
      </c>
      <c r="M140" s="6">
        <v>46013</v>
      </c>
      <c r="N140" s="5">
        <f t="shared" si="10"/>
        <v>9</v>
      </c>
      <c r="O140" s="5" t="s">
        <v>316</v>
      </c>
      <c r="P140" s="5" t="s">
        <v>727</v>
      </c>
      <c r="Q140" s="7">
        <v>7.89</v>
      </c>
      <c r="R140" s="5" t="s">
        <v>58</v>
      </c>
      <c r="S140" s="14">
        <v>0.7</v>
      </c>
      <c r="T140" s="5" t="s">
        <v>60</v>
      </c>
      <c r="U140" s="5" t="s">
        <v>317</v>
      </c>
      <c r="V140" s="7">
        <v>5.52</v>
      </c>
      <c r="W140" s="5" t="s">
        <v>263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s="5" customFormat="1" x14ac:dyDescent="0.25">
      <c r="A141" s="5">
        <v>2027920263</v>
      </c>
      <c r="B141" s="5" t="s">
        <v>363</v>
      </c>
      <c r="C141" s="5" t="s">
        <v>286</v>
      </c>
      <c r="D141" s="5" t="str">
        <f t="shared" si="8"/>
        <v>NANCY LUTES</v>
      </c>
      <c r="E141" s="5" t="s">
        <v>109</v>
      </c>
      <c r="F141" s="5" t="s">
        <v>262</v>
      </c>
      <c r="G141" s="5" t="s">
        <v>263</v>
      </c>
      <c r="H141" s="5">
        <v>16865615</v>
      </c>
      <c r="I141" s="5" t="s">
        <v>111</v>
      </c>
      <c r="J141" s="5" t="s">
        <v>112</v>
      </c>
      <c r="K141" s="5" t="str">
        <f t="shared" si="9"/>
        <v>Heather Geske</v>
      </c>
      <c r="L141" s="6">
        <v>45744</v>
      </c>
      <c r="M141" s="6">
        <v>46019</v>
      </c>
      <c r="N141" s="5">
        <f t="shared" si="10"/>
        <v>9</v>
      </c>
      <c r="O141" s="5" t="s">
        <v>316</v>
      </c>
      <c r="P141" s="5" t="s">
        <v>727</v>
      </c>
      <c r="Q141" s="7">
        <v>9.1</v>
      </c>
      <c r="R141" s="5" t="s">
        <v>58</v>
      </c>
      <c r="S141" s="14">
        <v>0.7</v>
      </c>
      <c r="T141" s="5" t="s">
        <v>60</v>
      </c>
      <c r="U141" s="5" t="s">
        <v>317</v>
      </c>
      <c r="V141" s="7">
        <v>6.37</v>
      </c>
      <c r="W141" s="5" t="s">
        <v>263</v>
      </c>
    </row>
    <row r="142" spans="1:53" s="5" customFormat="1" x14ac:dyDescent="0.25">
      <c r="A142" s="5">
        <v>2028004035</v>
      </c>
      <c r="B142" s="5" t="s">
        <v>365</v>
      </c>
      <c r="C142" s="5" t="s">
        <v>366</v>
      </c>
      <c r="D142" s="5" t="str">
        <f t="shared" si="8"/>
        <v>BRENDA LOYA</v>
      </c>
      <c r="E142" s="5" t="s">
        <v>109</v>
      </c>
      <c r="F142" s="5" t="s">
        <v>262</v>
      </c>
      <c r="G142" s="5" t="s">
        <v>263</v>
      </c>
      <c r="H142" s="5">
        <v>16865615</v>
      </c>
      <c r="I142" s="5" t="s">
        <v>111</v>
      </c>
      <c r="J142" s="5" t="s">
        <v>112</v>
      </c>
      <c r="K142" s="5" t="str">
        <f t="shared" si="9"/>
        <v>Heather Geske</v>
      </c>
      <c r="L142" s="6">
        <v>45741</v>
      </c>
      <c r="M142" s="6">
        <v>46016</v>
      </c>
      <c r="N142" s="5">
        <f t="shared" si="10"/>
        <v>9</v>
      </c>
      <c r="O142" s="5" t="s">
        <v>316</v>
      </c>
      <c r="P142" s="5" t="s">
        <v>727</v>
      </c>
      <c r="Q142" s="7">
        <v>9.1</v>
      </c>
      <c r="R142" s="5" t="s">
        <v>58</v>
      </c>
      <c r="S142" s="14">
        <v>0.7</v>
      </c>
      <c r="T142" s="5" t="s">
        <v>60</v>
      </c>
      <c r="U142" s="5" t="s">
        <v>317</v>
      </c>
      <c r="V142" s="7">
        <v>6.37</v>
      </c>
      <c r="W142" s="5" t="s">
        <v>263</v>
      </c>
    </row>
    <row r="143" spans="1:53" s="5" customFormat="1" x14ac:dyDescent="0.25">
      <c r="A143" s="5">
        <v>2028019977</v>
      </c>
      <c r="B143" s="5" t="s">
        <v>607</v>
      </c>
      <c r="C143" s="5" t="s">
        <v>71</v>
      </c>
      <c r="D143" s="5" t="str">
        <f t="shared" si="8"/>
        <v>RYAN BROWN</v>
      </c>
      <c r="E143" s="5" t="s">
        <v>129</v>
      </c>
      <c r="F143" s="5" t="s">
        <v>262</v>
      </c>
      <c r="G143" s="5" t="s">
        <v>263</v>
      </c>
      <c r="H143" s="5">
        <v>21421111</v>
      </c>
      <c r="I143" s="5" t="s">
        <v>148</v>
      </c>
      <c r="J143" s="5" t="s">
        <v>149</v>
      </c>
      <c r="K143" s="5" t="str">
        <f t="shared" si="9"/>
        <v>Kirk Tigue</v>
      </c>
      <c r="L143" s="6">
        <v>45742</v>
      </c>
      <c r="M143" s="6">
        <v>46017</v>
      </c>
      <c r="N143" s="5">
        <f t="shared" si="10"/>
        <v>9</v>
      </c>
      <c r="O143" s="5" t="s">
        <v>316</v>
      </c>
      <c r="P143" s="5" t="s">
        <v>727</v>
      </c>
      <c r="Q143" s="7">
        <v>128.80000000000001</v>
      </c>
      <c r="R143" s="5" t="s">
        <v>58</v>
      </c>
      <c r="S143" s="14">
        <v>0.7</v>
      </c>
      <c r="T143" s="5" t="s">
        <v>60</v>
      </c>
      <c r="U143" s="5" t="s">
        <v>317</v>
      </c>
      <c r="V143" s="7">
        <v>90.16</v>
      </c>
      <c r="W143" s="5" t="s">
        <v>263</v>
      </c>
    </row>
    <row r="144" spans="1:53" s="5" customFormat="1" x14ac:dyDescent="0.25">
      <c r="A144" s="5">
        <v>2028007024</v>
      </c>
      <c r="B144" s="5" t="s">
        <v>603</v>
      </c>
      <c r="C144" s="5" t="s">
        <v>604</v>
      </c>
      <c r="D144" s="5" t="str">
        <f t="shared" si="8"/>
        <v>TSOGOO DAMDINVAANJIL</v>
      </c>
      <c r="E144" s="5" t="s">
        <v>64</v>
      </c>
      <c r="F144" s="5" t="s">
        <v>262</v>
      </c>
      <c r="G144" s="5" t="s">
        <v>263</v>
      </c>
      <c r="H144" s="5">
        <v>20999157</v>
      </c>
      <c r="I144" s="5" t="s">
        <v>605</v>
      </c>
      <c r="J144" s="5" t="s">
        <v>606</v>
      </c>
      <c r="K144" s="5" t="str">
        <f t="shared" si="9"/>
        <v>ODMAA ENKHTUR</v>
      </c>
      <c r="L144" s="6">
        <v>45741</v>
      </c>
      <c r="M144" s="6">
        <v>46016</v>
      </c>
      <c r="N144" s="5">
        <f t="shared" si="10"/>
        <v>9</v>
      </c>
      <c r="O144" s="5" t="s">
        <v>316</v>
      </c>
      <c r="P144" s="5" t="s">
        <v>727</v>
      </c>
      <c r="Q144" s="7">
        <v>19</v>
      </c>
      <c r="R144" s="5" t="s">
        <v>58</v>
      </c>
      <c r="S144" s="14">
        <v>0.7</v>
      </c>
      <c r="T144" s="5" t="s">
        <v>60</v>
      </c>
      <c r="U144" s="5" t="s">
        <v>317</v>
      </c>
      <c r="V144" s="7">
        <v>13.3</v>
      </c>
      <c r="W144" s="5" t="s">
        <v>263</v>
      </c>
    </row>
    <row r="145" spans="1:53" s="5" customFormat="1" x14ac:dyDescent="0.25">
      <c r="A145" s="5">
        <v>2027996022</v>
      </c>
      <c r="B145" s="5" t="s">
        <v>157</v>
      </c>
      <c r="C145" s="5" t="s">
        <v>364</v>
      </c>
      <c r="D145" s="5" t="str">
        <f t="shared" si="8"/>
        <v>CAMERON THOMAS</v>
      </c>
      <c r="E145" s="5" t="s">
        <v>105</v>
      </c>
      <c r="F145" s="5" t="s">
        <v>89</v>
      </c>
      <c r="G145" s="5" t="s">
        <v>110</v>
      </c>
      <c r="H145" s="5">
        <v>19586992</v>
      </c>
      <c r="I145" s="5" t="s">
        <v>326</v>
      </c>
      <c r="J145" s="5" t="s">
        <v>327</v>
      </c>
      <c r="K145" s="5" t="str">
        <f t="shared" si="9"/>
        <v>Barry Schumann</v>
      </c>
      <c r="L145" s="6">
        <v>45743</v>
      </c>
      <c r="M145" s="6">
        <v>46018</v>
      </c>
      <c r="N145" s="5">
        <f t="shared" si="10"/>
        <v>9</v>
      </c>
      <c r="O145" s="5" t="s">
        <v>316</v>
      </c>
      <c r="P145" s="5" t="s">
        <v>727</v>
      </c>
      <c r="Q145" s="7">
        <v>16.29</v>
      </c>
      <c r="R145" s="5" t="s">
        <v>58</v>
      </c>
      <c r="S145" s="14">
        <v>0.65</v>
      </c>
      <c r="T145" s="5" t="s">
        <v>60</v>
      </c>
      <c r="U145" s="5" t="s">
        <v>317</v>
      </c>
      <c r="V145" s="7">
        <v>10.59</v>
      </c>
      <c r="W145" s="5" t="s">
        <v>719</v>
      </c>
    </row>
    <row r="146" spans="1:53" s="5" customFormat="1" x14ac:dyDescent="0.25">
      <c r="A146" s="5">
        <v>2028004036</v>
      </c>
      <c r="B146" s="5" t="s">
        <v>365</v>
      </c>
      <c r="C146" s="5" t="s">
        <v>366</v>
      </c>
      <c r="D146" s="5" t="str">
        <f t="shared" si="8"/>
        <v>BRENDA LOYA</v>
      </c>
      <c r="E146" s="5" t="s">
        <v>109</v>
      </c>
      <c r="F146" s="5" t="s">
        <v>89</v>
      </c>
      <c r="G146" s="5" t="s">
        <v>110</v>
      </c>
      <c r="H146" s="5">
        <v>16865615</v>
      </c>
      <c r="I146" s="5" t="s">
        <v>111</v>
      </c>
      <c r="J146" s="5" t="s">
        <v>112</v>
      </c>
      <c r="K146" s="5" t="str">
        <f t="shared" si="9"/>
        <v>Heather Geske</v>
      </c>
      <c r="L146" s="6">
        <v>45741</v>
      </c>
      <c r="M146" s="6">
        <v>46016</v>
      </c>
      <c r="N146" s="5">
        <f t="shared" si="10"/>
        <v>9</v>
      </c>
      <c r="O146" s="5" t="s">
        <v>316</v>
      </c>
      <c r="P146" s="5" t="s">
        <v>727</v>
      </c>
      <c r="Q146" s="7">
        <v>21.96</v>
      </c>
      <c r="R146" s="5" t="s">
        <v>58</v>
      </c>
      <c r="S146" s="14">
        <v>0.65</v>
      </c>
      <c r="T146" s="5" t="s">
        <v>60</v>
      </c>
      <c r="U146" s="5" t="s">
        <v>317</v>
      </c>
      <c r="V146" s="7">
        <v>14.27</v>
      </c>
      <c r="W146" s="5" t="s">
        <v>719</v>
      </c>
    </row>
    <row r="147" spans="1:53" s="5" customFormat="1" x14ac:dyDescent="0.25">
      <c r="A147" s="5">
        <v>2027920264</v>
      </c>
      <c r="B147" s="5" t="s">
        <v>363</v>
      </c>
      <c r="C147" s="5" t="s">
        <v>286</v>
      </c>
      <c r="D147" s="5" t="str">
        <f t="shared" si="8"/>
        <v>NANCY LUTES</v>
      </c>
      <c r="E147" s="5" t="s">
        <v>109</v>
      </c>
      <c r="F147" s="5" t="s">
        <v>89</v>
      </c>
      <c r="G147" s="5" t="s">
        <v>110</v>
      </c>
      <c r="H147" s="5">
        <v>16865615</v>
      </c>
      <c r="I147" s="5" t="s">
        <v>111</v>
      </c>
      <c r="J147" s="5" t="s">
        <v>112</v>
      </c>
      <c r="K147" s="5" t="str">
        <f t="shared" si="9"/>
        <v>Heather Geske</v>
      </c>
      <c r="L147" s="6">
        <v>45744</v>
      </c>
      <c r="M147" s="6">
        <v>46019</v>
      </c>
      <c r="N147" s="5">
        <f t="shared" si="10"/>
        <v>9</v>
      </c>
      <c r="O147" s="5" t="s">
        <v>316</v>
      </c>
      <c r="P147" s="5" t="s">
        <v>727</v>
      </c>
      <c r="Q147" s="7">
        <v>65.28</v>
      </c>
      <c r="R147" s="5" t="s">
        <v>58</v>
      </c>
      <c r="S147" s="14">
        <v>0.65</v>
      </c>
      <c r="T147" s="5" t="s">
        <v>60</v>
      </c>
      <c r="U147" s="5" t="s">
        <v>317</v>
      </c>
      <c r="V147" s="7">
        <v>42.43</v>
      </c>
      <c r="W147" s="5" t="s">
        <v>719</v>
      </c>
    </row>
    <row r="148" spans="1:53" s="5" customFormat="1" x14ac:dyDescent="0.25">
      <c r="A148" s="5">
        <v>2027883703</v>
      </c>
      <c r="B148" s="5" t="s">
        <v>697</v>
      </c>
      <c r="C148" s="5" t="s">
        <v>698</v>
      </c>
      <c r="D148" s="5" t="str">
        <f t="shared" si="8"/>
        <v>CHINYERE ALIKOR</v>
      </c>
      <c r="E148" s="5" t="s">
        <v>105</v>
      </c>
      <c r="F148" s="5" t="s">
        <v>683</v>
      </c>
      <c r="G148" s="5" t="s">
        <v>684</v>
      </c>
      <c r="H148" s="5">
        <v>371819</v>
      </c>
      <c r="I148" s="5" t="s">
        <v>156</v>
      </c>
      <c r="J148" s="5" t="s">
        <v>157</v>
      </c>
      <c r="K148" s="5" t="str">
        <f t="shared" si="9"/>
        <v>THOMAS PARDUE</v>
      </c>
      <c r="L148" s="6">
        <v>45735</v>
      </c>
      <c r="M148" s="6">
        <v>46010</v>
      </c>
      <c r="N148" s="5">
        <f t="shared" si="10"/>
        <v>9</v>
      </c>
      <c r="O148" s="5" t="s">
        <v>316</v>
      </c>
      <c r="P148" s="5" t="s">
        <v>727</v>
      </c>
      <c r="Q148" s="7">
        <v>31.52</v>
      </c>
      <c r="R148" s="5" t="s">
        <v>58</v>
      </c>
      <c r="S148" s="14">
        <v>0.47</v>
      </c>
      <c r="T148" s="5" t="s">
        <v>60</v>
      </c>
      <c r="U148" s="5" t="s">
        <v>317</v>
      </c>
      <c r="V148" s="7">
        <v>14.81</v>
      </c>
      <c r="W148" s="5" t="s">
        <v>684</v>
      </c>
    </row>
    <row r="149" spans="1:53" s="5" customFormat="1" x14ac:dyDescent="0.25">
      <c r="A149" s="5">
        <v>2027913473</v>
      </c>
      <c r="B149" s="5" t="s">
        <v>361</v>
      </c>
      <c r="C149" s="5" t="s">
        <v>362</v>
      </c>
      <c r="D149" s="5" t="str">
        <f t="shared" si="8"/>
        <v>MONIKA AUFDERHEIDE</v>
      </c>
      <c r="E149" s="5" t="s">
        <v>109</v>
      </c>
      <c r="F149" s="5" t="s">
        <v>258</v>
      </c>
      <c r="G149" s="5" t="s">
        <v>259</v>
      </c>
      <c r="H149" s="5">
        <v>16865615</v>
      </c>
      <c r="I149" s="5" t="s">
        <v>111</v>
      </c>
      <c r="J149" s="5" t="s">
        <v>112</v>
      </c>
      <c r="K149" s="5" t="str">
        <f t="shared" si="9"/>
        <v>Heather Geske</v>
      </c>
      <c r="L149" s="6">
        <v>45738</v>
      </c>
      <c r="M149" s="6">
        <v>46013</v>
      </c>
      <c r="N149" s="5">
        <f t="shared" si="10"/>
        <v>9</v>
      </c>
      <c r="O149" s="5" t="s">
        <v>316</v>
      </c>
      <c r="P149" s="5" t="s">
        <v>727</v>
      </c>
      <c r="Q149" s="7">
        <v>40.270000000000003</v>
      </c>
      <c r="R149" s="5" t="s">
        <v>58</v>
      </c>
      <c r="S149" s="14">
        <v>0.38</v>
      </c>
      <c r="T149" s="5" t="s">
        <v>60</v>
      </c>
      <c r="U149" s="5" t="s">
        <v>317</v>
      </c>
      <c r="V149" s="7">
        <v>15.3</v>
      </c>
      <c r="W149" s="5" t="s">
        <v>259</v>
      </c>
    </row>
    <row r="150" spans="1:53" s="16" customFormat="1" x14ac:dyDescent="0.25">
      <c r="A150" s="5">
        <v>2028005040</v>
      </c>
      <c r="B150" s="5" t="s">
        <v>502</v>
      </c>
      <c r="C150" s="5" t="s">
        <v>503</v>
      </c>
      <c r="D150" s="5" t="str">
        <f t="shared" si="8"/>
        <v>MELVIN FERNANDEZ</v>
      </c>
      <c r="E150" s="5" t="s">
        <v>64</v>
      </c>
      <c r="F150" s="5" t="s">
        <v>196</v>
      </c>
      <c r="G150" s="5" t="s">
        <v>197</v>
      </c>
      <c r="H150" s="5">
        <v>7470776</v>
      </c>
      <c r="I150" s="5" t="s">
        <v>115</v>
      </c>
      <c r="J150" s="5" t="s">
        <v>116</v>
      </c>
      <c r="K150" s="5" t="str">
        <f t="shared" si="9"/>
        <v>Andrew Choi</v>
      </c>
      <c r="L150" s="6">
        <v>45741</v>
      </c>
      <c r="M150" s="6">
        <v>46016</v>
      </c>
      <c r="N150" s="5">
        <f t="shared" si="10"/>
        <v>9</v>
      </c>
      <c r="O150" s="5" t="s">
        <v>316</v>
      </c>
      <c r="P150" s="5" t="s">
        <v>727</v>
      </c>
      <c r="Q150" s="7">
        <v>184.68</v>
      </c>
      <c r="R150" s="5" t="s">
        <v>58</v>
      </c>
      <c r="S150" s="15">
        <v>0.375</v>
      </c>
      <c r="T150" s="5" t="s">
        <v>60</v>
      </c>
      <c r="U150" s="5" t="s">
        <v>317</v>
      </c>
      <c r="V150" s="7">
        <v>69.260000000000005</v>
      </c>
      <c r="W150" s="5" t="s">
        <v>197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s="16" customFormat="1" x14ac:dyDescent="0.25">
      <c r="A151" s="5">
        <v>2027920262</v>
      </c>
      <c r="B151" s="5" t="s">
        <v>363</v>
      </c>
      <c r="C151" s="5" t="s">
        <v>286</v>
      </c>
      <c r="D151" s="5" t="str">
        <f t="shared" si="8"/>
        <v>NANCY LUTES</v>
      </c>
      <c r="E151" s="5" t="s">
        <v>109</v>
      </c>
      <c r="F151" s="5" t="s">
        <v>196</v>
      </c>
      <c r="G151" s="5" t="s">
        <v>197</v>
      </c>
      <c r="H151" s="5">
        <v>16865615</v>
      </c>
      <c r="I151" s="5" t="s">
        <v>111</v>
      </c>
      <c r="J151" s="5" t="s">
        <v>112</v>
      </c>
      <c r="K151" s="5" t="str">
        <f t="shared" si="9"/>
        <v>Heather Geske</v>
      </c>
      <c r="L151" s="6">
        <v>45744</v>
      </c>
      <c r="M151" s="6">
        <v>46019</v>
      </c>
      <c r="N151" s="5">
        <f t="shared" si="10"/>
        <v>9</v>
      </c>
      <c r="O151" s="5" t="s">
        <v>316</v>
      </c>
      <c r="P151" s="5" t="s">
        <v>727</v>
      </c>
      <c r="Q151" s="7">
        <v>53.08</v>
      </c>
      <c r="R151" s="5" t="s">
        <v>58</v>
      </c>
      <c r="S151" s="15">
        <v>0.375</v>
      </c>
      <c r="T151" s="5" t="s">
        <v>60</v>
      </c>
      <c r="U151" s="5" t="s">
        <v>317</v>
      </c>
      <c r="V151" s="7">
        <v>19.899999999999999</v>
      </c>
      <c r="W151" s="5" t="s">
        <v>197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s="5" customFormat="1" x14ac:dyDescent="0.25">
      <c r="A152" s="5">
        <v>2027406567</v>
      </c>
      <c r="B152" s="5" t="s">
        <v>594</v>
      </c>
      <c r="C152" s="5" t="s">
        <v>595</v>
      </c>
      <c r="D152" s="5" t="str">
        <f t="shared" si="8"/>
        <v>DEVIN LARSEN</v>
      </c>
      <c r="E152" s="5" t="s">
        <v>64</v>
      </c>
      <c r="F152" s="5" t="s">
        <v>262</v>
      </c>
      <c r="G152" s="5" t="s">
        <v>263</v>
      </c>
      <c r="H152" s="5">
        <v>17301495</v>
      </c>
      <c r="I152" s="5" t="s">
        <v>596</v>
      </c>
      <c r="J152" s="5" t="s">
        <v>597</v>
      </c>
      <c r="K152" s="5" t="str">
        <f t="shared" si="9"/>
        <v>ESTHER HERRERA-LARSEN</v>
      </c>
      <c r="L152" s="6">
        <v>45715</v>
      </c>
      <c r="M152" s="6">
        <v>46018</v>
      </c>
      <c r="N152" s="5">
        <f t="shared" si="10"/>
        <v>10</v>
      </c>
      <c r="O152" s="5" t="s">
        <v>316</v>
      </c>
      <c r="P152" s="5" t="s">
        <v>727</v>
      </c>
      <c r="Q152" s="7">
        <v>101.22</v>
      </c>
      <c r="R152" s="5" t="s">
        <v>58</v>
      </c>
      <c r="S152" s="14">
        <v>0.7</v>
      </c>
      <c r="T152" s="5" t="s">
        <v>60</v>
      </c>
      <c r="U152" s="5" t="s">
        <v>317</v>
      </c>
      <c r="V152" s="7">
        <v>70.849999999999994</v>
      </c>
      <c r="W152" s="5" t="s">
        <v>263</v>
      </c>
    </row>
    <row r="153" spans="1:53" s="5" customFormat="1" x14ac:dyDescent="0.25">
      <c r="A153" s="5">
        <v>2027430396</v>
      </c>
      <c r="B153" s="5" t="s">
        <v>496</v>
      </c>
      <c r="C153" s="5" t="s">
        <v>497</v>
      </c>
      <c r="D153" s="5" t="str">
        <f t="shared" si="8"/>
        <v>JAY WOJTASIK</v>
      </c>
      <c r="E153" s="5" t="s">
        <v>64</v>
      </c>
      <c r="F153" s="5" t="s">
        <v>196</v>
      </c>
      <c r="G153" s="5" t="s">
        <v>197</v>
      </c>
      <c r="H153" s="5">
        <v>20220688</v>
      </c>
      <c r="I153" s="5" t="s">
        <v>498</v>
      </c>
      <c r="J153" s="5" t="s">
        <v>499</v>
      </c>
      <c r="K153" s="5" t="str">
        <f t="shared" si="9"/>
        <v>NASANDELGER ZANA</v>
      </c>
      <c r="L153" s="6">
        <v>45716</v>
      </c>
      <c r="M153" s="6">
        <v>46019</v>
      </c>
      <c r="N153" s="5">
        <f t="shared" si="10"/>
        <v>10</v>
      </c>
      <c r="O153" s="5" t="s">
        <v>316</v>
      </c>
      <c r="P153" s="5" t="s">
        <v>727</v>
      </c>
      <c r="Q153" s="7">
        <v>113.66</v>
      </c>
      <c r="R153" s="5" t="s">
        <v>58</v>
      </c>
      <c r="S153" s="15">
        <v>0.375</v>
      </c>
      <c r="T153" s="5" t="s">
        <v>60</v>
      </c>
      <c r="U153" s="5" t="s">
        <v>317</v>
      </c>
      <c r="V153" s="7">
        <v>42.62</v>
      </c>
      <c r="W153" s="5" t="s">
        <v>197</v>
      </c>
    </row>
    <row r="154" spans="1:53" s="5" customFormat="1" x14ac:dyDescent="0.25">
      <c r="A154" s="5">
        <v>2027431059</v>
      </c>
      <c r="B154" s="5" t="s">
        <v>500</v>
      </c>
      <c r="C154" s="5" t="s">
        <v>501</v>
      </c>
      <c r="D154" s="5" t="str">
        <f t="shared" si="8"/>
        <v>FATOUMATA DIAKITE</v>
      </c>
      <c r="E154" s="5" t="s">
        <v>235</v>
      </c>
      <c r="F154" s="5" t="s">
        <v>196</v>
      </c>
      <c r="G154" s="5" t="s">
        <v>197</v>
      </c>
      <c r="H154" s="5">
        <v>371819</v>
      </c>
      <c r="I154" s="5" t="s">
        <v>156</v>
      </c>
      <c r="J154" s="5" t="s">
        <v>157</v>
      </c>
      <c r="K154" s="5" t="str">
        <f t="shared" si="9"/>
        <v>THOMAS PARDUE</v>
      </c>
      <c r="L154" s="6">
        <v>45716</v>
      </c>
      <c r="M154" s="6">
        <v>46019</v>
      </c>
      <c r="N154" s="5">
        <f t="shared" si="10"/>
        <v>10</v>
      </c>
      <c r="O154" s="5" t="s">
        <v>316</v>
      </c>
      <c r="P154" s="5" t="s">
        <v>727</v>
      </c>
      <c r="Q154" s="7">
        <v>29.06</v>
      </c>
      <c r="R154" s="5" t="s">
        <v>58</v>
      </c>
      <c r="S154" s="15">
        <v>0.375</v>
      </c>
      <c r="T154" s="5" t="s">
        <v>60</v>
      </c>
      <c r="U154" s="5" t="s">
        <v>317</v>
      </c>
      <c r="V154" s="7">
        <v>10.9</v>
      </c>
      <c r="W154" s="5" t="s">
        <v>197</v>
      </c>
    </row>
    <row r="155" spans="1:53" s="5" customFormat="1" x14ac:dyDescent="0.25">
      <c r="A155" s="5">
        <v>2026669942</v>
      </c>
      <c r="B155" s="5" t="s">
        <v>350</v>
      </c>
      <c r="C155" s="5" t="s">
        <v>351</v>
      </c>
      <c r="D155" s="5" t="str">
        <f t="shared" si="8"/>
        <v>TERRELL REESE</v>
      </c>
      <c r="E155" s="5" t="s">
        <v>235</v>
      </c>
      <c r="F155" s="5" t="s">
        <v>89</v>
      </c>
      <c r="G155" s="5" t="s">
        <v>96</v>
      </c>
      <c r="H155" s="5">
        <v>371819</v>
      </c>
      <c r="I155" s="5" t="s">
        <v>156</v>
      </c>
      <c r="J155" s="5" t="s">
        <v>157</v>
      </c>
      <c r="K155" s="5" t="str">
        <f t="shared" si="9"/>
        <v>THOMAS PARDUE</v>
      </c>
      <c r="L155" s="6">
        <v>45677</v>
      </c>
      <c r="M155" s="6">
        <v>46011</v>
      </c>
      <c r="N155" s="5">
        <f t="shared" si="10"/>
        <v>11</v>
      </c>
      <c r="O155" s="5" t="s">
        <v>316</v>
      </c>
      <c r="P155" s="5" t="s">
        <v>727</v>
      </c>
      <c r="Q155" s="7">
        <v>-17.02</v>
      </c>
      <c r="R155" s="5" t="s">
        <v>58</v>
      </c>
      <c r="S155" s="14">
        <v>0.9</v>
      </c>
      <c r="T155" s="5" t="s">
        <v>60</v>
      </c>
      <c r="U155" s="5" t="s">
        <v>317</v>
      </c>
      <c r="V155" s="7">
        <v>-15.32</v>
      </c>
      <c r="W155" s="5" t="s">
        <v>722</v>
      </c>
    </row>
    <row r="156" spans="1:53" s="5" customFormat="1" x14ac:dyDescent="0.25">
      <c r="A156" s="5">
        <v>2026693770</v>
      </c>
      <c r="B156" s="5" t="s">
        <v>591</v>
      </c>
      <c r="C156" s="5" t="s">
        <v>592</v>
      </c>
      <c r="D156" s="5" t="str">
        <f t="shared" si="8"/>
        <v>HORTANCE NGANDO</v>
      </c>
      <c r="E156" s="5" t="s">
        <v>224</v>
      </c>
      <c r="F156" s="5" t="s">
        <v>262</v>
      </c>
      <c r="G156" s="5" t="s">
        <v>265</v>
      </c>
      <c r="H156" s="5">
        <v>371819</v>
      </c>
      <c r="I156" s="5" t="s">
        <v>156</v>
      </c>
      <c r="J156" s="5" t="s">
        <v>157</v>
      </c>
      <c r="K156" s="5" t="str">
        <f t="shared" si="9"/>
        <v>THOMAS PARDUE</v>
      </c>
      <c r="L156" s="6">
        <v>45679</v>
      </c>
      <c r="M156" s="6">
        <v>46013</v>
      </c>
      <c r="N156" s="5">
        <f t="shared" si="10"/>
        <v>11</v>
      </c>
      <c r="O156" s="5" t="s">
        <v>316</v>
      </c>
      <c r="P156" s="5" t="s">
        <v>727</v>
      </c>
      <c r="Q156" s="7">
        <v>58.17</v>
      </c>
      <c r="R156" s="5" t="s">
        <v>58</v>
      </c>
      <c r="S156" s="14">
        <v>0.9</v>
      </c>
      <c r="T156" s="5" t="s">
        <v>60</v>
      </c>
      <c r="U156" s="5" t="s">
        <v>317</v>
      </c>
      <c r="V156" s="7">
        <v>52.35</v>
      </c>
      <c r="W156" s="5" t="s">
        <v>265</v>
      </c>
    </row>
    <row r="157" spans="1:53" s="5" customFormat="1" x14ac:dyDescent="0.25">
      <c r="A157" s="5">
        <v>2026734001</v>
      </c>
      <c r="B157" s="5" t="s">
        <v>593</v>
      </c>
      <c r="C157" s="5" t="s">
        <v>426</v>
      </c>
      <c r="D157" s="5" t="str">
        <f t="shared" si="8"/>
        <v>JENNIFER APELIAN</v>
      </c>
      <c r="E157" s="5" t="s">
        <v>105</v>
      </c>
      <c r="F157" s="5" t="s">
        <v>262</v>
      </c>
      <c r="G157" s="5" t="s">
        <v>263</v>
      </c>
      <c r="H157" s="5">
        <v>16912722</v>
      </c>
      <c r="I157" s="5" t="s">
        <v>231</v>
      </c>
      <c r="J157" s="5" t="s">
        <v>232</v>
      </c>
      <c r="K157" s="5" t="str">
        <f t="shared" si="9"/>
        <v>ANDREA PETRUNGARO</v>
      </c>
      <c r="L157" s="6">
        <v>45681</v>
      </c>
      <c r="M157" s="6">
        <v>46015</v>
      </c>
      <c r="N157" s="5">
        <f t="shared" si="10"/>
        <v>11</v>
      </c>
      <c r="O157" s="5" t="s">
        <v>316</v>
      </c>
      <c r="P157" s="5" t="s">
        <v>727</v>
      </c>
      <c r="Q157" s="7">
        <v>22.19</v>
      </c>
      <c r="R157" s="5" t="s">
        <v>58</v>
      </c>
      <c r="S157" s="14">
        <v>0.7</v>
      </c>
      <c r="T157" s="5" t="s">
        <v>60</v>
      </c>
      <c r="U157" s="5" t="s">
        <v>317</v>
      </c>
      <c r="V157" s="7">
        <v>15.53</v>
      </c>
      <c r="W157" s="5" t="s">
        <v>263</v>
      </c>
    </row>
    <row r="158" spans="1:53" s="5" customFormat="1" x14ac:dyDescent="0.25">
      <c r="A158" s="5">
        <v>2026669941</v>
      </c>
      <c r="B158" s="5" t="s">
        <v>350</v>
      </c>
      <c r="C158" s="5" t="s">
        <v>351</v>
      </c>
      <c r="D158" s="5" t="str">
        <f t="shared" si="8"/>
        <v>TERRELL REESE</v>
      </c>
      <c r="E158" s="5" t="s">
        <v>235</v>
      </c>
      <c r="F158" s="5" t="s">
        <v>262</v>
      </c>
      <c r="G158" s="5" t="s">
        <v>263</v>
      </c>
      <c r="H158" s="5">
        <v>371819</v>
      </c>
      <c r="I158" s="5" t="s">
        <v>156</v>
      </c>
      <c r="J158" s="5" t="s">
        <v>157</v>
      </c>
      <c r="K158" s="5" t="str">
        <f t="shared" si="9"/>
        <v>THOMAS PARDUE</v>
      </c>
      <c r="L158" s="6">
        <v>45677</v>
      </c>
      <c r="M158" s="6">
        <v>46011</v>
      </c>
      <c r="N158" s="5">
        <f t="shared" si="10"/>
        <v>11</v>
      </c>
      <c r="O158" s="5" t="s">
        <v>316</v>
      </c>
      <c r="P158" s="5" t="s">
        <v>727</v>
      </c>
      <c r="Q158" s="7">
        <v>-26.32</v>
      </c>
      <c r="R158" s="5" t="s">
        <v>58</v>
      </c>
      <c r="S158" s="14">
        <v>0.7</v>
      </c>
      <c r="T158" s="5" t="s">
        <v>60</v>
      </c>
      <c r="U158" s="5" t="s">
        <v>317</v>
      </c>
      <c r="V158" s="7">
        <v>-18.420000000000002</v>
      </c>
      <c r="W158" s="5" t="s">
        <v>263</v>
      </c>
    </row>
    <row r="159" spans="1:53" s="5" customFormat="1" x14ac:dyDescent="0.25">
      <c r="A159" s="5">
        <v>2026705203</v>
      </c>
      <c r="B159" s="5" t="s">
        <v>692</v>
      </c>
      <c r="C159" s="5" t="s">
        <v>564</v>
      </c>
      <c r="D159" s="5" t="str">
        <f t="shared" si="8"/>
        <v>LISA CHERRY</v>
      </c>
      <c r="E159" s="5" t="s">
        <v>64</v>
      </c>
      <c r="F159" s="5" t="s">
        <v>683</v>
      </c>
      <c r="G159" s="5" t="s">
        <v>694</v>
      </c>
      <c r="H159" s="5">
        <v>16912722</v>
      </c>
      <c r="I159" s="5" t="s">
        <v>231</v>
      </c>
      <c r="J159" s="5" t="s">
        <v>232</v>
      </c>
      <c r="K159" s="5" t="str">
        <f t="shared" si="9"/>
        <v>ANDREA PETRUNGARO</v>
      </c>
      <c r="L159" s="6">
        <v>45679</v>
      </c>
      <c r="M159" s="6">
        <v>46013</v>
      </c>
      <c r="N159" s="5">
        <f t="shared" si="10"/>
        <v>11</v>
      </c>
      <c r="O159" s="5" t="s">
        <v>316</v>
      </c>
      <c r="P159" s="5" t="s">
        <v>727</v>
      </c>
      <c r="Q159" s="7">
        <v>14.95</v>
      </c>
      <c r="R159" s="5" t="s">
        <v>58</v>
      </c>
      <c r="S159" s="14">
        <v>0.51</v>
      </c>
      <c r="T159" s="5" t="s">
        <v>60</v>
      </c>
      <c r="U159" s="5" t="s">
        <v>317</v>
      </c>
      <c r="V159" s="7">
        <v>7.62</v>
      </c>
      <c r="W159" s="5" t="s">
        <v>693</v>
      </c>
    </row>
    <row r="160" spans="1:53" s="5" customFormat="1" x14ac:dyDescent="0.25">
      <c r="A160" s="5">
        <v>2026705202</v>
      </c>
      <c r="B160" s="5" t="s">
        <v>692</v>
      </c>
      <c r="C160" s="5" t="s">
        <v>564</v>
      </c>
      <c r="D160" s="5" t="str">
        <f t="shared" si="8"/>
        <v>LISA CHERRY</v>
      </c>
      <c r="E160" s="5" t="s">
        <v>64</v>
      </c>
      <c r="F160" s="5" t="s">
        <v>683</v>
      </c>
      <c r="G160" s="5" t="s">
        <v>693</v>
      </c>
      <c r="H160" s="5">
        <v>16912722</v>
      </c>
      <c r="I160" s="5" t="s">
        <v>231</v>
      </c>
      <c r="J160" s="5" t="s">
        <v>232</v>
      </c>
      <c r="K160" s="5" t="str">
        <f t="shared" si="9"/>
        <v>ANDREA PETRUNGARO</v>
      </c>
      <c r="L160" s="6">
        <v>45679</v>
      </c>
      <c r="M160" s="6">
        <v>46013</v>
      </c>
      <c r="N160" s="5">
        <f t="shared" si="10"/>
        <v>11</v>
      </c>
      <c r="O160" s="5" t="s">
        <v>316</v>
      </c>
      <c r="P160" s="5" t="s">
        <v>727</v>
      </c>
      <c r="Q160" s="7">
        <v>113.89</v>
      </c>
      <c r="R160" s="5" t="s">
        <v>58</v>
      </c>
      <c r="S160" s="14">
        <v>0.51</v>
      </c>
      <c r="T160" s="5" t="s">
        <v>60</v>
      </c>
      <c r="U160" s="5" t="s">
        <v>317</v>
      </c>
      <c r="V160" s="7">
        <v>58.08</v>
      </c>
      <c r="W160" s="5" t="s">
        <v>693</v>
      </c>
    </row>
    <row r="161" spans="1:23" s="5" customFormat="1" x14ac:dyDescent="0.25">
      <c r="A161" s="5">
        <v>2026721618</v>
      </c>
      <c r="B161" s="5" t="s">
        <v>611</v>
      </c>
      <c r="C161" s="5" t="s">
        <v>329</v>
      </c>
      <c r="D161" s="5" t="str">
        <f t="shared" si="8"/>
        <v>STEVEN ANDERSON</v>
      </c>
      <c r="E161" s="5" t="s">
        <v>132</v>
      </c>
      <c r="F161" s="5" t="s">
        <v>683</v>
      </c>
      <c r="G161" s="5" t="s">
        <v>693</v>
      </c>
      <c r="H161" s="5">
        <v>16912722</v>
      </c>
      <c r="I161" s="5" t="s">
        <v>231</v>
      </c>
      <c r="J161" s="5" t="s">
        <v>232</v>
      </c>
      <c r="K161" s="5" t="str">
        <f t="shared" si="9"/>
        <v>ANDREA PETRUNGARO</v>
      </c>
      <c r="L161" s="6">
        <v>45680</v>
      </c>
      <c r="M161" s="6">
        <v>46014</v>
      </c>
      <c r="N161" s="5">
        <f t="shared" si="10"/>
        <v>11</v>
      </c>
      <c r="O161" s="5" t="s">
        <v>316</v>
      </c>
      <c r="P161" s="5" t="s">
        <v>727</v>
      </c>
      <c r="Q161" s="7">
        <v>113.89</v>
      </c>
      <c r="R161" s="5" t="s">
        <v>58</v>
      </c>
      <c r="S161" s="14">
        <v>0.51</v>
      </c>
      <c r="T161" s="5" t="s">
        <v>60</v>
      </c>
      <c r="U161" s="5" t="s">
        <v>317</v>
      </c>
      <c r="V161" s="7">
        <v>58.08</v>
      </c>
      <c r="W161" s="5" t="s">
        <v>693</v>
      </c>
    </row>
    <row r="162" spans="1:23" s="5" customFormat="1" x14ac:dyDescent="0.25">
      <c r="A162" s="5">
        <v>2026757479</v>
      </c>
      <c r="B162" s="5" t="s">
        <v>489</v>
      </c>
      <c r="C162" s="5" t="s">
        <v>438</v>
      </c>
      <c r="D162" s="5" t="str">
        <f t="shared" si="8"/>
        <v>JAMES ROBINSON</v>
      </c>
      <c r="E162" s="5" t="s">
        <v>105</v>
      </c>
      <c r="F162" s="5" t="s">
        <v>196</v>
      </c>
      <c r="G162" s="5" t="s">
        <v>197</v>
      </c>
      <c r="H162" s="5">
        <v>16509456</v>
      </c>
      <c r="I162" s="5" t="s">
        <v>97</v>
      </c>
      <c r="J162" s="5" t="s">
        <v>145</v>
      </c>
      <c r="K162" s="5" t="str">
        <f t="shared" ref="K162:K193" si="11">CONCATENATE(J162," ",I162)</f>
        <v>PETER RICHTER</v>
      </c>
      <c r="L162" s="6">
        <v>45682</v>
      </c>
      <c r="M162" s="6">
        <v>46016</v>
      </c>
      <c r="N162" s="5">
        <f t="shared" si="10"/>
        <v>11</v>
      </c>
      <c r="O162" s="5" t="s">
        <v>316</v>
      </c>
      <c r="P162" s="5" t="s">
        <v>727</v>
      </c>
      <c r="Q162" s="7">
        <v>61.9</v>
      </c>
      <c r="R162" s="5" t="s">
        <v>58</v>
      </c>
      <c r="S162" s="15">
        <v>0.375</v>
      </c>
      <c r="T162" s="5" t="s">
        <v>60</v>
      </c>
      <c r="U162" s="5" t="s">
        <v>317</v>
      </c>
      <c r="V162" s="7">
        <v>23.21</v>
      </c>
      <c r="W162" s="5" t="s">
        <v>197</v>
      </c>
    </row>
    <row r="163" spans="1:23" s="5" customFormat="1" x14ac:dyDescent="0.25">
      <c r="A163" s="5">
        <v>2026669940</v>
      </c>
      <c r="B163" s="5" t="s">
        <v>350</v>
      </c>
      <c r="C163" s="5" t="s">
        <v>351</v>
      </c>
      <c r="D163" s="5" t="str">
        <f t="shared" si="8"/>
        <v>TERRELL REESE</v>
      </c>
      <c r="E163" s="5" t="s">
        <v>235</v>
      </c>
      <c r="F163" s="5" t="s">
        <v>196</v>
      </c>
      <c r="G163" s="5" t="s">
        <v>197</v>
      </c>
      <c r="H163" s="5">
        <v>371819</v>
      </c>
      <c r="I163" s="5" t="s">
        <v>156</v>
      </c>
      <c r="J163" s="5" t="s">
        <v>157</v>
      </c>
      <c r="K163" s="5" t="str">
        <f t="shared" si="11"/>
        <v>THOMAS PARDUE</v>
      </c>
      <c r="L163" s="6">
        <v>45677</v>
      </c>
      <c r="M163" s="6">
        <v>46011</v>
      </c>
      <c r="N163" s="5">
        <f t="shared" si="10"/>
        <v>11</v>
      </c>
      <c r="O163" s="5" t="s">
        <v>316</v>
      </c>
      <c r="P163" s="5" t="s">
        <v>727</v>
      </c>
      <c r="Q163" s="7">
        <v>-24.7</v>
      </c>
      <c r="R163" s="5" t="s">
        <v>58</v>
      </c>
      <c r="S163" s="15">
        <v>0.375</v>
      </c>
      <c r="T163" s="5" t="s">
        <v>60</v>
      </c>
      <c r="U163" s="5" t="s">
        <v>317</v>
      </c>
      <c r="V163" s="7">
        <v>-9.26</v>
      </c>
      <c r="W163" s="5" t="s">
        <v>197</v>
      </c>
    </row>
    <row r="164" spans="1:23" s="5" customFormat="1" x14ac:dyDescent="0.25">
      <c r="A164" s="5">
        <v>2026760029</v>
      </c>
      <c r="B164" s="5" t="s">
        <v>490</v>
      </c>
      <c r="C164" s="5" t="s">
        <v>491</v>
      </c>
      <c r="D164" s="5" t="str">
        <f t="shared" si="8"/>
        <v>EMALEE WORDEN</v>
      </c>
      <c r="E164" s="5" t="s">
        <v>176</v>
      </c>
      <c r="F164" s="5" t="s">
        <v>196</v>
      </c>
      <c r="G164" s="5" t="s">
        <v>197</v>
      </c>
      <c r="H164" s="5">
        <v>371819</v>
      </c>
      <c r="I164" s="5" t="s">
        <v>156</v>
      </c>
      <c r="J164" s="5" t="s">
        <v>157</v>
      </c>
      <c r="K164" s="5" t="str">
        <f t="shared" si="11"/>
        <v>THOMAS PARDUE</v>
      </c>
      <c r="L164" s="6">
        <v>45682</v>
      </c>
      <c r="M164" s="6">
        <v>46016</v>
      </c>
      <c r="N164" s="5">
        <f t="shared" si="10"/>
        <v>11</v>
      </c>
      <c r="O164" s="5" t="s">
        <v>316</v>
      </c>
      <c r="P164" s="5" t="s">
        <v>727</v>
      </c>
      <c r="Q164" s="7">
        <v>22.84</v>
      </c>
      <c r="R164" s="5" t="s">
        <v>58</v>
      </c>
      <c r="S164" s="15">
        <v>0.375</v>
      </c>
      <c r="T164" s="5" t="s">
        <v>60</v>
      </c>
      <c r="U164" s="5" t="s">
        <v>317</v>
      </c>
      <c r="V164" s="7">
        <v>8.56</v>
      </c>
      <c r="W164" s="5" t="s">
        <v>197</v>
      </c>
    </row>
    <row r="165" spans="1:23" s="5" customFormat="1" x14ac:dyDescent="0.25">
      <c r="A165" s="5">
        <v>2026295210</v>
      </c>
      <c r="B165" s="5" t="s">
        <v>349</v>
      </c>
      <c r="C165" s="5" t="s">
        <v>216</v>
      </c>
      <c r="D165" s="5" t="str">
        <f t="shared" si="8"/>
        <v>CHARLES RANDALL</v>
      </c>
      <c r="E165" s="5" t="s">
        <v>109</v>
      </c>
      <c r="F165" s="5" t="s">
        <v>262</v>
      </c>
      <c r="G165" s="5" t="s">
        <v>562</v>
      </c>
      <c r="H165" s="5">
        <v>16865615</v>
      </c>
      <c r="I165" s="5" t="s">
        <v>111</v>
      </c>
      <c r="J165" s="5" t="s">
        <v>112</v>
      </c>
      <c r="K165" s="5" t="str">
        <f t="shared" si="11"/>
        <v>Heather Geske</v>
      </c>
      <c r="L165" s="6">
        <v>45650</v>
      </c>
      <c r="M165" s="6">
        <v>46015</v>
      </c>
      <c r="N165" s="5">
        <f t="shared" si="10"/>
        <v>12</v>
      </c>
      <c r="O165" s="5" t="s">
        <v>316</v>
      </c>
      <c r="P165" s="5" t="s">
        <v>727</v>
      </c>
      <c r="Q165" s="7">
        <v>14.65</v>
      </c>
      <c r="R165" s="5" t="s">
        <v>58</v>
      </c>
      <c r="S165" s="14">
        <v>0.7</v>
      </c>
      <c r="T165" s="5" t="s">
        <v>60</v>
      </c>
      <c r="U165" s="5" t="s">
        <v>317</v>
      </c>
      <c r="V165" s="7">
        <v>10.26</v>
      </c>
      <c r="W165" s="5" t="s">
        <v>562</v>
      </c>
    </row>
    <row r="166" spans="1:23" s="5" customFormat="1" x14ac:dyDescent="0.25">
      <c r="A166" s="5">
        <v>2026295209</v>
      </c>
      <c r="B166" s="5" t="s">
        <v>349</v>
      </c>
      <c r="C166" s="5" t="s">
        <v>216</v>
      </c>
      <c r="D166" s="5" t="str">
        <f t="shared" si="8"/>
        <v>CHARLES RANDALL</v>
      </c>
      <c r="E166" s="5" t="s">
        <v>109</v>
      </c>
      <c r="F166" s="5" t="s">
        <v>262</v>
      </c>
      <c r="G166" s="5" t="s">
        <v>263</v>
      </c>
      <c r="H166" s="5">
        <v>16865615</v>
      </c>
      <c r="I166" s="5" t="s">
        <v>111</v>
      </c>
      <c r="J166" s="5" t="s">
        <v>112</v>
      </c>
      <c r="K166" s="5" t="str">
        <f t="shared" si="11"/>
        <v>Heather Geske</v>
      </c>
      <c r="L166" s="6">
        <v>45650</v>
      </c>
      <c r="M166" s="6">
        <v>46015</v>
      </c>
      <c r="N166" s="5">
        <f t="shared" si="10"/>
        <v>12</v>
      </c>
      <c r="O166" s="5" t="s">
        <v>316</v>
      </c>
      <c r="P166" s="5" t="s">
        <v>727</v>
      </c>
      <c r="Q166" s="7">
        <v>18.28</v>
      </c>
      <c r="R166" s="5" t="s">
        <v>58</v>
      </c>
      <c r="S166" s="14">
        <v>0.7</v>
      </c>
      <c r="T166" s="5" t="s">
        <v>60</v>
      </c>
      <c r="U166" s="5" t="s">
        <v>317</v>
      </c>
      <c r="V166" s="7">
        <v>12.8</v>
      </c>
      <c r="W166" s="5" t="s">
        <v>263</v>
      </c>
    </row>
    <row r="167" spans="1:23" s="5" customFormat="1" x14ac:dyDescent="0.25">
      <c r="A167" s="5">
        <v>2026341991</v>
      </c>
      <c r="B167" s="5" t="s">
        <v>589</v>
      </c>
      <c r="C167" s="5" t="s">
        <v>590</v>
      </c>
      <c r="D167" s="5" t="str">
        <f t="shared" si="8"/>
        <v>BATBOLD BAYARSAIKHAN</v>
      </c>
      <c r="E167" s="5" t="s">
        <v>64</v>
      </c>
      <c r="F167" s="5" t="s">
        <v>262</v>
      </c>
      <c r="G167" s="5" t="s">
        <v>263</v>
      </c>
      <c r="H167" s="5">
        <v>20220688</v>
      </c>
      <c r="I167" s="5" t="s">
        <v>498</v>
      </c>
      <c r="J167" s="5" t="s">
        <v>499</v>
      </c>
      <c r="K167" s="5" t="str">
        <f t="shared" si="11"/>
        <v>NASANDELGER ZANA</v>
      </c>
      <c r="L167" s="6">
        <v>45654</v>
      </c>
      <c r="M167" s="6">
        <v>46019</v>
      </c>
      <c r="N167" s="5">
        <f t="shared" si="10"/>
        <v>12</v>
      </c>
      <c r="O167" s="5" t="s">
        <v>316</v>
      </c>
      <c r="P167" s="5" t="s">
        <v>727</v>
      </c>
      <c r="Q167" s="7">
        <v>58.24</v>
      </c>
      <c r="R167" s="5" t="s">
        <v>58</v>
      </c>
      <c r="S167" s="14">
        <v>0.7</v>
      </c>
      <c r="T167" s="5" t="s">
        <v>60</v>
      </c>
      <c r="U167" s="5" t="s">
        <v>317</v>
      </c>
      <c r="V167" s="7">
        <v>40.770000000000003</v>
      </c>
      <c r="W167" s="5" t="s">
        <v>263</v>
      </c>
    </row>
    <row r="168" spans="1:23" s="5" customFormat="1" x14ac:dyDescent="0.25">
      <c r="A168" s="5">
        <v>2026293121</v>
      </c>
      <c r="B168" s="5" t="s">
        <v>587</v>
      </c>
      <c r="C168" s="5" t="s">
        <v>588</v>
      </c>
      <c r="D168" s="5" t="str">
        <f t="shared" si="8"/>
        <v>BETH HRYCAJ</v>
      </c>
      <c r="E168" s="5" t="s">
        <v>64</v>
      </c>
      <c r="F168" s="5" t="s">
        <v>262</v>
      </c>
      <c r="G168" s="5" t="s">
        <v>263</v>
      </c>
      <c r="H168" s="5">
        <v>19645587</v>
      </c>
      <c r="I168" s="5" t="s">
        <v>209</v>
      </c>
      <c r="J168" s="5" t="s">
        <v>477</v>
      </c>
      <c r="K168" s="5" t="str">
        <f t="shared" si="11"/>
        <v>STACEY PORTUGAL</v>
      </c>
      <c r="L168" s="6">
        <v>45650</v>
      </c>
      <c r="M168" s="6">
        <v>46015</v>
      </c>
      <c r="N168" s="5">
        <f t="shared" si="10"/>
        <v>12</v>
      </c>
      <c r="O168" s="5" t="s">
        <v>316</v>
      </c>
      <c r="P168" s="5" t="s">
        <v>727</v>
      </c>
      <c r="Q168" s="7">
        <v>88.96</v>
      </c>
      <c r="R168" s="5" t="s">
        <v>58</v>
      </c>
      <c r="S168" s="14">
        <v>0.7</v>
      </c>
      <c r="T168" s="5" t="s">
        <v>60</v>
      </c>
      <c r="U168" s="5" t="s">
        <v>317</v>
      </c>
      <c r="V168" s="7">
        <v>62.27</v>
      </c>
      <c r="W168" s="5" t="s">
        <v>263</v>
      </c>
    </row>
    <row r="169" spans="1:23" s="5" customFormat="1" x14ac:dyDescent="0.25">
      <c r="A169" s="5">
        <v>2026295211</v>
      </c>
      <c r="B169" s="5" t="s">
        <v>349</v>
      </c>
      <c r="C169" s="5" t="s">
        <v>216</v>
      </c>
      <c r="D169" s="5" t="str">
        <f t="shared" si="8"/>
        <v>CHARLES RANDALL</v>
      </c>
      <c r="E169" s="5" t="s">
        <v>109</v>
      </c>
      <c r="F169" s="5" t="s">
        <v>89</v>
      </c>
      <c r="G169" s="5" t="s">
        <v>110</v>
      </c>
      <c r="H169" s="5">
        <v>16865615</v>
      </c>
      <c r="I169" s="5" t="s">
        <v>111</v>
      </c>
      <c r="J169" s="5" t="s">
        <v>112</v>
      </c>
      <c r="K169" s="5" t="str">
        <f t="shared" si="11"/>
        <v>Heather Geske</v>
      </c>
      <c r="L169" s="6">
        <v>45650</v>
      </c>
      <c r="M169" s="6">
        <v>46015</v>
      </c>
      <c r="N169" s="5">
        <f t="shared" si="10"/>
        <v>12</v>
      </c>
      <c r="O169" s="5" t="s">
        <v>316</v>
      </c>
      <c r="P169" s="5" t="s">
        <v>727</v>
      </c>
      <c r="Q169" s="7">
        <v>42.22</v>
      </c>
      <c r="R169" s="5" t="s">
        <v>58</v>
      </c>
      <c r="S169" s="14">
        <v>0.65</v>
      </c>
      <c r="T169" s="5" t="s">
        <v>60</v>
      </c>
      <c r="U169" s="5" t="s">
        <v>317</v>
      </c>
      <c r="V169" s="7">
        <v>27.44</v>
      </c>
      <c r="W169" s="5" t="s">
        <v>719</v>
      </c>
    </row>
    <row r="170" spans="1:23" s="5" customFormat="1" x14ac:dyDescent="0.25">
      <c r="A170" s="5">
        <v>2025895058</v>
      </c>
      <c r="B170" s="5" t="s">
        <v>583</v>
      </c>
      <c r="C170" s="5" t="s">
        <v>584</v>
      </c>
      <c r="D170" s="5" t="str">
        <f t="shared" si="8"/>
        <v>SUVD BATSAIKHAN</v>
      </c>
      <c r="E170" s="5" t="s">
        <v>64</v>
      </c>
      <c r="F170" s="5" t="s">
        <v>262</v>
      </c>
      <c r="G170" s="5" t="s">
        <v>263</v>
      </c>
      <c r="H170" s="5">
        <v>20220688</v>
      </c>
      <c r="I170" s="5" t="s">
        <v>498</v>
      </c>
      <c r="J170" s="5" t="s">
        <v>499</v>
      </c>
      <c r="K170" s="5" t="str">
        <f t="shared" si="11"/>
        <v>NASANDELGER ZANA</v>
      </c>
      <c r="L170" s="6">
        <v>45619</v>
      </c>
      <c r="M170" s="6">
        <v>46014</v>
      </c>
      <c r="N170" s="5">
        <f t="shared" si="10"/>
        <v>13</v>
      </c>
      <c r="O170" s="5" t="s">
        <v>316</v>
      </c>
      <c r="P170" s="5" t="s">
        <v>727</v>
      </c>
      <c r="Q170" s="7">
        <v>49.92</v>
      </c>
      <c r="R170" s="5" t="s">
        <v>58</v>
      </c>
      <c r="S170" s="14">
        <v>0.15</v>
      </c>
      <c r="T170" s="5" t="s">
        <v>316</v>
      </c>
      <c r="U170" s="5" t="s">
        <v>317</v>
      </c>
      <c r="V170" s="7">
        <v>7.49</v>
      </c>
      <c r="W170" s="5" t="s">
        <v>263</v>
      </c>
    </row>
    <row r="171" spans="1:23" s="5" customFormat="1" x14ac:dyDescent="0.25">
      <c r="A171" s="5">
        <v>2025961561</v>
      </c>
      <c r="B171" s="5" t="s">
        <v>585</v>
      </c>
      <c r="C171" s="5" t="s">
        <v>586</v>
      </c>
      <c r="D171" s="5" t="str">
        <f t="shared" si="8"/>
        <v>TSERENBAT BATDELGER</v>
      </c>
      <c r="E171" s="5" t="s">
        <v>64</v>
      </c>
      <c r="F171" s="5" t="s">
        <v>262</v>
      </c>
      <c r="G171" s="5" t="s">
        <v>263</v>
      </c>
      <c r="H171" s="5">
        <v>20220688</v>
      </c>
      <c r="I171" s="5" t="s">
        <v>498</v>
      </c>
      <c r="J171" s="5" t="s">
        <v>499</v>
      </c>
      <c r="K171" s="5" t="str">
        <f t="shared" si="11"/>
        <v>NASANDELGER ZANA</v>
      </c>
      <c r="L171" s="6">
        <v>45624</v>
      </c>
      <c r="M171" s="6">
        <v>46019</v>
      </c>
      <c r="N171" s="5">
        <f t="shared" si="10"/>
        <v>13</v>
      </c>
      <c r="O171" s="5" t="s">
        <v>316</v>
      </c>
      <c r="P171" s="5" t="s">
        <v>727</v>
      </c>
      <c r="Q171" s="7">
        <v>102.7</v>
      </c>
      <c r="R171" s="5" t="s">
        <v>58</v>
      </c>
      <c r="S171" s="14">
        <v>0.15</v>
      </c>
      <c r="T171" s="5" t="s">
        <v>316</v>
      </c>
      <c r="U171" s="5" t="s">
        <v>317</v>
      </c>
      <c r="V171" s="7">
        <v>15.4</v>
      </c>
      <c r="W171" s="5" t="s">
        <v>263</v>
      </c>
    </row>
    <row r="172" spans="1:23" s="5" customFormat="1" x14ac:dyDescent="0.25">
      <c r="A172" s="5">
        <v>2025418184</v>
      </c>
      <c r="B172" s="5" t="s">
        <v>576</v>
      </c>
      <c r="C172" s="5" t="s">
        <v>577</v>
      </c>
      <c r="D172" s="5" t="str">
        <f t="shared" si="8"/>
        <v>BAYARDAVAA ODBAYAR</v>
      </c>
      <c r="E172" s="5" t="s">
        <v>64</v>
      </c>
      <c r="F172" s="5" t="s">
        <v>262</v>
      </c>
      <c r="G172" s="5" t="s">
        <v>263</v>
      </c>
      <c r="H172" s="5">
        <v>20220688</v>
      </c>
      <c r="I172" s="5" t="s">
        <v>498</v>
      </c>
      <c r="J172" s="5" t="s">
        <v>499</v>
      </c>
      <c r="K172" s="5" t="str">
        <f t="shared" si="11"/>
        <v>NASANDELGER ZANA</v>
      </c>
      <c r="L172" s="6">
        <v>45587</v>
      </c>
      <c r="M172" s="6">
        <v>46013</v>
      </c>
      <c r="N172" s="5">
        <f t="shared" si="10"/>
        <v>14</v>
      </c>
      <c r="O172" s="5" t="s">
        <v>316</v>
      </c>
      <c r="P172" s="5" t="s">
        <v>727</v>
      </c>
      <c r="Q172" s="7">
        <v>11.5</v>
      </c>
      <c r="R172" s="5" t="s">
        <v>58</v>
      </c>
      <c r="S172" s="14">
        <v>0.15</v>
      </c>
      <c r="T172" s="5" t="s">
        <v>316</v>
      </c>
      <c r="U172" s="5" t="s">
        <v>317</v>
      </c>
      <c r="V172" s="7">
        <v>1.72</v>
      </c>
      <c r="W172" s="5" t="s">
        <v>263</v>
      </c>
    </row>
    <row r="173" spans="1:23" s="5" customFormat="1" x14ac:dyDescent="0.25">
      <c r="A173" s="5">
        <v>2025432387</v>
      </c>
      <c r="B173" s="5" t="s">
        <v>578</v>
      </c>
      <c r="C173" s="5" t="s">
        <v>579</v>
      </c>
      <c r="D173" s="5" t="str">
        <f t="shared" si="8"/>
        <v>CHELCIE LAMB</v>
      </c>
      <c r="E173" s="5" t="s">
        <v>135</v>
      </c>
      <c r="F173" s="5" t="s">
        <v>262</v>
      </c>
      <c r="G173" s="5" t="s">
        <v>265</v>
      </c>
      <c r="H173" s="5">
        <v>371819</v>
      </c>
      <c r="I173" s="5" t="s">
        <v>156</v>
      </c>
      <c r="J173" s="5" t="s">
        <v>157</v>
      </c>
      <c r="K173" s="5" t="str">
        <f t="shared" si="11"/>
        <v>THOMAS PARDUE</v>
      </c>
      <c r="L173" s="6">
        <v>45588</v>
      </c>
      <c r="M173" s="6">
        <v>46014</v>
      </c>
      <c r="N173" s="5">
        <f t="shared" si="10"/>
        <v>14</v>
      </c>
      <c r="O173" s="5" t="s">
        <v>316</v>
      </c>
      <c r="P173" s="5" t="s">
        <v>727</v>
      </c>
      <c r="Q173" s="7">
        <v>31.17</v>
      </c>
      <c r="R173" s="5" t="s">
        <v>58</v>
      </c>
      <c r="S173" s="14">
        <v>0.1</v>
      </c>
      <c r="T173" s="5" t="s">
        <v>316</v>
      </c>
      <c r="U173" s="5" t="s">
        <v>317</v>
      </c>
      <c r="V173" s="7">
        <v>3.12</v>
      </c>
      <c r="W173" s="5" t="s">
        <v>265</v>
      </c>
    </row>
    <row r="174" spans="1:23" s="5" customFormat="1" x14ac:dyDescent="0.25">
      <c r="A174" s="5">
        <v>2025022512</v>
      </c>
      <c r="B174" s="5" t="s">
        <v>231</v>
      </c>
      <c r="C174" s="5" t="s">
        <v>232</v>
      </c>
      <c r="D174" s="5" t="str">
        <f t="shared" si="8"/>
        <v>ANDREA PETRUNGARO</v>
      </c>
      <c r="E174" s="5" t="s">
        <v>64</v>
      </c>
      <c r="F174" s="5" t="s">
        <v>262</v>
      </c>
      <c r="G174" s="5" t="s">
        <v>263</v>
      </c>
      <c r="H174" s="5">
        <v>16912722</v>
      </c>
      <c r="I174" s="5" t="s">
        <v>231</v>
      </c>
      <c r="J174" s="5" t="s">
        <v>232</v>
      </c>
      <c r="K174" s="5" t="str">
        <f t="shared" si="11"/>
        <v>ANDREA PETRUNGARO</v>
      </c>
      <c r="L174" s="6">
        <v>45561</v>
      </c>
      <c r="M174" s="6">
        <v>46017</v>
      </c>
      <c r="N174" s="5">
        <f t="shared" si="10"/>
        <v>15</v>
      </c>
      <c r="O174" s="5" t="s">
        <v>316</v>
      </c>
      <c r="P174" s="5" t="s">
        <v>727</v>
      </c>
      <c r="Q174" s="7">
        <v>122.22</v>
      </c>
      <c r="R174" s="5" t="s">
        <v>58</v>
      </c>
      <c r="S174" s="14">
        <v>0.15</v>
      </c>
      <c r="T174" s="5" t="s">
        <v>316</v>
      </c>
      <c r="U174" s="5" t="s">
        <v>317</v>
      </c>
      <c r="V174" s="7">
        <v>18.329999999999998</v>
      </c>
      <c r="W174" s="5" t="s">
        <v>263</v>
      </c>
    </row>
    <row r="175" spans="1:23" s="5" customFormat="1" x14ac:dyDescent="0.25">
      <c r="A175" s="5">
        <v>2024464933</v>
      </c>
      <c r="B175" s="5" t="s">
        <v>551</v>
      </c>
      <c r="C175" s="5" t="s">
        <v>552</v>
      </c>
      <c r="D175" s="5" t="str">
        <f t="shared" si="8"/>
        <v>MONA AFRASSIAB</v>
      </c>
      <c r="E175" s="5" t="s">
        <v>64</v>
      </c>
      <c r="F175" s="5" t="s">
        <v>553</v>
      </c>
      <c r="G175" s="5" t="s">
        <v>554</v>
      </c>
      <c r="H175" s="5">
        <v>17094718</v>
      </c>
      <c r="I175" s="5" t="s">
        <v>430</v>
      </c>
      <c r="J175" s="5" t="s">
        <v>332</v>
      </c>
      <c r="K175" s="5" t="str">
        <f t="shared" si="11"/>
        <v>GREGORY HANSFORD</v>
      </c>
      <c r="L175" s="6">
        <v>45527</v>
      </c>
      <c r="M175" s="6">
        <v>46014</v>
      </c>
      <c r="N175" s="5">
        <f t="shared" si="10"/>
        <v>16</v>
      </c>
      <c r="O175" s="5" t="s">
        <v>316</v>
      </c>
      <c r="P175" s="5" t="s">
        <v>727</v>
      </c>
      <c r="Q175" s="7">
        <v>114.17</v>
      </c>
      <c r="R175" s="5" t="s">
        <v>58</v>
      </c>
      <c r="S175" s="14">
        <v>0.26</v>
      </c>
      <c r="T175" s="5" t="s">
        <v>316</v>
      </c>
      <c r="U175" s="5" t="s">
        <v>317</v>
      </c>
      <c r="V175" s="7">
        <v>29.68</v>
      </c>
      <c r="W175" s="5" t="s">
        <v>735</v>
      </c>
    </row>
    <row r="176" spans="1:23" s="5" customFormat="1" x14ac:dyDescent="0.25">
      <c r="A176" s="5">
        <v>2024487768</v>
      </c>
      <c r="B176" s="5" t="s">
        <v>571</v>
      </c>
      <c r="C176" s="5" t="s">
        <v>572</v>
      </c>
      <c r="D176" s="5" t="str">
        <f t="shared" si="8"/>
        <v>BRETT WERNER</v>
      </c>
      <c r="E176" s="5" t="s">
        <v>64</v>
      </c>
      <c r="F176" s="5" t="s">
        <v>262</v>
      </c>
      <c r="G176" s="5" t="s">
        <v>263</v>
      </c>
      <c r="H176" s="5">
        <v>19481808</v>
      </c>
      <c r="I176" s="5" t="s">
        <v>571</v>
      </c>
      <c r="J176" s="5" t="s">
        <v>329</v>
      </c>
      <c r="K176" s="5" t="str">
        <f t="shared" si="11"/>
        <v>STEVEN WERNER</v>
      </c>
      <c r="L176" s="6">
        <v>45526</v>
      </c>
      <c r="M176" s="6">
        <v>46013</v>
      </c>
      <c r="N176" s="5">
        <f t="shared" si="10"/>
        <v>16</v>
      </c>
      <c r="O176" s="5" t="s">
        <v>316</v>
      </c>
      <c r="P176" s="5" t="s">
        <v>727</v>
      </c>
      <c r="Q176" s="7">
        <v>49.8</v>
      </c>
      <c r="R176" s="5" t="s">
        <v>58</v>
      </c>
      <c r="S176" s="14">
        <v>0.15</v>
      </c>
      <c r="T176" s="5" t="s">
        <v>316</v>
      </c>
      <c r="U176" s="5" t="s">
        <v>317</v>
      </c>
      <c r="V176" s="7">
        <v>7.47</v>
      </c>
      <c r="W176" s="5" t="s">
        <v>263</v>
      </c>
    </row>
    <row r="177" spans="1:23" s="5" customFormat="1" x14ac:dyDescent="0.25">
      <c r="A177" s="5">
        <v>2024489047</v>
      </c>
      <c r="B177" s="5" t="s">
        <v>480</v>
      </c>
      <c r="C177" s="5" t="s">
        <v>157</v>
      </c>
      <c r="D177" s="5" t="str">
        <f t="shared" si="8"/>
        <v>THOMAS BURKE</v>
      </c>
      <c r="E177" s="5" t="s">
        <v>52</v>
      </c>
      <c r="F177" s="5" t="s">
        <v>196</v>
      </c>
      <c r="G177" s="5" t="s">
        <v>197</v>
      </c>
      <c r="H177" s="5">
        <v>8971826</v>
      </c>
      <c r="I177" s="5" t="s">
        <v>314</v>
      </c>
      <c r="J177" s="5" t="s">
        <v>186</v>
      </c>
      <c r="K177" s="5" t="str">
        <f t="shared" si="11"/>
        <v>SCOTT AGUGLIA</v>
      </c>
      <c r="L177" s="6">
        <v>45526</v>
      </c>
      <c r="M177" s="6">
        <v>46013</v>
      </c>
      <c r="N177" s="5">
        <f t="shared" si="10"/>
        <v>16</v>
      </c>
      <c r="O177" s="5" t="s">
        <v>316</v>
      </c>
      <c r="P177" s="5" t="s">
        <v>727</v>
      </c>
      <c r="Q177" s="7">
        <v>47.29</v>
      </c>
      <c r="R177" s="5" t="s">
        <v>58</v>
      </c>
      <c r="S177" s="14">
        <v>0.06</v>
      </c>
      <c r="T177" s="5" t="s">
        <v>316</v>
      </c>
      <c r="U177" s="5" t="s">
        <v>317</v>
      </c>
      <c r="V177" s="7">
        <v>2.84</v>
      </c>
      <c r="W177" s="5" t="s">
        <v>197</v>
      </c>
    </row>
    <row r="178" spans="1:23" s="5" customFormat="1" x14ac:dyDescent="0.25">
      <c r="A178" s="5">
        <v>2024464934</v>
      </c>
      <c r="B178" s="5" t="s">
        <v>551</v>
      </c>
      <c r="C178" s="5" t="s">
        <v>552</v>
      </c>
      <c r="D178" s="5" t="str">
        <f t="shared" si="8"/>
        <v>MONA AFRASSIAB</v>
      </c>
      <c r="E178" s="5" t="s">
        <v>64</v>
      </c>
      <c r="F178" s="5" t="s">
        <v>683</v>
      </c>
      <c r="G178" s="5" t="s">
        <v>684</v>
      </c>
      <c r="H178" s="5">
        <v>17094718</v>
      </c>
      <c r="I178" s="5" t="s">
        <v>430</v>
      </c>
      <c r="J178" s="5" t="s">
        <v>332</v>
      </c>
      <c r="K178" s="5" t="str">
        <f t="shared" si="11"/>
        <v>GREGORY HANSFORD</v>
      </c>
      <c r="L178" s="6">
        <v>45527</v>
      </c>
      <c r="M178" s="6">
        <v>46014</v>
      </c>
      <c r="N178" s="5">
        <f t="shared" si="10"/>
        <v>16</v>
      </c>
      <c r="O178" s="5" t="s">
        <v>316</v>
      </c>
      <c r="P178" s="5" t="s">
        <v>727</v>
      </c>
      <c r="Q178" s="7">
        <v>109.48</v>
      </c>
      <c r="R178" s="5" t="s">
        <v>58</v>
      </c>
      <c r="S178" s="15">
        <v>5.2499999999999998E-2</v>
      </c>
      <c r="T178" s="5" t="s">
        <v>316</v>
      </c>
      <c r="U178" s="5" t="s">
        <v>317</v>
      </c>
      <c r="V178" s="7">
        <v>5.75</v>
      </c>
      <c r="W178" s="5" t="s">
        <v>684</v>
      </c>
    </row>
    <row r="179" spans="1:23" s="5" customFormat="1" x14ac:dyDescent="0.25">
      <c r="A179" s="5">
        <v>2024049922</v>
      </c>
      <c r="B179" s="5" t="s">
        <v>478</v>
      </c>
      <c r="C179" s="5" t="s">
        <v>479</v>
      </c>
      <c r="D179" s="5" t="str">
        <f t="shared" si="8"/>
        <v>DAISY ARMSTRONG</v>
      </c>
      <c r="E179" s="5" t="s">
        <v>52</v>
      </c>
      <c r="F179" s="5" t="s">
        <v>196</v>
      </c>
      <c r="G179" s="5" t="s">
        <v>197</v>
      </c>
      <c r="H179" s="5">
        <v>8971826</v>
      </c>
      <c r="I179" s="5" t="s">
        <v>314</v>
      </c>
      <c r="J179" s="5" t="s">
        <v>186</v>
      </c>
      <c r="K179" s="5" t="str">
        <f t="shared" si="11"/>
        <v>SCOTT AGUGLIA</v>
      </c>
      <c r="L179" s="6">
        <v>45497</v>
      </c>
      <c r="M179" s="6">
        <v>46015</v>
      </c>
      <c r="N179" s="5">
        <f t="shared" si="10"/>
        <v>17</v>
      </c>
      <c r="O179" s="5" t="s">
        <v>316</v>
      </c>
      <c r="P179" s="5" t="s">
        <v>727</v>
      </c>
      <c r="Q179" s="7">
        <v>40.119999999999997</v>
      </c>
      <c r="R179" s="5" t="s">
        <v>58</v>
      </c>
      <c r="S179" s="14">
        <v>0.06</v>
      </c>
      <c r="T179" s="5" t="s">
        <v>316</v>
      </c>
      <c r="U179" s="5" t="s">
        <v>317</v>
      </c>
      <c r="V179" s="7">
        <v>2.41</v>
      </c>
      <c r="W179" s="5" t="s">
        <v>197</v>
      </c>
    </row>
    <row r="180" spans="1:23" s="5" customFormat="1" x14ac:dyDescent="0.25">
      <c r="A180" s="5">
        <v>2023233681</v>
      </c>
      <c r="B180" s="5" t="s">
        <v>475</v>
      </c>
      <c r="C180" s="5" t="s">
        <v>476</v>
      </c>
      <c r="D180" s="5" t="str">
        <f t="shared" si="8"/>
        <v>ALEXANDRA MCKAY</v>
      </c>
      <c r="E180" s="5" t="s">
        <v>64</v>
      </c>
      <c r="F180" s="5" t="s">
        <v>262</v>
      </c>
      <c r="G180" s="5" t="s">
        <v>263</v>
      </c>
      <c r="H180" s="5">
        <v>19645587</v>
      </c>
      <c r="I180" s="5" t="s">
        <v>209</v>
      </c>
      <c r="J180" s="5" t="s">
        <v>477</v>
      </c>
      <c r="K180" s="5" t="str">
        <f t="shared" si="11"/>
        <v>STACEY PORTUGAL</v>
      </c>
      <c r="L180" s="6">
        <v>45436</v>
      </c>
      <c r="M180" s="6">
        <v>46015</v>
      </c>
      <c r="N180" s="5">
        <f t="shared" si="10"/>
        <v>19</v>
      </c>
      <c r="O180" s="5" t="s">
        <v>316</v>
      </c>
      <c r="P180" s="5" t="s">
        <v>727</v>
      </c>
      <c r="Q180" s="7">
        <v>47.71</v>
      </c>
      <c r="R180" s="5" t="s">
        <v>58</v>
      </c>
      <c r="S180" s="14">
        <v>0.15</v>
      </c>
      <c r="T180" s="5" t="s">
        <v>316</v>
      </c>
      <c r="U180" s="5" t="s">
        <v>317</v>
      </c>
      <c r="V180" s="7">
        <v>7.16</v>
      </c>
      <c r="W180" s="5" t="s">
        <v>263</v>
      </c>
    </row>
    <row r="181" spans="1:23" s="5" customFormat="1" x14ac:dyDescent="0.25">
      <c r="A181" s="5">
        <v>2023230473</v>
      </c>
      <c r="B181" s="5" t="s">
        <v>473</v>
      </c>
      <c r="C181" s="5" t="s">
        <v>474</v>
      </c>
      <c r="D181" s="5" t="str">
        <f t="shared" si="8"/>
        <v>SAMUEL SACK</v>
      </c>
      <c r="E181" s="5" t="s">
        <v>52</v>
      </c>
      <c r="F181" s="5" t="s">
        <v>196</v>
      </c>
      <c r="G181" s="5" t="s">
        <v>197</v>
      </c>
      <c r="H181" s="5">
        <v>8971826</v>
      </c>
      <c r="I181" s="5" t="s">
        <v>314</v>
      </c>
      <c r="J181" s="5" t="s">
        <v>186</v>
      </c>
      <c r="K181" s="5" t="str">
        <f t="shared" si="11"/>
        <v>SCOTT AGUGLIA</v>
      </c>
      <c r="L181" s="6">
        <v>45436</v>
      </c>
      <c r="M181" s="6">
        <v>46015</v>
      </c>
      <c r="N181" s="5">
        <f t="shared" si="10"/>
        <v>19</v>
      </c>
      <c r="O181" s="5" t="s">
        <v>316</v>
      </c>
      <c r="P181" s="5" t="s">
        <v>727</v>
      </c>
      <c r="Q181" s="7">
        <v>40.119999999999997</v>
      </c>
      <c r="R181" s="5" t="s">
        <v>58</v>
      </c>
      <c r="S181" s="14">
        <v>0.06</v>
      </c>
      <c r="T181" s="5" t="s">
        <v>316</v>
      </c>
      <c r="U181" s="5" t="s">
        <v>317</v>
      </c>
      <c r="V181" s="7">
        <v>2.41</v>
      </c>
      <c r="W181" s="5" t="s">
        <v>197</v>
      </c>
    </row>
    <row r="182" spans="1:23" s="5" customFormat="1" x14ac:dyDescent="0.25">
      <c r="A182" s="5">
        <v>2023233680</v>
      </c>
      <c r="B182" s="5" t="s">
        <v>475</v>
      </c>
      <c r="C182" s="5" t="s">
        <v>476</v>
      </c>
      <c r="D182" s="5" t="str">
        <f t="shared" si="8"/>
        <v>ALEXANDRA MCKAY</v>
      </c>
      <c r="E182" s="5" t="s">
        <v>64</v>
      </c>
      <c r="F182" s="5" t="s">
        <v>196</v>
      </c>
      <c r="G182" s="5" t="s">
        <v>197</v>
      </c>
      <c r="H182" s="5">
        <v>19645587</v>
      </c>
      <c r="I182" s="5" t="s">
        <v>209</v>
      </c>
      <c r="J182" s="5" t="s">
        <v>477</v>
      </c>
      <c r="K182" s="5" t="str">
        <f t="shared" si="11"/>
        <v>STACEY PORTUGAL</v>
      </c>
      <c r="L182" s="6">
        <v>45436</v>
      </c>
      <c r="M182" s="6">
        <v>46015</v>
      </c>
      <c r="N182" s="5">
        <f t="shared" si="10"/>
        <v>19</v>
      </c>
      <c r="O182" s="5" t="s">
        <v>316</v>
      </c>
      <c r="P182" s="5" t="s">
        <v>727</v>
      </c>
      <c r="Q182" s="7">
        <v>31.28</v>
      </c>
      <c r="R182" s="5" t="s">
        <v>58</v>
      </c>
      <c r="S182" s="14">
        <v>0.06</v>
      </c>
      <c r="T182" s="5" t="s">
        <v>316</v>
      </c>
      <c r="U182" s="5" t="s">
        <v>317</v>
      </c>
      <c r="V182" s="7">
        <v>1.88</v>
      </c>
      <c r="W182" s="5" t="s">
        <v>197</v>
      </c>
    </row>
    <row r="183" spans="1:23" s="5" customFormat="1" x14ac:dyDescent="0.25">
      <c r="A183" s="5">
        <v>2022823602</v>
      </c>
      <c r="B183" s="5" t="s">
        <v>471</v>
      </c>
      <c r="C183" s="5" t="s">
        <v>472</v>
      </c>
      <c r="D183" s="5" t="str">
        <f t="shared" si="8"/>
        <v>MICHELLE KEEFER</v>
      </c>
      <c r="E183" s="5" t="s">
        <v>52</v>
      </c>
      <c r="F183" s="5" t="s">
        <v>196</v>
      </c>
      <c r="G183" s="5" t="s">
        <v>197</v>
      </c>
      <c r="H183" s="5">
        <v>8971826</v>
      </c>
      <c r="I183" s="5" t="s">
        <v>314</v>
      </c>
      <c r="J183" s="5" t="s">
        <v>186</v>
      </c>
      <c r="K183" s="5" t="str">
        <f t="shared" si="11"/>
        <v>SCOTT AGUGLIA</v>
      </c>
      <c r="L183" s="6">
        <v>45406</v>
      </c>
      <c r="M183" s="6">
        <v>46015</v>
      </c>
      <c r="N183" s="5">
        <f t="shared" si="10"/>
        <v>20</v>
      </c>
      <c r="O183" s="5" t="s">
        <v>316</v>
      </c>
      <c r="P183" s="5" t="s">
        <v>727</v>
      </c>
      <c r="Q183" s="7">
        <v>58.98</v>
      </c>
      <c r="R183" s="5" t="s">
        <v>58</v>
      </c>
      <c r="S183" s="14">
        <v>0.06</v>
      </c>
      <c r="T183" s="5" t="s">
        <v>316</v>
      </c>
      <c r="U183" s="5" t="s">
        <v>317</v>
      </c>
      <c r="V183" s="7">
        <v>3.54</v>
      </c>
      <c r="W183" s="5" t="s">
        <v>197</v>
      </c>
    </row>
    <row r="184" spans="1:23" s="5" customFormat="1" x14ac:dyDescent="0.25">
      <c r="A184" s="5">
        <v>2021499228</v>
      </c>
      <c r="B184" s="5" t="s">
        <v>464</v>
      </c>
      <c r="C184" s="5" t="s">
        <v>465</v>
      </c>
      <c r="D184" s="5" t="str">
        <f t="shared" si="8"/>
        <v>SHATAYA JONES</v>
      </c>
      <c r="E184" s="5" t="s">
        <v>52</v>
      </c>
      <c r="F184" s="5" t="s">
        <v>196</v>
      </c>
      <c r="G184" s="5" t="s">
        <v>197</v>
      </c>
      <c r="H184" s="5">
        <v>19562245</v>
      </c>
      <c r="I184" s="5" t="s">
        <v>463</v>
      </c>
      <c r="J184" s="5" t="s">
        <v>63</v>
      </c>
      <c r="K184" s="5" t="str">
        <f t="shared" si="11"/>
        <v>KELLY CARRYER</v>
      </c>
      <c r="L184" s="6">
        <v>45314</v>
      </c>
      <c r="M184" s="6">
        <v>46014</v>
      </c>
      <c r="N184" s="5">
        <f t="shared" si="10"/>
        <v>23</v>
      </c>
      <c r="O184" s="5" t="s">
        <v>316</v>
      </c>
      <c r="P184" s="5" t="s">
        <v>727</v>
      </c>
      <c r="Q184" s="7">
        <v>39.979999999999997</v>
      </c>
      <c r="R184" s="5" t="s">
        <v>58</v>
      </c>
      <c r="S184" s="14">
        <v>0.06</v>
      </c>
      <c r="T184" s="5" t="s">
        <v>316</v>
      </c>
      <c r="U184" s="5" t="s">
        <v>317</v>
      </c>
      <c r="V184" s="7">
        <v>2.4</v>
      </c>
      <c r="W184" s="5" t="s">
        <v>197</v>
      </c>
    </row>
    <row r="185" spans="1:23" s="5" customFormat="1" x14ac:dyDescent="0.25">
      <c r="A185" s="5">
        <v>2020534057</v>
      </c>
      <c r="B185" s="5" t="s">
        <v>313</v>
      </c>
      <c r="C185" s="5" t="s">
        <v>123</v>
      </c>
      <c r="D185" s="5" t="str">
        <f t="shared" si="8"/>
        <v>MICHAEL MCCANN</v>
      </c>
      <c r="E185" s="5" t="s">
        <v>52</v>
      </c>
      <c r="F185" s="5" t="s">
        <v>53</v>
      </c>
      <c r="G185" s="5" t="s">
        <v>54</v>
      </c>
      <c r="H185" s="5">
        <v>8971826</v>
      </c>
      <c r="I185" s="5" t="s">
        <v>314</v>
      </c>
      <c r="J185" s="5" t="s">
        <v>186</v>
      </c>
      <c r="K185" s="5" t="str">
        <f t="shared" si="11"/>
        <v>SCOTT AGUGLIA</v>
      </c>
      <c r="L185" s="6">
        <v>45224</v>
      </c>
      <c r="M185" s="6">
        <v>46016</v>
      </c>
      <c r="N185" s="5">
        <f t="shared" si="10"/>
        <v>26</v>
      </c>
      <c r="O185" s="5" t="s">
        <v>316</v>
      </c>
      <c r="P185" s="5" t="s">
        <v>727</v>
      </c>
      <c r="Q185" s="7">
        <v>42.45</v>
      </c>
      <c r="R185" s="5" t="s">
        <v>58</v>
      </c>
      <c r="S185" s="15">
        <v>6.5000000000000002E-2</v>
      </c>
      <c r="T185" s="5" t="s">
        <v>316</v>
      </c>
      <c r="U185" s="5" t="s">
        <v>317</v>
      </c>
      <c r="V185" s="7">
        <v>2.76</v>
      </c>
      <c r="W185" s="5" t="s">
        <v>54</v>
      </c>
    </row>
    <row r="186" spans="1:23" s="5" customFormat="1" x14ac:dyDescent="0.25">
      <c r="A186" s="5">
        <v>2020534056</v>
      </c>
      <c r="B186" s="5" t="s">
        <v>313</v>
      </c>
      <c r="C186" s="5" t="s">
        <v>123</v>
      </c>
      <c r="D186" s="5" t="str">
        <f t="shared" si="8"/>
        <v>MICHAEL MCCANN</v>
      </c>
      <c r="E186" s="5" t="s">
        <v>52</v>
      </c>
      <c r="F186" s="5" t="s">
        <v>196</v>
      </c>
      <c r="G186" s="5" t="s">
        <v>197</v>
      </c>
      <c r="H186" s="5">
        <v>8971826</v>
      </c>
      <c r="I186" s="5" t="s">
        <v>314</v>
      </c>
      <c r="J186" s="5" t="s">
        <v>186</v>
      </c>
      <c r="K186" s="5" t="str">
        <f t="shared" si="11"/>
        <v>SCOTT AGUGLIA</v>
      </c>
      <c r="L186" s="6">
        <v>45224</v>
      </c>
      <c r="M186" s="6">
        <v>46016</v>
      </c>
      <c r="N186" s="5">
        <f t="shared" si="10"/>
        <v>26</v>
      </c>
      <c r="O186" s="5" t="s">
        <v>316</v>
      </c>
      <c r="P186" s="5" t="s">
        <v>727</v>
      </c>
      <c r="Q186" s="7">
        <v>32.979999999999997</v>
      </c>
      <c r="R186" s="5" t="s">
        <v>58</v>
      </c>
      <c r="S186" s="14">
        <v>0.06</v>
      </c>
      <c r="T186" s="5" t="s">
        <v>316</v>
      </c>
      <c r="U186" s="5" t="s">
        <v>317</v>
      </c>
      <c r="V186" s="7">
        <v>1.98</v>
      </c>
      <c r="W186" s="5" t="s">
        <v>197</v>
      </c>
    </row>
    <row r="187" spans="1:23" s="5" customFormat="1" x14ac:dyDescent="0.25">
      <c r="A187" s="5">
        <v>2019971559</v>
      </c>
      <c r="B187" s="5" t="s">
        <v>461</v>
      </c>
      <c r="C187" s="5" t="s">
        <v>462</v>
      </c>
      <c r="D187" s="5" t="str">
        <f t="shared" si="8"/>
        <v>MACKENZIE AMALIA</v>
      </c>
      <c r="E187" s="5" t="s">
        <v>52</v>
      </c>
      <c r="F187" s="5" t="s">
        <v>196</v>
      </c>
      <c r="G187" s="5" t="s">
        <v>197</v>
      </c>
      <c r="H187" s="5">
        <v>19562245</v>
      </c>
      <c r="I187" s="5" t="s">
        <v>463</v>
      </c>
      <c r="J187" s="5" t="s">
        <v>63</v>
      </c>
      <c r="K187" s="5" t="str">
        <f t="shared" si="11"/>
        <v>KELLY CARRYER</v>
      </c>
      <c r="L187" s="6">
        <v>45163</v>
      </c>
      <c r="M187" s="6">
        <v>46016</v>
      </c>
      <c r="N187" s="5">
        <f t="shared" si="10"/>
        <v>28</v>
      </c>
      <c r="O187" s="5" t="s">
        <v>316</v>
      </c>
      <c r="P187" s="5" t="s">
        <v>727</v>
      </c>
      <c r="Q187" s="7">
        <v>49.12</v>
      </c>
      <c r="R187" s="5" t="s">
        <v>58</v>
      </c>
      <c r="S187" s="14">
        <v>0.06</v>
      </c>
      <c r="T187" s="5" t="s">
        <v>316</v>
      </c>
      <c r="U187" s="5" t="s">
        <v>317</v>
      </c>
      <c r="V187" s="7">
        <v>2.95</v>
      </c>
      <c r="W187" s="5" t="s">
        <v>197</v>
      </c>
    </row>
    <row r="188" spans="1:23" s="5" customFormat="1" x14ac:dyDescent="0.25">
      <c r="A188" s="5">
        <v>2019459171</v>
      </c>
      <c r="B188" s="5" t="s">
        <v>459</v>
      </c>
      <c r="C188" s="5" t="s">
        <v>438</v>
      </c>
      <c r="D188" s="5" t="str">
        <f t="shared" si="8"/>
        <v>JAMES ZOLLARS</v>
      </c>
      <c r="E188" s="5" t="s">
        <v>52</v>
      </c>
      <c r="F188" s="5" t="s">
        <v>196</v>
      </c>
      <c r="G188" s="5" t="s">
        <v>197</v>
      </c>
      <c r="H188" s="5">
        <v>8971826</v>
      </c>
      <c r="I188" s="5" t="s">
        <v>314</v>
      </c>
      <c r="J188" s="5" t="s">
        <v>186</v>
      </c>
      <c r="K188" s="5" t="str">
        <f t="shared" si="11"/>
        <v>SCOTT AGUGLIA</v>
      </c>
      <c r="L188" s="6">
        <v>45129</v>
      </c>
      <c r="M188" s="6">
        <v>46013</v>
      </c>
      <c r="N188" s="5">
        <f t="shared" si="10"/>
        <v>29</v>
      </c>
      <c r="O188" s="5" t="s">
        <v>316</v>
      </c>
      <c r="P188" s="5" t="s">
        <v>727</v>
      </c>
      <c r="Q188" s="7">
        <v>57.29</v>
      </c>
      <c r="R188" s="5" t="s">
        <v>58</v>
      </c>
      <c r="S188" s="14">
        <v>0.06</v>
      </c>
      <c r="T188" s="5" t="s">
        <v>316</v>
      </c>
      <c r="U188" s="5" t="s">
        <v>317</v>
      </c>
      <c r="V188" s="7">
        <v>3.44</v>
      </c>
      <c r="W188" s="5" t="s">
        <v>197</v>
      </c>
    </row>
    <row r="189" spans="1:23" x14ac:dyDescent="0.25">
      <c r="A189">
        <v>2032175763</v>
      </c>
      <c r="B189" t="s">
        <v>454</v>
      </c>
      <c r="C189" t="s">
        <v>455</v>
      </c>
      <c r="D189" t="str">
        <f t="shared" si="8"/>
        <v>KRISTEN RIDER</v>
      </c>
      <c r="E189" t="s">
        <v>310</v>
      </c>
      <c r="F189" t="s">
        <v>160</v>
      </c>
      <c r="G189" t="s">
        <v>451</v>
      </c>
      <c r="H189">
        <v>21621622</v>
      </c>
      <c r="I189" t="s">
        <v>456</v>
      </c>
      <c r="J189" t="s">
        <v>457</v>
      </c>
      <c r="K189" t="str">
        <f t="shared" si="11"/>
        <v>Dominic Lytle</v>
      </c>
      <c r="L189" s="1">
        <v>45976</v>
      </c>
      <c r="M189" s="1">
        <v>46006</v>
      </c>
      <c r="N189">
        <f t="shared" si="10"/>
        <v>1</v>
      </c>
      <c r="O189" t="s">
        <v>316</v>
      </c>
      <c r="P189" t="s">
        <v>727</v>
      </c>
      <c r="Q189" s="2">
        <v>-15</v>
      </c>
      <c r="R189" t="s">
        <v>58</v>
      </c>
      <c r="S189" s="3">
        <v>0.19</v>
      </c>
      <c r="T189" t="s">
        <v>60</v>
      </c>
      <c r="U189" t="s">
        <v>317</v>
      </c>
      <c r="V189" s="2">
        <v>-2.85</v>
      </c>
      <c r="W189" t="s">
        <v>451</v>
      </c>
    </row>
    <row r="190" spans="1:23" x14ac:dyDescent="0.25">
      <c r="A190">
        <v>2031210581</v>
      </c>
      <c r="B190" t="s">
        <v>401</v>
      </c>
      <c r="C190" t="s">
        <v>402</v>
      </c>
      <c r="D190" t="str">
        <f t="shared" si="8"/>
        <v>CHARLENE QAZI</v>
      </c>
      <c r="E190" t="s">
        <v>105</v>
      </c>
      <c r="F190" t="s">
        <v>89</v>
      </c>
      <c r="G190" t="s">
        <v>90</v>
      </c>
      <c r="H190">
        <v>8977234</v>
      </c>
      <c r="I190" t="s">
        <v>70</v>
      </c>
      <c r="J190" t="s">
        <v>71</v>
      </c>
      <c r="K190" t="str">
        <f t="shared" si="11"/>
        <v>RYAN CALTAGIRONE</v>
      </c>
      <c r="L190" s="1">
        <v>45931</v>
      </c>
      <c r="M190" s="1">
        <v>45992</v>
      </c>
      <c r="N190">
        <f t="shared" si="10"/>
        <v>2</v>
      </c>
      <c r="O190" t="s">
        <v>316</v>
      </c>
      <c r="P190" t="s">
        <v>727</v>
      </c>
      <c r="Q190" s="2">
        <v>23.34</v>
      </c>
      <c r="R190" t="s">
        <v>58</v>
      </c>
      <c r="S190" s="3">
        <v>0.75</v>
      </c>
      <c r="T190" t="s">
        <v>60</v>
      </c>
      <c r="U190" t="s">
        <v>317</v>
      </c>
      <c r="V190" s="2">
        <v>17.5</v>
      </c>
      <c r="W190" t="s">
        <v>718</v>
      </c>
    </row>
    <row r="191" spans="1:23" x14ac:dyDescent="0.25">
      <c r="A191">
        <v>2031780521</v>
      </c>
      <c r="B191" t="s">
        <v>669</v>
      </c>
      <c r="C191" t="s">
        <v>438</v>
      </c>
      <c r="D191" t="str">
        <f t="shared" si="8"/>
        <v>JAMES HIGGINS</v>
      </c>
      <c r="E191" t="s">
        <v>95</v>
      </c>
      <c r="F191" t="s">
        <v>262</v>
      </c>
      <c r="G191" t="s">
        <v>264</v>
      </c>
      <c r="H191">
        <v>18781057</v>
      </c>
      <c r="I191" t="s">
        <v>82</v>
      </c>
      <c r="J191" t="s">
        <v>83</v>
      </c>
      <c r="K191" t="str">
        <f t="shared" si="11"/>
        <v>JOHN ROKEN</v>
      </c>
      <c r="L191" s="1">
        <v>45954</v>
      </c>
      <c r="M191" s="1">
        <v>46015</v>
      </c>
      <c r="N191">
        <f t="shared" si="10"/>
        <v>2</v>
      </c>
      <c r="O191" t="s">
        <v>316</v>
      </c>
      <c r="P191" t="s">
        <v>727</v>
      </c>
      <c r="Q191" s="2">
        <v>24.61</v>
      </c>
      <c r="R191" t="s">
        <v>58</v>
      </c>
      <c r="S191" s="3">
        <v>0.7</v>
      </c>
      <c r="T191" t="s">
        <v>60</v>
      </c>
      <c r="U191" t="s">
        <v>317</v>
      </c>
      <c r="V191" s="2">
        <v>17.23</v>
      </c>
      <c r="W191" t="s">
        <v>562</v>
      </c>
    </row>
    <row r="192" spans="1:23" x14ac:dyDescent="0.25">
      <c r="A192">
        <v>2031210582</v>
      </c>
      <c r="B192" t="s">
        <v>401</v>
      </c>
      <c r="C192" t="s">
        <v>402</v>
      </c>
      <c r="D192" t="str">
        <f t="shared" si="8"/>
        <v>CHARLENE QAZI</v>
      </c>
      <c r="E192" t="s">
        <v>105</v>
      </c>
      <c r="F192" t="s">
        <v>262</v>
      </c>
      <c r="G192" t="s">
        <v>264</v>
      </c>
      <c r="H192">
        <v>8977234</v>
      </c>
      <c r="I192" t="s">
        <v>70</v>
      </c>
      <c r="J192" t="s">
        <v>71</v>
      </c>
      <c r="K192" t="str">
        <f t="shared" si="11"/>
        <v>RYAN CALTAGIRONE</v>
      </c>
      <c r="L192" s="1">
        <v>45931</v>
      </c>
      <c r="M192" s="1">
        <v>45992</v>
      </c>
      <c r="N192">
        <f t="shared" si="10"/>
        <v>2</v>
      </c>
      <c r="O192" t="s">
        <v>316</v>
      </c>
      <c r="P192" t="s">
        <v>727</v>
      </c>
      <c r="Q192" s="2">
        <v>25.73</v>
      </c>
      <c r="R192" t="s">
        <v>58</v>
      </c>
      <c r="S192" s="3">
        <v>0.7</v>
      </c>
      <c r="T192" t="s">
        <v>60</v>
      </c>
      <c r="U192" t="s">
        <v>317</v>
      </c>
      <c r="V192" s="2">
        <v>18.010000000000002</v>
      </c>
      <c r="W192" t="s">
        <v>562</v>
      </c>
    </row>
    <row r="193" spans="1:23" x14ac:dyDescent="0.25">
      <c r="A193">
        <v>2031767154</v>
      </c>
      <c r="B193" t="s">
        <v>665</v>
      </c>
      <c r="C193" t="s">
        <v>666</v>
      </c>
      <c r="D193" t="str">
        <f t="shared" si="8"/>
        <v>AUGUSTO APARICIO</v>
      </c>
      <c r="E193" t="s">
        <v>105</v>
      </c>
      <c r="F193" t="s">
        <v>262</v>
      </c>
      <c r="G193" t="s">
        <v>263</v>
      </c>
      <c r="H193">
        <v>9213293</v>
      </c>
      <c r="I193" t="s">
        <v>209</v>
      </c>
      <c r="J193" t="s">
        <v>210</v>
      </c>
      <c r="K193" t="str">
        <f t="shared" si="11"/>
        <v>GARY PORTUGAL</v>
      </c>
      <c r="L193" s="1">
        <v>45953</v>
      </c>
      <c r="M193" s="1">
        <v>46014</v>
      </c>
      <c r="N193">
        <f t="shared" si="10"/>
        <v>2</v>
      </c>
      <c r="O193" t="s">
        <v>316</v>
      </c>
      <c r="P193" t="s">
        <v>727</v>
      </c>
      <c r="Q193" s="2">
        <v>59.57</v>
      </c>
      <c r="R193" t="s">
        <v>58</v>
      </c>
      <c r="S193" s="3">
        <v>0.7</v>
      </c>
      <c r="T193" t="s">
        <v>60</v>
      </c>
      <c r="U193" t="s">
        <v>317</v>
      </c>
      <c r="V193" s="2">
        <v>41.7</v>
      </c>
      <c r="W193" t="s">
        <v>263</v>
      </c>
    </row>
    <row r="194" spans="1:23" x14ac:dyDescent="0.25">
      <c r="A194">
        <v>2031773320</v>
      </c>
      <c r="B194" t="s">
        <v>667</v>
      </c>
      <c r="C194" t="s">
        <v>668</v>
      </c>
      <c r="D194" t="str">
        <f t="shared" ref="D194:D257" si="12">CONCATENATE(C194," ",B194)</f>
        <v>PHENU ZACHARIAH</v>
      </c>
      <c r="E194" t="s">
        <v>135</v>
      </c>
      <c r="F194" t="s">
        <v>262</v>
      </c>
      <c r="G194" t="s">
        <v>263</v>
      </c>
      <c r="H194">
        <v>9213293</v>
      </c>
      <c r="I194" t="s">
        <v>209</v>
      </c>
      <c r="J194" t="s">
        <v>210</v>
      </c>
      <c r="K194" t="str">
        <f t="shared" ref="K194:K225" si="13">CONCATENATE(J194," ",I194)</f>
        <v>GARY PORTUGAL</v>
      </c>
      <c r="L194" s="1">
        <v>45954</v>
      </c>
      <c r="M194" s="1">
        <v>46015</v>
      </c>
      <c r="N194">
        <f t="shared" ref="N194:N257" si="14">DATEDIF(L194,M194,"M")</f>
        <v>2</v>
      </c>
      <c r="O194" t="s">
        <v>316</v>
      </c>
      <c r="P194" t="s">
        <v>727</v>
      </c>
      <c r="Q194" s="2">
        <v>132.82</v>
      </c>
      <c r="R194" t="s">
        <v>58</v>
      </c>
      <c r="S194" s="3">
        <v>0.7</v>
      </c>
      <c r="T194" t="s">
        <v>60</v>
      </c>
      <c r="U194" t="s">
        <v>317</v>
      </c>
      <c r="V194" s="2">
        <v>92.97</v>
      </c>
      <c r="W194" t="s">
        <v>263</v>
      </c>
    </row>
    <row r="195" spans="1:23" x14ac:dyDescent="0.25">
      <c r="A195">
        <v>2031210580</v>
      </c>
      <c r="B195" t="s">
        <v>401</v>
      </c>
      <c r="C195" t="s">
        <v>402</v>
      </c>
      <c r="D195" t="str">
        <f t="shared" si="12"/>
        <v>CHARLENE QAZI</v>
      </c>
      <c r="E195" t="s">
        <v>105</v>
      </c>
      <c r="F195" t="s">
        <v>262</v>
      </c>
      <c r="G195" t="s">
        <v>263</v>
      </c>
      <c r="H195">
        <v>8977234</v>
      </c>
      <c r="I195" t="s">
        <v>70</v>
      </c>
      <c r="J195" t="s">
        <v>71</v>
      </c>
      <c r="K195" t="str">
        <f t="shared" si="13"/>
        <v>RYAN CALTAGIRONE</v>
      </c>
      <c r="L195" s="1">
        <v>45931</v>
      </c>
      <c r="M195" s="1">
        <v>45992</v>
      </c>
      <c r="N195">
        <f t="shared" si="14"/>
        <v>2</v>
      </c>
      <c r="O195" t="s">
        <v>316</v>
      </c>
      <c r="P195" t="s">
        <v>727</v>
      </c>
      <c r="Q195" s="2">
        <v>27.89</v>
      </c>
      <c r="R195" t="s">
        <v>58</v>
      </c>
      <c r="S195" s="3">
        <v>0.7</v>
      </c>
      <c r="T195" t="s">
        <v>60</v>
      </c>
      <c r="U195" t="s">
        <v>317</v>
      </c>
      <c r="V195" s="2">
        <v>19.52</v>
      </c>
      <c r="W195" t="s">
        <v>263</v>
      </c>
    </row>
    <row r="196" spans="1:23" x14ac:dyDescent="0.25">
      <c r="A196">
        <v>2031738860</v>
      </c>
      <c r="B196" t="s">
        <v>405</v>
      </c>
      <c r="C196" t="s">
        <v>406</v>
      </c>
      <c r="D196" t="str">
        <f t="shared" si="12"/>
        <v>JESSICA PETERS</v>
      </c>
      <c r="E196" t="s">
        <v>105</v>
      </c>
      <c r="F196" t="s">
        <v>262</v>
      </c>
      <c r="G196" t="s">
        <v>263</v>
      </c>
      <c r="H196">
        <v>8977234</v>
      </c>
      <c r="I196" t="s">
        <v>70</v>
      </c>
      <c r="J196" t="s">
        <v>71</v>
      </c>
      <c r="K196" t="str">
        <f t="shared" si="13"/>
        <v>RYAN CALTAGIRONE</v>
      </c>
      <c r="L196" s="1">
        <v>45952</v>
      </c>
      <c r="M196" s="1">
        <v>46013</v>
      </c>
      <c r="N196">
        <f t="shared" si="14"/>
        <v>2</v>
      </c>
      <c r="O196" t="s">
        <v>316</v>
      </c>
      <c r="P196" t="s">
        <v>727</v>
      </c>
      <c r="Q196" s="2">
        <v>31.23</v>
      </c>
      <c r="R196" t="s">
        <v>58</v>
      </c>
      <c r="S196" s="3">
        <v>0.7</v>
      </c>
      <c r="T196" t="s">
        <v>60</v>
      </c>
      <c r="U196" t="s">
        <v>317</v>
      </c>
      <c r="V196" s="2">
        <v>21.86</v>
      </c>
      <c r="W196" t="s">
        <v>263</v>
      </c>
    </row>
    <row r="197" spans="1:23" x14ac:dyDescent="0.25">
      <c r="A197">
        <v>2031738859</v>
      </c>
      <c r="B197" t="s">
        <v>405</v>
      </c>
      <c r="C197" t="s">
        <v>406</v>
      </c>
      <c r="D197" t="str">
        <f t="shared" si="12"/>
        <v>JESSICA PETERS</v>
      </c>
      <c r="E197" t="s">
        <v>105</v>
      </c>
      <c r="F197" t="s">
        <v>89</v>
      </c>
      <c r="G197" t="s">
        <v>110</v>
      </c>
      <c r="H197">
        <v>8977234</v>
      </c>
      <c r="I197" t="s">
        <v>70</v>
      </c>
      <c r="J197" t="s">
        <v>71</v>
      </c>
      <c r="K197" t="str">
        <f t="shared" si="13"/>
        <v>RYAN CALTAGIRONE</v>
      </c>
      <c r="L197" s="1">
        <v>45952</v>
      </c>
      <c r="M197" s="1">
        <v>46013</v>
      </c>
      <c r="N197">
        <f t="shared" si="14"/>
        <v>2</v>
      </c>
      <c r="O197" t="s">
        <v>316</v>
      </c>
      <c r="P197" t="s">
        <v>727</v>
      </c>
      <c r="Q197" s="2">
        <v>41.51</v>
      </c>
      <c r="R197" t="s">
        <v>58</v>
      </c>
      <c r="S197" s="3">
        <v>0.65</v>
      </c>
      <c r="T197" t="s">
        <v>60</v>
      </c>
      <c r="U197" t="s">
        <v>317</v>
      </c>
      <c r="V197" s="2">
        <v>26.98</v>
      </c>
      <c r="W197" t="s">
        <v>719</v>
      </c>
    </row>
    <row r="198" spans="1:23" x14ac:dyDescent="0.25">
      <c r="A198">
        <v>2031646838</v>
      </c>
      <c r="B198" t="s">
        <v>489</v>
      </c>
      <c r="C198" t="s">
        <v>123</v>
      </c>
      <c r="D198" t="str">
        <f t="shared" si="12"/>
        <v>MICHAEL ROBINSON</v>
      </c>
      <c r="E198" t="s">
        <v>219</v>
      </c>
      <c r="F198" t="s">
        <v>683</v>
      </c>
      <c r="G198" t="s">
        <v>684</v>
      </c>
      <c r="H198">
        <v>21435997</v>
      </c>
      <c r="I198" t="s">
        <v>220</v>
      </c>
      <c r="J198" t="s">
        <v>221</v>
      </c>
      <c r="K198" t="str">
        <f t="shared" si="13"/>
        <v>Christopher Brousseau</v>
      </c>
      <c r="L198" s="1">
        <v>45948</v>
      </c>
      <c r="M198" s="1">
        <v>46009</v>
      </c>
      <c r="N198">
        <f t="shared" si="14"/>
        <v>2</v>
      </c>
      <c r="O198" t="s">
        <v>316</v>
      </c>
      <c r="P198" t="s">
        <v>727</v>
      </c>
      <c r="Q198" s="2">
        <v>74.209999999999994</v>
      </c>
      <c r="R198" t="s">
        <v>58</v>
      </c>
      <c r="S198" s="3">
        <v>0.47</v>
      </c>
      <c r="T198" t="s">
        <v>60</v>
      </c>
      <c r="U198" t="s">
        <v>317</v>
      </c>
      <c r="V198" s="2">
        <v>34.880000000000003</v>
      </c>
      <c r="W198" t="s">
        <v>684</v>
      </c>
    </row>
    <row r="199" spans="1:23" x14ac:dyDescent="0.25">
      <c r="A199">
        <v>2031738861</v>
      </c>
      <c r="B199" t="s">
        <v>405</v>
      </c>
      <c r="C199" t="s">
        <v>406</v>
      </c>
      <c r="D199" t="str">
        <f t="shared" si="12"/>
        <v>JESSICA PETERS</v>
      </c>
      <c r="E199" t="s">
        <v>105</v>
      </c>
      <c r="F199" t="s">
        <v>196</v>
      </c>
      <c r="G199" t="s">
        <v>197</v>
      </c>
      <c r="H199">
        <v>8977234</v>
      </c>
      <c r="I199" t="s">
        <v>70</v>
      </c>
      <c r="J199" t="s">
        <v>71</v>
      </c>
      <c r="K199" t="str">
        <f t="shared" si="13"/>
        <v>RYAN CALTAGIRONE</v>
      </c>
      <c r="L199" s="1">
        <v>45952</v>
      </c>
      <c r="M199" s="1">
        <v>46013</v>
      </c>
      <c r="N199">
        <f t="shared" si="14"/>
        <v>2</v>
      </c>
      <c r="O199" t="s">
        <v>316</v>
      </c>
      <c r="P199" t="s">
        <v>727</v>
      </c>
      <c r="Q199" s="2">
        <v>24.54</v>
      </c>
      <c r="R199" t="s">
        <v>58</v>
      </c>
      <c r="S199" s="4">
        <v>0.375</v>
      </c>
      <c r="T199" t="s">
        <v>60</v>
      </c>
      <c r="U199" t="s">
        <v>317</v>
      </c>
      <c r="V199" s="2">
        <v>9.1999999999999993</v>
      </c>
      <c r="W199" t="s">
        <v>197</v>
      </c>
    </row>
    <row r="200" spans="1:23" x14ac:dyDescent="0.25">
      <c r="A200">
        <v>2031833749</v>
      </c>
      <c r="B200" t="s">
        <v>543</v>
      </c>
      <c r="C200" t="s">
        <v>544</v>
      </c>
      <c r="D200" t="str">
        <f t="shared" si="12"/>
        <v>TIMMY GRIFFIN</v>
      </c>
      <c r="E200" t="s">
        <v>224</v>
      </c>
      <c r="F200" t="s">
        <v>262</v>
      </c>
      <c r="G200" t="s">
        <v>263</v>
      </c>
      <c r="H200">
        <v>20411454</v>
      </c>
      <c r="I200" t="s">
        <v>177</v>
      </c>
      <c r="J200" t="s">
        <v>66</v>
      </c>
      <c r="K200" t="s">
        <v>721</v>
      </c>
      <c r="L200" s="1">
        <v>45958</v>
      </c>
      <c r="M200" s="1">
        <v>46019</v>
      </c>
      <c r="N200">
        <f t="shared" si="14"/>
        <v>2</v>
      </c>
      <c r="O200" t="s">
        <v>316</v>
      </c>
      <c r="P200" t="s">
        <v>727</v>
      </c>
      <c r="Q200" s="2">
        <v>3.45</v>
      </c>
      <c r="R200" t="s">
        <v>58</v>
      </c>
      <c r="S200" s="3">
        <v>0.3</v>
      </c>
      <c r="T200" t="s">
        <v>60</v>
      </c>
      <c r="U200" t="s">
        <v>317</v>
      </c>
      <c r="V200" s="2">
        <v>3.45</v>
      </c>
      <c r="W200" t="s">
        <v>720</v>
      </c>
    </row>
    <row r="201" spans="1:23" x14ac:dyDescent="0.25">
      <c r="A201">
        <v>2031780522</v>
      </c>
      <c r="B201" t="s">
        <v>669</v>
      </c>
      <c r="C201" t="s">
        <v>438</v>
      </c>
      <c r="D201" t="str">
        <f t="shared" si="12"/>
        <v>JAMES HIGGINS</v>
      </c>
      <c r="E201" t="s">
        <v>95</v>
      </c>
      <c r="F201" t="s">
        <v>311</v>
      </c>
      <c r="G201" t="s">
        <v>678</v>
      </c>
      <c r="H201">
        <v>18781057</v>
      </c>
      <c r="I201" t="s">
        <v>82</v>
      </c>
      <c r="J201" t="s">
        <v>83</v>
      </c>
      <c r="K201" t="str">
        <f>CONCATENATE(J201," ",I201)</f>
        <v>JOHN ROKEN</v>
      </c>
      <c r="L201" s="1">
        <v>45954</v>
      </c>
      <c r="M201" s="1">
        <v>46015</v>
      </c>
      <c r="N201">
        <f t="shared" si="14"/>
        <v>2</v>
      </c>
      <c r="O201" t="s">
        <v>316</v>
      </c>
      <c r="P201" t="s">
        <v>727</v>
      </c>
      <c r="Q201" s="2">
        <v>142.16</v>
      </c>
      <c r="R201" t="s">
        <v>58</v>
      </c>
      <c r="S201" s="3">
        <v>0.27</v>
      </c>
      <c r="T201" t="s">
        <v>60</v>
      </c>
      <c r="U201" t="s">
        <v>317</v>
      </c>
      <c r="V201" s="2">
        <v>38.380000000000003</v>
      </c>
      <c r="W201" t="s">
        <v>734</v>
      </c>
    </row>
    <row r="202" spans="1:23" x14ac:dyDescent="0.25">
      <c r="A202">
        <v>2031780523</v>
      </c>
      <c r="B202" t="s">
        <v>669</v>
      </c>
      <c r="C202" t="s">
        <v>438</v>
      </c>
      <c r="D202" t="str">
        <f t="shared" si="12"/>
        <v>JAMES HIGGINS</v>
      </c>
      <c r="E202" t="s">
        <v>95</v>
      </c>
      <c r="F202" t="s">
        <v>311</v>
      </c>
      <c r="G202" t="s">
        <v>680</v>
      </c>
      <c r="H202">
        <v>18781057</v>
      </c>
      <c r="I202" t="s">
        <v>82</v>
      </c>
      <c r="J202" t="s">
        <v>83</v>
      </c>
      <c r="K202" t="str">
        <f>CONCATENATE(J202," ",I202)</f>
        <v>JOHN ROKEN</v>
      </c>
      <c r="L202" s="1">
        <v>45954</v>
      </c>
      <c r="M202" s="1">
        <v>46015</v>
      </c>
      <c r="N202">
        <f t="shared" si="14"/>
        <v>2</v>
      </c>
      <c r="O202" t="s">
        <v>316</v>
      </c>
      <c r="P202" t="s">
        <v>727</v>
      </c>
      <c r="Q202" s="2">
        <v>9.9499999999999993</v>
      </c>
      <c r="R202" t="s">
        <v>58</v>
      </c>
      <c r="S202" s="3">
        <v>0.27</v>
      </c>
      <c r="T202" t="s">
        <v>60</v>
      </c>
      <c r="U202" t="s">
        <v>317</v>
      </c>
      <c r="V202" s="2">
        <v>2.69</v>
      </c>
      <c r="W202" t="s">
        <v>734</v>
      </c>
    </row>
    <row r="203" spans="1:23" x14ac:dyDescent="0.25">
      <c r="A203">
        <v>2031833748</v>
      </c>
      <c r="B203" t="s">
        <v>543</v>
      </c>
      <c r="C203" t="s">
        <v>544</v>
      </c>
      <c r="D203" t="str">
        <f t="shared" si="12"/>
        <v>TIMMY GRIFFIN</v>
      </c>
      <c r="E203" t="s">
        <v>224</v>
      </c>
      <c r="F203" t="s">
        <v>196</v>
      </c>
      <c r="G203" t="s">
        <v>197</v>
      </c>
      <c r="H203">
        <v>20411454</v>
      </c>
      <c r="I203" t="s">
        <v>177</v>
      </c>
      <c r="J203" t="s">
        <v>66</v>
      </c>
      <c r="K203" t="s">
        <v>721</v>
      </c>
      <c r="L203" s="1">
        <v>45958</v>
      </c>
      <c r="M203" s="1">
        <v>46019</v>
      </c>
      <c r="N203">
        <f t="shared" si="14"/>
        <v>2</v>
      </c>
      <c r="O203" t="s">
        <v>316</v>
      </c>
      <c r="P203" t="s">
        <v>727</v>
      </c>
      <c r="Q203" s="2">
        <v>4.2300000000000004</v>
      </c>
      <c r="R203" t="s">
        <v>58</v>
      </c>
      <c r="S203" s="4">
        <v>9.5000000000000001E-2</v>
      </c>
      <c r="T203" t="s">
        <v>60</v>
      </c>
      <c r="U203" t="s">
        <v>317</v>
      </c>
      <c r="V203" s="2">
        <v>4.2300000000000004</v>
      </c>
      <c r="W203" t="s">
        <v>720</v>
      </c>
    </row>
    <row r="204" spans="1:23" x14ac:dyDescent="0.25">
      <c r="A204">
        <v>2030716586</v>
      </c>
      <c r="B204" t="s">
        <v>170</v>
      </c>
      <c r="C204" t="s">
        <v>396</v>
      </c>
      <c r="D204" t="str">
        <f t="shared" si="12"/>
        <v>WHITEMAN TIMOTHY</v>
      </c>
      <c r="E204" t="s">
        <v>95</v>
      </c>
      <c r="F204" t="s">
        <v>89</v>
      </c>
      <c r="G204" t="s">
        <v>96</v>
      </c>
      <c r="H204">
        <v>5442438</v>
      </c>
      <c r="I204" t="s">
        <v>125</v>
      </c>
      <c r="J204" t="s">
        <v>126</v>
      </c>
      <c r="K204" t="str">
        <f t="shared" ref="K204:K235" si="15">CONCATENATE(J204," ",I204)</f>
        <v>Ronald Max</v>
      </c>
      <c r="L204" s="1">
        <v>45922</v>
      </c>
      <c r="M204" s="1">
        <v>46013</v>
      </c>
      <c r="N204">
        <f t="shared" si="14"/>
        <v>3</v>
      </c>
      <c r="O204" t="s">
        <v>316</v>
      </c>
      <c r="P204" t="s">
        <v>727</v>
      </c>
      <c r="Q204" s="2">
        <v>109.06</v>
      </c>
      <c r="R204" t="s">
        <v>58</v>
      </c>
      <c r="S204" s="3">
        <v>0.9</v>
      </c>
      <c r="T204" t="s">
        <v>60</v>
      </c>
      <c r="U204" t="s">
        <v>317</v>
      </c>
      <c r="V204" s="2">
        <v>98.15</v>
      </c>
      <c r="W204" t="s">
        <v>722</v>
      </c>
    </row>
    <row r="205" spans="1:23" x14ac:dyDescent="0.25">
      <c r="A205">
        <v>2030716585</v>
      </c>
      <c r="B205" t="s">
        <v>170</v>
      </c>
      <c r="C205" t="s">
        <v>396</v>
      </c>
      <c r="D205" t="str">
        <f t="shared" si="12"/>
        <v>WHITEMAN TIMOTHY</v>
      </c>
      <c r="E205" t="s">
        <v>95</v>
      </c>
      <c r="F205" t="s">
        <v>262</v>
      </c>
      <c r="G205" t="s">
        <v>562</v>
      </c>
      <c r="H205">
        <v>5442438</v>
      </c>
      <c r="I205" t="s">
        <v>125</v>
      </c>
      <c r="J205" t="s">
        <v>126</v>
      </c>
      <c r="K205" t="str">
        <f t="shared" si="15"/>
        <v>Ronald Max</v>
      </c>
      <c r="L205" s="1">
        <v>45922</v>
      </c>
      <c r="M205" s="1">
        <v>46013</v>
      </c>
      <c r="N205">
        <f t="shared" si="14"/>
        <v>3</v>
      </c>
      <c r="O205" t="s">
        <v>316</v>
      </c>
      <c r="P205" t="s">
        <v>727</v>
      </c>
      <c r="Q205" s="2">
        <v>24.61</v>
      </c>
      <c r="R205" t="s">
        <v>58</v>
      </c>
      <c r="S205" s="3">
        <v>0.7</v>
      </c>
      <c r="T205" t="s">
        <v>60</v>
      </c>
      <c r="U205" t="s">
        <v>317</v>
      </c>
      <c r="V205" s="2">
        <v>17.23</v>
      </c>
      <c r="W205" t="s">
        <v>562</v>
      </c>
    </row>
    <row r="206" spans="1:23" x14ac:dyDescent="0.25">
      <c r="A206">
        <v>2031266652</v>
      </c>
      <c r="B206" t="s">
        <v>654</v>
      </c>
      <c r="C206" t="s">
        <v>655</v>
      </c>
      <c r="D206" t="str">
        <f t="shared" si="12"/>
        <v>SAVANNAH LESTER</v>
      </c>
      <c r="E206" t="s">
        <v>235</v>
      </c>
      <c r="F206" t="s">
        <v>262</v>
      </c>
      <c r="G206" t="s">
        <v>264</v>
      </c>
      <c r="H206" t="s">
        <v>731</v>
      </c>
      <c r="I206" t="s">
        <v>271</v>
      </c>
      <c r="J206" t="s">
        <v>272</v>
      </c>
      <c r="K206" t="str">
        <f t="shared" si="15"/>
        <v>JARED KINYUA</v>
      </c>
      <c r="L206" s="1">
        <v>45926</v>
      </c>
      <c r="M206" s="1">
        <v>46017</v>
      </c>
      <c r="N206">
        <f t="shared" si="14"/>
        <v>3</v>
      </c>
      <c r="O206" t="s">
        <v>316</v>
      </c>
      <c r="P206" t="s">
        <v>727</v>
      </c>
      <c r="Q206" s="2">
        <v>25.73</v>
      </c>
      <c r="R206" t="s">
        <v>58</v>
      </c>
      <c r="S206" s="3">
        <v>0.7</v>
      </c>
      <c r="T206" t="s">
        <v>60</v>
      </c>
      <c r="U206" t="s">
        <v>317</v>
      </c>
      <c r="V206" s="2">
        <v>18.010000000000002</v>
      </c>
      <c r="W206" t="s">
        <v>562</v>
      </c>
    </row>
    <row r="207" spans="1:23" x14ac:dyDescent="0.25">
      <c r="A207">
        <v>2031266651</v>
      </c>
      <c r="B207" t="s">
        <v>654</v>
      </c>
      <c r="C207" t="s">
        <v>655</v>
      </c>
      <c r="D207" t="str">
        <f t="shared" si="12"/>
        <v>SAVANNAH LESTER</v>
      </c>
      <c r="E207" t="s">
        <v>235</v>
      </c>
      <c r="F207" t="s">
        <v>262</v>
      </c>
      <c r="G207" t="s">
        <v>263</v>
      </c>
      <c r="H207" t="s">
        <v>731</v>
      </c>
      <c r="I207" t="s">
        <v>271</v>
      </c>
      <c r="J207" t="s">
        <v>272</v>
      </c>
      <c r="K207" t="str">
        <f t="shared" si="15"/>
        <v>JARED KINYUA</v>
      </c>
      <c r="L207" s="1">
        <v>45926</v>
      </c>
      <c r="M207" s="1">
        <v>46017</v>
      </c>
      <c r="N207">
        <f t="shared" si="14"/>
        <v>3</v>
      </c>
      <c r="O207" t="s">
        <v>316</v>
      </c>
      <c r="P207" t="s">
        <v>727</v>
      </c>
      <c r="Q207" s="2">
        <v>23.28</v>
      </c>
      <c r="R207" t="s">
        <v>58</v>
      </c>
      <c r="S207" s="3">
        <v>0.7</v>
      </c>
      <c r="T207" t="s">
        <v>60</v>
      </c>
      <c r="U207" t="s">
        <v>317</v>
      </c>
      <c r="V207" s="2">
        <v>16.3</v>
      </c>
      <c r="W207" t="s">
        <v>263</v>
      </c>
    </row>
    <row r="208" spans="1:23" x14ac:dyDescent="0.25">
      <c r="A208">
        <v>2031209004</v>
      </c>
      <c r="B208" t="s">
        <v>701</v>
      </c>
      <c r="C208" t="s">
        <v>702</v>
      </c>
      <c r="D208" t="str">
        <f t="shared" si="12"/>
        <v>DARRELL GUNTER</v>
      </c>
      <c r="E208" t="s">
        <v>52</v>
      </c>
      <c r="F208" t="s">
        <v>683</v>
      </c>
      <c r="G208" t="s">
        <v>693</v>
      </c>
      <c r="H208">
        <v>18781057</v>
      </c>
      <c r="I208" t="s">
        <v>82</v>
      </c>
      <c r="J208" t="s">
        <v>83</v>
      </c>
      <c r="K208" t="str">
        <f t="shared" si="15"/>
        <v>JOHN ROKEN</v>
      </c>
      <c r="L208" s="1">
        <v>45923</v>
      </c>
      <c r="M208" s="1">
        <v>46014</v>
      </c>
      <c r="N208">
        <f t="shared" si="14"/>
        <v>3</v>
      </c>
      <c r="O208" t="s">
        <v>316</v>
      </c>
      <c r="P208" t="s">
        <v>727</v>
      </c>
      <c r="Q208" s="2">
        <v>55.2</v>
      </c>
      <c r="R208" t="s">
        <v>58</v>
      </c>
      <c r="S208" s="3">
        <v>0.51</v>
      </c>
      <c r="T208" t="s">
        <v>60</v>
      </c>
      <c r="U208" t="s">
        <v>317</v>
      </c>
      <c r="V208" s="2">
        <v>28.15</v>
      </c>
      <c r="W208" t="s">
        <v>693</v>
      </c>
    </row>
    <row r="209" spans="1:23" x14ac:dyDescent="0.25">
      <c r="A209">
        <v>2030707327</v>
      </c>
      <c r="B209" t="s">
        <v>394</v>
      </c>
      <c r="C209" t="s">
        <v>395</v>
      </c>
      <c r="D209" t="str">
        <f t="shared" si="12"/>
        <v>YEOUN SUNG</v>
      </c>
      <c r="E209" t="s">
        <v>109</v>
      </c>
      <c r="F209" t="s">
        <v>89</v>
      </c>
      <c r="G209" t="s">
        <v>96</v>
      </c>
      <c r="H209" t="s">
        <v>731</v>
      </c>
      <c r="I209" t="s">
        <v>271</v>
      </c>
      <c r="J209" t="s">
        <v>272</v>
      </c>
      <c r="K209" t="str">
        <f t="shared" si="15"/>
        <v>JARED KINYUA</v>
      </c>
      <c r="L209" s="1">
        <v>45896</v>
      </c>
      <c r="M209" s="1">
        <v>46018</v>
      </c>
      <c r="N209">
        <f t="shared" si="14"/>
        <v>4</v>
      </c>
      <c r="O209" t="s">
        <v>316</v>
      </c>
      <c r="P209" t="s">
        <v>727</v>
      </c>
      <c r="Q209" s="2">
        <v>54.21</v>
      </c>
      <c r="R209" t="s">
        <v>58</v>
      </c>
      <c r="S209" s="3">
        <v>0.9</v>
      </c>
      <c r="T209" t="s">
        <v>60</v>
      </c>
      <c r="U209" t="s">
        <v>317</v>
      </c>
      <c r="V209" s="2">
        <v>48.79</v>
      </c>
      <c r="W209" t="s">
        <v>722</v>
      </c>
    </row>
    <row r="210" spans="1:23" x14ac:dyDescent="0.25">
      <c r="A210">
        <v>2030567354</v>
      </c>
      <c r="B210" t="s">
        <v>329</v>
      </c>
      <c r="C210" t="s">
        <v>391</v>
      </c>
      <c r="D210" t="str">
        <f t="shared" si="12"/>
        <v>YOUNG STEVEN</v>
      </c>
      <c r="E210" t="s">
        <v>95</v>
      </c>
      <c r="F210" t="s">
        <v>89</v>
      </c>
      <c r="G210" t="s">
        <v>96</v>
      </c>
      <c r="H210">
        <v>5442438</v>
      </c>
      <c r="I210" t="s">
        <v>125</v>
      </c>
      <c r="J210" t="s">
        <v>126</v>
      </c>
      <c r="K210" t="str">
        <f t="shared" si="15"/>
        <v>Ronald Max</v>
      </c>
      <c r="L210" s="1">
        <v>45892</v>
      </c>
      <c r="M210" s="1">
        <v>46014</v>
      </c>
      <c r="N210">
        <f t="shared" si="14"/>
        <v>4</v>
      </c>
      <c r="O210" t="s">
        <v>316</v>
      </c>
      <c r="P210" t="s">
        <v>727</v>
      </c>
      <c r="Q210" s="2">
        <v>106.25</v>
      </c>
      <c r="R210" t="s">
        <v>58</v>
      </c>
      <c r="S210" s="3">
        <v>0.9</v>
      </c>
      <c r="T210" t="s">
        <v>60</v>
      </c>
      <c r="U210" t="s">
        <v>317</v>
      </c>
      <c r="V210" s="2">
        <v>95.62</v>
      </c>
      <c r="W210" t="s">
        <v>722</v>
      </c>
    </row>
    <row r="211" spans="1:23" x14ac:dyDescent="0.25">
      <c r="A211">
        <v>2030567353</v>
      </c>
      <c r="B211" t="s">
        <v>329</v>
      </c>
      <c r="C211" t="s">
        <v>391</v>
      </c>
      <c r="D211" t="str">
        <f t="shared" si="12"/>
        <v>YOUNG STEVEN</v>
      </c>
      <c r="E211" t="s">
        <v>95</v>
      </c>
      <c r="F211" t="s">
        <v>262</v>
      </c>
      <c r="G211" t="s">
        <v>562</v>
      </c>
      <c r="H211">
        <v>5442438</v>
      </c>
      <c r="I211" t="s">
        <v>125</v>
      </c>
      <c r="J211" t="s">
        <v>126</v>
      </c>
      <c r="K211" t="str">
        <f t="shared" si="15"/>
        <v>Ronald Max</v>
      </c>
      <c r="L211" s="1">
        <v>45892</v>
      </c>
      <c r="M211" s="1">
        <v>46014</v>
      </c>
      <c r="N211">
        <f t="shared" si="14"/>
        <v>4</v>
      </c>
      <c r="O211" t="s">
        <v>316</v>
      </c>
      <c r="P211" t="s">
        <v>727</v>
      </c>
      <c r="Q211" s="2">
        <v>24.61</v>
      </c>
      <c r="R211" t="s">
        <v>58</v>
      </c>
      <c r="S211" s="3">
        <v>0.7</v>
      </c>
      <c r="T211" t="s">
        <v>60</v>
      </c>
      <c r="U211" t="s">
        <v>317</v>
      </c>
      <c r="V211" s="2">
        <v>17.23</v>
      </c>
      <c r="W211" t="s">
        <v>562</v>
      </c>
    </row>
    <row r="212" spans="1:23" x14ac:dyDescent="0.25">
      <c r="A212">
        <v>2030613892</v>
      </c>
      <c r="B212" t="s">
        <v>649</v>
      </c>
      <c r="C212" t="s">
        <v>650</v>
      </c>
      <c r="D212" t="str">
        <f t="shared" si="12"/>
        <v>TURNER YVETTE</v>
      </c>
      <c r="E212" t="s">
        <v>64</v>
      </c>
      <c r="F212" t="s">
        <v>262</v>
      </c>
      <c r="G212" t="s">
        <v>263</v>
      </c>
      <c r="H212">
        <v>9213293</v>
      </c>
      <c r="I212" t="s">
        <v>209</v>
      </c>
      <c r="J212" t="s">
        <v>210</v>
      </c>
      <c r="K212" t="str">
        <f t="shared" si="15"/>
        <v>GARY PORTUGAL</v>
      </c>
      <c r="L212" s="1">
        <v>45891</v>
      </c>
      <c r="M212" s="1">
        <v>46013</v>
      </c>
      <c r="N212">
        <f t="shared" si="14"/>
        <v>4</v>
      </c>
      <c r="O212" t="s">
        <v>316</v>
      </c>
      <c r="P212" t="s">
        <v>727</v>
      </c>
      <c r="Q212" s="2">
        <v>110.16</v>
      </c>
      <c r="R212" t="s">
        <v>58</v>
      </c>
      <c r="S212" s="3">
        <v>0.7</v>
      </c>
      <c r="T212" t="s">
        <v>60</v>
      </c>
      <c r="U212" t="s">
        <v>317</v>
      </c>
      <c r="V212" s="2">
        <v>77.11</v>
      </c>
      <c r="W212" t="s">
        <v>263</v>
      </c>
    </row>
    <row r="213" spans="1:23" x14ac:dyDescent="0.25">
      <c r="A213">
        <v>2030694666</v>
      </c>
      <c r="B213" t="s">
        <v>529</v>
      </c>
      <c r="C213" t="s">
        <v>530</v>
      </c>
      <c r="D213" t="str">
        <f t="shared" si="12"/>
        <v>GARRETT ANGILA</v>
      </c>
      <c r="E213" t="s">
        <v>235</v>
      </c>
      <c r="F213" t="s">
        <v>262</v>
      </c>
      <c r="G213" t="s">
        <v>263</v>
      </c>
      <c r="H213" t="s">
        <v>731</v>
      </c>
      <c r="I213" t="s">
        <v>271</v>
      </c>
      <c r="J213" t="s">
        <v>272</v>
      </c>
      <c r="K213" t="str">
        <f t="shared" si="15"/>
        <v>JARED KINYUA</v>
      </c>
      <c r="L213" s="1">
        <v>45896</v>
      </c>
      <c r="M213" s="1">
        <v>46018</v>
      </c>
      <c r="N213">
        <f t="shared" si="14"/>
        <v>4</v>
      </c>
      <c r="O213" t="s">
        <v>316</v>
      </c>
      <c r="P213" t="s">
        <v>727</v>
      </c>
      <c r="Q213" s="2">
        <v>26.32</v>
      </c>
      <c r="R213" t="s">
        <v>58</v>
      </c>
      <c r="S213" s="3">
        <v>0.7</v>
      </c>
      <c r="T213" t="s">
        <v>60</v>
      </c>
      <c r="U213" t="s">
        <v>317</v>
      </c>
      <c r="V213" s="2">
        <v>18.420000000000002</v>
      </c>
      <c r="W213" t="s">
        <v>263</v>
      </c>
    </row>
    <row r="214" spans="1:23" x14ac:dyDescent="0.25">
      <c r="A214">
        <v>2030707328</v>
      </c>
      <c r="B214" t="s">
        <v>394</v>
      </c>
      <c r="C214" t="s">
        <v>395</v>
      </c>
      <c r="D214" t="str">
        <f t="shared" si="12"/>
        <v>YEOUN SUNG</v>
      </c>
      <c r="E214" t="s">
        <v>109</v>
      </c>
      <c r="F214" t="s">
        <v>262</v>
      </c>
      <c r="G214" t="s">
        <v>263</v>
      </c>
      <c r="H214" t="s">
        <v>731</v>
      </c>
      <c r="I214" t="s">
        <v>271</v>
      </c>
      <c r="J214" t="s">
        <v>272</v>
      </c>
      <c r="K214" t="str">
        <f t="shared" si="15"/>
        <v>JARED KINYUA</v>
      </c>
      <c r="L214" s="1">
        <v>45896</v>
      </c>
      <c r="M214" s="1">
        <v>46018</v>
      </c>
      <c r="N214">
        <f t="shared" si="14"/>
        <v>4</v>
      </c>
      <c r="O214" t="s">
        <v>316</v>
      </c>
      <c r="P214" t="s">
        <v>727</v>
      </c>
      <c r="Q214" s="2">
        <v>19.489999999999998</v>
      </c>
      <c r="R214" t="s">
        <v>58</v>
      </c>
      <c r="S214" s="3">
        <v>0.7</v>
      </c>
      <c r="T214" t="s">
        <v>60</v>
      </c>
      <c r="U214" t="s">
        <v>317</v>
      </c>
      <c r="V214" s="2">
        <v>13.64</v>
      </c>
      <c r="W214" t="s">
        <v>263</v>
      </c>
    </row>
    <row r="215" spans="1:23" x14ac:dyDescent="0.25">
      <c r="A215">
        <v>2030313588</v>
      </c>
      <c r="B215" t="s">
        <v>640</v>
      </c>
      <c r="C215" t="s">
        <v>641</v>
      </c>
      <c r="D215" t="str">
        <f t="shared" si="12"/>
        <v>BURT-HOLSENDOLPH WILLANDA</v>
      </c>
      <c r="E215" t="s">
        <v>105</v>
      </c>
      <c r="F215" t="s">
        <v>262</v>
      </c>
      <c r="G215" t="s">
        <v>263</v>
      </c>
      <c r="H215">
        <v>8977234</v>
      </c>
      <c r="I215" t="s">
        <v>70</v>
      </c>
      <c r="J215" t="s">
        <v>71</v>
      </c>
      <c r="K215" t="str">
        <f t="shared" si="15"/>
        <v>RYAN CALTAGIRONE</v>
      </c>
      <c r="L215" s="1">
        <v>45894</v>
      </c>
      <c r="M215" s="1">
        <v>46016</v>
      </c>
      <c r="N215">
        <f t="shared" si="14"/>
        <v>4</v>
      </c>
      <c r="O215" t="s">
        <v>316</v>
      </c>
      <c r="P215" t="s">
        <v>727</v>
      </c>
      <c r="Q215" s="2">
        <v>120.91</v>
      </c>
      <c r="R215" t="s">
        <v>58</v>
      </c>
      <c r="S215" s="3">
        <v>0.7</v>
      </c>
      <c r="T215" t="s">
        <v>60</v>
      </c>
      <c r="U215" t="s">
        <v>317</v>
      </c>
      <c r="V215" s="2">
        <v>84.64</v>
      </c>
      <c r="W215" t="s">
        <v>263</v>
      </c>
    </row>
    <row r="216" spans="1:23" x14ac:dyDescent="0.25">
      <c r="A216">
        <v>2030567355</v>
      </c>
      <c r="B216" t="s">
        <v>329</v>
      </c>
      <c r="C216" t="s">
        <v>391</v>
      </c>
      <c r="D216" t="str">
        <f t="shared" si="12"/>
        <v>YOUNG STEVEN</v>
      </c>
      <c r="E216" t="s">
        <v>95</v>
      </c>
      <c r="F216" t="s">
        <v>262</v>
      </c>
      <c r="G216" t="s">
        <v>302</v>
      </c>
      <c r="H216">
        <v>5442438</v>
      </c>
      <c r="I216" t="s">
        <v>125</v>
      </c>
      <c r="J216" t="s">
        <v>126</v>
      </c>
      <c r="K216" t="str">
        <f t="shared" si="15"/>
        <v>Ronald Max</v>
      </c>
      <c r="L216" s="1">
        <v>45892</v>
      </c>
      <c r="M216" s="1">
        <v>46014</v>
      </c>
      <c r="N216">
        <f t="shared" si="14"/>
        <v>4</v>
      </c>
      <c r="O216" t="s">
        <v>316</v>
      </c>
      <c r="P216" t="s">
        <v>727</v>
      </c>
      <c r="Q216" s="2">
        <v>38.85</v>
      </c>
      <c r="R216" t="s">
        <v>58</v>
      </c>
      <c r="S216" s="3">
        <v>0.42</v>
      </c>
      <c r="T216" t="s">
        <v>60</v>
      </c>
      <c r="U216" t="s">
        <v>317</v>
      </c>
      <c r="V216" s="2">
        <v>16.32</v>
      </c>
      <c r="W216" t="s">
        <v>302</v>
      </c>
    </row>
    <row r="217" spans="1:23" x14ac:dyDescent="0.25">
      <c r="A217">
        <v>2030670141</v>
      </c>
      <c r="B217" t="s">
        <v>527</v>
      </c>
      <c r="C217" t="s">
        <v>528</v>
      </c>
      <c r="D217" t="str">
        <f t="shared" si="12"/>
        <v>KANAI TAKASHI</v>
      </c>
      <c r="E217" t="s">
        <v>52</v>
      </c>
      <c r="F217" t="s">
        <v>258</v>
      </c>
      <c r="G217" t="s">
        <v>259</v>
      </c>
      <c r="H217">
        <v>17425766</v>
      </c>
      <c r="I217" t="s">
        <v>55</v>
      </c>
      <c r="J217" t="s">
        <v>56</v>
      </c>
      <c r="K217" t="str">
        <f t="shared" si="15"/>
        <v>CAROL FOLEY</v>
      </c>
      <c r="L217" s="1">
        <v>45895</v>
      </c>
      <c r="M217" s="1">
        <v>46017</v>
      </c>
      <c r="N217">
        <f t="shared" si="14"/>
        <v>4</v>
      </c>
      <c r="O217" t="s">
        <v>316</v>
      </c>
      <c r="P217" t="s">
        <v>727</v>
      </c>
      <c r="Q217" s="2">
        <v>21.97</v>
      </c>
      <c r="R217" t="s">
        <v>58</v>
      </c>
      <c r="S217" s="3">
        <v>0.38</v>
      </c>
      <c r="T217" t="s">
        <v>60</v>
      </c>
      <c r="U217" t="s">
        <v>317</v>
      </c>
      <c r="V217" s="2">
        <v>8.35</v>
      </c>
      <c r="W217" t="s">
        <v>259</v>
      </c>
    </row>
    <row r="218" spans="1:23" x14ac:dyDescent="0.25">
      <c r="A218">
        <v>2030707329</v>
      </c>
      <c r="B218" t="s">
        <v>394</v>
      </c>
      <c r="C218" t="s">
        <v>395</v>
      </c>
      <c r="D218" t="str">
        <f t="shared" si="12"/>
        <v>YEOUN SUNG</v>
      </c>
      <c r="E218" t="s">
        <v>109</v>
      </c>
      <c r="F218" t="s">
        <v>258</v>
      </c>
      <c r="G218" t="s">
        <v>259</v>
      </c>
      <c r="H218" t="s">
        <v>731</v>
      </c>
      <c r="I218" t="s">
        <v>271</v>
      </c>
      <c r="J218" t="s">
        <v>272</v>
      </c>
      <c r="K218" t="str">
        <f t="shared" si="15"/>
        <v>JARED KINYUA</v>
      </c>
      <c r="L218" s="1">
        <v>45896</v>
      </c>
      <c r="M218" s="1">
        <v>46018</v>
      </c>
      <c r="N218">
        <f t="shared" si="14"/>
        <v>4</v>
      </c>
      <c r="O218" t="s">
        <v>316</v>
      </c>
      <c r="P218" t="s">
        <v>727</v>
      </c>
      <c r="Q218" s="2">
        <v>31.07</v>
      </c>
      <c r="R218" t="s">
        <v>58</v>
      </c>
      <c r="S218" s="3">
        <v>0.38</v>
      </c>
      <c r="T218" t="s">
        <v>60</v>
      </c>
      <c r="U218" t="s">
        <v>317</v>
      </c>
      <c r="V218" s="2">
        <v>11.81</v>
      </c>
      <c r="W218" t="s">
        <v>259</v>
      </c>
    </row>
    <row r="219" spans="1:23" x14ac:dyDescent="0.25">
      <c r="A219">
        <v>2030670142</v>
      </c>
      <c r="B219" t="s">
        <v>527</v>
      </c>
      <c r="C219" t="s">
        <v>528</v>
      </c>
      <c r="D219" t="str">
        <f t="shared" si="12"/>
        <v>KANAI TAKASHI</v>
      </c>
      <c r="E219" t="s">
        <v>52</v>
      </c>
      <c r="F219" t="s">
        <v>196</v>
      </c>
      <c r="G219" t="s">
        <v>197</v>
      </c>
      <c r="H219">
        <v>17425766</v>
      </c>
      <c r="I219" t="s">
        <v>55</v>
      </c>
      <c r="J219" t="s">
        <v>56</v>
      </c>
      <c r="K219" t="str">
        <f t="shared" si="15"/>
        <v>CAROL FOLEY</v>
      </c>
      <c r="L219" s="1">
        <v>45895</v>
      </c>
      <c r="M219" s="1">
        <v>46017</v>
      </c>
      <c r="N219">
        <f t="shared" si="14"/>
        <v>4</v>
      </c>
      <c r="O219" t="s">
        <v>316</v>
      </c>
      <c r="P219" t="s">
        <v>727</v>
      </c>
      <c r="Q219" s="2">
        <v>36.11</v>
      </c>
      <c r="R219" t="s">
        <v>58</v>
      </c>
      <c r="S219" s="4">
        <v>0.375</v>
      </c>
      <c r="T219" t="s">
        <v>60</v>
      </c>
      <c r="U219" t="s">
        <v>317</v>
      </c>
      <c r="V219" s="2">
        <v>13.54</v>
      </c>
      <c r="W219" t="s">
        <v>197</v>
      </c>
    </row>
    <row r="220" spans="1:23" x14ac:dyDescent="0.25">
      <c r="A220">
        <v>2030694665</v>
      </c>
      <c r="B220" t="s">
        <v>529</v>
      </c>
      <c r="C220" t="s">
        <v>530</v>
      </c>
      <c r="D220" t="str">
        <f t="shared" si="12"/>
        <v>GARRETT ANGILA</v>
      </c>
      <c r="E220" t="s">
        <v>235</v>
      </c>
      <c r="F220" t="s">
        <v>196</v>
      </c>
      <c r="G220" t="s">
        <v>197</v>
      </c>
      <c r="H220" t="s">
        <v>731</v>
      </c>
      <c r="I220" t="s">
        <v>271</v>
      </c>
      <c r="J220" t="s">
        <v>272</v>
      </c>
      <c r="K220" t="str">
        <f t="shared" si="15"/>
        <v>JARED KINYUA</v>
      </c>
      <c r="L220" s="1">
        <v>45896</v>
      </c>
      <c r="M220" s="1">
        <v>46018</v>
      </c>
      <c r="N220">
        <f t="shared" si="14"/>
        <v>4</v>
      </c>
      <c r="O220" t="s">
        <v>316</v>
      </c>
      <c r="P220" t="s">
        <v>727</v>
      </c>
      <c r="Q220" s="2">
        <v>67.56</v>
      </c>
      <c r="R220" t="s">
        <v>58</v>
      </c>
      <c r="S220" s="4">
        <v>0.375</v>
      </c>
      <c r="T220" t="s">
        <v>60</v>
      </c>
      <c r="U220" t="s">
        <v>317</v>
      </c>
      <c r="V220" s="2">
        <v>25.34</v>
      </c>
      <c r="W220" t="s">
        <v>197</v>
      </c>
    </row>
    <row r="221" spans="1:23" x14ac:dyDescent="0.25">
      <c r="A221">
        <v>2030079839</v>
      </c>
      <c r="B221" t="s">
        <v>379</v>
      </c>
      <c r="C221" t="s">
        <v>380</v>
      </c>
      <c r="D221" t="str">
        <f t="shared" si="12"/>
        <v>MESEROLL STEPHANIE</v>
      </c>
      <c r="E221" t="s">
        <v>95</v>
      </c>
      <c r="F221" t="s">
        <v>89</v>
      </c>
      <c r="G221" t="s">
        <v>96</v>
      </c>
      <c r="H221">
        <v>5442438</v>
      </c>
      <c r="I221" t="s">
        <v>125</v>
      </c>
      <c r="J221" t="s">
        <v>126</v>
      </c>
      <c r="K221" t="str">
        <f t="shared" si="15"/>
        <v>Ronald Max</v>
      </c>
      <c r="L221" s="1">
        <v>45861</v>
      </c>
      <c r="M221" s="1">
        <v>46014</v>
      </c>
      <c r="N221">
        <f t="shared" si="14"/>
        <v>5</v>
      </c>
      <c r="O221" t="s">
        <v>316</v>
      </c>
      <c r="P221" t="s">
        <v>727</v>
      </c>
      <c r="Q221" s="2">
        <v>100.34</v>
      </c>
      <c r="R221" t="s">
        <v>58</v>
      </c>
      <c r="S221" s="3">
        <v>0.9</v>
      </c>
      <c r="T221" t="s">
        <v>60</v>
      </c>
      <c r="U221" t="s">
        <v>317</v>
      </c>
      <c r="V221" s="2">
        <v>90.31</v>
      </c>
      <c r="W221" t="s">
        <v>722</v>
      </c>
    </row>
    <row r="222" spans="1:23" x14ac:dyDescent="0.25">
      <c r="A222">
        <v>2030085142</v>
      </c>
      <c r="B222" t="s">
        <v>381</v>
      </c>
      <c r="C222" t="s">
        <v>382</v>
      </c>
      <c r="D222" t="str">
        <f t="shared" si="12"/>
        <v>GARRARD NOREEN</v>
      </c>
      <c r="E222" t="s">
        <v>64</v>
      </c>
      <c r="F222" t="s">
        <v>89</v>
      </c>
      <c r="G222" t="s">
        <v>90</v>
      </c>
      <c r="H222">
        <v>8977234</v>
      </c>
      <c r="I222" t="s">
        <v>70</v>
      </c>
      <c r="J222" t="s">
        <v>71</v>
      </c>
      <c r="K222" t="str">
        <f t="shared" si="15"/>
        <v>RYAN CALTAGIRONE</v>
      </c>
      <c r="L222" s="1">
        <v>45861</v>
      </c>
      <c r="M222" s="1">
        <v>46014</v>
      </c>
      <c r="N222">
        <f t="shared" si="14"/>
        <v>5</v>
      </c>
      <c r="O222" t="s">
        <v>316</v>
      </c>
      <c r="P222" t="s">
        <v>727</v>
      </c>
      <c r="Q222" s="2">
        <v>78.430000000000007</v>
      </c>
      <c r="R222" t="s">
        <v>58</v>
      </c>
      <c r="S222" s="3">
        <v>0.75</v>
      </c>
      <c r="T222" t="s">
        <v>60</v>
      </c>
      <c r="U222" t="s">
        <v>317</v>
      </c>
      <c r="V222" s="2">
        <v>58.82</v>
      </c>
      <c r="W222" t="s">
        <v>718</v>
      </c>
    </row>
    <row r="223" spans="1:23" x14ac:dyDescent="0.25">
      <c r="A223">
        <v>2030079840</v>
      </c>
      <c r="B223" t="s">
        <v>379</v>
      </c>
      <c r="C223" t="s">
        <v>380</v>
      </c>
      <c r="D223" t="str">
        <f t="shared" si="12"/>
        <v>MESEROLL STEPHANIE</v>
      </c>
      <c r="E223" t="s">
        <v>95</v>
      </c>
      <c r="F223" t="s">
        <v>262</v>
      </c>
      <c r="G223" t="s">
        <v>562</v>
      </c>
      <c r="H223">
        <v>5442438</v>
      </c>
      <c r="I223" t="s">
        <v>125</v>
      </c>
      <c r="J223" t="s">
        <v>126</v>
      </c>
      <c r="K223" t="str">
        <f t="shared" si="15"/>
        <v>Ronald Max</v>
      </c>
      <c r="L223" s="1">
        <v>45861</v>
      </c>
      <c r="M223" s="1">
        <v>46014</v>
      </c>
      <c r="N223">
        <f t="shared" si="14"/>
        <v>5</v>
      </c>
      <c r="O223" t="s">
        <v>316</v>
      </c>
      <c r="P223" t="s">
        <v>727</v>
      </c>
      <c r="Q223" s="2">
        <v>24.61</v>
      </c>
      <c r="R223" t="s">
        <v>58</v>
      </c>
      <c r="S223" s="3">
        <v>0.7</v>
      </c>
      <c r="T223" t="s">
        <v>60</v>
      </c>
      <c r="U223" t="s">
        <v>317</v>
      </c>
      <c r="V223" s="2">
        <v>17.23</v>
      </c>
      <c r="W223" t="s">
        <v>562</v>
      </c>
    </row>
    <row r="224" spans="1:23" x14ac:dyDescent="0.25">
      <c r="A224">
        <v>2030105690</v>
      </c>
      <c r="B224" t="s">
        <v>438</v>
      </c>
      <c r="C224" t="s">
        <v>439</v>
      </c>
      <c r="D224" t="str">
        <f t="shared" si="12"/>
        <v>NEUMEISTER JAMES</v>
      </c>
      <c r="E224" t="s">
        <v>64</v>
      </c>
      <c r="F224" t="s">
        <v>262</v>
      </c>
      <c r="G224" t="s">
        <v>263</v>
      </c>
      <c r="H224" t="s">
        <v>728</v>
      </c>
      <c r="I224" t="s">
        <v>91</v>
      </c>
      <c r="J224" t="s">
        <v>440</v>
      </c>
      <c r="K224" t="str">
        <f t="shared" si="15"/>
        <v>Chad Yale</v>
      </c>
      <c r="L224" s="1">
        <v>45862</v>
      </c>
      <c r="M224" s="1">
        <v>46015</v>
      </c>
      <c r="N224">
        <f t="shared" si="14"/>
        <v>5</v>
      </c>
      <c r="O224" t="s">
        <v>316</v>
      </c>
      <c r="P224" t="s">
        <v>727</v>
      </c>
      <c r="Q224" s="2">
        <v>245.95</v>
      </c>
      <c r="R224" t="s">
        <v>58</v>
      </c>
      <c r="S224" s="3">
        <v>0.7</v>
      </c>
      <c r="T224" t="s">
        <v>60</v>
      </c>
      <c r="U224" t="s">
        <v>317</v>
      </c>
      <c r="V224" s="2">
        <v>172.16</v>
      </c>
      <c r="W224" t="s">
        <v>263</v>
      </c>
    </row>
    <row r="225" spans="1:23" x14ac:dyDescent="0.25">
      <c r="A225">
        <v>2030125457</v>
      </c>
      <c r="B225" t="s">
        <v>520</v>
      </c>
      <c r="C225" t="s">
        <v>521</v>
      </c>
      <c r="D225" t="str">
        <f t="shared" si="12"/>
        <v>EVERS MATHEW</v>
      </c>
      <c r="E225" t="s">
        <v>135</v>
      </c>
      <c r="F225" t="s">
        <v>262</v>
      </c>
      <c r="G225" t="s">
        <v>263</v>
      </c>
      <c r="H225" t="s">
        <v>728</v>
      </c>
      <c r="I225" t="s">
        <v>91</v>
      </c>
      <c r="J225" t="s">
        <v>440</v>
      </c>
      <c r="K225" t="str">
        <f t="shared" si="15"/>
        <v>Chad Yale</v>
      </c>
      <c r="L225" s="1">
        <v>45863</v>
      </c>
      <c r="M225" s="1">
        <v>46016</v>
      </c>
      <c r="N225">
        <f t="shared" si="14"/>
        <v>5</v>
      </c>
      <c r="O225" t="s">
        <v>316</v>
      </c>
      <c r="P225" t="s">
        <v>727</v>
      </c>
      <c r="Q225" s="2">
        <v>13</v>
      </c>
      <c r="R225" t="s">
        <v>58</v>
      </c>
      <c r="S225" s="3">
        <v>0.7</v>
      </c>
      <c r="T225" t="s">
        <v>60</v>
      </c>
      <c r="U225" t="s">
        <v>317</v>
      </c>
      <c r="V225" s="2">
        <v>9.1</v>
      </c>
      <c r="W225" t="s">
        <v>263</v>
      </c>
    </row>
    <row r="226" spans="1:23" x14ac:dyDescent="0.25">
      <c r="A226">
        <v>2029951220</v>
      </c>
      <c r="B226" t="s">
        <v>631</v>
      </c>
      <c r="C226" t="s">
        <v>632</v>
      </c>
      <c r="D226" t="str">
        <f t="shared" si="12"/>
        <v>DARBRA HERRICK</v>
      </c>
      <c r="E226" t="s">
        <v>119</v>
      </c>
      <c r="F226" t="s">
        <v>262</v>
      </c>
      <c r="G226" t="s">
        <v>263</v>
      </c>
      <c r="H226">
        <v>8977234</v>
      </c>
      <c r="I226" t="s">
        <v>70</v>
      </c>
      <c r="J226" t="s">
        <v>71</v>
      </c>
      <c r="K226" t="str">
        <f t="shared" si="15"/>
        <v>RYAN CALTAGIRONE</v>
      </c>
      <c r="L226" s="1">
        <v>45853</v>
      </c>
      <c r="M226" s="1">
        <v>46006</v>
      </c>
      <c r="N226">
        <f t="shared" si="14"/>
        <v>5</v>
      </c>
      <c r="O226" t="s">
        <v>316</v>
      </c>
      <c r="P226" t="s">
        <v>727</v>
      </c>
      <c r="Q226" s="2">
        <v>-125.48</v>
      </c>
      <c r="R226" t="s">
        <v>58</v>
      </c>
      <c r="S226" s="3">
        <v>0.7</v>
      </c>
      <c r="T226" t="s">
        <v>60</v>
      </c>
      <c r="U226" t="s">
        <v>317</v>
      </c>
      <c r="V226" s="2">
        <v>-87.84</v>
      </c>
      <c r="W226" t="s">
        <v>263</v>
      </c>
    </row>
    <row r="227" spans="1:23" x14ac:dyDescent="0.25">
      <c r="A227">
        <v>2030064158</v>
      </c>
      <c r="B227" t="s">
        <v>516</v>
      </c>
      <c r="C227" t="s">
        <v>517</v>
      </c>
      <c r="D227" t="str">
        <f t="shared" si="12"/>
        <v>DAWSON EDDIE</v>
      </c>
      <c r="E227" t="s">
        <v>235</v>
      </c>
      <c r="F227" t="s">
        <v>262</v>
      </c>
      <c r="G227" t="s">
        <v>263</v>
      </c>
      <c r="H227">
        <v>8977234</v>
      </c>
      <c r="I227" t="s">
        <v>70</v>
      </c>
      <c r="J227" t="s">
        <v>71</v>
      </c>
      <c r="K227" t="str">
        <f t="shared" si="15"/>
        <v>RYAN CALTAGIRONE</v>
      </c>
      <c r="L227" s="1">
        <v>45860</v>
      </c>
      <c r="M227" s="1">
        <v>46013</v>
      </c>
      <c r="N227">
        <f t="shared" si="14"/>
        <v>5</v>
      </c>
      <c r="O227" t="s">
        <v>316</v>
      </c>
      <c r="P227" t="s">
        <v>727</v>
      </c>
      <c r="Q227" s="2">
        <v>14.72</v>
      </c>
      <c r="R227" t="s">
        <v>58</v>
      </c>
      <c r="S227" s="3">
        <v>0.7</v>
      </c>
      <c r="T227" t="s">
        <v>60</v>
      </c>
      <c r="U227" t="s">
        <v>317</v>
      </c>
      <c r="V227" s="2">
        <v>10.3</v>
      </c>
      <c r="W227" t="s">
        <v>263</v>
      </c>
    </row>
    <row r="228" spans="1:23" x14ac:dyDescent="0.25">
      <c r="A228">
        <v>2030085143</v>
      </c>
      <c r="B228" t="s">
        <v>381</v>
      </c>
      <c r="C228" t="s">
        <v>382</v>
      </c>
      <c r="D228" t="str">
        <f t="shared" si="12"/>
        <v>GARRARD NOREEN</v>
      </c>
      <c r="E228" t="s">
        <v>64</v>
      </c>
      <c r="F228" t="s">
        <v>262</v>
      </c>
      <c r="G228" t="s">
        <v>263</v>
      </c>
      <c r="H228">
        <v>8977234</v>
      </c>
      <c r="I228" t="s">
        <v>70</v>
      </c>
      <c r="J228" t="s">
        <v>71</v>
      </c>
      <c r="K228" t="str">
        <f t="shared" si="15"/>
        <v>RYAN CALTAGIRONE</v>
      </c>
      <c r="L228" s="1">
        <v>45861</v>
      </c>
      <c r="M228" s="1">
        <v>46014</v>
      </c>
      <c r="N228">
        <f t="shared" si="14"/>
        <v>5</v>
      </c>
      <c r="O228" t="s">
        <v>316</v>
      </c>
      <c r="P228" t="s">
        <v>727</v>
      </c>
      <c r="Q228" s="2">
        <v>153.9</v>
      </c>
      <c r="R228" t="s">
        <v>58</v>
      </c>
      <c r="S228" s="3">
        <v>0.7</v>
      </c>
      <c r="T228" t="s">
        <v>60</v>
      </c>
      <c r="U228" t="s">
        <v>317</v>
      </c>
      <c r="V228" s="2">
        <v>107.73</v>
      </c>
      <c r="W228" t="s">
        <v>263</v>
      </c>
    </row>
    <row r="229" spans="1:23" x14ac:dyDescent="0.25">
      <c r="A229">
        <v>2030093004</v>
      </c>
      <c r="B229" t="s">
        <v>436</v>
      </c>
      <c r="C229" t="s">
        <v>437</v>
      </c>
      <c r="D229" t="str">
        <f t="shared" si="12"/>
        <v>MURPHY CYNTHIA</v>
      </c>
      <c r="E229" t="s">
        <v>135</v>
      </c>
      <c r="F229" t="s">
        <v>258</v>
      </c>
      <c r="G229" t="s">
        <v>260</v>
      </c>
      <c r="H229">
        <v>17425766</v>
      </c>
      <c r="I229" t="s">
        <v>55</v>
      </c>
      <c r="J229" t="s">
        <v>56</v>
      </c>
      <c r="K229" t="str">
        <f t="shared" si="15"/>
        <v>CAROL FOLEY</v>
      </c>
      <c r="L229" s="1">
        <v>45861</v>
      </c>
      <c r="M229" s="1">
        <v>46014</v>
      </c>
      <c r="N229">
        <f t="shared" si="14"/>
        <v>5</v>
      </c>
      <c r="O229" t="s">
        <v>316</v>
      </c>
      <c r="P229" t="s">
        <v>727</v>
      </c>
      <c r="Q229" s="2">
        <v>217.56</v>
      </c>
      <c r="R229" t="s">
        <v>58</v>
      </c>
      <c r="S229" s="3">
        <v>0.38</v>
      </c>
      <c r="T229" t="s">
        <v>60</v>
      </c>
      <c r="U229" t="s">
        <v>317</v>
      </c>
      <c r="V229" s="2">
        <v>82.67</v>
      </c>
      <c r="W229" t="s">
        <v>260</v>
      </c>
    </row>
    <row r="230" spans="1:23" x14ac:dyDescent="0.25">
      <c r="A230">
        <v>2030105688</v>
      </c>
      <c r="B230" t="s">
        <v>438</v>
      </c>
      <c r="C230" t="s">
        <v>439</v>
      </c>
      <c r="D230" t="str">
        <f t="shared" si="12"/>
        <v>NEUMEISTER JAMES</v>
      </c>
      <c r="E230" t="s">
        <v>64</v>
      </c>
      <c r="F230" t="s">
        <v>258</v>
      </c>
      <c r="G230" t="s">
        <v>260</v>
      </c>
      <c r="H230" t="s">
        <v>728</v>
      </c>
      <c r="I230" t="s">
        <v>91</v>
      </c>
      <c r="J230" t="s">
        <v>440</v>
      </c>
      <c r="K230" t="str">
        <f t="shared" si="15"/>
        <v>Chad Yale</v>
      </c>
      <c r="L230" s="1">
        <v>45862</v>
      </c>
      <c r="M230" s="1">
        <v>46015</v>
      </c>
      <c r="N230">
        <f t="shared" si="14"/>
        <v>5</v>
      </c>
      <c r="O230" t="s">
        <v>316</v>
      </c>
      <c r="P230" t="s">
        <v>727</v>
      </c>
      <c r="Q230" s="2">
        <v>616.1</v>
      </c>
      <c r="R230" t="s">
        <v>58</v>
      </c>
      <c r="S230" s="3">
        <v>0.38</v>
      </c>
      <c r="T230" t="s">
        <v>60</v>
      </c>
      <c r="U230" t="s">
        <v>317</v>
      </c>
      <c r="V230" s="2">
        <v>234.12</v>
      </c>
      <c r="W230" t="s">
        <v>260</v>
      </c>
    </row>
    <row r="231" spans="1:23" x14ac:dyDescent="0.25">
      <c r="A231">
        <v>2030093005</v>
      </c>
      <c r="B231" t="s">
        <v>436</v>
      </c>
      <c r="C231" t="s">
        <v>437</v>
      </c>
      <c r="D231" t="str">
        <f t="shared" si="12"/>
        <v>MURPHY CYNTHIA</v>
      </c>
      <c r="E231" t="s">
        <v>135</v>
      </c>
      <c r="F231" t="s">
        <v>258</v>
      </c>
      <c r="G231" t="s">
        <v>261</v>
      </c>
      <c r="H231">
        <v>17425766</v>
      </c>
      <c r="I231" t="s">
        <v>55</v>
      </c>
      <c r="J231" t="s">
        <v>56</v>
      </c>
      <c r="K231" t="str">
        <f t="shared" si="15"/>
        <v>CAROL FOLEY</v>
      </c>
      <c r="L231" s="1">
        <v>45861</v>
      </c>
      <c r="M231" s="1">
        <v>46014</v>
      </c>
      <c r="N231">
        <f t="shared" si="14"/>
        <v>5</v>
      </c>
      <c r="O231" t="s">
        <v>316</v>
      </c>
      <c r="P231" t="s">
        <v>727</v>
      </c>
      <c r="Q231" s="2">
        <v>7.09</v>
      </c>
      <c r="R231" t="s">
        <v>58</v>
      </c>
      <c r="S231" s="3">
        <v>0.38</v>
      </c>
      <c r="T231" t="s">
        <v>60</v>
      </c>
      <c r="U231" t="s">
        <v>317</v>
      </c>
      <c r="V231" s="2">
        <v>2.69</v>
      </c>
      <c r="W231" t="s">
        <v>260</v>
      </c>
    </row>
    <row r="232" spans="1:23" x14ac:dyDescent="0.25">
      <c r="A232">
        <v>2030105689</v>
      </c>
      <c r="B232" t="s">
        <v>438</v>
      </c>
      <c r="C232" t="s">
        <v>439</v>
      </c>
      <c r="D232" t="str">
        <f t="shared" si="12"/>
        <v>NEUMEISTER JAMES</v>
      </c>
      <c r="E232" t="s">
        <v>64</v>
      </c>
      <c r="F232" t="s">
        <v>258</v>
      </c>
      <c r="G232" t="s">
        <v>261</v>
      </c>
      <c r="H232" t="s">
        <v>728</v>
      </c>
      <c r="I232" t="s">
        <v>91</v>
      </c>
      <c r="J232" t="s">
        <v>440</v>
      </c>
      <c r="K232" t="str">
        <f t="shared" si="15"/>
        <v>Chad Yale</v>
      </c>
      <c r="L232" s="1">
        <v>45862</v>
      </c>
      <c r="M232" s="1">
        <v>46015</v>
      </c>
      <c r="N232">
        <f t="shared" si="14"/>
        <v>5</v>
      </c>
      <c r="O232" t="s">
        <v>316</v>
      </c>
      <c r="P232" t="s">
        <v>727</v>
      </c>
      <c r="Q232" s="2">
        <v>7.09</v>
      </c>
      <c r="R232" t="s">
        <v>58</v>
      </c>
      <c r="S232" s="3">
        <v>0.38</v>
      </c>
      <c r="T232" t="s">
        <v>60</v>
      </c>
      <c r="U232" t="s">
        <v>317</v>
      </c>
      <c r="V232" s="2">
        <v>2.69</v>
      </c>
      <c r="W232" t="s">
        <v>260</v>
      </c>
    </row>
    <row r="233" spans="1:23" x14ac:dyDescent="0.25">
      <c r="A233">
        <v>2030085146</v>
      </c>
      <c r="B233" t="s">
        <v>381</v>
      </c>
      <c r="C233" t="s">
        <v>382</v>
      </c>
      <c r="D233" t="str">
        <f t="shared" si="12"/>
        <v>GARRARD NOREEN</v>
      </c>
      <c r="E233" t="s">
        <v>64</v>
      </c>
      <c r="F233" t="s">
        <v>258</v>
      </c>
      <c r="G233" t="s">
        <v>261</v>
      </c>
      <c r="H233">
        <v>8977234</v>
      </c>
      <c r="I233" t="s">
        <v>70</v>
      </c>
      <c r="J233" t="s">
        <v>71</v>
      </c>
      <c r="K233" t="str">
        <f t="shared" si="15"/>
        <v>RYAN CALTAGIRONE</v>
      </c>
      <c r="L233" s="1">
        <v>45861</v>
      </c>
      <c r="M233" s="1">
        <v>46014</v>
      </c>
      <c r="N233">
        <f t="shared" si="14"/>
        <v>5</v>
      </c>
      <c r="O233" t="s">
        <v>316</v>
      </c>
      <c r="P233" t="s">
        <v>727</v>
      </c>
      <c r="Q233" s="2">
        <v>7.09</v>
      </c>
      <c r="R233" t="s">
        <v>58</v>
      </c>
      <c r="S233" s="3">
        <v>0.38</v>
      </c>
      <c r="T233" t="s">
        <v>60</v>
      </c>
      <c r="U233" t="s">
        <v>317</v>
      </c>
      <c r="V233" s="2">
        <v>2.69</v>
      </c>
      <c r="W233" t="s">
        <v>260</v>
      </c>
    </row>
    <row r="234" spans="1:23" x14ac:dyDescent="0.25">
      <c r="A234">
        <v>2030093006</v>
      </c>
      <c r="B234" t="s">
        <v>436</v>
      </c>
      <c r="C234" t="s">
        <v>437</v>
      </c>
      <c r="D234" t="str">
        <f t="shared" si="12"/>
        <v>MURPHY CYNTHIA</v>
      </c>
      <c r="E234" t="s">
        <v>135</v>
      </c>
      <c r="F234" t="s">
        <v>160</v>
      </c>
      <c r="G234" t="s">
        <v>180</v>
      </c>
      <c r="H234">
        <v>17425766</v>
      </c>
      <c r="I234" t="s">
        <v>55</v>
      </c>
      <c r="J234" t="s">
        <v>56</v>
      </c>
      <c r="K234" t="str">
        <f t="shared" si="15"/>
        <v>CAROL FOLEY</v>
      </c>
      <c r="L234" s="1">
        <v>45861</v>
      </c>
      <c r="M234" s="1">
        <v>46014</v>
      </c>
      <c r="N234">
        <f t="shared" si="14"/>
        <v>5</v>
      </c>
      <c r="O234" t="s">
        <v>316</v>
      </c>
      <c r="P234" t="s">
        <v>727</v>
      </c>
      <c r="Q234" s="2">
        <v>15</v>
      </c>
      <c r="R234" t="s">
        <v>58</v>
      </c>
      <c r="S234" s="3">
        <v>0.38</v>
      </c>
      <c r="T234" t="s">
        <v>60</v>
      </c>
      <c r="U234" t="s">
        <v>317</v>
      </c>
      <c r="V234" s="2">
        <v>5.7</v>
      </c>
      <c r="W234" t="s">
        <v>180</v>
      </c>
    </row>
    <row r="235" spans="1:23" x14ac:dyDescent="0.25">
      <c r="A235">
        <v>2030105691</v>
      </c>
      <c r="B235" t="s">
        <v>438</v>
      </c>
      <c r="C235" t="s">
        <v>439</v>
      </c>
      <c r="D235" t="str">
        <f t="shared" si="12"/>
        <v>NEUMEISTER JAMES</v>
      </c>
      <c r="E235" t="s">
        <v>64</v>
      </c>
      <c r="F235" t="s">
        <v>160</v>
      </c>
      <c r="G235" t="s">
        <v>180</v>
      </c>
      <c r="H235" t="s">
        <v>728</v>
      </c>
      <c r="I235" t="s">
        <v>91</v>
      </c>
      <c r="J235" t="s">
        <v>440</v>
      </c>
      <c r="K235" t="str">
        <f t="shared" si="15"/>
        <v>Chad Yale</v>
      </c>
      <c r="L235" s="1">
        <v>45862</v>
      </c>
      <c r="M235" s="1">
        <v>46015</v>
      </c>
      <c r="N235">
        <f t="shared" si="14"/>
        <v>5</v>
      </c>
      <c r="O235" t="s">
        <v>316</v>
      </c>
      <c r="P235" t="s">
        <v>727</v>
      </c>
      <c r="Q235" s="2">
        <v>15</v>
      </c>
      <c r="R235" t="s">
        <v>58</v>
      </c>
      <c r="S235" s="3">
        <v>0.38</v>
      </c>
      <c r="T235" t="s">
        <v>60</v>
      </c>
      <c r="U235" t="s">
        <v>317</v>
      </c>
      <c r="V235" s="2">
        <v>5.7</v>
      </c>
      <c r="W235" t="s">
        <v>180</v>
      </c>
    </row>
    <row r="236" spans="1:23" x14ac:dyDescent="0.25">
      <c r="A236">
        <v>2030125458</v>
      </c>
      <c r="B236" t="s">
        <v>520</v>
      </c>
      <c r="C236" t="s">
        <v>521</v>
      </c>
      <c r="D236" t="str">
        <f t="shared" si="12"/>
        <v>EVERS MATHEW</v>
      </c>
      <c r="E236" t="s">
        <v>135</v>
      </c>
      <c r="F236" t="s">
        <v>196</v>
      </c>
      <c r="G236" t="s">
        <v>197</v>
      </c>
      <c r="H236" t="s">
        <v>728</v>
      </c>
      <c r="I236" t="s">
        <v>91</v>
      </c>
      <c r="J236" t="s">
        <v>440</v>
      </c>
      <c r="K236" t="str">
        <f t="shared" ref="K236:K267" si="16">CONCATENATE(J236," ",I236)</f>
        <v>Chad Yale</v>
      </c>
      <c r="L236" s="1">
        <v>45863</v>
      </c>
      <c r="M236" s="1">
        <v>46016</v>
      </c>
      <c r="N236">
        <f t="shared" si="14"/>
        <v>5</v>
      </c>
      <c r="O236" t="s">
        <v>316</v>
      </c>
      <c r="P236" t="s">
        <v>727</v>
      </c>
      <c r="Q236" s="2">
        <v>50.3</v>
      </c>
      <c r="R236" t="s">
        <v>58</v>
      </c>
      <c r="S236" s="4">
        <v>0.375</v>
      </c>
      <c r="T236" t="s">
        <v>60</v>
      </c>
      <c r="U236" t="s">
        <v>317</v>
      </c>
      <c r="V236" s="2">
        <v>18.86</v>
      </c>
      <c r="W236" t="s">
        <v>197</v>
      </c>
    </row>
    <row r="237" spans="1:23" x14ac:dyDescent="0.25">
      <c r="A237">
        <v>2030064157</v>
      </c>
      <c r="B237" t="s">
        <v>516</v>
      </c>
      <c r="C237" t="s">
        <v>517</v>
      </c>
      <c r="D237" t="str">
        <f t="shared" si="12"/>
        <v>DAWSON EDDIE</v>
      </c>
      <c r="E237" t="s">
        <v>235</v>
      </c>
      <c r="F237" t="s">
        <v>196</v>
      </c>
      <c r="G237" t="s">
        <v>197</v>
      </c>
      <c r="H237">
        <v>8977234</v>
      </c>
      <c r="I237" t="s">
        <v>70</v>
      </c>
      <c r="J237" t="s">
        <v>71</v>
      </c>
      <c r="K237" t="str">
        <f t="shared" si="16"/>
        <v>RYAN CALTAGIRONE</v>
      </c>
      <c r="L237" s="1">
        <v>45860</v>
      </c>
      <c r="M237" s="1">
        <v>46013</v>
      </c>
      <c r="N237">
        <f t="shared" si="14"/>
        <v>5</v>
      </c>
      <c r="O237" t="s">
        <v>316</v>
      </c>
      <c r="P237" t="s">
        <v>727</v>
      </c>
      <c r="Q237" s="2">
        <v>48.56</v>
      </c>
      <c r="R237" t="s">
        <v>58</v>
      </c>
      <c r="S237" s="4">
        <v>0.375</v>
      </c>
      <c r="T237" t="s">
        <v>60</v>
      </c>
      <c r="U237" t="s">
        <v>317</v>
      </c>
      <c r="V237" s="2">
        <v>18.21</v>
      </c>
      <c r="W237" t="s">
        <v>197</v>
      </c>
    </row>
    <row r="238" spans="1:23" x14ac:dyDescent="0.25">
      <c r="A238">
        <v>2030085144</v>
      </c>
      <c r="B238" t="s">
        <v>381</v>
      </c>
      <c r="C238" t="s">
        <v>382</v>
      </c>
      <c r="D238" t="str">
        <f t="shared" si="12"/>
        <v>GARRARD NOREEN</v>
      </c>
      <c r="E238" t="s">
        <v>64</v>
      </c>
      <c r="F238" t="s">
        <v>196</v>
      </c>
      <c r="G238" t="s">
        <v>197</v>
      </c>
      <c r="H238">
        <v>8977234</v>
      </c>
      <c r="I238" t="s">
        <v>70</v>
      </c>
      <c r="J238" t="s">
        <v>71</v>
      </c>
      <c r="K238" t="str">
        <f t="shared" si="16"/>
        <v>RYAN CALTAGIRONE</v>
      </c>
      <c r="L238" s="1">
        <v>45861</v>
      </c>
      <c r="M238" s="1">
        <v>46014</v>
      </c>
      <c r="N238">
        <f t="shared" si="14"/>
        <v>5</v>
      </c>
      <c r="O238" t="s">
        <v>316</v>
      </c>
      <c r="P238" t="s">
        <v>727</v>
      </c>
      <c r="Q238" s="2">
        <v>77.48</v>
      </c>
      <c r="R238" t="s">
        <v>58</v>
      </c>
      <c r="S238" s="4">
        <v>0.375</v>
      </c>
      <c r="T238" t="s">
        <v>60</v>
      </c>
      <c r="U238" t="s">
        <v>317</v>
      </c>
      <c r="V238" s="2">
        <v>29.06</v>
      </c>
      <c r="W238" t="s">
        <v>197</v>
      </c>
    </row>
    <row r="239" spans="1:23" x14ac:dyDescent="0.25">
      <c r="A239">
        <v>2030085145</v>
      </c>
      <c r="B239" t="s">
        <v>381</v>
      </c>
      <c r="C239" t="s">
        <v>382</v>
      </c>
      <c r="D239" t="str">
        <f t="shared" si="12"/>
        <v>GARRARD NOREEN</v>
      </c>
      <c r="E239" t="s">
        <v>64</v>
      </c>
      <c r="F239" t="s">
        <v>258</v>
      </c>
      <c r="G239" t="s">
        <v>550</v>
      </c>
      <c r="H239">
        <v>8977234</v>
      </c>
      <c r="I239" t="s">
        <v>70</v>
      </c>
      <c r="J239" t="s">
        <v>71</v>
      </c>
      <c r="K239" t="str">
        <f t="shared" si="16"/>
        <v>RYAN CALTAGIRONE</v>
      </c>
      <c r="L239" s="1">
        <v>45861</v>
      </c>
      <c r="M239" s="1">
        <v>46014</v>
      </c>
      <c r="N239">
        <f t="shared" si="14"/>
        <v>5</v>
      </c>
      <c r="O239" t="s">
        <v>316</v>
      </c>
      <c r="P239" t="s">
        <v>727</v>
      </c>
      <c r="Q239" s="2">
        <v>218.73</v>
      </c>
      <c r="R239" t="s">
        <v>58</v>
      </c>
      <c r="S239" s="3">
        <v>0.19</v>
      </c>
      <c r="T239" t="s">
        <v>60</v>
      </c>
      <c r="U239" t="s">
        <v>317</v>
      </c>
      <c r="V239" s="2">
        <v>41.56</v>
      </c>
      <c r="W239" t="s">
        <v>733</v>
      </c>
    </row>
    <row r="240" spans="1:23" x14ac:dyDescent="0.25">
      <c r="A240">
        <v>2030085147</v>
      </c>
      <c r="B240" t="s">
        <v>381</v>
      </c>
      <c r="C240" t="s">
        <v>382</v>
      </c>
      <c r="D240" t="str">
        <f t="shared" si="12"/>
        <v>GARRARD NOREEN</v>
      </c>
      <c r="E240" t="s">
        <v>64</v>
      </c>
      <c r="F240" t="s">
        <v>160</v>
      </c>
      <c r="G240" t="s">
        <v>435</v>
      </c>
      <c r="H240">
        <v>8977234</v>
      </c>
      <c r="I240" t="s">
        <v>70</v>
      </c>
      <c r="J240" t="s">
        <v>71</v>
      </c>
      <c r="K240" t="str">
        <f t="shared" si="16"/>
        <v>RYAN CALTAGIRONE</v>
      </c>
      <c r="L240" s="1">
        <v>45861</v>
      </c>
      <c r="M240" s="1">
        <v>46014</v>
      </c>
      <c r="N240">
        <f t="shared" si="14"/>
        <v>5</v>
      </c>
      <c r="O240" t="s">
        <v>316</v>
      </c>
      <c r="P240" t="s">
        <v>727</v>
      </c>
      <c r="Q240" s="2">
        <v>15</v>
      </c>
      <c r="R240" t="s">
        <v>58</v>
      </c>
      <c r="S240" s="3">
        <v>0.19</v>
      </c>
      <c r="T240" t="s">
        <v>60</v>
      </c>
      <c r="U240" t="s">
        <v>317</v>
      </c>
      <c r="V240" s="2">
        <v>2.85</v>
      </c>
      <c r="W240" t="s">
        <v>733</v>
      </c>
    </row>
    <row r="241" spans="1:23" x14ac:dyDescent="0.25">
      <c r="A241">
        <v>2028938954</v>
      </c>
      <c r="B241" t="s">
        <v>372</v>
      </c>
      <c r="C241" t="s">
        <v>240</v>
      </c>
      <c r="D241" t="str">
        <f t="shared" si="12"/>
        <v>GEORGE KONTOS</v>
      </c>
      <c r="E241" t="s">
        <v>64</v>
      </c>
      <c r="F241" t="s">
        <v>89</v>
      </c>
      <c r="G241" t="s">
        <v>96</v>
      </c>
      <c r="H241">
        <v>8977234</v>
      </c>
      <c r="I241" t="s">
        <v>70</v>
      </c>
      <c r="J241" t="s">
        <v>71</v>
      </c>
      <c r="K241" t="str">
        <f t="shared" si="16"/>
        <v>RYAN CALTAGIRONE</v>
      </c>
      <c r="L241" s="1">
        <v>45836</v>
      </c>
      <c r="M241" s="1">
        <v>46019</v>
      </c>
      <c r="N241">
        <f t="shared" si="14"/>
        <v>6</v>
      </c>
      <c r="O241" t="s">
        <v>316</v>
      </c>
      <c r="P241" t="s">
        <v>727</v>
      </c>
      <c r="Q241" s="2">
        <v>61.13</v>
      </c>
      <c r="R241" t="s">
        <v>58</v>
      </c>
      <c r="S241" s="3">
        <v>0.9</v>
      </c>
      <c r="T241" t="s">
        <v>60</v>
      </c>
      <c r="U241" t="s">
        <v>317</v>
      </c>
      <c r="V241" s="2">
        <v>55.02</v>
      </c>
      <c r="W241" t="s">
        <v>722</v>
      </c>
    </row>
    <row r="242" spans="1:23" x14ac:dyDescent="0.25">
      <c r="A242">
        <v>2028938953</v>
      </c>
      <c r="B242" t="s">
        <v>372</v>
      </c>
      <c r="C242" t="s">
        <v>240</v>
      </c>
      <c r="D242" t="str">
        <f t="shared" si="12"/>
        <v>GEORGE KONTOS</v>
      </c>
      <c r="E242" t="s">
        <v>64</v>
      </c>
      <c r="F242" t="s">
        <v>89</v>
      </c>
      <c r="G242" t="s">
        <v>336</v>
      </c>
      <c r="H242">
        <v>8977234</v>
      </c>
      <c r="I242" t="s">
        <v>70</v>
      </c>
      <c r="J242" t="s">
        <v>71</v>
      </c>
      <c r="K242" t="str">
        <f t="shared" si="16"/>
        <v>RYAN CALTAGIRONE</v>
      </c>
      <c r="L242" s="1">
        <v>45836</v>
      </c>
      <c r="M242" s="1">
        <v>46019</v>
      </c>
      <c r="N242">
        <f t="shared" si="14"/>
        <v>6</v>
      </c>
      <c r="O242" t="s">
        <v>316</v>
      </c>
      <c r="P242" t="s">
        <v>727</v>
      </c>
      <c r="Q242" s="2">
        <v>34.65</v>
      </c>
      <c r="R242" t="s">
        <v>58</v>
      </c>
      <c r="S242" s="3">
        <v>0.75</v>
      </c>
      <c r="T242" t="s">
        <v>60</v>
      </c>
      <c r="U242" t="s">
        <v>317</v>
      </c>
      <c r="V242" s="2">
        <v>25.99</v>
      </c>
      <c r="W242" t="s">
        <v>718</v>
      </c>
    </row>
    <row r="243" spans="1:23" x14ac:dyDescent="0.25">
      <c r="A243">
        <v>2029692901</v>
      </c>
      <c r="B243" t="s">
        <v>274</v>
      </c>
      <c r="C243" t="s">
        <v>628</v>
      </c>
      <c r="D243" t="str">
        <f t="shared" si="12"/>
        <v>ROLLER JASON</v>
      </c>
      <c r="E243" t="s">
        <v>310</v>
      </c>
      <c r="F243" t="s">
        <v>262</v>
      </c>
      <c r="G243" t="s">
        <v>263</v>
      </c>
      <c r="H243">
        <v>16228684</v>
      </c>
      <c r="I243" t="s">
        <v>629</v>
      </c>
      <c r="J243" t="s">
        <v>630</v>
      </c>
      <c r="K243" t="str">
        <f t="shared" si="16"/>
        <v>Jason Roller</v>
      </c>
      <c r="L243" s="1">
        <v>45836</v>
      </c>
      <c r="M243" s="1">
        <v>46019</v>
      </c>
      <c r="N243">
        <f t="shared" si="14"/>
        <v>6</v>
      </c>
      <c r="O243" t="s">
        <v>316</v>
      </c>
      <c r="P243" t="s">
        <v>727</v>
      </c>
      <c r="Q243" s="2">
        <v>15.18</v>
      </c>
      <c r="R243" t="s">
        <v>58</v>
      </c>
      <c r="S243" s="3">
        <v>0.7</v>
      </c>
      <c r="T243" t="s">
        <v>60</v>
      </c>
      <c r="U243" t="s">
        <v>317</v>
      </c>
      <c r="V243" s="2">
        <v>10.62</v>
      </c>
      <c r="W243" t="s">
        <v>263</v>
      </c>
    </row>
    <row r="244" spans="1:23" x14ac:dyDescent="0.25">
      <c r="A244">
        <v>2028938952</v>
      </c>
      <c r="B244" t="s">
        <v>372</v>
      </c>
      <c r="C244" t="s">
        <v>240</v>
      </c>
      <c r="D244" t="str">
        <f t="shared" si="12"/>
        <v>GEORGE KONTOS</v>
      </c>
      <c r="E244" t="s">
        <v>64</v>
      </c>
      <c r="F244" t="s">
        <v>262</v>
      </c>
      <c r="G244" t="s">
        <v>263</v>
      </c>
      <c r="H244">
        <v>8977234</v>
      </c>
      <c r="I244" t="s">
        <v>70</v>
      </c>
      <c r="J244" t="s">
        <v>71</v>
      </c>
      <c r="K244" t="str">
        <f t="shared" si="16"/>
        <v>RYAN CALTAGIRONE</v>
      </c>
      <c r="L244" s="1">
        <v>45836</v>
      </c>
      <c r="M244" s="1">
        <v>46019</v>
      </c>
      <c r="N244">
        <f t="shared" si="14"/>
        <v>6</v>
      </c>
      <c r="O244" t="s">
        <v>316</v>
      </c>
      <c r="P244" t="s">
        <v>727</v>
      </c>
      <c r="Q244" s="2">
        <v>105.02</v>
      </c>
      <c r="R244" t="s">
        <v>58</v>
      </c>
      <c r="S244" s="3">
        <v>0.7</v>
      </c>
      <c r="T244" t="s">
        <v>60</v>
      </c>
      <c r="U244" t="s">
        <v>317</v>
      </c>
      <c r="V244" s="2">
        <v>73.510000000000005</v>
      </c>
      <c r="W244" t="s">
        <v>263</v>
      </c>
    </row>
    <row r="245" spans="1:23" x14ac:dyDescent="0.25">
      <c r="A245">
        <v>2028857839</v>
      </c>
      <c r="B245" t="s">
        <v>370</v>
      </c>
      <c r="C245" t="s">
        <v>371</v>
      </c>
      <c r="D245" t="str">
        <f t="shared" si="12"/>
        <v>DEE PARKS</v>
      </c>
      <c r="E245" t="s">
        <v>360</v>
      </c>
      <c r="F245" t="s">
        <v>262</v>
      </c>
      <c r="G245" t="s">
        <v>265</v>
      </c>
      <c r="H245">
        <v>8307933</v>
      </c>
      <c r="I245" t="s">
        <v>331</v>
      </c>
      <c r="J245" t="s">
        <v>332</v>
      </c>
      <c r="K245" t="str">
        <f t="shared" si="16"/>
        <v>GREGORY TEIPEL</v>
      </c>
      <c r="L245" s="1">
        <v>45789</v>
      </c>
      <c r="M245" s="1">
        <v>46003</v>
      </c>
      <c r="N245">
        <f t="shared" si="14"/>
        <v>7</v>
      </c>
      <c r="O245" t="s">
        <v>316</v>
      </c>
      <c r="P245" t="s">
        <v>727</v>
      </c>
      <c r="Q245" s="2">
        <v>51.63</v>
      </c>
      <c r="R245" t="s">
        <v>58</v>
      </c>
      <c r="S245" s="3">
        <v>0.9</v>
      </c>
      <c r="T245" t="s">
        <v>60</v>
      </c>
      <c r="U245" t="s">
        <v>317</v>
      </c>
      <c r="V245" s="2">
        <v>46.47</v>
      </c>
      <c r="W245" t="s">
        <v>265</v>
      </c>
    </row>
    <row r="246" spans="1:23" x14ac:dyDescent="0.25">
      <c r="A246">
        <v>2028857840</v>
      </c>
      <c r="B246" t="s">
        <v>370</v>
      </c>
      <c r="C246" t="s">
        <v>371</v>
      </c>
      <c r="D246" t="str">
        <f t="shared" si="12"/>
        <v>DEE PARKS</v>
      </c>
      <c r="E246" t="s">
        <v>360</v>
      </c>
      <c r="F246" t="s">
        <v>89</v>
      </c>
      <c r="G246" t="s">
        <v>90</v>
      </c>
      <c r="H246">
        <v>8307933</v>
      </c>
      <c r="I246" t="s">
        <v>331</v>
      </c>
      <c r="J246" t="s">
        <v>332</v>
      </c>
      <c r="K246" t="str">
        <f t="shared" si="16"/>
        <v>GREGORY TEIPEL</v>
      </c>
      <c r="L246" s="1">
        <v>45789</v>
      </c>
      <c r="M246" s="1">
        <v>46003</v>
      </c>
      <c r="N246">
        <f t="shared" si="14"/>
        <v>7</v>
      </c>
      <c r="O246" t="s">
        <v>316</v>
      </c>
      <c r="P246" t="s">
        <v>727</v>
      </c>
      <c r="Q246" s="2">
        <v>68.7</v>
      </c>
      <c r="R246" t="s">
        <v>58</v>
      </c>
      <c r="S246" s="3">
        <v>0.75</v>
      </c>
      <c r="T246" t="s">
        <v>60</v>
      </c>
      <c r="U246" t="s">
        <v>317</v>
      </c>
      <c r="V246" s="2">
        <v>51.52</v>
      </c>
      <c r="W246" t="s">
        <v>718</v>
      </c>
    </row>
    <row r="247" spans="1:23" x14ac:dyDescent="0.25">
      <c r="A247">
        <v>2029112078</v>
      </c>
      <c r="B247" t="s">
        <v>617</v>
      </c>
      <c r="C247" t="s">
        <v>429</v>
      </c>
      <c r="D247" t="str">
        <f t="shared" si="12"/>
        <v>JUDITH DEQUAKER</v>
      </c>
      <c r="E247" t="s">
        <v>64</v>
      </c>
      <c r="F247" t="s">
        <v>262</v>
      </c>
      <c r="G247" t="s">
        <v>263</v>
      </c>
      <c r="H247">
        <v>9213293</v>
      </c>
      <c r="I247" t="s">
        <v>209</v>
      </c>
      <c r="J247" t="s">
        <v>210</v>
      </c>
      <c r="K247" t="str">
        <f t="shared" si="16"/>
        <v>GARY PORTUGAL</v>
      </c>
      <c r="L247" s="1">
        <v>45802</v>
      </c>
      <c r="M247" s="1">
        <v>46016</v>
      </c>
      <c r="N247">
        <f t="shared" si="14"/>
        <v>7</v>
      </c>
      <c r="O247" t="s">
        <v>316</v>
      </c>
      <c r="P247" t="s">
        <v>727</v>
      </c>
      <c r="Q247" s="2">
        <v>46.08</v>
      </c>
      <c r="R247" t="s">
        <v>58</v>
      </c>
      <c r="S247" s="3">
        <v>0.7</v>
      </c>
      <c r="T247" t="s">
        <v>60</v>
      </c>
      <c r="U247" t="s">
        <v>317</v>
      </c>
      <c r="V247" s="2">
        <v>32.26</v>
      </c>
      <c r="W247" t="s">
        <v>263</v>
      </c>
    </row>
    <row r="248" spans="1:23" x14ac:dyDescent="0.25">
      <c r="A248">
        <v>2028800424</v>
      </c>
      <c r="B248" t="s">
        <v>611</v>
      </c>
      <c r="C248" t="s">
        <v>612</v>
      </c>
      <c r="D248" t="str">
        <f t="shared" si="12"/>
        <v>TINA ANDERSON</v>
      </c>
      <c r="E248" t="s">
        <v>119</v>
      </c>
      <c r="F248" t="s">
        <v>262</v>
      </c>
      <c r="G248" t="s">
        <v>263</v>
      </c>
      <c r="H248">
        <v>8977234</v>
      </c>
      <c r="I248" t="s">
        <v>70</v>
      </c>
      <c r="J248" t="s">
        <v>71</v>
      </c>
      <c r="K248" t="str">
        <f t="shared" si="16"/>
        <v>RYAN CALTAGIRONE</v>
      </c>
      <c r="L248" s="1">
        <v>45804</v>
      </c>
      <c r="M248" s="1">
        <v>46018</v>
      </c>
      <c r="N248">
        <f t="shared" si="14"/>
        <v>7</v>
      </c>
      <c r="O248" t="s">
        <v>316</v>
      </c>
      <c r="P248" t="s">
        <v>727</v>
      </c>
      <c r="Q248" s="2">
        <v>141.32</v>
      </c>
      <c r="R248" t="s">
        <v>58</v>
      </c>
      <c r="S248" s="3">
        <v>0.7</v>
      </c>
      <c r="T248" t="s">
        <v>60</v>
      </c>
      <c r="U248" t="s">
        <v>317</v>
      </c>
      <c r="V248" s="2">
        <v>98.92</v>
      </c>
      <c r="W248" t="s">
        <v>263</v>
      </c>
    </row>
    <row r="249" spans="1:23" x14ac:dyDescent="0.25">
      <c r="A249">
        <v>2029303774</v>
      </c>
      <c r="B249" t="s">
        <v>699</v>
      </c>
      <c r="C249" t="s">
        <v>255</v>
      </c>
      <c r="D249" t="str">
        <f t="shared" si="12"/>
        <v>BEVERLY GATHANY</v>
      </c>
      <c r="E249" t="s">
        <v>52</v>
      </c>
      <c r="F249" t="s">
        <v>683</v>
      </c>
      <c r="G249" t="s">
        <v>684</v>
      </c>
      <c r="H249" t="s">
        <v>729</v>
      </c>
      <c r="I249" t="s">
        <v>485</v>
      </c>
      <c r="J249" t="s">
        <v>486</v>
      </c>
      <c r="K249" t="str">
        <f t="shared" si="16"/>
        <v>DEBORAH INSKIPT</v>
      </c>
      <c r="L249" s="1">
        <v>45798</v>
      </c>
      <c r="M249" s="1">
        <v>46012</v>
      </c>
      <c r="N249">
        <f t="shared" si="14"/>
        <v>7</v>
      </c>
      <c r="O249" t="s">
        <v>316</v>
      </c>
      <c r="P249" t="s">
        <v>727</v>
      </c>
      <c r="Q249" s="2">
        <v>37.32</v>
      </c>
      <c r="R249" t="s">
        <v>58</v>
      </c>
      <c r="S249" s="3">
        <v>0.47</v>
      </c>
      <c r="T249" t="s">
        <v>60</v>
      </c>
      <c r="U249" t="s">
        <v>317</v>
      </c>
      <c r="V249" s="2">
        <v>17.54</v>
      </c>
      <c r="W249" t="s">
        <v>684</v>
      </c>
    </row>
    <row r="250" spans="1:23" x14ac:dyDescent="0.25">
      <c r="A250">
        <v>2029046099</v>
      </c>
      <c r="B250" t="s">
        <v>507</v>
      </c>
      <c r="C250" t="s">
        <v>508</v>
      </c>
      <c r="D250" t="str">
        <f t="shared" si="12"/>
        <v>DONNA FLEMING</v>
      </c>
      <c r="E250" t="s">
        <v>483</v>
      </c>
      <c r="F250" t="s">
        <v>196</v>
      </c>
      <c r="G250" t="s">
        <v>197</v>
      </c>
      <c r="H250">
        <v>19278370</v>
      </c>
      <c r="I250" t="s">
        <v>468</v>
      </c>
      <c r="J250" t="s">
        <v>469</v>
      </c>
      <c r="K250" t="str">
        <f t="shared" si="16"/>
        <v>ANNE MARIE KOZACHECK</v>
      </c>
      <c r="L250" s="1">
        <v>45799</v>
      </c>
      <c r="M250" s="1">
        <v>46013</v>
      </c>
      <c r="N250">
        <f t="shared" si="14"/>
        <v>7</v>
      </c>
      <c r="O250" t="s">
        <v>316</v>
      </c>
      <c r="P250" t="s">
        <v>727</v>
      </c>
      <c r="Q250" s="2">
        <v>54.16</v>
      </c>
      <c r="R250" t="s">
        <v>58</v>
      </c>
      <c r="S250" s="4">
        <v>0.375</v>
      </c>
      <c r="T250" t="s">
        <v>60</v>
      </c>
      <c r="U250" t="s">
        <v>317</v>
      </c>
      <c r="V250" s="2">
        <v>20.309999999999999</v>
      </c>
      <c r="W250" t="s">
        <v>197</v>
      </c>
    </row>
    <row r="251" spans="1:23" x14ac:dyDescent="0.25">
      <c r="A251">
        <v>2027785591</v>
      </c>
      <c r="B251" t="s">
        <v>600</v>
      </c>
      <c r="C251" t="s">
        <v>436</v>
      </c>
      <c r="D251" t="str">
        <f t="shared" si="12"/>
        <v>CYNTHIA ROBINSON-MARTIN</v>
      </c>
      <c r="E251" t="s">
        <v>135</v>
      </c>
      <c r="F251" t="s">
        <v>262</v>
      </c>
      <c r="G251" t="s">
        <v>265</v>
      </c>
      <c r="H251">
        <v>21348299</v>
      </c>
      <c r="I251" t="s">
        <v>213</v>
      </c>
      <c r="J251" t="s">
        <v>214</v>
      </c>
      <c r="K251" t="str">
        <f t="shared" si="16"/>
        <v>BARRY BRENNER</v>
      </c>
      <c r="L251" s="1">
        <v>45748</v>
      </c>
      <c r="M251" s="1">
        <v>45992</v>
      </c>
      <c r="N251">
        <f t="shared" si="14"/>
        <v>8</v>
      </c>
      <c r="O251" t="s">
        <v>316</v>
      </c>
      <c r="P251" t="s">
        <v>727</v>
      </c>
      <c r="Q251" s="2">
        <v>21.6</v>
      </c>
      <c r="R251" t="s">
        <v>58</v>
      </c>
      <c r="S251" s="3">
        <v>0.9</v>
      </c>
      <c r="T251" t="s">
        <v>60</v>
      </c>
      <c r="U251" t="s">
        <v>317</v>
      </c>
      <c r="V251" s="2">
        <v>19.440000000000001</v>
      </c>
      <c r="W251" t="s">
        <v>265</v>
      </c>
    </row>
    <row r="252" spans="1:23" x14ac:dyDescent="0.25">
      <c r="A252">
        <v>2028488145</v>
      </c>
      <c r="B252" t="s">
        <v>321</v>
      </c>
      <c r="C252" t="s">
        <v>322</v>
      </c>
      <c r="D252" t="str">
        <f t="shared" si="12"/>
        <v>CHELSEA REITENBACH</v>
      </c>
      <c r="E252" t="s">
        <v>52</v>
      </c>
      <c r="F252" t="s">
        <v>262</v>
      </c>
      <c r="G252" t="s">
        <v>264</v>
      </c>
      <c r="H252">
        <v>18781057</v>
      </c>
      <c r="I252" t="s">
        <v>82</v>
      </c>
      <c r="J252" t="s">
        <v>83</v>
      </c>
      <c r="K252" t="str">
        <f t="shared" si="16"/>
        <v>JOHN ROKEN</v>
      </c>
      <c r="L252" s="1">
        <v>45766</v>
      </c>
      <c r="M252" s="1">
        <v>46010</v>
      </c>
      <c r="N252">
        <f t="shared" si="14"/>
        <v>8</v>
      </c>
      <c r="O252" t="s">
        <v>316</v>
      </c>
      <c r="P252" t="s">
        <v>727</v>
      </c>
      <c r="Q252" s="2">
        <v>-51.46</v>
      </c>
      <c r="R252" t="s">
        <v>58</v>
      </c>
      <c r="S252" s="3">
        <v>0.7</v>
      </c>
      <c r="T252" t="s">
        <v>60</v>
      </c>
      <c r="U252" t="s">
        <v>317</v>
      </c>
      <c r="V252" s="2">
        <v>-36.020000000000003</v>
      </c>
      <c r="W252" t="s">
        <v>562</v>
      </c>
    </row>
    <row r="253" spans="1:23" x14ac:dyDescent="0.25">
      <c r="A253">
        <v>2027785590</v>
      </c>
      <c r="B253" t="s">
        <v>600</v>
      </c>
      <c r="C253" t="s">
        <v>436</v>
      </c>
      <c r="D253" t="str">
        <f t="shared" si="12"/>
        <v>CYNTHIA ROBINSON-MARTIN</v>
      </c>
      <c r="E253" t="s">
        <v>135</v>
      </c>
      <c r="F253" t="s">
        <v>262</v>
      </c>
      <c r="G253" t="s">
        <v>263</v>
      </c>
      <c r="H253">
        <v>21348299</v>
      </c>
      <c r="I253" t="s">
        <v>213</v>
      </c>
      <c r="J253" t="s">
        <v>214</v>
      </c>
      <c r="K253" t="str">
        <f t="shared" si="16"/>
        <v>BARRY BRENNER</v>
      </c>
      <c r="L253" s="1">
        <v>45748</v>
      </c>
      <c r="M253" s="1">
        <v>45992</v>
      </c>
      <c r="N253">
        <f t="shared" si="14"/>
        <v>8</v>
      </c>
      <c r="O253" t="s">
        <v>316</v>
      </c>
      <c r="P253" t="s">
        <v>727</v>
      </c>
      <c r="Q253" s="2">
        <v>28.38</v>
      </c>
      <c r="R253" t="s">
        <v>58</v>
      </c>
      <c r="S253" s="3">
        <v>0.7</v>
      </c>
      <c r="T253" t="s">
        <v>60</v>
      </c>
      <c r="U253" t="s">
        <v>317</v>
      </c>
      <c r="V253" s="2">
        <v>19.87</v>
      </c>
      <c r="W253" t="s">
        <v>263</v>
      </c>
    </row>
    <row r="254" spans="1:23" x14ac:dyDescent="0.25">
      <c r="A254">
        <v>2028547423</v>
      </c>
      <c r="B254" t="s">
        <v>610</v>
      </c>
      <c r="C254" t="s">
        <v>81</v>
      </c>
      <c r="D254" t="str">
        <f t="shared" si="12"/>
        <v>WILLIAM BATKA</v>
      </c>
      <c r="E254" t="s">
        <v>64</v>
      </c>
      <c r="F254" t="s">
        <v>262</v>
      </c>
      <c r="G254" t="s">
        <v>263</v>
      </c>
      <c r="H254">
        <v>9213293</v>
      </c>
      <c r="I254" t="s">
        <v>209</v>
      </c>
      <c r="J254" t="s">
        <v>210</v>
      </c>
      <c r="K254" t="str">
        <f t="shared" si="16"/>
        <v>GARY PORTUGAL</v>
      </c>
      <c r="L254" s="1">
        <v>45770</v>
      </c>
      <c r="M254" s="1">
        <v>46014</v>
      </c>
      <c r="N254">
        <f t="shared" si="14"/>
        <v>8</v>
      </c>
      <c r="O254" t="s">
        <v>316</v>
      </c>
      <c r="P254" t="s">
        <v>727</v>
      </c>
      <c r="Q254" s="2">
        <v>35.700000000000003</v>
      </c>
      <c r="R254" t="s">
        <v>58</v>
      </c>
      <c r="S254" s="3">
        <v>0.7</v>
      </c>
      <c r="T254" t="s">
        <v>60</v>
      </c>
      <c r="U254" t="s">
        <v>317</v>
      </c>
      <c r="V254" s="2">
        <v>24.99</v>
      </c>
      <c r="W254" t="s">
        <v>263</v>
      </c>
    </row>
    <row r="255" spans="1:23" x14ac:dyDescent="0.25">
      <c r="A255">
        <v>2028488144</v>
      </c>
      <c r="B255" t="s">
        <v>321</v>
      </c>
      <c r="C255" t="s">
        <v>322</v>
      </c>
      <c r="D255" t="str">
        <f t="shared" si="12"/>
        <v>CHELSEA REITENBACH</v>
      </c>
      <c r="E255" t="s">
        <v>52</v>
      </c>
      <c r="F255" t="s">
        <v>53</v>
      </c>
      <c r="G255" t="s">
        <v>54</v>
      </c>
      <c r="H255">
        <v>18781057</v>
      </c>
      <c r="I255" t="s">
        <v>82</v>
      </c>
      <c r="J255" t="s">
        <v>83</v>
      </c>
      <c r="K255" t="str">
        <f t="shared" si="16"/>
        <v>JOHN ROKEN</v>
      </c>
      <c r="L255" s="1">
        <v>45766</v>
      </c>
      <c r="M255" s="1">
        <v>46010</v>
      </c>
      <c r="N255">
        <f t="shared" si="14"/>
        <v>8</v>
      </c>
      <c r="O255" t="s">
        <v>316</v>
      </c>
      <c r="P255" t="s">
        <v>727</v>
      </c>
      <c r="Q255" s="2">
        <v>-62.54</v>
      </c>
      <c r="R255" t="s">
        <v>58</v>
      </c>
      <c r="S255" s="3">
        <v>0.6</v>
      </c>
      <c r="T255" t="s">
        <v>60</v>
      </c>
      <c r="U255" t="s">
        <v>317</v>
      </c>
      <c r="V255" s="2">
        <v>-37.520000000000003</v>
      </c>
      <c r="W255" t="s">
        <v>54</v>
      </c>
    </row>
    <row r="256" spans="1:23" x14ac:dyDescent="0.25">
      <c r="A256">
        <v>2028488143</v>
      </c>
      <c r="B256" t="s">
        <v>321</v>
      </c>
      <c r="C256" t="s">
        <v>322</v>
      </c>
      <c r="D256" t="str">
        <f t="shared" si="12"/>
        <v>CHELSEA REITENBACH</v>
      </c>
      <c r="E256" t="s">
        <v>52</v>
      </c>
      <c r="F256" t="s">
        <v>258</v>
      </c>
      <c r="G256" t="s">
        <v>259</v>
      </c>
      <c r="H256">
        <v>18781057</v>
      </c>
      <c r="I256" t="s">
        <v>82</v>
      </c>
      <c r="J256" t="s">
        <v>83</v>
      </c>
      <c r="K256" t="str">
        <f t="shared" si="16"/>
        <v>JOHN ROKEN</v>
      </c>
      <c r="L256" s="1">
        <v>45766</v>
      </c>
      <c r="M256" s="1">
        <v>46010</v>
      </c>
      <c r="N256">
        <f t="shared" si="14"/>
        <v>8</v>
      </c>
      <c r="O256" t="s">
        <v>316</v>
      </c>
      <c r="P256" t="s">
        <v>727</v>
      </c>
      <c r="Q256" s="2">
        <v>-89.62</v>
      </c>
      <c r="R256" t="s">
        <v>58</v>
      </c>
      <c r="S256" s="3">
        <v>0.38</v>
      </c>
      <c r="T256" t="s">
        <v>60</v>
      </c>
      <c r="U256" t="s">
        <v>317</v>
      </c>
      <c r="V256" s="2">
        <v>-34.06</v>
      </c>
      <c r="W256" t="s">
        <v>259</v>
      </c>
    </row>
    <row r="257" spans="1:23" x14ac:dyDescent="0.25">
      <c r="A257">
        <v>2027957199</v>
      </c>
      <c r="B257" t="s">
        <v>602</v>
      </c>
      <c r="C257" t="s">
        <v>446</v>
      </c>
      <c r="D257" t="str">
        <f t="shared" si="12"/>
        <v>KAREN HAMRICK</v>
      </c>
      <c r="E257" t="s">
        <v>95</v>
      </c>
      <c r="F257" t="s">
        <v>262</v>
      </c>
      <c r="G257" t="s">
        <v>265</v>
      </c>
      <c r="H257">
        <v>5442438</v>
      </c>
      <c r="I257" t="s">
        <v>125</v>
      </c>
      <c r="J257" t="s">
        <v>126</v>
      </c>
      <c r="K257" t="str">
        <f t="shared" si="16"/>
        <v>Ronald Max</v>
      </c>
      <c r="L257" s="1">
        <v>45743</v>
      </c>
      <c r="M257" s="1">
        <v>46018</v>
      </c>
      <c r="N257">
        <f t="shared" si="14"/>
        <v>9</v>
      </c>
      <c r="O257" t="s">
        <v>316</v>
      </c>
      <c r="P257" t="s">
        <v>727</v>
      </c>
      <c r="Q257" s="2">
        <v>96.17</v>
      </c>
      <c r="R257" t="s">
        <v>58</v>
      </c>
      <c r="S257" s="3">
        <v>0.9</v>
      </c>
      <c r="T257" t="s">
        <v>60</v>
      </c>
      <c r="U257" t="s">
        <v>317</v>
      </c>
      <c r="V257" s="2">
        <v>86.55</v>
      </c>
      <c r="W257" t="s">
        <v>265</v>
      </c>
    </row>
    <row r="258" spans="1:23" x14ac:dyDescent="0.25">
      <c r="A258">
        <v>2027855574</v>
      </c>
      <c r="B258" t="s">
        <v>358</v>
      </c>
      <c r="C258" t="s">
        <v>359</v>
      </c>
      <c r="D258" t="str">
        <f t="shared" ref="D258:D321" si="17">CONCATENATE(C258," ",B258)</f>
        <v>ANGELA ROBSON</v>
      </c>
      <c r="E258" t="s">
        <v>360</v>
      </c>
      <c r="F258" t="s">
        <v>89</v>
      </c>
      <c r="G258" t="s">
        <v>336</v>
      </c>
      <c r="H258">
        <v>8307933</v>
      </c>
      <c r="I258" t="s">
        <v>331</v>
      </c>
      <c r="J258" t="s">
        <v>332</v>
      </c>
      <c r="K258" t="str">
        <f t="shared" si="16"/>
        <v>GREGORY TEIPEL</v>
      </c>
      <c r="L258" s="1">
        <v>45734</v>
      </c>
      <c r="M258" s="1">
        <v>46009</v>
      </c>
      <c r="N258">
        <f t="shared" ref="N258:N321" si="18">DATEDIF(L258,M258,"M")</f>
        <v>9</v>
      </c>
      <c r="O258" t="s">
        <v>316</v>
      </c>
      <c r="P258" t="s">
        <v>727</v>
      </c>
      <c r="Q258" s="2">
        <v>-75.8</v>
      </c>
      <c r="R258" t="s">
        <v>58</v>
      </c>
      <c r="S258" s="3">
        <v>0.75</v>
      </c>
      <c r="T258" t="s">
        <v>60</v>
      </c>
      <c r="U258" t="s">
        <v>317</v>
      </c>
      <c r="V258" s="2">
        <v>-56.85</v>
      </c>
      <c r="W258" t="s">
        <v>718</v>
      </c>
    </row>
    <row r="259" spans="1:23" x14ac:dyDescent="0.25">
      <c r="A259">
        <v>2027855573</v>
      </c>
      <c r="B259" t="s">
        <v>358</v>
      </c>
      <c r="C259" t="s">
        <v>359</v>
      </c>
      <c r="D259" t="str">
        <f t="shared" si="17"/>
        <v>ANGELA ROBSON</v>
      </c>
      <c r="E259" t="s">
        <v>360</v>
      </c>
      <c r="F259" t="s">
        <v>262</v>
      </c>
      <c r="G259" t="s">
        <v>263</v>
      </c>
      <c r="H259">
        <v>8307933</v>
      </c>
      <c r="I259" t="s">
        <v>331</v>
      </c>
      <c r="J259" t="s">
        <v>332</v>
      </c>
      <c r="K259" t="str">
        <f t="shared" si="16"/>
        <v>GREGORY TEIPEL</v>
      </c>
      <c r="L259" s="1">
        <v>45734</v>
      </c>
      <c r="M259" s="1">
        <v>46009</v>
      </c>
      <c r="N259">
        <f t="shared" si="18"/>
        <v>9</v>
      </c>
      <c r="O259" t="s">
        <v>316</v>
      </c>
      <c r="P259" t="s">
        <v>727</v>
      </c>
      <c r="Q259" s="2">
        <v>-79.84</v>
      </c>
      <c r="R259" t="s">
        <v>58</v>
      </c>
      <c r="S259" s="3">
        <v>0.7</v>
      </c>
      <c r="T259" t="s">
        <v>60</v>
      </c>
      <c r="U259" t="s">
        <v>317</v>
      </c>
      <c r="V259" s="2">
        <v>-55.89</v>
      </c>
      <c r="W259" t="s">
        <v>263</v>
      </c>
    </row>
    <row r="260" spans="1:23" x14ac:dyDescent="0.25">
      <c r="A260">
        <v>2027348180</v>
      </c>
      <c r="B260" t="s">
        <v>356</v>
      </c>
      <c r="C260" t="s">
        <v>357</v>
      </c>
      <c r="D260" t="str">
        <f t="shared" si="17"/>
        <v>AMY DUARTE</v>
      </c>
      <c r="E260" t="s">
        <v>64</v>
      </c>
      <c r="F260" t="s">
        <v>89</v>
      </c>
      <c r="G260" t="s">
        <v>96</v>
      </c>
      <c r="H260">
        <v>8977234</v>
      </c>
      <c r="I260" t="s">
        <v>70</v>
      </c>
      <c r="J260" t="s">
        <v>71</v>
      </c>
      <c r="K260" t="str">
        <f t="shared" si="16"/>
        <v>RYAN CALTAGIRONE</v>
      </c>
      <c r="L260" s="1">
        <v>45716</v>
      </c>
      <c r="M260" s="1">
        <v>46019</v>
      </c>
      <c r="N260">
        <f t="shared" si="18"/>
        <v>10</v>
      </c>
      <c r="O260" t="s">
        <v>316</v>
      </c>
      <c r="P260" t="s">
        <v>727</v>
      </c>
      <c r="Q260" s="2">
        <v>41.61</v>
      </c>
      <c r="R260" t="s">
        <v>58</v>
      </c>
      <c r="S260" s="3">
        <v>0.9</v>
      </c>
      <c r="T260" t="s">
        <v>60</v>
      </c>
      <c r="U260" t="s">
        <v>317</v>
      </c>
      <c r="V260" s="2">
        <v>37.450000000000003</v>
      </c>
      <c r="W260" t="s">
        <v>722</v>
      </c>
    </row>
    <row r="261" spans="1:23" x14ac:dyDescent="0.25">
      <c r="A261">
        <v>2027258067</v>
      </c>
      <c r="B261" t="s">
        <v>354</v>
      </c>
      <c r="C261" t="s">
        <v>355</v>
      </c>
      <c r="D261" t="str">
        <f t="shared" si="17"/>
        <v>VIVIANA BUSH</v>
      </c>
      <c r="E261" t="s">
        <v>105</v>
      </c>
      <c r="F261" t="s">
        <v>262</v>
      </c>
      <c r="G261" t="s">
        <v>265</v>
      </c>
      <c r="H261">
        <v>8977234</v>
      </c>
      <c r="I261" t="s">
        <v>70</v>
      </c>
      <c r="J261" t="s">
        <v>71</v>
      </c>
      <c r="K261" t="str">
        <f t="shared" si="16"/>
        <v>RYAN CALTAGIRONE</v>
      </c>
      <c r="L261" s="1">
        <v>45710</v>
      </c>
      <c r="M261" s="1">
        <v>46013</v>
      </c>
      <c r="N261">
        <f t="shared" si="18"/>
        <v>10</v>
      </c>
      <c r="O261" t="s">
        <v>316</v>
      </c>
      <c r="P261" t="s">
        <v>727</v>
      </c>
      <c r="Q261" s="2">
        <v>31.08</v>
      </c>
      <c r="R261" t="s">
        <v>58</v>
      </c>
      <c r="S261" s="3">
        <v>0.9</v>
      </c>
      <c r="T261" t="s">
        <v>60</v>
      </c>
      <c r="U261" t="s">
        <v>317</v>
      </c>
      <c r="V261" s="2">
        <v>27.97</v>
      </c>
      <c r="W261" t="s">
        <v>265</v>
      </c>
    </row>
    <row r="262" spans="1:23" x14ac:dyDescent="0.25">
      <c r="A262">
        <v>2027258065</v>
      </c>
      <c r="B262" t="s">
        <v>354</v>
      </c>
      <c r="C262" t="s">
        <v>355</v>
      </c>
      <c r="D262" t="str">
        <f t="shared" si="17"/>
        <v>VIVIANA BUSH</v>
      </c>
      <c r="E262" t="s">
        <v>105</v>
      </c>
      <c r="F262" t="s">
        <v>262</v>
      </c>
      <c r="G262" t="s">
        <v>562</v>
      </c>
      <c r="H262">
        <v>8977234</v>
      </c>
      <c r="I262" t="s">
        <v>70</v>
      </c>
      <c r="J262" t="s">
        <v>71</v>
      </c>
      <c r="K262" t="str">
        <f t="shared" si="16"/>
        <v>RYAN CALTAGIRONE</v>
      </c>
      <c r="L262" s="1">
        <v>45710</v>
      </c>
      <c r="M262" s="1">
        <v>46013</v>
      </c>
      <c r="N262">
        <f t="shared" si="18"/>
        <v>10</v>
      </c>
      <c r="O262" t="s">
        <v>316</v>
      </c>
      <c r="P262" t="s">
        <v>727</v>
      </c>
      <c r="Q262" s="2">
        <v>25.73</v>
      </c>
      <c r="R262" t="s">
        <v>58</v>
      </c>
      <c r="S262" s="3">
        <v>0.7</v>
      </c>
      <c r="T262" t="s">
        <v>60</v>
      </c>
      <c r="U262" t="s">
        <v>317</v>
      </c>
      <c r="V262" s="2">
        <v>18.010000000000002</v>
      </c>
      <c r="W262" t="s">
        <v>562</v>
      </c>
    </row>
    <row r="263" spans="1:23" x14ac:dyDescent="0.25">
      <c r="A263">
        <v>2027419633</v>
      </c>
      <c r="B263" t="s">
        <v>598</v>
      </c>
      <c r="C263" t="s">
        <v>599</v>
      </c>
      <c r="D263" t="str">
        <f t="shared" si="17"/>
        <v>ALBERTO OLMOS</v>
      </c>
      <c r="E263" t="s">
        <v>135</v>
      </c>
      <c r="F263" t="s">
        <v>262</v>
      </c>
      <c r="G263" t="s">
        <v>263</v>
      </c>
      <c r="H263">
        <v>21348299</v>
      </c>
      <c r="I263" t="s">
        <v>213</v>
      </c>
      <c r="J263" t="s">
        <v>214</v>
      </c>
      <c r="K263" t="str">
        <f t="shared" si="16"/>
        <v>BARRY BRENNER</v>
      </c>
      <c r="L263" s="1">
        <v>45716</v>
      </c>
      <c r="M263" s="1">
        <v>46019</v>
      </c>
      <c r="N263">
        <f t="shared" si="18"/>
        <v>10</v>
      </c>
      <c r="O263" t="s">
        <v>316</v>
      </c>
      <c r="P263" t="s">
        <v>727</v>
      </c>
      <c r="Q263" s="2">
        <v>163.43</v>
      </c>
      <c r="R263" t="s">
        <v>58</v>
      </c>
      <c r="S263" s="3">
        <v>0.7</v>
      </c>
      <c r="T263" t="s">
        <v>60</v>
      </c>
      <c r="U263" t="s">
        <v>317</v>
      </c>
      <c r="V263" s="2">
        <v>114.4</v>
      </c>
      <c r="W263" t="s">
        <v>263</v>
      </c>
    </row>
    <row r="264" spans="1:23" x14ac:dyDescent="0.25">
      <c r="A264">
        <v>2027343740</v>
      </c>
      <c r="B264" t="s">
        <v>494</v>
      </c>
      <c r="C264" t="s">
        <v>495</v>
      </c>
      <c r="D264" t="str">
        <f t="shared" si="17"/>
        <v>MARIA GONZALEZ</v>
      </c>
      <c r="E264" t="s">
        <v>129</v>
      </c>
      <c r="F264" t="s">
        <v>262</v>
      </c>
      <c r="G264" t="s">
        <v>263</v>
      </c>
      <c r="H264">
        <v>8977234</v>
      </c>
      <c r="I264" t="s">
        <v>70</v>
      </c>
      <c r="J264" t="s">
        <v>71</v>
      </c>
      <c r="K264" t="str">
        <f t="shared" si="16"/>
        <v>RYAN CALTAGIRONE</v>
      </c>
      <c r="L264" s="1">
        <v>45714</v>
      </c>
      <c r="M264" s="1">
        <v>46017</v>
      </c>
      <c r="N264">
        <f t="shared" si="18"/>
        <v>10</v>
      </c>
      <c r="O264" t="s">
        <v>316</v>
      </c>
      <c r="P264" t="s">
        <v>727</v>
      </c>
      <c r="Q264" s="2">
        <v>10.82</v>
      </c>
      <c r="R264" t="s">
        <v>58</v>
      </c>
      <c r="S264" s="3">
        <v>0.7</v>
      </c>
      <c r="T264" t="s">
        <v>60</v>
      </c>
      <c r="U264" t="s">
        <v>317</v>
      </c>
      <c r="V264" s="2">
        <v>7.57</v>
      </c>
      <c r="W264" t="s">
        <v>263</v>
      </c>
    </row>
    <row r="265" spans="1:23" x14ac:dyDescent="0.25">
      <c r="A265">
        <v>2027258064</v>
      </c>
      <c r="B265" t="s">
        <v>354</v>
      </c>
      <c r="C265" t="s">
        <v>355</v>
      </c>
      <c r="D265" t="str">
        <f t="shared" si="17"/>
        <v>VIVIANA BUSH</v>
      </c>
      <c r="E265" t="s">
        <v>105</v>
      </c>
      <c r="F265" t="s">
        <v>262</v>
      </c>
      <c r="G265" t="s">
        <v>263</v>
      </c>
      <c r="H265">
        <v>8977234</v>
      </c>
      <c r="I265" t="s">
        <v>70</v>
      </c>
      <c r="J265" t="s">
        <v>71</v>
      </c>
      <c r="K265" t="str">
        <f t="shared" si="16"/>
        <v>RYAN CALTAGIRONE</v>
      </c>
      <c r="L265" s="1">
        <v>45710</v>
      </c>
      <c r="M265" s="1">
        <v>46013</v>
      </c>
      <c r="N265">
        <f t="shared" si="18"/>
        <v>10</v>
      </c>
      <c r="O265" t="s">
        <v>316</v>
      </c>
      <c r="P265" t="s">
        <v>727</v>
      </c>
      <c r="Q265" s="2">
        <v>42.36</v>
      </c>
      <c r="R265" t="s">
        <v>58</v>
      </c>
      <c r="S265" s="3">
        <v>0.7</v>
      </c>
      <c r="T265" t="s">
        <v>60</v>
      </c>
      <c r="U265" t="s">
        <v>317</v>
      </c>
      <c r="V265" s="2">
        <v>29.65</v>
      </c>
      <c r="W265" t="s">
        <v>263</v>
      </c>
    </row>
    <row r="266" spans="1:23" x14ac:dyDescent="0.25">
      <c r="A266">
        <v>2027348181</v>
      </c>
      <c r="B266" t="s">
        <v>356</v>
      </c>
      <c r="C266" t="s">
        <v>357</v>
      </c>
      <c r="D266" t="str">
        <f t="shared" si="17"/>
        <v>AMY DUARTE</v>
      </c>
      <c r="E266" t="s">
        <v>64</v>
      </c>
      <c r="F266" t="s">
        <v>262</v>
      </c>
      <c r="G266" t="s">
        <v>263</v>
      </c>
      <c r="H266">
        <v>8977234</v>
      </c>
      <c r="I266" t="s">
        <v>70</v>
      </c>
      <c r="J266" t="s">
        <v>71</v>
      </c>
      <c r="K266" t="str">
        <f t="shared" si="16"/>
        <v>RYAN CALTAGIRONE</v>
      </c>
      <c r="L266" s="1">
        <v>45716</v>
      </c>
      <c r="M266" s="1">
        <v>46019</v>
      </c>
      <c r="N266">
        <f t="shared" si="18"/>
        <v>10</v>
      </c>
      <c r="O266" t="s">
        <v>316</v>
      </c>
      <c r="P266" t="s">
        <v>727</v>
      </c>
      <c r="Q266" s="2">
        <v>47.95</v>
      </c>
      <c r="R266" t="s">
        <v>58</v>
      </c>
      <c r="S266" s="3">
        <v>0.7</v>
      </c>
      <c r="T266" t="s">
        <v>60</v>
      </c>
      <c r="U266" t="s">
        <v>317</v>
      </c>
      <c r="V266" s="2">
        <v>33.56</v>
      </c>
      <c r="W266" t="s">
        <v>263</v>
      </c>
    </row>
    <row r="267" spans="1:23" x14ac:dyDescent="0.25">
      <c r="A267">
        <v>2027321379</v>
      </c>
      <c r="B267" t="s">
        <v>492</v>
      </c>
      <c r="C267" t="s">
        <v>493</v>
      </c>
      <c r="D267" t="str">
        <f t="shared" si="17"/>
        <v>EDWINA JENSEN</v>
      </c>
      <c r="E267" t="s">
        <v>64</v>
      </c>
      <c r="F267" t="s">
        <v>262</v>
      </c>
      <c r="G267" t="s">
        <v>263</v>
      </c>
      <c r="H267">
        <v>8977234</v>
      </c>
      <c r="I267" t="s">
        <v>70</v>
      </c>
      <c r="J267" t="s">
        <v>71</v>
      </c>
      <c r="K267" t="str">
        <f t="shared" si="16"/>
        <v>RYAN CALTAGIRONE</v>
      </c>
      <c r="L267" s="1">
        <v>45713</v>
      </c>
      <c r="M267" s="1">
        <v>46016</v>
      </c>
      <c r="N267">
        <f t="shared" si="18"/>
        <v>10</v>
      </c>
      <c r="O267" t="s">
        <v>316</v>
      </c>
      <c r="P267" t="s">
        <v>727</v>
      </c>
      <c r="Q267" s="2">
        <v>169.06</v>
      </c>
      <c r="R267" t="s">
        <v>58</v>
      </c>
      <c r="S267" s="3">
        <v>0.7</v>
      </c>
      <c r="T267" t="s">
        <v>60</v>
      </c>
      <c r="U267" t="s">
        <v>317</v>
      </c>
      <c r="V267" s="2">
        <v>118.34</v>
      </c>
      <c r="W267" t="s">
        <v>263</v>
      </c>
    </row>
    <row r="268" spans="1:23" x14ac:dyDescent="0.25">
      <c r="A268">
        <v>2027258066</v>
      </c>
      <c r="B268" t="s">
        <v>354</v>
      </c>
      <c r="C268" t="s">
        <v>355</v>
      </c>
      <c r="D268" t="str">
        <f t="shared" si="17"/>
        <v>VIVIANA BUSH</v>
      </c>
      <c r="E268" t="s">
        <v>105</v>
      </c>
      <c r="F268" t="s">
        <v>89</v>
      </c>
      <c r="G268" t="s">
        <v>110</v>
      </c>
      <c r="H268">
        <v>8977234</v>
      </c>
      <c r="I268" t="s">
        <v>70</v>
      </c>
      <c r="J268" t="s">
        <v>71</v>
      </c>
      <c r="K268" t="str">
        <f t="shared" ref="K268:K299" si="19">CONCATENATE(J268," ",I268)</f>
        <v>RYAN CALTAGIRONE</v>
      </c>
      <c r="L268" s="1">
        <v>45710</v>
      </c>
      <c r="M268" s="1">
        <v>46013</v>
      </c>
      <c r="N268">
        <f t="shared" si="18"/>
        <v>10</v>
      </c>
      <c r="O268" t="s">
        <v>316</v>
      </c>
      <c r="P268" t="s">
        <v>727</v>
      </c>
      <c r="Q268" s="2">
        <v>78.239999999999995</v>
      </c>
      <c r="R268" t="s">
        <v>58</v>
      </c>
      <c r="S268" s="3">
        <v>0.65</v>
      </c>
      <c r="T268" t="s">
        <v>60</v>
      </c>
      <c r="U268" t="s">
        <v>317</v>
      </c>
      <c r="V268" s="2">
        <v>50.86</v>
      </c>
      <c r="W268" t="s">
        <v>719</v>
      </c>
    </row>
    <row r="269" spans="1:23" x14ac:dyDescent="0.25">
      <c r="A269">
        <v>2027348179</v>
      </c>
      <c r="B269" t="s">
        <v>356</v>
      </c>
      <c r="C269" t="s">
        <v>357</v>
      </c>
      <c r="D269" t="str">
        <f t="shared" si="17"/>
        <v>AMY DUARTE</v>
      </c>
      <c r="E269" t="s">
        <v>64</v>
      </c>
      <c r="F269" t="s">
        <v>258</v>
      </c>
      <c r="G269" t="s">
        <v>260</v>
      </c>
      <c r="H269">
        <v>8977234</v>
      </c>
      <c r="I269" t="s">
        <v>70</v>
      </c>
      <c r="J269" t="s">
        <v>71</v>
      </c>
      <c r="K269" t="str">
        <f t="shared" si="19"/>
        <v>RYAN CALTAGIRONE</v>
      </c>
      <c r="L269" s="1">
        <v>45716</v>
      </c>
      <c r="M269" s="1">
        <v>46019</v>
      </c>
      <c r="N269">
        <f t="shared" si="18"/>
        <v>10</v>
      </c>
      <c r="O269" t="s">
        <v>316</v>
      </c>
      <c r="P269" t="s">
        <v>727</v>
      </c>
      <c r="Q269" s="2">
        <v>139</v>
      </c>
      <c r="R269" t="s">
        <v>58</v>
      </c>
      <c r="S269" s="3">
        <v>0.38</v>
      </c>
      <c r="T269" t="s">
        <v>60</v>
      </c>
      <c r="U269" t="s">
        <v>317</v>
      </c>
      <c r="V269" s="2">
        <v>52.82</v>
      </c>
      <c r="W269" t="s">
        <v>260</v>
      </c>
    </row>
    <row r="270" spans="1:23" x14ac:dyDescent="0.25">
      <c r="A270">
        <v>2027348182</v>
      </c>
      <c r="B270" t="s">
        <v>356</v>
      </c>
      <c r="C270" t="s">
        <v>357</v>
      </c>
      <c r="D270" t="str">
        <f t="shared" si="17"/>
        <v>AMY DUARTE</v>
      </c>
      <c r="E270" t="s">
        <v>64</v>
      </c>
      <c r="F270" t="s">
        <v>160</v>
      </c>
      <c r="G270" t="s">
        <v>180</v>
      </c>
      <c r="H270">
        <v>8977234</v>
      </c>
      <c r="I270" t="s">
        <v>70</v>
      </c>
      <c r="J270" t="s">
        <v>71</v>
      </c>
      <c r="K270" t="str">
        <f t="shared" si="19"/>
        <v>RYAN CALTAGIRONE</v>
      </c>
      <c r="L270" s="1">
        <v>45716</v>
      </c>
      <c r="M270" s="1">
        <v>46019</v>
      </c>
      <c r="N270">
        <f t="shared" si="18"/>
        <v>10</v>
      </c>
      <c r="O270" t="s">
        <v>316</v>
      </c>
      <c r="P270" t="s">
        <v>727</v>
      </c>
      <c r="Q270" s="2">
        <v>15</v>
      </c>
      <c r="R270" t="s">
        <v>58</v>
      </c>
      <c r="S270" s="3">
        <v>0.38</v>
      </c>
      <c r="T270" t="s">
        <v>60</v>
      </c>
      <c r="U270" t="s">
        <v>317</v>
      </c>
      <c r="V270" s="2">
        <v>5.7</v>
      </c>
      <c r="W270" t="s">
        <v>180</v>
      </c>
    </row>
    <row r="271" spans="1:23" x14ac:dyDescent="0.25">
      <c r="A271">
        <v>2027321380</v>
      </c>
      <c r="B271" t="s">
        <v>492</v>
      </c>
      <c r="C271" t="s">
        <v>493</v>
      </c>
      <c r="D271" t="str">
        <f t="shared" si="17"/>
        <v>EDWINA JENSEN</v>
      </c>
      <c r="E271" t="s">
        <v>64</v>
      </c>
      <c r="F271" t="s">
        <v>196</v>
      </c>
      <c r="G271" t="s">
        <v>197</v>
      </c>
      <c r="H271">
        <v>8977234</v>
      </c>
      <c r="I271" t="s">
        <v>70</v>
      </c>
      <c r="J271" t="s">
        <v>71</v>
      </c>
      <c r="K271" t="str">
        <f t="shared" si="19"/>
        <v>RYAN CALTAGIRONE</v>
      </c>
      <c r="L271" s="1">
        <v>45713</v>
      </c>
      <c r="M271" s="1">
        <v>46016</v>
      </c>
      <c r="N271">
        <f t="shared" si="18"/>
        <v>10</v>
      </c>
      <c r="O271" t="s">
        <v>316</v>
      </c>
      <c r="P271" t="s">
        <v>727</v>
      </c>
      <c r="Q271" s="2">
        <v>27.64</v>
      </c>
      <c r="R271" t="s">
        <v>58</v>
      </c>
      <c r="S271" s="4">
        <v>0.375</v>
      </c>
      <c r="T271" t="s">
        <v>60</v>
      </c>
      <c r="U271" t="s">
        <v>317</v>
      </c>
      <c r="V271" s="2">
        <v>10.36</v>
      </c>
      <c r="W271" t="s">
        <v>197</v>
      </c>
    </row>
    <row r="272" spans="1:23" x14ac:dyDescent="0.25">
      <c r="A272">
        <v>2027343741</v>
      </c>
      <c r="B272" t="s">
        <v>494</v>
      </c>
      <c r="C272" t="s">
        <v>495</v>
      </c>
      <c r="D272" t="str">
        <f t="shared" si="17"/>
        <v>MARIA GONZALEZ</v>
      </c>
      <c r="E272" t="s">
        <v>129</v>
      </c>
      <c r="F272" t="s">
        <v>196</v>
      </c>
      <c r="G272" t="s">
        <v>197</v>
      </c>
      <c r="H272">
        <v>8977234</v>
      </c>
      <c r="I272" t="s">
        <v>70</v>
      </c>
      <c r="J272" t="s">
        <v>71</v>
      </c>
      <c r="K272" t="str">
        <f t="shared" si="19"/>
        <v>RYAN CALTAGIRONE</v>
      </c>
      <c r="L272" s="1">
        <v>45714</v>
      </c>
      <c r="M272" s="1">
        <v>46017</v>
      </c>
      <c r="N272">
        <f t="shared" si="18"/>
        <v>10</v>
      </c>
      <c r="O272" t="s">
        <v>316</v>
      </c>
      <c r="P272" t="s">
        <v>727</v>
      </c>
      <c r="Q272" s="2">
        <v>59.58</v>
      </c>
      <c r="R272" t="s">
        <v>58</v>
      </c>
      <c r="S272" s="4">
        <v>0.375</v>
      </c>
      <c r="T272" t="s">
        <v>60</v>
      </c>
      <c r="U272" t="s">
        <v>317</v>
      </c>
      <c r="V272" s="2">
        <v>22.34</v>
      </c>
      <c r="W272" t="s">
        <v>197</v>
      </c>
    </row>
    <row r="273" spans="1:23" x14ac:dyDescent="0.25">
      <c r="A273">
        <v>2026603256</v>
      </c>
      <c r="B273" t="s">
        <v>84</v>
      </c>
      <c r="C273" t="s">
        <v>216</v>
      </c>
      <c r="D273" t="str">
        <f t="shared" si="17"/>
        <v>CHARLES JR</v>
      </c>
      <c r="E273" t="s">
        <v>52</v>
      </c>
      <c r="F273" t="s">
        <v>196</v>
      </c>
      <c r="G273" t="s">
        <v>197</v>
      </c>
      <c r="H273" t="s">
        <v>729</v>
      </c>
      <c r="I273" t="s">
        <v>485</v>
      </c>
      <c r="J273" t="s">
        <v>486</v>
      </c>
      <c r="K273" t="str">
        <f t="shared" si="19"/>
        <v>DEBORAH INSKIPT</v>
      </c>
      <c r="L273" s="1">
        <v>45673</v>
      </c>
      <c r="M273" s="1">
        <v>46007</v>
      </c>
      <c r="N273">
        <f t="shared" si="18"/>
        <v>11</v>
      </c>
      <c r="O273" t="s">
        <v>316</v>
      </c>
      <c r="P273" t="s">
        <v>727</v>
      </c>
      <c r="Q273" s="2">
        <v>-24.99</v>
      </c>
      <c r="R273" t="s">
        <v>58</v>
      </c>
      <c r="S273" s="4">
        <v>0.375</v>
      </c>
      <c r="T273" t="s">
        <v>60</v>
      </c>
      <c r="U273" t="s">
        <v>317</v>
      </c>
      <c r="V273" s="2">
        <v>-9.3699999999999992</v>
      </c>
      <c r="W273" t="s">
        <v>197</v>
      </c>
    </row>
    <row r="274" spans="1:23" x14ac:dyDescent="0.25">
      <c r="A274">
        <v>2026696631</v>
      </c>
      <c r="B274" t="s">
        <v>487</v>
      </c>
      <c r="C274" t="s">
        <v>488</v>
      </c>
      <c r="D274" t="str">
        <f t="shared" si="17"/>
        <v>CASEY REINIG</v>
      </c>
      <c r="E274" t="s">
        <v>52</v>
      </c>
      <c r="F274" t="s">
        <v>196</v>
      </c>
      <c r="G274" t="s">
        <v>197</v>
      </c>
      <c r="H274" t="s">
        <v>729</v>
      </c>
      <c r="I274" t="s">
        <v>485</v>
      </c>
      <c r="J274" t="s">
        <v>486</v>
      </c>
      <c r="K274" t="str">
        <f t="shared" si="19"/>
        <v>DEBORAH INSKIPT</v>
      </c>
      <c r="L274" s="1">
        <v>45679</v>
      </c>
      <c r="M274" s="1">
        <v>46013</v>
      </c>
      <c r="N274">
        <f t="shared" si="18"/>
        <v>11</v>
      </c>
      <c r="O274" t="s">
        <v>316</v>
      </c>
      <c r="P274" t="s">
        <v>727</v>
      </c>
      <c r="Q274" s="2">
        <v>81.58</v>
      </c>
      <c r="R274" t="s">
        <v>58</v>
      </c>
      <c r="S274" s="4">
        <v>0.375</v>
      </c>
      <c r="T274" t="s">
        <v>60</v>
      </c>
      <c r="U274" t="s">
        <v>317</v>
      </c>
      <c r="V274" s="2">
        <v>30.59</v>
      </c>
      <c r="W274" t="s">
        <v>197</v>
      </c>
    </row>
    <row r="275" spans="1:23" x14ac:dyDescent="0.25">
      <c r="A275">
        <v>2025693148</v>
      </c>
      <c r="B275" t="s">
        <v>343</v>
      </c>
      <c r="C275" t="s">
        <v>344</v>
      </c>
      <c r="D275" t="str">
        <f t="shared" si="17"/>
        <v>REBECCA MILLER</v>
      </c>
      <c r="E275" t="s">
        <v>345</v>
      </c>
      <c r="F275" t="s">
        <v>89</v>
      </c>
      <c r="G275" t="s">
        <v>96</v>
      </c>
      <c r="H275">
        <v>8307933</v>
      </c>
      <c r="I275" t="s">
        <v>331</v>
      </c>
      <c r="J275" t="s">
        <v>332</v>
      </c>
      <c r="K275" t="str">
        <f t="shared" si="19"/>
        <v>GREGORY TEIPEL</v>
      </c>
      <c r="L275" s="1">
        <v>45648</v>
      </c>
      <c r="M275" s="1">
        <v>46013</v>
      </c>
      <c r="N275">
        <f t="shared" si="18"/>
        <v>12</v>
      </c>
      <c r="O275" t="s">
        <v>316</v>
      </c>
      <c r="P275" t="s">
        <v>727</v>
      </c>
      <c r="Q275" s="2">
        <v>226.81</v>
      </c>
      <c r="R275" t="s">
        <v>58</v>
      </c>
      <c r="S275" s="3">
        <v>0.9</v>
      </c>
      <c r="T275" t="s">
        <v>60</v>
      </c>
      <c r="U275" t="s">
        <v>317</v>
      </c>
      <c r="V275" s="2">
        <v>204.13</v>
      </c>
      <c r="W275" t="s">
        <v>722</v>
      </c>
    </row>
    <row r="276" spans="1:23" x14ac:dyDescent="0.25">
      <c r="A276">
        <v>2025816907</v>
      </c>
      <c r="B276" t="s">
        <v>346</v>
      </c>
      <c r="C276" t="s">
        <v>347</v>
      </c>
      <c r="D276" t="str">
        <f t="shared" si="17"/>
        <v>DAPHNIE KLUMPP</v>
      </c>
      <c r="E276" t="s">
        <v>348</v>
      </c>
      <c r="F276" t="s">
        <v>89</v>
      </c>
      <c r="G276" t="s">
        <v>336</v>
      </c>
      <c r="H276">
        <v>8307933</v>
      </c>
      <c r="I276" t="s">
        <v>331</v>
      </c>
      <c r="J276" t="s">
        <v>332</v>
      </c>
      <c r="K276" t="str">
        <f t="shared" si="19"/>
        <v>GREGORY TEIPEL</v>
      </c>
      <c r="L276" s="1">
        <v>45648</v>
      </c>
      <c r="M276" s="1">
        <v>46013</v>
      </c>
      <c r="N276">
        <f t="shared" si="18"/>
        <v>12</v>
      </c>
      <c r="O276" t="s">
        <v>316</v>
      </c>
      <c r="P276" t="s">
        <v>727</v>
      </c>
      <c r="Q276" s="2">
        <v>116.52</v>
      </c>
      <c r="R276" t="s">
        <v>58</v>
      </c>
      <c r="S276" s="3">
        <v>0.75</v>
      </c>
      <c r="T276" t="s">
        <v>60</v>
      </c>
      <c r="U276" t="s">
        <v>317</v>
      </c>
      <c r="V276" s="2">
        <v>87.39</v>
      </c>
      <c r="W276" t="s">
        <v>718</v>
      </c>
    </row>
    <row r="277" spans="1:23" x14ac:dyDescent="0.25">
      <c r="A277">
        <v>2026211393</v>
      </c>
      <c r="B277" t="s">
        <v>689</v>
      </c>
      <c r="C277" t="s">
        <v>690</v>
      </c>
      <c r="D277" t="str">
        <f t="shared" si="17"/>
        <v>CORI SKELLIE</v>
      </c>
      <c r="E277" t="s">
        <v>52</v>
      </c>
      <c r="F277" t="s">
        <v>683</v>
      </c>
      <c r="G277" t="s">
        <v>684</v>
      </c>
      <c r="H277">
        <v>17528908</v>
      </c>
      <c r="I277" t="s">
        <v>485</v>
      </c>
      <c r="J277" t="s">
        <v>486</v>
      </c>
      <c r="K277" t="str">
        <f t="shared" si="19"/>
        <v>DEBORAH INSKIPT</v>
      </c>
      <c r="L277" s="1">
        <v>45644</v>
      </c>
      <c r="M277" s="1">
        <v>46009</v>
      </c>
      <c r="N277">
        <f t="shared" si="18"/>
        <v>12</v>
      </c>
      <c r="O277" t="s">
        <v>316</v>
      </c>
      <c r="P277" t="s">
        <v>727</v>
      </c>
      <c r="Q277" s="2">
        <v>45.54</v>
      </c>
      <c r="R277" t="s">
        <v>58</v>
      </c>
      <c r="S277" s="3">
        <v>0.47</v>
      </c>
      <c r="T277" t="s">
        <v>60</v>
      </c>
      <c r="U277" t="s">
        <v>317</v>
      </c>
      <c r="V277" s="2">
        <v>21.4</v>
      </c>
      <c r="W277" t="s">
        <v>684</v>
      </c>
    </row>
    <row r="278" spans="1:23" x14ac:dyDescent="0.25">
      <c r="A278">
        <v>2026212129</v>
      </c>
      <c r="B278" t="s">
        <v>691</v>
      </c>
      <c r="C278" t="s">
        <v>253</v>
      </c>
      <c r="D278" t="str">
        <f t="shared" si="17"/>
        <v>DAVID SACH</v>
      </c>
      <c r="E278" t="s">
        <v>52</v>
      </c>
      <c r="F278" t="s">
        <v>683</v>
      </c>
      <c r="G278" t="s">
        <v>684</v>
      </c>
      <c r="H278">
        <v>17528908</v>
      </c>
      <c r="I278" t="s">
        <v>485</v>
      </c>
      <c r="J278" t="s">
        <v>486</v>
      </c>
      <c r="K278" t="str">
        <f t="shared" si="19"/>
        <v>DEBORAH INSKIPT</v>
      </c>
      <c r="L278" s="1">
        <v>45644</v>
      </c>
      <c r="M278" s="1">
        <v>46009</v>
      </c>
      <c r="N278">
        <f t="shared" si="18"/>
        <v>12</v>
      </c>
      <c r="O278" t="s">
        <v>316</v>
      </c>
      <c r="P278" t="s">
        <v>727</v>
      </c>
      <c r="Q278" s="2">
        <v>45.54</v>
      </c>
      <c r="R278" t="s">
        <v>58</v>
      </c>
      <c r="S278" s="3">
        <v>0.47</v>
      </c>
      <c r="T278" t="s">
        <v>60</v>
      </c>
      <c r="U278" t="s">
        <v>317</v>
      </c>
      <c r="V278" s="2">
        <v>21.4</v>
      </c>
      <c r="W278" t="s">
        <v>684</v>
      </c>
    </row>
    <row r="279" spans="1:23" x14ac:dyDescent="0.25">
      <c r="A279">
        <v>2023809266</v>
      </c>
      <c r="B279" t="s">
        <v>420</v>
      </c>
      <c r="C279" t="s">
        <v>421</v>
      </c>
      <c r="D279" t="str">
        <f t="shared" si="17"/>
        <v>ANTOINETTE LARSON</v>
      </c>
      <c r="E279" t="s">
        <v>129</v>
      </c>
      <c r="F279" t="s">
        <v>160</v>
      </c>
      <c r="G279" t="s">
        <v>167</v>
      </c>
      <c r="H279">
        <v>8977234</v>
      </c>
      <c r="I279" t="s">
        <v>70</v>
      </c>
      <c r="J279" t="s">
        <v>71</v>
      </c>
      <c r="K279" t="str">
        <f t="shared" si="19"/>
        <v>RYAN CALTAGIRONE</v>
      </c>
      <c r="L279" s="1">
        <v>45653</v>
      </c>
      <c r="M279" s="1">
        <v>46018</v>
      </c>
      <c r="N279">
        <f t="shared" si="18"/>
        <v>12</v>
      </c>
      <c r="O279" t="s">
        <v>316</v>
      </c>
      <c r="P279" t="s">
        <v>727</v>
      </c>
      <c r="Q279" s="2">
        <v>15</v>
      </c>
      <c r="R279" t="s">
        <v>58</v>
      </c>
      <c r="S279" s="3">
        <v>0.28999999999999998</v>
      </c>
      <c r="T279" t="s">
        <v>60</v>
      </c>
      <c r="U279" t="s">
        <v>317</v>
      </c>
      <c r="V279" s="2">
        <v>4.3499999999999996</v>
      </c>
      <c r="W279" t="s">
        <v>723</v>
      </c>
    </row>
    <row r="280" spans="1:23" x14ac:dyDescent="0.25">
      <c r="A280">
        <v>2023809265</v>
      </c>
      <c r="B280" t="s">
        <v>420</v>
      </c>
      <c r="C280" t="s">
        <v>421</v>
      </c>
      <c r="D280" t="str">
        <f t="shared" si="17"/>
        <v>ANTOINETTE LARSON</v>
      </c>
      <c r="E280" t="s">
        <v>129</v>
      </c>
      <c r="F280" t="s">
        <v>311</v>
      </c>
      <c r="G280" t="s">
        <v>677</v>
      </c>
      <c r="H280">
        <v>8977234</v>
      </c>
      <c r="I280" t="s">
        <v>70</v>
      </c>
      <c r="J280" t="s">
        <v>71</v>
      </c>
      <c r="K280" t="str">
        <f t="shared" si="19"/>
        <v>RYAN CALTAGIRONE</v>
      </c>
      <c r="L280" s="1">
        <v>45653</v>
      </c>
      <c r="M280" s="1">
        <v>46018</v>
      </c>
      <c r="N280">
        <f t="shared" si="18"/>
        <v>12</v>
      </c>
      <c r="O280" t="s">
        <v>316</v>
      </c>
      <c r="P280" t="s">
        <v>727</v>
      </c>
      <c r="Q280" s="2">
        <v>252.6</v>
      </c>
      <c r="R280" t="s">
        <v>58</v>
      </c>
      <c r="S280" s="3">
        <v>0.28999999999999998</v>
      </c>
      <c r="T280" t="s">
        <v>60</v>
      </c>
      <c r="U280" t="s">
        <v>317</v>
      </c>
      <c r="V280" s="2">
        <v>73.25</v>
      </c>
      <c r="W280" t="s">
        <v>312</v>
      </c>
    </row>
    <row r="281" spans="1:23" x14ac:dyDescent="0.25">
      <c r="A281">
        <v>2024984937</v>
      </c>
      <c r="B281" t="s">
        <v>573</v>
      </c>
      <c r="C281" t="s">
        <v>278</v>
      </c>
      <c r="D281" t="str">
        <f t="shared" si="17"/>
        <v>KATHRYN COPPLE</v>
      </c>
      <c r="E281" t="s">
        <v>64</v>
      </c>
      <c r="F281" t="s">
        <v>262</v>
      </c>
      <c r="G281" t="s">
        <v>263</v>
      </c>
      <c r="H281">
        <v>8977234</v>
      </c>
      <c r="I281" t="s">
        <v>70</v>
      </c>
      <c r="J281" t="s">
        <v>71</v>
      </c>
      <c r="K281" t="str">
        <f t="shared" si="19"/>
        <v>RYAN CALTAGIRONE</v>
      </c>
      <c r="L281" s="1">
        <v>45575</v>
      </c>
      <c r="M281" s="1">
        <v>46001</v>
      </c>
      <c r="N281">
        <f t="shared" si="18"/>
        <v>14</v>
      </c>
      <c r="O281" t="s">
        <v>316</v>
      </c>
      <c r="P281" t="s">
        <v>727</v>
      </c>
      <c r="Q281" s="2">
        <v>-29.42</v>
      </c>
      <c r="R281" t="s">
        <v>58</v>
      </c>
      <c r="S281" s="3">
        <v>0.15</v>
      </c>
      <c r="T281" t="s">
        <v>316</v>
      </c>
      <c r="U281" t="s">
        <v>317</v>
      </c>
      <c r="V281" s="2">
        <v>-4.41</v>
      </c>
      <c r="W281" t="s">
        <v>263</v>
      </c>
    </row>
    <row r="282" spans="1:23" x14ac:dyDescent="0.25">
      <c r="A282">
        <v>2025404174</v>
      </c>
      <c r="B282" t="s">
        <v>340</v>
      </c>
      <c r="C282" t="s">
        <v>341</v>
      </c>
      <c r="D282" t="str">
        <f t="shared" si="17"/>
        <v>CARL BENNETT</v>
      </c>
      <c r="E282" t="s">
        <v>342</v>
      </c>
      <c r="F282" t="s">
        <v>89</v>
      </c>
      <c r="G282" t="s">
        <v>96</v>
      </c>
      <c r="H282">
        <v>8307933</v>
      </c>
      <c r="I282" t="s">
        <v>331</v>
      </c>
      <c r="J282" t="s">
        <v>332</v>
      </c>
      <c r="K282" t="str">
        <f t="shared" si="19"/>
        <v>GREGORY TEIPEL</v>
      </c>
      <c r="L282" s="1">
        <v>45587</v>
      </c>
      <c r="M282" s="1">
        <v>46013</v>
      </c>
      <c r="N282">
        <f t="shared" si="18"/>
        <v>14</v>
      </c>
      <c r="O282" t="s">
        <v>316</v>
      </c>
      <c r="P282" t="s">
        <v>727</v>
      </c>
      <c r="Q282" s="2">
        <v>253</v>
      </c>
      <c r="R282" t="s">
        <v>58</v>
      </c>
      <c r="S282" s="3">
        <v>0.1</v>
      </c>
      <c r="T282" t="s">
        <v>316</v>
      </c>
      <c r="U282" t="s">
        <v>317</v>
      </c>
      <c r="V282" s="2">
        <v>25.3</v>
      </c>
      <c r="W282" t="s">
        <v>722</v>
      </c>
    </row>
    <row r="283" spans="1:23" x14ac:dyDescent="0.25">
      <c r="A283">
        <v>2025028098</v>
      </c>
      <c r="B283" t="s">
        <v>484</v>
      </c>
      <c r="C283" t="s">
        <v>286</v>
      </c>
      <c r="D283" t="str">
        <f t="shared" si="17"/>
        <v>NANCY GALE</v>
      </c>
      <c r="E283" t="s">
        <v>69</v>
      </c>
      <c r="F283" t="s">
        <v>196</v>
      </c>
      <c r="G283" t="s">
        <v>197</v>
      </c>
      <c r="H283">
        <v>8977234</v>
      </c>
      <c r="I283" t="s">
        <v>70</v>
      </c>
      <c r="J283" t="s">
        <v>71</v>
      </c>
      <c r="K283" t="str">
        <f t="shared" si="19"/>
        <v>RYAN CALTAGIRONE</v>
      </c>
      <c r="L283" s="1">
        <v>45561</v>
      </c>
      <c r="M283" s="1">
        <v>46017</v>
      </c>
      <c r="N283">
        <f t="shared" si="18"/>
        <v>15</v>
      </c>
      <c r="O283" t="s">
        <v>316</v>
      </c>
      <c r="P283" t="s">
        <v>727</v>
      </c>
      <c r="Q283" s="2">
        <v>37.840000000000003</v>
      </c>
      <c r="R283" t="s">
        <v>58</v>
      </c>
      <c r="S283" s="3">
        <v>0.06</v>
      </c>
      <c r="T283" t="s">
        <v>316</v>
      </c>
      <c r="U283" t="s">
        <v>317</v>
      </c>
      <c r="V283" s="2">
        <v>2.27</v>
      </c>
      <c r="W283" t="s">
        <v>197</v>
      </c>
    </row>
    <row r="284" spans="1:23" x14ac:dyDescent="0.25">
      <c r="A284">
        <v>2024569206</v>
      </c>
      <c r="B284" t="s">
        <v>481</v>
      </c>
      <c r="C284" t="s">
        <v>482</v>
      </c>
      <c r="D284" t="str">
        <f t="shared" si="17"/>
        <v>CAROLINA CASILLAS</v>
      </c>
      <c r="E284" t="s">
        <v>483</v>
      </c>
      <c r="F284" t="s">
        <v>262</v>
      </c>
      <c r="G284" t="s">
        <v>263</v>
      </c>
      <c r="H284">
        <v>19278370</v>
      </c>
      <c r="I284" t="s">
        <v>468</v>
      </c>
      <c r="J284" t="s">
        <v>469</v>
      </c>
      <c r="K284" t="str">
        <f t="shared" si="19"/>
        <v>ANNE MARIE KOZACHECK</v>
      </c>
      <c r="L284" s="1">
        <v>45531</v>
      </c>
      <c r="M284" s="1">
        <v>46018</v>
      </c>
      <c r="N284">
        <f t="shared" si="18"/>
        <v>16</v>
      </c>
      <c r="O284" t="s">
        <v>316</v>
      </c>
      <c r="P284" t="s">
        <v>727</v>
      </c>
      <c r="Q284" s="2">
        <v>10.82</v>
      </c>
      <c r="R284" t="s">
        <v>58</v>
      </c>
      <c r="S284" s="3">
        <v>0.15</v>
      </c>
      <c r="T284" t="s">
        <v>316</v>
      </c>
      <c r="U284" t="s">
        <v>317</v>
      </c>
      <c r="V284" s="2">
        <v>1.62</v>
      </c>
      <c r="W284" t="s">
        <v>263</v>
      </c>
    </row>
    <row r="285" spans="1:23" x14ac:dyDescent="0.25">
      <c r="A285">
        <v>2024569205</v>
      </c>
      <c r="B285" t="s">
        <v>481</v>
      </c>
      <c r="C285" t="s">
        <v>482</v>
      </c>
      <c r="D285" t="str">
        <f t="shared" si="17"/>
        <v>CAROLINA CASILLAS</v>
      </c>
      <c r="E285" t="s">
        <v>483</v>
      </c>
      <c r="F285" t="s">
        <v>196</v>
      </c>
      <c r="G285" t="s">
        <v>197</v>
      </c>
      <c r="H285">
        <v>19278370</v>
      </c>
      <c r="I285" t="s">
        <v>468</v>
      </c>
      <c r="J285" t="s">
        <v>469</v>
      </c>
      <c r="K285" t="str">
        <f t="shared" si="19"/>
        <v>ANNE MARIE KOZACHECK</v>
      </c>
      <c r="L285" s="1">
        <v>45531</v>
      </c>
      <c r="M285" s="1">
        <v>46018</v>
      </c>
      <c r="N285">
        <f t="shared" si="18"/>
        <v>16</v>
      </c>
      <c r="O285" t="s">
        <v>316</v>
      </c>
      <c r="P285" t="s">
        <v>727</v>
      </c>
      <c r="Q285" s="2">
        <v>60.87</v>
      </c>
      <c r="R285" t="s">
        <v>58</v>
      </c>
      <c r="S285" s="3">
        <v>0.06</v>
      </c>
      <c r="T285" t="s">
        <v>316</v>
      </c>
      <c r="U285" t="s">
        <v>317</v>
      </c>
      <c r="V285" s="2">
        <v>3.65</v>
      </c>
      <c r="W285" t="s">
        <v>197</v>
      </c>
    </row>
    <row r="286" spans="1:23" x14ac:dyDescent="0.25">
      <c r="A286">
        <v>2023625918</v>
      </c>
      <c r="B286" t="s">
        <v>417</v>
      </c>
      <c r="C286" t="s">
        <v>418</v>
      </c>
      <c r="D286" t="str">
        <f t="shared" si="17"/>
        <v>THERESA KALMAN</v>
      </c>
      <c r="E286" t="s">
        <v>69</v>
      </c>
      <c r="F286" t="s">
        <v>160</v>
      </c>
      <c r="G286" t="s">
        <v>419</v>
      </c>
      <c r="H286">
        <v>8977234</v>
      </c>
      <c r="I286" t="s">
        <v>70</v>
      </c>
      <c r="J286" t="s">
        <v>71</v>
      </c>
      <c r="K286" t="str">
        <f t="shared" si="19"/>
        <v>RYAN CALTAGIRONE</v>
      </c>
      <c r="L286" s="1">
        <v>45466</v>
      </c>
      <c r="M286" s="1">
        <v>46014</v>
      </c>
      <c r="N286">
        <f t="shared" si="18"/>
        <v>18</v>
      </c>
      <c r="O286" t="s">
        <v>316</v>
      </c>
      <c r="P286" t="s">
        <v>727</v>
      </c>
      <c r="Q286" s="2">
        <v>15</v>
      </c>
      <c r="R286" t="s">
        <v>58</v>
      </c>
      <c r="S286" s="3">
        <v>0.19</v>
      </c>
      <c r="T286" t="s">
        <v>316</v>
      </c>
      <c r="U286" t="s">
        <v>317</v>
      </c>
      <c r="V286" s="2">
        <v>2.85</v>
      </c>
      <c r="W286" t="s">
        <v>419</v>
      </c>
    </row>
    <row r="287" spans="1:23" x14ac:dyDescent="0.25">
      <c r="A287">
        <v>2022747853</v>
      </c>
      <c r="B287" t="s">
        <v>305</v>
      </c>
      <c r="C287" t="s">
        <v>286</v>
      </c>
      <c r="D287" t="str">
        <f t="shared" si="17"/>
        <v>NANCY SOLIVAN</v>
      </c>
      <c r="E287" t="s">
        <v>52</v>
      </c>
      <c r="F287" t="s">
        <v>258</v>
      </c>
      <c r="G287" t="s">
        <v>259</v>
      </c>
      <c r="H287">
        <v>18781057</v>
      </c>
      <c r="I287" t="s">
        <v>82</v>
      </c>
      <c r="J287" t="s">
        <v>83</v>
      </c>
      <c r="K287" t="str">
        <f t="shared" si="19"/>
        <v>JOHN ROKEN</v>
      </c>
      <c r="L287" s="1">
        <v>45413</v>
      </c>
      <c r="M287" s="1">
        <v>45992</v>
      </c>
      <c r="N287">
        <f t="shared" si="18"/>
        <v>19</v>
      </c>
      <c r="O287" t="s">
        <v>316</v>
      </c>
      <c r="P287" t="s">
        <v>727</v>
      </c>
      <c r="Q287" s="2">
        <v>61.39</v>
      </c>
      <c r="R287" t="s">
        <v>58</v>
      </c>
      <c r="S287" s="3">
        <v>0.1</v>
      </c>
      <c r="T287" t="s">
        <v>316</v>
      </c>
      <c r="U287" t="s">
        <v>317</v>
      </c>
      <c r="V287" s="2">
        <v>6.14</v>
      </c>
      <c r="W287" t="s">
        <v>259</v>
      </c>
    </row>
    <row r="288" spans="1:23" x14ac:dyDescent="0.25">
      <c r="A288">
        <v>2022747854</v>
      </c>
      <c r="B288" t="s">
        <v>305</v>
      </c>
      <c r="C288" t="s">
        <v>286</v>
      </c>
      <c r="D288" t="str">
        <f t="shared" si="17"/>
        <v>NANCY SOLIVAN</v>
      </c>
      <c r="E288" t="s">
        <v>52</v>
      </c>
      <c r="F288" t="s">
        <v>196</v>
      </c>
      <c r="G288" t="s">
        <v>197</v>
      </c>
      <c r="H288">
        <v>18781057</v>
      </c>
      <c r="I288" t="s">
        <v>82</v>
      </c>
      <c r="J288" t="s">
        <v>83</v>
      </c>
      <c r="K288" t="str">
        <f t="shared" si="19"/>
        <v>JOHN ROKEN</v>
      </c>
      <c r="L288" s="1">
        <v>45413</v>
      </c>
      <c r="M288" s="1">
        <v>45992</v>
      </c>
      <c r="N288">
        <f t="shared" si="18"/>
        <v>19</v>
      </c>
      <c r="O288" t="s">
        <v>316</v>
      </c>
      <c r="P288" t="s">
        <v>727</v>
      </c>
      <c r="Q288" s="2">
        <v>36.11</v>
      </c>
      <c r="R288" t="s">
        <v>58</v>
      </c>
      <c r="S288" s="3">
        <v>0.06</v>
      </c>
      <c r="T288" t="s">
        <v>316</v>
      </c>
      <c r="U288" t="s">
        <v>317</v>
      </c>
      <c r="V288" s="2">
        <v>2.17</v>
      </c>
      <c r="W288" t="s">
        <v>197</v>
      </c>
    </row>
    <row r="289" spans="1:23" x14ac:dyDescent="0.25">
      <c r="A289">
        <v>2022762069</v>
      </c>
      <c r="B289" t="s">
        <v>338</v>
      </c>
      <c r="C289" t="s">
        <v>339</v>
      </c>
      <c r="D289" t="str">
        <f t="shared" si="17"/>
        <v>RICHARD JACKSON</v>
      </c>
      <c r="E289" t="s">
        <v>235</v>
      </c>
      <c r="F289" t="s">
        <v>89</v>
      </c>
      <c r="G289" t="s">
        <v>96</v>
      </c>
      <c r="H289">
        <v>8307933</v>
      </c>
      <c r="I289" t="s">
        <v>331</v>
      </c>
      <c r="J289" t="s">
        <v>332</v>
      </c>
      <c r="K289" t="str">
        <f t="shared" si="19"/>
        <v>GREGORY TEIPEL</v>
      </c>
      <c r="L289" s="1">
        <v>45407</v>
      </c>
      <c r="M289" s="1">
        <v>46016</v>
      </c>
      <c r="N289">
        <f t="shared" si="18"/>
        <v>20</v>
      </c>
      <c r="O289" t="s">
        <v>316</v>
      </c>
      <c r="P289" t="s">
        <v>727</v>
      </c>
      <c r="Q289" s="2">
        <v>178.58</v>
      </c>
      <c r="R289" t="s">
        <v>58</v>
      </c>
      <c r="S289" s="3">
        <v>0.1</v>
      </c>
      <c r="T289" t="s">
        <v>316</v>
      </c>
      <c r="U289" t="s">
        <v>317</v>
      </c>
      <c r="V289" s="2">
        <v>17.86</v>
      </c>
      <c r="W289" t="s">
        <v>722</v>
      </c>
    </row>
    <row r="290" spans="1:23" x14ac:dyDescent="0.25">
      <c r="A290">
        <v>2022085303</v>
      </c>
      <c r="B290" t="s">
        <v>567</v>
      </c>
      <c r="C290" t="s">
        <v>568</v>
      </c>
      <c r="D290" t="str">
        <f t="shared" si="17"/>
        <v>BOBBY GOINS</v>
      </c>
      <c r="E290" t="s">
        <v>129</v>
      </c>
      <c r="F290" t="s">
        <v>262</v>
      </c>
      <c r="G290" t="s">
        <v>263</v>
      </c>
      <c r="H290">
        <v>8977234</v>
      </c>
      <c r="I290" t="s">
        <v>70</v>
      </c>
      <c r="J290" t="s">
        <v>71</v>
      </c>
      <c r="K290" t="str">
        <f t="shared" si="19"/>
        <v>RYAN CALTAGIRONE</v>
      </c>
      <c r="L290" s="1">
        <v>45374</v>
      </c>
      <c r="M290" s="1">
        <v>46014</v>
      </c>
      <c r="N290">
        <f t="shared" si="18"/>
        <v>21</v>
      </c>
      <c r="O290" t="s">
        <v>316</v>
      </c>
      <c r="P290" t="s">
        <v>727</v>
      </c>
      <c r="Q290" s="2">
        <v>159</v>
      </c>
      <c r="R290" t="s">
        <v>58</v>
      </c>
      <c r="S290" s="3">
        <v>0.15</v>
      </c>
      <c r="T290" t="s">
        <v>316</v>
      </c>
      <c r="U290" t="s">
        <v>317</v>
      </c>
      <c r="V290" s="2">
        <v>23.85</v>
      </c>
      <c r="W290" t="s">
        <v>263</v>
      </c>
    </row>
    <row r="291" spans="1:23" x14ac:dyDescent="0.25">
      <c r="A291">
        <v>2022148752</v>
      </c>
      <c r="B291" t="s">
        <v>569</v>
      </c>
      <c r="C291" t="s">
        <v>570</v>
      </c>
      <c r="D291" t="str">
        <f t="shared" si="17"/>
        <v>FELICIA WALLACE</v>
      </c>
      <c r="E291" t="s">
        <v>335</v>
      </c>
      <c r="F291" t="s">
        <v>262</v>
      </c>
      <c r="G291" t="s">
        <v>265</v>
      </c>
      <c r="H291">
        <v>8307933</v>
      </c>
      <c r="I291" t="s">
        <v>331</v>
      </c>
      <c r="J291" t="s">
        <v>332</v>
      </c>
      <c r="K291" t="str">
        <f t="shared" si="19"/>
        <v>GREGORY TEIPEL</v>
      </c>
      <c r="L291" s="1">
        <v>45377</v>
      </c>
      <c r="M291" s="1">
        <v>46017</v>
      </c>
      <c r="N291">
        <f t="shared" si="18"/>
        <v>21</v>
      </c>
      <c r="O291" t="s">
        <v>316</v>
      </c>
      <c r="P291" t="s">
        <v>727</v>
      </c>
      <c r="Q291" s="2">
        <v>51.31</v>
      </c>
      <c r="R291" t="s">
        <v>58</v>
      </c>
      <c r="S291" s="3">
        <v>0.1</v>
      </c>
      <c r="T291" t="s">
        <v>316</v>
      </c>
      <c r="U291" t="s">
        <v>317</v>
      </c>
      <c r="V291" s="2">
        <v>5.13</v>
      </c>
      <c r="W291" t="s">
        <v>265</v>
      </c>
    </row>
    <row r="292" spans="1:23" x14ac:dyDescent="0.25">
      <c r="A292">
        <v>2022400180</v>
      </c>
      <c r="B292" t="s">
        <v>687</v>
      </c>
      <c r="C292" t="s">
        <v>688</v>
      </c>
      <c r="D292" t="str">
        <f t="shared" si="17"/>
        <v>AMIE GEHRON</v>
      </c>
      <c r="E292" t="s">
        <v>52</v>
      </c>
      <c r="F292" t="s">
        <v>683</v>
      </c>
      <c r="G292" t="s">
        <v>684</v>
      </c>
      <c r="H292">
        <v>17528908</v>
      </c>
      <c r="I292" t="s">
        <v>485</v>
      </c>
      <c r="J292" t="s">
        <v>486</v>
      </c>
      <c r="K292" t="str">
        <f t="shared" si="19"/>
        <v>DEBORAH INSKIPT</v>
      </c>
      <c r="L292" s="1">
        <v>45374</v>
      </c>
      <c r="M292" s="1">
        <v>46014</v>
      </c>
      <c r="N292">
        <f t="shared" si="18"/>
        <v>21</v>
      </c>
      <c r="O292" t="s">
        <v>316</v>
      </c>
      <c r="P292" t="s">
        <v>727</v>
      </c>
      <c r="Q292" s="2">
        <v>43.59</v>
      </c>
      <c r="R292" t="s">
        <v>58</v>
      </c>
      <c r="S292" s="4">
        <v>5.2499999999999998E-2</v>
      </c>
      <c r="T292" t="s">
        <v>316</v>
      </c>
      <c r="U292" t="s">
        <v>317</v>
      </c>
      <c r="V292" s="2">
        <v>2.29</v>
      </c>
      <c r="W292" t="s">
        <v>684</v>
      </c>
    </row>
    <row r="293" spans="1:23" x14ac:dyDescent="0.25">
      <c r="A293">
        <v>2021939084</v>
      </c>
      <c r="B293" t="s">
        <v>565</v>
      </c>
      <c r="C293" t="s">
        <v>566</v>
      </c>
      <c r="D293" t="str">
        <f t="shared" si="17"/>
        <v>CORINNE DITTLINGER</v>
      </c>
      <c r="E293" t="s">
        <v>310</v>
      </c>
      <c r="F293" t="s">
        <v>262</v>
      </c>
      <c r="G293" t="s">
        <v>562</v>
      </c>
      <c r="H293">
        <v>8977234</v>
      </c>
      <c r="I293" t="s">
        <v>70</v>
      </c>
      <c r="J293" t="s">
        <v>71</v>
      </c>
      <c r="K293" t="str">
        <f t="shared" si="19"/>
        <v>RYAN CALTAGIRONE</v>
      </c>
      <c r="L293" s="1">
        <v>45346</v>
      </c>
      <c r="M293" s="1">
        <v>46015</v>
      </c>
      <c r="N293">
        <f t="shared" si="18"/>
        <v>22</v>
      </c>
      <c r="O293" t="s">
        <v>316</v>
      </c>
      <c r="P293" t="s">
        <v>727</v>
      </c>
      <c r="Q293" s="2">
        <v>8.3699999999999992</v>
      </c>
      <c r="R293" t="s">
        <v>58</v>
      </c>
      <c r="S293" s="3">
        <v>0.15</v>
      </c>
      <c r="T293" t="s">
        <v>316</v>
      </c>
      <c r="U293" t="s">
        <v>317</v>
      </c>
      <c r="V293" s="2">
        <v>1.26</v>
      </c>
      <c r="W293" t="s">
        <v>562</v>
      </c>
    </row>
    <row r="294" spans="1:23" x14ac:dyDescent="0.25">
      <c r="A294">
        <v>2020392155</v>
      </c>
      <c r="B294" t="s">
        <v>414</v>
      </c>
      <c r="C294" t="s">
        <v>415</v>
      </c>
      <c r="D294" t="str">
        <f t="shared" si="17"/>
        <v>COLIN SLAIS</v>
      </c>
      <c r="E294" t="s">
        <v>129</v>
      </c>
      <c r="F294" t="s">
        <v>311</v>
      </c>
      <c r="G294" t="s">
        <v>677</v>
      </c>
      <c r="H294">
        <v>8977234</v>
      </c>
      <c r="I294" t="s">
        <v>70</v>
      </c>
      <c r="J294" t="s">
        <v>71</v>
      </c>
      <c r="K294" t="str">
        <f t="shared" si="19"/>
        <v>RYAN CALTAGIRONE</v>
      </c>
      <c r="L294" s="1">
        <v>45288</v>
      </c>
      <c r="M294" s="1">
        <v>46017</v>
      </c>
      <c r="N294">
        <f t="shared" si="18"/>
        <v>23</v>
      </c>
      <c r="O294" t="s">
        <v>316</v>
      </c>
      <c r="P294" t="s">
        <v>727</v>
      </c>
      <c r="Q294" s="2">
        <v>584.87</v>
      </c>
      <c r="R294" t="s">
        <v>58</v>
      </c>
      <c r="S294" s="3">
        <v>0.28999999999999998</v>
      </c>
      <c r="T294" t="s">
        <v>316</v>
      </c>
      <c r="U294" t="s">
        <v>317</v>
      </c>
      <c r="V294" s="2">
        <v>169.61</v>
      </c>
      <c r="W294" t="s">
        <v>312</v>
      </c>
    </row>
    <row r="295" spans="1:23" x14ac:dyDescent="0.25">
      <c r="A295">
        <v>2021544238</v>
      </c>
      <c r="B295" t="s">
        <v>466</v>
      </c>
      <c r="C295" t="s">
        <v>467</v>
      </c>
      <c r="D295" t="str">
        <f t="shared" si="17"/>
        <v>SUZANNE LEVY</v>
      </c>
      <c r="E295" t="s">
        <v>52</v>
      </c>
      <c r="F295" t="s">
        <v>196</v>
      </c>
      <c r="G295" t="s">
        <v>197</v>
      </c>
      <c r="H295">
        <v>19278370</v>
      </c>
      <c r="I295" t="s">
        <v>468</v>
      </c>
      <c r="J295" t="s">
        <v>469</v>
      </c>
      <c r="K295" t="str">
        <f t="shared" si="19"/>
        <v>ANNE MARIE KOZACHECK</v>
      </c>
      <c r="L295" s="1">
        <v>45317</v>
      </c>
      <c r="M295" s="1">
        <v>46017</v>
      </c>
      <c r="N295">
        <f t="shared" si="18"/>
        <v>23</v>
      </c>
      <c r="O295" t="s">
        <v>316</v>
      </c>
      <c r="P295" t="s">
        <v>727</v>
      </c>
      <c r="Q295" s="2">
        <v>39.979999999999997</v>
      </c>
      <c r="R295" t="s">
        <v>58</v>
      </c>
      <c r="S295" s="3">
        <v>0.06</v>
      </c>
      <c r="T295" t="s">
        <v>316</v>
      </c>
      <c r="U295" t="s">
        <v>317</v>
      </c>
      <c r="V295" s="2">
        <v>2.4</v>
      </c>
      <c r="W295" t="s">
        <v>197</v>
      </c>
    </row>
    <row r="296" spans="1:23" x14ac:dyDescent="0.25">
      <c r="A296">
        <v>2020392187</v>
      </c>
      <c r="B296" t="s">
        <v>414</v>
      </c>
      <c r="C296" t="s">
        <v>415</v>
      </c>
      <c r="D296" t="str">
        <f t="shared" si="17"/>
        <v>COLIN SLAIS</v>
      </c>
      <c r="E296" t="s">
        <v>129</v>
      </c>
      <c r="F296" t="s">
        <v>160</v>
      </c>
      <c r="G296" t="s">
        <v>167</v>
      </c>
      <c r="H296">
        <v>8977234</v>
      </c>
      <c r="I296" t="s">
        <v>70</v>
      </c>
      <c r="J296" t="s">
        <v>71</v>
      </c>
      <c r="K296" t="str">
        <f t="shared" si="19"/>
        <v>RYAN CALTAGIRONE</v>
      </c>
      <c r="L296" s="1">
        <v>45288</v>
      </c>
      <c r="M296" s="1">
        <v>46019</v>
      </c>
      <c r="N296">
        <f t="shared" si="18"/>
        <v>24</v>
      </c>
      <c r="O296" t="s">
        <v>316</v>
      </c>
      <c r="P296" t="s">
        <v>727</v>
      </c>
      <c r="Q296" s="2">
        <v>15</v>
      </c>
      <c r="R296" t="s">
        <v>58</v>
      </c>
      <c r="S296" s="3">
        <v>0.28999999999999998</v>
      </c>
      <c r="T296" t="s">
        <v>316</v>
      </c>
      <c r="U296" t="s">
        <v>317</v>
      </c>
      <c r="V296" s="2">
        <v>4.3499999999999996</v>
      </c>
      <c r="W296" t="s">
        <v>723</v>
      </c>
    </row>
    <row r="297" spans="1:23" x14ac:dyDescent="0.25">
      <c r="A297">
        <v>2020461027</v>
      </c>
      <c r="B297" t="s">
        <v>416</v>
      </c>
      <c r="C297" t="s">
        <v>170</v>
      </c>
      <c r="D297" t="str">
        <f t="shared" si="17"/>
        <v>TIMOTHY WASSELL</v>
      </c>
      <c r="E297" t="s">
        <v>166</v>
      </c>
      <c r="F297" t="s">
        <v>160</v>
      </c>
      <c r="G297" t="s">
        <v>167</v>
      </c>
      <c r="H297">
        <v>8977234</v>
      </c>
      <c r="I297" t="s">
        <v>70</v>
      </c>
      <c r="J297" t="s">
        <v>71</v>
      </c>
      <c r="K297" t="str">
        <f t="shared" si="19"/>
        <v>RYAN CALTAGIRONE</v>
      </c>
      <c r="L297" s="1">
        <v>45284</v>
      </c>
      <c r="M297" s="1">
        <v>46015</v>
      </c>
      <c r="N297">
        <f t="shared" si="18"/>
        <v>24</v>
      </c>
      <c r="O297" t="s">
        <v>316</v>
      </c>
      <c r="P297" t="s">
        <v>727</v>
      </c>
      <c r="Q297" s="2">
        <v>15</v>
      </c>
      <c r="R297" t="s">
        <v>58</v>
      </c>
      <c r="S297" s="3">
        <v>0.28999999999999998</v>
      </c>
      <c r="T297" t="s">
        <v>316</v>
      </c>
      <c r="U297" t="s">
        <v>317</v>
      </c>
      <c r="V297" s="2">
        <v>4.3499999999999996</v>
      </c>
      <c r="W297" t="s">
        <v>723</v>
      </c>
    </row>
    <row r="298" spans="1:23" x14ac:dyDescent="0.25">
      <c r="A298">
        <v>2020461026</v>
      </c>
      <c r="B298" t="s">
        <v>416</v>
      </c>
      <c r="C298" t="s">
        <v>170</v>
      </c>
      <c r="D298" t="str">
        <f t="shared" si="17"/>
        <v>TIMOTHY WASSELL</v>
      </c>
      <c r="E298" t="s">
        <v>166</v>
      </c>
      <c r="F298" t="s">
        <v>311</v>
      </c>
      <c r="G298" t="s">
        <v>677</v>
      </c>
      <c r="H298">
        <v>8977234</v>
      </c>
      <c r="I298" t="s">
        <v>70</v>
      </c>
      <c r="J298" t="s">
        <v>71</v>
      </c>
      <c r="K298" t="str">
        <f t="shared" si="19"/>
        <v>RYAN CALTAGIRONE</v>
      </c>
      <c r="L298" s="1">
        <v>45284</v>
      </c>
      <c r="M298" s="1">
        <v>46015</v>
      </c>
      <c r="N298">
        <f t="shared" si="18"/>
        <v>24</v>
      </c>
      <c r="O298" t="s">
        <v>316</v>
      </c>
      <c r="P298" t="s">
        <v>727</v>
      </c>
      <c r="Q298" s="2">
        <v>263.83</v>
      </c>
      <c r="R298" t="s">
        <v>58</v>
      </c>
      <c r="S298" s="3">
        <v>0.28999999999999998</v>
      </c>
      <c r="T298" t="s">
        <v>316</v>
      </c>
      <c r="U298" t="s">
        <v>317</v>
      </c>
      <c r="V298" s="2">
        <v>76.510000000000005</v>
      </c>
      <c r="W298" t="s">
        <v>312</v>
      </c>
    </row>
    <row r="299" spans="1:23" x14ac:dyDescent="0.25">
      <c r="A299">
        <v>2020850122</v>
      </c>
      <c r="B299" t="s">
        <v>685</v>
      </c>
      <c r="C299" t="s">
        <v>83</v>
      </c>
      <c r="D299" t="str">
        <f t="shared" si="17"/>
        <v>JOHN FENGER</v>
      </c>
      <c r="E299" t="s">
        <v>235</v>
      </c>
      <c r="F299" t="s">
        <v>683</v>
      </c>
      <c r="G299" t="s">
        <v>684</v>
      </c>
      <c r="H299">
        <v>15278437</v>
      </c>
      <c r="I299" t="s">
        <v>686</v>
      </c>
      <c r="J299" t="s">
        <v>274</v>
      </c>
      <c r="K299" t="str">
        <f t="shared" si="19"/>
        <v>JASON HOFFMANN</v>
      </c>
      <c r="L299" s="1">
        <v>45251</v>
      </c>
      <c r="M299" s="1">
        <v>46012</v>
      </c>
      <c r="N299">
        <f t="shared" si="18"/>
        <v>25</v>
      </c>
      <c r="O299" t="s">
        <v>316</v>
      </c>
      <c r="P299" t="s">
        <v>727</v>
      </c>
      <c r="Q299" s="2">
        <v>130.83000000000001</v>
      </c>
      <c r="R299" t="s">
        <v>58</v>
      </c>
      <c r="S299" s="4">
        <v>5.2499999999999998E-2</v>
      </c>
      <c r="T299" t="s">
        <v>316</v>
      </c>
      <c r="U299" t="s">
        <v>317</v>
      </c>
      <c r="V299" s="2">
        <v>6.87</v>
      </c>
      <c r="W299" t="s">
        <v>684</v>
      </c>
    </row>
    <row r="300" spans="1:23" x14ac:dyDescent="0.25">
      <c r="A300">
        <v>2019665208</v>
      </c>
      <c r="B300" t="s">
        <v>246</v>
      </c>
      <c r="C300" t="s">
        <v>460</v>
      </c>
      <c r="D300" t="str">
        <f t="shared" si="17"/>
        <v>ALAN CLARK</v>
      </c>
      <c r="E300" t="s">
        <v>310</v>
      </c>
      <c r="F300" t="s">
        <v>262</v>
      </c>
      <c r="G300" t="s">
        <v>562</v>
      </c>
      <c r="H300">
        <v>8977234</v>
      </c>
      <c r="I300" t="s">
        <v>70</v>
      </c>
      <c r="J300" t="s">
        <v>71</v>
      </c>
      <c r="K300" t="str">
        <f t="shared" ref="K300:K331" si="20">CONCATENATE(J300," ",I300)</f>
        <v>RYAN CALTAGIRONE</v>
      </c>
      <c r="L300" s="1">
        <v>45192</v>
      </c>
      <c r="M300" s="1">
        <v>46014</v>
      </c>
      <c r="N300">
        <f t="shared" si="18"/>
        <v>27</v>
      </c>
      <c r="O300" t="s">
        <v>316</v>
      </c>
      <c r="P300" t="s">
        <v>727</v>
      </c>
      <c r="Q300" s="2">
        <v>8.3699999999999992</v>
      </c>
      <c r="R300" t="s">
        <v>58</v>
      </c>
      <c r="S300" s="3">
        <v>0.15</v>
      </c>
      <c r="T300" t="s">
        <v>316</v>
      </c>
      <c r="U300" t="s">
        <v>317</v>
      </c>
      <c r="V300" s="2">
        <v>1.26</v>
      </c>
      <c r="W300" t="s">
        <v>562</v>
      </c>
    </row>
    <row r="301" spans="1:23" x14ac:dyDescent="0.25">
      <c r="A301">
        <v>2019665209</v>
      </c>
      <c r="B301" t="s">
        <v>246</v>
      </c>
      <c r="C301" t="s">
        <v>460</v>
      </c>
      <c r="D301" t="str">
        <f t="shared" si="17"/>
        <v>ALAN CLARK</v>
      </c>
      <c r="E301" t="s">
        <v>310</v>
      </c>
      <c r="F301" t="s">
        <v>262</v>
      </c>
      <c r="G301" t="s">
        <v>263</v>
      </c>
      <c r="H301">
        <v>8977234</v>
      </c>
      <c r="I301" t="s">
        <v>70</v>
      </c>
      <c r="J301" t="s">
        <v>71</v>
      </c>
      <c r="K301" t="str">
        <f t="shared" si="20"/>
        <v>RYAN CALTAGIRONE</v>
      </c>
      <c r="L301" s="1">
        <v>45192</v>
      </c>
      <c r="M301" s="1">
        <v>46014</v>
      </c>
      <c r="N301">
        <f t="shared" si="18"/>
        <v>27</v>
      </c>
      <c r="O301" t="s">
        <v>316</v>
      </c>
      <c r="P301" t="s">
        <v>727</v>
      </c>
      <c r="Q301" s="2">
        <v>62.38</v>
      </c>
      <c r="R301" t="s">
        <v>58</v>
      </c>
      <c r="S301" s="3">
        <v>0.15</v>
      </c>
      <c r="T301" t="s">
        <v>316</v>
      </c>
      <c r="U301" t="s">
        <v>317</v>
      </c>
      <c r="V301" s="2">
        <v>9.36</v>
      </c>
      <c r="W301" t="s">
        <v>263</v>
      </c>
    </row>
    <row r="302" spans="1:23" x14ac:dyDescent="0.25">
      <c r="A302">
        <v>2019665210</v>
      </c>
      <c r="B302" t="s">
        <v>246</v>
      </c>
      <c r="C302" t="s">
        <v>460</v>
      </c>
      <c r="D302" t="str">
        <f t="shared" si="17"/>
        <v>ALAN CLARK</v>
      </c>
      <c r="E302" t="s">
        <v>310</v>
      </c>
      <c r="F302" t="s">
        <v>196</v>
      </c>
      <c r="G302" t="s">
        <v>197</v>
      </c>
      <c r="H302">
        <v>8977234</v>
      </c>
      <c r="I302" t="s">
        <v>70</v>
      </c>
      <c r="J302" t="s">
        <v>71</v>
      </c>
      <c r="K302" t="str">
        <f t="shared" si="20"/>
        <v>RYAN CALTAGIRONE</v>
      </c>
      <c r="L302" s="1">
        <v>45192</v>
      </c>
      <c r="M302" s="1">
        <v>46014</v>
      </c>
      <c r="N302">
        <f t="shared" si="18"/>
        <v>27</v>
      </c>
      <c r="O302" t="s">
        <v>316</v>
      </c>
      <c r="P302" t="s">
        <v>727</v>
      </c>
      <c r="Q302" s="2">
        <v>42.78</v>
      </c>
      <c r="R302" t="s">
        <v>58</v>
      </c>
      <c r="S302" s="3">
        <v>0.06</v>
      </c>
      <c r="T302" t="s">
        <v>316</v>
      </c>
      <c r="U302" t="s">
        <v>317</v>
      </c>
      <c r="V302" s="2">
        <v>2.57</v>
      </c>
      <c r="W302" t="s">
        <v>197</v>
      </c>
    </row>
    <row r="303" spans="1:23" x14ac:dyDescent="0.25">
      <c r="A303">
        <v>2019527580</v>
      </c>
      <c r="B303" t="s">
        <v>563</v>
      </c>
      <c r="C303" t="s">
        <v>564</v>
      </c>
      <c r="D303" t="str">
        <f t="shared" si="17"/>
        <v>LISA CHRISTIANSEN</v>
      </c>
      <c r="E303" t="s">
        <v>208</v>
      </c>
      <c r="F303" t="s">
        <v>262</v>
      </c>
      <c r="G303" t="s">
        <v>265</v>
      </c>
      <c r="H303">
        <v>8977234</v>
      </c>
      <c r="I303" t="s">
        <v>70</v>
      </c>
      <c r="J303" t="s">
        <v>71</v>
      </c>
      <c r="K303" t="str">
        <f t="shared" si="20"/>
        <v>RYAN CALTAGIRONE</v>
      </c>
      <c r="L303" s="1">
        <v>45161</v>
      </c>
      <c r="M303" s="1">
        <v>46014</v>
      </c>
      <c r="N303">
        <f t="shared" si="18"/>
        <v>28</v>
      </c>
      <c r="O303" t="s">
        <v>316</v>
      </c>
      <c r="P303" t="s">
        <v>727</v>
      </c>
      <c r="Q303" s="2">
        <v>99.25</v>
      </c>
      <c r="R303" t="s">
        <v>58</v>
      </c>
      <c r="S303" s="3">
        <v>0.1</v>
      </c>
      <c r="T303" t="s">
        <v>316</v>
      </c>
      <c r="U303" t="s">
        <v>317</v>
      </c>
      <c r="V303" s="2">
        <v>9.92</v>
      </c>
      <c r="W303" t="s">
        <v>265</v>
      </c>
    </row>
    <row r="304" spans="1:23" x14ac:dyDescent="0.25">
      <c r="A304">
        <v>2018582688</v>
      </c>
      <c r="B304" t="s">
        <v>561</v>
      </c>
      <c r="C304" t="s">
        <v>170</v>
      </c>
      <c r="D304" t="str">
        <f t="shared" si="17"/>
        <v>TIMOTHY WOLFZORN</v>
      </c>
      <c r="E304" t="s">
        <v>105</v>
      </c>
      <c r="F304" t="s">
        <v>262</v>
      </c>
      <c r="G304" t="s">
        <v>562</v>
      </c>
      <c r="H304">
        <v>8977234</v>
      </c>
      <c r="I304" t="s">
        <v>70</v>
      </c>
      <c r="J304" t="s">
        <v>71</v>
      </c>
      <c r="K304" t="str">
        <f t="shared" si="20"/>
        <v>RYAN CALTAGIRONE</v>
      </c>
      <c r="L304" s="1">
        <v>45096</v>
      </c>
      <c r="M304" s="1">
        <v>46010</v>
      </c>
      <c r="N304">
        <f t="shared" si="18"/>
        <v>30</v>
      </c>
      <c r="O304" t="s">
        <v>316</v>
      </c>
      <c r="P304" t="s">
        <v>727</v>
      </c>
      <c r="Q304" s="2">
        <v>20.58</v>
      </c>
      <c r="R304" t="s">
        <v>58</v>
      </c>
      <c r="S304" s="3">
        <v>0.15</v>
      </c>
      <c r="T304" t="s">
        <v>316</v>
      </c>
      <c r="U304" t="s">
        <v>317</v>
      </c>
      <c r="V304" s="2">
        <v>3.09</v>
      </c>
      <c r="W304" t="s">
        <v>562</v>
      </c>
    </row>
    <row r="305" spans="1:23" x14ac:dyDescent="0.25">
      <c r="A305">
        <v>2018582687</v>
      </c>
      <c r="B305" t="s">
        <v>561</v>
      </c>
      <c r="C305" t="s">
        <v>170</v>
      </c>
      <c r="D305" t="str">
        <f t="shared" si="17"/>
        <v>TIMOTHY WOLFZORN</v>
      </c>
      <c r="E305" t="s">
        <v>105</v>
      </c>
      <c r="F305" t="s">
        <v>262</v>
      </c>
      <c r="G305" t="s">
        <v>263</v>
      </c>
      <c r="H305">
        <v>8977234</v>
      </c>
      <c r="I305" t="s">
        <v>70</v>
      </c>
      <c r="J305" t="s">
        <v>71</v>
      </c>
      <c r="K305" t="str">
        <f t="shared" si="20"/>
        <v>RYAN CALTAGIRONE</v>
      </c>
      <c r="L305" s="1">
        <v>45096</v>
      </c>
      <c r="M305" s="1">
        <v>46010</v>
      </c>
      <c r="N305">
        <f t="shared" si="18"/>
        <v>30</v>
      </c>
      <c r="O305" t="s">
        <v>316</v>
      </c>
      <c r="P305" t="s">
        <v>727</v>
      </c>
      <c r="Q305" s="2">
        <v>26.92</v>
      </c>
      <c r="R305" t="s">
        <v>58</v>
      </c>
      <c r="S305" s="3">
        <v>0.15</v>
      </c>
      <c r="T305" t="s">
        <v>316</v>
      </c>
      <c r="U305" t="s">
        <v>317</v>
      </c>
      <c r="V305" s="2">
        <v>4.04</v>
      </c>
      <c r="W305" t="s">
        <v>263</v>
      </c>
    </row>
    <row r="306" spans="1:23" x14ac:dyDescent="0.25">
      <c r="A306">
        <v>2018582686</v>
      </c>
      <c r="B306" t="s">
        <v>561</v>
      </c>
      <c r="C306" t="s">
        <v>170</v>
      </c>
      <c r="D306" t="str">
        <f t="shared" si="17"/>
        <v>TIMOTHY WOLFZORN</v>
      </c>
      <c r="E306" t="s">
        <v>105</v>
      </c>
      <c r="F306" t="s">
        <v>683</v>
      </c>
      <c r="G306" t="s">
        <v>684</v>
      </c>
      <c r="H306">
        <v>8977234</v>
      </c>
      <c r="I306" t="s">
        <v>70</v>
      </c>
      <c r="J306" t="s">
        <v>71</v>
      </c>
      <c r="K306" t="str">
        <f t="shared" si="20"/>
        <v>RYAN CALTAGIRONE</v>
      </c>
      <c r="L306" s="1">
        <v>45096</v>
      </c>
      <c r="M306" s="1">
        <v>46010</v>
      </c>
      <c r="N306">
        <f t="shared" si="18"/>
        <v>30</v>
      </c>
      <c r="O306" t="s">
        <v>316</v>
      </c>
      <c r="P306" t="s">
        <v>727</v>
      </c>
      <c r="Q306" s="2">
        <v>95.35</v>
      </c>
      <c r="R306" t="s">
        <v>58</v>
      </c>
      <c r="S306" s="4">
        <v>5.2499999999999998E-2</v>
      </c>
      <c r="T306" t="s">
        <v>316</v>
      </c>
      <c r="U306" t="s">
        <v>317</v>
      </c>
      <c r="V306" s="2">
        <v>5.01</v>
      </c>
      <c r="W306" t="s">
        <v>684</v>
      </c>
    </row>
    <row r="307" spans="1:23" x14ac:dyDescent="0.25">
      <c r="A307">
        <v>2018421687</v>
      </c>
      <c r="B307" t="s">
        <v>682</v>
      </c>
      <c r="C307" t="s">
        <v>141</v>
      </c>
      <c r="D307" t="str">
        <f t="shared" si="17"/>
        <v>ELIZABETH BRIDGES</v>
      </c>
      <c r="E307" t="s">
        <v>105</v>
      </c>
      <c r="F307" t="s">
        <v>683</v>
      </c>
      <c r="G307" t="s">
        <v>684</v>
      </c>
      <c r="H307">
        <v>8977234</v>
      </c>
      <c r="I307" t="s">
        <v>70</v>
      </c>
      <c r="J307" t="s">
        <v>71</v>
      </c>
      <c r="K307" t="str">
        <f t="shared" si="20"/>
        <v>RYAN CALTAGIRONE</v>
      </c>
      <c r="L307" s="1">
        <v>45037</v>
      </c>
      <c r="M307" s="1">
        <v>46012</v>
      </c>
      <c r="N307">
        <f t="shared" si="18"/>
        <v>32</v>
      </c>
      <c r="O307" t="s">
        <v>316</v>
      </c>
      <c r="P307" t="s">
        <v>727</v>
      </c>
      <c r="Q307" s="2">
        <v>113.49</v>
      </c>
      <c r="R307" t="s">
        <v>58</v>
      </c>
      <c r="S307" s="4">
        <v>5.2499999999999998E-2</v>
      </c>
      <c r="T307" t="s">
        <v>316</v>
      </c>
      <c r="U307" t="s">
        <v>317</v>
      </c>
      <c r="V307" s="2">
        <v>5.96</v>
      </c>
      <c r="W307" t="s">
        <v>684</v>
      </c>
    </row>
    <row r="308" spans="1:23" x14ac:dyDescent="0.25">
      <c r="A308">
        <v>2018107017</v>
      </c>
      <c r="B308" t="s">
        <v>558</v>
      </c>
      <c r="C308" t="s">
        <v>559</v>
      </c>
      <c r="D308" t="str">
        <f t="shared" si="17"/>
        <v>HEIDI MAERTENS</v>
      </c>
      <c r="E308" t="s">
        <v>560</v>
      </c>
      <c r="F308" t="s">
        <v>262</v>
      </c>
      <c r="G308" t="s">
        <v>263</v>
      </c>
      <c r="H308">
        <v>8977234</v>
      </c>
      <c r="I308" t="s">
        <v>70</v>
      </c>
      <c r="J308" t="s">
        <v>71</v>
      </c>
      <c r="K308" t="str">
        <f t="shared" si="20"/>
        <v>RYAN CALTAGIRONE</v>
      </c>
      <c r="L308" s="1">
        <v>45012</v>
      </c>
      <c r="M308" s="1">
        <v>46018</v>
      </c>
      <c r="N308">
        <f t="shared" si="18"/>
        <v>33</v>
      </c>
      <c r="O308" t="s">
        <v>316</v>
      </c>
      <c r="P308" t="s">
        <v>727</v>
      </c>
      <c r="Q308" s="2">
        <v>35.369999999999997</v>
      </c>
      <c r="R308" t="s">
        <v>58</v>
      </c>
      <c r="S308" s="3">
        <v>0.15</v>
      </c>
      <c r="T308" t="s">
        <v>316</v>
      </c>
      <c r="U308" t="s">
        <v>317</v>
      </c>
      <c r="V308" s="2">
        <v>5.31</v>
      </c>
      <c r="W308" t="s">
        <v>263</v>
      </c>
    </row>
    <row r="309" spans="1:23" x14ac:dyDescent="0.25">
      <c r="A309">
        <v>2017608417</v>
      </c>
      <c r="B309" t="s">
        <v>338</v>
      </c>
      <c r="C309" t="s">
        <v>242</v>
      </c>
      <c r="D309" t="str">
        <f t="shared" si="17"/>
        <v>ROBERT JACKSON</v>
      </c>
      <c r="E309" t="s">
        <v>345</v>
      </c>
      <c r="F309" t="s">
        <v>262</v>
      </c>
      <c r="G309" t="s">
        <v>265</v>
      </c>
      <c r="H309">
        <v>8307933</v>
      </c>
      <c r="I309" t="s">
        <v>331</v>
      </c>
      <c r="J309" t="s">
        <v>332</v>
      </c>
      <c r="K309" t="str">
        <f t="shared" si="20"/>
        <v>GREGORY TEIPEL</v>
      </c>
      <c r="L309" s="1">
        <v>44983</v>
      </c>
      <c r="M309" s="1">
        <v>46017</v>
      </c>
      <c r="N309">
        <f t="shared" si="18"/>
        <v>34</v>
      </c>
      <c r="O309" t="s">
        <v>316</v>
      </c>
      <c r="P309" t="s">
        <v>727</v>
      </c>
      <c r="Q309" s="2">
        <v>163.25</v>
      </c>
      <c r="R309" t="s">
        <v>58</v>
      </c>
      <c r="S309" s="3">
        <v>0.1</v>
      </c>
      <c r="T309" t="s">
        <v>316</v>
      </c>
      <c r="U309" t="s">
        <v>317</v>
      </c>
      <c r="V309" s="2">
        <v>16.32</v>
      </c>
      <c r="W309" t="s">
        <v>265</v>
      </c>
    </row>
    <row r="310" spans="1:23" x14ac:dyDescent="0.25">
      <c r="A310">
        <v>2017472584</v>
      </c>
      <c r="B310" t="s">
        <v>410</v>
      </c>
      <c r="C310" t="s">
        <v>411</v>
      </c>
      <c r="D310" t="str">
        <f t="shared" si="17"/>
        <v>MARK WILLER</v>
      </c>
      <c r="E310" t="s">
        <v>64</v>
      </c>
      <c r="F310" t="s">
        <v>160</v>
      </c>
      <c r="G310" t="s">
        <v>412</v>
      </c>
      <c r="H310">
        <v>20436896</v>
      </c>
      <c r="I310" t="s">
        <v>70</v>
      </c>
      <c r="J310" t="s">
        <v>413</v>
      </c>
      <c r="K310" t="str">
        <f t="shared" si="20"/>
        <v>KATELENN CALTAGIRONE</v>
      </c>
      <c r="L310" s="1">
        <v>44954</v>
      </c>
      <c r="M310" s="1">
        <v>46019</v>
      </c>
      <c r="N310">
        <f t="shared" si="18"/>
        <v>35</v>
      </c>
      <c r="O310" t="s">
        <v>316</v>
      </c>
      <c r="P310" t="s">
        <v>727</v>
      </c>
      <c r="Q310" s="2">
        <v>15</v>
      </c>
      <c r="R310" t="s">
        <v>58</v>
      </c>
      <c r="S310" s="3">
        <v>0.28999999999999998</v>
      </c>
      <c r="T310" t="s">
        <v>316</v>
      </c>
      <c r="U310" t="s">
        <v>317</v>
      </c>
      <c r="V310" s="2">
        <v>4.3499999999999996</v>
      </c>
      <c r="W310" t="s">
        <v>723</v>
      </c>
    </row>
    <row r="311" spans="1:23" x14ac:dyDescent="0.25">
      <c r="A311">
        <v>2016875098</v>
      </c>
      <c r="B311" t="s">
        <v>555</v>
      </c>
      <c r="C311" t="s">
        <v>556</v>
      </c>
      <c r="D311" t="str">
        <f t="shared" si="17"/>
        <v>PAULA HUBER</v>
      </c>
      <c r="E311" t="s">
        <v>557</v>
      </c>
      <c r="F311" t="s">
        <v>262</v>
      </c>
      <c r="G311" t="s">
        <v>302</v>
      </c>
      <c r="H311">
        <v>9079571</v>
      </c>
      <c r="I311" t="s">
        <v>97</v>
      </c>
      <c r="J311" t="s">
        <v>98</v>
      </c>
      <c r="K311" t="str">
        <f t="shared" si="20"/>
        <v>ADAM RICHTER</v>
      </c>
      <c r="L311" s="1">
        <v>44887</v>
      </c>
      <c r="M311" s="1">
        <v>46013</v>
      </c>
      <c r="N311">
        <f t="shared" si="18"/>
        <v>37</v>
      </c>
      <c r="O311" t="s">
        <v>316</v>
      </c>
      <c r="P311" t="s">
        <v>727</v>
      </c>
      <c r="Q311" s="2">
        <v>93.84</v>
      </c>
      <c r="R311" t="s">
        <v>58</v>
      </c>
      <c r="S311" s="3">
        <v>0.09</v>
      </c>
      <c r="T311" t="s">
        <v>316</v>
      </c>
      <c r="U311" t="s">
        <v>317</v>
      </c>
      <c r="V311" s="2">
        <v>8.4499999999999993</v>
      </c>
      <c r="W311" t="s">
        <v>302</v>
      </c>
    </row>
    <row r="312" spans="1:23" x14ac:dyDescent="0.25">
      <c r="A312">
        <v>2016328594</v>
      </c>
      <c r="B312" t="s">
        <v>328</v>
      </c>
      <c r="C312" t="s">
        <v>329</v>
      </c>
      <c r="D312" t="str">
        <f t="shared" si="17"/>
        <v>STEVEN DIETZ</v>
      </c>
      <c r="E312" t="s">
        <v>330</v>
      </c>
      <c r="F312" t="s">
        <v>89</v>
      </c>
      <c r="G312" t="s">
        <v>96</v>
      </c>
      <c r="H312">
        <v>8307933</v>
      </c>
      <c r="I312" t="s">
        <v>331</v>
      </c>
      <c r="J312" t="s">
        <v>332</v>
      </c>
      <c r="K312" t="str">
        <f t="shared" si="20"/>
        <v>GREGORY TEIPEL</v>
      </c>
      <c r="L312" s="1">
        <v>44829</v>
      </c>
      <c r="M312" s="1">
        <v>46016</v>
      </c>
      <c r="N312">
        <f t="shared" si="18"/>
        <v>39</v>
      </c>
      <c r="O312" t="s">
        <v>316</v>
      </c>
      <c r="P312" t="s">
        <v>727</v>
      </c>
      <c r="Q312" s="2">
        <v>85.84</v>
      </c>
      <c r="R312" t="s">
        <v>58</v>
      </c>
      <c r="S312" s="3">
        <v>0.1</v>
      </c>
      <c r="T312" t="s">
        <v>316</v>
      </c>
      <c r="U312" t="s">
        <v>317</v>
      </c>
      <c r="V312" s="2">
        <v>8.58</v>
      </c>
      <c r="W312" t="s">
        <v>722</v>
      </c>
    </row>
    <row r="313" spans="1:23" x14ac:dyDescent="0.25">
      <c r="A313">
        <v>2016328596</v>
      </c>
      <c r="B313" t="s">
        <v>328</v>
      </c>
      <c r="C313" t="s">
        <v>329</v>
      </c>
      <c r="D313" t="str">
        <f t="shared" si="17"/>
        <v>STEVEN DIETZ</v>
      </c>
      <c r="E313" t="s">
        <v>330</v>
      </c>
      <c r="F313" t="s">
        <v>262</v>
      </c>
      <c r="G313" t="s">
        <v>265</v>
      </c>
      <c r="H313">
        <v>8307933</v>
      </c>
      <c r="I313" t="s">
        <v>331</v>
      </c>
      <c r="J313" t="s">
        <v>332</v>
      </c>
      <c r="K313" t="str">
        <f t="shared" si="20"/>
        <v>GREGORY TEIPEL</v>
      </c>
      <c r="L313" s="1">
        <v>44829</v>
      </c>
      <c r="M313" s="1">
        <v>46016</v>
      </c>
      <c r="N313">
        <f t="shared" si="18"/>
        <v>39</v>
      </c>
      <c r="O313" t="s">
        <v>316</v>
      </c>
      <c r="P313" t="s">
        <v>727</v>
      </c>
      <c r="Q313" s="2">
        <v>32.42</v>
      </c>
      <c r="R313" t="s">
        <v>58</v>
      </c>
      <c r="S313" s="3">
        <v>0.1</v>
      </c>
      <c r="T313" t="s">
        <v>316</v>
      </c>
      <c r="U313" t="s">
        <v>317</v>
      </c>
      <c r="V313" s="2">
        <v>3.24</v>
      </c>
      <c r="W313" t="s">
        <v>265</v>
      </c>
    </row>
    <row r="314" spans="1:23" x14ac:dyDescent="0.25">
      <c r="A314">
        <v>2016328595</v>
      </c>
      <c r="B314" t="s">
        <v>328</v>
      </c>
      <c r="C314" t="s">
        <v>329</v>
      </c>
      <c r="D314" t="str">
        <f t="shared" si="17"/>
        <v>STEVEN DIETZ</v>
      </c>
      <c r="E314" t="s">
        <v>330</v>
      </c>
      <c r="F314" t="s">
        <v>196</v>
      </c>
      <c r="G314" t="s">
        <v>197</v>
      </c>
      <c r="H314">
        <v>8307933</v>
      </c>
      <c r="I314" t="s">
        <v>331</v>
      </c>
      <c r="J314" t="s">
        <v>332</v>
      </c>
      <c r="K314" t="str">
        <f t="shared" si="20"/>
        <v>GREGORY TEIPEL</v>
      </c>
      <c r="L314" s="1">
        <v>44829</v>
      </c>
      <c r="M314" s="1">
        <v>46016</v>
      </c>
      <c r="N314">
        <f t="shared" si="18"/>
        <v>39</v>
      </c>
      <c r="O314" t="s">
        <v>316</v>
      </c>
      <c r="P314" t="s">
        <v>727</v>
      </c>
      <c r="Q314" s="2">
        <v>42.47</v>
      </c>
      <c r="R314" t="s">
        <v>58</v>
      </c>
      <c r="S314" s="3">
        <v>0.06</v>
      </c>
      <c r="T314" t="s">
        <v>316</v>
      </c>
      <c r="U314" t="s">
        <v>317</v>
      </c>
      <c r="V314" s="2">
        <v>2.5499999999999998</v>
      </c>
      <c r="W314" t="s">
        <v>197</v>
      </c>
    </row>
  </sheetData>
  <sortState xmlns:xlrd2="http://schemas.microsoft.com/office/spreadsheetml/2017/richdata2" ref="A2:BA549">
    <sortCondition sortBy="cellColor" ref="A2:A549" dxfId="0"/>
    <sortCondition ref="N2:N5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2162-639A-492F-BE8B-140B0E6042FD}">
  <dimension ref="A1:Y42"/>
  <sheetViews>
    <sheetView tabSelected="1" topLeftCell="H1" workbookViewId="0">
      <selection activeCell="Q21" sqref="Q21"/>
    </sheetView>
  </sheetViews>
  <sheetFormatPr defaultRowHeight="15" x14ac:dyDescent="0.25"/>
  <cols>
    <col min="1" max="1" width="12.85546875" customWidth="1"/>
    <col min="4" max="4" width="16" bestFit="1" customWidth="1"/>
    <col min="8" max="8" width="43" bestFit="1" customWidth="1"/>
    <col min="14" max="14" width="10.85546875" customWidth="1"/>
    <col min="15" max="16" width="13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21</v>
      </c>
      <c r="S1" t="s">
        <v>24</v>
      </c>
      <c r="T1" t="s">
        <v>25</v>
      </c>
      <c r="U1" t="s">
        <v>27</v>
      </c>
      <c r="V1" t="s">
        <v>37</v>
      </c>
      <c r="W1" t="s">
        <v>38</v>
      </c>
      <c r="X1" t="s">
        <v>39</v>
      </c>
    </row>
    <row r="2" spans="1:25" s="5" customFormat="1" x14ac:dyDescent="0.25">
      <c r="A2" s="5">
        <v>2027085369</v>
      </c>
      <c r="B2" s="5" t="s">
        <v>695</v>
      </c>
      <c r="C2" s="5" t="s">
        <v>696</v>
      </c>
      <c r="D2" s="5" t="str">
        <f t="shared" ref="D2:D30" si="0">CONCATENATE(C2, " ",B2)</f>
        <v>JOANNE HRONOPOULOS</v>
      </c>
      <c r="E2" s="5" t="s">
        <v>51</v>
      </c>
      <c r="F2" s="5" t="s">
        <v>64</v>
      </c>
      <c r="G2" s="5" t="s">
        <v>683</v>
      </c>
      <c r="H2" s="5" t="s">
        <v>694</v>
      </c>
      <c r="I2" s="5">
        <v>16912722</v>
      </c>
      <c r="J2" s="5" t="s">
        <v>231</v>
      </c>
      <c r="K2" s="5" t="s">
        <v>232</v>
      </c>
      <c r="L2" s="5" t="str">
        <f t="shared" ref="L2:L30" si="1">CONCATENATE(K2," ",J2)</f>
        <v>ANDREA PETRUNGARO</v>
      </c>
      <c r="M2" s="5" t="s">
        <v>337</v>
      </c>
      <c r="N2" s="6">
        <v>45717</v>
      </c>
      <c r="O2" s="6">
        <v>45985</v>
      </c>
      <c r="P2" s="6">
        <v>45992</v>
      </c>
      <c r="Q2" s="7">
        <v>-149.55000000000001</v>
      </c>
      <c r="R2" s="14">
        <v>0.51</v>
      </c>
      <c r="S2" s="5" t="s">
        <v>60</v>
      </c>
      <c r="T2" s="5" t="s">
        <v>317</v>
      </c>
      <c r="U2" s="7">
        <v>0</v>
      </c>
      <c r="V2" s="7">
        <v>0</v>
      </c>
      <c r="W2" s="7">
        <v>-76.27</v>
      </c>
      <c r="X2" s="7">
        <v>-76.27</v>
      </c>
      <c r="Y2" s="5" t="s">
        <v>693</v>
      </c>
    </row>
    <row r="3" spans="1:25" s="5" customFormat="1" x14ac:dyDescent="0.25">
      <c r="A3" s="5">
        <v>2030197586</v>
      </c>
      <c r="B3" s="5" t="s">
        <v>374</v>
      </c>
      <c r="C3" s="5" t="s">
        <v>420</v>
      </c>
      <c r="D3" s="5" t="str">
        <f t="shared" si="0"/>
        <v>LARSON JEREMY</v>
      </c>
      <c r="E3" s="5" t="s">
        <v>51</v>
      </c>
      <c r="F3" s="5" t="s">
        <v>64</v>
      </c>
      <c r="G3" s="5" t="s">
        <v>262</v>
      </c>
      <c r="H3" s="5" t="s">
        <v>263</v>
      </c>
      <c r="I3" s="5">
        <v>7146581</v>
      </c>
      <c r="J3" s="5" t="s">
        <v>433</v>
      </c>
      <c r="K3" s="5" t="s">
        <v>434</v>
      </c>
      <c r="L3" s="5" t="str">
        <f t="shared" si="1"/>
        <v>Anthony Hunsberger</v>
      </c>
      <c r="M3" s="5" t="s">
        <v>337</v>
      </c>
      <c r="N3" s="6">
        <v>45870</v>
      </c>
      <c r="O3" s="6">
        <v>45985</v>
      </c>
      <c r="P3" s="6">
        <v>45992</v>
      </c>
      <c r="Q3" s="7">
        <v>-4.22</v>
      </c>
      <c r="R3" s="14">
        <v>0.7</v>
      </c>
      <c r="S3" s="5" t="s">
        <v>60</v>
      </c>
      <c r="T3" s="5" t="s">
        <v>317</v>
      </c>
      <c r="U3" s="7">
        <v>0</v>
      </c>
      <c r="V3" s="7">
        <v>0</v>
      </c>
      <c r="W3" s="7">
        <v>-2.95</v>
      </c>
      <c r="X3" s="7">
        <v>-2.95</v>
      </c>
      <c r="Y3" s="5" t="s">
        <v>263</v>
      </c>
    </row>
    <row r="4" spans="1:25" s="5" customFormat="1" x14ac:dyDescent="0.25">
      <c r="A4" s="5">
        <v>2030197587</v>
      </c>
      <c r="B4" s="5" t="s">
        <v>374</v>
      </c>
      <c r="C4" s="5" t="s">
        <v>420</v>
      </c>
      <c r="D4" s="5" t="str">
        <f t="shared" si="0"/>
        <v>LARSON JEREMY</v>
      </c>
      <c r="E4" s="5" t="s">
        <v>51</v>
      </c>
      <c r="F4" s="5" t="s">
        <v>64</v>
      </c>
      <c r="G4" s="5" t="s">
        <v>196</v>
      </c>
      <c r="H4" s="5" t="s">
        <v>197</v>
      </c>
      <c r="I4" s="5">
        <v>7146581</v>
      </c>
      <c r="J4" s="5" t="s">
        <v>433</v>
      </c>
      <c r="K4" s="5" t="s">
        <v>434</v>
      </c>
      <c r="L4" s="5" t="str">
        <f t="shared" si="1"/>
        <v>Anthony Hunsberger</v>
      </c>
      <c r="M4" s="5" t="s">
        <v>337</v>
      </c>
      <c r="N4" s="6">
        <v>45870</v>
      </c>
      <c r="O4" s="6">
        <v>45985</v>
      </c>
      <c r="P4" s="6">
        <v>45992</v>
      </c>
      <c r="Q4" s="7">
        <v>-28.41</v>
      </c>
      <c r="R4" s="15">
        <v>0.375</v>
      </c>
      <c r="S4" s="5" t="s">
        <v>60</v>
      </c>
      <c r="T4" s="5" t="s">
        <v>317</v>
      </c>
      <c r="U4" s="7">
        <v>0</v>
      </c>
      <c r="V4" s="7">
        <v>0</v>
      </c>
      <c r="W4" s="7">
        <v>-10.65</v>
      </c>
      <c r="X4" s="7">
        <v>-10.65</v>
      </c>
      <c r="Y4" s="5" t="s">
        <v>197</v>
      </c>
    </row>
    <row r="5" spans="1:25" x14ac:dyDescent="0.25">
      <c r="A5">
        <v>2030529302</v>
      </c>
      <c r="B5" t="s">
        <v>645</v>
      </c>
      <c r="C5" t="s">
        <v>646</v>
      </c>
      <c r="D5" t="str">
        <f t="shared" si="0"/>
        <v>RIZO MARJURI</v>
      </c>
      <c r="E5" t="s">
        <v>51</v>
      </c>
      <c r="F5" t="s">
        <v>64</v>
      </c>
      <c r="G5" t="s">
        <v>262</v>
      </c>
      <c r="H5" t="s">
        <v>302</v>
      </c>
      <c r="I5">
        <v>21646325</v>
      </c>
      <c r="J5" t="s">
        <v>647</v>
      </c>
      <c r="K5" t="s">
        <v>648</v>
      </c>
      <c r="L5" t="str">
        <f t="shared" si="1"/>
        <v>Antonia Nevarez</v>
      </c>
      <c r="M5" t="s">
        <v>337</v>
      </c>
      <c r="N5" s="1">
        <v>45901</v>
      </c>
      <c r="O5" s="1">
        <v>45985</v>
      </c>
      <c r="P5" s="1">
        <v>45992</v>
      </c>
      <c r="Q5" s="2">
        <v>-16.11</v>
      </c>
      <c r="R5" s="3">
        <v>0.42</v>
      </c>
      <c r="S5" t="s">
        <v>60</v>
      </c>
      <c r="T5" t="s">
        <v>317</v>
      </c>
      <c r="U5" s="2">
        <v>0</v>
      </c>
      <c r="V5" s="2">
        <v>0</v>
      </c>
      <c r="W5" s="2">
        <v>-6.77</v>
      </c>
      <c r="X5" s="2">
        <v>-6.77</v>
      </c>
      <c r="Y5" t="s">
        <v>302</v>
      </c>
    </row>
    <row r="6" spans="1:25" x14ac:dyDescent="0.25">
      <c r="A6">
        <v>2029995395</v>
      </c>
      <c r="B6" t="s">
        <v>169</v>
      </c>
      <c r="C6" t="s">
        <v>170</v>
      </c>
      <c r="D6" t="str">
        <f t="shared" si="0"/>
        <v>TIMOTHY LOVING</v>
      </c>
      <c r="E6" t="s">
        <v>51</v>
      </c>
      <c r="F6" t="s">
        <v>105</v>
      </c>
      <c r="G6" t="s">
        <v>160</v>
      </c>
      <c r="H6" t="s">
        <v>167</v>
      </c>
      <c r="I6">
        <v>21605264</v>
      </c>
      <c r="J6" t="s">
        <v>171</v>
      </c>
      <c r="K6" t="s">
        <v>172</v>
      </c>
      <c r="L6" t="str">
        <f t="shared" si="1"/>
        <v>Erica Solivan</v>
      </c>
      <c r="M6" t="s">
        <v>337</v>
      </c>
      <c r="N6" s="1">
        <v>45855</v>
      </c>
      <c r="O6" s="1">
        <v>45978</v>
      </c>
      <c r="P6" s="1">
        <v>46008</v>
      </c>
      <c r="Q6" s="2">
        <v>-15</v>
      </c>
      <c r="R6" s="3">
        <v>0.28999999999999998</v>
      </c>
      <c r="S6" t="s">
        <v>60</v>
      </c>
      <c r="T6" t="s">
        <v>317</v>
      </c>
      <c r="U6" s="2">
        <v>0</v>
      </c>
      <c r="V6" s="2">
        <v>0</v>
      </c>
      <c r="W6" s="2">
        <v>-4.3499999999999996</v>
      </c>
      <c r="X6" s="2">
        <v>-4.3499999999999996</v>
      </c>
      <c r="Y6" t="s">
        <v>312</v>
      </c>
    </row>
    <row r="7" spans="1:25" x14ac:dyDescent="0.25">
      <c r="A7">
        <v>2020642765</v>
      </c>
      <c r="B7" t="s">
        <v>333</v>
      </c>
      <c r="C7" t="s">
        <v>334</v>
      </c>
      <c r="D7" t="str">
        <f t="shared" si="0"/>
        <v>PAMELA SOLOMON</v>
      </c>
      <c r="E7" t="s">
        <v>51</v>
      </c>
      <c r="F7" t="s">
        <v>335</v>
      </c>
      <c r="G7" t="s">
        <v>89</v>
      </c>
      <c r="H7" t="s">
        <v>336</v>
      </c>
      <c r="I7">
        <v>8307933</v>
      </c>
      <c r="J7" t="s">
        <v>331</v>
      </c>
      <c r="K7" t="s">
        <v>332</v>
      </c>
      <c r="L7" t="str">
        <f t="shared" si="1"/>
        <v>GREGORY TEIPEL</v>
      </c>
      <c r="M7" t="s">
        <v>337</v>
      </c>
      <c r="N7" s="1">
        <v>45261</v>
      </c>
      <c r="O7" s="1">
        <v>45985</v>
      </c>
      <c r="P7" s="1">
        <v>45992</v>
      </c>
      <c r="Q7" s="2">
        <v>-58.91</v>
      </c>
      <c r="R7" s="3">
        <v>0.1</v>
      </c>
      <c r="S7" t="s">
        <v>316</v>
      </c>
      <c r="T7" t="s">
        <v>317</v>
      </c>
      <c r="U7" s="2">
        <v>0</v>
      </c>
      <c r="V7" s="2">
        <v>0</v>
      </c>
      <c r="W7" s="2">
        <v>-5.89</v>
      </c>
      <c r="X7" s="2">
        <v>-5.89</v>
      </c>
      <c r="Y7" t="s">
        <v>718</v>
      </c>
    </row>
    <row r="8" spans="1:25" x14ac:dyDescent="0.25">
      <c r="A8">
        <v>2025708571</v>
      </c>
      <c r="B8" t="s">
        <v>582</v>
      </c>
      <c r="C8" t="s">
        <v>472</v>
      </c>
      <c r="D8" t="str">
        <f t="shared" si="0"/>
        <v>MICHELLE VOLLAND</v>
      </c>
      <c r="E8" t="s">
        <v>51</v>
      </c>
      <c r="F8" t="s">
        <v>64</v>
      </c>
      <c r="G8" t="s">
        <v>262</v>
      </c>
      <c r="H8" t="s">
        <v>265</v>
      </c>
      <c r="I8">
        <v>8307933</v>
      </c>
      <c r="J8" t="s">
        <v>331</v>
      </c>
      <c r="K8" t="s">
        <v>332</v>
      </c>
      <c r="L8" t="str">
        <f t="shared" si="1"/>
        <v>GREGORY TEIPEL</v>
      </c>
      <c r="M8" t="s">
        <v>337</v>
      </c>
      <c r="N8" s="1">
        <v>45664</v>
      </c>
      <c r="O8" s="1">
        <v>45985</v>
      </c>
      <c r="P8" s="1">
        <v>45998</v>
      </c>
      <c r="Q8" s="2">
        <v>-78.75</v>
      </c>
      <c r="R8" s="3">
        <v>0.9</v>
      </c>
      <c r="S8" t="s">
        <v>60</v>
      </c>
      <c r="T8" t="s">
        <v>317</v>
      </c>
      <c r="U8" s="2">
        <v>0</v>
      </c>
      <c r="V8" s="2">
        <v>0</v>
      </c>
      <c r="W8" s="2">
        <v>-70.88</v>
      </c>
      <c r="X8" s="2">
        <v>-70.88</v>
      </c>
      <c r="Y8" t="s">
        <v>265</v>
      </c>
    </row>
    <row r="9" spans="1:25" x14ac:dyDescent="0.25">
      <c r="A9">
        <v>2020642766</v>
      </c>
      <c r="B9" t="s">
        <v>333</v>
      </c>
      <c r="C9" t="s">
        <v>334</v>
      </c>
      <c r="D9" t="str">
        <f t="shared" si="0"/>
        <v>PAMELA SOLOMON</v>
      </c>
      <c r="E9" t="s">
        <v>51</v>
      </c>
      <c r="F9" t="s">
        <v>335</v>
      </c>
      <c r="G9" t="s">
        <v>262</v>
      </c>
      <c r="H9" t="s">
        <v>265</v>
      </c>
      <c r="I9">
        <v>8307933</v>
      </c>
      <c r="J9" t="s">
        <v>331</v>
      </c>
      <c r="K9" t="s">
        <v>332</v>
      </c>
      <c r="L9" t="str">
        <f t="shared" si="1"/>
        <v>GREGORY TEIPEL</v>
      </c>
      <c r="M9" t="s">
        <v>337</v>
      </c>
      <c r="N9" s="1">
        <v>45261</v>
      </c>
      <c r="O9" s="1">
        <v>45985</v>
      </c>
      <c r="P9" s="1">
        <v>45992</v>
      </c>
      <c r="Q9" s="2">
        <v>-43.01</v>
      </c>
      <c r="R9" s="3">
        <v>0.1</v>
      </c>
      <c r="S9" t="s">
        <v>316</v>
      </c>
      <c r="T9" t="s">
        <v>317</v>
      </c>
      <c r="U9" s="2">
        <v>0</v>
      </c>
      <c r="V9" s="2">
        <v>0</v>
      </c>
      <c r="W9" s="2">
        <v>-4.3</v>
      </c>
      <c r="X9" s="2">
        <v>-4.3</v>
      </c>
      <c r="Y9" t="s">
        <v>265</v>
      </c>
    </row>
    <row r="10" spans="1:25" s="5" customFormat="1" x14ac:dyDescent="0.25">
      <c r="A10" s="5">
        <v>2027038281</v>
      </c>
      <c r="B10" s="5" t="s">
        <v>352</v>
      </c>
      <c r="C10" s="5" t="s">
        <v>353</v>
      </c>
      <c r="D10" s="5" t="str">
        <f t="shared" si="0"/>
        <v>CHERI MORGAN-PRESTON</v>
      </c>
      <c r="E10" s="5" t="s">
        <v>51</v>
      </c>
      <c r="F10" s="5" t="s">
        <v>109</v>
      </c>
      <c r="G10" s="5" t="s">
        <v>89</v>
      </c>
      <c r="H10" s="5" t="s">
        <v>110</v>
      </c>
      <c r="I10" s="5">
        <v>16865615</v>
      </c>
      <c r="J10" s="5" t="s">
        <v>111</v>
      </c>
      <c r="K10" s="5" t="s">
        <v>112</v>
      </c>
      <c r="L10" s="5" t="str">
        <f t="shared" si="1"/>
        <v>Heather Geske</v>
      </c>
      <c r="M10" s="5" t="s">
        <v>337</v>
      </c>
      <c r="N10" s="6">
        <v>45699</v>
      </c>
      <c r="O10" s="6">
        <v>45985</v>
      </c>
      <c r="P10" s="6">
        <v>46002</v>
      </c>
      <c r="Q10" s="7">
        <v>-30.61</v>
      </c>
      <c r="R10" s="14">
        <v>0.65</v>
      </c>
      <c r="S10" s="5" t="s">
        <v>60</v>
      </c>
      <c r="T10" s="5" t="s">
        <v>317</v>
      </c>
      <c r="U10" s="7">
        <v>0</v>
      </c>
      <c r="V10" s="7">
        <v>0</v>
      </c>
      <c r="W10" s="7">
        <v>-19.899999999999999</v>
      </c>
      <c r="X10" s="7">
        <v>-19.899999999999999</v>
      </c>
      <c r="Y10" s="5" t="s">
        <v>719</v>
      </c>
    </row>
    <row r="11" spans="1:25" s="5" customFormat="1" x14ac:dyDescent="0.25">
      <c r="A11" s="5">
        <v>2027038279</v>
      </c>
      <c r="B11" s="5" t="s">
        <v>352</v>
      </c>
      <c r="C11" s="5" t="s">
        <v>353</v>
      </c>
      <c r="D11" s="5" t="str">
        <f t="shared" si="0"/>
        <v>CHERI MORGAN-PRESTON</v>
      </c>
      <c r="E11" s="5" t="s">
        <v>51</v>
      </c>
      <c r="F11" s="5" t="s">
        <v>109</v>
      </c>
      <c r="G11" s="5" t="s">
        <v>258</v>
      </c>
      <c r="H11" s="5" t="s">
        <v>259</v>
      </c>
      <c r="I11" s="5">
        <v>16865615</v>
      </c>
      <c r="J11" s="5" t="s">
        <v>111</v>
      </c>
      <c r="K11" s="5" t="s">
        <v>112</v>
      </c>
      <c r="L11" s="5" t="str">
        <f t="shared" si="1"/>
        <v>Heather Geske</v>
      </c>
      <c r="M11" s="5" t="s">
        <v>337</v>
      </c>
      <c r="N11" s="6">
        <v>45699</v>
      </c>
      <c r="O11" s="6">
        <v>45985</v>
      </c>
      <c r="P11" s="6">
        <v>46002</v>
      </c>
      <c r="Q11" s="7">
        <v>-25.5</v>
      </c>
      <c r="R11" s="14">
        <v>0.38</v>
      </c>
      <c r="S11" s="5" t="s">
        <v>60</v>
      </c>
      <c r="T11" s="5" t="s">
        <v>317</v>
      </c>
      <c r="U11" s="7">
        <v>0</v>
      </c>
      <c r="V11" s="7">
        <v>0</v>
      </c>
      <c r="W11" s="7">
        <v>-9.69</v>
      </c>
      <c r="X11" s="7">
        <v>-9.69</v>
      </c>
      <c r="Y11" s="5" t="s">
        <v>259</v>
      </c>
    </row>
    <row r="12" spans="1:25" s="5" customFormat="1" x14ac:dyDescent="0.25">
      <c r="A12" s="5">
        <v>2027038280</v>
      </c>
      <c r="B12" s="5" t="s">
        <v>352</v>
      </c>
      <c r="C12" s="5" t="s">
        <v>353</v>
      </c>
      <c r="D12" s="5" t="str">
        <f t="shared" si="0"/>
        <v>CHERI MORGAN-PRESTON</v>
      </c>
      <c r="E12" s="5" t="s">
        <v>51</v>
      </c>
      <c r="F12" s="5" t="s">
        <v>109</v>
      </c>
      <c r="G12" s="5" t="s">
        <v>262</v>
      </c>
      <c r="H12" s="5" t="s">
        <v>263</v>
      </c>
      <c r="I12" s="5">
        <v>16865615</v>
      </c>
      <c r="J12" s="5" t="s">
        <v>111</v>
      </c>
      <c r="K12" s="5" t="s">
        <v>112</v>
      </c>
      <c r="L12" s="5" t="str">
        <f t="shared" si="1"/>
        <v>Heather Geske</v>
      </c>
      <c r="M12" s="5" t="s">
        <v>337</v>
      </c>
      <c r="N12" s="6">
        <v>45699</v>
      </c>
      <c r="O12" s="6">
        <v>45985</v>
      </c>
      <c r="P12" s="6">
        <v>46002</v>
      </c>
      <c r="Q12" s="7">
        <v>-5.76</v>
      </c>
      <c r="R12" s="14">
        <v>0.7</v>
      </c>
      <c r="S12" s="5" t="s">
        <v>60</v>
      </c>
      <c r="T12" s="5" t="s">
        <v>317</v>
      </c>
      <c r="U12" s="7">
        <v>0</v>
      </c>
      <c r="V12" s="7">
        <v>0</v>
      </c>
      <c r="W12" s="7">
        <v>-4.03</v>
      </c>
      <c r="X12" s="7">
        <v>-4.03</v>
      </c>
      <c r="Y12" s="5" t="s">
        <v>263</v>
      </c>
    </row>
    <row r="13" spans="1:25" s="5" customFormat="1" x14ac:dyDescent="0.25">
      <c r="A13" s="5">
        <v>2027038282</v>
      </c>
      <c r="B13" s="5" t="s">
        <v>352</v>
      </c>
      <c r="C13" s="5" t="s">
        <v>353</v>
      </c>
      <c r="D13" s="5" t="str">
        <f t="shared" si="0"/>
        <v>CHERI MORGAN-PRESTON</v>
      </c>
      <c r="E13" s="5" t="s">
        <v>51</v>
      </c>
      <c r="F13" s="5" t="s">
        <v>109</v>
      </c>
      <c r="G13" s="5" t="s">
        <v>196</v>
      </c>
      <c r="H13" s="5" t="s">
        <v>197</v>
      </c>
      <c r="I13" s="5">
        <v>16865615</v>
      </c>
      <c r="J13" s="5" t="s">
        <v>111</v>
      </c>
      <c r="K13" s="5" t="s">
        <v>112</v>
      </c>
      <c r="L13" s="5" t="str">
        <f t="shared" si="1"/>
        <v>Heather Geske</v>
      </c>
      <c r="M13" s="5" t="s">
        <v>337</v>
      </c>
      <c r="N13" s="6">
        <v>45699</v>
      </c>
      <c r="O13" s="6">
        <v>45985</v>
      </c>
      <c r="P13" s="6">
        <v>46002</v>
      </c>
      <c r="Q13" s="7">
        <v>-28.75</v>
      </c>
      <c r="R13" s="15">
        <v>0.375</v>
      </c>
      <c r="S13" s="5" t="s">
        <v>60</v>
      </c>
      <c r="T13" s="5" t="s">
        <v>317</v>
      </c>
      <c r="U13" s="7">
        <v>0</v>
      </c>
      <c r="V13" s="7">
        <v>0</v>
      </c>
      <c r="W13" s="7">
        <v>-10.78</v>
      </c>
      <c r="X13" s="7">
        <v>-10.78</v>
      </c>
      <c r="Y13" s="5" t="s">
        <v>197</v>
      </c>
    </row>
    <row r="14" spans="1:25" s="5" customFormat="1" x14ac:dyDescent="0.25">
      <c r="A14" s="5">
        <v>2029617311</v>
      </c>
      <c r="B14" s="5" t="s">
        <v>512</v>
      </c>
      <c r="C14" s="5" t="s">
        <v>513</v>
      </c>
      <c r="D14" s="5" t="str">
        <f t="shared" si="0"/>
        <v>MACK STACY</v>
      </c>
      <c r="E14" s="5" t="s">
        <v>51</v>
      </c>
      <c r="F14" s="5" t="s">
        <v>109</v>
      </c>
      <c r="G14" s="5" t="s">
        <v>196</v>
      </c>
      <c r="H14" s="5" t="s">
        <v>197</v>
      </c>
      <c r="I14" s="5">
        <v>16865615</v>
      </c>
      <c r="J14" s="5" t="s">
        <v>111</v>
      </c>
      <c r="K14" s="5" t="s">
        <v>112</v>
      </c>
      <c r="L14" s="5" t="str">
        <f t="shared" si="1"/>
        <v>Heather Geske</v>
      </c>
      <c r="M14" s="5" t="s">
        <v>337</v>
      </c>
      <c r="N14" s="6">
        <v>45842</v>
      </c>
      <c r="O14" s="6">
        <v>45985</v>
      </c>
      <c r="P14" s="6">
        <v>45995</v>
      </c>
      <c r="Q14" s="7">
        <v>-21.11</v>
      </c>
      <c r="R14" s="15">
        <v>0.375</v>
      </c>
      <c r="S14" s="5" t="s">
        <v>60</v>
      </c>
      <c r="T14" s="5" t="s">
        <v>317</v>
      </c>
      <c r="U14" s="7">
        <v>0</v>
      </c>
      <c r="V14" s="7">
        <v>0</v>
      </c>
      <c r="W14" s="7">
        <v>-7.92</v>
      </c>
      <c r="X14" s="7">
        <v>-7.92</v>
      </c>
      <c r="Y14" s="5" t="s">
        <v>197</v>
      </c>
    </row>
    <row r="15" spans="1:25" s="5" customFormat="1" x14ac:dyDescent="0.25">
      <c r="A15" s="5">
        <v>2029215890</v>
      </c>
      <c r="B15" s="5" t="s">
        <v>621</v>
      </c>
      <c r="C15" s="5" t="s">
        <v>472</v>
      </c>
      <c r="D15" s="5" t="str">
        <f t="shared" si="0"/>
        <v>MICHELLE DAGENAIS</v>
      </c>
      <c r="E15" s="5" t="s">
        <v>51</v>
      </c>
      <c r="F15" s="5" t="s">
        <v>105</v>
      </c>
      <c r="G15" s="5" t="s">
        <v>262</v>
      </c>
      <c r="H15" s="5" t="s">
        <v>263</v>
      </c>
      <c r="I15" s="5">
        <v>18201929</v>
      </c>
      <c r="J15" s="5" t="s">
        <v>106</v>
      </c>
      <c r="K15" s="5" t="s">
        <v>107</v>
      </c>
      <c r="L15" s="5" t="str">
        <f t="shared" si="1"/>
        <v>Jake Shulman</v>
      </c>
      <c r="M15" s="5" t="s">
        <v>337</v>
      </c>
      <c r="N15" s="6">
        <v>45809</v>
      </c>
      <c r="O15" s="6">
        <v>45971</v>
      </c>
      <c r="P15" s="6">
        <v>45992</v>
      </c>
      <c r="Q15" s="7">
        <v>-77.430000000000007</v>
      </c>
      <c r="R15" s="14">
        <v>0.7</v>
      </c>
      <c r="S15" s="5" t="s">
        <v>60</v>
      </c>
      <c r="T15" s="5" t="s">
        <v>317</v>
      </c>
      <c r="U15" s="7">
        <v>0</v>
      </c>
      <c r="V15" s="7">
        <v>0</v>
      </c>
      <c r="W15" s="7">
        <v>-54.2</v>
      </c>
      <c r="X15" s="7">
        <v>-54.2</v>
      </c>
      <c r="Y15" s="5" t="s">
        <v>263</v>
      </c>
    </row>
    <row r="16" spans="1:25" s="5" customFormat="1" x14ac:dyDescent="0.25">
      <c r="A16" s="5">
        <v>2029215890</v>
      </c>
      <c r="B16" s="5" t="s">
        <v>621</v>
      </c>
      <c r="C16" s="5" t="s">
        <v>472</v>
      </c>
      <c r="D16" s="5" t="str">
        <f t="shared" si="0"/>
        <v>MICHELLE DAGENAIS</v>
      </c>
      <c r="E16" s="5" t="s">
        <v>51</v>
      </c>
      <c r="F16" s="5" t="s">
        <v>105</v>
      </c>
      <c r="G16" s="5" t="s">
        <v>262</v>
      </c>
      <c r="H16" s="5" t="s">
        <v>263</v>
      </c>
      <c r="I16" s="5">
        <v>18201929</v>
      </c>
      <c r="J16" s="5" t="s">
        <v>106</v>
      </c>
      <c r="K16" s="5" t="s">
        <v>107</v>
      </c>
      <c r="L16" s="5" t="str">
        <f t="shared" si="1"/>
        <v>Jake Shulman</v>
      </c>
      <c r="M16" s="5" t="s">
        <v>337</v>
      </c>
      <c r="N16" s="6">
        <v>45809</v>
      </c>
      <c r="O16" s="6">
        <v>45971</v>
      </c>
      <c r="P16" s="6">
        <v>45992</v>
      </c>
      <c r="Q16" s="7">
        <v>-77.430000000000007</v>
      </c>
      <c r="R16" s="14">
        <v>0.7</v>
      </c>
      <c r="S16" s="5" t="s">
        <v>60</v>
      </c>
      <c r="T16" s="5" t="s">
        <v>317</v>
      </c>
      <c r="U16" s="7">
        <v>0</v>
      </c>
      <c r="V16" s="7">
        <v>0</v>
      </c>
      <c r="W16" s="7">
        <v>-54.2</v>
      </c>
      <c r="X16" s="7">
        <v>-54.2</v>
      </c>
      <c r="Y16" s="5" t="s">
        <v>263</v>
      </c>
    </row>
    <row r="17" spans="1:25" s="5" customFormat="1" x14ac:dyDescent="0.25">
      <c r="A17" s="5">
        <v>2029215890</v>
      </c>
      <c r="B17" s="5" t="s">
        <v>621</v>
      </c>
      <c r="C17" s="5" t="s">
        <v>472</v>
      </c>
      <c r="D17" s="5" t="str">
        <f t="shared" si="0"/>
        <v>MICHELLE DAGENAIS</v>
      </c>
      <c r="E17" s="5" t="s">
        <v>51</v>
      </c>
      <c r="F17" s="5" t="s">
        <v>105</v>
      </c>
      <c r="G17" s="5" t="s">
        <v>262</v>
      </c>
      <c r="H17" s="5" t="s">
        <v>263</v>
      </c>
      <c r="I17" s="5">
        <v>18201929</v>
      </c>
      <c r="J17" s="5" t="s">
        <v>106</v>
      </c>
      <c r="K17" s="5" t="s">
        <v>107</v>
      </c>
      <c r="L17" s="5" t="str">
        <f t="shared" si="1"/>
        <v>Jake Shulman</v>
      </c>
      <c r="M17" s="5" t="s">
        <v>337</v>
      </c>
      <c r="N17" s="6">
        <v>45809</v>
      </c>
      <c r="O17" s="6">
        <v>45971</v>
      </c>
      <c r="P17" s="6">
        <v>45992</v>
      </c>
      <c r="Q17" s="7">
        <v>-77.430000000000007</v>
      </c>
      <c r="R17" s="14">
        <v>0.7</v>
      </c>
      <c r="S17" s="5" t="s">
        <v>60</v>
      </c>
      <c r="T17" s="5" t="s">
        <v>317</v>
      </c>
      <c r="U17" s="7">
        <v>0</v>
      </c>
      <c r="V17" s="7">
        <v>0</v>
      </c>
      <c r="W17" s="7">
        <v>-54.2</v>
      </c>
      <c r="X17" s="7">
        <v>-54.2</v>
      </c>
      <c r="Y17" s="5" t="s">
        <v>263</v>
      </c>
    </row>
    <row r="18" spans="1:25" s="5" customFormat="1" x14ac:dyDescent="0.25">
      <c r="A18" s="5">
        <v>2029215890</v>
      </c>
      <c r="B18" s="5" t="s">
        <v>621</v>
      </c>
      <c r="C18" s="5" t="s">
        <v>472</v>
      </c>
      <c r="D18" s="5" t="str">
        <f t="shared" si="0"/>
        <v>MICHELLE DAGENAIS</v>
      </c>
      <c r="E18" s="5" t="s">
        <v>51</v>
      </c>
      <c r="F18" s="5" t="s">
        <v>105</v>
      </c>
      <c r="G18" s="5" t="s">
        <v>262</v>
      </c>
      <c r="H18" s="5" t="s">
        <v>263</v>
      </c>
      <c r="I18" s="5">
        <v>18201929</v>
      </c>
      <c r="J18" s="5" t="s">
        <v>106</v>
      </c>
      <c r="K18" s="5" t="s">
        <v>107</v>
      </c>
      <c r="L18" s="5" t="str">
        <f t="shared" si="1"/>
        <v>Jake Shulman</v>
      </c>
      <c r="M18" s="5" t="s">
        <v>337</v>
      </c>
      <c r="N18" s="6">
        <v>45809</v>
      </c>
      <c r="O18" s="6">
        <v>45971</v>
      </c>
      <c r="P18" s="6">
        <v>45992</v>
      </c>
      <c r="Q18" s="7">
        <v>-77.430000000000007</v>
      </c>
      <c r="R18" s="14">
        <v>0.7</v>
      </c>
      <c r="S18" s="5" t="s">
        <v>60</v>
      </c>
      <c r="T18" s="5" t="s">
        <v>317</v>
      </c>
      <c r="U18" s="7">
        <v>0</v>
      </c>
      <c r="V18" s="7">
        <v>0</v>
      </c>
      <c r="W18" s="7">
        <v>-54.2</v>
      </c>
      <c r="X18" s="7">
        <v>-54.2</v>
      </c>
      <c r="Y18" s="5" t="s">
        <v>263</v>
      </c>
    </row>
    <row r="19" spans="1:25" x14ac:dyDescent="0.25">
      <c r="A19">
        <v>2024403626</v>
      </c>
      <c r="B19" t="s">
        <v>422</v>
      </c>
      <c r="C19" t="s">
        <v>423</v>
      </c>
      <c r="D19" t="str">
        <f t="shared" si="0"/>
        <v>JEANETTE PAUL</v>
      </c>
      <c r="E19" t="s">
        <v>51</v>
      </c>
      <c r="F19" t="s">
        <v>424</v>
      </c>
      <c r="G19" t="s">
        <v>160</v>
      </c>
      <c r="H19" t="s">
        <v>161</v>
      </c>
      <c r="I19">
        <v>18781057</v>
      </c>
      <c r="J19" t="s">
        <v>82</v>
      </c>
      <c r="K19" t="s">
        <v>83</v>
      </c>
      <c r="L19" t="str">
        <f t="shared" si="1"/>
        <v>JOHN ROKEN</v>
      </c>
      <c r="M19" t="s">
        <v>337</v>
      </c>
      <c r="N19" s="1">
        <v>45520</v>
      </c>
      <c r="O19" s="1">
        <v>45985</v>
      </c>
      <c r="P19" s="1">
        <v>46007</v>
      </c>
      <c r="Q19" s="2">
        <v>-13.5</v>
      </c>
      <c r="R19" s="3">
        <v>0.1</v>
      </c>
      <c r="S19" t="s">
        <v>316</v>
      </c>
      <c r="T19" t="s">
        <v>317</v>
      </c>
      <c r="U19" s="2">
        <v>0</v>
      </c>
      <c r="V19" s="2">
        <v>0</v>
      </c>
      <c r="W19" s="2">
        <v>-1.35</v>
      </c>
      <c r="X19" s="2">
        <v>-1.35</v>
      </c>
      <c r="Y19" t="s">
        <v>161</v>
      </c>
    </row>
    <row r="20" spans="1:25" x14ac:dyDescent="0.25">
      <c r="A20">
        <v>2024403625</v>
      </c>
      <c r="B20" t="s">
        <v>422</v>
      </c>
      <c r="C20" t="s">
        <v>423</v>
      </c>
      <c r="D20" t="str">
        <f t="shared" si="0"/>
        <v>JEANETTE PAUL</v>
      </c>
      <c r="E20" t="s">
        <v>51</v>
      </c>
      <c r="F20" t="s">
        <v>424</v>
      </c>
      <c r="G20" t="s">
        <v>258</v>
      </c>
      <c r="H20" t="s">
        <v>259</v>
      </c>
      <c r="I20">
        <v>18781057</v>
      </c>
      <c r="J20" t="s">
        <v>82</v>
      </c>
      <c r="K20" t="s">
        <v>83</v>
      </c>
      <c r="L20" t="str">
        <f t="shared" si="1"/>
        <v>JOHN ROKEN</v>
      </c>
      <c r="M20" t="s">
        <v>337</v>
      </c>
      <c r="N20" s="1">
        <v>45520</v>
      </c>
      <c r="O20" s="1">
        <v>45985</v>
      </c>
      <c r="P20" s="1">
        <v>46007</v>
      </c>
      <c r="Q20" s="2">
        <v>-15.61</v>
      </c>
      <c r="R20" s="3">
        <v>0.1</v>
      </c>
      <c r="S20" t="s">
        <v>316</v>
      </c>
      <c r="T20" t="s">
        <v>317</v>
      </c>
      <c r="U20" s="2">
        <v>0</v>
      </c>
      <c r="V20" s="2">
        <v>0</v>
      </c>
      <c r="W20" s="2">
        <v>-1.56</v>
      </c>
      <c r="X20" s="2">
        <v>-1.56</v>
      </c>
      <c r="Y20" t="s">
        <v>259</v>
      </c>
    </row>
    <row r="21" spans="1:25" s="5" customFormat="1" x14ac:dyDescent="0.25">
      <c r="A21" s="5">
        <v>2032071973</v>
      </c>
      <c r="B21" s="5" t="s">
        <v>639</v>
      </c>
      <c r="C21" s="5" t="s">
        <v>676</v>
      </c>
      <c r="D21" s="5" t="str">
        <f t="shared" si="0"/>
        <v>CARLA BENJAMIN</v>
      </c>
      <c r="E21" s="5" t="s">
        <v>51</v>
      </c>
      <c r="F21" s="5" t="s">
        <v>64</v>
      </c>
      <c r="G21" s="5" t="s">
        <v>262</v>
      </c>
      <c r="H21" s="5" t="s">
        <v>263</v>
      </c>
      <c r="I21" s="5">
        <v>20212926</v>
      </c>
      <c r="J21" s="5" t="s">
        <v>539</v>
      </c>
      <c r="K21" s="5" t="s">
        <v>179</v>
      </c>
      <c r="L21" s="5" t="str">
        <f t="shared" si="1"/>
        <v>JOSE TORRES</v>
      </c>
      <c r="M21" s="5" t="s">
        <v>337</v>
      </c>
      <c r="N21" s="6">
        <v>45970</v>
      </c>
      <c r="O21" s="6">
        <v>45978</v>
      </c>
      <c r="P21" s="6">
        <v>46000</v>
      </c>
      <c r="Q21" s="7">
        <v>-58.24</v>
      </c>
      <c r="R21" s="14">
        <v>0.7</v>
      </c>
      <c r="S21" s="5" t="s">
        <v>60</v>
      </c>
      <c r="T21" s="5" t="s">
        <v>317</v>
      </c>
      <c r="U21" s="7">
        <v>0</v>
      </c>
      <c r="V21" s="7">
        <v>0</v>
      </c>
      <c r="W21" s="7">
        <v>-40.770000000000003</v>
      </c>
      <c r="X21" s="7">
        <v>-40.770000000000003</v>
      </c>
      <c r="Y21" s="5" t="s">
        <v>263</v>
      </c>
    </row>
    <row r="22" spans="1:25" s="5" customFormat="1" x14ac:dyDescent="0.25">
      <c r="A22" s="5">
        <v>2032071974</v>
      </c>
      <c r="B22" s="5" t="s">
        <v>639</v>
      </c>
      <c r="C22" s="5" t="s">
        <v>676</v>
      </c>
      <c r="D22" s="5" t="str">
        <f t="shared" si="0"/>
        <v>CARLA BENJAMIN</v>
      </c>
      <c r="E22" s="5" t="s">
        <v>51</v>
      </c>
      <c r="F22" s="5" t="s">
        <v>64</v>
      </c>
      <c r="G22" s="5" t="s">
        <v>262</v>
      </c>
      <c r="H22" s="5" t="s">
        <v>265</v>
      </c>
      <c r="I22" s="5">
        <v>20212926</v>
      </c>
      <c r="J22" s="5" t="s">
        <v>539</v>
      </c>
      <c r="K22" s="5" t="s">
        <v>179</v>
      </c>
      <c r="L22" s="5" t="str">
        <f t="shared" si="1"/>
        <v>JOSE TORRES</v>
      </c>
      <c r="M22" s="5" t="s">
        <v>337</v>
      </c>
      <c r="N22" s="6">
        <v>45970</v>
      </c>
      <c r="O22" s="6">
        <v>45978</v>
      </c>
      <c r="P22" s="6">
        <v>46000</v>
      </c>
      <c r="Q22" s="7">
        <v>-20.75</v>
      </c>
      <c r="R22" s="14">
        <v>0.9</v>
      </c>
      <c r="S22" s="5" t="s">
        <v>60</v>
      </c>
      <c r="T22" s="5" t="s">
        <v>317</v>
      </c>
      <c r="U22" s="7">
        <v>0</v>
      </c>
      <c r="V22" s="7">
        <v>0</v>
      </c>
      <c r="W22" s="7">
        <v>-18.68</v>
      </c>
      <c r="X22" s="7">
        <v>-18.68</v>
      </c>
      <c r="Y22" s="5" t="s">
        <v>265</v>
      </c>
    </row>
    <row r="23" spans="1:25" x14ac:dyDescent="0.25">
      <c r="A23">
        <v>2030552094</v>
      </c>
      <c r="B23" t="s">
        <v>387</v>
      </c>
      <c r="C23" t="s">
        <v>388</v>
      </c>
      <c r="D23" t="str">
        <f t="shared" si="0"/>
        <v>HENDRICKSON JEANA</v>
      </c>
      <c r="E23" t="s">
        <v>51</v>
      </c>
      <c r="F23" t="s">
        <v>219</v>
      </c>
      <c r="G23" t="s">
        <v>89</v>
      </c>
      <c r="H23" t="s">
        <v>336</v>
      </c>
      <c r="I23">
        <v>1706194</v>
      </c>
      <c r="J23" t="s">
        <v>389</v>
      </c>
      <c r="K23" t="s">
        <v>390</v>
      </c>
      <c r="L23" t="str">
        <f t="shared" si="1"/>
        <v>MATTHEW DAUGHERTY</v>
      </c>
      <c r="M23" t="s">
        <v>337</v>
      </c>
      <c r="N23" s="1">
        <v>45901</v>
      </c>
      <c r="O23" s="1">
        <v>45985</v>
      </c>
      <c r="P23" s="1">
        <v>45992</v>
      </c>
      <c r="Q23" s="2">
        <v>-78.7</v>
      </c>
      <c r="R23" s="3">
        <v>0.75</v>
      </c>
      <c r="S23" t="s">
        <v>60</v>
      </c>
      <c r="T23" t="s">
        <v>317</v>
      </c>
      <c r="U23" s="2">
        <v>0</v>
      </c>
      <c r="V23" s="2">
        <v>0</v>
      </c>
      <c r="W23" s="2">
        <v>-59.02</v>
      </c>
      <c r="X23" s="2">
        <v>-59.02</v>
      </c>
      <c r="Y23" t="s">
        <v>718</v>
      </c>
    </row>
    <row r="24" spans="1:25" x14ac:dyDescent="0.25">
      <c r="A24">
        <v>2030552095</v>
      </c>
      <c r="B24" t="s">
        <v>387</v>
      </c>
      <c r="C24" t="s">
        <v>388</v>
      </c>
      <c r="D24" t="str">
        <f t="shared" si="0"/>
        <v>HENDRICKSON JEANA</v>
      </c>
      <c r="E24" t="s">
        <v>51</v>
      </c>
      <c r="F24" t="s">
        <v>219</v>
      </c>
      <c r="G24" t="s">
        <v>262</v>
      </c>
      <c r="H24" t="s">
        <v>263</v>
      </c>
      <c r="I24">
        <v>1706194</v>
      </c>
      <c r="J24" t="s">
        <v>389</v>
      </c>
      <c r="K24" t="s">
        <v>390</v>
      </c>
      <c r="L24" t="str">
        <f t="shared" si="1"/>
        <v>MATTHEW DAUGHERTY</v>
      </c>
      <c r="M24" t="s">
        <v>337</v>
      </c>
      <c r="N24" s="1">
        <v>45901</v>
      </c>
      <c r="O24" s="1">
        <v>45985</v>
      </c>
      <c r="P24" s="1">
        <v>45992</v>
      </c>
      <c r="Q24" s="2">
        <v>-35.479999999999997</v>
      </c>
      <c r="R24" s="3">
        <v>0.7</v>
      </c>
      <c r="S24" t="s">
        <v>60</v>
      </c>
      <c r="T24" t="s">
        <v>317</v>
      </c>
      <c r="U24" s="2">
        <v>0</v>
      </c>
      <c r="V24" s="2">
        <v>0</v>
      </c>
      <c r="W24" s="2">
        <v>-24.84</v>
      </c>
      <c r="X24" s="2">
        <v>-24.84</v>
      </c>
      <c r="Y24" t="s">
        <v>263</v>
      </c>
    </row>
    <row r="25" spans="1:25" s="5" customFormat="1" x14ac:dyDescent="0.25">
      <c r="A25" s="5">
        <v>2025676065</v>
      </c>
      <c r="B25" s="5" t="s">
        <v>580</v>
      </c>
      <c r="C25" s="5" t="s">
        <v>581</v>
      </c>
      <c r="D25" s="5" t="str">
        <f t="shared" si="0"/>
        <v>DEANNA THACKER</v>
      </c>
      <c r="E25" s="5" t="s">
        <v>51</v>
      </c>
      <c r="F25" s="5" t="s">
        <v>64</v>
      </c>
      <c r="G25" s="5" t="s">
        <v>262</v>
      </c>
      <c r="H25" s="5" t="s">
        <v>263</v>
      </c>
      <c r="I25" s="5">
        <v>18828278</v>
      </c>
      <c r="J25" s="5" t="s">
        <v>122</v>
      </c>
      <c r="K25" s="5" t="s">
        <v>123</v>
      </c>
      <c r="L25" s="5" t="str">
        <f t="shared" si="1"/>
        <v>MICHAEL DUNAVANT</v>
      </c>
      <c r="M25" s="5" t="s">
        <v>337</v>
      </c>
      <c r="N25" s="6">
        <v>45658</v>
      </c>
      <c r="O25" s="6">
        <v>45985</v>
      </c>
      <c r="P25" s="6">
        <v>45992</v>
      </c>
      <c r="Q25" s="7">
        <v>-125.67</v>
      </c>
      <c r="R25" s="14">
        <v>0.7</v>
      </c>
      <c r="S25" s="5" t="s">
        <v>60</v>
      </c>
      <c r="T25" s="5" t="s">
        <v>317</v>
      </c>
      <c r="U25" s="7">
        <v>0</v>
      </c>
      <c r="V25" s="7">
        <v>0</v>
      </c>
      <c r="W25" s="7">
        <v>-87.97</v>
      </c>
      <c r="X25" s="7">
        <v>-87.97</v>
      </c>
      <c r="Y25" s="5" t="s">
        <v>263</v>
      </c>
    </row>
    <row r="26" spans="1:25" x14ac:dyDescent="0.25">
      <c r="A26">
        <v>2022371781</v>
      </c>
      <c r="B26" t="s">
        <v>437</v>
      </c>
      <c r="C26" t="s">
        <v>470</v>
      </c>
      <c r="D26" t="str">
        <f t="shared" si="0"/>
        <v>SHAWN MURPHY</v>
      </c>
      <c r="E26" t="s">
        <v>51</v>
      </c>
      <c r="F26" t="s">
        <v>105</v>
      </c>
      <c r="G26" t="s">
        <v>262</v>
      </c>
      <c r="H26" t="s">
        <v>562</v>
      </c>
      <c r="I26">
        <v>8977234</v>
      </c>
      <c r="J26" t="s">
        <v>70</v>
      </c>
      <c r="K26" t="s">
        <v>71</v>
      </c>
      <c r="L26" t="str">
        <f t="shared" si="1"/>
        <v>RYAN CALTAGIRONE</v>
      </c>
      <c r="M26" t="s">
        <v>337</v>
      </c>
      <c r="N26" s="1">
        <v>45383</v>
      </c>
      <c r="O26" s="1">
        <v>45985</v>
      </c>
      <c r="P26" s="1">
        <v>45992</v>
      </c>
      <c r="Q26" s="2">
        <v>-15.44</v>
      </c>
      <c r="R26" s="3">
        <v>0.15</v>
      </c>
      <c r="S26" t="s">
        <v>316</v>
      </c>
      <c r="T26" t="s">
        <v>317</v>
      </c>
      <c r="U26" s="2">
        <v>0</v>
      </c>
      <c r="V26" s="2">
        <v>0</v>
      </c>
      <c r="W26" s="2">
        <v>-2.3199999999999998</v>
      </c>
      <c r="X26" s="2">
        <v>-2.3199999999999998</v>
      </c>
      <c r="Y26" t="s">
        <v>562</v>
      </c>
    </row>
    <row r="27" spans="1:25" x14ac:dyDescent="0.25">
      <c r="A27">
        <v>2030642688</v>
      </c>
      <c r="B27" t="s">
        <v>157</v>
      </c>
      <c r="C27" t="s">
        <v>392</v>
      </c>
      <c r="D27" t="str">
        <f t="shared" si="0"/>
        <v>MARSICO THOMAS</v>
      </c>
      <c r="E27" t="s">
        <v>51</v>
      </c>
      <c r="F27" t="s">
        <v>105</v>
      </c>
      <c r="G27" t="s">
        <v>89</v>
      </c>
      <c r="H27" t="s">
        <v>393</v>
      </c>
      <c r="I27">
        <v>8977234</v>
      </c>
      <c r="J27" t="s">
        <v>70</v>
      </c>
      <c r="K27" t="s">
        <v>71</v>
      </c>
      <c r="L27" t="str">
        <f t="shared" si="1"/>
        <v>RYAN CALTAGIRONE</v>
      </c>
      <c r="M27" t="s">
        <v>337</v>
      </c>
      <c r="N27" s="1">
        <v>45901</v>
      </c>
      <c r="O27" s="1">
        <v>45985</v>
      </c>
      <c r="P27" s="1">
        <v>45992</v>
      </c>
      <c r="Q27" s="2">
        <v>-22.66</v>
      </c>
      <c r="R27" s="3">
        <v>0.75</v>
      </c>
      <c r="S27" t="s">
        <v>60</v>
      </c>
      <c r="T27" t="s">
        <v>317</v>
      </c>
      <c r="U27" s="2">
        <v>0</v>
      </c>
      <c r="V27" s="2">
        <v>0</v>
      </c>
      <c r="W27" s="2">
        <v>-17</v>
      </c>
      <c r="X27" s="2">
        <v>-17</v>
      </c>
      <c r="Y27" t="s">
        <v>718</v>
      </c>
    </row>
    <row r="28" spans="1:25" x14ac:dyDescent="0.25">
      <c r="A28">
        <v>2022371779</v>
      </c>
      <c r="B28" t="s">
        <v>437</v>
      </c>
      <c r="C28" t="s">
        <v>470</v>
      </c>
      <c r="D28" t="str">
        <f t="shared" si="0"/>
        <v>SHAWN MURPHY</v>
      </c>
      <c r="E28" t="s">
        <v>51</v>
      </c>
      <c r="F28" t="s">
        <v>105</v>
      </c>
      <c r="G28" t="s">
        <v>262</v>
      </c>
      <c r="H28" t="s">
        <v>263</v>
      </c>
      <c r="I28">
        <v>8977234</v>
      </c>
      <c r="J28" t="s">
        <v>70</v>
      </c>
      <c r="K28" t="s">
        <v>71</v>
      </c>
      <c r="L28" t="str">
        <f t="shared" si="1"/>
        <v>RYAN CALTAGIRONE</v>
      </c>
      <c r="M28" t="s">
        <v>337</v>
      </c>
      <c r="N28" s="1">
        <v>45383</v>
      </c>
      <c r="O28" s="1">
        <v>45985</v>
      </c>
      <c r="P28" s="1">
        <v>45992</v>
      </c>
      <c r="Q28" s="2">
        <v>-56.22</v>
      </c>
      <c r="R28" s="3">
        <v>0.15</v>
      </c>
      <c r="S28" t="s">
        <v>316</v>
      </c>
      <c r="T28" t="s">
        <v>317</v>
      </c>
      <c r="U28" s="2">
        <v>0</v>
      </c>
      <c r="V28" s="2">
        <v>0</v>
      </c>
      <c r="W28" s="2">
        <v>-8.43</v>
      </c>
      <c r="X28" s="2">
        <v>-8.43</v>
      </c>
      <c r="Y28" t="s">
        <v>263</v>
      </c>
    </row>
    <row r="29" spans="1:25" x14ac:dyDescent="0.25">
      <c r="A29">
        <v>2022371780</v>
      </c>
      <c r="B29" t="s">
        <v>437</v>
      </c>
      <c r="C29" t="s">
        <v>470</v>
      </c>
      <c r="D29" t="str">
        <f t="shared" si="0"/>
        <v>SHAWN MURPHY</v>
      </c>
      <c r="E29" t="s">
        <v>51</v>
      </c>
      <c r="F29" t="s">
        <v>105</v>
      </c>
      <c r="G29" t="s">
        <v>196</v>
      </c>
      <c r="H29" t="s">
        <v>197</v>
      </c>
      <c r="I29">
        <v>8977234</v>
      </c>
      <c r="J29" t="s">
        <v>70</v>
      </c>
      <c r="K29" t="s">
        <v>71</v>
      </c>
      <c r="L29" t="str">
        <f t="shared" si="1"/>
        <v>RYAN CALTAGIRONE</v>
      </c>
      <c r="M29" t="s">
        <v>337</v>
      </c>
      <c r="N29" s="1">
        <v>45383</v>
      </c>
      <c r="O29" s="1">
        <v>45985</v>
      </c>
      <c r="P29" s="1">
        <v>45992</v>
      </c>
      <c r="Q29" s="2">
        <v>-15.36</v>
      </c>
      <c r="R29" s="3">
        <v>0.06</v>
      </c>
      <c r="S29" t="s">
        <v>316</v>
      </c>
      <c r="T29" t="s">
        <v>317</v>
      </c>
      <c r="U29" s="2">
        <v>0</v>
      </c>
      <c r="V29" s="2">
        <v>0</v>
      </c>
      <c r="W29" s="2">
        <v>-0.92</v>
      </c>
      <c r="X29" s="2">
        <v>-0.92</v>
      </c>
      <c r="Y29" t="s">
        <v>197</v>
      </c>
    </row>
    <row r="30" spans="1:25" s="5" customFormat="1" x14ac:dyDescent="0.25">
      <c r="A30" s="5">
        <v>2025167144</v>
      </c>
      <c r="B30" s="5" t="s">
        <v>574</v>
      </c>
      <c r="C30" s="5" t="s">
        <v>575</v>
      </c>
      <c r="D30" s="5" t="str">
        <f t="shared" si="0"/>
        <v>CRISTINA RIVERA</v>
      </c>
      <c r="E30" s="5" t="s">
        <v>51</v>
      </c>
      <c r="F30" s="5" t="s">
        <v>135</v>
      </c>
      <c r="G30" s="5" t="s">
        <v>262</v>
      </c>
      <c r="H30" s="5" t="s">
        <v>263</v>
      </c>
      <c r="I30" s="5">
        <v>371819</v>
      </c>
      <c r="J30" s="5" t="s">
        <v>156</v>
      </c>
      <c r="K30" s="5" t="s">
        <v>157</v>
      </c>
      <c r="L30" s="5" t="str">
        <f t="shared" si="1"/>
        <v>THOMAS PARDUE</v>
      </c>
      <c r="M30" s="5" t="s">
        <v>337</v>
      </c>
      <c r="N30" s="6">
        <v>45581</v>
      </c>
      <c r="O30" s="6">
        <v>45985</v>
      </c>
      <c r="P30" s="6">
        <v>46007</v>
      </c>
      <c r="Q30" s="7">
        <v>-68.61</v>
      </c>
      <c r="R30" s="14">
        <v>0.15</v>
      </c>
      <c r="S30" s="5" t="s">
        <v>316</v>
      </c>
      <c r="T30" s="5" t="s">
        <v>317</v>
      </c>
      <c r="U30" s="7">
        <v>0</v>
      </c>
      <c r="V30" s="7">
        <v>0</v>
      </c>
      <c r="W30" s="7">
        <v>-10.29</v>
      </c>
      <c r="X30" s="7">
        <v>-10.29</v>
      </c>
      <c r="Y30" s="5" t="s">
        <v>263</v>
      </c>
    </row>
    <row r="31" spans="1:25" x14ac:dyDescent="0.25">
      <c r="N31" s="1"/>
      <c r="O31" s="1"/>
      <c r="P31" s="1"/>
      <c r="Q31" s="2"/>
      <c r="R31" s="3"/>
      <c r="U31" s="2"/>
      <c r="V31" s="2"/>
      <c r="W31" s="2"/>
      <c r="X31" s="2"/>
    </row>
    <row r="32" spans="1:25" s="8" customFormat="1" x14ac:dyDescent="0.25">
      <c r="A32" s="8">
        <v>2028992069</v>
      </c>
      <c r="B32" s="8" t="s">
        <v>712</v>
      </c>
      <c r="C32" s="8" t="s">
        <v>186</v>
      </c>
      <c r="E32" s="8" t="s">
        <v>51</v>
      </c>
      <c r="G32" s="8" t="s">
        <v>262</v>
      </c>
      <c r="H32" s="8" t="s">
        <v>263</v>
      </c>
      <c r="I32" s="8">
        <v>753748</v>
      </c>
      <c r="J32" s="8" t="s">
        <v>389</v>
      </c>
      <c r="K32" s="8" t="s">
        <v>390</v>
      </c>
      <c r="M32" s="8" t="s">
        <v>337</v>
      </c>
      <c r="N32" s="9">
        <v>45799</v>
      </c>
      <c r="O32" s="9">
        <v>45985</v>
      </c>
      <c r="Q32" s="10">
        <v>0</v>
      </c>
      <c r="T32" s="8">
        <v>6</v>
      </c>
      <c r="U32" s="10">
        <v>38.01</v>
      </c>
      <c r="V32" s="10">
        <v>0</v>
      </c>
      <c r="W32" s="10">
        <v>38.01</v>
      </c>
      <c r="X32" s="10">
        <v>0</v>
      </c>
    </row>
    <row r="33" spans="1:24" s="8" customFormat="1" x14ac:dyDescent="0.25">
      <c r="A33" s="8">
        <v>2030529302</v>
      </c>
      <c r="B33" s="8" t="s">
        <v>645</v>
      </c>
      <c r="C33" s="8" t="s">
        <v>646</v>
      </c>
      <c r="E33" s="8" t="s">
        <v>51</v>
      </c>
      <c r="G33" s="8" t="s">
        <v>262</v>
      </c>
      <c r="H33" s="8" t="s">
        <v>302</v>
      </c>
      <c r="I33" s="8">
        <v>649163</v>
      </c>
      <c r="J33" s="8" t="s">
        <v>647</v>
      </c>
      <c r="K33" s="8" t="s">
        <v>648</v>
      </c>
      <c r="M33" s="8" t="s">
        <v>337</v>
      </c>
      <c r="N33" s="9">
        <v>45901</v>
      </c>
      <c r="O33" s="9">
        <v>45985</v>
      </c>
      <c r="Q33" s="10">
        <v>0</v>
      </c>
      <c r="T33" s="8">
        <v>3</v>
      </c>
      <c r="U33" s="10">
        <v>135.32</v>
      </c>
      <c r="V33" s="10">
        <v>0</v>
      </c>
      <c r="W33" s="10">
        <v>67.650000000000006</v>
      </c>
      <c r="X33" s="10">
        <v>-67.67</v>
      </c>
    </row>
    <row r="34" spans="1:24" s="8" customFormat="1" x14ac:dyDescent="0.25">
      <c r="A34" s="8">
        <v>2030642688</v>
      </c>
      <c r="B34" s="8" t="s">
        <v>157</v>
      </c>
      <c r="C34" s="8" t="s">
        <v>392</v>
      </c>
      <c r="E34" s="8" t="s">
        <v>51</v>
      </c>
      <c r="G34" s="8" t="s">
        <v>89</v>
      </c>
      <c r="H34" s="8" t="s">
        <v>393</v>
      </c>
      <c r="I34" s="8">
        <v>649163</v>
      </c>
      <c r="J34" s="8" t="s">
        <v>70</v>
      </c>
      <c r="K34" s="8" t="s">
        <v>71</v>
      </c>
      <c r="M34" s="8" t="s">
        <v>337</v>
      </c>
      <c r="N34" s="9">
        <v>45901</v>
      </c>
      <c r="O34" s="9">
        <v>45985</v>
      </c>
      <c r="Q34" s="10">
        <v>0</v>
      </c>
      <c r="T34" s="8">
        <v>3</v>
      </c>
      <c r="U34" s="10">
        <v>235.35</v>
      </c>
      <c r="V34" s="10">
        <v>0</v>
      </c>
      <c r="W34" s="10">
        <v>117.67</v>
      </c>
      <c r="X34" s="10">
        <v>-117.68</v>
      </c>
    </row>
    <row r="35" spans="1:24" s="11" customFormat="1" x14ac:dyDescent="0.25">
      <c r="A35" s="11">
        <v>2029617311</v>
      </c>
      <c r="B35" s="11" t="s">
        <v>512</v>
      </c>
      <c r="C35" s="11" t="s">
        <v>513</v>
      </c>
      <c r="E35" s="11" t="s">
        <v>51</v>
      </c>
      <c r="G35" s="11" t="s">
        <v>196</v>
      </c>
      <c r="H35" s="11" t="s">
        <v>197</v>
      </c>
      <c r="I35" s="11">
        <v>649163</v>
      </c>
      <c r="J35" s="11" t="s">
        <v>111</v>
      </c>
      <c r="K35" s="11" t="s">
        <v>112</v>
      </c>
      <c r="M35" s="11" t="s">
        <v>337</v>
      </c>
      <c r="N35" s="12">
        <v>45842</v>
      </c>
      <c r="O35" s="12">
        <v>45985</v>
      </c>
      <c r="Q35" s="13">
        <v>0</v>
      </c>
      <c r="T35" s="11">
        <v>5</v>
      </c>
      <c r="U35" s="13">
        <v>89.08</v>
      </c>
      <c r="V35" s="13">
        <v>0</v>
      </c>
      <c r="W35" s="13">
        <v>74.239999999999995</v>
      </c>
      <c r="X35" s="13">
        <v>-14.84</v>
      </c>
    </row>
    <row r="36" spans="1:24" s="8" customFormat="1" x14ac:dyDescent="0.25">
      <c r="A36" s="8">
        <v>2030091895</v>
      </c>
      <c r="B36" s="8" t="s">
        <v>715</v>
      </c>
      <c r="C36" s="8" t="s">
        <v>607</v>
      </c>
      <c r="E36" s="8" t="s">
        <v>51</v>
      </c>
      <c r="G36" s="8" t="s">
        <v>196</v>
      </c>
      <c r="H36" s="8" t="s">
        <v>197</v>
      </c>
      <c r="I36" s="8">
        <v>673059</v>
      </c>
      <c r="J36" s="8" t="s">
        <v>70</v>
      </c>
      <c r="K36" s="8" t="s">
        <v>71</v>
      </c>
      <c r="M36" s="8" t="s">
        <v>337</v>
      </c>
      <c r="N36" s="9">
        <v>45861</v>
      </c>
      <c r="O36" s="9">
        <v>45985</v>
      </c>
      <c r="Q36" s="10">
        <v>0</v>
      </c>
      <c r="T36" s="8">
        <f>65.88/21.96</f>
        <v>2.9999999999999996</v>
      </c>
      <c r="U36" s="10">
        <v>131.76</v>
      </c>
      <c r="V36" s="10">
        <v>0</v>
      </c>
      <c r="W36" s="10">
        <v>65.88</v>
      </c>
      <c r="X36" s="10">
        <v>-65.88</v>
      </c>
    </row>
    <row r="37" spans="1:24" s="8" customFormat="1" x14ac:dyDescent="0.25">
      <c r="A37" s="8">
        <v>2030091896</v>
      </c>
      <c r="B37" s="8" t="s">
        <v>715</v>
      </c>
      <c r="C37" s="8" t="s">
        <v>607</v>
      </c>
      <c r="E37" s="8" t="s">
        <v>51</v>
      </c>
      <c r="G37" s="8" t="s">
        <v>262</v>
      </c>
      <c r="H37" s="8" t="s">
        <v>263</v>
      </c>
      <c r="I37" s="8">
        <v>673059</v>
      </c>
      <c r="J37" s="8" t="s">
        <v>70</v>
      </c>
      <c r="K37" s="8" t="s">
        <v>71</v>
      </c>
      <c r="M37" s="8" t="s">
        <v>337</v>
      </c>
      <c r="N37" s="9">
        <v>45861</v>
      </c>
      <c r="O37" s="9">
        <v>45985</v>
      </c>
      <c r="Q37" s="10">
        <v>0</v>
      </c>
      <c r="T37" s="8">
        <v>3</v>
      </c>
      <c r="U37" s="10">
        <v>61.82</v>
      </c>
      <c r="V37" s="10">
        <v>0</v>
      </c>
      <c r="W37" s="10">
        <v>30.91</v>
      </c>
      <c r="X37" s="10">
        <v>-30.91</v>
      </c>
    </row>
    <row r="38" spans="1:24" s="11" customFormat="1" x14ac:dyDescent="0.25">
      <c r="A38" s="11">
        <v>2030197586</v>
      </c>
      <c r="B38" s="11" t="s">
        <v>374</v>
      </c>
      <c r="C38" s="11" t="s">
        <v>420</v>
      </c>
      <c r="E38" s="11" t="s">
        <v>51</v>
      </c>
      <c r="G38" s="11" t="s">
        <v>262</v>
      </c>
      <c r="H38" s="11" t="s">
        <v>263</v>
      </c>
      <c r="I38" s="11">
        <v>649163</v>
      </c>
      <c r="J38" s="11" t="s">
        <v>433</v>
      </c>
      <c r="K38" s="11" t="s">
        <v>434</v>
      </c>
      <c r="M38" s="11" t="s">
        <v>337</v>
      </c>
      <c r="N38" s="12">
        <v>45870</v>
      </c>
      <c r="O38" s="12">
        <v>45985</v>
      </c>
      <c r="Q38" s="13">
        <v>0</v>
      </c>
      <c r="T38" s="11">
        <f>32.2/8.05</f>
        <v>4</v>
      </c>
      <c r="U38" s="13">
        <v>48.3</v>
      </c>
      <c r="V38" s="13">
        <v>0</v>
      </c>
      <c r="W38" s="13">
        <v>32.200000000000003</v>
      </c>
      <c r="X38" s="13">
        <v>-16.100000000000001</v>
      </c>
    </row>
    <row r="39" spans="1:24" s="11" customFormat="1" x14ac:dyDescent="0.25">
      <c r="A39" s="11">
        <v>2030197587</v>
      </c>
      <c r="B39" s="11" t="s">
        <v>374</v>
      </c>
      <c r="C39" s="11" t="s">
        <v>420</v>
      </c>
      <c r="E39" s="11" t="s">
        <v>51</v>
      </c>
      <c r="G39" s="11" t="s">
        <v>196</v>
      </c>
      <c r="H39" s="11" t="s">
        <v>197</v>
      </c>
      <c r="I39" s="11">
        <v>649163</v>
      </c>
      <c r="J39" s="11" t="s">
        <v>433</v>
      </c>
      <c r="K39" s="11" t="s">
        <v>434</v>
      </c>
      <c r="M39" s="11" t="s">
        <v>337</v>
      </c>
      <c r="N39" s="12">
        <v>45870</v>
      </c>
      <c r="O39" s="12">
        <v>45985</v>
      </c>
      <c r="Q39" s="13">
        <v>0</v>
      </c>
      <c r="T39" s="11">
        <v>4</v>
      </c>
      <c r="U39" s="13">
        <v>174.33</v>
      </c>
      <c r="V39" s="13">
        <v>0</v>
      </c>
      <c r="W39" s="13">
        <v>116.23</v>
      </c>
      <c r="X39" s="13">
        <v>-58.1</v>
      </c>
    </row>
    <row r="40" spans="1:24" s="8" customFormat="1" x14ac:dyDescent="0.25">
      <c r="A40" s="8">
        <v>2028992070</v>
      </c>
      <c r="B40" s="8" t="s">
        <v>712</v>
      </c>
      <c r="C40" s="8" t="s">
        <v>186</v>
      </c>
      <c r="E40" s="8" t="s">
        <v>51</v>
      </c>
      <c r="G40" s="8" t="s">
        <v>89</v>
      </c>
      <c r="H40" s="8" t="s">
        <v>96</v>
      </c>
      <c r="I40" s="8">
        <v>753748</v>
      </c>
      <c r="J40" s="8" t="s">
        <v>389</v>
      </c>
      <c r="K40" s="8" t="s">
        <v>390</v>
      </c>
      <c r="M40" s="8" t="s">
        <v>337</v>
      </c>
      <c r="N40" s="9">
        <v>45799</v>
      </c>
      <c r="O40" s="9">
        <v>45985</v>
      </c>
      <c r="Q40" s="10">
        <v>0</v>
      </c>
      <c r="T40" s="8">
        <v>6</v>
      </c>
      <c r="U40" s="10">
        <v>422.01</v>
      </c>
      <c r="V40" s="10">
        <v>0</v>
      </c>
      <c r="W40" s="10">
        <v>422.01</v>
      </c>
      <c r="X40" s="10">
        <v>0</v>
      </c>
    </row>
    <row r="41" spans="1:24" s="8" customFormat="1" x14ac:dyDescent="0.25">
      <c r="A41" s="8">
        <v>2030552095</v>
      </c>
      <c r="B41" s="8" t="s">
        <v>387</v>
      </c>
      <c r="C41" s="8" t="s">
        <v>388</v>
      </c>
      <c r="E41" s="8" t="s">
        <v>51</v>
      </c>
      <c r="G41" s="8" t="s">
        <v>262</v>
      </c>
      <c r="H41" s="8" t="s">
        <v>263</v>
      </c>
      <c r="I41" s="8">
        <v>649163</v>
      </c>
      <c r="J41" s="8" t="s">
        <v>389</v>
      </c>
      <c r="K41" s="8" t="s">
        <v>390</v>
      </c>
      <c r="M41" s="8" t="s">
        <v>337</v>
      </c>
      <c r="N41" s="9">
        <v>45901</v>
      </c>
      <c r="O41" s="9">
        <v>45985</v>
      </c>
      <c r="Q41" s="10">
        <v>0</v>
      </c>
      <c r="T41" s="8">
        <f>186.3/62.1</f>
        <v>3</v>
      </c>
      <c r="U41" s="10">
        <v>372.58</v>
      </c>
      <c r="V41" s="10">
        <v>0</v>
      </c>
      <c r="W41" s="10">
        <v>186.3</v>
      </c>
      <c r="X41" s="10">
        <v>-186.28</v>
      </c>
    </row>
    <row r="42" spans="1:24" s="8" customFormat="1" x14ac:dyDescent="0.25">
      <c r="A42" s="8">
        <v>2030552094</v>
      </c>
      <c r="B42" s="8" t="s">
        <v>387</v>
      </c>
      <c r="C42" s="8" t="s">
        <v>388</v>
      </c>
      <c r="E42" s="8" t="s">
        <v>51</v>
      </c>
      <c r="G42" s="8" t="s">
        <v>89</v>
      </c>
      <c r="H42" s="8" t="s">
        <v>336</v>
      </c>
      <c r="I42" s="8">
        <v>649163</v>
      </c>
      <c r="J42" s="8" t="s">
        <v>389</v>
      </c>
      <c r="K42" s="8" t="s">
        <v>390</v>
      </c>
      <c r="M42" s="8" t="s">
        <v>337</v>
      </c>
      <c r="N42" s="9">
        <v>45901</v>
      </c>
      <c r="O42" s="9">
        <v>45985</v>
      </c>
      <c r="Q42" s="10">
        <v>0</v>
      </c>
      <c r="T42" s="8">
        <f>442.68/147.56</f>
        <v>3</v>
      </c>
      <c r="U42" s="10">
        <v>885.38</v>
      </c>
      <c r="V42" s="10">
        <v>0</v>
      </c>
      <c r="W42" s="10">
        <v>442.68</v>
      </c>
      <c r="X42" s="10">
        <v>-442.7</v>
      </c>
    </row>
  </sheetData>
  <sortState xmlns:xlrd2="http://schemas.microsoft.com/office/spreadsheetml/2017/richdata2" ref="A2:AX30">
    <sortCondition ref="L2:L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NB</vt:lpstr>
      <vt:lpstr>RN</vt:lpstr>
      <vt:lpstr>Chargeback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2025-11-27T07:12:54Z</dcterms:created>
  <dcterms:modified xsi:type="dcterms:W3CDTF">2025-12-04T16:09:15Z</dcterms:modified>
</cp:coreProperties>
</file>