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combined\9-15-25 to 9-22-25\"/>
    </mc:Choice>
  </mc:AlternateContent>
  <xr:revisionPtr revIDLastSave="0" documentId="13_ncr:1_{B711D691-D587-4C51-B47A-86576C5725C6}" xr6:coauthVersionLast="47" xr6:coauthVersionMax="47" xr10:uidLastSave="{00000000-0000-0000-0000-000000000000}"/>
  <bookViews>
    <workbookView xWindow="28680" yWindow="-120" windowWidth="29040" windowHeight="16440" tabRatio="587" activeTab="2" xr2:uid="{413FF68B-71ED-496E-8D57-9DE1D1CDC451}"/>
  </bookViews>
  <sheets>
    <sheet name="20411454 - Main Line Benefits L" sheetId="1" r:id="rId1"/>
    <sheet name="NB" sheetId="2" r:id="rId2"/>
    <sheet name="AE Agents" sheetId="7" r:id="rId3"/>
    <sheet name="Sheet1" sheetId="4" r:id="rId4"/>
    <sheet name="RN" sheetId="3" r:id="rId5"/>
    <sheet name="Sheet2" sheetId="5" r:id="rId6"/>
    <sheet name="Sheet3" sheetId="6" r:id="rId7"/>
  </sheets>
  <definedNames>
    <definedName name="_xlnm._FilterDatabase" localSheetId="0" hidden="1">'20411454 - Main Line Benefits L'!$A$1:$AU$1005</definedName>
    <definedName name="_xlnm._FilterDatabase" localSheetId="1" hidden="1">NB!$A$1:$AV$130</definedName>
    <definedName name="_xlnm._FilterDatabase" localSheetId="4" hidden="1">RN!$A$1:$AV$876</definedName>
  </definedNames>
  <calcPr calcId="181029"/>
</workbook>
</file>

<file path=xl/calcChain.xml><?xml version="1.0" encoding="utf-8"?>
<calcChain xmlns="http://schemas.openxmlformats.org/spreadsheetml/2006/main">
  <c r="D71" i="7" l="1"/>
  <c r="D70" i="7"/>
  <c r="Y38" i="7"/>
  <c r="D3" i="7"/>
  <c r="D5" i="7"/>
  <c r="D4" i="7"/>
  <c r="D8" i="7"/>
  <c r="D6" i="7"/>
  <c r="D7" i="7"/>
  <c r="D9" i="7"/>
  <c r="D38" i="7"/>
  <c r="D12" i="7"/>
  <c r="D10" i="7"/>
  <c r="D11" i="7"/>
  <c r="D14" i="7"/>
  <c r="D13" i="7"/>
  <c r="D15" i="7"/>
  <c r="D16" i="7"/>
  <c r="D18" i="7"/>
  <c r="D17" i="7"/>
  <c r="D19" i="7"/>
  <c r="D21" i="7"/>
  <c r="D20" i="7"/>
  <c r="D22" i="7"/>
  <c r="D23" i="7"/>
  <c r="D24" i="7"/>
  <c r="D25" i="7"/>
  <c r="D28" i="7"/>
  <c r="D29" i="7"/>
  <c r="D26" i="7"/>
  <c r="D27" i="7"/>
  <c r="D37" i="7"/>
  <c r="D30" i="7"/>
  <c r="D35" i="7"/>
  <c r="D31" i="7"/>
  <c r="D36" i="7"/>
  <c r="D32" i="7"/>
  <c r="D33" i="7"/>
  <c r="D34" i="7"/>
  <c r="D45" i="7"/>
  <c r="D46" i="7"/>
  <c r="D39" i="7"/>
  <c r="D40" i="7"/>
  <c r="D47" i="7"/>
  <c r="D48" i="7"/>
  <c r="D49" i="7"/>
  <c r="D50" i="7"/>
  <c r="D55" i="7"/>
  <c r="D51" i="7"/>
  <c r="D41" i="7"/>
  <c r="D52" i="7"/>
  <c r="D42" i="7"/>
  <c r="D53" i="7"/>
  <c r="D57" i="7"/>
  <c r="D43" i="7"/>
  <c r="D44" i="7"/>
  <c r="D58" i="7"/>
  <c r="D54" i="7"/>
  <c r="D56" i="7"/>
  <c r="D59" i="7"/>
  <c r="D62" i="7"/>
  <c r="D63" i="7"/>
  <c r="D60" i="7"/>
  <c r="D61" i="7"/>
  <c r="D68" i="7"/>
  <c r="D69" i="7"/>
  <c r="D64" i="7"/>
  <c r="D65" i="7"/>
  <c r="D66" i="7"/>
  <c r="D67" i="7"/>
  <c r="D2" i="7"/>
  <c r="P327" i="5"/>
  <c r="P218" i="5"/>
  <c r="P219" i="5"/>
  <c r="P583" i="5"/>
  <c r="P584" i="5"/>
  <c r="P193" i="5"/>
  <c r="P194" i="5"/>
  <c r="P173" i="5"/>
  <c r="P323" i="5"/>
  <c r="P585" i="5"/>
  <c r="P195" i="5"/>
  <c r="P328" i="5"/>
  <c r="P756" i="5"/>
  <c r="P757" i="5"/>
  <c r="P329" i="5"/>
  <c r="P220" i="5"/>
  <c r="P221" i="5"/>
  <c r="P330" i="5"/>
  <c r="P331" i="5"/>
  <c r="P332" i="5"/>
  <c r="P155" i="5"/>
  <c r="P586" i="5"/>
  <c r="P758" i="5"/>
  <c r="P587" i="5"/>
  <c r="P156" i="5"/>
  <c r="P102" i="5"/>
  <c r="P588" i="5"/>
  <c r="P157" i="5"/>
  <c r="P158" i="5"/>
  <c r="P759" i="5"/>
  <c r="P333" i="5"/>
  <c r="P334" i="5"/>
  <c r="P335" i="5"/>
  <c r="P589" i="5"/>
  <c r="P336" i="5"/>
  <c r="P337" i="5"/>
  <c r="P760" i="5"/>
  <c r="P590" i="5"/>
  <c r="P159" i="5"/>
  <c r="P338" i="5"/>
  <c r="P222" i="5"/>
  <c r="P223" i="5"/>
  <c r="P224" i="5"/>
  <c r="P225" i="5"/>
  <c r="P226" i="5"/>
  <c r="P227" i="5"/>
  <c r="P339" i="5"/>
  <c r="P340" i="5"/>
  <c r="P103" i="5"/>
  <c r="P591" i="5"/>
  <c r="P228" i="5"/>
  <c r="P86" i="5"/>
  <c r="P341" i="5"/>
  <c r="P761" i="5"/>
  <c r="P342" i="5"/>
  <c r="P160" i="5"/>
  <c r="P343" i="5"/>
  <c r="P592" i="5"/>
  <c r="P344" i="5"/>
  <c r="P345" i="5"/>
  <c r="P346" i="5"/>
  <c r="P51" i="5"/>
  <c r="P52" i="5"/>
  <c r="P347" i="5"/>
  <c r="P348" i="5"/>
  <c r="P593" i="5"/>
  <c r="P349" i="5"/>
  <c r="P350" i="5"/>
  <c r="P594" i="5"/>
  <c r="P351" i="5"/>
  <c r="P762" i="5"/>
  <c r="P595" i="5"/>
  <c r="P352" i="5"/>
  <c r="P104" i="5"/>
  <c r="P596" i="5"/>
  <c r="P353" i="5"/>
  <c r="P53" i="5"/>
  <c r="P354" i="5"/>
  <c r="P355" i="5"/>
  <c r="P356" i="5"/>
  <c r="P357" i="5"/>
  <c r="P597" i="5"/>
  <c r="P358" i="5"/>
  <c r="P598" i="5"/>
  <c r="P359" i="5"/>
  <c r="P360" i="5"/>
  <c r="P599" i="5"/>
  <c r="P229" i="5"/>
  <c r="P361" i="5"/>
  <c r="P105" i="5"/>
  <c r="P600" i="5"/>
  <c r="P601" i="5"/>
  <c r="P230" i="5"/>
  <c r="P231" i="5"/>
  <c r="P232" i="5"/>
  <c r="P602" i="5"/>
  <c r="P233" i="5"/>
  <c r="P87" i="5"/>
  <c r="P362" i="5"/>
  <c r="P363" i="5"/>
  <c r="P364" i="5"/>
  <c r="P161" i="5"/>
  <c r="P365" i="5"/>
  <c r="P366" i="5"/>
  <c r="P367" i="5"/>
  <c r="P368" i="5"/>
  <c r="P369" i="5"/>
  <c r="P370" i="5"/>
  <c r="P106" i="5"/>
  <c r="P371" i="5"/>
  <c r="P162" i="5"/>
  <c r="P372" i="5"/>
  <c r="P373" i="5"/>
  <c r="P54" i="5"/>
  <c r="P374" i="5"/>
  <c r="P375" i="5"/>
  <c r="P603" i="5"/>
  <c r="P376" i="5"/>
  <c r="P107" i="5"/>
  <c r="P234" i="5"/>
  <c r="P235" i="5"/>
  <c r="P236" i="5"/>
  <c r="P377" i="5"/>
  <c r="P108" i="5"/>
  <c r="P88" i="5"/>
  <c r="P378" i="5"/>
  <c r="P604" i="5"/>
  <c r="P379" i="5"/>
  <c r="P380" i="5"/>
  <c r="P237" i="5"/>
  <c r="P238" i="5"/>
  <c r="P239" i="5"/>
  <c r="P240" i="5"/>
  <c r="P381" i="5"/>
  <c r="P382" i="5"/>
  <c r="P605" i="5"/>
  <c r="P383" i="5"/>
  <c r="P763" i="5"/>
  <c r="P384" i="5"/>
  <c r="P55" i="5"/>
  <c r="P606" i="5"/>
  <c r="P607" i="5"/>
  <c r="P385" i="5"/>
  <c r="P241" i="5"/>
  <c r="P242" i="5"/>
  <c r="P243" i="5"/>
  <c r="P386" i="5"/>
  <c r="P196" i="5"/>
  <c r="P387" i="5"/>
  <c r="P608" i="5"/>
  <c r="P388" i="5"/>
  <c r="P109" i="5"/>
  <c r="P389" i="5"/>
  <c r="P764" i="5"/>
  <c r="P390" i="5"/>
  <c r="P609" i="5"/>
  <c r="P391" i="5"/>
  <c r="P392" i="5"/>
  <c r="P393" i="5"/>
  <c r="P163" i="5"/>
  <c r="P164" i="5"/>
  <c r="P394" i="5"/>
  <c r="P395" i="5"/>
  <c r="P396" i="5"/>
  <c r="P765" i="5"/>
  <c r="P397" i="5"/>
  <c r="P398" i="5"/>
  <c r="P174" i="5"/>
  <c r="P610" i="5"/>
  <c r="P399" i="5"/>
  <c r="P400" i="5"/>
  <c r="P401" i="5"/>
  <c r="P56" i="5"/>
  <c r="P57" i="5"/>
  <c r="P402" i="5"/>
  <c r="P182" i="5"/>
  <c r="P403" i="5"/>
  <c r="P611" i="5"/>
  <c r="P766" i="5"/>
  <c r="P819" i="5"/>
  <c r="P404" i="5"/>
  <c r="P89" i="5"/>
  <c r="P405" i="5"/>
  <c r="P767" i="5"/>
  <c r="P612" i="5"/>
  <c r="P406" i="5"/>
  <c r="P407" i="5"/>
  <c r="P613" i="5"/>
  <c r="P408" i="5"/>
  <c r="P768" i="5"/>
  <c r="P769" i="5"/>
  <c r="P614" i="5"/>
  <c r="P409" i="5"/>
  <c r="P410" i="5"/>
  <c r="P770" i="5"/>
  <c r="P615" i="5"/>
  <c r="P411" i="5"/>
  <c r="P771" i="5"/>
  <c r="P412" i="5"/>
  <c r="P413" i="5"/>
  <c r="P58" i="5"/>
  <c r="P616" i="5"/>
  <c r="P772" i="5"/>
  <c r="P414" i="5"/>
  <c r="P415" i="5"/>
  <c r="P773" i="5"/>
  <c r="P617" i="5"/>
  <c r="P416" i="5"/>
  <c r="P618" i="5"/>
  <c r="P417" i="5"/>
  <c r="P619" i="5"/>
  <c r="P821" i="5"/>
  <c r="P244" i="5"/>
  <c r="P245" i="5"/>
  <c r="P418" i="5"/>
  <c r="P620" i="5"/>
  <c r="P246" i="5"/>
  <c r="P419" i="5"/>
  <c r="P110" i="5"/>
  <c r="P621" i="5"/>
  <c r="P622" i="5"/>
  <c r="P420" i="5"/>
  <c r="P421" i="5"/>
  <c r="P623" i="5"/>
  <c r="P422" i="5"/>
  <c r="P111" i="5"/>
  <c r="P624" i="5"/>
  <c r="P625" i="5"/>
  <c r="P423" i="5"/>
  <c r="P424" i="5"/>
  <c r="P425" i="5"/>
  <c r="P59" i="5"/>
  <c r="P426" i="5"/>
  <c r="P774" i="5"/>
  <c r="P626" i="5"/>
  <c r="P627" i="5"/>
  <c r="P427" i="5"/>
  <c r="P60" i="5"/>
  <c r="P428" i="5"/>
  <c r="P628" i="5"/>
  <c r="P429" i="5"/>
  <c r="P61" i="5"/>
  <c r="P775" i="5"/>
  <c r="P629" i="5"/>
  <c r="P247" i="5"/>
  <c r="P248" i="5"/>
  <c r="P430" i="5"/>
  <c r="P197" i="5"/>
  <c r="P249" i="5"/>
  <c r="P431" i="5"/>
  <c r="P112" i="5"/>
  <c r="P432" i="5"/>
  <c r="P433" i="5"/>
  <c r="P776" i="5"/>
  <c r="P630" i="5"/>
  <c r="P434" i="5"/>
  <c r="P631" i="5"/>
  <c r="P435" i="5"/>
  <c r="P90" i="5"/>
  <c r="P436" i="5"/>
  <c r="P632" i="5"/>
  <c r="P250" i="5"/>
  <c r="P437" i="5"/>
  <c r="P113" i="5"/>
  <c r="P438" i="5"/>
  <c r="P439" i="5"/>
  <c r="P62" i="5"/>
  <c r="P633" i="5"/>
  <c r="P440" i="5"/>
  <c r="P441" i="5"/>
  <c r="P442" i="5"/>
  <c r="P634" i="5"/>
  <c r="P777" i="5"/>
  <c r="P635" i="5"/>
  <c r="P778" i="5"/>
  <c r="P636" i="5"/>
  <c r="P443" i="5"/>
  <c r="P444" i="5"/>
  <c r="P114" i="5"/>
  <c r="P637" i="5"/>
  <c r="P445" i="5"/>
  <c r="P175" i="5"/>
  <c r="P251" i="5"/>
  <c r="P91" i="5"/>
  <c r="P2" i="5"/>
  <c r="P446" i="5"/>
  <c r="P447" i="5"/>
  <c r="P63" i="5"/>
  <c r="P638" i="5"/>
  <c r="P448" i="5"/>
  <c r="P64" i="5"/>
  <c r="P639" i="5"/>
  <c r="P449" i="5"/>
  <c r="P640" i="5"/>
  <c r="P450" i="5"/>
  <c r="P451" i="5"/>
  <c r="P115" i="5"/>
  <c r="P116" i="5"/>
  <c r="P641" i="5"/>
  <c r="P452" i="5"/>
  <c r="P642" i="5"/>
  <c r="P453" i="5"/>
  <c r="P643" i="5"/>
  <c r="P198" i="5"/>
  <c r="P454" i="5"/>
  <c r="P455" i="5"/>
  <c r="P644" i="5"/>
  <c r="P456" i="5"/>
  <c r="P457" i="5"/>
  <c r="P458" i="5"/>
  <c r="P459" i="5"/>
  <c r="P779" i="5"/>
  <c r="P645" i="5"/>
  <c r="P646" i="5"/>
  <c r="P460" i="5"/>
  <c r="P117" i="5"/>
  <c r="P647" i="5"/>
  <c r="P648" i="5"/>
  <c r="P461" i="5"/>
  <c r="P649" i="5"/>
  <c r="P650" i="5"/>
  <c r="P462" i="5"/>
  <c r="P651" i="5"/>
  <c r="P463" i="5"/>
  <c r="P92" i="5"/>
  <c r="P464" i="5"/>
  <c r="P780" i="5"/>
  <c r="P93" i="5"/>
  <c r="P465" i="5"/>
  <c r="P252" i="5"/>
  <c r="P94" i="5"/>
  <c r="P466" i="5"/>
  <c r="P467" i="5"/>
  <c r="P65" i="5"/>
  <c r="P468" i="5"/>
  <c r="P469" i="5"/>
  <c r="P95" i="5"/>
  <c r="P3" i="5"/>
  <c r="P470" i="5"/>
  <c r="P253" i="5"/>
  <c r="P4" i="5"/>
  <c r="P471" i="5"/>
  <c r="P118" i="5"/>
  <c r="P652" i="5"/>
  <c r="P96" i="5"/>
  <c r="P472" i="5"/>
  <c r="P473" i="5"/>
  <c r="P474" i="5"/>
  <c r="P653" i="5"/>
  <c r="P475" i="5"/>
  <c r="P781" i="5"/>
  <c r="P782" i="5"/>
  <c r="P254" i="5"/>
  <c r="P476" i="5"/>
  <c r="P119" i="5"/>
  <c r="P654" i="5"/>
  <c r="P477" i="5"/>
  <c r="P478" i="5"/>
  <c r="P479" i="5"/>
  <c r="P655" i="5"/>
  <c r="P480" i="5"/>
  <c r="P66" i="5"/>
  <c r="P783" i="5"/>
  <c r="P656" i="5"/>
  <c r="P481" i="5"/>
  <c r="P120" i="5"/>
  <c r="P784" i="5"/>
  <c r="P785" i="5"/>
  <c r="P199" i="5"/>
  <c r="P482" i="5"/>
  <c r="P657" i="5"/>
  <c r="P658" i="5"/>
  <c r="P483" i="5"/>
  <c r="P484" i="5"/>
  <c r="P485" i="5"/>
  <c r="P659" i="5"/>
  <c r="P486" i="5"/>
  <c r="P121" i="5"/>
  <c r="P487" i="5"/>
  <c r="P786" i="5"/>
  <c r="P660" i="5"/>
  <c r="P488" i="5"/>
  <c r="P661" i="5"/>
  <c r="P122" i="5"/>
  <c r="P489" i="5"/>
  <c r="P490" i="5"/>
  <c r="P662" i="5"/>
  <c r="P663" i="5"/>
  <c r="P491" i="5"/>
  <c r="P492" i="5"/>
  <c r="P664" i="5"/>
  <c r="P787" i="5"/>
  <c r="P493" i="5"/>
  <c r="P665" i="5"/>
  <c r="P494" i="5"/>
  <c r="P666" i="5"/>
  <c r="P667" i="5"/>
  <c r="P668" i="5"/>
  <c r="P669" i="5"/>
  <c r="P670" i="5"/>
  <c r="P827" i="5"/>
  <c r="P671" i="5"/>
  <c r="P672" i="5"/>
  <c r="P200" i="5"/>
  <c r="P673" i="5"/>
  <c r="P201" i="5"/>
  <c r="P202" i="5"/>
  <c r="P674" i="5"/>
  <c r="P675" i="5"/>
  <c r="P676" i="5"/>
  <c r="P677" i="5"/>
  <c r="P495" i="5"/>
  <c r="P67" i="5"/>
  <c r="P496" i="5"/>
  <c r="P497" i="5"/>
  <c r="P678" i="5"/>
  <c r="P255" i="5"/>
  <c r="P828" i="5"/>
  <c r="P123" i="5"/>
  <c r="P124" i="5"/>
  <c r="P165" i="5"/>
  <c r="P5" i="5"/>
  <c r="P125" i="5"/>
  <c r="P324" i="5"/>
  <c r="P166" i="5"/>
  <c r="P6" i="5"/>
  <c r="P126" i="5"/>
  <c r="P256" i="5"/>
  <c r="P257" i="5"/>
  <c r="P258" i="5"/>
  <c r="P498" i="5"/>
  <c r="P259" i="5"/>
  <c r="P829" i="5"/>
  <c r="P7" i="5"/>
  <c r="P127" i="5"/>
  <c r="P8" i="5"/>
  <c r="P9" i="5"/>
  <c r="P10" i="5"/>
  <c r="P128" i="5"/>
  <c r="P129" i="5"/>
  <c r="P130" i="5"/>
  <c r="P176" i="5"/>
  <c r="P499" i="5"/>
  <c r="P45" i="5"/>
  <c r="P46" i="5"/>
  <c r="P167" i="5"/>
  <c r="P788" i="5"/>
  <c r="P11" i="5"/>
  <c r="P131" i="5"/>
  <c r="P679" i="5"/>
  <c r="P68" i="5"/>
  <c r="P789" i="5"/>
  <c r="P680" i="5"/>
  <c r="P500" i="5"/>
  <c r="P203" i="5"/>
  <c r="P501" i="5"/>
  <c r="P132" i="5"/>
  <c r="P12" i="5"/>
  <c r="P502" i="5"/>
  <c r="P69" i="5"/>
  <c r="P681" i="5"/>
  <c r="P503" i="5"/>
  <c r="P682" i="5"/>
  <c r="P504" i="5"/>
  <c r="P260" i="5"/>
  <c r="P261" i="5"/>
  <c r="P262" i="5"/>
  <c r="P505" i="5"/>
  <c r="P168" i="5"/>
  <c r="P13" i="5"/>
  <c r="P133" i="5"/>
  <c r="P683" i="5"/>
  <c r="P263" i="5"/>
  <c r="P169" i="5"/>
  <c r="P134" i="5"/>
  <c r="P506" i="5"/>
  <c r="P170" i="5"/>
  <c r="P14" i="5"/>
  <c r="P135" i="5"/>
  <c r="P507" i="5"/>
  <c r="P830" i="5"/>
  <c r="P15" i="5"/>
  <c r="P508" i="5"/>
  <c r="P70" i="5"/>
  <c r="P189" i="5"/>
  <c r="P183" i="5"/>
  <c r="P509" i="5"/>
  <c r="P264" i="5"/>
  <c r="P265" i="5"/>
  <c r="P266" i="5"/>
  <c r="P510" i="5"/>
  <c r="P71" i="5"/>
  <c r="P684" i="5"/>
  <c r="P685" i="5"/>
  <c r="P511" i="5"/>
  <c r="P16" i="5"/>
  <c r="P790" i="5"/>
  <c r="P512" i="5"/>
  <c r="P686" i="5"/>
  <c r="P513" i="5"/>
  <c r="P267" i="5"/>
  <c r="P268" i="5"/>
  <c r="P269" i="5"/>
  <c r="P514" i="5"/>
  <c r="P270" i="5"/>
  <c r="P271" i="5"/>
  <c r="P272" i="5"/>
  <c r="P687" i="5"/>
  <c r="P515" i="5"/>
  <c r="P177" i="5"/>
  <c r="P325" i="5"/>
  <c r="P17" i="5"/>
  <c r="P688" i="5"/>
  <c r="P516" i="5"/>
  <c r="P72" i="5"/>
  <c r="P689" i="5"/>
  <c r="P517" i="5"/>
  <c r="P190" i="5"/>
  <c r="P184" i="5"/>
  <c r="P690" i="5"/>
  <c r="P273" i="5"/>
  <c r="P518" i="5"/>
  <c r="P73" i="5"/>
  <c r="P47" i="5"/>
  <c r="P48" i="5"/>
  <c r="P519" i="5"/>
  <c r="P520" i="5"/>
  <c r="P74" i="5"/>
  <c r="P691" i="5"/>
  <c r="P521" i="5"/>
  <c r="P171" i="5"/>
  <c r="P18" i="5"/>
  <c r="P136" i="5"/>
  <c r="P19" i="5"/>
  <c r="P137" i="5"/>
  <c r="P522" i="5"/>
  <c r="P75" i="5"/>
  <c r="P523" i="5"/>
  <c r="P524" i="5"/>
  <c r="P204" i="5"/>
  <c r="P20" i="5"/>
  <c r="P525" i="5"/>
  <c r="P76" i="5"/>
  <c r="P205" i="5"/>
  <c r="P526" i="5"/>
  <c r="P77" i="5"/>
  <c r="P692" i="5"/>
  <c r="P527" i="5"/>
  <c r="P693" i="5"/>
  <c r="P21" i="5"/>
  <c r="P528" i="5"/>
  <c r="P529" i="5"/>
  <c r="P822" i="5"/>
  <c r="P530" i="5"/>
  <c r="P138" i="5"/>
  <c r="P694" i="5"/>
  <c r="P274" i="5"/>
  <c r="P275" i="5"/>
  <c r="P531" i="5"/>
  <c r="P532" i="5"/>
  <c r="P791" i="5"/>
  <c r="P792" i="5"/>
  <c r="P793" i="5"/>
  <c r="P794" i="5"/>
  <c r="P795" i="5"/>
  <c r="P206" i="5"/>
  <c r="P191" i="5"/>
  <c r="P185" i="5"/>
  <c r="P695" i="5"/>
  <c r="P276" i="5"/>
  <c r="P533" i="5"/>
  <c r="P78" i="5"/>
  <c r="P534" i="5"/>
  <c r="P696" i="5"/>
  <c r="P277" i="5"/>
  <c r="P278" i="5"/>
  <c r="P535" i="5"/>
  <c r="P22" i="5"/>
  <c r="P536" i="5"/>
  <c r="P697" i="5"/>
  <c r="P537" i="5"/>
  <c r="P796" i="5"/>
  <c r="P797" i="5"/>
  <c r="P798" i="5"/>
  <c r="P698" i="5"/>
  <c r="P538" i="5"/>
  <c r="P279" i="5"/>
  <c r="P49" i="5"/>
  <c r="P79" i="5"/>
  <c r="P799" i="5"/>
  <c r="P539" i="5"/>
  <c r="P540" i="5"/>
  <c r="P139" i="5"/>
  <c r="P699" i="5"/>
  <c r="P700" i="5"/>
  <c r="P541" i="5"/>
  <c r="P800" i="5"/>
  <c r="P701" i="5"/>
  <c r="P542" i="5"/>
  <c r="P702" i="5"/>
  <c r="P543" i="5"/>
  <c r="P140" i="5"/>
  <c r="P192" i="5"/>
  <c r="P186" i="5"/>
  <c r="P544" i="5"/>
  <c r="P141" i="5"/>
  <c r="P545" i="5"/>
  <c r="P546" i="5"/>
  <c r="P142" i="5"/>
  <c r="P703" i="5"/>
  <c r="P80" i="5"/>
  <c r="P704" i="5"/>
  <c r="P705" i="5"/>
  <c r="P178" i="5"/>
  <c r="P706" i="5"/>
  <c r="P547" i="5"/>
  <c r="P280" i="5"/>
  <c r="P23" i="5"/>
  <c r="P143" i="5"/>
  <c r="P281" i="5"/>
  <c r="P831" i="5"/>
  <c r="P24" i="5"/>
  <c r="P707" i="5"/>
  <c r="P548" i="5"/>
  <c r="P801" i="5"/>
  <c r="P708" i="5"/>
  <c r="P282" i="5"/>
  <c r="P823" i="5"/>
  <c r="P802" i="5"/>
  <c r="P709" i="5"/>
  <c r="P803" i="5"/>
  <c r="P710" i="5"/>
  <c r="P283" i="5"/>
  <c r="P284" i="5"/>
  <c r="P549" i="5"/>
  <c r="P711" i="5"/>
  <c r="P25" i="5"/>
  <c r="P550" i="5"/>
  <c r="P712" i="5"/>
  <c r="P97" i="5"/>
  <c r="P551" i="5"/>
  <c r="P713" i="5"/>
  <c r="P552" i="5"/>
  <c r="P81" i="5"/>
  <c r="P98" i="5"/>
  <c r="P26" i="5"/>
  <c r="P553" i="5"/>
  <c r="P804" i="5"/>
  <c r="P714" i="5"/>
  <c r="P99" i="5"/>
  <c r="P27" i="5"/>
  <c r="P554" i="5"/>
  <c r="P715" i="5"/>
  <c r="P555" i="5"/>
  <c r="P82" i="5"/>
  <c r="P716" i="5"/>
  <c r="P28" i="5"/>
  <c r="P556" i="5"/>
  <c r="P717" i="5"/>
  <c r="P557" i="5"/>
  <c r="P50" i="5"/>
  <c r="P832" i="5"/>
  <c r="P718" i="5"/>
  <c r="P558" i="5"/>
  <c r="P719" i="5"/>
  <c r="P285" i="5"/>
  <c r="P286" i="5"/>
  <c r="P287" i="5"/>
  <c r="P29" i="5"/>
  <c r="P207" i="5"/>
  <c r="P559" i="5"/>
  <c r="P720" i="5"/>
  <c r="P721" i="5"/>
  <c r="P722" i="5"/>
  <c r="P805" i="5"/>
  <c r="P288" i="5"/>
  <c r="P833" i="5"/>
  <c r="P560" i="5"/>
  <c r="P144" i="5"/>
  <c r="P289" i="5"/>
  <c r="P834" i="5"/>
  <c r="P723" i="5"/>
  <c r="P561" i="5"/>
  <c r="P145" i="5"/>
  <c r="P290" i="5"/>
  <c r="P291" i="5"/>
  <c r="P30" i="5"/>
  <c r="P562" i="5"/>
  <c r="P724" i="5"/>
  <c r="P824" i="5"/>
  <c r="P100" i="5"/>
  <c r="P31" i="5"/>
  <c r="P563" i="5"/>
  <c r="P564" i="5"/>
  <c r="P725" i="5"/>
  <c r="P32" i="5"/>
  <c r="P565" i="5"/>
  <c r="P726" i="5"/>
  <c r="P292" i="5"/>
  <c r="P293" i="5"/>
  <c r="P566" i="5"/>
  <c r="P83" i="5"/>
  <c r="P806" i="5"/>
  <c r="P187" i="5"/>
  <c r="P322" i="5"/>
  <c r="P727" i="5"/>
  <c r="P728" i="5"/>
  <c r="P294" i="5"/>
  <c r="P295" i="5"/>
  <c r="P807" i="5"/>
  <c r="P84" i="5"/>
  <c r="P729" i="5"/>
  <c r="P146" i="5"/>
  <c r="P730" i="5"/>
  <c r="P567" i="5"/>
  <c r="P208" i="5"/>
  <c r="P209" i="5"/>
  <c r="P210" i="5"/>
  <c r="P296" i="5"/>
  <c r="P835" i="5"/>
  <c r="P297" i="5"/>
  <c r="P568" i="5"/>
  <c r="P569" i="5"/>
  <c r="P731" i="5"/>
  <c r="P33" i="5"/>
  <c r="P298" i="5"/>
  <c r="P299" i="5"/>
  <c r="P300" i="5"/>
  <c r="P825" i="5"/>
  <c r="P836" i="5"/>
  <c r="P211" i="5"/>
  <c r="P147" i="5"/>
  <c r="P732" i="5"/>
  <c r="P733" i="5"/>
  <c r="P301" i="5"/>
  <c r="P302" i="5"/>
  <c r="P570" i="5"/>
  <c r="P734" i="5"/>
  <c r="P837" i="5"/>
  <c r="P303" i="5"/>
  <c r="P735" i="5"/>
  <c r="P148" i="5"/>
  <c r="P179" i="5"/>
  <c r="P838" i="5"/>
  <c r="P34" i="5"/>
  <c r="P571" i="5"/>
  <c r="P839" i="5"/>
  <c r="P304" i="5"/>
  <c r="P840" i="5"/>
  <c r="P305" i="5"/>
  <c r="P306" i="5"/>
  <c r="P307" i="5"/>
  <c r="P572" i="5"/>
  <c r="P149" i="5"/>
  <c r="P212" i="5"/>
  <c r="P321" i="5"/>
  <c r="P308" i="5"/>
  <c r="P309" i="5"/>
  <c r="P310" i="5"/>
  <c r="P808" i="5"/>
  <c r="P841" i="5"/>
  <c r="P311" i="5"/>
  <c r="P188" i="5"/>
  <c r="P736" i="5"/>
  <c r="P737" i="5"/>
  <c r="P842" i="5"/>
  <c r="P312" i="5"/>
  <c r="P826" i="5"/>
  <c r="P313" i="5"/>
  <c r="P738" i="5"/>
  <c r="P314" i="5"/>
  <c r="P180" i="5"/>
  <c r="P85" i="5"/>
  <c r="P809" i="5"/>
  <c r="P843" i="5"/>
  <c r="P315" i="5"/>
  <c r="P739" i="5"/>
  <c r="P316" i="5"/>
  <c r="P317" i="5"/>
  <c r="P740" i="5"/>
  <c r="P318" i="5"/>
  <c r="P741" i="5"/>
  <c r="P319" i="5"/>
  <c r="P320" i="5"/>
  <c r="P810" i="5"/>
  <c r="P150" i="5"/>
  <c r="P742" i="5"/>
  <c r="P743" i="5"/>
  <c r="P573" i="5"/>
  <c r="P574" i="5"/>
  <c r="P844" i="5"/>
  <c r="P744" i="5"/>
  <c r="P101" i="5"/>
  <c r="P575" i="5"/>
  <c r="P811" i="5"/>
  <c r="P812" i="5"/>
  <c r="P35" i="5"/>
  <c r="P213" i="5"/>
  <c r="P151" i="5"/>
  <c r="P745" i="5"/>
  <c r="P746" i="5"/>
  <c r="P747" i="5"/>
  <c r="P576" i="5"/>
  <c r="P214" i="5"/>
  <c r="P181" i="5"/>
  <c r="P326" i="5"/>
  <c r="P215" i="5"/>
  <c r="P748" i="5"/>
  <c r="P813" i="5"/>
  <c r="P36" i="5"/>
  <c r="P152" i="5"/>
  <c r="P37" i="5"/>
  <c r="P749" i="5"/>
  <c r="P38" i="5"/>
  <c r="P577" i="5"/>
  <c r="P750" i="5"/>
  <c r="P39" i="5"/>
  <c r="P578" i="5"/>
  <c r="P751" i="5"/>
  <c r="P752" i="5"/>
  <c r="P216" i="5"/>
  <c r="P40" i="5"/>
  <c r="P579" i="5"/>
  <c r="P814" i="5"/>
  <c r="P153" i="5"/>
  <c r="P41" i="5"/>
  <c r="P217" i="5"/>
  <c r="P815" i="5"/>
  <c r="P816" i="5"/>
  <c r="P580" i="5"/>
  <c r="P753" i="5"/>
  <c r="P42" i="5"/>
  <c r="P817" i="5"/>
  <c r="P43" i="5"/>
  <c r="P581" i="5"/>
  <c r="P754" i="5"/>
  <c r="P44" i="5"/>
  <c r="P172" i="5"/>
  <c r="P820" i="5"/>
  <c r="P755" i="5"/>
  <c r="P154" i="5"/>
  <c r="P818" i="5"/>
  <c r="P582" i="5"/>
  <c r="D327" i="5"/>
  <c r="D218" i="5"/>
  <c r="D219" i="5"/>
  <c r="D583" i="5"/>
  <c r="D584" i="5"/>
  <c r="D193" i="5"/>
  <c r="D194" i="5"/>
  <c r="D173" i="5"/>
  <c r="D323" i="5"/>
  <c r="D585" i="5"/>
  <c r="D195" i="5"/>
  <c r="D328" i="5"/>
  <c r="D756" i="5"/>
  <c r="D757" i="5"/>
  <c r="D329" i="5"/>
  <c r="D220" i="5"/>
  <c r="D221" i="5"/>
  <c r="D330" i="5"/>
  <c r="D331" i="5"/>
  <c r="D332" i="5"/>
  <c r="D155" i="5"/>
  <c r="D586" i="5"/>
  <c r="D758" i="5"/>
  <c r="D587" i="5"/>
  <c r="D156" i="5"/>
  <c r="D102" i="5"/>
  <c r="D588" i="5"/>
  <c r="D157" i="5"/>
  <c r="D158" i="5"/>
  <c r="D759" i="5"/>
  <c r="D333" i="5"/>
  <c r="D334" i="5"/>
  <c r="D335" i="5"/>
  <c r="D589" i="5"/>
  <c r="D336" i="5"/>
  <c r="D337" i="5"/>
  <c r="D760" i="5"/>
  <c r="D590" i="5"/>
  <c r="D159" i="5"/>
  <c r="D338" i="5"/>
  <c r="D222" i="5"/>
  <c r="D223" i="5"/>
  <c r="D224" i="5"/>
  <c r="D225" i="5"/>
  <c r="D226" i="5"/>
  <c r="D227" i="5"/>
  <c r="D339" i="5"/>
  <c r="D340" i="5"/>
  <c r="D103" i="5"/>
  <c r="D591" i="5"/>
  <c r="D228" i="5"/>
  <c r="D86" i="5"/>
  <c r="D341" i="5"/>
  <c r="D761" i="5"/>
  <c r="D342" i="5"/>
  <c r="D160" i="5"/>
  <c r="D343" i="5"/>
  <c r="D592" i="5"/>
  <c r="D344" i="5"/>
  <c r="D345" i="5"/>
  <c r="D346" i="5"/>
  <c r="D51" i="5"/>
  <c r="D52" i="5"/>
  <c r="D347" i="5"/>
  <c r="D348" i="5"/>
  <c r="D593" i="5"/>
  <c r="D349" i="5"/>
  <c r="D350" i="5"/>
  <c r="D594" i="5"/>
  <c r="D351" i="5"/>
  <c r="D762" i="5"/>
  <c r="D595" i="5"/>
  <c r="D352" i="5"/>
  <c r="D104" i="5"/>
  <c r="D596" i="5"/>
  <c r="D353" i="5"/>
  <c r="D53" i="5"/>
  <c r="D354" i="5"/>
  <c r="D355" i="5"/>
  <c r="D356" i="5"/>
  <c r="D357" i="5"/>
  <c r="D597" i="5"/>
  <c r="D358" i="5"/>
  <c r="D598" i="5"/>
  <c r="D359" i="5"/>
  <c r="D360" i="5"/>
  <c r="D599" i="5"/>
  <c r="D229" i="5"/>
  <c r="D361" i="5"/>
  <c r="D105" i="5"/>
  <c r="D600" i="5"/>
  <c r="D601" i="5"/>
  <c r="D230" i="5"/>
  <c r="D231" i="5"/>
  <c r="D232" i="5"/>
  <c r="D602" i="5"/>
  <c r="D233" i="5"/>
  <c r="D87" i="5"/>
  <c r="D362" i="5"/>
  <c r="D363" i="5"/>
  <c r="D364" i="5"/>
  <c r="D161" i="5"/>
  <c r="D365" i="5"/>
  <c r="D366" i="5"/>
  <c r="D367" i="5"/>
  <c r="D368" i="5"/>
  <c r="D369" i="5"/>
  <c r="D370" i="5"/>
  <c r="D106" i="5"/>
  <c r="D371" i="5"/>
  <c r="D162" i="5"/>
  <c r="D372" i="5"/>
  <c r="D373" i="5"/>
  <c r="D54" i="5"/>
  <c r="D374" i="5"/>
  <c r="D375" i="5"/>
  <c r="D603" i="5"/>
  <c r="D376" i="5"/>
  <c r="D107" i="5"/>
  <c r="D234" i="5"/>
  <c r="D235" i="5"/>
  <c r="D236" i="5"/>
  <c r="D377" i="5"/>
  <c r="D108" i="5"/>
  <c r="D88" i="5"/>
  <c r="D378" i="5"/>
  <c r="D604" i="5"/>
  <c r="D379" i="5"/>
  <c r="D380" i="5"/>
  <c r="D237" i="5"/>
  <c r="D238" i="5"/>
  <c r="D239" i="5"/>
  <c r="D240" i="5"/>
  <c r="D381" i="5"/>
  <c r="D382" i="5"/>
  <c r="D605" i="5"/>
  <c r="D383" i="5"/>
  <c r="D763" i="5"/>
  <c r="D384" i="5"/>
  <c r="D55" i="5"/>
  <c r="D606" i="5"/>
  <c r="D607" i="5"/>
  <c r="D385" i="5"/>
  <c r="D241" i="5"/>
  <c r="D242" i="5"/>
  <c r="D243" i="5"/>
  <c r="D386" i="5"/>
  <c r="D196" i="5"/>
  <c r="D387" i="5"/>
  <c r="D608" i="5"/>
  <c r="D388" i="5"/>
  <c r="D109" i="5"/>
  <c r="D389" i="5"/>
  <c r="D764" i="5"/>
  <c r="D390" i="5"/>
  <c r="D609" i="5"/>
  <c r="D391" i="5"/>
  <c r="D392" i="5"/>
  <c r="D393" i="5"/>
  <c r="D163" i="5"/>
  <c r="D164" i="5"/>
  <c r="D394" i="5"/>
  <c r="D395" i="5"/>
  <c r="D396" i="5"/>
  <c r="D765" i="5"/>
  <c r="D397" i="5"/>
  <c r="D398" i="5"/>
  <c r="D174" i="5"/>
  <c r="D610" i="5"/>
  <c r="D399" i="5"/>
  <c r="D400" i="5"/>
  <c r="D401" i="5"/>
  <c r="D56" i="5"/>
  <c r="D57" i="5"/>
  <c r="D402" i="5"/>
  <c r="D182" i="5"/>
  <c r="D403" i="5"/>
  <c r="D611" i="5"/>
  <c r="D766" i="5"/>
  <c r="D819" i="5"/>
  <c r="D404" i="5"/>
  <c r="D89" i="5"/>
  <c r="D405" i="5"/>
  <c r="D767" i="5"/>
  <c r="D612" i="5"/>
  <c r="D406" i="5"/>
  <c r="D407" i="5"/>
  <c r="D613" i="5"/>
  <c r="D408" i="5"/>
  <c r="D768" i="5"/>
  <c r="D769" i="5"/>
  <c r="D614" i="5"/>
  <c r="D409" i="5"/>
  <c r="D410" i="5"/>
  <c r="D770" i="5"/>
  <c r="D615" i="5"/>
  <c r="D411" i="5"/>
  <c r="D771" i="5"/>
  <c r="D412" i="5"/>
  <c r="D413" i="5"/>
  <c r="D58" i="5"/>
  <c r="D616" i="5"/>
  <c r="D772" i="5"/>
  <c r="D414" i="5"/>
  <c r="D415" i="5"/>
  <c r="D773" i="5"/>
  <c r="D617" i="5"/>
  <c r="D416" i="5"/>
  <c r="D618" i="5"/>
  <c r="D417" i="5"/>
  <c r="D619" i="5"/>
  <c r="D821" i="5"/>
  <c r="D244" i="5"/>
  <c r="D245" i="5"/>
  <c r="D418" i="5"/>
  <c r="D620" i="5"/>
  <c r="D246" i="5"/>
  <c r="D419" i="5"/>
  <c r="D110" i="5"/>
  <c r="D621" i="5"/>
  <c r="D622" i="5"/>
  <c r="D420" i="5"/>
  <c r="D421" i="5"/>
  <c r="D623" i="5"/>
  <c r="D422" i="5"/>
  <c r="D111" i="5"/>
  <c r="D624" i="5"/>
  <c r="D625" i="5"/>
  <c r="D423" i="5"/>
  <c r="D424" i="5"/>
  <c r="D425" i="5"/>
  <c r="D59" i="5"/>
  <c r="D426" i="5"/>
  <c r="D774" i="5"/>
  <c r="D626" i="5"/>
  <c r="D627" i="5"/>
  <c r="D427" i="5"/>
  <c r="D60" i="5"/>
  <c r="D428" i="5"/>
  <c r="D628" i="5"/>
  <c r="D429" i="5"/>
  <c r="D61" i="5"/>
  <c r="D775" i="5"/>
  <c r="D629" i="5"/>
  <c r="D247" i="5"/>
  <c r="D248" i="5"/>
  <c r="D430" i="5"/>
  <c r="D197" i="5"/>
  <c r="D249" i="5"/>
  <c r="D431" i="5"/>
  <c r="D112" i="5"/>
  <c r="D432" i="5"/>
  <c r="D433" i="5"/>
  <c r="D776" i="5"/>
  <c r="D630" i="5"/>
  <c r="D434" i="5"/>
  <c r="D631" i="5"/>
  <c r="D435" i="5"/>
  <c r="D90" i="5"/>
  <c r="D436" i="5"/>
  <c r="D632" i="5"/>
  <c r="D250" i="5"/>
  <c r="D437" i="5"/>
  <c r="D113" i="5"/>
  <c r="D438" i="5"/>
  <c r="D439" i="5"/>
  <c r="D62" i="5"/>
  <c r="D633" i="5"/>
  <c r="D440" i="5"/>
  <c r="D441" i="5"/>
  <c r="D442" i="5"/>
  <c r="D634" i="5"/>
  <c r="D777" i="5"/>
  <c r="D635" i="5"/>
  <c r="D778" i="5"/>
  <c r="D636" i="5"/>
  <c r="D443" i="5"/>
  <c r="D444" i="5"/>
  <c r="D114" i="5"/>
  <c r="D637" i="5"/>
  <c r="D445" i="5"/>
  <c r="D175" i="5"/>
  <c r="D251" i="5"/>
  <c r="D91" i="5"/>
  <c r="D2" i="5"/>
  <c r="D446" i="5"/>
  <c r="D447" i="5"/>
  <c r="D63" i="5"/>
  <c r="D638" i="5"/>
  <c r="D448" i="5"/>
  <c r="D64" i="5"/>
  <c r="D639" i="5"/>
  <c r="D449" i="5"/>
  <c r="D640" i="5"/>
  <c r="D450" i="5"/>
  <c r="D451" i="5"/>
  <c r="D115" i="5"/>
  <c r="D116" i="5"/>
  <c r="D641" i="5"/>
  <c r="D452" i="5"/>
  <c r="D642" i="5"/>
  <c r="D453" i="5"/>
  <c r="D643" i="5"/>
  <c r="D198" i="5"/>
  <c r="D454" i="5"/>
  <c r="D455" i="5"/>
  <c r="D644" i="5"/>
  <c r="D456" i="5"/>
  <c r="D457" i="5"/>
  <c r="D458" i="5"/>
  <c r="D459" i="5"/>
  <c r="D779" i="5"/>
  <c r="D645" i="5"/>
  <c r="D646" i="5"/>
  <c r="D460" i="5"/>
  <c r="D117" i="5"/>
  <c r="D647" i="5"/>
  <c r="D648" i="5"/>
  <c r="D461" i="5"/>
  <c r="D649" i="5"/>
  <c r="D650" i="5"/>
  <c r="D462" i="5"/>
  <c r="D651" i="5"/>
  <c r="D463" i="5"/>
  <c r="D92" i="5"/>
  <c r="D464" i="5"/>
  <c r="D780" i="5"/>
  <c r="D93" i="5"/>
  <c r="D465" i="5"/>
  <c r="D252" i="5"/>
  <c r="D94" i="5"/>
  <c r="D466" i="5"/>
  <c r="D467" i="5"/>
  <c r="D65" i="5"/>
  <c r="D468" i="5"/>
  <c r="D469" i="5"/>
  <c r="D95" i="5"/>
  <c r="D3" i="5"/>
  <c r="D470" i="5"/>
  <c r="D253" i="5"/>
  <c r="D4" i="5"/>
  <c r="D471" i="5"/>
  <c r="D118" i="5"/>
  <c r="D652" i="5"/>
  <c r="D96" i="5"/>
  <c r="D472" i="5"/>
  <c r="D473" i="5"/>
  <c r="D474" i="5"/>
  <c r="D653" i="5"/>
  <c r="D475" i="5"/>
  <c r="D781" i="5"/>
  <c r="D782" i="5"/>
  <c r="D254" i="5"/>
  <c r="D476" i="5"/>
  <c r="D119" i="5"/>
  <c r="D654" i="5"/>
  <c r="D477" i="5"/>
  <c r="D478" i="5"/>
  <c r="D479" i="5"/>
  <c r="D655" i="5"/>
  <c r="D480" i="5"/>
  <c r="D66" i="5"/>
  <c r="D783" i="5"/>
  <c r="D656" i="5"/>
  <c r="D481" i="5"/>
  <c r="D120" i="5"/>
  <c r="D784" i="5"/>
  <c r="D785" i="5"/>
  <c r="D199" i="5"/>
  <c r="D482" i="5"/>
  <c r="D657" i="5"/>
  <c r="D658" i="5"/>
  <c r="D483" i="5"/>
  <c r="D484" i="5"/>
  <c r="D485" i="5"/>
  <c r="D659" i="5"/>
  <c r="D486" i="5"/>
  <c r="D121" i="5"/>
  <c r="D487" i="5"/>
  <c r="D786" i="5"/>
  <c r="D660" i="5"/>
  <c r="D488" i="5"/>
  <c r="D661" i="5"/>
  <c r="D122" i="5"/>
  <c r="D489" i="5"/>
  <c r="D490" i="5"/>
  <c r="D662" i="5"/>
  <c r="D663" i="5"/>
  <c r="D491" i="5"/>
  <c r="D492" i="5"/>
  <c r="D664" i="5"/>
  <c r="D787" i="5"/>
  <c r="D493" i="5"/>
  <c r="D665" i="5"/>
  <c r="D494" i="5"/>
  <c r="D666" i="5"/>
  <c r="D667" i="5"/>
  <c r="D668" i="5"/>
  <c r="D669" i="5"/>
  <c r="D670" i="5"/>
  <c r="D827" i="5"/>
  <c r="D671" i="5"/>
  <c r="D672" i="5"/>
  <c r="D200" i="5"/>
  <c r="D673" i="5"/>
  <c r="D201" i="5"/>
  <c r="D202" i="5"/>
  <c r="D674" i="5"/>
  <c r="D675" i="5"/>
  <c r="D676" i="5"/>
  <c r="D677" i="5"/>
  <c r="D495" i="5"/>
  <c r="D67" i="5"/>
  <c r="D496" i="5"/>
  <c r="D497" i="5"/>
  <c r="D678" i="5"/>
  <c r="D255" i="5"/>
  <c r="D828" i="5"/>
  <c r="D123" i="5"/>
  <c r="D124" i="5"/>
  <c r="D165" i="5"/>
  <c r="D5" i="5"/>
  <c r="D125" i="5"/>
  <c r="D324" i="5"/>
  <c r="D166" i="5"/>
  <c r="D6" i="5"/>
  <c r="D126" i="5"/>
  <c r="D256" i="5"/>
  <c r="D257" i="5"/>
  <c r="D258" i="5"/>
  <c r="D498" i="5"/>
  <c r="D259" i="5"/>
  <c r="D829" i="5"/>
  <c r="D7" i="5"/>
  <c r="D127" i="5"/>
  <c r="D8" i="5"/>
  <c r="D9" i="5"/>
  <c r="D10" i="5"/>
  <c r="D128" i="5"/>
  <c r="D129" i="5"/>
  <c r="D130" i="5"/>
  <c r="D176" i="5"/>
  <c r="D499" i="5"/>
  <c r="D45" i="5"/>
  <c r="D46" i="5"/>
  <c r="D167" i="5"/>
  <c r="D788" i="5"/>
  <c r="D11" i="5"/>
  <c r="D131" i="5"/>
  <c r="D679" i="5"/>
  <c r="D68" i="5"/>
  <c r="D789" i="5"/>
  <c r="D680" i="5"/>
  <c r="D500" i="5"/>
  <c r="D203" i="5"/>
  <c r="D501" i="5"/>
  <c r="D132" i="5"/>
  <c r="D12" i="5"/>
  <c r="D502" i="5"/>
  <c r="D69" i="5"/>
  <c r="D681" i="5"/>
  <c r="D503" i="5"/>
  <c r="D682" i="5"/>
  <c r="D504" i="5"/>
  <c r="D260" i="5"/>
  <c r="D261" i="5"/>
  <c r="D262" i="5"/>
  <c r="D505" i="5"/>
  <c r="D168" i="5"/>
  <c r="D13" i="5"/>
  <c r="D133" i="5"/>
  <c r="D683" i="5"/>
  <c r="D263" i="5"/>
  <c r="D169" i="5"/>
  <c r="D134" i="5"/>
  <c r="D506" i="5"/>
  <c r="D170" i="5"/>
  <c r="D14" i="5"/>
  <c r="D135" i="5"/>
  <c r="D507" i="5"/>
  <c r="D830" i="5"/>
  <c r="D15" i="5"/>
  <c r="D508" i="5"/>
  <c r="D70" i="5"/>
  <c r="D189" i="5"/>
  <c r="D183" i="5"/>
  <c r="D509" i="5"/>
  <c r="D264" i="5"/>
  <c r="D265" i="5"/>
  <c r="D266" i="5"/>
  <c r="D510" i="5"/>
  <c r="D71" i="5"/>
  <c r="D684" i="5"/>
  <c r="D685" i="5"/>
  <c r="D511" i="5"/>
  <c r="D16" i="5"/>
  <c r="D790" i="5"/>
  <c r="D512" i="5"/>
  <c r="D686" i="5"/>
  <c r="D513" i="5"/>
  <c r="D267" i="5"/>
  <c r="D268" i="5"/>
  <c r="D269" i="5"/>
  <c r="D514" i="5"/>
  <c r="D270" i="5"/>
  <c r="D271" i="5"/>
  <c r="D272" i="5"/>
  <c r="D687" i="5"/>
  <c r="D515" i="5"/>
  <c r="D177" i="5"/>
  <c r="D325" i="5"/>
  <c r="D17" i="5"/>
  <c r="D688" i="5"/>
  <c r="D516" i="5"/>
  <c r="D72" i="5"/>
  <c r="D689" i="5"/>
  <c r="D517" i="5"/>
  <c r="D190" i="5"/>
  <c r="D184" i="5"/>
  <c r="D690" i="5"/>
  <c r="D273" i="5"/>
  <c r="D518" i="5"/>
  <c r="D73" i="5"/>
  <c r="D47" i="5"/>
  <c r="D48" i="5"/>
  <c r="D519" i="5"/>
  <c r="D520" i="5"/>
  <c r="D74" i="5"/>
  <c r="D691" i="5"/>
  <c r="D521" i="5"/>
  <c r="D171" i="5"/>
  <c r="D18" i="5"/>
  <c r="D136" i="5"/>
  <c r="D19" i="5"/>
  <c r="D137" i="5"/>
  <c r="D522" i="5"/>
  <c r="D75" i="5"/>
  <c r="D523" i="5"/>
  <c r="D524" i="5"/>
  <c r="D204" i="5"/>
  <c r="D20" i="5"/>
  <c r="D525" i="5"/>
  <c r="D76" i="5"/>
  <c r="D205" i="5"/>
  <c r="D526" i="5"/>
  <c r="D77" i="5"/>
  <c r="D692" i="5"/>
  <c r="D527" i="5"/>
  <c r="D693" i="5"/>
  <c r="D21" i="5"/>
  <c r="D528" i="5"/>
  <c r="D529" i="5"/>
  <c r="D822" i="5"/>
  <c r="D530" i="5"/>
  <c r="D138" i="5"/>
  <c r="D694" i="5"/>
  <c r="D274" i="5"/>
  <c r="D275" i="5"/>
  <c r="D531" i="5"/>
  <c r="D532" i="5"/>
  <c r="D791" i="5"/>
  <c r="D792" i="5"/>
  <c r="D793" i="5"/>
  <c r="D794" i="5"/>
  <c r="D795" i="5"/>
  <c r="D206" i="5"/>
  <c r="D191" i="5"/>
  <c r="D185" i="5"/>
  <c r="D695" i="5"/>
  <c r="D276" i="5"/>
  <c r="D533" i="5"/>
  <c r="D78" i="5"/>
  <c r="D534" i="5"/>
  <c r="D696" i="5"/>
  <c r="D277" i="5"/>
  <c r="D278" i="5"/>
  <c r="D535" i="5"/>
  <c r="D22" i="5"/>
  <c r="D536" i="5"/>
  <c r="D697" i="5"/>
  <c r="D537" i="5"/>
  <c r="D796" i="5"/>
  <c r="D797" i="5"/>
  <c r="D798" i="5"/>
  <c r="D698" i="5"/>
  <c r="D538" i="5"/>
  <c r="D279" i="5"/>
  <c r="D49" i="5"/>
  <c r="D79" i="5"/>
  <c r="D799" i="5"/>
  <c r="D539" i="5"/>
  <c r="D540" i="5"/>
  <c r="D139" i="5"/>
  <c r="D699" i="5"/>
  <c r="D700" i="5"/>
  <c r="D541" i="5"/>
  <c r="D800" i="5"/>
  <c r="D701" i="5"/>
  <c r="D542" i="5"/>
  <c r="D702" i="5"/>
  <c r="D543" i="5"/>
  <c r="D140" i="5"/>
  <c r="D192" i="5"/>
  <c r="D186" i="5"/>
  <c r="D544" i="5"/>
  <c r="D141" i="5"/>
  <c r="D545" i="5"/>
  <c r="D546" i="5"/>
  <c r="D142" i="5"/>
  <c r="D703" i="5"/>
  <c r="D80" i="5"/>
  <c r="D704" i="5"/>
  <c r="D705" i="5"/>
  <c r="D178" i="5"/>
  <c r="D706" i="5"/>
  <c r="D547" i="5"/>
  <c r="D280" i="5"/>
  <c r="D23" i="5"/>
  <c r="D143" i="5"/>
  <c r="D281" i="5"/>
  <c r="D831" i="5"/>
  <c r="D24" i="5"/>
  <c r="D707" i="5"/>
  <c r="D548" i="5"/>
  <c r="D801" i="5"/>
  <c r="D708" i="5"/>
  <c r="D282" i="5"/>
  <c r="D823" i="5"/>
  <c r="D802" i="5"/>
  <c r="D709" i="5"/>
  <c r="D803" i="5"/>
  <c r="D710" i="5"/>
  <c r="D283" i="5"/>
  <c r="D284" i="5"/>
  <c r="D549" i="5"/>
  <c r="D711" i="5"/>
  <c r="D25" i="5"/>
  <c r="D550" i="5"/>
  <c r="D712" i="5"/>
  <c r="D97" i="5"/>
  <c r="D551" i="5"/>
  <c r="D713" i="5"/>
  <c r="D552" i="5"/>
  <c r="D81" i="5"/>
  <c r="D98" i="5"/>
  <c r="D26" i="5"/>
  <c r="D553" i="5"/>
  <c r="D804" i="5"/>
  <c r="D714" i="5"/>
  <c r="D99" i="5"/>
  <c r="D27" i="5"/>
  <c r="D554" i="5"/>
  <c r="D715" i="5"/>
  <c r="D555" i="5"/>
  <c r="D82" i="5"/>
  <c r="D716" i="5"/>
  <c r="D28" i="5"/>
  <c r="D556" i="5"/>
  <c r="D717" i="5"/>
  <c r="D557" i="5"/>
  <c r="D50" i="5"/>
  <c r="D832" i="5"/>
  <c r="D718" i="5"/>
  <c r="D558" i="5"/>
  <c r="D719" i="5"/>
  <c r="D285" i="5"/>
  <c r="D286" i="5"/>
  <c r="D287" i="5"/>
  <c r="D29" i="5"/>
  <c r="D207" i="5"/>
  <c r="D559" i="5"/>
  <c r="D720" i="5"/>
  <c r="D721" i="5"/>
  <c r="D722" i="5"/>
  <c r="D805" i="5"/>
  <c r="D288" i="5"/>
  <c r="D833" i="5"/>
  <c r="D560" i="5"/>
  <c r="D144" i="5"/>
  <c r="D289" i="5"/>
  <c r="D834" i="5"/>
  <c r="D723" i="5"/>
  <c r="D561" i="5"/>
  <c r="D145" i="5"/>
  <c r="D290" i="5"/>
  <c r="D291" i="5"/>
  <c r="D30" i="5"/>
  <c r="D562" i="5"/>
  <c r="D724" i="5"/>
  <c r="D824" i="5"/>
  <c r="D100" i="5"/>
  <c r="D31" i="5"/>
  <c r="D563" i="5"/>
  <c r="D564" i="5"/>
  <c r="D725" i="5"/>
  <c r="D32" i="5"/>
  <c r="D565" i="5"/>
  <c r="D726" i="5"/>
  <c r="D292" i="5"/>
  <c r="D293" i="5"/>
  <c r="D566" i="5"/>
  <c r="D83" i="5"/>
  <c r="D806" i="5"/>
  <c r="D187" i="5"/>
  <c r="D322" i="5"/>
  <c r="D727" i="5"/>
  <c r="D728" i="5"/>
  <c r="D294" i="5"/>
  <c r="D295" i="5"/>
  <c r="D807" i="5"/>
  <c r="D84" i="5"/>
  <c r="D729" i="5"/>
  <c r="D146" i="5"/>
  <c r="D730" i="5"/>
  <c r="D567" i="5"/>
  <c r="D208" i="5"/>
  <c r="D209" i="5"/>
  <c r="D210" i="5"/>
  <c r="D296" i="5"/>
  <c r="D835" i="5"/>
  <c r="D297" i="5"/>
  <c r="D568" i="5"/>
  <c r="D569" i="5"/>
  <c r="D731" i="5"/>
  <c r="D33" i="5"/>
  <c r="D298" i="5"/>
  <c r="D299" i="5"/>
  <c r="D300" i="5"/>
  <c r="D825" i="5"/>
  <c r="D836" i="5"/>
  <c r="D211" i="5"/>
  <c r="D147" i="5"/>
  <c r="D732" i="5"/>
  <c r="D733" i="5"/>
  <c r="D301" i="5"/>
  <c r="D302" i="5"/>
  <c r="D570" i="5"/>
  <c r="D734" i="5"/>
  <c r="D837" i="5"/>
  <c r="D303" i="5"/>
  <c r="D735" i="5"/>
  <c r="D148" i="5"/>
  <c r="D179" i="5"/>
  <c r="D838" i="5"/>
  <c r="D34" i="5"/>
  <c r="D571" i="5"/>
  <c r="D839" i="5"/>
  <c r="D304" i="5"/>
  <c r="D840" i="5"/>
  <c r="D305" i="5"/>
  <c r="D306" i="5"/>
  <c r="D307" i="5"/>
  <c r="D572" i="5"/>
  <c r="D149" i="5"/>
  <c r="D212" i="5"/>
  <c r="D321" i="5"/>
  <c r="D308" i="5"/>
  <c r="D309" i="5"/>
  <c r="D310" i="5"/>
  <c r="D808" i="5"/>
  <c r="D841" i="5"/>
  <c r="D311" i="5"/>
  <c r="D188" i="5"/>
  <c r="D736" i="5"/>
  <c r="D737" i="5"/>
  <c r="D842" i="5"/>
  <c r="D312" i="5"/>
  <c r="D826" i="5"/>
  <c r="D313" i="5"/>
  <c r="D738" i="5"/>
  <c r="D314" i="5"/>
  <c r="D180" i="5"/>
  <c r="D85" i="5"/>
  <c r="D809" i="5"/>
  <c r="D843" i="5"/>
  <c r="D315" i="5"/>
  <c r="D739" i="5"/>
  <c r="D316" i="5"/>
  <c r="D317" i="5"/>
  <c r="D740" i="5"/>
  <c r="D318" i="5"/>
  <c r="D741" i="5"/>
  <c r="D319" i="5"/>
  <c r="D320" i="5"/>
  <c r="D810" i="5"/>
  <c r="D150" i="5"/>
  <c r="D742" i="5"/>
  <c r="D743" i="5"/>
  <c r="D573" i="5"/>
  <c r="D574" i="5"/>
  <c r="D844" i="5"/>
  <c r="D744" i="5"/>
  <c r="D101" i="5"/>
  <c r="D575" i="5"/>
  <c r="D811" i="5"/>
  <c r="D812" i="5"/>
  <c r="D35" i="5"/>
  <c r="D213" i="5"/>
  <c r="D151" i="5"/>
  <c r="D745" i="5"/>
  <c r="D746" i="5"/>
  <c r="D747" i="5"/>
  <c r="D576" i="5"/>
  <c r="D214" i="5"/>
  <c r="D181" i="5"/>
  <c r="D326" i="5"/>
  <c r="D215" i="5"/>
  <c r="D748" i="5"/>
  <c r="D813" i="5"/>
  <c r="D36" i="5"/>
  <c r="D152" i="5"/>
  <c r="D37" i="5"/>
  <c r="D749" i="5"/>
  <c r="D38" i="5"/>
  <c r="D577" i="5"/>
  <c r="D750" i="5"/>
  <c r="D39" i="5"/>
  <c r="D578" i="5"/>
  <c r="D751" i="5"/>
  <c r="D752" i="5"/>
  <c r="D216" i="5"/>
  <c r="D40" i="5"/>
  <c r="D579" i="5"/>
  <c r="D814" i="5"/>
  <c r="D153" i="5"/>
  <c r="D41" i="5"/>
  <c r="D217" i="5"/>
  <c r="D815" i="5"/>
  <c r="D816" i="5"/>
  <c r="D580" i="5"/>
  <c r="D753" i="5"/>
  <c r="D42" i="5"/>
  <c r="D817" i="5"/>
  <c r="D43" i="5"/>
  <c r="D581" i="5"/>
  <c r="D754" i="5"/>
  <c r="D44" i="5"/>
  <c r="D172" i="5"/>
  <c r="D820" i="5"/>
  <c r="D755" i="5"/>
  <c r="D154" i="5"/>
  <c r="D818" i="5"/>
  <c r="D582" i="5"/>
  <c r="L152" i="5"/>
  <c r="L131" i="5"/>
  <c r="L791" i="5"/>
  <c r="L820" i="5"/>
  <c r="L37" i="5"/>
  <c r="L11" i="5"/>
  <c r="L167" i="5"/>
  <c r="L788" i="5"/>
  <c r="L220" i="5"/>
  <c r="L226" i="5"/>
  <c r="L624" i="5"/>
  <c r="L221" i="5"/>
  <c r="L222" i="5"/>
  <c r="L224" i="5"/>
  <c r="L488" i="5"/>
  <c r="L441" i="5"/>
  <c r="L449" i="5"/>
  <c r="L423" i="5"/>
  <c r="L397" i="5"/>
  <c r="L387" i="5"/>
  <c r="L330" i="5"/>
  <c r="L339" i="5"/>
  <c r="L114" i="5"/>
  <c r="L232" i="5"/>
  <c r="L227" i="5"/>
  <c r="L444" i="5"/>
  <c r="L424" i="5"/>
  <c r="L645" i="5"/>
  <c r="L625" i="5"/>
  <c r="L223" i="5"/>
  <c r="L231" i="5"/>
  <c r="L230" i="5"/>
  <c r="L225" i="5"/>
  <c r="L490" i="5"/>
  <c r="L340" i="5"/>
  <c r="L333" i="5"/>
  <c r="L108" i="5"/>
  <c r="L106" i="5"/>
  <c r="L236" i="5"/>
  <c r="L630" i="5"/>
  <c r="L244" i="5"/>
  <c r="L245" i="5"/>
  <c r="L234" i="5"/>
  <c r="L235" i="5"/>
  <c r="L418" i="5"/>
  <c r="L434" i="5"/>
  <c r="L377" i="5"/>
  <c r="L370" i="5"/>
  <c r="L175" i="5"/>
  <c r="L243" i="5"/>
  <c r="L386" i="5"/>
  <c r="L241" i="5"/>
  <c r="L242" i="5"/>
  <c r="L756" i="5"/>
  <c r="L832" i="5"/>
  <c r="L747" i="5"/>
  <c r="L743" i="5"/>
  <c r="L308" i="5"/>
  <c r="L754" i="5"/>
  <c r="L752" i="5"/>
  <c r="L732" i="5"/>
  <c r="L204" i="5"/>
  <c r="L239" i="5"/>
  <c r="L626" i="5"/>
  <c r="L237" i="5"/>
  <c r="L238" i="5"/>
  <c r="L240" i="5"/>
  <c r="L381" i="5"/>
  <c r="L766" i="5"/>
  <c r="L359" i="5"/>
  <c r="L639" i="5"/>
  <c r="L611" i="5"/>
  <c r="L598" i="5"/>
  <c r="L343" i="5"/>
  <c r="L160" i="5"/>
  <c r="L701" i="5"/>
  <c r="L542" i="5"/>
  <c r="L568" i="5"/>
  <c r="L569" i="5"/>
  <c r="L539" i="5"/>
  <c r="L538" i="5"/>
  <c r="L705" i="5"/>
  <c r="L698" i="5"/>
  <c r="L819" i="5"/>
  <c r="L633" i="5"/>
  <c r="L440" i="5"/>
  <c r="L404" i="5"/>
  <c r="L58" i="5"/>
  <c r="L413" i="5"/>
  <c r="L478" i="5"/>
  <c r="L683" i="5"/>
  <c r="L263" i="5"/>
  <c r="L262" i="5"/>
  <c r="L260" i="5"/>
  <c r="L261" i="5"/>
  <c r="L266" i="5"/>
  <c r="L264" i="5"/>
  <c r="L265" i="5"/>
  <c r="L274" i="5"/>
  <c r="L694" i="5"/>
  <c r="L275" i="5"/>
  <c r="L277" i="5"/>
  <c r="L535" i="5"/>
  <c r="L696" i="5"/>
  <c r="L278" i="5"/>
  <c r="L283" i="5"/>
  <c r="L549" i="5"/>
  <c r="L710" i="5"/>
  <c r="L284" i="5"/>
  <c r="L833" i="5"/>
  <c r="L288" i="5"/>
  <c r="L285" i="5"/>
  <c r="L719" i="5"/>
  <c r="L286" i="5"/>
  <c r="L836" i="5"/>
  <c r="L825" i="5"/>
  <c r="L300" i="5"/>
  <c r="L835" i="5"/>
  <c r="L296" i="5"/>
  <c r="L298" i="5"/>
  <c r="L297" i="5"/>
  <c r="L299" i="5"/>
  <c r="L301" i="5"/>
  <c r="L733" i="5"/>
  <c r="L302" i="5"/>
  <c r="L570" i="5"/>
  <c r="L839" i="5"/>
  <c r="L304" i="5"/>
  <c r="L212" i="5"/>
  <c r="L321" i="5"/>
  <c r="L840" i="5"/>
  <c r="L305" i="5"/>
  <c r="L309" i="5"/>
  <c r="L310" i="5"/>
  <c r="L738" i="5"/>
  <c r="L314" i="5"/>
  <c r="L844" i="5"/>
  <c r="L269" i="5"/>
  <c r="L258" i="5"/>
  <c r="L711" i="5"/>
  <c r="L689" i="5"/>
  <c r="L267" i="5"/>
  <c r="L268" i="5"/>
  <c r="L256" i="5"/>
  <c r="L257" i="5"/>
  <c r="L514" i="5"/>
  <c r="L517" i="5"/>
  <c r="L498" i="5"/>
  <c r="L272" i="5"/>
  <c r="L183" i="5"/>
  <c r="L529" i="5"/>
  <c r="L509" i="5"/>
  <c r="L713" i="5"/>
  <c r="L270" i="5"/>
  <c r="L271" i="5"/>
  <c r="L189" i="5"/>
  <c r="L612" i="5"/>
  <c r="L590" i="5"/>
  <c r="L406" i="5"/>
  <c r="L400" i="5"/>
  <c r="L384" i="5"/>
  <c r="L332" i="5"/>
  <c r="L59" i="5"/>
  <c r="L457" i="5"/>
  <c r="L425" i="5"/>
  <c r="L428" i="5"/>
  <c r="L399" i="5"/>
  <c r="L398" i="5"/>
  <c r="L414" i="5"/>
  <c r="L409" i="5"/>
  <c r="L363" i="5"/>
  <c r="L355" i="5"/>
  <c r="L55" i="5"/>
  <c r="L432" i="5"/>
  <c r="L537" i="5"/>
  <c r="L796" i="5"/>
  <c r="L534" i="5"/>
  <c r="L523" i="5"/>
  <c r="L697" i="5"/>
  <c r="L179" i="5"/>
  <c r="L504" i="5"/>
  <c r="L718" i="5"/>
  <c r="L699" i="5"/>
  <c r="L682" i="5"/>
  <c r="L324" i="5"/>
  <c r="L67" i="5"/>
  <c r="L677" i="5"/>
  <c r="L495" i="5"/>
  <c r="L248" i="5"/>
  <c r="L247" i="5"/>
  <c r="L64" i="5"/>
  <c r="L62" i="5"/>
  <c r="L439" i="5"/>
  <c r="L430" i="5"/>
  <c r="L205" i="5"/>
  <c r="L206" i="5"/>
  <c r="L712" i="5"/>
  <c r="L723" i="5"/>
  <c r="L721" i="5"/>
  <c r="L207" i="5"/>
  <c r="L720" i="5"/>
  <c r="L722" i="5"/>
  <c r="L210" i="5"/>
  <c r="L209" i="5"/>
  <c r="L208" i="5"/>
  <c r="L729" i="5"/>
  <c r="L213" i="5"/>
  <c r="L745" i="5"/>
  <c r="L746" i="5"/>
  <c r="L214" i="5"/>
  <c r="L177" i="5"/>
  <c r="L17" i="5"/>
  <c r="L325" i="5"/>
  <c r="L454" i="5"/>
  <c r="L435" i="5"/>
  <c r="L631" i="5"/>
  <c r="L198" i="5"/>
  <c r="L193" i="5"/>
  <c r="L162" i="5"/>
  <c r="L372" i="5"/>
  <c r="L194" i="5"/>
  <c r="L196" i="5"/>
  <c r="L692" i="5"/>
  <c r="L545" i="5"/>
  <c r="L527" i="5"/>
  <c r="L532" i="5"/>
  <c r="L507" i="5"/>
  <c r="L567" i="5"/>
  <c r="L558" i="5"/>
  <c r="L531" i="5"/>
  <c r="L541" i="5"/>
  <c r="L521" i="5"/>
  <c r="L700" i="5"/>
  <c r="L691" i="5"/>
  <c r="L176" i="5"/>
  <c r="L499" i="5"/>
  <c r="L211" i="5"/>
  <c r="L154" i="5"/>
  <c r="L153" i="5"/>
  <c r="L85" i="5"/>
  <c r="L150" i="5"/>
  <c r="L148" i="5"/>
  <c r="L147" i="5"/>
  <c r="L146" i="5"/>
  <c r="L84" i="5"/>
  <c r="L143" i="5"/>
  <c r="L79" i="5"/>
  <c r="L68" i="5"/>
  <c r="L123" i="5"/>
  <c r="L180" i="5"/>
  <c r="L755" i="5"/>
  <c r="L735" i="5"/>
  <c r="L679" i="5"/>
  <c r="L280" i="5"/>
  <c r="L818" i="5"/>
  <c r="L817" i="5"/>
  <c r="L41" i="5"/>
  <c r="L811" i="5"/>
  <c r="L809" i="5"/>
  <c r="L23" i="5"/>
  <c r="L799" i="5"/>
  <c r="L789" i="5"/>
  <c r="L151" i="5"/>
  <c r="L83" i="5"/>
  <c r="L82" i="5"/>
  <c r="L81" i="5"/>
  <c r="L80" i="5"/>
  <c r="L727" i="5"/>
  <c r="L559" i="5"/>
  <c r="L806" i="5"/>
  <c r="L805" i="5"/>
  <c r="L801" i="5"/>
  <c r="L552" i="5"/>
  <c r="L816" i="5"/>
  <c r="L815" i="5"/>
  <c r="L814" i="5"/>
  <c r="L36" i="5"/>
  <c r="L813" i="5"/>
  <c r="L812" i="5"/>
  <c r="L810" i="5"/>
  <c r="L145" i="5"/>
  <c r="L124" i="5"/>
  <c r="L561" i="5"/>
  <c r="L118" i="5"/>
  <c r="L95" i="5"/>
  <c r="L91" i="5"/>
  <c r="L113" i="5"/>
  <c r="L112" i="5"/>
  <c r="L90" i="5"/>
  <c r="L110" i="5"/>
  <c r="L632" i="5"/>
  <c r="L620" i="5"/>
  <c r="L253" i="5"/>
  <c r="L251" i="5"/>
  <c r="L250" i="5"/>
  <c r="L249" i="5"/>
  <c r="L246" i="5"/>
  <c r="L471" i="5"/>
  <c r="L4" i="5"/>
  <c r="L470" i="5"/>
  <c r="L3" i="5"/>
  <c r="L446" i="5"/>
  <c r="L2" i="5"/>
  <c r="L437" i="5"/>
  <c r="L431" i="5"/>
  <c r="L436" i="5"/>
  <c r="L419" i="5"/>
  <c r="L92" i="5"/>
  <c r="L93" i="5"/>
  <c r="L53" i="5"/>
  <c r="L86" i="5"/>
  <c r="L464" i="5"/>
  <c r="L465" i="5"/>
  <c r="L443" i="5"/>
  <c r="L353" i="5"/>
  <c r="L636" i="5"/>
  <c r="L596" i="5"/>
  <c r="L591" i="5"/>
  <c r="L228" i="5"/>
  <c r="L341" i="5"/>
  <c r="L761" i="5"/>
  <c r="L88" i="5"/>
  <c r="L378" i="5"/>
  <c r="L335" i="5"/>
  <c r="L97" i="5"/>
  <c r="L551" i="5"/>
  <c r="L522" i="5"/>
  <c r="L704" i="5"/>
  <c r="L54" i="5"/>
  <c r="L174" i="5"/>
  <c r="L161" i="5"/>
  <c r="L365" i="5"/>
  <c r="L329" i="5"/>
  <c r="L382" i="5"/>
  <c r="L338" i="5"/>
  <c r="L159" i="5"/>
  <c r="L294" i="5"/>
  <c r="L728" i="5"/>
  <c r="L295" i="5"/>
  <c r="L807" i="5"/>
  <c r="L536" i="5"/>
  <c r="L22" i="5"/>
  <c r="L132" i="5"/>
  <c r="L292" i="5"/>
  <c r="L290" i="5"/>
  <c r="L726" i="5"/>
  <c r="L566" i="5"/>
  <c r="L564" i="5"/>
  <c r="L562" i="5"/>
  <c r="L30" i="5"/>
  <c r="L501" i="5"/>
  <c r="L293" i="5"/>
  <c r="L291" i="5"/>
  <c r="L203" i="5"/>
  <c r="L215" i="5"/>
  <c r="L576" i="5"/>
  <c r="L87" i="5"/>
  <c r="L362" i="5"/>
  <c r="L602" i="5"/>
  <c r="L585" i="5"/>
  <c r="L233" i="5"/>
  <c r="L328" i="5"/>
  <c r="L195" i="5"/>
  <c r="L822" i="5"/>
  <c r="L316" i="5"/>
  <c r="L739" i="5"/>
  <c r="L317" i="5"/>
  <c r="L287" i="5"/>
  <c r="L29" i="5"/>
  <c r="L843" i="5"/>
  <c r="L842" i="5"/>
  <c r="L841" i="5"/>
  <c r="L837" i="5"/>
  <c r="L834" i="5"/>
  <c r="L831" i="5"/>
  <c r="L829" i="5"/>
  <c r="L306" i="5"/>
  <c r="L740" i="5"/>
  <c r="L741" i="5"/>
  <c r="L737" i="5"/>
  <c r="L730" i="5"/>
  <c r="L24" i="5"/>
  <c r="L703" i="5"/>
  <c r="L315" i="5"/>
  <c r="L318" i="5"/>
  <c r="L320" i="5"/>
  <c r="L319" i="5"/>
  <c r="L312" i="5"/>
  <c r="L313" i="5"/>
  <c r="L826" i="5"/>
  <c r="L311" i="5"/>
  <c r="L307" i="5"/>
  <c r="L303" i="5"/>
  <c r="L289" i="5"/>
  <c r="L281" i="5"/>
  <c r="L259" i="5"/>
  <c r="L828" i="5"/>
  <c r="L678" i="5"/>
  <c r="L255" i="5"/>
  <c r="L581" i="5"/>
  <c r="L43" i="5"/>
  <c r="L753" i="5"/>
  <c r="L44" i="5"/>
  <c r="L580" i="5"/>
  <c r="L42" i="5"/>
  <c r="L672" i="5"/>
  <c r="L668" i="5"/>
  <c r="L201" i="5"/>
  <c r="L202" i="5"/>
  <c r="L200" i="5"/>
  <c r="L496" i="5"/>
  <c r="L63" i="5"/>
  <c r="L588" i="5"/>
  <c r="L447" i="5"/>
  <c r="L347" i="5"/>
  <c r="L60" i="5"/>
  <c r="L107" i="5"/>
  <c r="L427" i="5"/>
  <c r="L416" i="5"/>
  <c r="L376" i="5"/>
  <c r="L627" i="5"/>
  <c r="L617" i="5"/>
  <c r="L613" i="5"/>
  <c r="L603" i="5"/>
  <c r="L583" i="5"/>
  <c r="L582" i="5"/>
  <c r="L327" i="5"/>
  <c r="L600" i="5"/>
  <c r="L601" i="5"/>
  <c r="L584" i="5"/>
  <c r="L360" i="5"/>
  <c r="L364" i="5"/>
  <c r="L336" i="5"/>
  <c r="L356" i="5"/>
  <c r="L368" i="5"/>
  <c r="L371" i="5"/>
  <c r="L337" i="5"/>
  <c r="L760" i="5"/>
  <c r="L379" i="5"/>
  <c r="L383" i="5"/>
  <c r="L358" i="5"/>
  <c r="L605" i="5"/>
  <c r="L597" i="5"/>
  <c r="L604" i="5"/>
  <c r="L144" i="5"/>
  <c r="L138" i="5"/>
  <c r="L560" i="5"/>
  <c r="L530" i="5"/>
  <c r="L142" i="5"/>
  <c r="L139" i="5"/>
  <c r="L546" i="5"/>
  <c r="L540" i="5"/>
  <c r="L680" i="5"/>
  <c r="L500" i="5"/>
  <c r="L497" i="5"/>
  <c r="L45" i="5"/>
  <c r="L46" i="5"/>
  <c r="L49" i="5"/>
  <c r="L48" i="5"/>
  <c r="L47" i="5"/>
  <c r="L642" i="5"/>
  <c r="L453" i="5"/>
  <c r="L653" i="5"/>
  <c r="L475" i="5"/>
  <c r="L572" i="5"/>
  <c r="L482" i="5"/>
  <c r="L473" i="5"/>
  <c r="L474" i="5"/>
  <c r="L469" i="5"/>
  <c r="L163" i="5"/>
  <c r="L394" i="5"/>
  <c r="L408" i="5"/>
  <c r="L768" i="5"/>
  <c r="L392" i="5"/>
  <c r="L393" i="5"/>
  <c r="L390" i="5"/>
  <c r="L389" i="5"/>
  <c r="L764" i="5"/>
  <c r="L357" i="5"/>
  <c r="L366" i="5"/>
  <c r="L367" i="5"/>
  <c r="L331" i="5"/>
  <c r="L342" i="5"/>
  <c r="L468" i="5"/>
  <c r="L442" i="5"/>
  <c r="L396" i="5"/>
  <c r="L765" i="5"/>
  <c r="L164" i="5"/>
  <c r="L395" i="5"/>
  <c r="L415" i="5"/>
  <c r="L773" i="5"/>
  <c r="L769" i="5"/>
  <c r="L380" i="5"/>
  <c r="L763" i="5"/>
  <c r="L374" i="5"/>
  <c r="L348" i="5"/>
  <c r="L375" i="5"/>
  <c r="L350" i="5"/>
  <c r="L610" i="5"/>
  <c r="L438" i="5"/>
  <c r="L433" i="5"/>
  <c r="L477" i="5"/>
  <c r="L776" i="5"/>
  <c r="L155" i="5"/>
  <c r="L157" i="5"/>
  <c r="L675" i="5"/>
  <c r="L647" i="5"/>
  <c r="L676" i="5"/>
  <c r="L674" i="5"/>
  <c r="L593" i="5"/>
  <c r="L349" i="5"/>
  <c r="L354" i="5"/>
  <c r="L373" i="5"/>
  <c r="L219" i="5"/>
  <c r="L218" i="5"/>
  <c r="L420" i="5"/>
  <c r="L421" i="5"/>
  <c r="L621" i="5"/>
  <c r="L622" i="5"/>
  <c r="L821" i="5"/>
  <c r="L111" i="5"/>
  <c r="L61" i="5"/>
  <c r="L619" i="5"/>
  <c r="L623" i="5"/>
  <c r="L628" i="5"/>
  <c r="L618" i="5"/>
  <c r="L422" i="5"/>
  <c r="L429" i="5"/>
  <c r="L775" i="5"/>
  <c r="L412" i="5"/>
  <c r="L417" i="5"/>
  <c r="L182" i="5"/>
  <c r="L407" i="5"/>
  <c r="L403" i="5"/>
  <c r="L391" i="5"/>
  <c r="L344" i="5"/>
  <c r="L609" i="5"/>
  <c r="L592" i="5"/>
  <c r="L137" i="5"/>
  <c r="L135" i="5"/>
  <c r="L133" i="5"/>
  <c r="L792" i="5"/>
  <c r="L793" i="5"/>
  <c r="L797" i="5"/>
  <c r="L800" i="5"/>
  <c r="L19" i="5"/>
  <c r="L170" i="5"/>
  <c r="L14" i="5"/>
  <c r="L13" i="5"/>
  <c r="L168" i="5"/>
  <c r="L136" i="5"/>
  <c r="L134" i="5"/>
  <c r="L126" i="5"/>
  <c r="L127" i="5"/>
  <c r="L128" i="5"/>
  <c r="L125" i="5"/>
  <c r="L794" i="5"/>
  <c r="L795" i="5"/>
  <c r="L798" i="5"/>
  <c r="L16" i="5"/>
  <c r="L790" i="5"/>
  <c r="L171" i="5"/>
  <c r="L18" i="5"/>
  <c r="L169" i="5"/>
  <c r="L166" i="5"/>
  <c r="L6" i="5"/>
  <c r="L7" i="5"/>
  <c r="L8" i="5"/>
  <c r="L5" i="5"/>
  <c r="L165" i="5"/>
  <c r="L129" i="5"/>
  <c r="L130" i="5"/>
  <c r="L9" i="5"/>
  <c r="L10" i="5"/>
  <c r="L99" i="5"/>
  <c r="L98" i="5"/>
  <c r="L78" i="5"/>
  <c r="L69" i="5"/>
  <c r="L73" i="5"/>
  <c r="L181" i="5"/>
  <c r="L188" i="5"/>
  <c r="L279" i="5"/>
  <c r="L185" i="5"/>
  <c r="L184" i="5"/>
  <c r="L749" i="5"/>
  <c r="L748" i="5"/>
  <c r="L742" i="5"/>
  <c r="L734" i="5"/>
  <c r="L716" i="5"/>
  <c r="L725" i="5"/>
  <c r="L714" i="5"/>
  <c r="L717" i="5"/>
  <c r="L715" i="5"/>
  <c r="L695" i="5"/>
  <c r="L685" i="5"/>
  <c r="L690" i="5"/>
  <c r="L687" i="5"/>
  <c r="L681" i="5"/>
  <c r="L191" i="5"/>
  <c r="L276" i="5"/>
  <c r="L190" i="5"/>
  <c r="L273" i="5"/>
  <c r="L579" i="5"/>
  <c r="L40" i="5"/>
  <c r="L38" i="5"/>
  <c r="L577" i="5"/>
  <c r="L35" i="5"/>
  <c r="L574" i="5"/>
  <c r="L573" i="5"/>
  <c r="L556" i="5"/>
  <c r="L28" i="5"/>
  <c r="L32" i="5"/>
  <c r="L565" i="5"/>
  <c r="L554" i="5"/>
  <c r="L27" i="5"/>
  <c r="L553" i="5"/>
  <c r="L26" i="5"/>
  <c r="L804" i="5"/>
  <c r="L557" i="5"/>
  <c r="L555" i="5"/>
  <c r="L533" i="5"/>
  <c r="L502" i="5"/>
  <c r="L12" i="5"/>
  <c r="L511" i="5"/>
  <c r="L518" i="5"/>
  <c r="L515" i="5"/>
  <c r="L506" i="5"/>
  <c r="L503" i="5"/>
  <c r="L326" i="5"/>
  <c r="L217" i="5"/>
  <c r="L216" i="5"/>
  <c r="L838" i="5"/>
  <c r="L830" i="5"/>
  <c r="L101" i="5"/>
  <c r="L100" i="5"/>
  <c r="L141" i="5"/>
  <c r="L77" i="5"/>
  <c r="L75" i="5"/>
  <c r="L70" i="5"/>
  <c r="L74" i="5"/>
  <c r="L187" i="5"/>
  <c r="L178" i="5"/>
  <c r="L186" i="5"/>
  <c r="L751" i="5"/>
  <c r="L750" i="5"/>
  <c r="L744" i="5"/>
  <c r="L736" i="5"/>
  <c r="L731" i="5"/>
  <c r="L724" i="5"/>
  <c r="L33" i="5"/>
  <c r="L563" i="5"/>
  <c r="L31" i="5"/>
  <c r="L548" i="5"/>
  <c r="L550" i="5"/>
  <c r="L25" i="5"/>
  <c r="L802" i="5"/>
  <c r="L803" i="5"/>
  <c r="L528" i="5"/>
  <c r="L21" i="5"/>
  <c r="L544" i="5"/>
  <c r="L526" i="5"/>
  <c r="L524" i="5"/>
  <c r="L508" i="5"/>
  <c r="L15" i="5"/>
  <c r="L512" i="5"/>
  <c r="L520" i="5"/>
  <c r="L707" i="5"/>
  <c r="L708" i="5"/>
  <c r="L709" i="5"/>
  <c r="L693" i="5"/>
  <c r="L824" i="5"/>
  <c r="L282" i="5"/>
  <c r="L823" i="5"/>
  <c r="L192" i="5"/>
  <c r="L578" i="5"/>
  <c r="L39" i="5"/>
  <c r="L575" i="5"/>
  <c r="L808" i="5"/>
  <c r="L571" i="5"/>
  <c r="L34" i="5"/>
  <c r="L505" i="5"/>
  <c r="L322" i="5"/>
  <c r="L149" i="5"/>
  <c r="L76" i="5"/>
  <c r="L525" i="5"/>
  <c r="L20" i="5"/>
  <c r="L684" i="5"/>
  <c r="L71" i="5"/>
  <c r="L72" i="5"/>
  <c r="L547" i="5"/>
  <c r="L510" i="5"/>
  <c r="L516" i="5"/>
  <c r="L706" i="5"/>
  <c r="L688" i="5"/>
  <c r="L827" i="5"/>
  <c r="L673" i="5"/>
  <c r="L670" i="5"/>
  <c r="L667" i="5"/>
  <c r="L666" i="5"/>
  <c r="L664" i="5"/>
  <c r="L662" i="5"/>
  <c r="L589" i="5"/>
  <c r="L671" i="5"/>
  <c r="L669" i="5"/>
  <c r="L665" i="5"/>
  <c r="L494" i="5"/>
  <c r="L467" i="5"/>
  <c r="L492" i="5"/>
  <c r="L120" i="5"/>
  <c r="L117" i="5"/>
  <c r="L89" i="5"/>
  <c r="L657" i="5"/>
  <c r="L656" i="5"/>
  <c r="L646" i="5"/>
  <c r="L649" i="5"/>
  <c r="L616" i="5"/>
  <c r="L615" i="5"/>
  <c r="L594" i="5"/>
  <c r="L586" i="5"/>
  <c r="L587" i="5"/>
  <c r="L787" i="5"/>
  <c r="L493" i="5"/>
  <c r="L483" i="5"/>
  <c r="L481" i="5"/>
  <c r="L784" i="5"/>
  <c r="L460" i="5"/>
  <c r="L779" i="5"/>
  <c r="L772" i="5"/>
  <c r="L410" i="5"/>
  <c r="L770" i="5"/>
  <c r="L771" i="5"/>
  <c r="L411" i="5"/>
  <c r="L767" i="5"/>
  <c r="L405" i="5"/>
  <c r="L388" i="5"/>
  <c r="L351" i="5"/>
  <c r="L762" i="5"/>
  <c r="L158" i="5"/>
  <c r="L759" i="5"/>
  <c r="L758" i="5"/>
  <c r="L199" i="5"/>
  <c r="L197" i="5"/>
  <c r="L122" i="5"/>
  <c r="L66" i="5"/>
  <c r="L121" i="5"/>
  <c r="L115" i="5"/>
  <c r="L116" i="5"/>
  <c r="L104" i="5"/>
  <c r="L102" i="5"/>
  <c r="L103" i="5"/>
  <c r="L663" i="5"/>
  <c r="L661" i="5"/>
  <c r="L660" i="5"/>
  <c r="L658" i="5"/>
  <c r="L655" i="5"/>
  <c r="L659" i="5"/>
  <c r="L654" i="5"/>
  <c r="L650" i="5"/>
  <c r="L640" i="5"/>
  <c r="L485" i="5"/>
  <c r="L479" i="5"/>
  <c r="L480" i="5"/>
  <c r="L783" i="5"/>
  <c r="L486" i="5"/>
  <c r="L785" i="5"/>
  <c r="L781" i="5"/>
  <c r="L782" i="5"/>
  <c r="L462" i="5"/>
  <c r="L780" i="5"/>
  <c r="L450" i="5"/>
  <c r="L456" i="5"/>
  <c r="L451" i="5"/>
  <c r="L461" i="5"/>
  <c r="L777" i="5"/>
  <c r="L778" i="5"/>
  <c r="L426" i="5"/>
  <c r="L774" i="5"/>
  <c r="L369" i="5"/>
  <c r="L352" i="5"/>
  <c r="L644" i="5"/>
  <c r="L643" i="5"/>
  <c r="L648" i="5"/>
  <c r="L634" i="5"/>
  <c r="L635" i="5"/>
  <c r="L629" i="5"/>
  <c r="L614" i="5"/>
  <c r="L606" i="5"/>
  <c r="L595" i="5"/>
  <c r="L491" i="5"/>
  <c r="L489" i="5"/>
  <c r="L786" i="5"/>
  <c r="L487" i="5"/>
  <c r="L484" i="5"/>
  <c r="L334" i="5"/>
  <c r="L156" i="5"/>
  <c r="L757" i="5"/>
  <c r="L109" i="5"/>
  <c r="L608" i="5"/>
  <c r="L140" i="5"/>
  <c r="L543" i="5"/>
  <c r="L519" i="5"/>
  <c r="L513" i="5"/>
  <c r="L702" i="5"/>
  <c r="L686" i="5"/>
  <c r="L50" i="5"/>
  <c r="L65" i="5"/>
  <c r="L51" i="5"/>
  <c r="L458" i="5"/>
  <c r="L345" i="5"/>
  <c r="L56" i="5"/>
  <c r="L57" i="5"/>
  <c r="L52" i="5"/>
  <c r="L651" i="5"/>
  <c r="L463" i="5"/>
  <c r="L459" i="5"/>
  <c r="L455" i="5"/>
  <c r="L452" i="5"/>
  <c r="L445" i="5"/>
  <c r="L448" i="5"/>
  <c r="L401" i="5"/>
  <c r="L402" i="5"/>
  <c r="L385" i="5"/>
  <c r="L346" i="5"/>
  <c r="L641" i="5"/>
  <c r="L637" i="5"/>
  <c r="L638" i="5"/>
  <c r="L607" i="5"/>
  <c r="L105" i="5"/>
  <c r="L599" i="5"/>
  <c r="L229" i="5"/>
  <c r="L361" i="5"/>
  <c r="L119" i="5"/>
  <c r="L94" i="5"/>
  <c r="L96" i="5"/>
  <c r="L652" i="5"/>
  <c r="L476" i="5"/>
  <c r="L466" i="5"/>
  <c r="L472" i="5"/>
  <c r="L254" i="5"/>
  <c r="L252" i="5"/>
  <c r="L173" i="5"/>
  <c r="L323" i="5"/>
  <c r="L17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2" i="4"/>
</calcChain>
</file>

<file path=xl/sharedStrings.xml><?xml version="1.0" encoding="utf-8"?>
<sst xmlns="http://schemas.openxmlformats.org/spreadsheetml/2006/main" count="38234" uniqueCount="1157">
  <si>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</si>
  <si>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</si>
  <si>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</si>
  <si>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</si>
  <si>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</si>
  <si>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</si>
  <si>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</si>
  <si>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</si>
  <si>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</si>
  <si>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</si>
  <si>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</si>
  <si>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</si>
  <si>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</si>
  <si>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</si>
  <si>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</si>
  <si>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</si>
  <si>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</si>
  <si>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</si>
  <si>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</si>
  <si>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</si>
  <si>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</si>
  <si>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</si>
  <si>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</si>
  <si>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</si>
  <si>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</si>
  <si>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</si>
  <si>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</si>
  <si>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</si>
  <si>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</si>
  <si>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</si>
  <si>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</si>
  <si>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</si>
  <si>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</si>
  <si>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</si>
  <si>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</si>
  <si>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</si>
  <si>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</si>
  <si>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</si>
  <si>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</si>
  <si>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</si>
  <si>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</si>
  <si>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</si>
  <si>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</si>
  <si>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</si>
  <si>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</si>
  <si>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</si>
  <si>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</si>
  <si>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</si>
  <si>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MCCANN</t>
  </si>
  <si>
    <t>MICHAEL</t>
  </si>
  <si>
    <t>Allstate Health Solutions</t>
  </si>
  <si>
    <t>PA</t>
  </si>
  <si>
    <t>Accident</t>
  </si>
  <si>
    <t>TrioMED Accident and CI 14939</t>
  </si>
  <si>
    <t>AGUGLIA</t>
  </si>
  <si>
    <t>SCOTT</t>
  </si>
  <si>
    <t>Active</t>
  </si>
  <si>
    <t xml:space="preserve">Monthly </t>
  </si>
  <si>
    <t>Converted</t>
  </si>
  <si>
    <t>RN</t>
  </si>
  <si>
    <t>N</t>
  </si>
  <si>
    <t>HEIMKREITER</t>
  </si>
  <si>
    <t>WILLIAM</t>
  </si>
  <si>
    <t>OH</t>
  </si>
  <si>
    <t>BENDER</t>
  </si>
  <si>
    <t>CHAD</t>
  </si>
  <si>
    <t>KINDER</t>
  </si>
  <si>
    <t>JACKSON</t>
  </si>
  <si>
    <t>KOZACHECK</t>
  </si>
  <si>
    <t>ANNE MARIE</t>
  </si>
  <si>
    <t>FY</t>
  </si>
  <si>
    <t>MURRAY</t>
  </si>
  <si>
    <t>CATHERINE</t>
  </si>
  <si>
    <t>FOLEY</t>
  </si>
  <si>
    <t>CAROL</t>
  </si>
  <si>
    <t>CABRAL</t>
  </si>
  <si>
    <t>MAGDALENA</t>
  </si>
  <si>
    <t>GA</t>
  </si>
  <si>
    <t>TrioMED 30k 15307</t>
  </si>
  <si>
    <t>Yale</t>
  </si>
  <si>
    <t>Richard</t>
  </si>
  <si>
    <t>CARO</t>
  </si>
  <si>
    <t>DONNA</t>
  </si>
  <si>
    <t>AL</t>
  </si>
  <si>
    <t>ROKEN</t>
  </si>
  <si>
    <t>JOHN</t>
  </si>
  <si>
    <t>HENNESSY</t>
  </si>
  <si>
    <t>ERIN</t>
  </si>
  <si>
    <t>TrioMED 15k 15285</t>
  </si>
  <si>
    <t>Schumann</t>
  </si>
  <si>
    <t>Barry</t>
  </si>
  <si>
    <t>RILEY</t>
  </si>
  <si>
    <t>BRIAN</t>
  </si>
  <si>
    <t>IL</t>
  </si>
  <si>
    <t>Sherman</t>
  </si>
  <si>
    <t>Matthew</t>
  </si>
  <si>
    <t>Default</t>
  </si>
  <si>
    <t>Y</t>
  </si>
  <si>
    <t>BYRD</t>
  </si>
  <si>
    <t>DONALD</t>
  </si>
  <si>
    <t>BEAUPRE</t>
  </si>
  <si>
    <t>DEBBIE</t>
  </si>
  <si>
    <t>BROCHARD</t>
  </si>
  <si>
    <t>DIETZ</t>
  </si>
  <si>
    <t>STEVEN</t>
  </si>
  <si>
    <t>NE</t>
  </si>
  <si>
    <t>Ancillary</t>
  </si>
  <si>
    <t>Critical Illness w/ Term Life 21677</t>
  </si>
  <si>
    <t>TEIPEL</t>
  </si>
  <si>
    <t>GREGORY</t>
  </si>
  <si>
    <t>BENNETT</t>
  </si>
  <si>
    <t>AUSTIN</t>
  </si>
  <si>
    <t>MO</t>
  </si>
  <si>
    <t>DEALESSANDRO</t>
  </si>
  <si>
    <t>BLAKE</t>
  </si>
  <si>
    <t>TX</t>
  </si>
  <si>
    <t>Cancer and Heart/Stroke 20231</t>
  </si>
  <si>
    <t>RICHARD</t>
  </si>
  <si>
    <t>BATES</t>
  </si>
  <si>
    <t>DREW</t>
  </si>
  <si>
    <t>KELSEY</t>
  </si>
  <si>
    <t>WI</t>
  </si>
  <si>
    <t>PARDUE</t>
  </si>
  <si>
    <t>THOMAS</t>
  </si>
  <si>
    <t>CARL</t>
  </si>
  <si>
    <t>MILLER</t>
  </si>
  <si>
    <t>REBECCA</t>
  </si>
  <si>
    <t>SD</t>
  </si>
  <si>
    <t>PAGE</t>
  </si>
  <si>
    <t>SAGE</t>
  </si>
  <si>
    <t>DAUGHERTY</t>
  </si>
  <si>
    <t>MATTHEW</t>
  </si>
  <si>
    <t>KLUMPP</t>
  </si>
  <si>
    <t>DAPHNIE</t>
  </si>
  <si>
    <t>NC</t>
  </si>
  <si>
    <t>LENCIONI</t>
  </si>
  <si>
    <t>TRACY</t>
  </si>
  <si>
    <t>FUENTES</t>
  </si>
  <si>
    <t>VICTOR</t>
  </si>
  <si>
    <t>RIZO</t>
  </si>
  <si>
    <t>ESTEBAN</t>
  </si>
  <si>
    <t>CO</t>
  </si>
  <si>
    <t>Geske</t>
  </si>
  <si>
    <t>Heather</t>
  </si>
  <si>
    <t>RANDALL</t>
  </si>
  <si>
    <t>CHARLES</t>
  </si>
  <si>
    <t>Cancer and Heart/Stroke 20231 CO-FL-MN-MI</t>
  </si>
  <si>
    <t>REESE</t>
  </si>
  <si>
    <t>TERRELL</t>
  </si>
  <si>
    <t>CERRETANI</t>
  </si>
  <si>
    <t>MARK</t>
  </si>
  <si>
    <t>FL</t>
  </si>
  <si>
    <t>CALTAGIRONE</t>
  </si>
  <si>
    <t>RYAN</t>
  </si>
  <si>
    <t>JOHNSON</t>
  </si>
  <si>
    <t>KURT</t>
  </si>
  <si>
    <t>MARTIN</t>
  </si>
  <si>
    <t>SC</t>
  </si>
  <si>
    <t>Tigue</t>
  </si>
  <si>
    <t>Kirk</t>
  </si>
  <si>
    <t>BUSH</t>
  </si>
  <si>
    <t>VIVIANA</t>
  </si>
  <si>
    <t>PERSON</t>
  </si>
  <si>
    <t>JORDAN</t>
  </si>
  <si>
    <t>MARTINEZ</t>
  </si>
  <si>
    <t>DERREK</t>
  </si>
  <si>
    <t>AUFDERHEIDE</t>
  </si>
  <si>
    <t>MONIKA</t>
  </si>
  <si>
    <t>LOUIS</t>
  </si>
  <si>
    <t>ANTHONY</t>
  </si>
  <si>
    <t>YALE</t>
  </si>
  <si>
    <t>JACOB</t>
  </si>
  <si>
    <t>LOYA</t>
  </si>
  <si>
    <t>BRENDA</t>
  </si>
  <si>
    <t>LAIT</t>
  </si>
  <si>
    <t>JULIA</t>
  </si>
  <si>
    <t>HUNCHAR</t>
  </si>
  <si>
    <t>QUINN</t>
  </si>
  <si>
    <t>VAWTER</t>
  </si>
  <si>
    <t>TIMOTHY</t>
  </si>
  <si>
    <t>IN</t>
  </si>
  <si>
    <t>PARKS</t>
  </si>
  <si>
    <t>DEE</t>
  </si>
  <si>
    <t>WY</t>
  </si>
  <si>
    <t>Cancer and Heart/Stroke GI 20231</t>
  </si>
  <si>
    <t>CROWE</t>
  </si>
  <si>
    <t>HANAFI</t>
  </si>
  <si>
    <t>SEAN</t>
  </si>
  <si>
    <t>AZ</t>
  </si>
  <si>
    <t>HIGDON</t>
  </si>
  <si>
    <t>JEREMY</t>
  </si>
  <si>
    <t>HEBERLING</t>
  </si>
  <si>
    <t>GUY</t>
  </si>
  <si>
    <t>MI</t>
  </si>
  <si>
    <t>TAUGNER</t>
  </si>
  <si>
    <t>CHRISTIAN</t>
  </si>
  <si>
    <t>PINA</t>
  </si>
  <si>
    <t>CRYSTAL</t>
  </si>
  <si>
    <t>CARLOS</t>
  </si>
  <si>
    <t>CETRE</t>
  </si>
  <si>
    <t>Choi</t>
  </si>
  <si>
    <t>Andrew</t>
  </si>
  <si>
    <t>ALMENDAREZ</t>
  </si>
  <si>
    <t>DEYANIRA</t>
  </si>
  <si>
    <t>LA</t>
  </si>
  <si>
    <t>RHONDA</t>
  </si>
  <si>
    <t>STALLKAMP</t>
  </si>
  <si>
    <t>TONYA</t>
  </si>
  <si>
    <t>BLACK</t>
  </si>
  <si>
    <t>WA</t>
  </si>
  <si>
    <t>Shulman</t>
  </si>
  <si>
    <t>Jake</t>
  </si>
  <si>
    <t>STEPHANIE</t>
  </si>
  <si>
    <t>MESEROLL</t>
  </si>
  <si>
    <t>MD</t>
  </si>
  <si>
    <t>Max</t>
  </si>
  <si>
    <t>Ronald</t>
  </si>
  <si>
    <t>NOREEN</t>
  </si>
  <si>
    <t>GARRARD</t>
  </si>
  <si>
    <t>LAUREN</t>
  </si>
  <si>
    <t>CARR</t>
  </si>
  <si>
    <t>GESKE</t>
  </si>
  <si>
    <t>RALUCA</t>
  </si>
  <si>
    <t>CHEREGI</t>
  </si>
  <si>
    <t>WILMER</t>
  </si>
  <si>
    <t>MORRIS</t>
  </si>
  <si>
    <t>LINDA</t>
  </si>
  <si>
    <t>BOOKER</t>
  </si>
  <si>
    <t>GIANG</t>
  </si>
  <si>
    <t>THUHA</t>
  </si>
  <si>
    <t>Chargeback</t>
  </si>
  <si>
    <t>YOUNG</t>
  </si>
  <si>
    <t>QUANG</t>
  </si>
  <si>
    <t>MINH</t>
  </si>
  <si>
    <t>WALKER</t>
  </si>
  <si>
    <t>ROTILI</t>
  </si>
  <si>
    <t>GALLIMORE</t>
  </si>
  <si>
    <t>BALDWIN</t>
  </si>
  <si>
    <t>MARGARET</t>
  </si>
  <si>
    <t>OR</t>
  </si>
  <si>
    <t>SEMPRINI</t>
  </si>
  <si>
    <t>JANICE</t>
  </si>
  <si>
    <t>WASSELL</t>
  </si>
  <si>
    <t>Association</t>
  </si>
  <si>
    <t>LIFE Association Membership - C 14956 PPO</t>
  </si>
  <si>
    <t>CHACIN</t>
  </si>
  <si>
    <t>GERALDO</t>
  </si>
  <si>
    <t>RUBINFELD</t>
  </si>
  <si>
    <t>CRAIG</t>
  </si>
  <si>
    <t>LIFE Association Membership - C 14956 LM</t>
  </si>
  <si>
    <t>KALMAN</t>
  </si>
  <si>
    <t>THERESA</t>
  </si>
  <si>
    <t>Life Association C OH</t>
  </si>
  <si>
    <t>CARDONA-TIBURCIO</t>
  </si>
  <si>
    <t>ERIKA</t>
  </si>
  <si>
    <t>DE</t>
  </si>
  <si>
    <t>ALEX</t>
  </si>
  <si>
    <t>KINYUA</t>
  </si>
  <si>
    <t>JARED</t>
  </si>
  <si>
    <t>WALENGA</t>
  </si>
  <si>
    <t>JENNIFER</t>
  </si>
  <si>
    <t>Life Association Access</t>
  </si>
  <si>
    <t>Walenga</t>
  </si>
  <si>
    <t>Dale</t>
  </si>
  <si>
    <t>OBRIEN</t>
  </si>
  <si>
    <t>MICHELE</t>
  </si>
  <si>
    <t>KY</t>
  </si>
  <si>
    <t>DALY</t>
  </si>
  <si>
    <t>RACHELLE</t>
  </si>
  <si>
    <t>Life Association Access (GI)</t>
  </si>
  <si>
    <t>REX</t>
  </si>
  <si>
    <t>ETHAN</t>
  </si>
  <si>
    <t>KNOEBEL</t>
  </si>
  <si>
    <t>Hunsberger</t>
  </si>
  <si>
    <t>Anthony</t>
  </si>
  <si>
    <t>CYNTHIA</t>
  </si>
  <si>
    <t>MURPHY</t>
  </si>
  <si>
    <t>JAMES</t>
  </si>
  <si>
    <t>NEUMEISTER</t>
  </si>
  <si>
    <t>Chad</t>
  </si>
  <si>
    <t>DOUGLAS</t>
  </si>
  <si>
    <t>ANDREW</t>
  </si>
  <si>
    <t>PETRUNGARO</t>
  </si>
  <si>
    <t>ANDREA</t>
  </si>
  <si>
    <t>SUTHERLAND</t>
  </si>
  <si>
    <t>KELSIE</t>
  </si>
  <si>
    <t>EDWARD</t>
  </si>
  <si>
    <t>BURGENER</t>
  </si>
  <si>
    <t>AFOLASADE</t>
  </si>
  <si>
    <t>EKUNDAYO</t>
  </si>
  <si>
    <t>Kotadia</t>
  </si>
  <si>
    <t>Zameer</t>
  </si>
  <si>
    <t>CORRIGAN</t>
  </si>
  <si>
    <t>JONATHAN</t>
  </si>
  <si>
    <t>SANTOS</t>
  </si>
  <si>
    <t>RICARDO</t>
  </si>
  <si>
    <t>BERTSCH</t>
  </si>
  <si>
    <t>MAKENNA</t>
  </si>
  <si>
    <t>Life Association C IN</t>
  </si>
  <si>
    <t>Sanderock</t>
  </si>
  <si>
    <t>Marsha</t>
  </si>
  <si>
    <t>A10</t>
  </si>
  <si>
    <t>MAX</t>
  </si>
  <si>
    <t>ADAM</t>
  </si>
  <si>
    <t>NHIC Specified Care Association</t>
  </si>
  <si>
    <t>A6</t>
  </si>
  <si>
    <t>Dental</t>
  </si>
  <si>
    <t>SELECT DENTAL 29304</t>
  </si>
  <si>
    <t>SHISLER</t>
  </si>
  <si>
    <t>RICHTER</t>
  </si>
  <si>
    <t>PETER</t>
  </si>
  <si>
    <t>ZOLLARS</t>
  </si>
  <si>
    <t>CLARK</t>
  </si>
  <si>
    <t>ALAN</t>
  </si>
  <si>
    <t>AMALIA</t>
  </si>
  <si>
    <t>MACKENZIE</t>
  </si>
  <si>
    <t>CARRYER</t>
  </si>
  <si>
    <t>KELLY</t>
  </si>
  <si>
    <t>MEHAFFEY</t>
  </si>
  <si>
    <t>LANCE</t>
  </si>
  <si>
    <t>BOLDEN</t>
  </si>
  <si>
    <t>JOEL</t>
  </si>
  <si>
    <t>INSKIPT</t>
  </si>
  <si>
    <t>DEBORAH</t>
  </si>
  <si>
    <t>JONES</t>
  </si>
  <si>
    <t>SHATAYA</t>
  </si>
  <si>
    <t>LEVY</t>
  </si>
  <si>
    <t>SUZANNE</t>
  </si>
  <si>
    <t>XING</t>
  </si>
  <si>
    <t>YINONG</t>
  </si>
  <si>
    <t>KEEFER</t>
  </si>
  <si>
    <t>MICHELLE</t>
  </si>
  <si>
    <t>NESBIT</t>
  </si>
  <si>
    <t>RAE</t>
  </si>
  <si>
    <t>SACK</t>
  </si>
  <si>
    <t>SAMUEL</t>
  </si>
  <si>
    <t>MCKAY</t>
  </si>
  <si>
    <t>ALEXANDRA</t>
  </si>
  <si>
    <t>PORTUGAL</t>
  </si>
  <si>
    <t>STACEY</t>
  </si>
  <si>
    <t>ARMSTRONG</t>
  </si>
  <si>
    <t>DAISY</t>
  </si>
  <si>
    <t>BURKE</t>
  </si>
  <si>
    <t>GALE</t>
  </si>
  <si>
    <t>NANCY</t>
  </si>
  <si>
    <t>PERKINS</t>
  </si>
  <si>
    <t>JACQUELINE</t>
  </si>
  <si>
    <t>BETTY</t>
  </si>
  <si>
    <t>ZAHURANCE</t>
  </si>
  <si>
    <t>DAVID</t>
  </si>
  <si>
    <t>FROST</t>
  </si>
  <si>
    <t>JOSHUA</t>
  </si>
  <si>
    <t>DUNAVANT</t>
  </si>
  <si>
    <t>LAMIA</t>
  </si>
  <si>
    <t>AMBER</t>
  </si>
  <si>
    <t>REINIG</t>
  </si>
  <si>
    <t>CASEY</t>
  </si>
  <si>
    <t>ROBINSON</t>
  </si>
  <si>
    <t>WORDEN</t>
  </si>
  <si>
    <t>EMALEE</t>
  </si>
  <si>
    <t>AR</t>
  </si>
  <si>
    <t>JENSEN</t>
  </si>
  <si>
    <t>EDWINA</t>
  </si>
  <si>
    <t>GONZALEZ</t>
  </si>
  <si>
    <t>MARIA</t>
  </si>
  <si>
    <t>SCHUMANN</t>
  </si>
  <si>
    <t>BARRY</t>
  </si>
  <si>
    <t>EMS</t>
  </si>
  <si>
    <t>LISA</t>
  </si>
  <si>
    <t>FERNANDEZ</t>
  </si>
  <si>
    <t>MELVIN</t>
  </si>
  <si>
    <t>MENDEZ</t>
  </si>
  <si>
    <t>KATHY</t>
  </si>
  <si>
    <t>SCHULTZ</t>
  </si>
  <si>
    <t>ELIZABETH</t>
  </si>
  <si>
    <t>ALBIZUREZ</t>
  </si>
  <si>
    <t>YOSELYN</t>
  </si>
  <si>
    <t>GARY</t>
  </si>
  <si>
    <t>SMITH</t>
  </si>
  <si>
    <t>KRISTINA</t>
  </si>
  <si>
    <t>SUTTON</t>
  </si>
  <si>
    <t>RAUN</t>
  </si>
  <si>
    <t>BRENNER</t>
  </si>
  <si>
    <t>HUGHES</t>
  </si>
  <si>
    <t>SALAZAR</t>
  </si>
  <si>
    <t>VANESSA</t>
  </si>
  <si>
    <t>DIMRI</t>
  </si>
  <si>
    <t>GANGESH</t>
  </si>
  <si>
    <t>CAROLE</t>
  </si>
  <si>
    <t>GARCIA</t>
  </si>
  <si>
    <t>EDDIE</t>
  </si>
  <si>
    <t>DAWSON</t>
  </si>
  <si>
    <t>KEYERICA</t>
  </si>
  <si>
    <t>BROWN</t>
  </si>
  <si>
    <t>DAWN</t>
  </si>
  <si>
    <t>THORNTON</t>
  </si>
  <si>
    <t>MATHEW</t>
  </si>
  <si>
    <t>EVERS</t>
  </si>
  <si>
    <t>JASON</t>
  </si>
  <si>
    <t>MELTON</t>
  </si>
  <si>
    <t>KS</t>
  </si>
  <si>
    <t>HECK</t>
  </si>
  <si>
    <t>IA</t>
  </si>
  <si>
    <t>KANDICE</t>
  </si>
  <si>
    <t>ISBELL</t>
  </si>
  <si>
    <t>OK</t>
  </si>
  <si>
    <t>Powers</t>
  </si>
  <si>
    <t>KENZLEE</t>
  </si>
  <si>
    <t>VA</t>
  </si>
  <si>
    <t>SARAH</t>
  </si>
  <si>
    <t>O'CONNOR</t>
  </si>
  <si>
    <t>REEANNA</t>
  </si>
  <si>
    <t>TAKASHI</t>
  </si>
  <si>
    <t>KANAI</t>
  </si>
  <si>
    <t>COMPTON</t>
  </si>
  <si>
    <t>ANNETTE</t>
  </si>
  <si>
    <t>LINARES</t>
  </si>
  <si>
    <t>LAURA</t>
  </si>
  <si>
    <t>A1</t>
  </si>
  <si>
    <t>FANTAYIJA</t>
  </si>
  <si>
    <t>FINNIGAN</t>
  </si>
  <si>
    <t>COLLEEN</t>
  </si>
  <si>
    <t>CANTORE</t>
  </si>
  <si>
    <t>ROSA</t>
  </si>
  <si>
    <t>Drapac</t>
  </si>
  <si>
    <t>Stephanie</t>
  </si>
  <si>
    <t>REDDISH</t>
  </si>
  <si>
    <t>KAMELIA</t>
  </si>
  <si>
    <t>OCHOA</t>
  </si>
  <si>
    <t>LUCINDA</t>
  </si>
  <si>
    <t>Fixed Indemnity</t>
  </si>
  <si>
    <t>NHIC LM 2021 Hospital Expense Protection U65</t>
  </si>
  <si>
    <t>CURRIE</t>
  </si>
  <si>
    <t>COAD-THOMAS</t>
  </si>
  <si>
    <t>VALERIE</t>
  </si>
  <si>
    <t>GALLARELLO</t>
  </si>
  <si>
    <t>ANGELO</t>
  </si>
  <si>
    <t>NV</t>
  </si>
  <si>
    <t>Allstate Health Access</t>
  </si>
  <si>
    <t>Allstate Recuro RX Discount Card</t>
  </si>
  <si>
    <t>Allstate Health Access (GI)</t>
  </si>
  <si>
    <t>Other</t>
  </si>
  <si>
    <t>Term Life 21673</t>
  </si>
  <si>
    <t>HEARON</t>
  </si>
  <si>
    <t>ROBERT</t>
  </si>
  <si>
    <t>Plan Enhancer 20214</t>
  </si>
  <si>
    <t>KATELENN</t>
  </si>
  <si>
    <t>Accident Fixed Benefit</t>
  </si>
  <si>
    <t>HUBER</t>
  </si>
  <si>
    <t>PAULA</t>
  </si>
  <si>
    <t>WV</t>
  </si>
  <si>
    <t>Dental Indemnity 21618</t>
  </si>
  <si>
    <t>WOLFZORN</t>
  </si>
  <si>
    <t>DITTLINGER</t>
  </si>
  <si>
    <t>CORINNE</t>
  </si>
  <si>
    <t>GOINS</t>
  </si>
  <si>
    <t>BOBBY</t>
  </si>
  <si>
    <t>WALLACE</t>
  </si>
  <si>
    <t>FELICIA</t>
  </si>
  <si>
    <t>KATHLEEN</t>
  </si>
  <si>
    <t>SHIN</t>
  </si>
  <si>
    <t>CHANG</t>
  </si>
  <si>
    <t>SEMPREVIVO</t>
  </si>
  <si>
    <t>WERNER</t>
  </si>
  <si>
    <t>BRETT</t>
  </si>
  <si>
    <t>ODBAYAR</t>
  </si>
  <si>
    <t>BAYARDAVAA</t>
  </si>
  <si>
    <t>ZANA</t>
  </si>
  <si>
    <t>NASANDELGER</t>
  </si>
  <si>
    <t>LAMB</t>
  </si>
  <si>
    <t>CHELCIE</t>
  </si>
  <si>
    <t>STROHMAN</t>
  </si>
  <si>
    <t>BATMUNKH</t>
  </si>
  <si>
    <t>NYAMSUREN</t>
  </si>
  <si>
    <t>BATSAIKHAN</t>
  </si>
  <si>
    <t>SUVD</t>
  </si>
  <si>
    <t>PURVEE</t>
  </si>
  <si>
    <t>NYAMZAM</t>
  </si>
  <si>
    <t>HRYCAJ</t>
  </si>
  <si>
    <t>BETH</t>
  </si>
  <si>
    <t>SUSAN</t>
  </si>
  <si>
    <t>NGANDO</t>
  </si>
  <si>
    <t>HORTANCE</t>
  </si>
  <si>
    <t>APELIAN</t>
  </si>
  <si>
    <t>DEATON</t>
  </si>
  <si>
    <t>PAMELA</t>
  </si>
  <si>
    <t>MCCOY</t>
  </si>
  <si>
    <t>OYUN-ERDENE</t>
  </si>
  <si>
    <t>ENKHTUR</t>
  </si>
  <si>
    <t>ODMAA</t>
  </si>
  <si>
    <t>DAMDINVAANJIL</t>
  </si>
  <si>
    <t>TSOGOO</t>
  </si>
  <si>
    <t>BATKA</t>
  </si>
  <si>
    <t>ANARD</t>
  </si>
  <si>
    <t>DASHNYAM</t>
  </si>
  <si>
    <t>EATON</t>
  </si>
  <si>
    <t>HERMAN</t>
  </si>
  <si>
    <t>DIANA</t>
  </si>
  <si>
    <t>MONROE</t>
  </si>
  <si>
    <t>CORTNI</t>
  </si>
  <si>
    <t>SILVETTI</t>
  </si>
  <si>
    <t>TAMARA</t>
  </si>
  <si>
    <t>SINGLETON</t>
  </si>
  <si>
    <t>MUNKHBAYAR</t>
  </si>
  <si>
    <t>ERBOLD</t>
  </si>
  <si>
    <t>RIOS</t>
  </si>
  <si>
    <t>JENNY</t>
  </si>
  <si>
    <t>BUCARO</t>
  </si>
  <si>
    <t>FRITZ</t>
  </si>
  <si>
    <t>RANDAL</t>
  </si>
  <si>
    <t>KRESGE</t>
  </si>
  <si>
    <t>LOUCINDA</t>
  </si>
  <si>
    <t>UT</t>
  </si>
  <si>
    <t>DEQUAKER</t>
  </si>
  <si>
    <t>JUDITH</t>
  </si>
  <si>
    <t>ALTAN</t>
  </si>
  <si>
    <t>TUUL</t>
  </si>
  <si>
    <t>TUVSHINJARGAL</t>
  </si>
  <si>
    <t>ULZIIKHUTGA</t>
  </si>
  <si>
    <t>BYAMBATULKHUUR</t>
  </si>
  <si>
    <t>SUVDAA</t>
  </si>
  <si>
    <t>SUKHBAATAR</t>
  </si>
  <si>
    <t>TERGUUNBAYAR</t>
  </si>
  <si>
    <t>ERDENE</t>
  </si>
  <si>
    <t>HICKS</t>
  </si>
  <si>
    <t>Rose</t>
  </si>
  <si>
    <t>Latesha</t>
  </si>
  <si>
    <t>JAY</t>
  </si>
  <si>
    <t>WOJTASIK</t>
  </si>
  <si>
    <t>MUNKHNASAN</t>
  </si>
  <si>
    <t>MIJIDDORJ</t>
  </si>
  <si>
    <t>NASANJARGAL</t>
  </si>
  <si>
    <t>MIKE</t>
  </si>
  <si>
    <t>WEASE</t>
  </si>
  <si>
    <t>Allen</t>
  </si>
  <si>
    <t>James</t>
  </si>
  <si>
    <t>MARCIE</t>
  </si>
  <si>
    <t>HOUSE</t>
  </si>
  <si>
    <t>ANGELA</t>
  </si>
  <si>
    <t>BENJAMIN</t>
  </si>
  <si>
    <t>WILLANDA</t>
  </si>
  <si>
    <t>BURT-HOLSENDOLPH</t>
  </si>
  <si>
    <t>LUJUANA</t>
  </si>
  <si>
    <t>PLAINFEATHER</t>
  </si>
  <si>
    <t>MT</t>
  </si>
  <si>
    <t>Accident Fixed-Benefit 21044</t>
  </si>
  <si>
    <t>COURTNEY</t>
  </si>
  <si>
    <t>WILLIAMS</t>
  </si>
  <si>
    <t>GRZEGORZ</t>
  </si>
  <si>
    <t>STRONSKI</t>
  </si>
  <si>
    <t>DULMAA</t>
  </si>
  <si>
    <t>ODSUREN</t>
  </si>
  <si>
    <t>TSERENLKHAM</t>
  </si>
  <si>
    <t>ERDENEBAYAR</t>
  </si>
  <si>
    <t>YVETTE</t>
  </si>
  <si>
    <t>TURNER</t>
  </si>
  <si>
    <t>TAYLOR</t>
  </si>
  <si>
    <t>YVONNE</t>
  </si>
  <si>
    <t>JOSE</t>
  </si>
  <si>
    <t>ESCOBAR</t>
  </si>
  <si>
    <t>Weitzman</t>
  </si>
  <si>
    <t>Kenneth</t>
  </si>
  <si>
    <t>LEE</t>
  </si>
  <si>
    <t>SHARON</t>
  </si>
  <si>
    <t>NYAMJAV</t>
  </si>
  <si>
    <t>ENKHJARGAL</t>
  </si>
  <si>
    <t>HOSKINS</t>
  </si>
  <si>
    <t>ENKHBOLD</t>
  </si>
  <si>
    <t>EMUJIN</t>
  </si>
  <si>
    <t>Short Term Medical</t>
  </si>
  <si>
    <t>NHIC STM PPO All Other States Renewable</t>
  </si>
  <si>
    <t>NHIC STM PPO All Other States</t>
  </si>
  <si>
    <t>NHIC STM 2022 IN Renewable</t>
  </si>
  <si>
    <t>BRIDGES</t>
  </si>
  <si>
    <t>Supplement</t>
  </si>
  <si>
    <t>NHIC Dental 2020 DVH 65+</t>
  </si>
  <si>
    <t>MIKUS</t>
  </si>
  <si>
    <t>MARYRAE</t>
  </si>
  <si>
    <t>FENGER</t>
  </si>
  <si>
    <t>HOFFMANN</t>
  </si>
  <si>
    <t>JACKIE</t>
  </si>
  <si>
    <t>NHIC LM 2021 SENIOR INDEMNITY 65+</t>
  </si>
  <si>
    <t>NGALLE</t>
  </si>
  <si>
    <t>PAUL</t>
  </si>
  <si>
    <t>AFRASSIAB</t>
  </si>
  <si>
    <t>BEHRONZ</t>
  </si>
  <si>
    <t>HANSFORD</t>
  </si>
  <si>
    <t>SKELLIE</t>
  </si>
  <si>
    <t>CORI</t>
  </si>
  <si>
    <t>SACH</t>
  </si>
  <si>
    <t>DREISTADT</t>
  </si>
  <si>
    <t>ALIKOR</t>
  </si>
  <si>
    <t>CHINYERE</t>
  </si>
  <si>
    <t>KELLEY</t>
  </si>
  <si>
    <t>DALE</t>
  </si>
  <si>
    <t>LISKOVEC</t>
  </si>
  <si>
    <t>FRANK</t>
  </si>
  <si>
    <t>GATHANY</t>
  </si>
  <si>
    <t>BEVERLY</t>
  </si>
  <si>
    <t>As Earned</t>
  </si>
  <si>
    <t>WOODS</t>
  </si>
  <si>
    <t>BARBARA</t>
  </si>
  <si>
    <t>CBK</t>
  </si>
  <si>
    <t>NHIC NG0000 Statement 09.22.25</t>
  </si>
  <si>
    <t>MARQUE</t>
  </si>
  <si>
    <t>NHIC NG0000 Statement 09.15.25</t>
  </si>
  <si>
    <t>ALMA</t>
  </si>
  <si>
    <t>MIJARES</t>
  </si>
  <si>
    <t>LORENA</t>
  </si>
  <si>
    <t>FIERRO</t>
  </si>
  <si>
    <t>SHAMARA</t>
  </si>
  <si>
    <t>NOAH</t>
  </si>
  <si>
    <t>STEVENS</t>
  </si>
  <si>
    <t>WHITE</t>
  </si>
  <si>
    <t>LAWRENCE</t>
  </si>
  <si>
    <t>GARDNER</t>
  </si>
  <si>
    <t>LARRY</t>
  </si>
  <si>
    <t>CRISTIAN</t>
  </si>
  <si>
    <t>IBARRA</t>
  </si>
  <si>
    <t>DRAY</t>
  </si>
  <si>
    <t>CHAVEZ</t>
  </si>
  <si>
    <t>MACCARELLI</t>
  </si>
  <si>
    <t>HOLSENDOLPH</t>
  </si>
  <si>
    <t>Joel</t>
  </si>
  <si>
    <t>Lee</t>
  </si>
  <si>
    <t>ANDERSON</t>
  </si>
  <si>
    <t>RAYMOND</t>
  </si>
  <si>
    <t>HADDAD</t>
  </si>
  <si>
    <t>ESTHER</t>
  </si>
  <si>
    <t>HERRERA-LARSEN</t>
  </si>
  <si>
    <t>CHRISTOPHER</t>
  </si>
  <si>
    <t>RIDING</t>
  </si>
  <si>
    <t>MOMEYER</t>
  </si>
  <si>
    <t>FRED</t>
  </si>
  <si>
    <t>TRACI</t>
  </si>
  <si>
    <t>BARTON</t>
  </si>
  <si>
    <t>A3</t>
  </si>
  <si>
    <t>NHIC STM PPO MO-NC-OR-IN-TN</t>
  </si>
  <si>
    <t>ORT</t>
  </si>
  <si>
    <t>DECKARD</t>
  </si>
  <si>
    <t>NAILL</t>
  </si>
  <si>
    <t>JOANNA</t>
  </si>
  <si>
    <t>STERLING</t>
  </si>
  <si>
    <t>Jennifer</t>
  </si>
  <si>
    <t>Halsaver</t>
  </si>
  <si>
    <t>NHIC STM 2022 OH Single Term</t>
  </si>
  <si>
    <t>WALL</t>
  </si>
  <si>
    <t>ANDRE</t>
  </si>
  <si>
    <t>PRINCETON</t>
  </si>
  <si>
    <t>Erica</t>
  </si>
  <si>
    <t>Solivan</t>
  </si>
  <si>
    <t>LOVING</t>
  </si>
  <si>
    <t>TN</t>
  </si>
  <si>
    <t>LANDON</t>
  </si>
  <si>
    <t>BRITT</t>
  </si>
  <si>
    <t>GEISSINGER</t>
  </si>
  <si>
    <t>SEMBI</t>
  </si>
  <si>
    <t>MONGOL</t>
  </si>
  <si>
    <t>RENEE</t>
  </si>
  <si>
    <t>WILLEY</t>
  </si>
  <si>
    <t>Jason</t>
  </si>
  <si>
    <t>Roller</t>
  </si>
  <si>
    <t>BRUCE</t>
  </si>
  <si>
    <t>GEISEN</t>
  </si>
  <si>
    <t>VICTORIA</t>
  </si>
  <si>
    <t>SADLER</t>
  </si>
  <si>
    <t>KENTAVIUS</t>
  </si>
  <si>
    <t>CLAYTON</t>
  </si>
  <si>
    <t>SCHNEIDER</t>
  </si>
  <si>
    <t>TEMPESTT</t>
  </si>
  <si>
    <t>LAFONTAINE</t>
  </si>
  <si>
    <t>STUART</t>
  </si>
  <si>
    <t>ELMAN</t>
  </si>
  <si>
    <t>BURLEY</t>
  </si>
  <si>
    <t>GLENN</t>
  </si>
  <si>
    <t>ALBERT</t>
  </si>
  <si>
    <t>LIGHT</t>
  </si>
  <si>
    <t>EBANKS</t>
  </si>
  <si>
    <t>MCCLENDON</t>
  </si>
  <si>
    <t>TERRICA</t>
  </si>
  <si>
    <t>HENDRIX</t>
  </si>
  <si>
    <t>TORRES</t>
  </si>
  <si>
    <t>ITURBE</t>
  </si>
  <si>
    <t>RENAE</t>
  </si>
  <si>
    <t>GARRETT</t>
  </si>
  <si>
    <t>RODGERS</t>
  </si>
  <si>
    <t>SHERRI</t>
  </si>
  <si>
    <t>CORPORON</t>
  </si>
  <si>
    <t>DENISA</t>
  </si>
  <si>
    <t>KWITSCHAU</t>
  </si>
  <si>
    <t>NATALIA</t>
  </si>
  <si>
    <t>GORSKI</t>
  </si>
  <si>
    <t>GEORGE</t>
  </si>
  <si>
    <t>KNOTTS</t>
  </si>
  <si>
    <t>BIBA</t>
  </si>
  <si>
    <t>SELKE</t>
  </si>
  <si>
    <t>ROSE</t>
  </si>
  <si>
    <t>LEWIS</t>
  </si>
  <si>
    <t>KAI</t>
  </si>
  <si>
    <t>BARNES</t>
  </si>
  <si>
    <t>Gregg</t>
  </si>
  <si>
    <t>Arenson</t>
  </si>
  <si>
    <t>KARENLYNN</t>
  </si>
  <si>
    <t>GREEN</t>
  </si>
  <si>
    <t>RISTAN</t>
  </si>
  <si>
    <t>SOTIRI</t>
  </si>
  <si>
    <t>Ines</t>
  </si>
  <si>
    <t>Berg</t>
  </si>
  <si>
    <t>AMY</t>
  </si>
  <si>
    <t>PITTMAN</t>
  </si>
  <si>
    <t>TROUT</t>
  </si>
  <si>
    <t>GEHRING</t>
  </si>
  <si>
    <t>URSULA</t>
  </si>
  <si>
    <t>EDELENBOS</t>
  </si>
  <si>
    <t>SANDRA</t>
  </si>
  <si>
    <t>MANSFIELD</t>
  </si>
  <si>
    <t>WATKINS</t>
  </si>
  <si>
    <t>DELNO</t>
  </si>
  <si>
    <t>CORNISH</t>
  </si>
  <si>
    <t>KODI</t>
  </si>
  <si>
    <t>LAKE</t>
  </si>
  <si>
    <t>PATSAMON</t>
  </si>
  <si>
    <t>THANADABOUTH</t>
  </si>
  <si>
    <t>BETHANY</t>
  </si>
  <si>
    <t>LUANGKHAM</t>
  </si>
  <si>
    <t>JADAH</t>
  </si>
  <si>
    <t>MILAM-MORRISON</t>
  </si>
  <si>
    <t>BATTSENGEL</t>
  </si>
  <si>
    <t>TOGMID</t>
  </si>
  <si>
    <t>CAROLL</t>
  </si>
  <si>
    <t>CHRISTA</t>
  </si>
  <si>
    <t>CONINO</t>
  </si>
  <si>
    <t>BERNARDO</t>
  </si>
  <si>
    <t>CARVALHO</t>
  </si>
  <si>
    <t>PHILLIPS</t>
  </si>
  <si>
    <t>FARTHING</t>
  </si>
  <si>
    <t>KAPANGA</t>
  </si>
  <si>
    <t>LOIS</t>
  </si>
  <si>
    <t>SHEFFIELD</t>
  </si>
  <si>
    <t>DELROSSI</t>
  </si>
  <si>
    <t>MOHLER</t>
  </si>
  <si>
    <t>DEAN</t>
  </si>
  <si>
    <t>BEYER</t>
  </si>
  <si>
    <t>ALICIA</t>
  </si>
  <si>
    <t>COUGHLAN</t>
  </si>
  <si>
    <t>VACILIKI</t>
  </si>
  <si>
    <t>RESS</t>
  </si>
  <si>
    <t>DENISE</t>
  </si>
  <si>
    <t>JEROUSEK</t>
  </si>
  <si>
    <t>BERNHARD</t>
  </si>
  <si>
    <t>CALVIN</t>
  </si>
  <si>
    <t>CARROL</t>
  </si>
  <si>
    <t>KING</t>
  </si>
  <si>
    <t>PHELPS</t>
  </si>
  <si>
    <t>ARTHUR</t>
  </si>
  <si>
    <t>CARLSON</t>
  </si>
  <si>
    <t>HIGGINS</t>
  </si>
  <si>
    <t>AMATA</t>
  </si>
  <si>
    <t>BROMUND</t>
  </si>
  <si>
    <t>HARDING</t>
  </si>
  <si>
    <t>KATHERINE</t>
  </si>
  <si>
    <t>RODRICKS</t>
  </si>
  <si>
    <t>SHAINA</t>
  </si>
  <si>
    <t>ESTES</t>
  </si>
  <si>
    <t>ISAACSON</t>
  </si>
  <si>
    <t>KELBY</t>
  </si>
  <si>
    <t>MURPHREE</t>
  </si>
  <si>
    <t>WHITNEY</t>
  </si>
  <si>
    <t>FOX</t>
  </si>
  <si>
    <t>LOREDO</t>
  </si>
  <si>
    <t>MIRCEA</t>
  </si>
  <si>
    <t>CALBAZA</t>
  </si>
  <si>
    <t>KLYNTON</t>
  </si>
  <si>
    <t>MELISSA</t>
  </si>
  <si>
    <t>LOUIE</t>
  </si>
  <si>
    <t>TANJA</t>
  </si>
  <si>
    <t>JUKIC</t>
  </si>
  <si>
    <t>WRING</t>
  </si>
  <si>
    <t>GALEN</t>
  </si>
  <si>
    <t>CHELSEA</t>
  </si>
  <si>
    <t>REITENBACH</t>
  </si>
  <si>
    <t>TERESA</t>
  </si>
  <si>
    <t>COUSINEAU-VESELICA</t>
  </si>
  <si>
    <t>DIXON</t>
  </si>
  <si>
    <t>GEOFFREY</t>
  </si>
  <si>
    <t>PETTINE</t>
  </si>
  <si>
    <t>STOCKTON</t>
  </si>
  <si>
    <t>HOWARD</t>
  </si>
  <si>
    <t>BELL</t>
  </si>
  <si>
    <t>JOSEPH</t>
  </si>
  <si>
    <t>HINTZICKER</t>
  </si>
  <si>
    <t>WANIETA</t>
  </si>
  <si>
    <t>MERIWTHER</t>
  </si>
  <si>
    <t>HARDIE</t>
  </si>
  <si>
    <t>JAYLA</t>
  </si>
  <si>
    <t>TERRY</t>
  </si>
  <si>
    <t>KEVIN</t>
  </si>
  <si>
    <t>CLOUSE</t>
  </si>
  <si>
    <t>STANLEY</t>
  </si>
  <si>
    <t>MARONSKI</t>
  </si>
  <si>
    <t>MS</t>
  </si>
  <si>
    <t>JACLYN</t>
  </si>
  <si>
    <t>SHACKELFORD</t>
  </si>
  <si>
    <t>MEGAN</t>
  </si>
  <si>
    <t>LONGENECKER</t>
  </si>
  <si>
    <t>JEANETTE</t>
  </si>
  <si>
    <t>LUDDY</t>
  </si>
  <si>
    <t>JULIAN</t>
  </si>
  <si>
    <t>CAMPBELL</t>
  </si>
  <si>
    <t>VOLZ</t>
  </si>
  <si>
    <t>SURRATT</t>
  </si>
  <si>
    <t>CLARITA</t>
  </si>
  <si>
    <t>WHEATLEY</t>
  </si>
  <si>
    <t>WHITTINGTON</t>
  </si>
  <si>
    <t>THEODORE</t>
  </si>
  <si>
    <t>WIGGINS</t>
  </si>
  <si>
    <t>SOLIVAN</t>
  </si>
  <si>
    <t>LARKIN</t>
  </si>
  <si>
    <t>KENNETH</t>
  </si>
  <si>
    <t>RAJIV</t>
  </si>
  <si>
    <t>ZAVERI</t>
  </si>
  <si>
    <t>LACI</t>
  </si>
  <si>
    <t>SHOLL</t>
  </si>
  <si>
    <t>ZACHARY</t>
  </si>
  <si>
    <t>PUGH</t>
  </si>
  <si>
    <t>ACHIMAS</t>
  </si>
  <si>
    <t>OVERSTREET</t>
  </si>
  <si>
    <t>Timothy</t>
  </si>
  <si>
    <t>Hodgman</t>
  </si>
  <si>
    <t>HODGMAN</t>
  </si>
  <si>
    <t>STEPHEN</t>
  </si>
  <si>
    <t>DUNCAN</t>
  </si>
  <si>
    <t>JULIE</t>
  </si>
  <si>
    <t>Saadia</t>
  </si>
  <si>
    <t>Abdul</t>
  </si>
  <si>
    <t>URIEL</t>
  </si>
  <si>
    <t>KENZIE</t>
  </si>
  <si>
    <t>DUKE</t>
  </si>
  <si>
    <t>OSCAR</t>
  </si>
  <si>
    <t>KLIS</t>
  </si>
  <si>
    <t>BIZZIERI</t>
  </si>
  <si>
    <t>FLATT</t>
  </si>
  <si>
    <t>DWIGHT</t>
  </si>
  <si>
    <t>JODY</t>
  </si>
  <si>
    <t>SCHNEIDERMAN</t>
  </si>
  <si>
    <t>COKISHA</t>
  </si>
  <si>
    <t>FRIDA</t>
  </si>
  <si>
    <t>NKEMBE</t>
  </si>
  <si>
    <t>SYDNEY</t>
  </si>
  <si>
    <t>WEBSTER</t>
  </si>
  <si>
    <t>DANIEL</t>
  </si>
  <si>
    <t>NINO</t>
  </si>
  <si>
    <t>SANSONE</t>
  </si>
  <si>
    <t>AMARJARGAL</t>
  </si>
  <si>
    <t>CHIMEDTSEREN</t>
  </si>
  <si>
    <t>DUSTIN</t>
  </si>
  <si>
    <t>DURYEA</t>
  </si>
  <si>
    <t>JAMIE</t>
  </si>
  <si>
    <t>HAMBRICK</t>
  </si>
  <si>
    <t>Christopher</t>
  </si>
  <si>
    <t>Brousseau</t>
  </si>
  <si>
    <t>LIGHTFOOT</t>
  </si>
  <si>
    <t>AK</t>
  </si>
  <si>
    <t>MARTINA</t>
  </si>
  <si>
    <t>HORNER</t>
  </si>
  <si>
    <t>HEIDI</t>
  </si>
  <si>
    <t>VOLBRECHT</t>
  </si>
  <si>
    <t>BARTLOMIEJ</t>
  </si>
  <si>
    <t>KARAS</t>
  </si>
  <si>
    <t>MONBRUM</t>
  </si>
  <si>
    <t>CONNIE</t>
  </si>
  <si>
    <t>SHOCKLEY</t>
  </si>
  <si>
    <t>BITTERMAN</t>
  </si>
  <si>
    <t>PAOLANTONIO</t>
  </si>
  <si>
    <t>MARZENA</t>
  </si>
  <si>
    <t>KALEMBASA</t>
  </si>
  <si>
    <t>PATRICK</t>
  </si>
  <si>
    <t>THI</t>
  </si>
  <si>
    <t>DINH</t>
  </si>
  <si>
    <t>PETERS</t>
  </si>
  <si>
    <t>LARSEN</t>
  </si>
  <si>
    <t>WILLIS</t>
  </si>
  <si>
    <t>KEGHAN</t>
  </si>
  <si>
    <t>CARLTON</t>
  </si>
  <si>
    <t>MAXIMILIAN</t>
  </si>
  <si>
    <t>PEREIRAS-LEIVE</t>
  </si>
  <si>
    <t>WESCOTT</t>
  </si>
  <si>
    <t>DOWDY</t>
  </si>
  <si>
    <t>KNAPCIK</t>
  </si>
  <si>
    <t>CARSON</t>
  </si>
  <si>
    <t>JIMMY</t>
  </si>
  <si>
    <t>CAMP</t>
  </si>
  <si>
    <t>ELDON</t>
  </si>
  <si>
    <t>COMPTON-FREDERICK</t>
  </si>
  <si>
    <t>GALLOWAY</t>
  </si>
  <si>
    <t>LAMBERT</t>
  </si>
  <si>
    <t>JR</t>
  </si>
  <si>
    <t>OCTA'VYON</t>
  </si>
  <si>
    <t>WATSON</t>
  </si>
  <si>
    <t>HTOO</t>
  </si>
  <si>
    <t>LATESHA</t>
  </si>
  <si>
    <t>MUNKHJARGAL</t>
  </si>
  <si>
    <t>CHULUUNBAT</t>
  </si>
  <si>
    <t>BUYANDELGER</t>
  </si>
  <si>
    <t>BOLORTUYA</t>
  </si>
  <si>
    <t>POPE</t>
  </si>
  <si>
    <t>STACIE</t>
  </si>
  <si>
    <t>GIBSON</t>
  </si>
  <si>
    <t>TOBIAS</t>
  </si>
  <si>
    <t>SEMAB</t>
  </si>
  <si>
    <t>QURESHI</t>
  </si>
  <si>
    <t>BATTSETSEG</t>
  </si>
  <si>
    <t>TUMENBAYAR</t>
  </si>
  <si>
    <t>KOREY</t>
  </si>
  <si>
    <t>LATISHA</t>
  </si>
  <si>
    <t>HOLLIS</t>
  </si>
  <si>
    <t>JEFF</t>
  </si>
  <si>
    <t>REY</t>
  </si>
  <si>
    <t>DARBRA</t>
  </si>
  <si>
    <t>HERRICK</t>
  </si>
  <si>
    <t>MALONE</t>
  </si>
  <si>
    <t>TERRIE</t>
  </si>
  <si>
    <t>PALAZZO</t>
  </si>
  <si>
    <t>BALLA</t>
  </si>
  <si>
    <t>DEUSER</t>
  </si>
  <si>
    <t>FUSILERO</t>
  </si>
  <si>
    <t>ASHLEE</t>
  </si>
  <si>
    <t>FEEMSTER</t>
  </si>
  <si>
    <t>OYUNTSETSEG</t>
  </si>
  <si>
    <t>GANBOLD</t>
  </si>
  <si>
    <t>BALLARD</t>
  </si>
  <si>
    <t>TSENGELMAA</t>
  </si>
  <si>
    <t>DORJKHAND</t>
  </si>
  <si>
    <t>LESSIE</t>
  </si>
  <si>
    <t>CHESTER</t>
  </si>
  <si>
    <t>MARIELLE</t>
  </si>
  <si>
    <t>FARIA</t>
  </si>
  <si>
    <t>MORGAN</t>
  </si>
  <si>
    <t>DOWDING</t>
  </si>
  <si>
    <t>JILL</t>
  </si>
  <si>
    <t>MCKEE</t>
  </si>
  <si>
    <t>TOREY</t>
  </si>
  <si>
    <t>DICKSON</t>
  </si>
  <si>
    <t>TATE</t>
  </si>
  <si>
    <t>GOULD</t>
  </si>
  <si>
    <t>JARGALSAIKHAN</t>
  </si>
  <si>
    <t>OLIVIA</t>
  </si>
  <si>
    <t>FUENTES-DIETSCH</t>
  </si>
  <si>
    <t>PATTEN</t>
  </si>
  <si>
    <t>GAGE</t>
  </si>
  <si>
    <t>PANTEL</t>
  </si>
  <si>
    <t>WAYNE</t>
  </si>
  <si>
    <t>PARKER</t>
  </si>
  <si>
    <t>CODY</t>
  </si>
  <si>
    <t>BURNS</t>
  </si>
  <si>
    <t>HOLLY</t>
  </si>
  <si>
    <t>STAMPER</t>
  </si>
  <si>
    <t>JUANITA</t>
  </si>
  <si>
    <t>SINGH</t>
  </si>
  <si>
    <t>BURI</t>
  </si>
  <si>
    <t>CORAL</t>
  </si>
  <si>
    <t>COOPER</t>
  </si>
  <si>
    <t>GERELTUYA</t>
  </si>
  <si>
    <t>TUMURKHUYAG</t>
  </si>
  <si>
    <t>II</t>
  </si>
  <si>
    <t>ERDENECHIMEG</t>
  </si>
  <si>
    <t>BAASANJAV</t>
  </si>
  <si>
    <t>NORA</t>
  </si>
  <si>
    <t>LESLIE</t>
  </si>
  <si>
    <t>KEE</t>
  </si>
  <si>
    <t>FRANCIS</t>
  </si>
  <si>
    <t>SLIFKA</t>
  </si>
  <si>
    <t>MITCHELL</t>
  </si>
  <si>
    <t>PATTERSON</t>
  </si>
  <si>
    <t>DRESHER</t>
  </si>
  <si>
    <t>DOBROMILA</t>
  </si>
  <si>
    <t>PAVLASOVA</t>
  </si>
  <si>
    <t>ROBSON</t>
  </si>
  <si>
    <t>JAX</t>
  </si>
  <si>
    <t>WILLIE</t>
  </si>
  <si>
    <t>BERG</t>
  </si>
  <si>
    <t>JESSE</t>
  </si>
  <si>
    <t>ROZINA</t>
  </si>
  <si>
    <t>PANCHANI</t>
  </si>
  <si>
    <t>KHUNSHAGAI</t>
  </si>
  <si>
    <t>BATTULGA</t>
  </si>
  <si>
    <t>MADELYN</t>
  </si>
  <si>
    <t>CLEAVE</t>
  </si>
  <si>
    <t>CARY</t>
  </si>
  <si>
    <t>MCCALL</t>
  </si>
  <si>
    <t>CARROLL</t>
  </si>
  <si>
    <t>KIMBRUE</t>
  </si>
  <si>
    <t>RACHEL</t>
  </si>
  <si>
    <t>MARLENE</t>
  </si>
  <si>
    <t>MENDOZA</t>
  </si>
  <si>
    <t>TOSHNA</t>
  </si>
  <si>
    <t>DUREN</t>
  </si>
  <si>
    <t>SHEILA</t>
  </si>
  <si>
    <t>BRORMAN</t>
  </si>
  <si>
    <t>UNDRAGA</t>
  </si>
  <si>
    <t>MASHBAT</t>
  </si>
  <si>
    <t>TODD</t>
  </si>
  <si>
    <t>BURRI</t>
  </si>
  <si>
    <t>FELOSA</t>
  </si>
  <si>
    <t>CARRIE</t>
  </si>
  <si>
    <t>DOBSCH</t>
  </si>
  <si>
    <t>ROMAN</t>
  </si>
  <si>
    <t>PRUNCZAK</t>
  </si>
  <si>
    <t>JAZZMINE</t>
  </si>
  <si>
    <t>ESPINOZA</t>
  </si>
  <si>
    <t>DELBOSQUE</t>
  </si>
  <si>
    <t>NIKKI</t>
  </si>
  <si>
    <t>SANDOVAL</t>
  </si>
  <si>
    <t>TALESHCEIA</t>
  </si>
  <si>
    <t>POWELL</t>
  </si>
  <si>
    <t>KEITH</t>
  </si>
  <si>
    <t>RODECK</t>
  </si>
  <si>
    <t>TAMMY</t>
  </si>
  <si>
    <t>RODENHOUSE</t>
  </si>
  <si>
    <t>GLORIA</t>
  </si>
  <si>
    <t>PANGAN</t>
  </si>
  <si>
    <t>MUNKHSAIKHAN</t>
  </si>
  <si>
    <t>OCHIR</t>
  </si>
  <si>
    <t>KELLI</t>
  </si>
  <si>
    <t>ROWELL</t>
  </si>
  <si>
    <t>BUCK</t>
  </si>
  <si>
    <t>KRISTIN</t>
  </si>
  <si>
    <t>DICKINSON</t>
  </si>
  <si>
    <t>SID</t>
  </si>
  <si>
    <t>DAMIAN</t>
  </si>
  <si>
    <t>CRISTINA</t>
  </si>
  <si>
    <t>RIVERA</t>
  </si>
  <si>
    <t>LIBERATORE</t>
  </si>
  <si>
    <t>MOUGHALIAN</t>
  </si>
  <si>
    <t>VINCE</t>
  </si>
  <si>
    <t>NIDA</t>
  </si>
  <si>
    <t>HUSSAIN</t>
  </si>
  <si>
    <t>MASON</t>
  </si>
  <si>
    <t>MOREAU</t>
  </si>
  <si>
    <t>TREFTZ</t>
  </si>
  <si>
    <t>JENNINGS</t>
  </si>
  <si>
    <t>SHIPP</t>
  </si>
  <si>
    <t>HANNAS</t>
  </si>
  <si>
    <t>SHANNON</t>
  </si>
  <si>
    <t>STANIECH</t>
  </si>
  <si>
    <t>CHANTAL</t>
  </si>
  <si>
    <t>SCHAAL</t>
  </si>
  <si>
    <t>PISTORIUS</t>
  </si>
  <si>
    <t>BRITTANY</t>
  </si>
  <si>
    <t>FRISHKORN</t>
  </si>
  <si>
    <t>BREEA</t>
  </si>
  <si>
    <t>GOVENAR</t>
  </si>
  <si>
    <t>DIGREGORIO</t>
  </si>
  <si>
    <t>RISING</t>
  </si>
  <si>
    <t>LIFE C TN-IN-NE-IA-ND-KS-MD-VA-ME-SD-MO-NC-OR</t>
  </si>
  <si>
    <t>My LIFE Wellness 21038</t>
  </si>
  <si>
    <t>GYORGYI</t>
  </si>
  <si>
    <t>NOVAC</t>
  </si>
  <si>
    <t>MARYANN</t>
  </si>
  <si>
    <t>SYLVIE</t>
  </si>
  <si>
    <t>CLARKE</t>
  </si>
  <si>
    <t>FALING</t>
  </si>
  <si>
    <t>FULLERTON</t>
  </si>
  <si>
    <t>LATONYS</t>
  </si>
  <si>
    <t>THOMPSON</t>
  </si>
  <si>
    <t>SHELLEY</t>
  </si>
  <si>
    <t>KIMYA</t>
  </si>
  <si>
    <t>HOLDER</t>
  </si>
  <si>
    <t>STEVENSON</t>
  </si>
  <si>
    <t>LIUV</t>
  </si>
  <si>
    <t>SUAREZ</t>
  </si>
  <si>
    <t>POWERS</t>
  </si>
  <si>
    <t>KABEL</t>
  </si>
  <si>
    <t>WHITLOCK</t>
  </si>
  <si>
    <t>agent name</t>
  </si>
  <si>
    <t>Matthew Sherman</t>
  </si>
  <si>
    <t>ANNE MARIE KOZACHECK</t>
  </si>
  <si>
    <t>Ronald Max</t>
  </si>
  <si>
    <t>RYAN CALTAGIRONE</t>
  </si>
  <si>
    <t>Richard Yale</t>
  </si>
  <si>
    <t>Marsha Sanderock</t>
  </si>
  <si>
    <t>Jake Shulman</t>
  </si>
  <si>
    <t>COLLEEN FINNIGAN</t>
  </si>
  <si>
    <t>Stephanie Drapac</t>
  </si>
  <si>
    <t>CHAD BENDER</t>
  </si>
  <si>
    <t>THOMAS PARDUE</t>
  </si>
  <si>
    <t>GARY PORTUGAL</t>
  </si>
  <si>
    <t>NASANDELGER ZANA</t>
  </si>
  <si>
    <t>MICHAEL DUNAVANT</t>
  </si>
  <si>
    <t>JOHN ROKEN</t>
  </si>
  <si>
    <t>Jennifer Halsaver</t>
  </si>
  <si>
    <t>Dale Walenga</t>
  </si>
  <si>
    <t>ADAM RICHTER</t>
  </si>
  <si>
    <t>Andrew Choi</t>
  </si>
  <si>
    <t>RICARDO SANTOS</t>
  </si>
  <si>
    <t>FRANK LISKOVEC</t>
  </si>
  <si>
    <t>Kirk Tigue</t>
  </si>
  <si>
    <t>CAROL FOLEY</t>
  </si>
  <si>
    <t>GREGORY TEIPEL</t>
  </si>
  <si>
    <t>Jason Roller</t>
  </si>
  <si>
    <t>JARED KINYUA</t>
  </si>
  <si>
    <t>JOSE TORRES</t>
  </si>
  <si>
    <t>Chad Yale</t>
  </si>
  <si>
    <t>SCOTT AGUGLIA</t>
  </si>
  <si>
    <t>Barry Schumann</t>
  </si>
  <si>
    <t>MATTHEW DAUGHERTY</t>
  </si>
  <si>
    <t>VICTOR FUENTES</t>
  </si>
  <si>
    <t>Heather Geske</t>
  </si>
  <si>
    <t>JACOB YALE</t>
  </si>
  <si>
    <t>WILLIAM GESKE</t>
  </si>
  <si>
    <t>Anthony Hunsberger</t>
  </si>
  <si>
    <t>ANDREA PETRUNGARO</t>
  </si>
  <si>
    <t>Zameer Kotadia</t>
  </si>
  <si>
    <t>PETER RICHTER</t>
  </si>
  <si>
    <t>KELLY CARRYER</t>
  </si>
  <si>
    <t>DEBORAH INSKIPT</t>
  </si>
  <si>
    <t>STACEY PORTUGAL</t>
  </si>
  <si>
    <t>BARRY BRENNER</t>
  </si>
  <si>
    <t>CHRISTIAN TAUGNER</t>
  </si>
  <si>
    <t>Matthew Powers</t>
  </si>
  <si>
    <t>KATELENN CALTAGIRONE</t>
  </si>
  <si>
    <t>MICHAEL SEMPREVIVO</t>
  </si>
  <si>
    <t>STEVEN WERNER</t>
  </si>
  <si>
    <t>BRIAN STROHMAN</t>
  </si>
  <si>
    <t>PAMELA DEATON</t>
  </si>
  <si>
    <t>ODMAA ENKHTUR</t>
  </si>
  <si>
    <t>Latesha Rose</t>
  </si>
  <si>
    <t>James Allen</t>
  </si>
  <si>
    <t>Kenneth Weitzman</t>
  </si>
  <si>
    <t>JASON HOFFMANN</t>
  </si>
  <si>
    <t>GREGORY HANSFORD</t>
  </si>
  <si>
    <t>TIMOTHY POWERS</t>
  </si>
  <si>
    <t>Timothy Hodgman</t>
  </si>
  <si>
    <t>Saadia Abdul</t>
  </si>
  <si>
    <t>Joel Lee</t>
  </si>
  <si>
    <t>Erica Solivan</t>
  </si>
  <si>
    <t>Gregg Arenson</t>
  </si>
  <si>
    <t>ESTHER HERRERA-LARSEN</t>
  </si>
  <si>
    <t>Christopher Brousseau</t>
  </si>
  <si>
    <t>PATSAMON THANADABOUTH</t>
  </si>
  <si>
    <t>Ines Berg</t>
  </si>
  <si>
    <t>Cancer and Heart-Stroke 20231</t>
  </si>
  <si>
    <t>Critical Illness with Term Life 21677</t>
  </si>
  <si>
    <t>Life Association C</t>
  </si>
  <si>
    <t>AV6</t>
  </si>
  <si>
    <t>AV1</t>
  </si>
  <si>
    <t>17425766old</t>
  </si>
  <si>
    <t>17528908N</t>
  </si>
  <si>
    <t>AE</t>
  </si>
  <si>
    <t>National General GI Access Plan-All States</t>
  </si>
  <si>
    <t>Cancer and Heart-Stroke 20231 CO-FL-MN-MI</t>
  </si>
  <si>
    <t>Allstate OVR</t>
  </si>
  <si>
    <t>Main Line Benefits</t>
  </si>
  <si>
    <t>NHIC STM PPO IA</t>
  </si>
  <si>
    <t>My Life Wellness 21038</t>
  </si>
  <si>
    <t>20003537old</t>
  </si>
  <si>
    <t>19279958old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</si>
</sst>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9" fontId="0" fillId="0" borderId="0" xfId="0" applyNumberFormat="1"/>
    <xf numFmtId="14" fontId="0" fillId="33" borderId="0" xfId="0" applyNumberFormat="1" applyFill="1"/>
    <xf numFmtId="0" fontId="0" fillId="33" borderId="0" xfId="0" applyFill="1"/>
    <xf numFmtId="8" fontId="0" fillId="33" borderId="0" xfId="0" applyNumberFormat="1" applyFill="1"/>
    <xf numFmtId="10" fontId="0" fillId="33" borderId="0" xfId="0" applyNumberFormat="1" applyFill="1"/>
    <xf numFmtId="9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8" fontId="0" fillId="34" borderId="0" xfId="0" applyNumberFormat="1" applyFill="1"/>
    <xf numFmtId="10" fontId="0" fillId="34" borderId="0" xfId="0" applyNumberFormat="1" applyFill="1"/>
    <xf numFmtId="9" fontId="0" fillId="34" borderId="0" xfId="0" applyNumberFormat="1" applyFill="1"/>
    <xf numFmtId="2" fontId="0" fillId="0" borderId="0" xfId="0" applyNumberFormat="1"/>
    <xf numFmtId="2" fontId="0" fillId="33" borderId="0" xfId="0" applyNumberFormat="1" applyFill="1"/>
    <xf numFmtId="2" fontId="0" fillId="34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  <xf numFmtId="9" fontId="0" fillId="0" borderId="0" xfId="0" applyNumberFormat="1" applyFill="1"/>
    <xf numFmtId="10" fontId="0" fillId="0" borderId="0" xfId="0" applyNumberFormat="1" applyFill="1"/>
    <xf numFmtId="0" fontId="19" fillId="34" borderId="0" xfId="0" applyFont="1" applyFill="1"/>
    <xf numFmtId="14" fontId="19" fillId="34" borderId="0" xfId="0" applyNumberFormat="1" applyFont="1" applyFill="1"/>
    <xf numFmtId="8" fontId="19" fillId="34" borderId="0" xfId="0" applyNumberFormat="1" applyFont="1" applyFill="1"/>
    <xf numFmtId="0" fontId="0" fillId="35" borderId="0" xfId="0" applyFill="1"/>
    <xf numFmtId="14" fontId="0" fillId="35" borderId="0" xfId="0" applyNumberFormat="1" applyFill="1"/>
    <xf numFmtId="8" fontId="0" fillId="35" borderId="0" xfId="0" applyNumberFormat="1" applyFill="1"/>
    <xf numFmtId="9" fontId="0" fillId="35" borderId="0" xfId="0" applyNumberFormat="1" applyFill="1"/>
    <xf numFmtId="10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B794-DFFB-4857-99BB-79EF71ACE159}">
  <dimension ref="A1:AU1005"/>
  <sheetViews>
    <sheetView topLeftCell="W1" workbookViewId="0">
      <pane ySplit="1" topLeftCell="A698" activePane="bottomLeft" state="frozen"/>
      <selection pane="bottomLeft" activeCell="A717" sqref="A717:XFD717"/>
    </sheetView>
  </sheetViews>
  <sheetFormatPr defaultRowHeight="15" x14ac:dyDescent="0.25"/>
  <cols>
    <col min="1" max="1" width="27.28515625" bestFit="1" customWidth="1"/>
    <col min="2" max="2" width="5.140625" bestFit="1" customWidth="1"/>
    <col min="3" max="3" width="24.42578125" bestFit="1" customWidth="1"/>
    <col min="4" max="4" width="11" bestFit="1" customWidth="1"/>
    <col min="5" max="5" width="22.140625" bestFit="1" customWidth="1"/>
    <col min="6" max="6" width="22.42578125" bestFit="1" customWidth="1"/>
    <col min="7" max="7" width="22.85546875" bestFit="1" customWidth="1"/>
    <col min="8" max="8" width="5.28515625" bestFit="1" customWidth="1"/>
    <col min="9" max="9" width="18.140625" bestFit="1" customWidth="1"/>
    <col min="10" max="10" width="42.42578125" bestFit="1" customWidth="1"/>
    <col min="11" max="11" width="15" bestFit="1" customWidth="1"/>
    <col min="12" max="12" width="13.28515625" bestFit="1" customWidth="1"/>
    <col min="13" max="13" width="13.85546875" bestFit="1" customWidth="1"/>
    <col min="14" max="14" width="12.140625" bestFit="1" customWidth="1"/>
    <col min="15" max="15" width="12.5703125" bestFit="1" customWidth="1"/>
    <col min="16" max="16" width="12" bestFit="1" customWidth="1"/>
    <col min="17" max="17" width="15.85546875" bestFit="1" customWidth="1"/>
    <col min="18" max="18" width="7.28515625" bestFit="1" customWidth="1"/>
    <col min="19" max="19" width="12.5703125" bestFit="1" customWidth="1"/>
    <col min="20" max="20" width="9.7109375" bestFit="1" customWidth="1"/>
    <col min="21" max="21" width="11.140625" bestFit="1" customWidth="1"/>
    <col min="22" max="22" width="9.85546875" bestFit="1" customWidth="1"/>
    <col min="23" max="23" width="13.85546875" bestFit="1" customWidth="1"/>
    <col min="24" max="24" width="8.28515625" bestFit="1" customWidth="1"/>
    <col min="25" max="25" width="15" bestFit="1" customWidth="1"/>
    <col min="26" max="26" width="12.140625" bestFit="1" customWidth="1"/>
    <col min="27" max="27" width="15.85546875" bestFit="1" customWidth="1"/>
    <col min="28" max="28" width="9.7109375" bestFit="1" customWidth="1"/>
    <col min="29" max="29" width="14.5703125" bestFit="1" customWidth="1"/>
    <col min="30" max="30" width="10.140625" bestFit="1" customWidth="1"/>
    <col min="31" max="31" width="11.42578125" bestFit="1" customWidth="1"/>
    <col min="32" max="32" width="13.28515625" bestFit="1" customWidth="1"/>
    <col min="33" max="33" width="14.140625" bestFit="1" customWidth="1"/>
    <col min="34" max="34" width="15.85546875" bestFit="1" customWidth="1"/>
    <col min="35" max="35" width="13.85546875" bestFit="1" customWidth="1"/>
    <col min="36" max="36" width="16.42578125" bestFit="1" customWidth="1"/>
    <col min="37" max="37" width="12.85546875" bestFit="1" customWidth="1"/>
    <col min="38" max="38" width="19" bestFit="1" customWidth="1"/>
    <col min="39" max="39" width="20.85546875" bestFit="1" customWidth="1"/>
    <col min="40" max="40" width="15.7109375" bestFit="1" customWidth="1"/>
    <col min="41" max="41" width="20" bestFit="1" customWidth="1"/>
    <col min="42" max="42" width="22.42578125" bestFit="1" customWidth="1"/>
    <col min="43" max="43" width="30" bestFit="1" customWidth="1"/>
    <col min="44" max="44" width="22" bestFit="1" customWidth="1"/>
    <col min="45" max="45" width="21.140625" bestFit="1" customWidth="1"/>
    <col min="46" max="46" width="17.7109375" bestFit="1" customWidth="1"/>
    <col min="47" max="47" width="11.4257812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s="1">
        <v>45922</v>
      </c>
      <c r="B2" t="s">
        <v>47</v>
      </c>
      <c r="C2">
        <v>649163</v>
      </c>
      <c r="D2">
        <v>2031074191</v>
      </c>
      <c r="E2" t="s">
        <v>91</v>
      </c>
      <c r="F2" t="s">
        <v>92</v>
      </c>
      <c r="G2" t="s">
        <v>50</v>
      </c>
      <c r="H2" t="s">
        <v>93</v>
      </c>
      <c r="I2" t="s">
        <v>52</v>
      </c>
      <c r="J2" t="s">
        <v>78</v>
      </c>
      <c r="K2">
        <v>894525</v>
      </c>
      <c r="L2" t="s">
        <v>94</v>
      </c>
      <c r="M2" t="s">
        <v>95</v>
      </c>
      <c r="N2" t="s">
        <v>56</v>
      </c>
      <c r="O2" s="1">
        <v>45931</v>
      </c>
      <c r="P2" s="1">
        <v>45962</v>
      </c>
      <c r="Q2" s="2">
        <v>129.97</v>
      </c>
      <c r="R2">
        <v>1</v>
      </c>
      <c r="S2" t="s">
        <v>57</v>
      </c>
      <c r="T2" t="s">
        <v>96</v>
      </c>
      <c r="U2" s="4">
        <v>0.6</v>
      </c>
      <c r="V2" s="2">
        <v>0</v>
      </c>
      <c r="W2">
        <v>0</v>
      </c>
      <c r="X2" t="s">
        <v>70</v>
      </c>
      <c r="Y2" t="s">
        <v>97</v>
      </c>
      <c r="Z2">
        <v>6</v>
      </c>
      <c r="AA2" s="2">
        <v>467.88</v>
      </c>
      <c r="AB2" s="2">
        <v>0</v>
      </c>
      <c r="AC2" s="4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77.98</v>
      </c>
      <c r="AL2" s="2">
        <v>0</v>
      </c>
      <c r="AM2" s="2">
        <v>467.88</v>
      </c>
      <c r="AN2" s="2">
        <v>0</v>
      </c>
      <c r="AO2" s="2">
        <v>0</v>
      </c>
      <c r="AP2" s="2">
        <v>0</v>
      </c>
    </row>
    <row r="3" spans="1:47" x14ac:dyDescent="0.25">
      <c r="A3" s="1">
        <v>45922</v>
      </c>
      <c r="B3" t="s">
        <v>47</v>
      </c>
      <c r="C3">
        <v>649163</v>
      </c>
      <c r="D3">
        <v>2031094286</v>
      </c>
      <c r="E3" t="s">
        <v>98</v>
      </c>
      <c r="F3" t="s">
        <v>99</v>
      </c>
      <c r="G3" t="s">
        <v>50</v>
      </c>
      <c r="H3" t="s">
        <v>93</v>
      </c>
      <c r="I3" t="s">
        <v>52</v>
      </c>
      <c r="J3" t="s">
        <v>78</v>
      </c>
      <c r="K3">
        <v>894525</v>
      </c>
      <c r="L3" t="s">
        <v>94</v>
      </c>
      <c r="M3" t="s">
        <v>95</v>
      </c>
      <c r="N3" t="s">
        <v>56</v>
      </c>
      <c r="O3" s="1">
        <v>45931</v>
      </c>
      <c r="P3" s="1">
        <v>45962</v>
      </c>
      <c r="Q3" s="2">
        <v>129.97</v>
      </c>
      <c r="R3">
        <v>1</v>
      </c>
      <c r="S3" t="s">
        <v>57</v>
      </c>
      <c r="T3" t="s">
        <v>96</v>
      </c>
      <c r="U3" s="4">
        <v>0.6</v>
      </c>
      <c r="V3" s="2">
        <v>0</v>
      </c>
      <c r="W3">
        <v>0</v>
      </c>
      <c r="X3" t="s">
        <v>70</v>
      </c>
      <c r="Y3" t="s">
        <v>97</v>
      </c>
      <c r="Z3">
        <v>6</v>
      </c>
      <c r="AA3" s="2">
        <v>467.88</v>
      </c>
      <c r="AB3" s="2">
        <v>0</v>
      </c>
      <c r="AC3" s="4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77.98</v>
      </c>
      <c r="AL3" s="2">
        <v>0</v>
      </c>
      <c r="AM3" s="2">
        <v>467.88</v>
      </c>
      <c r="AN3" s="2">
        <v>0</v>
      </c>
      <c r="AO3" s="2">
        <v>0</v>
      </c>
      <c r="AP3" s="2">
        <v>0</v>
      </c>
    </row>
    <row r="4" spans="1:47" x14ac:dyDescent="0.25">
      <c r="A4" s="1">
        <v>45922</v>
      </c>
      <c r="B4" t="s">
        <v>47</v>
      </c>
      <c r="C4">
        <v>649163</v>
      </c>
      <c r="D4">
        <v>2031097277</v>
      </c>
      <c r="E4" t="s">
        <v>100</v>
      </c>
      <c r="F4" t="s">
        <v>101</v>
      </c>
      <c r="G4" t="s">
        <v>50</v>
      </c>
      <c r="H4" t="s">
        <v>93</v>
      </c>
      <c r="I4" t="s">
        <v>52</v>
      </c>
      <c r="J4" t="s">
        <v>78</v>
      </c>
      <c r="K4">
        <v>894525</v>
      </c>
      <c r="L4" t="s">
        <v>94</v>
      </c>
      <c r="M4" t="s">
        <v>95</v>
      </c>
      <c r="N4" t="s">
        <v>56</v>
      </c>
      <c r="O4" s="1">
        <v>45931</v>
      </c>
      <c r="P4" s="1">
        <v>45962</v>
      </c>
      <c r="Q4" s="2">
        <v>90.95</v>
      </c>
      <c r="R4">
        <v>1</v>
      </c>
      <c r="S4" t="s">
        <v>57</v>
      </c>
      <c r="T4" t="s">
        <v>96</v>
      </c>
      <c r="U4" s="4">
        <v>0.6</v>
      </c>
      <c r="V4" s="2">
        <v>0</v>
      </c>
      <c r="W4">
        <v>0</v>
      </c>
      <c r="X4" t="s">
        <v>70</v>
      </c>
      <c r="Y4" t="s">
        <v>97</v>
      </c>
      <c r="Z4">
        <v>6</v>
      </c>
      <c r="AA4" s="2">
        <v>327.42</v>
      </c>
      <c r="AB4" s="2">
        <v>0</v>
      </c>
      <c r="AC4" s="4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54.57</v>
      </c>
      <c r="AL4" s="2">
        <v>0</v>
      </c>
      <c r="AM4" s="2">
        <v>327.42</v>
      </c>
      <c r="AN4" s="2">
        <v>0</v>
      </c>
      <c r="AO4" s="2">
        <v>0</v>
      </c>
      <c r="AP4" s="2">
        <v>0</v>
      </c>
    </row>
    <row r="5" spans="1:47" x14ac:dyDescent="0.25">
      <c r="A5" s="1">
        <v>45922</v>
      </c>
      <c r="B5" t="s">
        <v>47</v>
      </c>
      <c r="C5">
        <v>649163</v>
      </c>
      <c r="D5">
        <v>2031107195</v>
      </c>
      <c r="E5" t="s">
        <v>102</v>
      </c>
      <c r="F5" t="s">
        <v>62</v>
      </c>
      <c r="G5" t="s">
        <v>50</v>
      </c>
      <c r="H5" t="s">
        <v>51</v>
      </c>
      <c r="I5" t="s">
        <v>52</v>
      </c>
      <c r="J5" t="s">
        <v>53</v>
      </c>
      <c r="K5">
        <v>649247</v>
      </c>
      <c r="L5" t="s">
        <v>68</v>
      </c>
      <c r="M5" t="s">
        <v>69</v>
      </c>
      <c r="N5" t="s">
        <v>56</v>
      </c>
      <c r="O5" s="1">
        <v>45931</v>
      </c>
      <c r="P5" s="1">
        <v>45962</v>
      </c>
      <c r="Q5" s="2">
        <v>36.159999999999997</v>
      </c>
      <c r="R5">
        <v>1</v>
      </c>
      <c r="S5" t="s">
        <v>57</v>
      </c>
      <c r="T5" t="s">
        <v>96</v>
      </c>
      <c r="U5" s="4">
        <v>0.6</v>
      </c>
      <c r="V5" s="2">
        <v>0</v>
      </c>
      <c r="W5">
        <v>0</v>
      </c>
      <c r="X5" t="s">
        <v>70</v>
      </c>
      <c r="Y5" t="s">
        <v>97</v>
      </c>
      <c r="Z5">
        <v>6</v>
      </c>
      <c r="AA5" s="2">
        <v>130.19999999999999</v>
      </c>
      <c r="AB5" s="2">
        <v>0</v>
      </c>
      <c r="AC5" s="4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21.7</v>
      </c>
      <c r="AL5" s="2">
        <v>0</v>
      </c>
      <c r="AM5" s="2">
        <v>130.19999999999999</v>
      </c>
      <c r="AN5" s="2">
        <v>0</v>
      </c>
      <c r="AO5" s="2">
        <v>0</v>
      </c>
      <c r="AP5" s="2">
        <v>0</v>
      </c>
    </row>
    <row r="6" spans="1:47" x14ac:dyDescent="0.25">
      <c r="A6" s="1">
        <v>45922</v>
      </c>
      <c r="B6" t="s">
        <v>47</v>
      </c>
      <c r="C6">
        <v>649163</v>
      </c>
      <c r="D6">
        <v>2030730526</v>
      </c>
      <c r="E6" t="s">
        <v>232</v>
      </c>
      <c r="F6" t="s">
        <v>233</v>
      </c>
      <c r="G6" t="s">
        <v>50</v>
      </c>
      <c r="H6" t="s">
        <v>214</v>
      </c>
      <c r="I6" t="s">
        <v>106</v>
      </c>
      <c r="J6" t="s">
        <v>107</v>
      </c>
      <c r="K6">
        <v>823068</v>
      </c>
      <c r="L6" t="s">
        <v>215</v>
      </c>
      <c r="M6" t="s">
        <v>216</v>
      </c>
      <c r="N6" t="s">
        <v>56</v>
      </c>
      <c r="O6" s="1">
        <v>45920</v>
      </c>
      <c r="P6" s="1">
        <v>45950</v>
      </c>
      <c r="Q6" s="2">
        <v>146.29</v>
      </c>
      <c r="R6">
        <v>1</v>
      </c>
      <c r="S6" t="s">
        <v>57</v>
      </c>
      <c r="T6" t="s">
        <v>96</v>
      </c>
      <c r="U6" s="4">
        <v>0.9</v>
      </c>
      <c r="V6" s="2">
        <v>0</v>
      </c>
      <c r="W6">
        <v>0</v>
      </c>
      <c r="X6" t="s">
        <v>70</v>
      </c>
      <c r="Y6" t="s">
        <v>97</v>
      </c>
      <c r="Z6">
        <v>6</v>
      </c>
      <c r="AA6" s="2">
        <v>789.96</v>
      </c>
      <c r="AB6" s="2">
        <v>0</v>
      </c>
      <c r="AC6" s="4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131.66</v>
      </c>
      <c r="AL6" s="2">
        <v>0</v>
      </c>
      <c r="AM6" s="2">
        <v>789.96</v>
      </c>
      <c r="AN6" s="2">
        <v>0</v>
      </c>
      <c r="AO6" s="2">
        <v>0</v>
      </c>
      <c r="AP6" s="2">
        <v>0</v>
      </c>
    </row>
    <row r="7" spans="1:47" x14ac:dyDescent="0.25">
      <c r="A7" s="1">
        <v>45922</v>
      </c>
      <c r="B7" t="s">
        <v>47</v>
      </c>
      <c r="C7">
        <v>649163</v>
      </c>
      <c r="D7">
        <v>2031072181</v>
      </c>
      <c r="E7" t="s">
        <v>235</v>
      </c>
      <c r="F7" t="s">
        <v>109</v>
      </c>
      <c r="G7" t="s">
        <v>50</v>
      </c>
      <c r="H7" t="s">
        <v>214</v>
      </c>
      <c r="I7" t="s">
        <v>106</v>
      </c>
      <c r="J7" t="s">
        <v>107</v>
      </c>
      <c r="K7">
        <v>823068</v>
      </c>
      <c r="L7" t="s">
        <v>215</v>
      </c>
      <c r="M7" t="s">
        <v>216</v>
      </c>
      <c r="N7" t="s">
        <v>56</v>
      </c>
      <c r="O7" s="1">
        <v>45919</v>
      </c>
      <c r="P7" s="1">
        <v>45949</v>
      </c>
      <c r="Q7" s="2">
        <v>31.71</v>
      </c>
      <c r="R7">
        <v>1</v>
      </c>
      <c r="S7" t="s">
        <v>57</v>
      </c>
      <c r="T7" t="s">
        <v>96</v>
      </c>
      <c r="U7" s="4">
        <v>0.9</v>
      </c>
      <c r="V7" s="2">
        <v>0</v>
      </c>
      <c r="W7">
        <v>0</v>
      </c>
      <c r="X7" t="s">
        <v>70</v>
      </c>
      <c r="Y7" t="s">
        <v>97</v>
      </c>
      <c r="Z7">
        <v>6</v>
      </c>
      <c r="AA7" s="2">
        <v>171.24</v>
      </c>
      <c r="AB7" s="2">
        <v>0</v>
      </c>
      <c r="AC7" s="4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28.54</v>
      </c>
      <c r="AL7" s="2">
        <v>0</v>
      </c>
      <c r="AM7" s="2">
        <v>171.24</v>
      </c>
      <c r="AN7" s="2">
        <v>0</v>
      </c>
      <c r="AO7" s="2">
        <v>0</v>
      </c>
      <c r="AP7" s="2">
        <v>0</v>
      </c>
    </row>
    <row r="8" spans="1:47" x14ac:dyDescent="0.25">
      <c r="A8" s="1">
        <v>45922</v>
      </c>
      <c r="B8" t="s">
        <v>47</v>
      </c>
      <c r="C8">
        <v>649163</v>
      </c>
      <c r="D8">
        <v>2031077856</v>
      </c>
      <c r="E8" t="s">
        <v>236</v>
      </c>
      <c r="F8" t="s">
        <v>150</v>
      </c>
      <c r="G8" t="s">
        <v>50</v>
      </c>
      <c r="H8" t="s">
        <v>151</v>
      </c>
      <c r="I8" t="s">
        <v>106</v>
      </c>
      <c r="J8" t="s">
        <v>184</v>
      </c>
      <c r="K8">
        <v>673059</v>
      </c>
      <c r="L8" t="s">
        <v>152</v>
      </c>
      <c r="M8" t="s">
        <v>153</v>
      </c>
      <c r="N8" t="s">
        <v>56</v>
      </c>
      <c r="O8" s="1">
        <v>45931</v>
      </c>
      <c r="P8" s="1">
        <v>45962</v>
      </c>
      <c r="Q8" s="2">
        <v>62.81</v>
      </c>
      <c r="R8">
        <v>1</v>
      </c>
      <c r="S8" t="s">
        <v>57</v>
      </c>
      <c r="T8" t="s">
        <v>96</v>
      </c>
      <c r="U8" s="4">
        <v>0.75</v>
      </c>
      <c r="V8" s="2">
        <v>0</v>
      </c>
      <c r="W8">
        <v>0</v>
      </c>
      <c r="X8" t="s">
        <v>70</v>
      </c>
      <c r="Y8" t="s">
        <v>97</v>
      </c>
      <c r="Z8">
        <v>6</v>
      </c>
      <c r="AA8" s="2">
        <v>282.66000000000003</v>
      </c>
      <c r="AB8" s="2">
        <v>0</v>
      </c>
      <c r="AC8" s="4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47.11</v>
      </c>
      <c r="AL8" s="2">
        <v>0</v>
      </c>
      <c r="AM8" s="2">
        <v>282.66000000000003</v>
      </c>
      <c r="AN8" s="2">
        <v>0</v>
      </c>
      <c r="AO8" s="2">
        <v>0</v>
      </c>
      <c r="AP8" s="2">
        <v>0</v>
      </c>
    </row>
    <row r="9" spans="1:47" x14ac:dyDescent="0.25">
      <c r="A9" s="1">
        <v>45922</v>
      </c>
      <c r="B9" t="s">
        <v>47</v>
      </c>
      <c r="C9">
        <v>649163</v>
      </c>
      <c r="D9">
        <v>2031180133</v>
      </c>
      <c r="E9" t="s">
        <v>237</v>
      </c>
      <c r="F9" t="s">
        <v>238</v>
      </c>
      <c r="G9" t="s">
        <v>50</v>
      </c>
      <c r="H9" t="s">
        <v>239</v>
      </c>
      <c r="I9" t="s">
        <v>106</v>
      </c>
      <c r="J9" t="s">
        <v>184</v>
      </c>
      <c r="K9">
        <v>823350</v>
      </c>
      <c r="L9" t="s">
        <v>79</v>
      </c>
      <c r="M9" t="s">
        <v>80</v>
      </c>
      <c r="N9" t="s">
        <v>56</v>
      </c>
      <c r="O9" s="1">
        <v>45924</v>
      </c>
      <c r="P9" s="1">
        <v>45954</v>
      </c>
      <c r="Q9" s="2">
        <v>71.63</v>
      </c>
      <c r="R9">
        <v>1</v>
      </c>
      <c r="S9" t="s">
        <v>57</v>
      </c>
      <c r="T9" t="s">
        <v>96</v>
      </c>
      <c r="U9" s="4">
        <v>0.75</v>
      </c>
      <c r="V9" s="2">
        <v>0</v>
      </c>
      <c r="W9">
        <v>0</v>
      </c>
      <c r="X9" t="s">
        <v>70</v>
      </c>
      <c r="Y9" t="s">
        <v>97</v>
      </c>
      <c r="Z9">
        <v>6</v>
      </c>
      <c r="AA9" s="2">
        <v>322.32</v>
      </c>
      <c r="AB9" s="2">
        <v>0</v>
      </c>
      <c r="AC9" s="4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53.72</v>
      </c>
      <c r="AL9" s="2">
        <v>0</v>
      </c>
      <c r="AM9" s="2">
        <v>322.32</v>
      </c>
      <c r="AN9" s="2">
        <v>0</v>
      </c>
      <c r="AO9" s="2">
        <v>0</v>
      </c>
      <c r="AP9" s="2">
        <v>0</v>
      </c>
    </row>
    <row r="10" spans="1:47" x14ac:dyDescent="0.25">
      <c r="A10" s="1">
        <v>45922</v>
      </c>
      <c r="B10" t="s">
        <v>47</v>
      </c>
      <c r="C10">
        <v>649163</v>
      </c>
      <c r="D10">
        <v>2031190209</v>
      </c>
      <c r="E10" t="s">
        <v>240</v>
      </c>
      <c r="F10" t="s">
        <v>241</v>
      </c>
      <c r="G10" t="s">
        <v>50</v>
      </c>
      <c r="H10" t="s">
        <v>157</v>
      </c>
      <c r="I10" t="s">
        <v>106</v>
      </c>
      <c r="J10" t="s">
        <v>184</v>
      </c>
      <c r="K10">
        <v>823350</v>
      </c>
      <c r="L10" t="s">
        <v>79</v>
      </c>
      <c r="M10" t="s">
        <v>80</v>
      </c>
      <c r="N10" t="s">
        <v>56</v>
      </c>
      <c r="O10" s="1">
        <v>45925</v>
      </c>
      <c r="P10" s="1">
        <v>45955</v>
      </c>
      <c r="Q10" s="2">
        <v>80.8</v>
      </c>
      <c r="R10">
        <v>1</v>
      </c>
      <c r="S10" t="s">
        <v>57</v>
      </c>
      <c r="T10" t="s">
        <v>96</v>
      </c>
      <c r="U10" s="4">
        <v>0.75</v>
      </c>
      <c r="V10" s="2">
        <v>0</v>
      </c>
      <c r="W10">
        <v>0</v>
      </c>
      <c r="X10" t="s">
        <v>70</v>
      </c>
      <c r="Y10" t="s">
        <v>97</v>
      </c>
      <c r="Z10">
        <v>6</v>
      </c>
      <c r="AA10" s="2">
        <v>363.6</v>
      </c>
      <c r="AB10" s="2">
        <v>0</v>
      </c>
      <c r="AC10" s="4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60.6</v>
      </c>
      <c r="AL10" s="2">
        <v>0</v>
      </c>
      <c r="AM10" s="2">
        <v>363.6</v>
      </c>
      <c r="AN10" s="2">
        <v>0</v>
      </c>
      <c r="AO10" s="2">
        <v>0</v>
      </c>
      <c r="AP10" s="2">
        <v>0</v>
      </c>
    </row>
    <row r="11" spans="1:47" x14ac:dyDescent="0.25">
      <c r="A11" s="1">
        <v>45922</v>
      </c>
      <c r="B11" t="s">
        <v>47</v>
      </c>
      <c r="C11">
        <v>649163</v>
      </c>
      <c r="D11">
        <v>2031110933</v>
      </c>
      <c r="E11" t="s">
        <v>296</v>
      </c>
      <c r="F11" t="s">
        <v>297</v>
      </c>
      <c r="G11" t="s">
        <v>50</v>
      </c>
      <c r="H11" t="s">
        <v>180</v>
      </c>
      <c r="I11" t="s">
        <v>243</v>
      </c>
      <c r="J11" t="s">
        <v>298</v>
      </c>
      <c r="K11">
        <v>877790</v>
      </c>
      <c r="L11" t="s">
        <v>299</v>
      </c>
      <c r="M11" t="s">
        <v>300</v>
      </c>
      <c r="N11" t="s">
        <v>56</v>
      </c>
      <c r="O11" s="1">
        <v>45918</v>
      </c>
      <c r="P11" s="1">
        <v>45948</v>
      </c>
      <c r="Q11" s="2">
        <v>15</v>
      </c>
      <c r="R11">
        <v>1</v>
      </c>
      <c r="S11" t="s">
        <v>57</v>
      </c>
      <c r="T11" t="s">
        <v>301</v>
      </c>
      <c r="U11" s="4">
        <v>0.19</v>
      </c>
      <c r="V11" s="2">
        <v>0</v>
      </c>
      <c r="W11">
        <v>0</v>
      </c>
      <c r="X11" t="s">
        <v>70</v>
      </c>
      <c r="Y11" t="s">
        <v>97</v>
      </c>
      <c r="Z11">
        <v>6</v>
      </c>
      <c r="AA11" s="2">
        <v>17.100000000000001</v>
      </c>
      <c r="AB11" s="2">
        <v>0</v>
      </c>
      <c r="AC11" s="4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2.85</v>
      </c>
      <c r="AL11" s="2">
        <v>0</v>
      </c>
      <c r="AM11" s="2">
        <v>17.100000000000001</v>
      </c>
      <c r="AN11" s="2">
        <v>0</v>
      </c>
      <c r="AO11" s="2">
        <v>0</v>
      </c>
      <c r="AP11" s="2">
        <v>0</v>
      </c>
    </row>
    <row r="12" spans="1:47" x14ac:dyDescent="0.25">
      <c r="A12" s="1">
        <v>45922</v>
      </c>
      <c r="B12" t="s">
        <v>47</v>
      </c>
      <c r="C12">
        <v>649163</v>
      </c>
      <c r="D12">
        <v>2031136067</v>
      </c>
      <c r="E12" t="s">
        <v>302</v>
      </c>
      <c r="F12" t="s">
        <v>303</v>
      </c>
      <c r="G12" t="s">
        <v>50</v>
      </c>
      <c r="H12" t="s">
        <v>93</v>
      </c>
      <c r="I12" t="s">
        <v>243</v>
      </c>
      <c r="J12" t="s">
        <v>304</v>
      </c>
      <c r="K12">
        <v>856824</v>
      </c>
      <c r="L12" t="s">
        <v>210</v>
      </c>
      <c r="M12" t="s">
        <v>211</v>
      </c>
      <c r="N12" t="s">
        <v>56</v>
      </c>
      <c r="O12" s="1">
        <v>45919</v>
      </c>
      <c r="P12" s="1">
        <v>45949</v>
      </c>
      <c r="Q12" s="2">
        <v>50.89</v>
      </c>
      <c r="R12">
        <v>1</v>
      </c>
      <c r="S12" t="s">
        <v>57</v>
      </c>
      <c r="T12" t="s">
        <v>96</v>
      </c>
      <c r="U12" s="4">
        <v>0.38</v>
      </c>
      <c r="V12" s="2">
        <v>0</v>
      </c>
      <c r="W12">
        <v>0</v>
      </c>
      <c r="X12" t="s">
        <v>70</v>
      </c>
      <c r="Y12" t="s">
        <v>97</v>
      </c>
      <c r="Z12">
        <v>6</v>
      </c>
      <c r="AA12" s="2">
        <v>116.04</v>
      </c>
      <c r="AB12" s="2">
        <v>0</v>
      </c>
      <c r="AC12" s="4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19.34</v>
      </c>
      <c r="AL12" s="2">
        <v>0</v>
      </c>
      <c r="AM12" s="2">
        <v>116.04</v>
      </c>
      <c r="AN12" s="2">
        <v>0</v>
      </c>
      <c r="AO12" s="2">
        <v>0</v>
      </c>
      <c r="AP12" s="2">
        <v>0</v>
      </c>
    </row>
    <row r="13" spans="1:47" x14ac:dyDescent="0.25">
      <c r="A13" s="1">
        <v>45922</v>
      </c>
      <c r="B13" t="s">
        <v>47</v>
      </c>
      <c r="C13">
        <v>649163</v>
      </c>
      <c r="D13">
        <v>2031136070</v>
      </c>
      <c r="E13" t="s">
        <v>302</v>
      </c>
      <c r="F13" t="s">
        <v>303</v>
      </c>
      <c r="G13" t="s">
        <v>50</v>
      </c>
      <c r="H13" t="s">
        <v>93</v>
      </c>
      <c r="I13" t="s">
        <v>243</v>
      </c>
      <c r="J13" t="s">
        <v>261</v>
      </c>
      <c r="K13">
        <v>856824</v>
      </c>
      <c r="L13" t="s">
        <v>210</v>
      </c>
      <c r="M13" t="s">
        <v>211</v>
      </c>
      <c r="N13" t="s">
        <v>56</v>
      </c>
      <c r="O13" s="1">
        <v>45919</v>
      </c>
      <c r="P13" s="1">
        <v>45949</v>
      </c>
      <c r="Q13" s="2">
        <v>15</v>
      </c>
      <c r="R13">
        <v>1</v>
      </c>
      <c r="S13" t="s">
        <v>57</v>
      </c>
      <c r="T13" t="s">
        <v>305</v>
      </c>
      <c r="U13" s="4">
        <v>0.38</v>
      </c>
      <c r="V13" s="2">
        <v>0</v>
      </c>
      <c r="W13">
        <v>0</v>
      </c>
      <c r="X13" t="s">
        <v>70</v>
      </c>
      <c r="Y13" t="s">
        <v>97</v>
      </c>
      <c r="Z13">
        <v>6</v>
      </c>
      <c r="AA13" s="2">
        <v>34.200000000000003</v>
      </c>
      <c r="AB13" s="2">
        <v>0</v>
      </c>
      <c r="AC13" s="4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5.7</v>
      </c>
      <c r="AL13" s="2">
        <v>0</v>
      </c>
      <c r="AM13" s="2">
        <v>34.200000000000003</v>
      </c>
      <c r="AN13" s="2">
        <v>0</v>
      </c>
      <c r="AO13" s="2">
        <v>0</v>
      </c>
      <c r="AP13" s="2">
        <v>0</v>
      </c>
    </row>
    <row r="14" spans="1:47" x14ac:dyDescent="0.25">
      <c r="A14" s="1">
        <v>45922</v>
      </c>
      <c r="B14" t="s">
        <v>47</v>
      </c>
      <c r="C14">
        <v>649163</v>
      </c>
      <c r="D14">
        <v>2031079834</v>
      </c>
      <c r="E14" t="s">
        <v>156</v>
      </c>
      <c r="F14" t="s">
        <v>419</v>
      </c>
      <c r="G14" t="s">
        <v>50</v>
      </c>
      <c r="H14" t="s">
        <v>93</v>
      </c>
      <c r="I14" t="s">
        <v>306</v>
      </c>
      <c r="J14" t="s">
        <v>307</v>
      </c>
      <c r="K14">
        <v>669316</v>
      </c>
      <c r="L14" t="s">
        <v>420</v>
      </c>
      <c r="M14" t="s">
        <v>421</v>
      </c>
      <c r="N14" t="s">
        <v>56</v>
      </c>
      <c r="O14" s="1">
        <v>45916</v>
      </c>
      <c r="P14" s="1">
        <v>45946</v>
      </c>
      <c r="Q14" s="2">
        <v>53.87</v>
      </c>
      <c r="R14">
        <v>1</v>
      </c>
      <c r="S14" t="s">
        <v>57</v>
      </c>
      <c r="T14" t="s">
        <v>96</v>
      </c>
      <c r="U14" s="3">
        <v>0.375</v>
      </c>
      <c r="V14" s="2">
        <v>0</v>
      </c>
      <c r="W14">
        <v>0</v>
      </c>
      <c r="X14" t="s">
        <v>70</v>
      </c>
      <c r="Y14" t="s">
        <v>97</v>
      </c>
      <c r="Z14">
        <v>6</v>
      </c>
      <c r="AA14" s="2">
        <v>121.2</v>
      </c>
      <c r="AB14" s="2">
        <v>0</v>
      </c>
      <c r="AC14" s="4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20.2</v>
      </c>
      <c r="AL14" s="2">
        <v>0</v>
      </c>
      <c r="AM14" s="2">
        <v>121.2</v>
      </c>
      <c r="AN14" s="2">
        <v>0</v>
      </c>
      <c r="AO14" s="2">
        <v>0</v>
      </c>
      <c r="AP14" s="2">
        <v>0</v>
      </c>
    </row>
    <row r="15" spans="1:47" x14ac:dyDescent="0.25">
      <c r="A15" s="1">
        <v>45922</v>
      </c>
      <c r="B15" t="s">
        <v>47</v>
      </c>
      <c r="C15">
        <v>649163</v>
      </c>
      <c r="D15">
        <v>2031089212</v>
      </c>
      <c r="E15" t="s">
        <v>422</v>
      </c>
      <c r="F15" t="s">
        <v>423</v>
      </c>
      <c r="G15" t="s">
        <v>50</v>
      </c>
      <c r="H15" t="s">
        <v>93</v>
      </c>
      <c r="I15" t="s">
        <v>306</v>
      </c>
      <c r="J15" t="s">
        <v>307</v>
      </c>
      <c r="K15">
        <v>824081</v>
      </c>
      <c r="L15" t="s">
        <v>424</v>
      </c>
      <c r="M15" t="s">
        <v>425</v>
      </c>
      <c r="N15" t="s">
        <v>56</v>
      </c>
      <c r="O15" s="1">
        <v>45931</v>
      </c>
      <c r="P15" s="1">
        <v>45962</v>
      </c>
      <c r="Q15" s="2">
        <v>53.87</v>
      </c>
      <c r="R15">
        <v>1</v>
      </c>
      <c r="S15" t="s">
        <v>57</v>
      </c>
      <c r="T15" t="s">
        <v>96</v>
      </c>
      <c r="U15" s="3">
        <v>0.375</v>
      </c>
      <c r="V15" s="2">
        <v>0</v>
      </c>
      <c r="W15">
        <v>0</v>
      </c>
      <c r="X15" t="s">
        <v>70</v>
      </c>
      <c r="Y15" t="s">
        <v>97</v>
      </c>
      <c r="Z15">
        <v>6</v>
      </c>
      <c r="AA15" s="2">
        <v>121.2</v>
      </c>
      <c r="AB15" s="2">
        <v>0</v>
      </c>
      <c r="AC15" s="4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20.2</v>
      </c>
      <c r="AL15" s="2">
        <v>0</v>
      </c>
      <c r="AM15" s="2">
        <v>121.2</v>
      </c>
      <c r="AN15" s="2">
        <v>0</v>
      </c>
      <c r="AO15" s="2">
        <v>0</v>
      </c>
      <c r="AP15" s="2">
        <v>0</v>
      </c>
    </row>
    <row r="16" spans="1:47" x14ac:dyDescent="0.25">
      <c r="A16" s="1">
        <v>45922</v>
      </c>
      <c r="B16" t="s">
        <v>47</v>
      </c>
      <c r="C16">
        <v>649163</v>
      </c>
      <c r="D16">
        <v>2031089440</v>
      </c>
      <c r="E16" t="s">
        <v>426</v>
      </c>
      <c r="F16" t="s">
        <v>427</v>
      </c>
      <c r="G16" t="s">
        <v>50</v>
      </c>
      <c r="H16" t="s">
        <v>77</v>
      </c>
      <c r="I16" t="s">
        <v>306</v>
      </c>
      <c r="J16" t="s">
        <v>307</v>
      </c>
      <c r="K16">
        <v>649270</v>
      </c>
      <c r="L16" t="s">
        <v>64</v>
      </c>
      <c r="M16" t="s">
        <v>65</v>
      </c>
      <c r="N16" t="s">
        <v>56</v>
      </c>
      <c r="O16" s="1">
        <v>45918</v>
      </c>
      <c r="P16" s="1">
        <v>45948</v>
      </c>
      <c r="Q16" s="2">
        <v>33.28</v>
      </c>
      <c r="R16">
        <v>1</v>
      </c>
      <c r="S16" t="s">
        <v>57</v>
      </c>
      <c r="T16" t="s">
        <v>96</v>
      </c>
      <c r="U16" s="3">
        <v>9.5000000000000001E-2</v>
      </c>
      <c r="V16" s="2">
        <v>0</v>
      </c>
      <c r="W16">
        <v>0</v>
      </c>
      <c r="X16" t="s">
        <v>70</v>
      </c>
      <c r="Y16" t="s">
        <v>97</v>
      </c>
      <c r="Z16">
        <v>6</v>
      </c>
      <c r="AA16" s="2">
        <v>18.96</v>
      </c>
      <c r="AB16" s="2">
        <v>0</v>
      </c>
      <c r="AC16" s="4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3.16</v>
      </c>
      <c r="AL16" s="2">
        <v>0</v>
      </c>
      <c r="AM16" s="2">
        <v>18.96</v>
      </c>
      <c r="AN16" s="2">
        <v>0</v>
      </c>
      <c r="AO16" s="2">
        <v>0</v>
      </c>
      <c r="AP16" s="2">
        <v>0</v>
      </c>
    </row>
    <row r="17" spans="1:42" x14ac:dyDescent="0.25">
      <c r="A17" s="1">
        <v>45922</v>
      </c>
      <c r="B17" t="s">
        <v>47</v>
      </c>
      <c r="C17">
        <v>649163</v>
      </c>
      <c r="D17">
        <v>2031107194</v>
      </c>
      <c r="E17" t="s">
        <v>102</v>
      </c>
      <c r="F17" t="s">
        <v>62</v>
      </c>
      <c r="G17" t="s">
        <v>50</v>
      </c>
      <c r="H17" t="s">
        <v>51</v>
      </c>
      <c r="I17" t="s">
        <v>306</v>
      </c>
      <c r="J17" t="s">
        <v>307</v>
      </c>
      <c r="K17">
        <v>649247</v>
      </c>
      <c r="L17" t="s">
        <v>68</v>
      </c>
      <c r="M17" t="s">
        <v>69</v>
      </c>
      <c r="N17" t="s">
        <v>56</v>
      </c>
      <c r="O17" s="1">
        <v>45931</v>
      </c>
      <c r="P17" s="1">
        <v>45962</v>
      </c>
      <c r="Q17" s="2">
        <v>35.979999999999997</v>
      </c>
      <c r="R17">
        <v>1</v>
      </c>
      <c r="S17" t="s">
        <v>57</v>
      </c>
      <c r="T17" t="s">
        <v>96</v>
      </c>
      <c r="U17" s="3">
        <v>0.375</v>
      </c>
      <c r="V17" s="2">
        <v>0</v>
      </c>
      <c r="W17">
        <v>0</v>
      </c>
      <c r="X17" t="s">
        <v>70</v>
      </c>
      <c r="Y17" t="s">
        <v>97</v>
      </c>
      <c r="Z17">
        <v>6</v>
      </c>
      <c r="AA17" s="2">
        <v>80.94</v>
      </c>
      <c r="AB17" s="2">
        <v>0</v>
      </c>
      <c r="AC17" s="4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13.49</v>
      </c>
      <c r="AL17" s="2">
        <v>0</v>
      </c>
      <c r="AM17" s="2">
        <v>80.94</v>
      </c>
      <c r="AN17" s="2">
        <v>0</v>
      </c>
      <c r="AO17" s="2">
        <v>0</v>
      </c>
      <c r="AP17" s="2">
        <v>0</v>
      </c>
    </row>
    <row r="18" spans="1:42" x14ac:dyDescent="0.25">
      <c r="A18" s="1">
        <v>45922</v>
      </c>
      <c r="B18" t="s">
        <v>47</v>
      </c>
      <c r="C18">
        <v>649163</v>
      </c>
      <c r="D18">
        <v>2031142845</v>
      </c>
      <c r="E18" t="s">
        <v>428</v>
      </c>
      <c r="F18" t="s">
        <v>429</v>
      </c>
      <c r="G18" t="s">
        <v>50</v>
      </c>
      <c r="H18" t="s">
        <v>188</v>
      </c>
      <c r="I18" t="s">
        <v>306</v>
      </c>
      <c r="J18" t="s">
        <v>307</v>
      </c>
      <c r="K18">
        <v>767312</v>
      </c>
      <c r="L18" t="s">
        <v>122</v>
      </c>
      <c r="M18" t="s">
        <v>123</v>
      </c>
      <c r="N18" t="s">
        <v>56</v>
      </c>
      <c r="O18" s="1">
        <v>45919</v>
      </c>
      <c r="P18" s="1">
        <v>45949</v>
      </c>
      <c r="Q18" s="2">
        <v>35.14</v>
      </c>
      <c r="R18">
        <v>1</v>
      </c>
      <c r="S18" t="s">
        <v>57</v>
      </c>
      <c r="T18" t="s">
        <v>96</v>
      </c>
      <c r="U18" s="3">
        <v>0.375</v>
      </c>
      <c r="V18" s="2">
        <v>0</v>
      </c>
      <c r="W18">
        <v>0</v>
      </c>
      <c r="X18" t="s">
        <v>70</v>
      </c>
      <c r="Y18" t="s">
        <v>97</v>
      </c>
      <c r="Z18">
        <v>6</v>
      </c>
      <c r="AA18" s="2">
        <v>79.08</v>
      </c>
      <c r="AB18" s="2">
        <v>0</v>
      </c>
      <c r="AC18" s="4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13.18</v>
      </c>
      <c r="AL18" s="2">
        <v>0</v>
      </c>
      <c r="AM18" s="2">
        <v>79.08</v>
      </c>
      <c r="AN18" s="2">
        <v>0</v>
      </c>
      <c r="AO18" s="2">
        <v>0</v>
      </c>
      <c r="AP18" s="2">
        <v>0</v>
      </c>
    </row>
    <row r="19" spans="1:42" x14ac:dyDescent="0.25">
      <c r="A19" s="1">
        <v>45922</v>
      </c>
      <c r="B19" t="s">
        <v>47</v>
      </c>
      <c r="C19">
        <v>649163</v>
      </c>
      <c r="D19">
        <v>2031143403</v>
      </c>
      <c r="E19" t="s">
        <v>164</v>
      </c>
      <c r="F19" t="s">
        <v>303</v>
      </c>
      <c r="G19" t="s">
        <v>50</v>
      </c>
      <c r="H19" t="s">
        <v>115</v>
      </c>
      <c r="I19" t="s">
        <v>306</v>
      </c>
      <c r="J19" t="s">
        <v>307</v>
      </c>
      <c r="K19">
        <v>767312</v>
      </c>
      <c r="L19" t="s">
        <v>122</v>
      </c>
      <c r="M19" t="s">
        <v>123</v>
      </c>
      <c r="N19" t="s">
        <v>56</v>
      </c>
      <c r="O19" s="1">
        <v>45919</v>
      </c>
      <c r="P19" s="1">
        <v>45949</v>
      </c>
      <c r="Q19" s="2">
        <v>88.79</v>
      </c>
      <c r="R19">
        <v>1</v>
      </c>
      <c r="S19" t="s">
        <v>57</v>
      </c>
      <c r="T19" t="s">
        <v>96</v>
      </c>
      <c r="U19" s="3">
        <v>0.375</v>
      </c>
      <c r="V19" s="2">
        <v>0</v>
      </c>
      <c r="W19">
        <v>0</v>
      </c>
      <c r="X19" t="s">
        <v>70</v>
      </c>
      <c r="Y19" t="s">
        <v>97</v>
      </c>
      <c r="Z19">
        <v>6</v>
      </c>
      <c r="AA19" s="2">
        <v>199.8</v>
      </c>
      <c r="AB19" s="2">
        <v>0</v>
      </c>
      <c r="AC19" s="4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33.299999999999997</v>
      </c>
      <c r="AL19" s="2">
        <v>0</v>
      </c>
      <c r="AM19" s="2">
        <v>199.8</v>
      </c>
      <c r="AN19" s="2">
        <v>0</v>
      </c>
      <c r="AO19" s="2">
        <v>0</v>
      </c>
      <c r="AP19" s="2">
        <v>0</v>
      </c>
    </row>
    <row r="20" spans="1:42" x14ac:dyDescent="0.25">
      <c r="A20" s="1">
        <v>45922</v>
      </c>
      <c r="B20" t="s">
        <v>47</v>
      </c>
      <c r="C20">
        <v>649163</v>
      </c>
      <c r="D20">
        <v>2031180131</v>
      </c>
      <c r="E20" t="s">
        <v>237</v>
      </c>
      <c r="F20" t="s">
        <v>238</v>
      </c>
      <c r="G20" t="s">
        <v>50</v>
      </c>
      <c r="H20" t="s">
        <v>239</v>
      </c>
      <c r="I20" t="s">
        <v>306</v>
      </c>
      <c r="J20" t="s">
        <v>307</v>
      </c>
      <c r="K20">
        <v>823350</v>
      </c>
      <c r="L20" t="s">
        <v>79</v>
      </c>
      <c r="M20" t="s">
        <v>80</v>
      </c>
      <c r="N20" t="s">
        <v>56</v>
      </c>
      <c r="O20" s="1">
        <v>45924</v>
      </c>
      <c r="P20" s="1">
        <v>45954</v>
      </c>
      <c r="Q20" s="2">
        <v>69.69</v>
      </c>
      <c r="R20">
        <v>1</v>
      </c>
      <c r="S20" t="s">
        <v>57</v>
      </c>
      <c r="T20" t="s">
        <v>96</v>
      </c>
      <c r="U20" s="3">
        <v>0.375</v>
      </c>
      <c r="V20" s="2">
        <v>0</v>
      </c>
      <c r="W20">
        <v>0</v>
      </c>
      <c r="X20" t="s">
        <v>70</v>
      </c>
      <c r="Y20" t="s">
        <v>97</v>
      </c>
      <c r="Z20">
        <v>6</v>
      </c>
      <c r="AA20" s="2">
        <v>156.78</v>
      </c>
      <c r="AB20" s="2">
        <v>0</v>
      </c>
      <c r="AC20" s="4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26.13</v>
      </c>
      <c r="AL20" s="2">
        <v>0</v>
      </c>
      <c r="AM20" s="2">
        <v>156.78</v>
      </c>
      <c r="AN20" s="2">
        <v>0</v>
      </c>
      <c r="AO20" s="2">
        <v>0</v>
      </c>
      <c r="AP20" s="2">
        <v>0</v>
      </c>
    </row>
    <row r="21" spans="1:42" x14ac:dyDescent="0.25">
      <c r="A21" s="1">
        <v>45922</v>
      </c>
      <c r="B21" t="s">
        <v>47</v>
      </c>
      <c r="C21">
        <v>649163</v>
      </c>
      <c r="D21">
        <v>2031190207</v>
      </c>
      <c r="E21" t="s">
        <v>240</v>
      </c>
      <c r="F21" t="s">
        <v>241</v>
      </c>
      <c r="G21" t="s">
        <v>50</v>
      </c>
      <c r="H21" t="s">
        <v>157</v>
      </c>
      <c r="I21" t="s">
        <v>306</v>
      </c>
      <c r="J21" t="s">
        <v>307</v>
      </c>
      <c r="K21">
        <v>823350</v>
      </c>
      <c r="L21" t="s">
        <v>79</v>
      </c>
      <c r="M21" t="s">
        <v>80</v>
      </c>
      <c r="N21" t="s">
        <v>56</v>
      </c>
      <c r="O21" s="1">
        <v>45925</v>
      </c>
      <c r="P21" s="1">
        <v>45955</v>
      </c>
      <c r="Q21" s="2">
        <v>63.74</v>
      </c>
      <c r="R21">
        <v>1</v>
      </c>
      <c r="S21" t="s">
        <v>57</v>
      </c>
      <c r="T21" t="s">
        <v>96</v>
      </c>
      <c r="U21" s="3">
        <v>0.375</v>
      </c>
      <c r="V21" s="2">
        <v>0</v>
      </c>
      <c r="W21">
        <v>0</v>
      </c>
      <c r="X21" t="s">
        <v>70</v>
      </c>
      <c r="Y21" t="s">
        <v>97</v>
      </c>
      <c r="Z21">
        <v>6</v>
      </c>
      <c r="AA21" s="2">
        <v>143.4</v>
      </c>
      <c r="AB21" s="2">
        <v>0</v>
      </c>
      <c r="AC21" s="4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23.9</v>
      </c>
      <c r="AL21" s="2">
        <v>0</v>
      </c>
      <c r="AM21" s="2">
        <v>143.4</v>
      </c>
      <c r="AN21" s="2">
        <v>0</v>
      </c>
      <c r="AO21" s="2">
        <v>0</v>
      </c>
      <c r="AP21" s="2">
        <v>0</v>
      </c>
    </row>
    <row r="22" spans="1:42" x14ac:dyDescent="0.25">
      <c r="A22" s="1">
        <v>45922</v>
      </c>
      <c r="B22" t="s">
        <v>47</v>
      </c>
      <c r="C22">
        <v>649163</v>
      </c>
      <c r="D22">
        <v>2031136068</v>
      </c>
      <c r="E22" t="s">
        <v>302</v>
      </c>
      <c r="F22" t="s">
        <v>303</v>
      </c>
      <c r="G22" t="s">
        <v>50</v>
      </c>
      <c r="H22" t="s">
        <v>93</v>
      </c>
      <c r="I22" t="s">
        <v>430</v>
      </c>
      <c r="J22" t="s">
        <v>438</v>
      </c>
      <c r="K22">
        <v>856824</v>
      </c>
      <c r="L22" t="s">
        <v>210</v>
      </c>
      <c r="M22" t="s">
        <v>211</v>
      </c>
      <c r="N22" t="s">
        <v>56</v>
      </c>
      <c r="O22" s="1">
        <v>45919</v>
      </c>
      <c r="P22" s="1">
        <v>45949</v>
      </c>
      <c r="Q22" s="2">
        <v>115.38</v>
      </c>
      <c r="R22">
        <v>1</v>
      </c>
      <c r="S22" t="s">
        <v>57</v>
      </c>
      <c r="T22" t="s">
        <v>96</v>
      </c>
      <c r="U22" s="4">
        <v>0.38</v>
      </c>
      <c r="V22" s="2">
        <v>0</v>
      </c>
      <c r="W22">
        <v>0</v>
      </c>
      <c r="X22" t="s">
        <v>70</v>
      </c>
      <c r="Y22" t="s">
        <v>97</v>
      </c>
      <c r="Z22">
        <v>6</v>
      </c>
      <c r="AA22" s="2">
        <v>263.04000000000002</v>
      </c>
      <c r="AB22" s="2">
        <v>0</v>
      </c>
      <c r="AC22" s="4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43.84</v>
      </c>
      <c r="AL22" s="2">
        <v>0</v>
      </c>
      <c r="AM22" s="2">
        <v>263.04000000000002</v>
      </c>
      <c r="AN22" s="2">
        <v>0</v>
      </c>
      <c r="AO22" s="2">
        <v>0</v>
      </c>
      <c r="AP22" s="2">
        <v>0</v>
      </c>
    </row>
    <row r="23" spans="1:42" x14ac:dyDescent="0.25">
      <c r="A23" s="1">
        <v>45922</v>
      </c>
      <c r="B23" t="s">
        <v>47</v>
      </c>
      <c r="C23">
        <v>649163</v>
      </c>
      <c r="D23">
        <v>2031136069</v>
      </c>
      <c r="E23" t="s">
        <v>302</v>
      </c>
      <c r="F23" t="s">
        <v>303</v>
      </c>
      <c r="G23" t="s">
        <v>50</v>
      </c>
      <c r="H23" t="s">
        <v>93</v>
      </c>
      <c r="I23" t="s">
        <v>430</v>
      </c>
      <c r="J23" t="s">
        <v>439</v>
      </c>
      <c r="K23">
        <v>856824</v>
      </c>
      <c r="L23" t="s">
        <v>210</v>
      </c>
      <c r="M23" t="s">
        <v>211</v>
      </c>
      <c r="N23" t="s">
        <v>56</v>
      </c>
      <c r="O23" s="1">
        <v>45919</v>
      </c>
      <c r="P23" s="1">
        <v>45949</v>
      </c>
      <c r="Q23" s="2">
        <v>7.09</v>
      </c>
      <c r="R23">
        <v>1</v>
      </c>
      <c r="S23" t="s">
        <v>57</v>
      </c>
      <c r="T23" t="s">
        <v>96</v>
      </c>
      <c r="U23" s="4">
        <v>0.38</v>
      </c>
      <c r="V23" s="2">
        <v>0</v>
      </c>
      <c r="W23">
        <v>0</v>
      </c>
      <c r="X23" t="s">
        <v>70</v>
      </c>
      <c r="Y23" t="s">
        <v>97</v>
      </c>
      <c r="Z23">
        <v>6</v>
      </c>
      <c r="AA23" s="2">
        <v>16.14</v>
      </c>
      <c r="AB23" s="2">
        <v>0</v>
      </c>
      <c r="AC23" s="4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2.69</v>
      </c>
      <c r="AL23" s="2">
        <v>0</v>
      </c>
      <c r="AM23" s="2">
        <v>16.14</v>
      </c>
      <c r="AN23" s="2">
        <v>0</v>
      </c>
      <c r="AO23" s="2">
        <v>0</v>
      </c>
      <c r="AP23" s="2">
        <v>0</v>
      </c>
    </row>
    <row r="24" spans="1:42" x14ac:dyDescent="0.25">
      <c r="A24" s="1">
        <v>45922</v>
      </c>
      <c r="B24" t="s">
        <v>47</v>
      </c>
      <c r="C24">
        <v>649163</v>
      </c>
      <c r="D24">
        <v>2030683121</v>
      </c>
      <c r="E24" t="s">
        <v>556</v>
      </c>
      <c r="F24" t="s">
        <v>557</v>
      </c>
      <c r="G24" t="s">
        <v>50</v>
      </c>
      <c r="H24" t="s">
        <v>93</v>
      </c>
      <c r="I24" t="s">
        <v>441</v>
      </c>
      <c r="J24" t="s">
        <v>445</v>
      </c>
      <c r="K24">
        <v>812656</v>
      </c>
      <c r="L24" t="s">
        <v>338</v>
      </c>
      <c r="M24" t="s">
        <v>377</v>
      </c>
      <c r="N24" t="s">
        <v>56</v>
      </c>
      <c r="O24" s="1">
        <v>45920</v>
      </c>
      <c r="P24" s="1">
        <v>45950</v>
      </c>
      <c r="Q24" s="2">
        <v>61.08</v>
      </c>
      <c r="R24">
        <v>1</v>
      </c>
      <c r="S24" t="s">
        <v>57</v>
      </c>
      <c r="T24" t="s">
        <v>96</v>
      </c>
      <c r="U24" s="4">
        <v>0.7</v>
      </c>
      <c r="V24" s="2">
        <v>0</v>
      </c>
      <c r="W24">
        <v>0</v>
      </c>
      <c r="X24" t="s">
        <v>70</v>
      </c>
      <c r="Y24" t="s">
        <v>97</v>
      </c>
      <c r="Z24">
        <v>6</v>
      </c>
      <c r="AA24" s="2">
        <v>256.56</v>
      </c>
      <c r="AB24" s="2">
        <v>0</v>
      </c>
      <c r="AC24" s="4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42.76</v>
      </c>
      <c r="AL24" s="2">
        <v>0</v>
      </c>
      <c r="AM24" s="2">
        <v>256.56</v>
      </c>
      <c r="AN24" s="2">
        <v>0</v>
      </c>
      <c r="AO24" s="2">
        <v>0</v>
      </c>
      <c r="AP24" s="2">
        <v>0</v>
      </c>
    </row>
    <row r="25" spans="1:42" x14ac:dyDescent="0.25">
      <c r="A25" s="1">
        <v>45922</v>
      </c>
      <c r="B25" t="s">
        <v>47</v>
      </c>
      <c r="C25">
        <v>649163</v>
      </c>
      <c r="D25">
        <v>2030730525</v>
      </c>
      <c r="E25" t="s">
        <v>232</v>
      </c>
      <c r="F25" t="s">
        <v>233</v>
      </c>
      <c r="G25" t="s">
        <v>50</v>
      </c>
      <c r="H25" t="s">
        <v>214</v>
      </c>
      <c r="I25" t="s">
        <v>441</v>
      </c>
      <c r="J25" t="s">
        <v>545</v>
      </c>
      <c r="K25">
        <v>823068</v>
      </c>
      <c r="L25" t="s">
        <v>215</v>
      </c>
      <c r="M25" t="s">
        <v>216</v>
      </c>
      <c r="N25" t="s">
        <v>56</v>
      </c>
      <c r="O25" s="1">
        <v>45920</v>
      </c>
      <c r="P25" s="1">
        <v>45950</v>
      </c>
      <c r="Q25" s="2">
        <v>48</v>
      </c>
      <c r="R25">
        <v>1</v>
      </c>
      <c r="S25" t="s">
        <v>57</v>
      </c>
      <c r="T25" t="s">
        <v>96</v>
      </c>
      <c r="U25" s="4">
        <v>0.7</v>
      </c>
      <c r="V25" s="2">
        <v>0</v>
      </c>
      <c r="W25">
        <v>0</v>
      </c>
      <c r="X25" t="s">
        <v>70</v>
      </c>
      <c r="Y25" t="s">
        <v>97</v>
      </c>
      <c r="Z25">
        <v>6</v>
      </c>
      <c r="AA25" s="2">
        <v>201.6</v>
      </c>
      <c r="AB25" s="2">
        <v>0</v>
      </c>
      <c r="AC25" s="4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33.6</v>
      </c>
      <c r="AL25" s="2">
        <v>0</v>
      </c>
      <c r="AM25" s="2">
        <v>201.6</v>
      </c>
      <c r="AN25" s="2">
        <v>0</v>
      </c>
      <c r="AO25" s="2">
        <v>0</v>
      </c>
      <c r="AP25" s="2">
        <v>0</v>
      </c>
    </row>
    <row r="26" spans="1:42" x14ac:dyDescent="0.25">
      <c r="A26" s="1">
        <v>45922</v>
      </c>
      <c r="B26" t="s">
        <v>47</v>
      </c>
      <c r="C26">
        <v>649163</v>
      </c>
      <c r="D26">
        <v>2031070229</v>
      </c>
      <c r="E26" t="s">
        <v>562</v>
      </c>
      <c r="F26" t="s">
        <v>563</v>
      </c>
      <c r="G26" t="s">
        <v>50</v>
      </c>
      <c r="H26" t="s">
        <v>188</v>
      </c>
      <c r="I26" t="s">
        <v>441</v>
      </c>
      <c r="J26" t="s">
        <v>445</v>
      </c>
      <c r="K26">
        <v>673059</v>
      </c>
      <c r="L26" t="s">
        <v>152</v>
      </c>
      <c r="M26" t="s">
        <v>153</v>
      </c>
      <c r="N26" t="s">
        <v>56</v>
      </c>
      <c r="O26" s="1">
        <v>45939</v>
      </c>
      <c r="P26" s="1">
        <v>45970</v>
      </c>
      <c r="Q26" s="2">
        <v>59.08</v>
      </c>
      <c r="R26">
        <v>1</v>
      </c>
      <c r="S26" t="s">
        <v>57</v>
      </c>
      <c r="T26" t="s">
        <v>96</v>
      </c>
      <c r="U26" s="4">
        <v>0.7</v>
      </c>
      <c r="V26" s="2">
        <v>0</v>
      </c>
      <c r="W26">
        <v>0</v>
      </c>
      <c r="X26" t="s">
        <v>70</v>
      </c>
      <c r="Y26" t="s">
        <v>97</v>
      </c>
      <c r="Z26">
        <v>6</v>
      </c>
      <c r="AA26" s="2">
        <v>248.16</v>
      </c>
      <c r="AB26" s="2">
        <v>0</v>
      </c>
      <c r="AC26" s="4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41.36</v>
      </c>
      <c r="AL26" s="2">
        <v>0</v>
      </c>
      <c r="AM26" s="2">
        <v>248.16</v>
      </c>
      <c r="AN26" s="2">
        <v>0</v>
      </c>
      <c r="AO26" s="2">
        <v>0</v>
      </c>
      <c r="AP26" s="2">
        <v>0</v>
      </c>
    </row>
    <row r="27" spans="1:42" x14ac:dyDescent="0.25">
      <c r="A27" s="1">
        <v>45922</v>
      </c>
      <c r="B27" t="s">
        <v>47</v>
      </c>
      <c r="C27">
        <v>649163</v>
      </c>
      <c r="D27">
        <v>2031072180</v>
      </c>
      <c r="E27" t="s">
        <v>235</v>
      </c>
      <c r="F27" t="s">
        <v>109</v>
      </c>
      <c r="G27" t="s">
        <v>50</v>
      </c>
      <c r="H27" t="s">
        <v>214</v>
      </c>
      <c r="I27" t="s">
        <v>441</v>
      </c>
      <c r="J27" t="s">
        <v>545</v>
      </c>
      <c r="K27">
        <v>823068</v>
      </c>
      <c r="L27" t="s">
        <v>215</v>
      </c>
      <c r="M27" t="s">
        <v>216</v>
      </c>
      <c r="N27" t="s">
        <v>56</v>
      </c>
      <c r="O27" s="1">
        <v>45919</v>
      </c>
      <c r="P27" s="1">
        <v>45949</v>
      </c>
      <c r="Q27" s="2">
        <v>24.61</v>
      </c>
      <c r="R27">
        <v>1</v>
      </c>
      <c r="S27" t="s">
        <v>57</v>
      </c>
      <c r="T27" t="s">
        <v>96</v>
      </c>
      <c r="U27" s="4">
        <v>0.7</v>
      </c>
      <c r="V27" s="2">
        <v>0</v>
      </c>
      <c r="W27">
        <v>0</v>
      </c>
      <c r="X27" t="s">
        <v>70</v>
      </c>
      <c r="Y27" t="s">
        <v>97</v>
      </c>
      <c r="Z27">
        <v>6</v>
      </c>
      <c r="AA27" s="2">
        <v>103.38</v>
      </c>
      <c r="AB27" s="2">
        <v>0</v>
      </c>
      <c r="AC27" s="4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17.23</v>
      </c>
      <c r="AL27" s="2">
        <v>0</v>
      </c>
      <c r="AM27" s="2">
        <v>103.38</v>
      </c>
      <c r="AN27" s="2">
        <v>0</v>
      </c>
      <c r="AO27" s="2">
        <v>0</v>
      </c>
      <c r="AP27" s="2">
        <v>0</v>
      </c>
    </row>
    <row r="28" spans="1:42" x14ac:dyDescent="0.25">
      <c r="A28" s="1">
        <v>45922</v>
      </c>
      <c r="B28" t="s">
        <v>47</v>
      </c>
      <c r="C28">
        <v>649163</v>
      </c>
      <c r="D28">
        <v>2031073871</v>
      </c>
      <c r="E28" t="s">
        <v>564</v>
      </c>
      <c r="F28" t="s">
        <v>565</v>
      </c>
      <c r="G28" t="s">
        <v>50</v>
      </c>
      <c r="H28" t="s">
        <v>93</v>
      </c>
      <c r="I28" t="s">
        <v>441</v>
      </c>
      <c r="J28" t="s">
        <v>445</v>
      </c>
      <c r="K28">
        <v>807212</v>
      </c>
      <c r="L28" t="s">
        <v>467</v>
      </c>
      <c r="M28" t="s">
        <v>468</v>
      </c>
      <c r="N28" t="s">
        <v>56</v>
      </c>
      <c r="O28" s="1">
        <v>45916</v>
      </c>
      <c r="P28" s="1">
        <v>45946</v>
      </c>
      <c r="Q28" s="2">
        <v>96</v>
      </c>
      <c r="R28">
        <v>1</v>
      </c>
      <c r="S28" t="s">
        <v>57</v>
      </c>
      <c r="T28" t="s">
        <v>96</v>
      </c>
      <c r="U28" s="4">
        <v>0.7</v>
      </c>
      <c r="V28" s="2">
        <v>0</v>
      </c>
      <c r="W28">
        <v>0</v>
      </c>
      <c r="X28" t="s">
        <v>70</v>
      </c>
      <c r="Y28" t="s">
        <v>97</v>
      </c>
      <c r="Z28">
        <v>6</v>
      </c>
      <c r="AA28" s="2">
        <v>403.2</v>
      </c>
      <c r="AB28" s="2">
        <v>0</v>
      </c>
      <c r="AC28" s="4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67.2</v>
      </c>
      <c r="AL28" s="2">
        <v>0</v>
      </c>
      <c r="AM28" s="2">
        <v>403.2</v>
      </c>
      <c r="AN28" s="2">
        <v>0</v>
      </c>
      <c r="AO28" s="2">
        <v>0</v>
      </c>
      <c r="AP28" s="2">
        <v>0</v>
      </c>
    </row>
    <row r="29" spans="1:42" x14ac:dyDescent="0.25">
      <c r="A29" s="1">
        <v>45922</v>
      </c>
      <c r="B29" t="s">
        <v>47</v>
      </c>
      <c r="C29">
        <v>649163</v>
      </c>
      <c r="D29">
        <v>2031077854</v>
      </c>
      <c r="E29" t="s">
        <v>236</v>
      </c>
      <c r="F29" t="s">
        <v>150</v>
      </c>
      <c r="G29" t="s">
        <v>50</v>
      </c>
      <c r="H29" t="s">
        <v>151</v>
      </c>
      <c r="I29" t="s">
        <v>441</v>
      </c>
      <c r="J29" t="s">
        <v>442</v>
      </c>
      <c r="K29">
        <v>673059</v>
      </c>
      <c r="L29" t="s">
        <v>152</v>
      </c>
      <c r="M29" t="s">
        <v>153</v>
      </c>
      <c r="N29" t="s">
        <v>56</v>
      </c>
      <c r="O29" s="1">
        <v>45931</v>
      </c>
      <c r="P29" s="1">
        <v>45962</v>
      </c>
      <c r="Q29" s="2">
        <v>83.63</v>
      </c>
      <c r="R29">
        <v>1</v>
      </c>
      <c r="S29" t="s">
        <v>57</v>
      </c>
      <c r="T29" t="s">
        <v>96</v>
      </c>
      <c r="U29" s="4">
        <v>0.9</v>
      </c>
      <c r="V29" s="2">
        <v>0</v>
      </c>
      <c r="W29">
        <v>0</v>
      </c>
      <c r="X29" t="s">
        <v>70</v>
      </c>
      <c r="Y29" t="s">
        <v>97</v>
      </c>
      <c r="Z29">
        <v>6</v>
      </c>
      <c r="AA29" s="2">
        <v>451.62</v>
      </c>
      <c r="AB29" s="2">
        <v>0</v>
      </c>
      <c r="AC29" s="4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75.27</v>
      </c>
      <c r="AL29" s="2">
        <v>0</v>
      </c>
      <c r="AM29" s="2">
        <v>451.62</v>
      </c>
      <c r="AN29" s="2">
        <v>0</v>
      </c>
      <c r="AO29" s="2">
        <v>0</v>
      </c>
      <c r="AP29" s="2">
        <v>0</v>
      </c>
    </row>
    <row r="30" spans="1:42" x14ac:dyDescent="0.25">
      <c r="A30" s="1">
        <v>45922</v>
      </c>
      <c r="B30" t="s">
        <v>47</v>
      </c>
      <c r="C30">
        <v>649163</v>
      </c>
      <c r="D30">
        <v>2031077855</v>
      </c>
      <c r="E30" t="s">
        <v>236</v>
      </c>
      <c r="F30" t="s">
        <v>150</v>
      </c>
      <c r="G30" t="s">
        <v>50</v>
      </c>
      <c r="H30" t="s">
        <v>151</v>
      </c>
      <c r="I30" t="s">
        <v>441</v>
      </c>
      <c r="J30" t="s">
        <v>445</v>
      </c>
      <c r="K30">
        <v>673059</v>
      </c>
      <c r="L30" t="s">
        <v>152</v>
      </c>
      <c r="M30" t="s">
        <v>153</v>
      </c>
      <c r="N30" t="s">
        <v>56</v>
      </c>
      <c r="O30" s="1">
        <v>45931</v>
      </c>
      <c r="P30" s="1">
        <v>45962</v>
      </c>
      <c r="Q30" s="2">
        <v>41.75</v>
      </c>
      <c r="R30">
        <v>1</v>
      </c>
      <c r="S30" t="s">
        <v>57</v>
      </c>
      <c r="T30" t="s">
        <v>96</v>
      </c>
      <c r="U30" s="4">
        <v>0.7</v>
      </c>
      <c r="V30" s="2">
        <v>0</v>
      </c>
      <c r="W30">
        <v>0</v>
      </c>
      <c r="X30" t="s">
        <v>70</v>
      </c>
      <c r="Y30" t="s">
        <v>97</v>
      </c>
      <c r="Z30">
        <v>6</v>
      </c>
      <c r="AA30" s="2">
        <v>175.32</v>
      </c>
      <c r="AB30" s="2">
        <v>0</v>
      </c>
      <c r="AC30" s="4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29.22</v>
      </c>
      <c r="AL30" s="2">
        <v>0</v>
      </c>
      <c r="AM30" s="2">
        <v>175.32</v>
      </c>
      <c r="AN30" s="2">
        <v>0</v>
      </c>
      <c r="AO30" s="2">
        <v>0</v>
      </c>
      <c r="AP30" s="2">
        <v>0</v>
      </c>
    </row>
    <row r="31" spans="1:42" x14ac:dyDescent="0.25">
      <c r="A31" s="1">
        <v>45922</v>
      </c>
      <c r="B31" t="s">
        <v>47</v>
      </c>
      <c r="C31">
        <v>649163</v>
      </c>
      <c r="D31">
        <v>2031079835</v>
      </c>
      <c r="E31" t="s">
        <v>156</v>
      </c>
      <c r="F31" t="s">
        <v>419</v>
      </c>
      <c r="G31" t="s">
        <v>50</v>
      </c>
      <c r="H31" t="s">
        <v>93</v>
      </c>
      <c r="I31" t="s">
        <v>441</v>
      </c>
      <c r="J31" t="s">
        <v>445</v>
      </c>
      <c r="K31">
        <v>669316</v>
      </c>
      <c r="L31" t="s">
        <v>420</v>
      </c>
      <c r="M31" t="s">
        <v>421</v>
      </c>
      <c r="N31" t="s">
        <v>56</v>
      </c>
      <c r="O31" s="1">
        <v>45916</v>
      </c>
      <c r="P31" s="1">
        <v>45946</v>
      </c>
      <c r="Q31" s="2">
        <v>28.9</v>
      </c>
      <c r="R31">
        <v>1</v>
      </c>
      <c r="S31" t="s">
        <v>57</v>
      </c>
      <c r="T31" t="s">
        <v>96</v>
      </c>
      <c r="U31" s="4">
        <v>0.7</v>
      </c>
      <c r="V31" s="2">
        <v>0</v>
      </c>
      <c r="W31">
        <v>0</v>
      </c>
      <c r="X31" t="s">
        <v>70</v>
      </c>
      <c r="Y31" t="s">
        <v>97</v>
      </c>
      <c r="Z31">
        <v>6</v>
      </c>
      <c r="AA31" s="2">
        <v>121.38</v>
      </c>
      <c r="AB31" s="2">
        <v>0</v>
      </c>
      <c r="AC31" s="4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20.23</v>
      </c>
      <c r="AL31" s="2">
        <v>0</v>
      </c>
      <c r="AM31" s="2">
        <v>121.38</v>
      </c>
      <c r="AN31" s="2">
        <v>0</v>
      </c>
      <c r="AO31" s="2">
        <v>0</v>
      </c>
      <c r="AP31" s="2">
        <v>0</v>
      </c>
    </row>
    <row r="32" spans="1:42" x14ac:dyDescent="0.25">
      <c r="A32" s="1">
        <v>45922</v>
      </c>
      <c r="B32" t="s">
        <v>47</v>
      </c>
      <c r="C32">
        <v>649163</v>
      </c>
      <c r="D32">
        <v>2031085259</v>
      </c>
      <c r="E32" t="s">
        <v>566</v>
      </c>
      <c r="F32" t="s">
        <v>92</v>
      </c>
      <c r="G32" t="s">
        <v>50</v>
      </c>
      <c r="H32" t="s">
        <v>93</v>
      </c>
      <c r="I32" t="s">
        <v>441</v>
      </c>
      <c r="J32" t="s">
        <v>445</v>
      </c>
      <c r="K32">
        <v>766747</v>
      </c>
      <c r="L32" t="s">
        <v>352</v>
      </c>
      <c r="M32" t="s">
        <v>49</v>
      </c>
      <c r="N32" t="s">
        <v>56</v>
      </c>
      <c r="O32" s="1">
        <v>45931</v>
      </c>
      <c r="P32" s="1">
        <v>45962</v>
      </c>
      <c r="Q32" s="2">
        <v>262.74</v>
      </c>
      <c r="R32">
        <v>1</v>
      </c>
      <c r="S32" t="s">
        <v>57</v>
      </c>
      <c r="T32" t="s">
        <v>96</v>
      </c>
      <c r="U32" s="4">
        <v>0.7</v>
      </c>
      <c r="V32" s="2">
        <v>0</v>
      </c>
      <c r="W32">
        <v>0</v>
      </c>
      <c r="X32" t="s">
        <v>70</v>
      </c>
      <c r="Y32" t="s">
        <v>97</v>
      </c>
      <c r="Z32">
        <v>6</v>
      </c>
      <c r="AA32" s="2">
        <v>1103.52</v>
      </c>
      <c r="AB32" s="2">
        <v>0</v>
      </c>
      <c r="AC32" s="4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183.92</v>
      </c>
      <c r="AL32" s="2">
        <v>0</v>
      </c>
      <c r="AM32" s="2">
        <v>1103.52</v>
      </c>
      <c r="AN32" s="2">
        <v>0</v>
      </c>
      <c r="AO32" s="2">
        <v>0</v>
      </c>
      <c r="AP32" s="2">
        <v>0</v>
      </c>
    </row>
    <row r="33" spans="1:42" x14ac:dyDescent="0.25">
      <c r="A33" s="1">
        <v>45922</v>
      </c>
      <c r="B33" t="s">
        <v>47</v>
      </c>
      <c r="C33">
        <v>649163</v>
      </c>
      <c r="D33">
        <v>2031089211</v>
      </c>
      <c r="E33" t="s">
        <v>422</v>
      </c>
      <c r="F33" t="s">
        <v>423</v>
      </c>
      <c r="G33" t="s">
        <v>50</v>
      </c>
      <c r="H33" t="s">
        <v>93</v>
      </c>
      <c r="I33" t="s">
        <v>441</v>
      </c>
      <c r="J33" t="s">
        <v>445</v>
      </c>
      <c r="K33">
        <v>824081</v>
      </c>
      <c r="L33" t="s">
        <v>424</v>
      </c>
      <c r="M33" t="s">
        <v>425</v>
      </c>
      <c r="N33" t="s">
        <v>56</v>
      </c>
      <c r="O33" s="1">
        <v>45931</v>
      </c>
      <c r="P33" s="1">
        <v>45962</v>
      </c>
      <c r="Q33" s="2">
        <v>110.16</v>
      </c>
      <c r="R33">
        <v>1</v>
      </c>
      <c r="S33" t="s">
        <v>57</v>
      </c>
      <c r="T33" t="s">
        <v>96</v>
      </c>
      <c r="U33" s="4">
        <v>0.7</v>
      </c>
      <c r="V33" s="2">
        <v>0</v>
      </c>
      <c r="W33">
        <v>0</v>
      </c>
      <c r="X33" t="s">
        <v>70</v>
      </c>
      <c r="Y33" t="s">
        <v>97</v>
      </c>
      <c r="Z33">
        <v>6</v>
      </c>
      <c r="AA33" s="2">
        <v>462.66</v>
      </c>
      <c r="AB33" s="2">
        <v>0</v>
      </c>
      <c r="AC33" s="4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77.11</v>
      </c>
      <c r="AL33" s="2">
        <v>0</v>
      </c>
      <c r="AM33" s="2">
        <v>462.66</v>
      </c>
      <c r="AN33" s="2">
        <v>0</v>
      </c>
      <c r="AO33" s="2">
        <v>0</v>
      </c>
      <c r="AP33" s="2">
        <v>0</v>
      </c>
    </row>
    <row r="34" spans="1:42" x14ac:dyDescent="0.25">
      <c r="A34" s="1">
        <v>45922</v>
      </c>
      <c r="B34" t="s">
        <v>47</v>
      </c>
      <c r="C34">
        <v>649163</v>
      </c>
      <c r="D34">
        <v>2031097276</v>
      </c>
      <c r="E34" t="s">
        <v>100</v>
      </c>
      <c r="F34" t="s">
        <v>101</v>
      </c>
      <c r="G34" t="s">
        <v>50</v>
      </c>
      <c r="H34" t="s">
        <v>93</v>
      </c>
      <c r="I34" t="s">
        <v>441</v>
      </c>
      <c r="J34" t="s">
        <v>445</v>
      </c>
      <c r="K34">
        <v>894525</v>
      </c>
      <c r="L34" t="s">
        <v>94</v>
      </c>
      <c r="M34" t="s">
        <v>95</v>
      </c>
      <c r="N34" t="s">
        <v>56</v>
      </c>
      <c r="O34" s="1">
        <v>45931</v>
      </c>
      <c r="P34" s="1">
        <v>45962</v>
      </c>
      <c r="Q34" s="2">
        <v>52</v>
      </c>
      <c r="R34">
        <v>1</v>
      </c>
      <c r="S34" t="s">
        <v>57</v>
      </c>
      <c r="T34" t="s">
        <v>96</v>
      </c>
      <c r="U34" s="4">
        <v>0.7</v>
      </c>
      <c r="V34" s="2">
        <v>0</v>
      </c>
      <c r="W34">
        <v>0</v>
      </c>
      <c r="X34" t="s">
        <v>70</v>
      </c>
      <c r="Y34" t="s">
        <v>97</v>
      </c>
      <c r="Z34">
        <v>6</v>
      </c>
      <c r="AA34" s="2">
        <v>218.4</v>
      </c>
      <c r="AB34" s="2">
        <v>0</v>
      </c>
      <c r="AC34" s="4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36.4</v>
      </c>
      <c r="AL34" s="2">
        <v>0</v>
      </c>
      <c r="AM34" s="2">
        <v>218.4</v>
      </c>
      <c r="AN34" s="2">
        <v>0</v>
      </c>
      <c r="AO34" s="2">
        <v>0</v>
      </c>
      <c r="AP34" s="2">
        <v>0</v>
      </c>
    </row>
    <row r="35" spans="1:42" x14ac:dyDescent="0.25">
      <c r="A35" s="1">
        <v>45922</v>
      </c>
      <c r="B35" t="s">
        <v>47</v>
      </c>
      <c r="C35">
        <v>649163</v>
      </c>
      <c r="D35">
        <v>2031110050</v>
      </c>
      <c r="E35" t="s">
        <v>567</v>
      </c>
      <c r="F35" t="s">
        <v>568</v>
      </c>
      <c r="G35" t="s">
        <v>50</v>
      </c>
      <c r="H35" t="s">
        <v>93</v>
      </c>
      <c r="I35" t="s">
        <v>441</v>
      </c>
      <c r="J35" t="s">
        <v>445</v>
      </c>
      <c r="K35">
        <v>807212</v>
      </c>
      <c r="L35" t="s">
        <v>467</v>
      </c>
      <c r="M35" t="s">
        <v>468</v>
      </c>
      <c r="N35" t="s">
        <v>56</v>
      </c>
      <c r="O35" s="1">
        <v>45918</v>
      </c>
      <c r="P35" s="1">
        <v>45948</v>
      </c>
      <c r="Q35" s="2">
        <v>18.45</v>
      </c>
      <c r="R35">
        <v>1</v>
      </c>
      <c r="S35" t="s">
        <v>57</v>
      </c>
      <c r="T35" t="s">
        <v>96</v>
      </c>
      <c r="U35" s="4">
        <v>0.7</v>
      </c>
      <c r="V35" s="2">
        <v>0</v>
      </c>
      <c r="W35">
        <v>0</v>
      </c>
      <c r="X35" t="s">
        <v>70</v>
      </c>
      <c r="Y35" t="s">
        <v>97</v>
      </c>
      <c r="Z35">
        <v>6</v>
      </c>
      <c r="AA35" s="2">
        <v>77.52</v>
      </c>
      <c r="AB35" s="2">
        <v>0</v>
      </c>
      <c r="AC35" s="4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12.92</v>
      </c>
      <c r="AL35" s="2">
        <v>0</v>
      </c>
      <c r="AM35" s="2">
        <v>77.52</v>
      </c>
      <c r="AN35" s="2">
        <v>0</v>
      </c>
      <c r="AO35" s="2">
        <v>0</v>
      </c>
      <c r="AP35" s="2">
        <v>0</v>
      </c>
    </row>
    <row r="36" spans="1:42" x14ac:dyDescent="0.25">
      <c r="A36" s="1">
        <v>45922</v>
      </c>
      <c r="B36" t="s">
        <v>47</v>
      </c>
      <c r="C36">
        <v>649163</v>
      </c>
      <c r="D36">
        <v>2031142846</v>
      </c>
      <c r="E36" t="s">
        <v>428</v>
      </c>
      <c r="F36" t="s">
        <v>429</v>
      </c>
      <c r="G36" t="s">
        <v>50</v>
      </c>
      <c r="H36" t="s">
        <v>188</v>
      </c>
      <c r="I36" t="s">
        <v>441</v>
      </c>
      <c r="J36" t="s">
        <v>442</v>
      </c>
      <c r="K36">
        <v>767312</v>
      </c>
      <c r="L36" t="s">
        <v>122</v>
      </c>
      <c r="M36" t="s">
        <v>123</v>
      </c>
      <c r="N36" t="s">
        <v>56</v>
      </c>
      <c r="O36" s="1">
        <v>45919</v>
      </c>
      <c r="P36" s="1">
        <v>45949</v>
      </c>
      <c r="Q36" s="2">
        <v>8.9600000000000009</v>
      </c>
      <c r="R36">
        <v>1</v>
      </c>
      <c r="S36" t="s">
        <v>57</v>
      </c>
      <c r="T36" t="s">
        <v>96</v>
      </c>
      <c r="U36" s="4">
        <v>0.9</v>
      </c>
      <c r="V36" s="2">
        <v>0</v>
      </c>
      <c r="W36">
        <v>0</v>
      </c>
      <c r="X36" t="s">
        <v>70</v>
      </c>
      <c r="Y36" t="s">
        <v>97</v>
      </c>
      <c r="Z36">
        <v>6</v>
      </c>
      <c r="AA36" s="2">
        <v>48.36</v>
      </c>
      <c r="AB36" s="2">
        <v>0</v>
      </c>
      <c r="AC36" s="4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8.06</v>
      </c>
      <c r="AL36" s="2">
        <v>0</v>
      </c>
      <c r="AM36" s="2">
        <v>48.36</v>
      </c>
      <c r="AN36" s="2">
        <v>0</v>
      </c>
      <c r="AO36" s="2">
        <v>0</v>
      </c>
      <c r="AP36" s="2">
        <v>0</v>
      </c>
    </row>
    <row r="37" spans="1:42" x14ac:dyDescent="0.25">
      <c r="A37" s="1">
        <v>45922</v>
      </c>
      <c r="B37" t="s">
        <v>47</v>
      </c>
      <c r="C37">
        <v>649163</v>
      </c>
      <c r="D37">
        <v>2031180132</v>
      </c>
      <c r="E37" t="s">
        <v>237</v>
      </c>
      <c r="F37" t="s">
        <v>238</v>
      </c>
      <c r="G37" t="s">
        <v>50</v>
      </c>
      <c r="H37" t="s">
        <v>239</v>
      </c>
      <c r="I37" t="s">
        <v>441</v>
      </c>
      <c r="J37" t="s">
        <v>445</v>
      </c>
      <c r="K37">
        <v>823350</v>
      </c>
      <c r="L37" t="s">
        <v>79</v>
      </c>
      <c r="M37" t="s">
        <v>80</v>
      </c>
      <c r="N37" t="s">
        <v>56</v>
      </c>
      <c r="O37" s="1">
        <v>45924</v>
      </c>
      <c r="P37" s="1">
        <v>45954</v>
      </c>
      <c r="Q37" s="2">
        <v>101.99</v>
      </c>
      <c r="R37">
        <v>1</v>
      </c>
      <c r="S37" t="s">
        <v>57</v>
      </c>
      <c r="T37" t="s">
        <v>96</v>
      </c>
      <c r="U37" s="4">
        <v>0.7</v>
      </c>
      <c r="V37" s="2">
        <v>0</v>
      </c>
      <c r="W37">
        <v>0</v>
      </c>
      <c r="X37" t="s">
        <v>70</v>
      </c>
      <c r="Y37" t="s">
        <v>97</v>
      </c>
      <c r="Z37">
        <v>6</v>
      </c>
      <c r="AA37" s="2">
        <v>428.34</v>
      </c>
      <c r="AB37" s="2">
        <v>0</v>
      </c>
      <c r="AC37" s="4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71.39</v>
      </c>
      <c r="AL37" s="2">
        <v>0</v>
      </c>
      <c r="AM37" s="2">
        <v>428.34</v>
      </c>
      <c r="AN37" s="2">
        <v>0</v>
      </c>
      <c r="AO37" s="2">
        <v>0</v>
      </c>
      <c r="AP37" s="2">
        <v>0</v>
      </c>
    </row>
    <row r="38" spans="1:42" x14ac:dyDescent="0.25">
      <c r="A38" s="1">
        <v>45922</v>
      </c>
      <c r="B38" t="s">
        <v>47</v>
      </c>
      <c r="C38">
        <v>649163</v>
      </c>
      <c r="D38">
        <v>2031190208</v>
      </c>
      <c r="E38" t="s">
        <v>240</v>
      </c>
      <c r="F38" t="s">
        <v>241</v>
      </c>
      <c r="G38" t="s">
        <v>50</v>
      </c>
      <c r="H38" t="s">
        <v>157</v>
      </c>
      <c r="I38" t="s">
        <v>441</v>
      </c>
      <c r="J38" t="s">
        <v>445</v>
      </c>
      <c r="K38">
        <v>823350</v>
      </c>
      <c r="L38" t="s">
        <v>79</v>
      </c>
      <c r="M38" t="s">
        <v>80</v>
      </c>
      <c r="N38" t="s">
        <v>56</v>
      </c>
      <c r="O38" s="1">
        <v>45925</v>
      </c>
      <c r="P38" s="1">
        <v>45955</v>
      </c>
      <c r="Q38" s="2">
        <v>194.05</v>
      </c>
      <c r="R38">
        <v>1</v>
      </c>
      <c r="S38" t="s">
        <v>57</v>
      </c>
      <c r="T38" t="s">
        <v>96</v>
      </c>
      <c r="U38" s="4">
        <v>0.7</v>
      </c>
      <c r="V38" s="2">
        <v>0</v>
      </c>
      <c r="W38">
        <v>0</v>
      </c>
      <c r="X38" t="s">
        <v>70</v>
      </c>
      <c r="Y38" t="s">
        <v>97</v>
      </c>
      <c r="Z38">
        <v>6</v>
      </c>
      <c r="AA38" s="2">
        <v>815.04</v>
      </c>
      <c r="AB38" s="2">
        <v>0</v>
      </c>
      <c r="AC38" s="4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135.84</v>
      </c>
      <c r="AL38" s="2">
        <v>0</v>
      </c>
      <c r="AM38" s="2">
        <v>815.04</v>
      </c>
      <c r="AN38" s="2">
        <v>0</v>
      </c>
      <c r="AO38" s="2">
        <v>0</v>
      </c>
      <c r="AP38" s="2">
        <v>0</v>
      </c>
    </row>
    <row r="39" spans="1:42" x14ac:dyDescent="0.25">
      <c r="A39" s="1">
        <v>45922</v>
      </c>
      <c r="B39" t="s">
        <v>47</v>
      </c>
      <c r="C39">
        <v>649163</v>
      </c>
      <c r="D39">
        <v>2031110932</v>
      </c>
      <c r="E39" t="s">
        <v>296</v>
      </c>
      <c r="F39" t="s">
        <v>297</v>
      </c>
      <c r="G39" t="s">
        <v>50</v>
      </c>
      <c r="H39" t="s">
        <v>180</v>
      </c>
      <c r="I39" t="s">
        <v>569</v>
      </c>
      <c r="J39" t="s">
        <v>572</v>
      </c>
      <c r="K39">
        <v>877790</v>
      </c>
      <c r="L39" t="s">
        <v>299</v>
      </c>
      <c r="M39" t="s">
        <v>300</v>
      </c>
      <c r="N39" t="s">
        <v>56</v>
      </c>
      <c r="O39" s="1">
        <v>45918</v>
      </c>
      <c r="P39" s="1">
        <v>45948</v>
      </c>
      <c r="Q39" s="2">
        <v>271.95999999999998</v>
      </c>
      <c r="R39">
        <v>1</v>
      </c>
      <c r="S39" t="s">
        <v>57</v>
      </c>
      <c r="T39" t="s">
        <v>301</v>
      </c>
      <c r="U39" s="4">
        <v>0.19</v>
      </c>
      <c r="V39" s="2">
        <v>0</v>
      </c>
      <c r="W39">
        <v>0</v>
      </c>
      <c r="X39" t="s">
        <v>70</v>
      </c>
      <c r="Y39" t="s">
        <v>97</v>
      </c>
      <c r="Z39">
        <v>6</v>
      </c>
      <c r="AA39" s="2">
        <v>310.02</v>
      </c>
      <c r="AB39" s="2">
        <v>0</v>
      </c>
      <c r="AC39" s="4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51.67</v>
      </c>
      <c r="AL39" s="2">
        <v>0</v>
      </c>
      <c r="AM39" s="2">
        <v>310.02</v>
      </c>
      <c r="AN39" s="2">
        <v>0</v>
      </c>
      <c r="AO39" s="2">
        <v>0</v>
      </c>
      <c r="AP39" s="2">
        <v>0</v>
      </c>
    </row>
    <row r="40" spans="1:42" x14ac:dyDescent="0.25">
      <c r="A40" s="1">
        <v>45915</v>
      </c>
      <c r="B40" t="s">
        <v>47</v>
      </c>
      <c r="C40">
        <v>649163</v>
      </c>
      <c r="D40">
        <v>2030941928</v>
      </c>
      <c r="E40" t="s">
        <v>766</v>
      </c>
      <c r="F40" t="s">
        <v>765</v>
      </c>
      <c r="G40" t="s">
        <v>50</v>
      </c>
      <c r="H40" t="s">
        <v>83</v>
      </c>
      <c r="I40" t="s">
        <v>52</v>
      </c>
      <c r="J40" t="s">
        <v>53</v>
      </c>
      <c r="K40">
        <v>751867</v>
      </c>
      <c r="L40" t="s">
        <v>84</v>
      </c>
      <c r="M40" t="s">
        <v>85</v>
      </c>
      <c r="N40" t="s">
        <v>56</v>
      </c>
      <c r="O40" s="1">
        <v>45909</v>
      </c>
      <c r="P40" s="1">
        <v>45939</v>
      </c>
      <c r="Q40" s="2">
        <v>56.69</v>
      </c>
      <c r="R40">
        <v>1</v>
      </c>
      <c r="S40" t="s">
        <v>57</v>
      </c>
      <c r="T40" t="s">
        <v>96</v>
      </c>
      <c r="U40" s="4">
        <v>0.6</v>
      </c>
      <c r="V40" s="2">
        <v>0</v>
      </c>
      <c r="W40">
        <v>0</v>
      </c>
      <c r="X40" t="s">
        <v>70</v>
      </c>
      <c r="Y40" t="s">
        <v>97</v>
      </c>
      <c r="Z40">
        <v>6</v>
      </c>
      <c r="AA40" s="2">
        <v>204.06</v>
      </c>
      <c r="AB40" s="2">
        <v>0</v>
      </c>
      <c r="AC40" s="4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34.01</v>
      </c>
      <c r="AL40" s="2">
        <v>0</v>
      </c>
      <c r="AM40" s="2">
        <v>204.06</v>
      </c>
      <c r="AN40" s="2">
        <v>0</v>
      </c>
      <c r="AO40" s="2">
        <v>0</v>
      </c>
      <c r="AP40" s="2">
        <v>0</v>
      </c>
    </row>
    <row r="41" spans="1:42" x14ac:dyDescent="0.25">
      <c r="A41" s="1">
        <v>45915</v>
      </c>
      <c r="B41" t="s">
        <v>47</v>
      </c>
      <c r="C41">
        <v>649163</v>
      </c>
      <c r="D41">
        <v>2030898265</v>
      </c>
      <c r="E41" t="s">
        <v>144</v>
      </c>
      <c r="F41" t="s">
        <v>111</v>
      </c>
      <c r="G41" t="s">
        <v>50</v>
      </c>
      <c r="H41" t="s">
        <v>214</v>
      </c>
      <c r="I41" t="s">
        <v>106</v>
      </c>
      <c r="J41" t="s">
        <v>107</v>
      </c>
      <c r="K41">
        <v>823068</v>
      </c>
      <c r="L41" t="s">
        <v>215</v>
      </c>
      <c r="M41" t="s">
        <v>216</v>
      </c>
      <c r="N41" t="s">
        <v>56</v>
      </c>
      <c r="O41" s="1">
        <v>45931</v>
      </c>
      <c r="P41" s="1">
        <v>45962</v>
      </c>
      <c r="Q41" s="2">
        <v>78.88</v>
      </c>
      <c r="R41">
        <v>1</v>
      </c>
      <c r="S41" t="s">
        <v>57</v>
      </c>
      <c r="T41" t="s">
        <v>96</v>
      </c>
      <c r="U41" s="4">
        <v>0.9</v>
      </c>
      <c r="V41" s="2">
        <v>0</v>
      </c>
      <c r="W41">
        <v>0</v>
      </c>
      <c r="X41" t="s">
        <v>70</v>
      </c>
      <c r="Y41" t="s">
        <v>97</v>
      </c>
      <c r="Z41">
        <v>6</v>
      </c>
      <c r="AA41" s="2">
        <v>425.94</v>
      </c>
      <c r="AB41" s="2">
        <v>0</v>
      </c>
      <c r="AC41" s="4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70.989999999999995</v>
      </c>
      <c r="AL41" s="2">
        <v>0</v>
      </c>
      <c r="AM41" s="2">
        <v>425.94</v>
      </c>
      <c r="AN41" s="2">
        <v>0</v>
      </c>
      <c r="AO41" s="2">
        <v>0</v>
      </c>
      <c r="AP41" s="2">
        <v>0</v>
      </c>
    </row>
    <row r="42" spans="1:42" x14ac:dyDescent="0.25">
      <c r="A42" s="1">
        <v>45915</v>
      </c>
      <c r="B42" t="s">
        <v>47</v>
      </c>
      <c r="C42">
        <v>649163</v>
      </c>
      <c r="D42">
        <v>2030924642</v>
      </c>
      <c r="E42" t="s">
        <v>648</v>
      </c>
      <c r="F42" t="s">
        <v>647</v>
      </c>
      <c r="G42" t="s">
        <v>50</v>
      </c>
      <c r="H42" t="s">
        <v>63</v>
      </c>
      <c r="I42" t="s">
        <v>106</v>
      </c>
      <c r="J42" t="s">
        <v>184</v>
      </c>
      <c r="K42">
        <v>874230</v>
      </c>
      <c r="L42" t="s">
        <v>644</v>
      </c>
      <c r="M42" t="s">
        <v>643</v>
      </c>
      <c r="N42" t="s">
        <v>56</v>
      </c>
      <c r="O42" s="1">
        <v>45911</v>
      </c>
      <c r="P42" s="1">
        <v>45941</v>
      </c>
      <c r="Q42" s="2">
        <v>17.77</v>
      </c>
      <c r="R42">
        <v>1</v>
      </c>
      <c r="S42" t="s">
        <v>57</v>
      </c>
      <c r="T42" t="s">
        <v>96</v>
      </c>
      <c r="U42" s="4">
        <v>0.75</v>
      </c>
      <c r="V42" s="2">
        <v>0</v>
      </c>
      <c r="W42">
        <v>0</v>
      </c>
      <c r="X42" t="s">
        <v>70</v>
      </c>
      <c r="Y42" t="s">
        <v>97</v>
      </c>
      <c r="Z42">
        <v>6</v>
      </c>
      <c r="AA42" s="2">
        <v>79.98</v>
      </c>
      <c r="AB42" s="2">
        <v>0</v>
      </c>
      <c r="AC42" s="4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13.33</v>
      </c>
      <c r="AL42" s="2">
        <v>0</v>
      </c>
      <c r="AM42" s="2">
        <v>79.98</v>
      </c>
      <c r="AN42" s="2">
        <v>0</v>
      </c>
      <c r="AO42" s="2">
        <v>0</v>
      </c>
      <c r="AP42" s="2">
        <v>0</v>
      </c>
    </row>
    <row r="43" spans="1:42" x14ac:dyDescent="0.25">
      <c r="A43" s="1">
        <v>45915</v>
      </c>
      <c r="B43" t="s">
        <v>47</v>
      </c>
      <c r="C43">
        <v>649163</v>
      </c>
      <c r="D43">
        <v>2030932601</v>
      </c>
      <c r="E43" t="s">
        <v>646</v>
      </c>
      <c r="F43" t="s">
        <v>368</v>
      </c>
      <c r="G43" t="s">
        <v>50</v>
      </c>
      <c r="H43" t="s">
        <v>63</v>
      </c>
      <c r="I43" t="s">
        <v>106</v>
      </c>
      <c r="J43" t="s">
        <v>184</v>
      </c>
      <c r="K43">
        <v>874230</v>
      </c>
      <c r="L43" t="s">
        <v>644</v>
      </c>
      <c r="M43" t="s">
        <v>643</v>
      </c>
      <c r="N43" t="s">
        <v>56</v>
      </c>
      <c r="O43" s="1">
        <v>45911</v>
      </c>
      <c r="P43" s="1">
        <v>45941</v>
      </c>
      <c r="Q43" s="2">
        <v>18.489999999999998</v>
      </c>
      <c r="R43">
        <v>1</v>
      </c>
      <c r="S43" t="s">
        <v>57</v>
      </c>
      <c r="T43" t="s">
        <v>96</v>
      </c>
      <c r="U43" s="4">
        <v>0.75</v>
      </c>
      <c r="V43" s="2">
        <v>0</v>
      </c>
      <c r="W43">
        <v>0</v>
      </c>
      <c r="X43" t="s">
        <v>70</v>
      </c>
      <c r="Y43" t="s">
        <v>97</v>
      </c>
      <c r="Z43">
        <v>6</v>
      </c>
      <c r="AA43" s="2">
        <v>83.22</v>
      </c>
      <c r="AB43" s="2">
        <v>0</v>
      </c>
      <c r="AC43" s="4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13.87</v>
      </c>
      <c r="AL43" s="2">
        <v>0</v>
      </c>
      <c r="AM43" s="2">
        <v>83.22</v>
      </c>
      <c r="AN43" s="2">
        <v>0</v>
      </c>
      <c r="AO43" s="2">
        <v>0</v>
      </c>
      <c r="AP43" s="2">
        <v>0</v>
      </c>
    </row>
    <row r="44" spans="1:42" x14ac:dyDescent="0.25">
      <c r="A44" s="1">
        <v>45915</v>
      </c>
      <c r="B44" t="s">
        <v>47</v>
      </c>
      <c r="C44">
        <v>649163</v>
      </c>
      <c r="D44">
        <v>2030933673</v>
      </c>
      <c r="E44" t="s">
        <v>691</v>
      </c>
      <c r="F44" t="s">
        <v>690</v>
      </c>
      <c r="G44" t="s">
        <v>50</v>
      </c>
      <c r="H44" t="s">
        <v>214</v>
      </c>
      <c r="I44" t="s">
        <v>106</v>
      </c>
      <c r="J44" t="s">
        <v>107</v>
      </c>
      <c r="K44">
        <v>823068</v>
      </c>
      <c r="L44" t="s">
        <v>215</v>
      </c>
      <c r="M44" t="s">
        <v>216</v>
      </c>
      <c r="N44" t="s">
        <v>56</v>
      </c>
      <c r="O44" s="1">
        <v>45909</v>
      </c>
      <c r="P44" s="1">
        <v>45939</v>
      </c>
      <c r="Q44" s="2">
        <v>76.5</v>
      </c>
      <c r="R44">
        <v>1</v>
      </c>
      <c r="S44" t="s">
        <v>57</v>
      </c>
      <c r="T44" t="s">
        <v>96</v>
      </c>
      <c r="U44" s="4">
        <v>0.9</v>
      </c>
      <c r="V44" s="2">
        <v>0</v>
      </c>
      <c r="W44">
        <v>0</v>
      </c>
      <c r="X44" t="s">
        <v>70</v>
      </c>
      <c r="Y44" t="s">
        <v>97</v>
      </c>
      <c r="Z44">
        <v>6</v>
      </c>
      <c r="AA44" s="2">
        <v>413.1</v>
      </c>
      <c r="AB44" s="2">
        <v>0</v>
      </c>
      <c r="AC44" s="4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68.849999999999994</v>
      </c>
      <c r="AL44" s="2">
        <v>0</v>
      </c>
      <c r="AM44" s="2">
        <v>413.1</v>
      </c>
      <c r="AN44" s="2">
        <v>0</v>
      </c>
      <c r="AO44" s="2">
        <v>0</v>
      </c>
      <c r="AP44" s="2">
        <v>0</v>
      </c>
    </row>
    <row r="45" spans="1:42" x14ac:dyDescent="0.25">
      <c r="A45" s="1">
        <v>45915</v>
      </c>
      <c r="B45" t="s">
        <v>47</v>
      </c>
      <c r="C45">
        <v>649163</v>
      </c>
      <c r="D45">
        <v>2030945124</v>
      </c>
      <c r="E45" t="s">
        <v>547</v>
      </c>
      <c r="F45" t="s">
        <v>683</v>
      </c>
      <c r="G45" t="s">
        <v>50</v>
      </c>
      <c r="H45" t="s">
        <v>93</v>
      </c>
      <c r="I45" t="s">
        <v>106</v>
      </c>
      <c r="J45" t="s">
        <v>184</v>
      </c>
      <c r="K45">
        <v>820873</v>
      </c>
      <c r="L45" t="s">
        <v>262</v>
      </c>
      <c r="M45" t="s">
        <v>263</v>
      </c>
      <c r="N45" t="s">
        <v>56</v>
      </c>
      <c r="O45" s="1">
        <v>45909</v>
      </c>
      <c r="P45" s="1">
        <v>45939</v>
      </c>
      <c r="Q45" s="2">
        <v>47.13</v>
      </c>
      <c r="R45">
        <v>1</v>
      </c>
      <c r="S45" t="s">
        <v>57</v>
      </c>
      <c r="T45" t="s">
        <v>96</v>
      </c>
      <c r="U45" s="4">
        <v>0.75</v>
      </c>
      <c r="V45" s="2">
        <v>0</v>
      </c>
      <c r="W45">
        <v>0</v>
      </c>
      <c r="X45" t="s">
        <v>70</v>
      </c>
      <c r="Y45" t="s">
        <v>97</v>
      </c>
      <c r="Z45">
        <v>6</v>
      </c>
      <c r="AA45" s="2">
        <v>212.1</v>
      </c>
      <c r="AB45" s="2">
        <v>0</v>
      </c>
      <c r="AC45" s="4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35.35</v>
      </c>
      <c r="AL45" s="2">
        <v>0</v>
      </c>
      <c r="AM45" s="2">
        <v>212.1</v>
      </c>
      <c r="AN45" s="2">
        <v>0</v>
      </c>
      <c r="AO45" s="2">
        <v>0</v>
      </c>
      <c r="AP45" s="2">
        <v>0</v>
      </c>
    </row>
    <row r="46" spans="1:42" x14ac:dyDescent="0.25">
      <c r="A46" s="1">
        <v>45915</v>
      </c>
      <c r="B46" t="s">
        <v>47</v>
      </c>
      <c r="C46">
        <v>649163</v>
      </c>
      <c r="D46">
        <v>2030951715</v>
      </c>
      <c r="E46" t="s">
        <v>1062</v>
      </c>
      <c r="F46" t="s">
        <v>409</v>
      </c>
      <c r="G46" t="s">
        <v>50</v>
      </c>
      <c r="H46" t="s">
        <v>214</v>
      </c>
      <c r="I46" t="s">
        <v>106</v>
      </c>
      <c r="J46" t="s">
        <v>107</v>
      </c>
      <c r="K46">
        <v>652037</v>
      </c>
      <c r="L46" t="s">
        <v>309</v>
      </c>
      <c r="M46" t="s">
        <v>303</v>
      </c>
      <c r="N46" t="s">
        <v>56</v>
      </c>
      <c r="O46" s="1">
        <v>45910</v>
      </c>
      <c r="P46" s="1">
        <v>45940</v>
      </c>
      <c r="Q46" s="2">
        <v>38.67</v>
      </c>
      <c r="R46">
        <v>1</v>
      </c>
      <c r="S46" t="s">
        <v>57</v>
      </c>
      <c r="T46" t="s">
        <v>96</v>
      </c>
      <c r="U46" s="4">
        <v>0.9</v>
      </c>
      <c r="V46" s="2">
        <v>0</v>
      </c>
      <c r="W46">
        <v>0</v>
      </c>
      <c r="X46" t="s">
        <v>70</v>
      </c>
      <c r="Y46" t="s">
        <v>97</v>
      </c>
      <c r="Z46">
        <v>6</v>
      </c>
      <c r="AA46" s="2">
        <v>208.8</v>
      </c>
      <c r="AB46" s="2">
        <v>0</v>
      </c>
      <c r="AC46" s="4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34.799999999999997</v>
      </c>
      <c r="AL46" s="2">
        <v>0</v>
      </c>
      <c r="AM46" s="2">
        <v>208.8</v>
      </c>
      <c r="AN46" s="2">
        <v>0</v>
      </c>
      <c r="AO46" s="2">
        <v>0</v>
      </c>
      <c r="AP46" s="2">
        <v>0</v>
      </c>
    </row>
    <row r="47" spans="1:42" x14ac:dyDescent="0.25">
      <c r="A47" s="1">
        <v>45915</v>
      </c>
      <c r="B47" t="s">
        <v>47</v>
      </c>
      <c r="C47">
        <v>649163</v>
      </c>
      <c r="D47">
        <v>2030959732</v>
      </c>
      <c r="E47" t="s">
        <v>677</v>
      </c>
      <c r="F47" t="s">
        <v>480</v>
      </c>
      <c r="G47" t="s">
        <v>50</v>
      </c>
      <c r="H47" t="s">
        <v>151</v>
      </c>
      <c r="I47" t="s">
        <v>106</v>
      </c>
      <c r="J47" t="s">
        <v>184</v>
      </c>
      <c r="K47">
        <v>673059</v>
      </c>
      <c r="L47" t="s">
        <v>152</v>
      </c>
      <c r="M47" t="s">
        <v>153</v>
      </c>
      <c r="N47" t="s">
        <v>56</v>
      </c>
      <c r="O47" s="1">
        <v>45931</v>
      </c>
      <c r="P47" s="1">
        <v>45962</v>
      </c>
      <c r="Q47" s="2">
        <v>53.56</v>
      </c>
      <c r="R47">
        <v>1</v>
      </c>
      <c r="S47" t="s">
        <v>57</v>
      </c>
      <c r="T47" t="s">
        <v>96</v>
      </c>
      <c r="U47" s="4">
        <v>0.75</v>
      </c>
      <c r="V47" s="2">
        <v>0</v>
      </c>
      <c r="W47">
        <v>0</v>
      </c>
      <c r="X47" t="s">
        <v>70</v>
      </c>
      <c r="Y47" t="s">
        <v>97</v>
      </c>
      <c r="Z47">
        <v>6</v>
      </c>
      <c r="AA47" s="2">
        <v>241.02</v>
      </c>
      <c r="AB47" s="2">
        <v>0</v>
      </c>
      <c r="AC47" s="4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40.17</v>
      </c>
      <c r="AL47" s="2">
        <v>0</v>
      </c>
      <c r="AM47" s="2">
        <v>241.02</v>
      </c>
      <c r="AN47" s="2">
        <v>0</v>
      </c>
      <c r="AO47" s="2">
        <v>0</v>
      </c>
      <c r="AP47" s="2">
        <v>0</v>
      </c>
    </row>
    <row r="48" spans="1:42" x14ac:dyDescent="0.25">
      <c r="A48" s="1">
        <v>45915</v>
      </c>
      <c r="B48" t="s">
        <v>47</v>
      </c>
      <c r="C48">
        <v>649163</v>
      </c>
      <c r="D48">
        <v>2030963809</v>
      </c>
      <c r="E48" t="s">
        <v>675</v>
      </c>
      <c r="F48" t="s">
        <v>674</v>
      </c>
      <c r="G48" t="s">
        <v>50</v>
      </c>
      <c r="H48" t="s">
        <v>151</v>
      </c>
      <c r="I48" t="s">
        <v>106</v>
      </c>
      <c r="J48" t="s">
        <v>184</v>
      </c>
      <c r="K48">
        <v>673059</v>
      </c>
      <c r="L48" t="s">
        <v>152</v>
      </c>
      <c r="M48" t="s">
        <v>153</v>
      </c>
      <c r="N48" t="s">
        <v>56</v>
      </c>
      <c r="O48" s="1">
        <v>45910</v>
      </c>
      <c r="P48" s="1">
        <v>45940</v>
      </c>
      <c r="Q48" s="2">
        <v>74.290000000000006</v>
      </c>
      <c r="R48">
        <v>1</v>
      </c>
      <c r="S48" t="s">
        <v>57</v>
      </c>
      <c r="T48" t="s">
        <v>96</v>
      </c>
      <c r="U48" s="4">
        <v>0.75</v>
      </c>
      <c r="V48" s="2">
        <v>0</v>
      </c>
      <c r="W48">
        <v>0</v>
      </c>
      <c r="X48" t="s">
        <v>70</v>
      </c>
      <c r="Y48" t="s">
        <v>97</v>
      </c>
      <c r="Z48">
        <v>6</v>
      </c>
      <c r="AA48" s="2">
        <v>334.32</v>
      </c>
      <c r="AB48" s="2">
        <v>0</v>
      </c>
      <c r="AC48" s="4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55.72</v>
      </c>
      <c r="AL48" s="2">
        <v>0</v>
      </c>
      <c r="AM48" s="2">
        <v>334.32</v>
      </c>
      <c r="AN48" s="2">
        <v>0</v>
      </c>
      <c r="AO48" s="2">
        <v>0</v>
      </c>
      <c r="AP48" s="2">
        <v>0</v>
      </c>
    </row>
    <row r="49" spans="1:42" x14ac:dyDescent="0.25">
      <c r="A49" s="1">
        <v>45915</v>
      </c>
      <c r="B49" t="s">
        <v>47</v>
      </c>
      <c r="C49">
        <v>649163</v>
      </c>
      <c r="D49">
        <v>2030965243</v>
      </c>
      <c r="E49" t="s">
        <v>1061</v>
      </c>
      <c r="F49" t="s">
        <v>126</v>
      </c>
      <c r="G49" t="s">
        <v>50</v>
      </c>
      <c r="H49" t="s">
        <v>209</v>
      </c>
      <c r="I49" t="s">
        <v>106</v>
      </c>
      <c r="J49" t="s">
        <v>184</v>
      </c>
      <c r="K49">
        <v>856824</v>
      </c>
      <c r="L49" t="s">
        <v>210</v>
      </c>
      <c r="M49" t="s">
        <v>211</v>
      </c>
      <c r="N49" t="s">
        <v>56</v>
      </c>
      <c r="O49" s="1">
        <v>45931</v>
      </c>
      <c r="P49" s="1">
        <v>45962</v>
      </c>
      <c r="Q49" s="2">
        <v>112.15</v>
      </c>
      <c r="R49">
        <v>1</v>
      </c>
      <c r="S49" t="s">
        <v>57</v>
      </c>
      <c r="T49" t="s">
        <v>96</v>
      </c>
      <c r="U49" s="4">
        <v>0.75</v>
      </c>
      <c r="V49" s="2">
        <v>0</v>
      </c>
      <c r="W49">
        <v>0</v>
      </c>
      <c r="X49" t="s">
        <v>70</v>
      </c>
      <c r="Y49" t="s">
        <v>97</v>
      </c>
      <c r="Z49">
        <v>6</v>
      </c>
      <c r="AA49" s="2">
        <v>504.66</v>
      </c>
      <c r="AB49" s="2">
        <v>0</v>
      </c>
      <c r="AC49" s="4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84.11</v>
      </c>
      <c r="AL49" s="2">
        <v>0</v>
      </c>
      <c r="AM49" s="2">
        <v>504.66</v>
      </c>
      <c r="AN49" s="2">
        <v>0</v>
      </c>
      <c r="AO49" s="2">
        <v>0</v>
      </c>
      <c r="AP49" s="2">
        <v>0</v>
      </c>
    </row>
    <row r="50" spans="1:42" x14ac:dyDescent="0.25">
      <c r="A50" s="1">
        <v>45915</v>
      </c>
      <c r="B50" t="s">
        <v>47</v>
      </c>
      <c r="C50">
        <v>649163</v>
      </c>
      <c r="D50">
        <v>2030981721</v>
      </c>
      <c r="E50" t="s">
        <v>761</v>
      </c>
      <c r="F50" t="s">
        <v>760</v>
      </c>
      <c r="G50" t="s">
        <v>50</v>
      </c>
      <c r="H50" t="s">
        <v>93</v>
      </c>
      <c r="I50" t="s">
        <v>106</v>
      </c>
      <c r="J50" t="s">
        <v>107</v>
      </c>
      <c r="K50">
        <v>824062</v>
      </c>
      <c r="L50" t="s">
        <v>200</v>
      </c>
      <c r="M50" t="s">
        <v>201</v>
      </c>
      <c r="N50" t="s">
        <v>56</v>
      </c>
      <c r="O50" s="1">
        <v>45920</v>
      </c>
      <c r="P50" s="1">
        <v>45950</v>
      </c>
      <c r="Q50" s="2">
        <v>78.790000000000006</v>
      </c>
      <c r="R50">
        <v>1</v>
      </c>
      <c r="S50" t="s">
        <v>57</v>
      </c>
      <c r="T50" t="s">
        <v>96</v>
      </c>
      <c r="U50" s="4">
        <v>0.9</v>
      </c>
      <c r="V50" s="2">
        <v>0</v>
      </c>
      <c r="W50">
        <v>0</v>
      </c>
      <c r="X50" t="s">
        <v>70</v>
      </c>
      <c r="Y50" t="s">
        <v>97</v>
      </c>
      <c r="Z50">
        <v>6</v>
      </c>
      <c r="AA50" s="2">
        <v>425.46</v>
      </c>
      <c r="AB50" s="2">
        <v>0</v>
      </c>
      <c r="AC50" s="4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70.91</v>
      </c>
      <c r="AL50" s="2">
        <v>0</v>
      </c>
      <c r="AM50" s="2">
        <v>425.46</v>
      </c>
      <c r="AN50" s="2">
        <v>0</v>
      </c>
      <c r="AO50" s="2">
        <v>0</v>
      </c>
      <c r="AP50" s="2">
        <v>0</v>
      </c>
    </row>
    <row r="51" spans="1:42" x14ac:dyDescent="0.25">
      <c r="A51" s="1">
        <v>45915</v>
      </c>
      <c r="B51" t="s">
        <v>47</v>
      </c>
      <c r="C51">
        <v>649163</v>
      </c>
      <c r="D51">
        <v>2030982989</v>
      </c>
      <c r="E51" t="s">
        <v>672</v>
      </c>
      <c r="F51" t="s">
        <v>671</v>
      </c>
      <c r="G51" t="s">
        <v>50</v>
      </c>
      <c r="H51" t="s">
        <v>151</v>
      </c>
      <c r="I51" t="s">
        <v>106</v>
      </c>
      <c r="J51" t="s">
        <v>184</v>
      </c>
      <c r="K51">
        <v>823350</v>
      </c>
      <c r="L51" t="s">
        <v>79</v>
      </c>
      <c r="M51" t="s">
        <v>80</v>
      </c>
      <c r="N51" t="s">
        <v>56</v>
      </c>
      <c r="O51" s="1">
        <v>45915</v>
      </c>
      <c r="P51" s="1">
        <v>45945</v>
      </c>
      <c r="Q51" s="2">
        <v>62.71</v>
      </c>
      <c r="R51">
        <v>1</v>
      </c>
      <c r="S51" t="s">
        <v>57</v>
      </c>
      <c r="T51" t="s">
        <v>96</v>
      </c>
      <c r="U51" s="4">
        <v>0.75</v>
      </c>
      <c r="V51" s="2">
        <v>0</v>
      </c>
      <c r="W51">
        <v>0</v>
      </c>
      <c r="X51" t="s">
        <v>70</v>
      </c>
      <c r="Y51" t="s">
        <v>97</v>
      </c>
      <c r="Z51">
        <v>6</v>
      </c>
      <c r="AA51" s="2">
        <v>282.18</v>
      </c>
      <c r="AB51" s="2">
        <v>0</v>
      </c>
      <c r="AC51" s="4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47.03</v>
      </c>
      <c r="AL51" s="2">
        <v>0</v>
      </c>
      <c r="AM51" s="2">
        <v>282.18</v>
      </c>
      <c r="AN51" s="2">
        <v>0</v>
      </c>
      <c r="AO51" s="2">
        <v>0</v>
      </c>
      <c r="AP51" s="2">
        <v>0</v>
      </c>
    </row>
    <row r="52" spans="1:42" x14ac:dyDescent="0.25">
      <c r="A52" s="1">
        <v>45915</v>
      </c>
      <c r="B52" t="s">
        <v>47</v>
      </c>
      <c r="C52">
        <v>649163</v>
      </c>
      <c r="D52">
        <v>2030987633</v>
      </c>
      <c r="E52" t="s">
        <v>640</v>
      </c>
      <c r="F52" t="s">
        <v>171</v>
      </c>
      <c r="G52" t="s">
        <v>50</v>
      </c>
      <c r="H52" t="s">
        <v>134</v>
      </c>
      <c r="I52" t="s">
        <v>106</v>
      </c>
      <c r="J52" t="s">
        <v>107</v>
      </c>
      <c r="K52">
        <v>823068</v>
      </c>
      <c r="L52" t="s">
        <v>215</v>
      </c>
      <c r="M52" t="s">
        <v>216</v>
      </c>
      <c r="N52" t="s">
        <v>56</v>
      </c>
      <c r="O52" s="1">
        <v>45931</v>
      </c>
      <c r="P52" s="1">
        <v>45962</v>
      </c>
      <c r="Q52" s="2">
        <v>16.579999999999998</v>
      </c>
      <c r="R52">
        <v>1</v>
      </c>
      <c r="S52" t="s">
        <v>57</v>
      </c>
      <c r="T52" t="s">
        <v>96</v>
      </c>
      <c r="U52" s="4">
        <v>0.9</v>
      </c>
      <c r="V52" s="2">
        <v>0</v>
      </c>
      <c r="W52">
        <v>0</v>
      </c>
      <c r="X52" t="s">
        <v>70</v>
      </c>
      <c r="Y52" t="s">
        <v>97</v>
      </c>
      <c r="Z52">
        <v>6</v>
      </c>
      <c r="AA52" s="2">
        <v>89.52</v>
      </c>
      <c r="AB52" s="2">
        <v>0</v>
      </c>
      <c r="AC52" s="4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14.92</v>
      </c>
      <c r="AL52" s="2">
        <v>0</v>
      </c>
      <c r="AM52" s="2">
        <v>89.52</v>
      </c>
      <c r="AN52" s="2">
        <v>0</v>
      </c>
      <c r="AO52" s="2">
        <v>0</v>
      </c>
      <c r="AP52" s="2">
        <v>0</v>
      </c>
    </row>
    <row r="53" spans="1:42" x14ac:dyDescent="0.25">
      <c r="A53" s="1">
        <v>45915</v>
      </c>
      <c r="B53" t="s">
        <v>47</v>
      </c>
      <c r="C53">
        <v>649163</v>
      </c>
      <c r="D53">
        <v>2030994136</v>
      </c>
      <c r="E53" t="s">
        <v>668</v>
      </c>
      <c r="F53" t="s">
        <v>630</v>
      </c>
      <c r="G53" t="s">
        <v>50</v>
      </c>
      <c r="H53" t="s">
        <v>214</v>
      </c>
      <c r="I53" t="s">
        <v>106</v>
      </c>
      <c r="J53" t="s">
        <v>107</v>
      </c>
      <c r="K53">
        <v>823068</v>
      </c>
      <c r="L53" t="s">
        <v>215</v>
      </c>
      <c r="M53" t="s">
        <v>216</v>
      </c>
      <c r="N53" t="s">
        <v>56</v>
      </c>
      <c r="O53" s="1">
        <v>45931</v>
      </c>
      <c r="P53" s="1">
        <v>45962</v>
      </c>
      <c r="Q53" s="2">
        <v>106.25</v>
      </c>
      <c r="R53">
        <v>1</v>
      </c>
      <c r="S53" t="s">
        <v>57</v>
      </c>
      <c r="T53" t="s">
        <v>96</v>
      </c>
      <c r="U53" s="4">
        <v>0.9</v>
      </c>
      <c r="V53" s="2">
        <v>0</v>
      </c>
      <c r="W53">
        <v>0</v>
      </c>
      <c r="X53" t="s">
        <v>70</v>
      </c>
      <c r="Y53" t="s">
        <v>97</v>
      </c>
      <c r="Z53">
        <v>6</v>
      </c>
      <c r="AA53" s="2">
        <v>573.72</v>
      </c>
      <c r="AB53" s="2">
        <v>0</v>
      </c>
      <c r="AC53" s="4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95.62</v>
      </c>
      <c r="AL53" s="2">
        <v>0</v>
      </c>
      <c r="AM53" s="2">
        <v>573.72</v>
      </c>
      <c r="AN53" s="2">
        <v>0</v>
      </c>
      <c r="AO53" s="2">
        <v>0</v>
      </c>
      <c r="AP53" s="2">
        <v>0</v>
      </c>
    </row>
    <row r="54" spans="1:42" x14ac:dyDescent="0.25">
      <c r="A54" s="1">
        <v>45915</v>
      </c>
      <c r="B54" t="s">
        <v>47</v>
      </c>
      <c r="C54">
        <v>649163</v>
      </c>
      <c r="D54">
        <v>2031017069</v>
      </c>
      <c r="E54" t="s">
        <v>639</v>
      </c>
      <c r="F54" t="s">
        <v>49</v>
      </c>
      <c r="G54" t="s">
        <v>50</v>
      </c>
      <c r="H54" t="s">
        <v>180</v>
      </c>
      <c r="I54" t="s">
        <v>106</v>
      </c>
      <c r="J54" t="s">
        <v>107</v>
      </c>
      <c r="K54">
        <v>877790</v>
      </c>
      <c r="L54" t="s">
        <v>299</v>
      </c>
      <c r="M54" t="s">
        <v>300</v>
      </c>
      <c r="N54" t="s">
        <v>56</v>
      </c>
      <c r="O54" s="1">
        <v>45913</v>
      </c>
      <c r="P54" s="1">
        <v>45943</v>
      </c>
      <c r="Q54" s="2">
        <v>55</v>
      </c>
      <c r="R54">
        <v>1</v>
      </c>
      <c r="S54" t="s">
        <v>57</v>
      </c>
      <c r="T54" t="s">
        <v>96</v>
      </c>
      <c r="U54" s="4">
        <v>0.9</v>
      </c>
      <c r="V54" s="2">
        <v>0</v>
      </c>
      <c r="W54">
        <v>0</v>
      </c>
      <c r="X54" t="s">
        <v>70</v>
      </c>
      <c r="Y54" t="s">
        <v>97</v>
      </c>
      <c r="Z54">
        <v>6</v>
      </c>
      <c r="AA54" s="2">
        <v>297</v>
      </c>
      <c r="AB54" s="2">
        <v>0</v>
      </c>
      <c r="AC54" s="4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49.5</v>
      </c>
      <c r="AL54" s="2">
        <v>0</v>
      </c>
      <c r="AM54" s="2">
        <v>297</v>
      </c>
      <c r="AN54" s="2">
        <v>0</v>
      </c>
      <c r="AO54" s="2">
        <v>0</v>
      </c>
      <c r="AP54" s="2">
        <v>0</v>
      </c>
    </row>
    <row r="55" spans="1:42" x14ac:dyDescent="0.25">
      <c r="A55" s="1">
        <v>45915</v>
      </c>
      <c r="B55" t="s">
        <v>47</v>
      </c>
      <c r="C55">
        <v>649163</v>
      </c>
      <c r="D55">
        <v>2031023772</v>
      </c>
      <c r="E55" t="s">
        <v>1060</v>
      </c>
      <c r="F55" t="s">
        <v>1059</v>
      </c>
      <c r="G55" t="s">
        <v>50</v>
      </c>
      <c r="H55" t="s">
        <v>214</v>
      </c>
      <c r="I55" t="s">
        <v>106</v>
      </c>
      <c r="J55" t="s">
        <v>107</v>
      </c>
      <c r="K55">
        <v>652037</v>
      </c>
      <c r="L55" t="s">
        <v>309</v>
      </c>
      <c r="M55" t="s">
        <v>303</v>
      </c>
      <c r="N55" t="s">
        <v>56</v>
      </c>
      <c r="O55" s="1">
        <v>45913</v>
      </c>
      <c r="P55" s="1">
        <v>45943</v>
      </c>
      <c r="Q55" s="2">
        <v>46.96</v>
      </c>
      <c r="R55">
        <v>1</v>
      </c>
      <c r="S55" t="s">
        <v>57</v>
      </c>
      <c r="T55" t="s">
        <v>96</v>
      </c>
      <c r="U55" s="4">
        <v>0.9</v>
      </c>
      <c r="V55" s="2">
        <v>0</v>
      </c>
      <c r="W55">
        <v>0</v>
      </c>
      <c r="X55" t="s">
        <v>70</v>
      </c>
      <c r="Y55" t="s">
        <v>97</v>
      </c>
      <c r="Z55">
        <v>6</v>
      </c>
      <c r="AA55" s="2">
        <v>253.56</v>
      </c>
      <c r="AB55" s="2">
        <v>0</v>
      </c>
      <c r="AC55" s="4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42.26</v>
      </c>
      <c r="AL55" s="2">
        <v>0</v>
      </c>
      <c r="AM55" s="2">
        <v>253.56</v>
      </c>
      <c r="AN55" s="2">
        <v>0</v>
      </c>
      <c r="AO55" s="2">
        <v>0</v>
      </c>
      <c r="AP55" s="2">
        <v>0</v>
      </c>
    </row>
    <row r="56" spans="1:42" x14ac:dyDescent="0.25">
      <c r="A56" s="1">
        <v>45915</v>
      </c>
      <c r="B56" t="s">
        <v>47</v>
      </c>
      <c r="C56">
        <v>649163</v>
      </c>
      <c r="D56">
        <v>2030924643</v>
      </c>
      <c r="E56" t="s">
        <v>648</v>
      </c>
      <c r="F56" t="s">
        <v>647</v>
      </c>
      <c r="G56" t="s">
        <v>50</v>
      </c>
      <c r="H56" t="s">
        <v>63</v>
      </c>
      <c r="I56" t="s">
        <v>243</v>
      </c>
      <c r="J56" t="s">
        <v>252</v>
      </c>
      <c r="K56">
        <v>874230</v>
      </c>
      <c r="L56" t="s">
        <v>644</v>
      </c>
      <c r="M56" t="s">
        <v>643</v>
      </c>
      <c r="N56" t="s">
        <v>56</v>
      </c>
      <c r="O56" s="1">
        <v>45911</v>
      </c>
      <c r="P56" s="1">
        <v>45941</v>
      </c>
      <c r="Q56" s="2">
        <v>15</v>
      </c>
      <c r="R56">
        <v>1</v>
      </c>
      <c r="S56" t="s">
        <v>57</v>
      </c>
      <c r="T56" t="s">
        <v>305</v>
      </c>
      <c r="U56" s="4">
        <v>0.19</v>
      </c>
      <c r="V56" s="2">
        <v>0</v>
      </c>
      <c r="W56">
        <v>0</v>
      </c>
      <c r="X56" t="s">
        <v>70</v>
      </c>
      <c r="Y56" t="s">
        <v>97</v>
      </c>
      <c r="Z56">
        <v>6</v>
      </c>
      <c r="AA56" s="2">
        <v>17.100000000000001</v>
      </c>
      <c r="AB56" s="2">
        <v>0</v>
      </c>
      <c r="AC56" s="4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2.85</v>
      </c>
      <c r="AL56" s="2">
        <v>0</v>
      </c>
      <c r="AM56" s="2">
        <v>17.100000000000001</v>
      </c>
      <c r="AN56" s="2">
        <v>0</v>
      </c>
      <c r="AO56" s="2">
        <v>0</v>
      </c>
      <c r="AP56" s="2">
        <v>0</v>
      </c>
    </row>
    <row r="57" spans="1:42" x14ac:dyDescent="0.25">
      <c r="A57" s="1">
        <v>45915</v>
      </c>
      <c r="B57" t="s">
        <v>47</v>
      </c>
      <c r="C57">
        <v>649163</v>
      </c>
      <c r="D57">
        <v>2030932602</v>
      </c>
      <c r="E57" t="s">
        <v>646</v>
      </c>
      <c r="F57" t="s">
        <v>368</v>
      </c>
      <c r="G57" t="s">
        <v>50</v>
      </c>
      <c r="H57" t="s">
        <v>63</v>
      </c>
      <c r="I57" t="s">
        <v>243</v>
      </c>
      <c r="J57" t="s">
        <v>252</v>
      </c>
      <c r="K57">
        <v>874230</v>
      </c>
      <c r="L57" t="s">
        <v>644</v>
      </c>
      <c r="M57" t="s">
        <v>643</v>
      </c>
      <c r="N57" t="s">
        <v>56</v>
      </c>
      <c r="O57" s="1">
        <v>45911</v>
      </c>
      <c r="P57" s="1">
        <v>45941</v>
      </c>
      <c r="Q57" s="2">
        <v>15</v>
      </c>
      <c r="R57">
        <v>1</v>
      </c>
      <c r="S57" t="s">
        <v>57</v>
      </c>
      <c r="T57" t="s">
        <v>305</v>
      </c>
      <c r="U57" s="4">
        <v>0.19</v>
      </c>
      <c r="V57" s="2">
        <v>0</v>
      </c>
      <c r="W57">
        <v>0</v>
      </c>
      <c r="X57" t="s">
        <v>70</v>
      </c>
      <c r="Y57" t="s">
        <v>97</v>
      </c>
      <c r="Z57">
        <v>6</v>
      </c>
      <c r="AA57" s="2">
        <v>17.100000000000001</v>
      </c>
      <c r="AB57" s="2">
        <v>0</v>
      </c>
      <c r="AC57" s="4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2.85</v>
      </c>
      <c r="AL57" s="2">
        <v>0</v>
      </c>
      <c r="AM57" s="2">
        <v>17.100000000000001</v>
      </c>
      <c r="AN57" s="2">
        <v>0</v>
      </c>
      <c r="AO57" s="2">
        <v>0</v>
      </c>
      <c r="AP57" s="2">
        <v>0</v>
      </c>
    </row>
    <row r="58" spans="1:42" x14ac:dyDescent="0.25">
      <c r="A58" s="1">
        <v>45915</v>
      </c>
      <c r="B58" t="s">
        <v>47</v>
      </c>
      <c r="C58">
        <v>649163</v>
      </c>
      <c r="D58">
        <v>2030933674</v>
      </c>
      <c r="E58" t="s">
        <v>691</v>
      </c>
      <c r="F58" t="s">
        <v>690</v>
      </c>
      <c r="G58" t="s">
        <v>50</v>
      </c>
      <c r="H58" t="s">
        <v>214</v>
      </c>
      <c r="I58" t="s">
        <v>243</v>
      </c>
      <c r="J58" t="s">
        <v>1055</v>
      </c>
      <c r="K58">
        <v>823068</v>
      </c>
      <c r="L58" t="s">
        <v>215</v>
      </c>
      <c r="M58" t="s">
        <v>216</v>
      </c>
      <c r="N58" t="s">
        <v>56</v>
      </c>
      <c r="O58" s="1">
        <v>45909</v>
      </c>
      <c r="P58" s="1">
        <v>45939</v>
      </c>
      <c r="Q58" s="2">
        <v>19.5</v>
      </c>
      <c r="R58">
        <v>1</v>
      </c>
      <c r="S58" t="s">
        <v>57</v>
      </c>
      <c r="T58" t="s">
        <v>96</v>
      </c>
      <c r="U58" s="4">
        <v>0.39</v>
      </c>
      <c r="V58" s="2">
        <v>0</v>
      </c>
      <c r="W58">
        <v>0</v>
      </c>
      <c r="X58" t="s">
        <v>70</v>
      </c>
      <c r="Y58" t="s">
        <v>97</v>
      </c>
      <c r="Z58">
        <v>6</v>
      </c>
      <c r="AA58" s="2">
        <v>45.6</v>
      </c>
      <c r="AB58" s="2">
        <v>0</v>
      </c>
      <c r="AC58" s="4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7.6</v>
      </c>
      <c r="AL58" s="2">
        <v>0</v>
      </c>
      <c r="AM58" s="2">
        <v>45.6</v>
      </c>
      <c r="AN58" s="2">
        <v>0</v>
      </c>
      <c r="AO58" s="2">
        <v>0</v>
      </c>
      <c r="AP58" s="2">
        <v>0</v>
      </c>
    </row>
    <row r="59" spans="1:42" x14ac:dyDescent="0.25">
      <c r="A59" s="1">
        <v>45915</v>
      </c>
      <c r="B59" t="s">
        <v>47</v>
      </c>
      <c r="C59">
        <v>649163</v>
      </c>
      <c r="D59">
        <v>2030934310</v>
      </c>
      <c r="E59" t="s">
        <v>642</v>
      </c>
      <c r="F59" t="s">
        <v>641</v>
      </c>
      <c r="G59" t="s">
        <v>50</v>
      </c>
      <c r="H59" t="s">
        <v>266</v>
      </c>
      <c r="I59" t="s">
        <v>243</v>
      </c>
      <c r="J59" t="s">
        <v>244</v>
      </c>
      <c r="K59">
        <v>812994</v>
      </c>
      <c r="L59" t="s">
        <v>294</v>
      </c>
      <c r="M59" t="s">
        <v>295</v>
      </c>
      <c r="N59" t="s">
        <v>56</v>
      </c>
      <c r="O59" s="1">
        <v>45909</v>
      </c>
      <c r="P59" s="1">
        <v>45939</v>
      </c>
      <c r="Q59" s="2">
        <v>15</v>
      </c>
      <c r="R59">
        <v>1</v>
      </c>
      <c r="S59" t="s">
        <v>57</v>
      </c>
      <c r="T59" t="s">
        <v>305</v>
      </c>
      <c r="U59" s="4">
        <v>0.28999999999999998</v>
      </c>
      <c r="V59" s="2">
        <v>0</v>
      </c>
      <c r="W59">
        <v>0</v>
      </c>
      <c r="X59" t="s">
        <v>70</v>
      </c>
      <c r="Y59" t="s">
        <v>97</v>
      </c>
      <c r="Z59">
        <v>6</v>
      </c>
      <c r="AA59" s="2">
        <v>26.1</v>
      </c>
      <c r="AB59" s="2">
        <v>0</v>
      </c>
      <c r="AC59" s="4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4.3499999999999996</v>
      </c>
      <c r="AL59" s="2">
        <v>0</v>
      </c>
      <c r="AM59" s="2">
        <v>26.1</v>
      </c>
      <c r="AN59" s="2">
        <v>0</v>
      </c>
      <c r="AO59" s="2">
        <v>0</v>
      </c>
      <c r="AP59" s="2">
        <v>0</v>
      </c>
    </row>
    <row r="60" spans="1:42" x14ac:dyDescent="0.25">
      <c r="A60" s="1">
        <v>45915</v>
      </c>
      <c r="B60" t="s">
        <v>47</v>
      </c>
      <c r="C60">
        <v>649163</v>
      </c>
      <c r="D60">
        <v>2030945125</v>
      </c>
      <c r="E60" t="s">
        <v>547</v>
      </c>
      <c r="F60" t="s">
        <v>683</v>
      </c>
      <c r="G60" t="s">
        <v>50</v>
      </c>
      <c r="H60" t="s">
        <v>93</v>
      </c>
      <c r="I60" t="s">
        <v>243</v>
      </c>
      <c r="J60" t="s">
        <v>249</v>
      </c>
      <c r="K60">
        <v>820873</v>
      </c>
      <c r="L60" t="s">
        <v>262</v>
      </c>
      <c r="M60" t="s">
        <v>263</v>
      </c>
      <c r="N60" t="s">
        <v>56</v>
      </c>
      <c r="O60" s="1">
        <v>45909</v>
      </c>
      <c r="P60" s="1">
        <v>45939</v>
      </c>
      <c r="Q60" s="2">
        <v>15</v>
      </c>
      <c r="R60">
        <v>1</v>
      </c>
      <c r="S60" t="s">
        <v>57</v>
      </c>
      <c r="T60" t="s">
        <v>96</v>
      </c>
      <c r="U60" s="4">
        <v>0.38</v>
      </c>
      <c r="V60" s="2">
        <v>0</v>
      </c>
      <c r="W60">
        <v>0</v>
      </c>
      <c r="X60" t="s">
        <v>70</v>
      </c>
      <c r="Y60" t="s">
        <v>97</v>
      </c>
      <c r="Z60">
        <v>6</v>
      </c>
      <c r="AA60" s="2">
        <v>34.200000000000003</v>
      </c>
      <c r="AB60" s="2">
        <v>0</v>
      </c>
      <c r="AC60" s="4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5.7</v>
      </c>
      <c r="AL60" s="2">
        <v>0</v>
      </c>
      <c r="AM60" s="2">
        <v>34.200000000000003</v>
      </c>
      <c r="AN60" s="2">
        <v>0</v>
      </c>
      <c r="AO60" s="2">
        <v>0</v>
      </c>
      <c r="AP60" s="2">
        <v>0</v>
      </c>
    </row>
    <row r="61" spans="1:42" x14ac:dyDescent="0.25">
      <c r="A61" s="1">
        <v>45915</v>
      </c>
      <c r="B61" t="s">
        <v>47</v>
      </c>
      <c r="C61">
        <v>649163</v>
      </c>
      <c r="D61">
        <v>2030954482</v>
      </c>
      <c r="E61" t="s">
        <v>764</v>
      </c>
      <c r="F61" t="s">
        <v>335</v>
      </c>
      <c r="G61" t="s">
        <v>50</v>
      </c>
      <c r="H61" t="s">
        <v>93</v>
      </c>
      <c r="I61" t="s">
        <v>243</v>
      </c>
      <c r="J61" t="s">
        <v>304</v>
      </c>
      <c r="K61">
        <v>856824</v>
      </c>
      <c r="L61" t="s">
        <v>210</v>
      </c>
      <c r="M61" t="s">
        <v>211</v>
      </c>
      <c r="N61" t="s">
        <v>56</v>
      </c>
      <c r="O61" s="1">
        <v>45910</v>
      </c>
      <c r="P61" s="1">
        <v>45940</v>
      </c>
      <c r="Q61" s="2">
        <v>35.04</v>
      </c>
      <c r="R61">
        <v>1</v>
      </c>
      <c r="S61" t="s">
        <v>57</v>
      </c>
      <c r="T61" t="s">
        <v>96</v>
      </c>
      <c r="U61" s="4">
        <v>0.38</v>
      </c>
      <c r="V61" s="2">
        <v>0</v>
      </c>
      <c r="W61">
        <v>0</v>
      </c>
      <c r="X61" t="s">
        <v>70</v>
      </c>
      <c r="Y61" t="s">
        <v>97</v>
      </c>
      <c r="Z61">
        <v>6</v>
      </c>
      <c r="AA61" s="2">
        <v>79.92</v>
      </c>
      <c r="AB61" s="2">
        <v>0</v>
      </c>
      <c r="AC61" s="4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13.32</v>
      </c>
      <c r="AL61" s="2">
        <v>0</v>
      </c>
      <c r="AM61" s="2">
        <v>79.92</v>
      </c>
      <c r="AN61" s="2">
        <v>0</v>
      </c>
      <c r="AO61" s="2">
        <v>0</v>
      </c>
      <c r="AP61" s="2">
        <v>0</v>
      </c>
    </row>
    <row r="62" spans="1:42" x14ac:dyDescent="0.25">
      <c r="A62" s="1">
        <v>45915</v>
      </c>
      <c r="B62" t="s">
        <v>47</v>
      </c>
      <c r="C62">
        <v>649163</v>
      </c>
      <c r="D62">
        <v>2030954483</v>
      </c>
      <c r="E62" t="s">
        <v>764</v>
      </c>
      <c r="F62" t="s">
        <v>335</v>
      </c>
      <c r="G62" t="s">
        <v>50</v>
      </c>
      <c r="H62" t="s">
        <v>93</v>
      </c>
      <c r="I62" t="s">
        <v>243</v>
      </c>
      <c r="J62" t="s">
        <v>261</v>
      </c>
      <c r="K62">
        <v>856824</v>
      </c>
      <c r="L62" t="s">
        <v>210</v>
      </c>
      <c r="M62" t="s">
        <v>211</v>
      </c>
      <c r="N62" t="s">
        <v>56</v>
      </c>
      <c r="O62" s="1">
        <v>45910</v>
      </c>
      <c r="P62" s="1">
        <v>45940</v>
      </c>
      <c r="Q62" s="2">
        <v>15</v>
      </c>
      <c r="R62">
        <v>1</v>
      </c>
      <c r="S62" t="s">
        <v>57</v>
      </c>
      <c r="T62" t="s">
        <v>305</v>
      </c>
      <c r="U62" s="4">
        <v>0.38</v>
      </c>
      <c r="V62" s="2">
        <v>0</v>
      </c>
      <c r="W62">
        <v>0</v>
      </c>
      <c r="X62" t="s">
        <v>70</v>
      </c>
      <c r="Y62" t="s">
        <v>97</v>
      </c>
      <c r="Z62">
        <v>6</v>
      </c>
      <c r="AA62" s="2">
        <v>34.200000000000003</v>
      </c>
      <c r="AB62" s="2">
        <v>0</v>
      </c>
      <c r="AC62" s="4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5.7</v>
      </c>
      <c r="AL62" s="2">
        <v>0</v>
      </c>
      <c r="AM62" s="2">
        <v>34.200000000000003</v>
      </c>
      <c r="AN62" s="2">
        <v>0</v>
      </c>
      <c r="AO62" s="2">
        <v>0</v>
      </c>
      <c r="AP62" s="2">
        <v>0</v>
      </c>
    </row>
    <row r="63" spans="1:42" x14ac:dyDescent="0.25">
      <c r="A63" s="1">
        <v>45915</v>
      </c>
      <c r="B63" t="s">
        <v>47</v>
      </c>
      <c r="C63">
        <v>649163</v>
      </c>
      <c r="D63">
        <v>2030981722</v>
      </c>
      <c r="E63" t="s">
        <v>761</v>
      </c>
      <c r="F63" t="s">
        <v>760</v>
      </c>
      <c r="G63" t="s">
        <v>50</v>
      </c>
      <c r="H63" t="s">
        <v>93</v>
      </c>
      <c r="I63" t="s">
        <v>243</v>
      </c>
      <c r="J63" t="s">
        <v>261</v>
      </c>
      <c r="K63">
        <v>824062</v>
      </c>
      <c r="L63" t="s">
        <v>200</v>
      </c>
      <c r="M63" t="s">
        <v>201</v>
      </c>
      <c r="N63" t="s">
        <v>56</v>
      </c>
      <c r="O63" s="1">
        <v>45920</v>
      </c>
      <c r="P63" s="1">
        <v>45950</v>
      </c>
      <c r="Q63" s="2">
        <v>15</v>
      </c>
      <c r="R63">
        <v>1</v>
      </c>
      <c r="S63" t="s">
        <v>57</v>
      </c>
      <c r="T63" t="s">
        <v>305</v>
      </c>
      <c r="U63" s="4">
        <v>0.38</v>
      </c>
      <c r="V63" s="2">
        <v>0</v>
      </c>
      <c r="W63">
        <v>0</v>
      </c>
      <c r="X63" t="s">
        <v>70</v>
      </c>
      <c r="Y63" t="s">
        <v>97</v>
      </c>
      <c r="Z63">
        <v>6</v>
      </c>
      <c r="AA63" s="2">
        <v>34.200000000000003</v>
      </c>
      <c r="AB63" s="2">
        <v>0</v>
      </c>
      <c r="AC63" s="4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5.7</v>
      </c>
      <c r="AL63" s="2">
        <v>0</v>
      </c>
      <c r="AM63" s="2">
        <v>34.200000000000003</v>
      </c>
      <c r="AN63" s="2">
        <v>0</v>
      </c>
      <c r="AO63" s="2">
        <v>0</v>
      </c>
      <c r="AP63" s="2">
        <v>0</v>
      </c>
    </row>
    <row r="64" spans="1:42" x14ac:dyDescent="0.25">
      <c r="A64" s="1">
        <v>45915</v>
      </c>
      <c r="B64" t="s">
        <v>47</v>
      </c>
      <c r="C64">
        <v>649163</v>
      </c>
      <c r="D64">
        <v>2030985509</v>
      </c>
      <c r="E64" t="s">
        <v>276</v>
      </c>
      <c r="F64" t="s">
        <v>421</v>
      </c>
      <c r="G64" t="s">
        <v>50</v>
      </c>
      <c r="H64" t="s">
        <v>93</v>
      </c>
      <c r="I64" t="s">
        <v>243</v>
      </c>
      <c r="J64" t="s">
        <v>261</v>
      </c>
      <c r="K64">
        <v>814033</v>
      </c>
      <c r="L64" t="s">
        <v>595</v>
      </c>
      <c r="M64" t="s">
        <v>596</v>
      </c>
      <c r="N64" t="s">
        <v>56</v>
      </c>
      <c r="O64" s="1">
        <v>45912</v>
      </c>
      <c r="P64" s="1">
        <v>45942</v>
      </c>
      <c r="Q64" s="2">
        <v>15</v>
      </c>
      <c r="R64">
        <v>1</v>
      </c>
      <c r="S64" t="s">
        <v>57</v>
      </c>
      <c r="T64" t="s">
        <v>305</v>
      </c>
      <c r="U64" s="4">
        <v>0.38</v>
      </c>
      <c r="V64" s="2">
        <v>0</v>
      </c>
      <c r="W64">
        <v>0</v>
      </c>
      <c r="X64" t="s">
        <v>70</v>
      </c>
      <c r="Y64" t="s">
        <v>97</v>
      </c>
      <c r="Z64">
        <v>6</v>
      </c>
      <c r="AA64" s="2">
        <v>34.200000000000003</v>
      </c>
      <c r="AB64" s="2">
        <v>0</v>
      </c>
      <c r="AC64" s="4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5.7</v>
      </c>
      <c r="AL64" s="2">
        <v>0</v>
      </c>
      <c r="AM64" s="2">
        <v>34.200000000000003</v>
      </c>
      <c r="AN64" s="2">
        <v>0</v>
      </c>
      <c r="AO64" s="2">
        <v>0</v>
      </c>
      <c r="AP64" s="2">
        <v>0</v>
      </c>
    </row>
    <row r="65" spans="1:42" x14ac:dyDescent="0.25">
      <c r="A65" s="1">
        <v>45915</v>
      </c>
      <c r="B65" t="s">
        <v>47</v>
      </c>
      <c r="C65">
        <v>649163</v>
      </c>
      <c r="D65">
        <v>2031001702</v>
      </c>
      <c r="E65" t="s">
        <v>667</v>
      </c>
      <c r="F65" t="s">
        <v>666</v>
      </c>
      <c r="G65" t="s">
        <v>50</v>
      </c>
      <c r="H65" t="s">
        <v>77</v>
      </c>
      <c r="I65" t="s">
        <v>243</v>
      </c>
      <c r="J65" t="s">
        <v>249</v>
      </c>
      <c r="K65">
        <v>751867</v>
      </c>
      <c r="L65" t="s">
        <v>84</v>
      </c>
      <c r="M65" t="s">
        <v>85</v>
      </c>
      <c r="N65" t="s">
        <v>56</v>
      </c>
      <c r="O65" s="1">
        <v>45931</v>
      </c>
      <c r="P65" s="1">
        <v>45962</v>
      </c>
      <c r="Q65" s="2">
        <v>15</v>
      </c>
      <c r="R65">
        <v>1</v>
      </c>
      <c r="S65" t="s">
        <v>57</v>
      </c>
      <c r="T65" t="s">
        <v>96</v>
      </c>
      <c r="U65" s="4">
        <v>0.38</v>
      </c>
      <c r="V65" s="2">
        <v>0</v>
      </c>
      <c r="W65">
        <v>0</v>
      </c>
      <c r="X65" t="s">
        <v>70</v>
      </c>
      <c r="Y65" t="s">
        <v>97</v>
      </c>
      <c r="Z65">
        <v>6</v>
      </c>
      <c r="AA65" s="2">
        <v>34.200000000000003</v>
      </c>
      <c r="AB65" s="2">
        <v>0</v>
      </c>
      <c r="AC65" s="4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5.7</v>
      </c>
      <c r="AL65" s="2">
        <v>0</v>
      </c>
      <c r="AM65" s="2">
        <v>34.200000000000003</v>
      </c>
      <c r="AN65" s="2">
        <v>0</v>
      </c>
      <c r="AO65" s="2">
        <v>0</v>
      </c>
      <c r="AP65" s="2">
        <v>0</v>
      </c>
    </row>
    <row r="66" spans="1:42" x14ac:dyDescent="0.25">
      <c r="A66" s="1">
        <v>45915</v>
      </c>
      <c r="B66" t="s">
        <v>47</v>
      </c>
      <c r="C66">
        <v>649163</v>
      </c>
      <c r="D66">
        <v>2031017071</v>
      </c>
      <c r="E66" t="s">
        <v>639</v>
      </c>
      <c r="F66" t="s">
        <v>49</v>
      </c>
      <c r="G66" t="s">
        <v>50</v>
      </c>
      <c r="H66" t="s">
        <v>180</v>
      </c>
      <c r="I66" t="s">
        <v>243</v>
      </c>
      <c r="J66" t="s">
        <v>298</v>
      </c>
      <c r="K66">
        <v>877790</v>
      </c>
      <c r="L66" t="s">
        <v>299</v>
      </c>
      <c r="M66" t="s">
        <v>300</v>
      </c>
      <c r="N66" t="s">
        <v>56</v>
      </c>
      <c r="O66" s="1">
        <v>45913</v>
      </c>
      <c r="P66" s="1">
        <v>45943</v>
      </c>
      <c r="Q66" s="2">
        <v>15</v>
      </c>
      <c r="R66">
        <v>1</v>
      </c>
      <c r="S66" t="s">
        <v>57</v>
      </c>
      <c r="T66" t="s">
        <v>301</v>
      </c>
      <c r="U66" s="4">
        <v>0.19</v>
      </c>
      <c r="V66" s="2">
        <v>0</v>
      </c>
      <c r="W66">
        <v>0</v>
      </c>
      <c r="X66" t="s">
        <v>70</v>
      </c>
      <c r="Y66" t="s">
        <v>97</v>
      </c>
      <c r="Z66">
        <v>6</v>
      </c>
      <c r="AA66" s="2">
        <v>17.100000000000001</v>
      </c>
      <c r="AB66" s="2">
        <v>0</v>
      </c>
      <c r="AC66" s="4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2.85</v>
      </c>
      <c r="AL66" s="2">
        <v>0</v>
      </c>
      <c r="AM66" s="2">
        <v>17.100000000000001</v>
      </c>
      <c r="AN66" s="2">
        <v>0</v>
      </c>
      <c r="AO66" s="2">
        <v>0</v>
      </c>
      <c r="AP66" s="2">
        <v>0</v>
      </c>
    </row>
    <row r="67" spans="1:42" x14ac:dyDescent="0.25">
      <c r="A67" s="1">
        <v>45915</v>
      </c>
      <c r="B67" t="s">
        <v>47</v>
      </c>
      <c r="C67">
        <v>649163</v>
      </c>
      <c r="D67">
        <v>2030846037</v>
      </c>
      <c r="E67" t="s">
        <v>414</v>
      </c>
      <c r="F67" t="s">
        <v>415</v>
      </c>
      <c r="G67" t="s">
        <v>50</v>
      </c>
      <c r="H67" t="s">
        <v>115</v>
      </c>
      <c r="I67" t="s">
        <v>306</v>
      </c>
      <c r="J67" t="s">
        <v>307</v>
      </c>
      <c r="K67">
        <v>822865</v>
      </c>
      <c r="L67" t="s">
        <v>158</v>
      </c>
      <c r="M67" t="s">
        <v>159</v>
      </c>
      <c r="N67" t="s">
        <v>56</v>
      </c>
      <c r="O67" s="1">
        <v>45913</v>
      </c>
      <c r="P67" s="1">
        <v>45943</v>
      </c>
      <c r="Q67" s="2">
        <v>28.38</v>
      </c>
      <c r="R67">
        <v>1</v>
      </c>
      <c r="S67" t="s">
        <v>57</v>
      </c>
      <c r="T67" t="s">
        <v>96</v>
      </c>
      <c r="U67" s="3">
        <v>0.375</v>
      </c>
      <c r="V67" s="2">
        <v>0</v>
      </c>
      <c r="W67">
        <v>0</v>
      </c>
      <c r="X67" t="s">
        <v>70</v>
      </c>
      <c r="Y67" t="s">
        <v>97</v>
      </c>
      <c r="Z67">
        <v>6</v>
      </c>
      <c r="AA67" s="2">
        <v>63.84</v>
      </c>
      <c r="AB67" s="2">
        <v>0</v>
      </c>
      <c r="AC67" s="4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10.64</v>
      </c>
      <c r="AL67" s="2">
        <v>0</v>
      </c>
      <c r="AM67" s="2">
        <v>63.84</v>
      </c>
      <c r="AN67" s="2">
        <v>0</v>
      </c>
      <c r="AO67" s="2">
        <v>0</v>
      </c>
      <c r="AP67" s="2">
        <v>0</v>
      </c>
    </row>
    <row r="68" spans="1:42" x14ac:dyDescent="0.25">
      <c r="A68" s="1">
        <v>45915</v>
      </c>
      <c r="B68" t="s">
        <v>47</v>
      </c>
      <c r="C68">
        <v>649163</v>
      </c>
      <c r="D68">
        <v>2030935971</v>
      </c>
      <c r="E68" t="s">
        <v>689</v>
      </c>
      <c r="F68" t="s">
        <v>688</v>
      </c>
      <c r="G68" t="s">
        <v>50</v>
      </c>
      <c r="H68" t="s">
        <v>93</v>
      </c>
      <c r="I68" t="s">
        <v>306</v>
      </c>
      <c r="J68" t="s">
        <v>307</v>
      </c>
      <c r="K68">
        <v>824062</v>
      </c>
      <c r="L68" t="s">
        <v>200</v>
      </c>
      <c r="M68" t="s">
        <v>201</v>
      </c>
      <c r="N68" t="s">
        <v>56</v>
      </c>
      <c r="O68" s="1">
        <v>45931</v>
      </c>
      <c r="P68" s="1">
        <v>45962</v>
      </c>
      <c r="Q68" s="2">
        <v>149.87</v>
      </c>
      <c r="R68">
        <v>1</v>
      </c>
      <c r="S68" t="s">
        <v>57</v>
      </c>
      <c r="T68" t="s">
        <v>96</v>
      </c>
      <c r="U68" s="3">
        <v>0.375</v>
      </c>
      <c r="V68" s="2">
        <v>0</v>
      </c>
      <c r="W68">
        <v>0</v>
      </c>
      <c r="X68" t="s">
        <v>70</v>
      </c>
      <c r="Y68" t="s">
        <v>97</v>
      </c>
      <c r="Z68">
        <v>6</v>
      </c>
      <c r="AA68" s="2">
        <v>337.2</v>
      </c>
      <c r="AB68" s="2">
        <v>0</v>
      </c>
      <c r="AC68" s="4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56.2</v>
      </c>
      <c r="AL68" s="2">
        <v>0</v>
      </c>
      <c r="AM68" s="2">
        <v>337.2</v>
      </c>
      <c r="AN68" s="2">
        <v>0</v>
      </c>
      <c r="AO68" s="2">
        <v>0</v>
      </c>
      <c r="AP68" s="2">
        <v>0</v>
      </c>
    </row>
    <row r="69" spans="1:42" x14ac:dyDescent="0.25">
      <c r="A69" s="1">
        <v>45915</v>
      </c>
      <c r="B69" t="s">
        <v>47</v>
      </c>
      <c r="C69">
        <v>649163</v>
      </c>
      <c r="D69">
        <v>2030956181</v>
      </c>
      <c r="E69" t="s">
        <v>678</v>
      </c>
      <c r="F69" t="s">
        <v>179</v>
      </c>
      <c r="G69" t="s">
        <v>50</v>
      </c>
      <c r="H69" t="s">
        <v>115</v>
      </c>
      <c r="I69" t="s">
        <v>306</v>
      </c>
      <c r="J69" t="s">
        <v>307</v>
      </c>
      <c r="K69">
        <v>650218</v>
      </c>
      <c r="L69" t="s">
        <v>73</v>
      </c>
      <c r="M69" t="s">
        <v>74</v>
      </c>
      <c r="N69" t="s">
        <v>56</v>
      </c>
      <c r="O69" s="1">
        <v>45910</v>
      </c>
      <c r="P69" s="1">
        <v>45940</v>
      </c>
      <c r="Q69" s="2">
        <v>50.3</v>
      </c>
      <c r="R69">
        <v>1</v>
      </c>
      <c r="S69" t="s">
        <v>57</v>
      </c>
      <c r="T69" t="s">
        <v>96</v>
      </c>
      <c r="U69" s="3">
        <v>0.375</v>
      </c>
      <c r="V69" s="2">
        <v>0</v>
      </c>
      <c r="W69">
        <v>0</v>
      </c>
      <c r="X69" t="s">
        <v>70</v>
      </c>
      <c r="Y69" t="s">
        <v>97</v>
      </c>
      <c r="Z69">
        <v>6</v>
      </c>
      <c r="AA69" s="2">
        <v>113.16</v>
      </c>
      <c r="AB69" s="2">
        <v>0</v>
      </c>
      <c r="AC69" s="4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18.86</v>
      </c>
      <c r="AL69" s="2">
        <v>0</v>
      </c>
      <c r="AM69" s="2">
        <v>113.16</v>
      </c>
      <c r="AN69" s="2">
        <v>0</v>
      </c>
      <c r="AO69" s="2">
        <v>0</v>
      </c>
      <c r="AP69" s="2">
        <v>0</v>
      </c>
    </row>
    <row r="70" spans="1:42" x14ac:dyDescent="0.25">
      <c r="A70" s="1">
        <v>45915</v>
      </c>
      <c r="B70" t="s">
        <v>47</v>
      </c>
      <c r="C70">
        <v>649163</v>
      </c>
      <c r="D70">
        <v>2030959734</v>
      </c>
      <c r="E70" t="s">
        <v>677</v>
      </c>
      <c r="F70" t="s">
        <v>480</v>
      </c>
      <c r="G70" t="s">
        <v>50</v>
      </c>
      <c r="H70" t="s">
        <v>151</v>
      </c>
      <c r="I70" t="s">
        <v>306</v>
      </c>
      <c r="J70" t="s">
        <v>307</v>
      </c>
      <c r="K70">
        <v>673059</v>
      </c>
      <c r="L70" t="s">
        <v>152</v>
      </c>
      <c r="M70" t="s">
        <v>153</v>
      </c>
      <c r="N70" t="s">
        <v>56</v>
      </c>
      <c r="O70" s="1">
        <v>45931</v>
      </c>
      <c r="P70" s="1">
        <v>45962</v>
      </c>
      <c r="Q70" s="2">
        <v>54.95</v>
      </c>
      <c r="R70">
        <v>1</v>
      </c>
      <c r="S70" t="s">
        <v>57</v>
      </c>
      <c r="T70" t="s">
        <v>96</v>
      </c>
      <c r="U70" s="3">
        <v>0.375</v>
      </c>
      <c r="V70" s="2">
        <v>0</v>
      </c>
      <c r="W70">
        <v>0</v>
      </c>
      <c r="X70" t="s">
        <v>70</v>
      </c>
      <c r="Y70" t="s">
        <v>97</v>
      </c>
      <c r="Z70">
        <v>6</v>
      </c>
      <c r="AA70" s="2">
        <v>123.66</v>
      </c>
      <c r="AB70" s="2">
        <v>0</v>
      </c>
      <c r="AC70" s="4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20.61</v>
      </c>
      <c r="AL70" s="2">
        <v>0</v>
      </c>
      <c r="AM70" s="2">
        <v>123.66</v>
      </c>
      <c r="AN70" s="2">
        <v>0</v>
      </c>
      <c r="AO70" s="2">
        <v>0</v>
      </c>
      <c r="AP70" s="2">
        <v>0</v>
      </c>
    </row>
    <row r="71" spans="1:42" x14ac:dyDescent="0.25">
      <c r="A71" s="1">
        <v>45915</v>
      </c>
      <c r="B71" t="s">
        <v>47</v>
      </c>
      <c r="C71">
        <v>649163</v>
      </c>
      <c r="D71">
        <v>2030966817</v>
      </c>
      <c r="E71" t="s">
        <v>673</v>
      </c>
      <c r="F71" t="s">
        <v>281</v>
      </c>
      <c r="G71" t="s">
        <v>50</v>
      </c>
      <c r="H71" t="s">
        <v>193</v>
      </c>
      <c r="I71" t="s">
        <v>306</v>
      </c>
      <c r="J71" t="s">
        <v>307</v>
      </c>
      <c r="K71">
        <v>823350</v>
      </c>
      <c r="L71" t="s">
        <v>79</v>
      </c>
      <c r="M71" t="s">
        <v>80</v>
      </c>
      <c r="N71" t="s">
        <v>56</v>
      </c>
      <c r="O71" s="1">
        <v>45910</v>
      </c>
      <c r="P71" s="1">
        <v>45940</v>
      </c>
      <c r="Q71" s="2">
        <v>61.74</v>
      </c>
      <c r="R71">
        <v>1</v>
      </c>
      <c r="S71" t="s">
        <v>57</v>
      </c>
      <c r="T71" t="s">
        <v>96</v>
      </c>
      <c r="U71" s="3">
        <v>0.375</v>
      </c>
      <c r="V71" s="2">
        <v>0</v>
      </c>
      <c r="W71">
        <v>0</v>
      </c>
      <c r="X71" t="s">
        <v>70</v>
      </c>
      <c r="Y71" t="s">
        <v>97</v>
      </c>
      <c r="Z71">
        <v>6</v>
      </c>
      <c r="AA71" s="2">
        <v>138.9</v>
      </c>
      <c r="AB71" s="2">
        <v>0</v>
      </c>
      <c r="AC71" s="4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23.15</v>
      </c>
      <c r="AL71" s="2">
        <v>0</v>
      </c>
      <c r="AM71" s="2">
        <v>138.9</v>
      </c>
      <c r="AN71" s="2">
        <v>0</v>
      </c>
      <c r="AO71" s="2">
        <v>0</v>
      </c>
      <c r="AP71" s="2">
        <v>0</v>
      </c>
    </row>
    <row r="72" spans="1:42" x14ac:dyDescent="0.25">
      <c r="A72" s="1">
        <v>45915</v>
      </c>
      <c r="B72" t="s">
        <v>47</v>
      </c>
      <c r="C72">
        <v>649163</v>
      </c>
      <c r="D72">
        <v>2030982990</v>
      </c>
      <c r="E72" t="s">
        <v>672</v>
      </c>
      <c r="F72" t="s">
        <v>671</v>
      </c>
      <c r="G72" t="s">
        <v>50</v>
      </c>
      <c r="H72" t="s">
        <v>151</v>
      </c>
      <c r="I72" t="s">
        <v>306</v>
      </c>
      <c r="J72" t="s">
        <v>307</v>
      </c>
      <c r="K72">
        <v>823350</v>
      </c>
      <c r="L72" t="s">
        <v>79</v>
      </c>
      <c r="M72" t="s">
        <v>80</v>
      </c>
      <c r="N72" t="s">
        <v>56</v>
      </c>
      <c r="O72" s="1">
        <v>45915</v>
      </c>
      <c r="P72" s="1">
        <v>45945</v>
      </c>
      <c r="Q72" s="2">
        <v>243.49</v>
      </c>
      <c r="R72">
        <v>1</v>
      </c>
      <c r="S72" t="s">
        <v>57</v>
      </c>
      <c r="T72" t="s">
        <v>96</v>
      </c>
      <c r="U72" s="3">
        <v>0.375</v>
      </c>
      <c r="V72" s="2">
        <v>0</v>
      </c>
      <c r="W72">
        <v>0</v>
      </c>
      <c r="X72" t="s">
        <v>70</v>
      </c>
      <c r="Y72" t="s">
        <v>97</v>
      </c>
      <c r="Z72">
        <v>6</v>
      </c>
      <c r="AA72" s="2">
        <v>547.86</v>
      </c>
      <c r="AB72" s="2">
        <v>0</v>
      </c>
      <c r="AC72" s="4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91.31</v>
      </c>
      <c r="AL72" s="2">
        <v>0</v>
      </c>
      <c r="AM72" s="2">
        <v>547.86</v>
      </c>
      <c r="AN72" s="2">
        <v>0</v>
      </c>
      <c r="AO72" s="2">
        <v>0</v>
      </c>
      <c r="AP72" s="2">
        <v>0</v>
      </c>
    </row>
    <row r="73" spans="1:42" x14ac:dyDescent="0.25">
      <c r="A73" s="1">
        <v>45915</v>
      </c>
      <c r="B73" t="s">
        <v>47</v>
      </c>
      <c r="C73">
        <v>649163</v>
      </c>
      <c r="D73">
        <v>2030986242</v>
      </c>
      <c r="E73" t="s">
        <v>670</v>
      </c>
      <c r="F73" t="s">
        <v>669</v>
      </c>
      <c r="G73" t="s">
        <v>50</v>
      </c>
      <c r="H73" t="s">
        <v>115</v>
      </c>
      <c r="I73" t="s">
        <v>306</v>
      </c>
      <c r="J73" t="s">
        <v>307</v>
      </c>
      <c r="K73">
        <v>673059</v>
      </c>
      <c r="L73" t="s">
        <v>152</v>
      </c>
      <c r="M73" t="s">
        <v>153</v>
      </c>
      <c r="N73" t="s">
        <v>56</v>
      </c>
      <c r="O73" s="1">
        <v>45913</v>
      </c>
      <c r="P73" s="1">
        <v>45943</v>
      </c>
      <c r="Q73" s="2">
        <v>69.3</v>
      </c>
      <c r="R73">
        <v>1</v>
      </c>
      <c r="S73" t="s">
        <v>57</v>
      </c>
      <c r="T73" t="s">
        <v>96</v>
      </c>
      <c r="U73" s="3">
        <v>0.375</v>
      </c>
      <c r="V73" s="2">
        <v>0</v>
      </c>
      <c r="W73">
        <v>0</v>
      </c>
      <c r="X73" t="s">
        <v>70</v>
      </c>
      <c r="Y73" t="s">
        <v>97</v>
      </c>
      <c r="Z73">
        <v>6</v>
      </c>
      <c r="AA73" s="2">
        <v>155.94</v>
      </c>
      <c r="AB73" s="2">
        <v>0</v>
      </c>
      <c r="AC73" s="4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25.99</v>
      </c>
      <c r="AL73" s="2">
        <v>0</v>
      </c>
      <c r="AM73" s="2">
        <v>155.94</v>
      </c>
      <c r="AN73" s="2">
        <v>0</v>
      </c>
      <c r="AO73" s="2">
        <v>0</v>
      </c>
      <c r="AP73" s="2">
        <v>0</v>
      </c>
    </row>
    <row r="74" spans="1:42" x14ac:dyDescent="0.25">
      <c r="A74" s="1">
        <v>45915</v>
      </c>
      <c r="B74" t="s">
        <v>47</v>
      </c>
      <c r="C74">
        <v>649163</v>
      </c>
      <c r="D74">
        <v>2030999705</v>
      </c>
      <c r="E74" t="s">
        <v>820</v>
      </c>
      <c r="F74" t="s">
        <v>819</v>
      </c>
      <c r="G74" t="s">
        <v>50</v>
      </c>
      <c r="H74" t="s">
        <v>83</v>
      </c>
      <c r="I74" t="s">
        <v>306</v>
      </c>
      <c r="J74" t="s">
        <v>307</v>
      </c>
      <c r="K74">
        <v>651818</v>
      </c>
      <c r="L74" t="s">
        <v>108</v>
      </c>
      <c r="M74" t="s">
        <v>109</v>
      </c>
      <c r="N74" t="s">
        <v>56</v>
      </c>
      <c r="O74" s="1">
        <v>45913</v>
      </c>
      <c r="P74" s="1">
        <v>45943</v>
      </c>
      <c r="Q74" s="2">
        <v>46.27</v>
      </c>
      <c r="R74">
        <v>1</v>
      </c>
      <c r="S74" t="s">
        <v>57</v>
      </c>
      <c r="T74" t="s">
        <v>96</v>
      </c>
      <c r="U74" s="3">
        <v>0.375</v>
      </c>
      <c r="V74" s="2">
        <v>0</v>
      </c>
      <c r="W74">
        <v>0</v>
      </c>
      <c r="X74" t="s">
        <v>70</v>
      </c>
      <c r="Y74" t="s">
        <v>97</v>
      </c>
      <c r="Z74">
        <v>6</v>
      </c>
      <c r="AA74" s="2">
        <v>104.1</v>
      </c>
      <c r="AB74" s="2">
        <v>0</v>
      </c>
      <c r="AC74" s="4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17.350000000000001</v>
      </c>
      <c r="AL74" s="2">
        <v>0</v>
      </c>
      <c r="AM74" s="2">
        <v>104.1</v>
      </c>
      <c r="AN74" s="2">
        <v>0</v>
      </c>
      <c r="AO74" s="2">
        <v>0</v>
      </c>
      <c r="AP74" s="2">
        <v>0</v>
      </c>
    </row>
    <row r="75" spans="1:42" x14ac:dyDescent="0.25">
      <c r="A75" s="1">
        <v>45915</v>
      </c>
      <c r="B75" t="s">
        <v>47</v>
      </c>
      <c r="C75">
        <v>649163</v>
      </c>
      <c r="D75">
        <v>2031001699</v>
      </c>
      <c r="E75" t="s">
        <v>667</v>
      </c>
      <c r="F75" t="s">
        <v>666</v>
      </c>
      <c r="G75" t="s">
        <v>50</v>
      </c>
      <c r="H75" t="s">
        <v>77</v>
      </c>
      <c r="I75" t="s">
        <v>306</v>
      </c>
      <c r="J75" t="s">
        <v>307</v>
      </c>
      <c r="K75">
        <v>751867</v>
      </c>
      <c r="L75" t="s">
        <v>84</v>
      </c>
      <c r="M75" t="s">
        <v>85</v>
      </c>
      <c r="N75" t="s">
        <v>56</v>
      </c>
      <c r="O75" s="1">
        <v>45931</v>
      </c>
      <c r="P75" s="1">
        <v>45962</v>
      </c>
      <c r="Q75" s="2">
        <v>25.07</v>
      </c>
      <c r="R75">
        <v>1</v>
      </c>
      <c r="S75" t="s">
        <v>57</v>
      </c>
      <c r="T75" t="s">
        <v>96</v>
      </c>
      <c r="U75" s="3">
        <v>0.375</v>
      </c>
      <c r="V75" s="2">
        <v>0</v>
      </c>
      <c r="W75">
        <v>0</v>
      </c>
      <c r="X75" t="s">
        <v>70</v>
      </c>
      <c r="Y75" t="s">
        <v>97</v>
      </c>
      <c r="Z75">
        <v>6</v>
      </c>
      <c r="AA75" s="2">
        <v>56.4</v>
      </c>
      <c r="AB75" s="2">
        <v>0</v>
      </c>
      <c r="AC75" s="4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9.4</v>
      </c>
      <c r="AL75" s="2">
        <v>0</v>
      </c>
      <c r="AM75" s="2">
        <v>56.4</v>
      </c>
      <c r="AN75" s="2">
        <v>0</v>
      </c>
      <c r="AO75" s="2">
        <v>0</v>
      </c>
      <c r="AP75" s="2">
        <v>0</v>
      </c>
    </row>
    <row r="76" spans="1:42" x14ac:dyDescent="0.25">
      <c r="A76" s="1">
        <v>45915</v>
      </c>
      <c r="B76" t="s">
        <v>47</v>
      </c>
      <c r="C76">
        <v>649163</v>
      </c>
      <c r="D76">
        <v>2031017067</v>
      </c>
      <c r="E76" t="s">
        <v>639</v>
      </c>
      <c r="F76" t="s">
        <v>49</v>
      </c>
      <c r="G76" t="s">
        <v>50</v>
      </c>
      <c r="H76" t="s">
        <v>180</v>
      </c>
      <c r="I76" t="s">
        <v>306</v>
      </c>
      <c r="J76" t="s">
        <v>307</v>
      </c>
      <c r="K76">
        <v>877790</v>
      </c>
      <c r="L76" t="s">
        <v>299</v>
      </c>
      <c r="M76" t="s">
        <v>300</v>
      </c>
      <c r="N76" t="s">
        <v>56</v>
      </c>
      <c r="O76" s="1">
        <v>45913</v>
      </c>
      <c r="P76" s="1">
        <v>45943</v>
      </c>
      <c r="Q76" s="2">
        <v>58.15</v>
      </c>
      <c r="R76">
        <v>1</v>
      </c>
      <c r="S76" t="s">
        <v>57</v>
      </c>
      <c r="T76" t="s">
        <v>96</v>
      </c>
      <c r="U76" s="3">
        <v>0.375</v>
      </c>
      <c r="V76" s="2">
        <v>0</v>
      </c>
      <c r="W76">
        <v>0</v>
      </c>
      <c r="X76" t="s">
        <v>70</v>
      </c>
      <c r="Y76" t="s">
        <v>97</v>
      </c>
      <c r="Z76">
        <v>6</v>
      </c>
      <c r="AA76" s="2">
        <v>130.86000000000001</v>
      </c>
      <c r="AB76" s="2">
        <v>0</v>
      </c>
      <c r="AC76" s="4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21.81</v>
      </c>
      <c r="AL76" s="2">
        <v>0</v>
      </c>
      <c r="AM76" s="2">
        <v>130.86000000000001</v>
      </c>
      <c r="AN76" s="2">
        <v>0</v>
      </c>
      <c r="AO76" s="2">
        <v>0</v>
      </c>
      <c r="AP76" s="2">
        <v>0</v>
      </c>
    </row>
    <row r="77" spans="1:42" x14ac:dyDescent="0.25">
      <c r="A77" s="1">
        <v>45915</v>
      </c>
      <c r="B77" t="s">
        <v>47</v>
      </c>
      <c r="C77">
        <v>649163</v>
      </c>
      <c r="D77">
        <v>2031032748</v>
      </c>
      <c r="E77" t="s">
        <v>663</v>
      </c>
      <c r="F77" t="s">
        <v>662</v>
      </c>
      <c r="G77" t="s">
        <v>50</v>
      </c>
      <c r="H77" t="s">
        <v>93</v>
      </c>
      <c r="I77" t="s">
        <v>306</v>
      </c>
      <c r="J77" t="s">
        <v>307</v>
      </c>
      <c r="K77">
        <v>882035</v>
      </c>
      <c r="L77" t="s">
        <v>661</v>
      </c>
      <c r="M77" t="s">
        <v>660</v>
      </c>
      <c r="N77" t="s">
        <v>56</v>
      </c>
      <c r="O77" s="1">
        <v>45931</v>
      </c>
      <c r="P77" s="1">
        <v>45962</v>
      </c>
      <c r="Q77" s="2">
        <v>77.48</v>
      </c>
      <c r="R77">
        <v>1</v>
      </c>
      <c r="S77" t="s">
        <v>57</v>
      </c>
      <c r="T77" t="s">
        <v>96</v>
      </c>
      <c r="U77" s="3">
        <v>0.375</v>
      </c>
      <c r="V77" s="2">
        <v>0</v>
      </c>
      <c r="W77">
        <v>0</v>
      </c>
      <c r="X77" t="s">
        <v>70</v>
      </c>
      <c r="Y77" t="s">
        <v>97</v>
      </c>
      <c r="Z77">
        <v>6</v>
      </c>
      <c r="AA77" s="2">
        <v>174.36</v>
      </c>
      <c r="AB77" s="2">
        <v>0</v>
      </c>
      <c r="AC77" s="4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29.06</v>
      </c>
      <c r="AL77" s="2">
        <v>0</v>
      </c>
      <c r="AM77" s="2">
        <v>174.36</v>
      </c>
      <c r="AN77" s="2">
        <v>0</v>
      </c>
      <c r="AO77" s="2">
        <v>0</v>
      </c>
      <c r="AP77" s="2">
        <v>0</v>
      </c>
    </row>
    <row r="78" spans="1:42" x14ac:dyDescent="0.25">
      <c r="A78" s="1">
        <v>45915</v>
      </c>
      <c r="B78" t="s">
        <v>47</v>
      </c>
      <c r="C78">
        <v>649163</v>
      </c>
      <c r="D78">
        <v>2031047977</v>
      </c>
      <c r="E78" t="s">
        <v>659</v>
      </c>
      <c r="F78" t="s">
        <v>658</v>
      </c>
      <c r="G78" t="s">
        <v>50</v>
      </c>
      <c r="H78" t="s">
        <v>115</v>
      </c>
      <c r="I78" t="s">
        <v>306</v>
      </c>
      <c r="J78" t="s">
        <v>307</v>
      </c>
      <c r="K78">
        <v>756418</v>
      </c>
      <c r="L78" t="s">
        <v>257</v>
      </c>
      <c r="M78" t="s">
        <v>258</v>
      </c>
      <c r="N78" t="s">
        <v>56</v>
      </c>
      <c r="O78" s="1">
        <v>45914</v>
      </c>
      <c r="P78" s="1">
        <v>45944</v>
      </c>
      <c r="Q78" s="2">
        <v>54.87</v>
      </c>
      <c r="R78">
        <v>1</v>
      </c>
      <c r="S78" t="s">
        <v>57</v>
      </c>
      <c r="T78" t="s">
        <v>96</v>
      </c>
      <c r="U78" s="3">
        <v>0.375</v>
      </c>
      <c r="V78" s="2">
        <v>0</v>
      </c>
      <c r="W78">
        <v>0</v>
      </c>
      <c r="X78" t="s">
        <v>70</v>
      </c>
      <c r="Y78" t="s">
        <v>97</v>
      </c>
      <c r="Z78">
        <v>6</v>
      </c>
      <c r="AA78" s="2">
        <v>123.48</v>
      </c>
      <c r="AB78" s="2">
        <v>0</v>
      </c>
      <c r="AC78" s="4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20.58</v>
      </c>
      <c r="AL78" s="2">
        <v>0</v>
      </c>
      <c r="AM78" s="2">
        <v>123.48</v>
      </c>
      <c r="AN78" s="2">
        <v>0</v>
      </c>
      <c r="AO78" s="2">
        <v>0</v>
      </c>
      <c r="AP78" s="2">
        <v>0</v>
      </c>
    </row>
    <row r="79" spans="1:42" x14ac:dyDescent="0.25">
      <c r="A79" s="1">
        <v>45915</v>
      </c>
      <c r="B79" t="s">
        <v>47</v>
      </c>
      <c r="C79">
        <v>649163</v>
      </c>
      <c r="D79">
        <v>2030937252</v>
      </c>
      <c r="E79" t="s">
        <v>767</v>
      </c>
      <c r="F79" t="s">
        <v>163</v>
      </c>
      <c r="G79" t="s">
        <v>50</v>
      </c>
      <c r="H79" t="s">
        <v>51</v>
      </c>
      <c r="I79" t="s">
        <v>430</v>
      </c>
      <c r="J79" t="s">
        <v>431</v>
      </c>
      <c r="K79">
        <v>751867</v>
      </c>
      <c r="L79" t="s">
        <v>84</v>
      </c>
      <c r="M79" t="s">
        <v>85</v>
      </c>
      <c r="N79" t="s">
        <v>56</v>
      </c>
      <c r="O79" s="1">
        <v>45909</v>
      </c>
      <c r="P79" s="1">
        <v>45939</v>
      </c>
      <c r="Q79" s="2">
        <v>19.309999999999999</v>
      </c>
      <c r="R79">
        <v>1</v>
      </c>
      <c r="S79" t="s">
        <v>57</v>
      </c>
      <c r="T79" t="s">
        <v>96</v>
      </c>
      <c r="U79" s="4">
        <v>0.38</v>
      </c>
      <c r="V79" s="2">
        <v>0</v>
      </c>
      <c r="W79">
        <v>0</v>
      </c>
      <c r="X79" t="s">
        <v>70</v>
      </c>
      <c r="Y79" t="s">
        <v>97</v>
      </c>
      <c r="Z79">
        <v>6</v>
      </c>
      <c r="AA79" s="2">
        <v>44.04</v>
      </c>
      <c r="AB79" s="2">
        <v>0</v>
      </c>
      <c r="AC79" s="4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7.34</v>
      </c>
      <c r="AL79" s="2">
        <v>0</v>
      </c>
      <c r="AM79" s="2">
        <v>44.04</v>
      </c>
      <c r="AN79" s="2">
        <v>0</v>
      </c>
      <c r="AO79" s="2">
        <v>0</v>
      </c>
      <c r="AP79" s="2">
        <v>0</v>
      </c>
    </row>
    <row r="80" spans="1:42" x14ac:dyDescent="0.25">
      <c r="A80" s="1">
        <v>45915</v>
      </c>
      <c r="B80" t="s">
        <v>47</v>
      </c>
      <c r="C80">
        <v>649163</v>
      </c>
      <c r="D80">
        <v>2030937253</v>
      </c>
      <c r="E80" t="s">
        <v>767</v>
      </c>
      <c r="F80" t="s">
        <v>163</v>
      </c>
      <c r="G80" t="s">
        <v>50</v>
      </c>
      <c r="H80" t="s">
        <v>51</v>
      </c>
      <c r="I80" t="s">
        <v>430</v>
      </c>
      <c r="J80" t="s">
        <v>88</v>
      </c>
      <c r="K80">
        <v>751867</v>
      </c>
      <c r="L80" t="s">
        <v>84</v>
      </c>
      <c r="M80" t="s">
        <v>85</v>
      </c>
      <c r="N80" t="s">
        <v>56</v>
      </c>
      <c r="O80" s="1">
        <v>45909</v>
      </c>
      <c r="P80" s="1">
        <v>45939</v>
      </c>
      <c r="Q80" s="2">
        <v>41.81</v>
      </c>
      <c r="R80">
        <v>1</v>
      </c>
      <c r="S80" t="s">
        <v>57</v>
      </c>
      <c r="T80" t="s">
        <v>96</v>
      </c>
      <c r="U80" s="4">
        <v>0.6</v>
      </c>
      <c r="V80" s="2">
        <v>0</v>
      </c>
      <c r="W80">
        <v>0</v>
      </c>
      <c r="X80" t="s">
        <v>70</v>
      </c>
      <c r="Y80" t="s">
        <v>97</v>
      </c>
      <c r="Z80">
        <v>6</v>
      </c>
      <c r="AA80" s="2">
        <v>150.54</v>
      </c>
      <c r="AB80" s="2">
        <v>0</v>
      </c>
      <c r="AC80" s="4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25.09</v>
      </c>
      <c r="AL80" s="2">
        <v>0</v>
      </c>
      <c r="AM80" s="2">
        <v>150.54</v>
      </c>
      <c r="AN80" s="2">
        <v>0</v>
      </c>
      <c r="AO80" s="2">
        <v>0</v>
      </c>
      <c r="AP80" s="2">
        <v>0</v>
      </c>
    </row>
    <row r="81" spans="1:42" x14ac:dyDescent="0.25">
      <c r="A81" s="1">
        <v>45915</v>
      </c>
      <c r="B81" t="s">
        <v>47</v>
      </c>
      <c r="C81">
        <v>649163</v>
      </c>
      <c r="D81">
        <v>2030941927</v>
      </c>
      <c r="E81" t="s">
        <v>766</v>
      </c>
      <c r="F81" t="s">
        <v>765</v>
      </c>
      <c r="G81" t="s">
        <v>50</v>
      </c>
      <c r="H81" t="s">
        <v>83</v>
      </c>
      <c r="I81" t="s">
        <v>430</v>
      </c>
      <c r="J81" t="s">
        <v>431</v>
      </c>
      <c r="K81">
        <v>751867</v>
      </c>
      <c r="L81" t="s">
        <v>84</v>
      </c>
      <c r="M81" t="s">
        <v>85</v>
      </c>
      <c r="N81" t="s">
        <v>56</v>
      </c>
      <c r="O81" s="1">
        <v>45909</v>
      </c>
      <c r="P81" s="1">
        <v>45939</v>
      </c>
      <c r="Q81" s="2">
        <v>15.06</v>
      </c>
      <c r="R81">
        <v>1</v>
      </c>
      <c r="S81" t="s">
        <v>57</v>
      </c>
      <c r="T81" t="s">
        <v>96</v>
      </c>
      <c r="U81" s="4">
        <v>0.38</v>
      </c>
      <c r="V81" s="2">
        <v>0</v>
      </c>
      <c r="W81">
        <v>0</v>
      </c>
      <c r="X81" t="s">
        <v>70</v>
      </c>
      <c r="Y81" t="s">
        <v>97</v>
      </c>
      <c r="Z81">
        <v>6</v>
      </c>
      <c r="AA81" s="2">
        <v>34.32</v>
      </c>
      <c r="AB81" s="2">
        <v>0</v>
      </c>
      <c r="AC81" s="4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5.72</v>
      </c>
      <c r="AL81" s="2">
        <v>0</v>
      </c>
      <c r="AM81" s="2">
        <v>34.32</v>
      </c>
      <c r="AN81" s="2">
        <v>0</v>
      </c>
      <c r="AO81" s="2">
        <v>0</v>
      </c>
      <c r="AP81" s="2">
        <v>0</v>
      </c>
    </row>
    <row r="82" spans="1:42" x14ac:dyDescent="0.25">
      <c r="A82" s="1">
        <v>45915</v>
      </c>
      <c r="B82" t="s">
        <v>47</v>
      </c>
      <c r="C82">
        <v>649163</v>
      </c>
      <c r="D82">
        <v>2030945122</v>
      </c>
      <c r="E82" t="s">
        <v>547</v>
      </c>
      <c r="F82" t="s">
        <v>683</v>
      </c>
      <c r="G82" t="s">
        <v>50</v>
      </c>
      <c r="H82" t="s">
        <v>93</v>
      </c>
      <c r="I82" t="s">
        <v>430</v>
      </c>
      <c r="J82" t="s">
        <v>431</v>
      </c>
      <c r="K82">
        <v>820873</v>
      </c>
      <c r="L82" t="s">
        <v>262</v>
      </c>
      <c r="M82" t="s">
        <v>263</v>
      </c>
      <c r="N82" t="s">
        <v>56</v>
      </c>
      <c r="O82" s="1">
        <v>45909</v>
      </c>
      <c r="P82" s="1">
        <v>45939</v>
      </c>
      <c r="Q82" s="2">
        <v>19.48</v>
      </c>
      <c r="R82">
        <v>1</v>
      </c>
      <c r="S82" t="s">
        <v>57</v>
      </c>
      <c r="T82" t="s">
        <v>96</v>
      </c>
      <c r="U82" s="4">
        <v>0.38</v>
      </c>
      <c r="V82" s="2">
        <v>0</v>
      </c>
      <c r="W82">
        <v>0</v>
      </c>
      <c r="X82" t="s">
        <v>70</v>
      </c>
      <c r="Y82" t="s">
        <v>97</v>
      </c>
      <c r="Z82">
        <v>6</v>
      </c>
      <c r="AA82" s="2">
        <v>44.4</v>
      </c>
      <c r="AB82" s="2">
        <v>0</v>
      </c>
      <c r="AC82" s="4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7.4</v>
      </c>
      <c r="AL82" s="2">
        <v>0</v>
      </c>
      <c r="AM82" s="2">
        <v>44.4</v>
      </c>
      <c r="AN82" s="2">
        <v>0</v>
      </c>
      <c r="AO82" s="2">
        <v>0</v>
      </c>
      <c r="AP82" s="2">
        <v>0</v>
      </c>
    </row>
    <row r="83" spans="1:42" x14ac:dyDescent="0.25">
      <c r="A83" s="1">
        <v>45915</v>
      </c>
      <c r="B83" t="s">
        <v>47</v>
      </c>
      <c r="C83">
        <v>649163</v>
      </c>
      <c r="D83">
        <v>2030954480</v>
      </c>
      <c r="E83" t="s">
        <v>764</v>
      </c>
      <c r="F83" t="s">
        <v>335</v>
      </c>
      <c r="G83" t="s">
        <v>50</v>
      </c>
      <c r="H83" t="s">
        <v>93</v>
      </c>
      <c r="I83" t="s">
        <v>430</v>
      </c>
      <c r="J83" t="s">
        <v>438</v>
      </c>
      <c r="K83">
        <v>856824</v>
      </c>
      <c r="L83" t="s">
        <v>210</v>
      </c>
      <c r="M83" t="s">
        <v>211</v>
      </c>
      <c r="N83" t="s">
        <v>56</v>
      </c>
      <c r="O83" s="1">
        <v>45910</v>
      </c>
      <c r="P83" s="1">
        <v>45940</v>
      </c>
      <c r="Q83" s="2">
        <v>172.55</v>
      </c>
      <c r="R83">
        <v>1</v>
      </c>
      <c r="S83" t="s">
        <v>57</v>
      </c>
      <c r="T83" t="s">
        <v>96</v>
      </c>
      <c r="U83" s="4">
        <v>0.38</v>
      </c>
      <c r="V83" s="2">
        <v>0</v>
      </c>
      <c r="W83">
        <v>0</v>
      </c>
      <c r="X83" t="s">
        <v>70</v>
      </c>
      <c r="Y83" t="s">
        <v>97</v>
      </c>
      <c r="Z83">
        <v>6</v>
      </c>
      <c r="AA83" s="2">
        <v>393.42</v>
      </c>
      <c r="AB83" s="2">
        <v>0</v>
      </c>
      <c r="AC83" s="4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65.569999999999993</v>
      </c>
      <c r="AL83" s="2">
        <v>0</v>
      </c>
      <c r="AM83" s="2">
        <v>393.42</v>
      </c>
      <c r="AN83" s="2">
        <v>0</v>
      </c>
      <c r="AO83" s="2">
        <v>0</v>
      </c>
      <c r="AP83" s="2">
        <v>0</v>
      </c>
    </row>
    <row r="84" spans="1:42" x14ac:dyDescent="0.25">
      <c r="A84" s="1">
        <v>45915</v>
      </c>
      <c r="B84" t="s">
        <v>47</v>
      </c>
      <c r="C84">
        <v>649163</v>
      </c>
      <c r="D84">
        <v>2030954481</v>
      </c>
      <c r="E84" t="s">
        <v>764</v>
      </c>
      <c r="F84" t="s">
        <v>335</v>
      </c>
      <c r="G84" t="s">
        <v>50</v>
      </c>
      <c r="H84" t="s">
        <v>93</v>
      </c>
      <c r="I84" t="s">
        <v>430</v>
      </c>
      <c r="J84" t="s">
        <v>439</v>
      </c>
      <c r="K84">
        <v>856824</v>
      </c>
      <c r="L84" t="s">
        <v>210</v>
      </c>
      <c r="M84" t="s">
        <v>211</v>
      </c>
      <c r="N84" t="s">
        <v>56</v>
      </c>
      <c r="O84" s="1">
        <v>45910</v>
      </c>
      <c r="P84" s="1">
        <v>45940</v>
      </c>
      <c r="Q84" s="2">
        <v>7.09</v>
      </c>
      <c r="R84">
        <v>1</v>
      </c>
      <c r="S84" t="s">
        <v>57</v>
      </c>
      <c r="T84" t="s">
        <v>96</v>
      </c>
      <c r="U84" s="4">
        <v>0.38</v>
      </c>
      <c r="V84" s="2">
        <v>0</v>
      </c>
      <c r="W84">
        <v>0</v>
      </c>
      <c r="X84" t="s">
        <v>70</v>
      </c>
      <c r="Y84" t="s">
        <v>97</v>
      </c>
      <c r="Z84">
        <v>6</v>
      </c>
      <c r="AA84" s="2">
        <v>16.14</v>
      </c>
      <c r="AB84" s="2">
        <v>0</v>
      </c>
      <c r="AC84" s="4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2.69</v>
      </c>
      <c r="AL84" s="2">
        <v>0</v>
      </c>
      <c r="AM84" s="2">
        <v>16.14</v>
      </c>
      <c r="AN84" s="2">
        <v>0</v>
      </c>
      <c r="AO84" s="2">
        <v>0</v>
      </c>
      <c r="AP84" s="2">
        <v>0</v>
      </c>
    </row>
    <row r="85" spans="1:42" x14ac:dyDescent="0.25">
      <c r="A85" s="1">
        <v>45915</v>
      </c>
      <c r="B85" t="s">
        <v>47</v>
      </c>
      <c r="C85">
        <v>649163</v>
      </c>
      <c r="D85">
        <v>2030961288</v>
      </c>
      <c r="E85" t="s">
        <v>763</v>
      </c>
      <c r="F85" t="s">
        <v>762</v>
      </c>
      <c r="G85" t="s">
        <v>50</v>
      </c>
      <c r="H85" t="s">
        <v>51</v>
      </c>
      <c r="I85" t="s">
        <v>430</v>
      </c>
      <c r="J85" t="s">
        <v>431</v>
      </c>
      <c r="K85">
        <v>650218</v>
      </c>
      <c r="L85" t="s">
        <v>73</v>
      </c>
      <c r="M85" t="s">
        <v>74</v>
      </c>
      <c r="N85" t="s">
        <v>56</v>
      </c>
      <c r="O85" s="1">
        <v>45931</v>
      </c>
      <c r="P85" s="1">
        <v>45962</v>
      </c>
      <c r="Q85" s="2">
        <v>21.97</v>
      </c>
      <c r="R85">
        <v>1</v>
      </c>
      <c r="S85" t="s">
        <v>57</v>
      </c>
      <c r="T85" t="s">
        <v>96</v>
      </c>
      <c r="U85" s="4">
        <v>0.38</v>
      </c>
      <c r="V85" s="2">
        <v>0</v>
      </c>
      <c r="W85">
        <v>0</v>
      </c>
      <c r="X85" t="s">
        <v>70</v>
      </c>
      <c r="Y85" t="s">
        <v>97</v>
      </c>
      <c r="Z85">
        <v>6</v>
      </c>
      <c r="AA85" s="2">
        <v>50.1</v>
      </c>
      <c r="AB85" s="2">
        <v>0</v>
      </c>
      <c r="AC85" s="4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8.35</v>
      </c>
      <c r="AL85" s="2">
        <v>0</v>
      </c>
      <c r="AM85" s="2">
        <v>50.1</v>
      </c>
      <c r="AN85" s="2">
        <v>0</v>
      </c>
      <c r="AO85" s="2">
        <v>0</v>
      </c>
      <c r="AP85" s="2">
        <v>0</v>
      </c>
    </row>
    <row r="86" spans="1:42" x14ac:dyDescent="0.25">
      <c r="A86" s="1">
        <v>45915</v>
      </c>
      <c r="B86" t="s">
        <v>47</v>
      </c>
      <c r="C86">
        <v>649163</v>
      </c>
      <c r="D86">
        <v>2030981719</v>
      </c>
      <c r="E86" t="s">
        <v>761</v>
      </c>
      <c r="F86" t="s">
        <v>760</v>
      </c>
      <c r="G86" t="s">
        <v>50</v>
      </c>
      <c r="H86" t="s">
        <v>93</v>
      </c>
      <c r="I86" t="s">
        <v>430</v>
      </c>
      <c r="J86" t="s">
        <v>438</v>
      </c>
      <c r="K86">
        <v>824062</v>
      </c>
      <c r="L86" t="s">
        <v>200</v>
      </c>
      <c r="M86" t="s">
        <v>201</v>
      </c>
      <c r="N86" t="s">
        <v>56</v>
      </c>
      <c r="O86" s="1">
        <v>45920</v>
      </c>
      <c r="P86" s="1">
        <v>45950</v>
      </c>
      <c r="Q86" s="2">
        <v>200.65</v>
      </c>
      <c r="R86">
        <v>1</v>
      </c>
      <c r="S86" t="s">
        <v>57</v>
      </c>
      <c r="T86" t="s">
        <v>96</v>
      </c>
      <c r="U86" s="4">
        <v>0.38</v>
      </c>
      <c r="V86" s="2">
        <v>0</v>
      </c>
      <c r="W86">
        <v>0</v>
      </c>
      <c r="X86" t="s">
        <v>70</v>
      </c>
      <c r="Y86" t="s">
        <v>97</v>
      </c>
      <c r="Z86">
        <v>6</v>
      </c>
      <c r="AA86" s="2">
        <v>457.5</v>
      </c>
      <c r="AB86" s="2">
        <v>0</v>
      </c>
      <c r="AC86" s="4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76.25</v>
      </c>
      <c r="AL86" s="2">
        <v>0</v>
      </c>
      <c r="AM86" s="2">
        <v>457.5</v>
      </c>
      <c r="AN86" s="2">
        <v>0</v>
      </c>
      <c r="AO86" s="2">
        <v>0</v>
      </c>
      <c r="AP86" s="2">
        <v>0</v>
      </c>
    </row>
    <row r="87" spans="1:42" x14ac:dyDescent="0.25">
      <c r="A87" s="1">
        <v>45915</v>
      </c>
      <c r="B87" t="s">
        <v>47</v>
      </c>
      <c r="C87">
        <v>649163</v>
      </c>
      <c r="D87">
        <v>2030981720</v>
      </c>
      <c r="E87" t="s">
        <v>761</v>
      </c>
      <c r="F87" t="s">
        <v>760</v>
      </c>
      <c r="G87" t="s">
        <v>50</v>
      </c>
      <c r="H87" t="s">
        <v>93</v>
      </c>
      <c r="I87" t="s">
        <v>430</v>
      </c>
      <c r="J87" t="s">
        <v>439</v>
      </c>
      <c r="K87">
        <v>824062</v>
      </c>
      <c r="L87" t="s">
        <v>200</v>
      </c>
      <c r="M87" t="s">
        <v>201</v>
      </c>
      <c r="N87" t="s">
        <v>56</v>
      </c>
      <c r="O87" s="1">
        <v>45920</v>
      </c>
      <c r="P87" s="1">
        <v>45950</v>
      </c>
      <c r="Q87" s="2">
        <v>7.09</v>
      </c>
      <c r="R87">
        <v>1</v>
      </c>
      <c r="S87" t="s">
        <v>57</v>
      </c>
      <c r="T87" t="s">
        <v>96</v>
      </c>
      <c r="U87" s="4">
        <v>0.38</v>
      </c>
      <c r="V87" s="2">
        <v>0</v>
      </c>
      <c r="W87">
        <v>0</v>
      </c>
      <c r="X87" t="s">
        <v>70</v>
      </c>
      <c r="Y87" t="s">
        <v>97</v>
      </c>
      <c r="Z87">
        <v>6</v>
      </c>
      <c r="AA87" s="2">
        <v>16.14</v>
      </c>
      <c r="AB87" s="2">
        <v>0</v>
      </c>
      <c r="AC87" s="4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2.69</v>
      </c>
      <c r="AL87" s="2">
        <v>0</v>
      </c>
      <c r="AM87" s="2">
        <v>16.14</v>
      </c>
      <c r="AN87" s="2">
        <v>0</v>
      </c>
      <c r="AO87" s="2">
        <v>0</v>
      </c>
      <c r="AP87" s="2">
        <v>0</v>
      </c>
    </row>
    <row r="88" spans="1:42" x14ac:dyDescent="0.25">
      <c r="A88" s="1">
        <v>45915</v>
      </c>
      <c r="B88" t="s">
        <v>47</v>
      </c>
      <c r="C88">
        <v>649163</v>
      </c>
      <c r="D88">
        <v>2030985508</v>
      </c>
      <c r="E88" t="s">
        <v>276</v>
      </c>
      <c r="F88" t="s">
        <v>421</v>
      </c>
      <c r="G88" t="s">
        <v>50</v>
      </c>
      <c r="H88" t="s">
        <v>93</v>
      </c>
      <c r="I88" t="s">
        <v>430</v>
      </c>
      <c r="J88" t="s">
        <v>438</v>
      </c>
      <c r="K88">
        <v>814033</v>
      </c>
      <c r="L88" t="s">
        <v>595</v>
      </c>
      <c r="M88" t="s">
        <v>596</v>
      </c>
      <c r="N88" t="s">
        <v>56</v>
      </c>
      <c r="O88" s="1">
        <v>45912</v>
      </c>
      <c r="P88" s="1">
        <v>45942</v>
      </c>
      <c r="Q88" s="2">
        <v>371.07</v>
      </c>
      <c r="R88">
        <v>1</v>
      </c>
      <c r="S88" t="s">
        <v>57</v>
      </c>
      <c r="T88" t="s">
        <v>96</v>
      </c>
      <c r="U88" s="4">
        <v>0.38</v>
      </c>
      <c r="V88" s="2">
        <v>0</v>
      </c>
      <c r="W88">
        <v>0</v>
      </c>
      <c r="X88" t="s">
        <v>70</v>
      </c>
      <c r="Y88" t="s">
        <v>97</v>
      </c>
      <c r="Z88">
        <v>6</v>
      </c>
      <c r="AA88" s="2">
        <v>846.06</v>
      </c>
      <c r="AB88" s="2">
        <v>0</v>
      </c>
      <c r="AC88" s="4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141.01</v>
      </c>
      <c r="AL88" s="2">
        <v>0</v>
      </c>
      <c r="AM88" s="2">
        <v>846.06</v>
      </c>
      <c r="AN88" s="2">
        <v>0</v>
      </c>
      <c r="AO88" s="2">
        <v>0</v>
      </c>
      <c r="AP88" s="2">
        <v>0</v>
      </c>
    </row>
    <row r="89" spans="1:42" x14ac:dyDescent="0.25">
      <c r="A89" s="1">
        <v>45915</v>
      </c>
      <c r="B89" t="s">
        <v>47</v>
      </c>
      <c r="C89">
        <v>649163</v>
      </c>
      <c r="D89">
        <v>2031001700</v>
      </c>
      <c r="E89" t="s">
        <v>667</v>
      </c>
      <c r="F89" t="s">
        <v>666</v>
      </c>
      <c r="G89" t="s">
        <v>50</v>
      </c>
      <c r="H89" t="s">
        <v>77</v>
      </c>
      <c r="I89" t="s">
        <v>430</v>
      </c>
      <c r="J89" t="s">
        <v>431</v>
      </c>
      <c r="K89">
        <v>751867</v>
      </c>
      <c r="L89" t="s">
        <v>84</v>
      </c>
      <c r="M89" t="s">
        <v>85</v>
      </c>
      <c r="N89" t="s">
        <v>56</v>
      </c>
      <c r="O89" s="1">
        <v>45931</v>
      </c>
      <c r="P89" s="1">
        <v>45962</v>
      </c>
      <c r="Q89" s="2">
        <v>13.38</v>
      </c>
      <c r="R89">
        <v>1</v>
      </c>
      <c r="S89" t="s">
        <v>57</v>
      </c>
      <c r="T89" t="s">
        <v>96</v>
      </c>
      <c r="U89" s="4">
        <v>0.38</v>
      </c>
      <c r="V89" s="2">
        <v>0</v>
      </c>
      <c r="W89">
        <v>0</v>
      </c>
      <c r="X89" t="s">
        <v>70</v>
      </c>
      <c r="Y89" t="s">
        <v>97</v>
      </c>
      <c r="Z89">
        <v>6</v>
      </c>
      <c r="AA89" s="2">
        <v>30.48</v>
      </c>
      <c r="AB89" s="2">
        <v>0</v>
      </c>
      <c r="AC89" s="4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5.08</v>
      </c>
      <c r="AL89" s="2">
        <v>0</v>
      </c>
      <c r="AM89" s="2">
        <v>30.48</v>
      </c>
      <c r="AN89" s="2">
        <v>0</v>
      </c>
      <c r="AO89" s="2">
        <v>0</v>
      </c>
      <c r="AP89" s="2">
        <v>0</v>
      </c>
    </row>
    <row r="90" spans="1:42" x14ac:dyDescent="0.25">
      <c r="A90" s="1">
        <v>45915</v>
      </c>
      <c r="B90" t="s">
        <v>47</v>
      </c>
      <c r="C90">
        <v>649163</v>
      </c>
      <c r="D90">
        <v>2031044944</v>
      </c>
      <c r="E90" t="s">
        <v>759</v>
      </c>
      <c r="F90" t="s">
        <v>546</v>
      </c>
      <c r="G90" t="s">
        <v>50</v>
      </c>
      <c r="H90" t="s">
        <v>51</v>
      </c>
      <c r="I90" t="s">
        <v>430</v>
      </c>
      <c r="J90" t="s">
        <v>431</v>
      </c>
      <c r="K90">
        <v>650218</v>
      </c>
      <c r="L90" t="s">
        <v>73</v>
      </c>
      <c r="M90" t="s">
        <v>74</v>
      </c>
      <c r="N90" t="s">
        <v>56</v>
      </c>
      <c r="O90" s="1">
        <v>45931</v>
      </c>
      <c r="P90" s="1">
        <v>45962</v>
      </c>
      <c r="Q90" s="2">
        <v>38.11</v>
      </c>
      <c r="R90">
        <v>1</v>
      </c>
      <c r="S90" t="s">
        <v>57</v>
      </c>
      <c r="T90" t="s">
        <v>96</v>
      </c>
      <c r="U90" s="4">
        <v>0.38</v>
      </c>
      <c r="V90" s="2">
        <v>0</v>
      </c>
      <c r="W90">
        <v>0</v>
      </c>
      <c r="X90" t="s">
        <v>70</v>
      </c>
      <c r="Y90" t="s">
        <v>97</v>
      </c>
      <c r="Z90">
        <v>6</v>
      </c>
      <c r="AA90" s="2">
        <v>86.88</v>
      </c>
      <c r="AB90" s="2">
        <v>0</v>
      </c>
      <c r="AC90" s="4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14.48</v>
      </c>
      <c r="AL90" s="2">
        <v>0</v>
      </c>
      <c r="AM90" s="2">
        <v>86.88</v>
      </c>
      <c r="AN90" s="2">
        <v>0</v>
      </c>
      <c r="AO90" s="2">
        <v>0</v>
      </c>
      <c r="AP90" s="2">
        <v>0</v>
      </c>
    </row>
    <row r="91" spans="1:42" x14ac:dyDescent="0.25">
      <c r="A91" s="1">
        <v>45915</v>
      </c>
      <c r="B91" t="s">
        <v>47</v>
      </c>
      <c r="C91">
        <v>649163</v>
      </c>
      <c r="D91">
        <v>2030846038</v>
      </c>
      <c r="E91" t="s">
        <v>414</v>
      </c>
      <c r="F91" t="s">
        <v>415</v>
      </c>
      <c r="G91" t="s">
        <v>50</v>
      </c>
      <c r="H91" t="s">
        <v>115</v>
      </c>
      <c r="I91" t="s">
        <v>441</v>
      </c>
      <c r="J91" t="s">
        <v>445</v>
      </c>
      <c r="K91">
        <v>822865</v>
      </c>
      <c r="L91" t="s">
        <v>158</v>
      </c>
      <c r="M91" t="s">
        <v>159</v>
      </c>
      <c r="N91" t="s">
        <v>56</v>
      </c>
      <c r="O91" s="1">
        <v>45913</v>
      </c>
      <c r="P91" s="1">
        <v>45943</v>
      </c>
      <c r="Q91" s="2">
        <v>28.38</v>
      </c>
      <c r="R91">
        <v>1</v>
      </c>
      <c r="S91" t="s">
        <v>57</v>
      </c>
      <c r="T91" t="s">
        <v>96</v>
      </c>
      <c r="U91" s="4">
        <v>0.7</v>
      </c>
      <c r="V91" s="2">
        <v>0</v>
      </c>
      <c r="W91">
        <v>0</v>
      </c>
      <c r="X91" t="s">
        <v>70</v>
      </c>
      <c r="Y91" t="s">
        <v>97</v>
      </c>
      <c r="Z91">
        <v>6</v>
      </c>
      <c r="AA91" s="2">
        <v>119.22</v>
      </c>
      <c r="AB91" s="2">
        <v>0</v>
      </c>
      <c r="AC91" s="4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19.87</v>
      </c>
      <c r="AL91" s="2">
        <v>0</v>
      </c>
      <c r="AM91" s="2">
        <v>119.22</v>
      </c>
      <c r="AN91" s="2">
        <v>0</v>
      </c>
      <c r="AO91" s="2">
        <v>0</v>
      </c>
      <c r="AP91" s="2">
        <v>0</v>
      </c>
    </row>
    <row r="92" spans="1:42" x14ac:dyDescent="0.25">
      <c r="A92" s="1">
        <v>45915</v>
      </c>
      <c r="B92" t="s">
        <v>47</v>
      </c>
      <c r="C92">
        <v>649163</v>
      </c>
      <c r="D92">
        <v>2030898263</v>
      </c>
      <c r="E92" t="s">
        <v>144</v>
      </c>
      <c r="F92" t="s">
        <v>111</v>
      </c>
      <c r="G92" t="s">
        <v>50</v>
      </c>
      <c r="H92" t="s">
        <v>214</v>
      </c>
      <c r="I92" t="s">
        <v>441</v>
      </c>
      <c r="J92" t="s">
        <v>451</v>
      </c>
      <c r="K92">
        <v>823068</v>
      </c>
      <c r="L92" t="s">
        <v>215</v>
      </c>
      <c r="M92" t="s">
        <v>216</v>
      </c>
      <c r="N92" t="s">
        <v>56</v>
      </c>
      <c r="O92" s="1">
        <v>45931</v>
      </c>
      <c r="P92" s="1">
        <v>45962</v>
      </c>
      <c r="Q92" s="2">
        <v>32.81</v>
      </c>
      <c r="R92">
        <v>1</v>
      </c>
      <c r="S92" t="s">
        <v>57</v>
      </c>
      <c r="T92" t="s">
        <v>96</v>
      </c>
      <c r="U92" s="4">
        <v>0.42</v>
      </c>
      <c r="V92" s="2">
        <v>0</v>
      </c>
      <c r="W92">
        <v>0</v>
      </c>
      <c r="X92" t="s">
        <v>70</v>
      </c>
      <c r="Y92" t="s">
        <v>97</v>
      </c>
      <c r="Z92">
        <v>6</v>
      </c>
      <c r="AA92" s="2">
        <v>82.68</v>
      </c>
      <c r="AB92" s="2">
        <v>0</v>
      </c>
      <c r="AC92" s="4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13.78</v>
      </c>
      <c r="AL92" s="2">
        <v>0</v>
      </c>
      <c r="AM92" s="2">
        <v>82.68</v>
      </c>
      <c r="AN92" s="2">
        <v>0</v>
      </c>
      <c r="AO92" s="2">
        <v>0</v>
      </c>
      <c r="AP92" s="2">
        <v>0</v>
      </c>
    </row>
    <row r="93" spans="1:42" x14ac:dyDescent="0.25">
      <c r="A93" s="1">
        <v>45915</v>
      </c>
      <c r="B93" t="s">
        <v>47</v>
      </c>
      <c r="C93">
        <v>649163</v>
      </c>
      <c r="D93">
        <v>2030898264</v>
      </c>
      <c r="E93" t="s">
        <v>144</v>
      </c>
      <c r="F93" t="s">
        <v>111</v>
      </c>
      <c r="G93" t="s">
        <v>50</v>
      </c>
      <c r="H93" t="s">
        <v>214</v>
      </c>
      <c r="I93" t="s">
        <v>441</v>
      </c>
      <c r="J93" t="s">
        <v>545</v>
      </c>
      <c r="K93">
        <v>823068</v>
      </c>
      <c r="L93" t="s">
        <v>215</v>
      </c>
      <c r="M93" t="s">
        <v>216</v>
      </c>
      <c r="N93" t="s">
        <v>56</v>
      </c>
      <c r="O93" s="1">
        <v>45931</v>
      </c>
      <c r="P93" s="1">
        <v>45962</v>
      </c>
      <c r="Q93" s="2">
        <v>24.61</v>
      </c>
      <c r="R93">
        <v>1</v>
      </c>
      <c r="S93" t="s">
        <v>57</v>
      </c>
      <c r="T93" t="s">
        <v>96</v>
      </c>
      <c r="U93" s="4">
        <v>0.7</v>
      </c>
      <c r="V93" s="2">
        <v>0</v>
      </c>
      <c r="W93">
        <v>0</v>
      </c>
      <c r="X93" t="s">
        <v>70</v>
      </c>
      <c r="Y93" t="s">
        <v>97</v>
      </c>
      <c r="Z93">
        <v>6</v>
      </c>
      <c r="AA93" s="2">
        <v>103.38</v>
      </c>
      <c r="AB93" s="2">
        <v>0</v>
      </c>
      <c r="AC93" s="4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17.23</v>
      </c>
      <c r="AL93" s="2">
        <v>0</v>
      </c>
      <c r="AM93" s="2">
        <v>103.38</v>
      </c>
      <c r="AN93" s="2">
        <v>0</v>
      </c>
      <c r="AO93" s="2">
        <v>0</v>
      </c>
      <c r="AP93" s="2">
        <v>0</v>
      </c>
    </row>
    <row r="94" spans="1:42" x14ac:dyDescent="0.25">
      <c r="A94" s="1">
        <v>45915</v>
      </c>
      <c r="B94" t="s">
        <v>47</v>
      </c>
      <c r="C94">
        <v>649163</v>
      </c>
      <c r="D94">
        <v>2030924641</v>
      </c>
      <c r="E94" t="s">
        <v>648</v>
      </c>
      <c r="F94" t="s">
        <v>647</v>
      </c>
      <c r="G94" t="s">
        <v>50</v>
      </c>
      <c r="H94" t="s">
        <v>63</v>
      </c>
      <c r="I94" t="s">
        <v>441</v>
      </c>
      <c r="J94" t="s">
        <v>445</v>
      </c>
      <c r="K94">
        <v>874230</v>
      </c>
      <c r="L94" t="s">
        <v>644</v>
      </c>
      <c r="M94" t="s">
        <v>643</v>
      </c>
      <c r="N94" t="s">
        <v>56</v>
      </c>
      <c r="O94" s="1">
        <v>45911</v>
      </c>
      <c r="P94" s="1">
        <v>45941</v>
      </c>
      <c r="Q94" s="2">
        <v>65.48</v>
      </c>
      <c r="R94">
        <v>1</v>
      </c>
      <c r="S94" t="s">
        <v>57</v>
      </c>
      <c r="T94" t="s">
        <v>96</v>
      </c>
      <c r="U94" s="4">
        <v>0.7</v>
      </c>
      <c r="V94" s="2">
        <v>0</v>
      </c>
      <c r="W94">
        <v>0</v>
      </c>
      <c r="X94" t="s">
        <v>70</v>
      </c>
      <c r="Y94" t="s">
        <v>97</v>
      </c>
      <c r="Z94">
        <v>6</v>
      </c>
      <c r="AA94" s="2">
        <v>275.04000000000002</v>
      </c>
      <c r="AB94" s="2">
        <v>0</v>
      </c>
      <c r="AC94" s="4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45.84</v>
      </c>
      <c r="AL94" s="2">
        <v>0</v>
      </c>
      <c r="AM94" s="2">
        <v>275.04000000000002</v>
      </c>
      <c r="AN94" s="2">
        <v>0</v>
      </c>
      <c r="AO94" s="2">
        <v>0</v>
      </c>
      <c r="AP94" s="2">
        <v>0</v>
      </c>
    </row>
    <row r="95" spans="1:42" x14ac:dyDescent="0.25">
      <c r="A95" s="1">
        <v>45915</v>
      </c>
      <c r="B95" t="s">
        <v>47</v>
      </c>
      <c r="C95">
        <v>649163</v>
      </c>
      <c r="D95">
        <v>2030932600</v>
      </c>
      <c r="E95" t="s">
        <v>646</v>
      </c>
      <c r="F95" t="s">
        <v>368</v>
      </c>
      <c r="G95" t="s">
        <v>50</v>
      </c>
      <c r="H95" t="s">
        <v>63</v>
      </c>
      <c r="I95" t="s">
        <v>441</v>
      </c>
      <c r="J95" t="s">
        <v>445</v>
      </c>
      <c r="K95">
        <v>874230</v>
      </c>
      <c r="L95" t="s">
        <v>644</v>
      </c>
      <c r="M95" t="s">
        <v>643</v>
      </c>
      <c r="N95" t="s">
        <v>56</v>
      </c>
      <c r="O95" s="1">
        <v>45911</v>
      </c>
      <c r="P95" s="1">
        <v>45941</v>
      </c>
      <c r="Q95" s="2">
        <v>65.48</v>
      </c>
      <c r="R95">
        <v>1</v>
      </c>
      <c r="S95" t="s">
        <v>57</v>
      </c>
      <c r="T95" t="s">
        <v>96</v>
      </c>
      <c r="U95" s="4">
        <v>0.7</v>
      </c>
      <c r="V95" s="2">
        <v>0</v>
      </c>
      <c r="W95">
        <v>0</v>
      </c>
      <c r="X95" t="s">
        <v>70</v>
      </c>
      <c r="Y95" t="s">
        <v>97</v>
      </c>
      <c r="Z95">
        <v>6</v>
      </c>
      <c r="AA95" s="2">
        <v>275.04000000000002</v>
      </c>
      <c r="AB95" s="2">
        <v>0</v>
      </c>
      <c r="AC95" s="4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45.84</v>
      </c>
      <c r="AL95" s="2">
        <v>0</v>
      </c>
      <c r="AM95" s="2">
        <v>275.04000000000002</v>
      </c>
      <c r="AN95" s="2">
        <v>0</v>
      </c>
      <c r="AO95" s="2">
        <v>0</v>
      </c>
      <c r="AP95" s="2">
        <v>0</v>
      </c>
    </row>
    <row r="96" spans="1:42" x14ac:dyDescent="0.25">
      <c r="A96" s="1">
        <v>45915</v>
      </c>
      <c r="B96" t="s">
        <v>47</v>
      </c>
      <c r="C96">
        <v>649163</v>
      </c>
      <c r="D96">
        <v>2030933671</v>
      </c>
      <c r="E96" t="s">
        <v>691</v>
      </c>
      <c r="F96" t="s">
        <v>690</v>
      </c>
      <c r="G96" t="s">
        <v>50</v>
      </c>
      <c r="H96" t="s">
        <v>214</v>
      </c>
      <c r="I96" t="s">
        <v>441</v>
      </c>
      <c r="J96" t="s">
        <v>451</v>
      </c>
      <c r="K96">
        <v>823068</v>
      </c>
      <c r="L96" t="s">
        <v>215</v>
      </c>
      <c r="M96" t="s">
        <v>216</v>
      </c>
      <c r="N96" t="s">
        <v>56</v>
      </c>
      <c r="O96" s="1">
        <v>45909</v>
      </c>
      <c r="P96" s="1">
        <v>45939</v>
      </c>
      <c r="Q96" s="2">
        <v>27.8</v>
      </c>
      <c r="R96">
        <v>1</v>
      </c>
      <c r="S96" t="s">
        <v>57</v>
      </c>
      <c r="T96" t="s">
        <v>96</v>
      </c>
      <c r="U96" s="4">
        <v>0.42</v>
      </c>
      <c r="V96" s="2">
        <v>0</v>
      </c>
      <c r="W96">
        <v>0</v>
      </c>
      <c r="X96" t="s">
        <v>70</v>
      </c>
      <c r="Y96" t="s">
        <v>97</v>
      </c>
      <c r="Z96">
        <v>6</v>
      </c>
      <c r="AA96" s="2">
        <v>70.08</v>
      </c>
      <c r="AB96" s="2">
        <v>0</v>
      </c>
      <c r="AC96" s="4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11.68</v>
      </c>
      <c r="AL96" s="2">
        <v>0</v>
      </c>
      <c r="AM96" s="2">
        <v>70.08</v>
      </c>
      <c r="AN96" s="2">
        <v>0</v>
      </c>
      <c r="AO96" s="2">
        <v>0</v>
      </c>
      <c r="AP96" s="2">
        <v>0</v>
      </c>
    </row>
    <row r="97" spans="1:42" x14ac:dyDescent="0.25">
      <c r="A97" s="1">
        <v>45915</v>
      </c>
      <c r="B97" t="s">
        <v>47</v>
      </c>
      <c r="C97">
        <v>649163</v>
      </c>
      <c r="D97">
        <v>2030933672</v>
      </c>
      <c r="E97" t="s">
        <v>691</v>
      </c>
      <c r="F97" t="s">
        <v>690</v>
      </c>
      <c r="G97" t="s">
        <v>50</v>
      </c>
      <c r="H97" t="s">
        <v>214</v>
      </c>
      <c r="I97" t="s">
        <v>441</v>
      </c>
      <c r="J97" t="s">
        <v>545</v>
      </c>
      <c r="K97">
        <v>823068</v>
      </c>
      <c r="L97" t="s">
        <v>215</v>
      </c>
      <c r="M97" t="s">
        <v>216</v>
      </c>
      <c r="N97" t="s">
        <v>56</v>
      </c>
      <c r="O97" s="1">
        <v>45909</v>
      </c>
      <c r="P97" s="1">
        <v>45939</v>
      </c>
      <c r="Q97" s="2">
        <v>24.61</v>
      </c>
      <c r="R97">
        <v>1</v>
      </c>
      <c r="S97" t="s">
        <v>57</v>
      </c>
      <c r="T97" t="s">
        <v>96</v>
      </c>
      <c r="U97" s="4">
        <v>0.7</v>
      </c>
      <c r="V97" s="2">
        <v>0</v>
      </c>
      <c r="W97">
        <v>0</v>
      </c>
      <c r="X97" t="s">
        <v>70</v>
      </c>
      <c r="Y97" t="s">
        <v>97</v>
      </c>
      <c r="Z97">
        <v>6</v>
      </c>
      <c r="AA97" s="2">
        <v>103.38</v>
      </c>
      <c r="AB97" s="2">
        <v>0</v>
      </c>
      <c r="AC97" s="4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17.23</v>
      </c>
      <c r="AL97" s="2">
        <v>0</v>
      </c>
      <c r="AM97" s="2">
        <v>103.38</v>
      </c>
      <c r="AN97" s="2">
        <v>0</v>
      </c>
      <c r="AO97" s="2">
        <v>0</v>
      </c>
      <c r="AP97" s="2">
        <v>0</v>
      </c>
    </row>
    <row r="98" spans="1:42" x14ac:dyDescent="0.25">
      <c r="A98" s="1">
        <v>45915</v>
      </c>
      <c r="B98" t="s">
        <v>47</v>
      </c>
      <c r="C98">
        <v>649163</v>
      </c>
      <c r="D98">
        <v>2030935972</v>
      </c>
      <c r="E98" t="s">
        <v>689</v>
      </c>
      <c r="F98" t="s">
        <v>688</v>
      </c>
      <c r="G98" t="s">
        <v>50</v>
      </c>
      <c r="H98" t="s">
        <v>93</v>
      </c>
      <c r="I98" t="s">
        <v>441</v>
      </c>
      <c r="J98" t="s">
        <v>442</v>
      </c>
      <c r="K98">
        <v>824062</v>
      </c>
      <c r="L98" t="s">
        <v>200</v>
      </c>
      <c r="M98" t="s">
        <v>201</v>
      </c>
      <c r="N98" t="s">
        <v>56</v>
      </c>
      <c r="O98" s="1">
        <v>45931</v>
      </c>
      <c r="P98" s="1">
        <v>45962</v>
      </c>
      <c r="Q98" s="2">
        <v>155.25</v>
      </c>
      <c r="R98">
        <v>1</v>
      </c>
      <c r="S98" t="s">
        <v>57</v>
      </c>
      <c r="T98" t="s">
        <v>96</v>
      </c>
      <c r="U98" s="4">
        <v>0.9</v>
      </c>
      <c r="V98" s="2">
        <v>0</v>
      </c>
      <c r="W98">
        <v>0</v>
      </c>
      <c r="X98" t="s">
        <v>70</v>
      </c>
      <c r="Y98" t="s">
        <v>97</v>
      </c>
      <c r="Z98">
        <v>6</v>
      </c>
      <c r="AA98" s="2">
        <v>838.32</v>
      </c>
      <c r="AB98" s="2">
        <v>0</v>
      </c>
      <c r="AC98" s="4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139.72</v>
      </c>
      <c r="AL98" s="2">
        <v>0</v>
      </c>
      <c r="AM98" s="2">
        <v>838.32</v>
      </c>
      <c r="AN98" s="2">
        <v>0</v>
      </c>
      <c r="AO98" s="2">
        <v>0</v>
      </c>
      <c r="AP98" s="2">
        <v>0</v>
      </c>
    </row>
    <row r="99" spans="1:42" x14ac:dyDescent="0.25">
      <c r="A99" s="1">
        <v>45915</v>
      </c>
      <c r="B99" t="s">
        <v>47</v>
      </c>
      <c r="C99">
        <v>649163</v>
      </c>
      <c r="D99">
        <v>2030940127</v>
      </c>
      <c r="E99" t="s">
        <v>687</v>
      </c>
      <c r="F99" t="s">
        <v>686</v>
      </c>
      <c r="G99" t="s">
        <v>50</v>
      </c>
      <c r="H99" t="s">
        <v>115</v>
      </c>
      <c r="I99" t="s">
        <v>441</v>
      </c>
      <c r="J99" t="s">
        <v>445</v>
      </c>
      <c r="K99">
        <v>673059</v>
      </c>
      <c r="L99" t="s">
        <v>152</v>
      </c>
      <c r="M99" t="s">
        <v>153</v>
      </c>
      <c r="N99" t="s">
        <v>56</v>
      </c>
      <c r="O99" s="1">
        <v>45909</v>
      </c>
      <c r="P99" s="1">
        <v>45939</v>
      </c>
      <c r="Q99" s="2">
        <v>147.4</v>
      </c>
      <c r="R99">
        <v>1</v>
      </c>
      <c r="S99" t="s">
        <v>57</v>
      </c>
      <c r="T99" t="s">
        <v>96</v>
      </c>
      <c r="U99" s="4">
        <v>0.7</v>
      </c>
      <c r="V99" s="2">
        <v>0</v>
      </c>
      <c r="W99">
        <v>0</v>
      </c>
      <c r="X99" t="s">
        <v>70</v>
      </c>
      <c r="Y99" t="s">
        <v>97</v>
      </c>
      <c r="Z99">
        <v>6</v>
      </c>
      <c r="AA99" s="2">
        <v>619.08000000000004</v>
      </c>
      <c r="AB99" s="2">
        <v>0</v>
      </c>
      <c r="AC99" s="4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103.18</v>
      </c>
      <c r="AL99" s="2">
        <v>0</v>
      </c>
      <c r="AM99" s="2">
        <v>619.08000000000004</v>
      </c>
      <c r="AN99" s="2">
        <v>0</v>
      </c>
      <c r="AO99" s="2">
        <v>0</v>
      </c>
      <c r="AP99" s="2">
        <v>0</v>
      </c>
    </row>
    <row r="100" spans="1:42" x14ac:dyDescent="0.25">
      <c r="A100" s="1">
        <v>45915</v>
      </c>
      <c r="B100" t="s">
        <v>47</v>
      </c>
      <c r="C100">
        <v>649163</v>
      </c>
      <c r="D100">
        <v>2030943608</v>
      </c>
      <c r="E100" t="s">
        <v>685</v>
      </c>
      <c r="F100" t="s">
        <v>684</v>
      </c>
      <c r="G100" t="s">
        <v>50</v>
      </c>
      <c r="H100" t="s">
        <v>93</v>
      </c>
      <c r="I100" t="s">
        <v>441</v>
      </c>
      <c r="J100" t="s">
        <v>445</v>
      </c>
      <c r="K100">
        <v>812656</v>
      </c>
      <c r="L100" t="s">
        <v>338</v>
      </c>
      <c r="M100" t="s">
        <v>377</v>
      </c>
      <c r="N100" t="s">
        <v>56</v>
      </c>
      <c r="O100" s="1">
        <v>45931</v>
      </c>
      <c r="P100" s="1">
        <v>45962</v>
      </c>
      <c r="Q100" s="2">
        <v>159.24</v>
      </c>
      <c r="R100">
        <v>1</v>
      </c>
      <c r="S100" t="s">
        <v>57</v>
      </c>
      <c r="T100" t="s">
        <v>96</v>
      </c>
      <c r="U100" s="4">
        <v>0.7</v>
      </c>
      <c r="V100" s="2">
        <v>0</v>
      </c>
      <c r="W100">
        <v>0</v>
      </c>
      <c r="X100" t="s">
        <v>70</v>
      </c>
      <c r="Y100" t="s">
        <v>97</v>
      </c>
      <c r="Z100">
        <v>6</v>
      </c>
      <c r="AA100" s="2">
        <v>668.82</v>
      </c>
      <c r="AB100" s="2">
        <v>0</v>
      </c>
      <c r="AC100" s="4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111.47</v>
      </c>
      <c r="AL100" s="2">
        <v>0</v>
      </c>
      <c r="AM100" s="2">
        <v>668.82</v>
      </c>
      <c r="AN100" s="2">
        <v>0</v>
      </c>
      <c r="AO100" s="2">
        <v>0</v>
      </c>
      <c r="AP100" s="2">
        <v>0</v>
      </c>
    </row>
    <row r="101" spans="1:42" x14ac:dyDescent="0.25">
      <c r="A101" s="1">
        <v>45915</v>
      </c>
      <c r="B101" t="s">
        <v>47</v>
      </c>
      <c r="C101">
        <v>649163</v>
      </c>
      <c r="D101">
        <v>2030945123</v>
      </c>
      <c r="E101" t="s">
        <v>547</v>
      </c>
      <c r="F101" t="s">
        <v>683</v>
      </c>
      <c r="G101" t="s">
        <v>50</v>
      </c>
      <c r="H101" t="s">
        <v>93</v>
      </c>
      <c r="I101" t="s">
        <v>441</v>
      </c>
      <c r="J101" t="s">
        <v>451</v>
      </c>
      <c r="K101">
        <v>820873</v>
      </c>
      <c r="L101" t="s">
        <v>262</v>
      </c>
      <c r="M101" t="s">
        <v>263</v>
      </c>
      <c r="N101" t="s">
        <v>56</v>
      </c>
      <c r="O101" s="1">
        <v>45909</v>
      </c>
      <c r="P101" s="1">
        <v>45939</v>
      </c>
      <c r="Q101" s="2">
        <v>25.08</v>
      </c>
      <c r="R101">
        <v>1</v>
      </c>
      <c r="S101" t="s">
        <v>57</v>
      </c>
      <c r="T101" t="s">
        <v>96</v>
      </c>
      <c r="U101" s="4">
        <v>0.42</v>
      </c>
      <c r="V101" s="2">
        <v>0</v>
      </c>
      <c r="W101">
        <v>0</v>
      </c>
      <c r="X101" t="s">
        <v>70</v>
      </c>
      <c r="Y101" t="s">
        <v>97</v>
      </c>
      <c r="Z101">
        <v>6</v>
      </c>
      <c r="AA101" s="2">
        <v>63.18</v>
      </c>
      <c r="AB101" s="2">
        <v>0</v>
      </c>
      <c r="AC101" s="4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10.53</v>
      </c>
      <c r="AL101" s="2">
        <v>0</v>
      </c>
      <c r="AM101" s="2">
        <v>63.18</v>
      </c>
      <c r="AN101" s="2">
        <v>0</v>
      </c>
      <c r="AO101" s="2">
        <v>0</v>
      </c>
      <c r="AP101" s="2">
        <v>0</v>
      </c>
    </row>
    <row r="102" spans="1:42" x14ac:dyDescent="0.25">
      <c r="A102" s="1">
        <v>45915</v>
      </c>
      <c r="B102" t="s">
        <v>47</v>
      </c>
      <c r="C102">
        <v>649163</v>
      </c>
      <c r="D102">
        <v>2030945328</v>
      </c>
      <c r="E102" t="s">
        <v>682</v>
      </c>
      <c r="F102" t="s">
        <v>49</v>
      </c>
      <c r="G102" t="s">
        <v>50</v>
      </c>
      <c r="H102" t="s">
        <v>93</v>
      </c>
      <c r="I102" t="s">
        <v>441</v>
      </c>
      <c r="J102" t="s">
        <v>445</v>
      </c>
      <c r="K102">
        <v>756803</v>
      </c>
      <c r="L102" t="s">
        <v>681</v>
      </c>
      <c r="M102" t="s">
        <v>558</v>
      </c>
      <c r="N102" t="s">
        <v>56</v>
      </c>
      <c r="O102" s="1">
        <v>45915</v>
      </c>
      <c r="P102" s="1">
        <v>45945</v>
      </c>
      <c r="Q102" s="2">
        <v>27.5</v>
      </c>
      <c r="R102">
        <v>1</v>
      </c>
      <c r="S102" t="s">
        <v>57</v>
      </c>
      <c r="T102" t="s">
        <v>96</v>
      </c>
      <c r="U102" s="4">
        <v>0.7</v>
      </c>
      <c r="V102" s="2">
        <v>0</v>
      </c>
      <c r="W102">
        <v>0</v>
      </c>
      <c r="X102" t="s">
        <v>70</v>
      </c>
      <c r="Y102" t="s">
        <v>97</v>
      </c>
      <c r="Z102">
        <v>6</v>
      </c>
      <c r="AA102" s="2">
        <v>115.5</v>
      </c>
      <c r="AB102" s="2">
        <v>0</v>
      </c>
      <c r="AC102" s="4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19.25</v>
      </c>
      <c r="AL102" s="2">
        <v>0</v>
      </c>
      <c r="AM102" s="2">
        <v>115.5</v>
      </c>
      <c r="AN102" s="2">
        <v>0</v>
      </c>
      <c r="AO102" s="2">
        <v>0</v>
      </c>
      <c r="AP102" s="2">
        <v>0</v>
      </c>
    </row>
    <row r="103" spans="1:42" x14ac:dyDescent="0.25">
      <c r="A103" s="1">
        <v>45915</v>
      </c>
      <c r="B103" t="s">
        <v>47</v>
      </c>
      <c r="C103">
        <v>649163</v>
      </c>
      <c r="D103">
        <v>2030954164</v>
      </c>
      <c r="E103" t="s">
        <v>680</v>
      </c>
      <c r="F103" t="s">
        <v>679</v>
      </c>
      <c r="G103" t="s">
        <v>50</v>
      </c>
      <c r="H103" t="s">
        <v>115</v>
      </c>
      <c r="I103" t="s">
        <v>441</v>
      </c>
      <c r="J103" t="s">
        <v>445</v>
      </c>
      <c r="K103">
        <v>822865</v>
      </c>
      <c r="L103" t="s">
        <v>158</v>
      </c>
      <c r="M103" t="s">
        <v>159</v>
      </c>
      <c r="N103" t="s">
        <v>56</v>
      </c>
      <c r="O103" s="1">
        <v>45911</v>
      </c>
      <c r="P103" s="1">
        <v>45941</v>
      </c>
      <c r="Q103" s="2">
        <v>28.38</v>
      </c>
      <c r="R103">
        <v>1</v>
      </c>
      <c r="S103" t="s">
        <v>57</v>
      </c>
      <c r="T103" t="s">
        <v>96</v>
      </c>
      <c r="U103" s="4">
        <v>0.7</v>
      </c>
      <c r="V103" s="2">
        <v>0</v>
      </c>
      <c r="W103">
        <v>0</v>
      </c>
      <c r="X103" t="s">
        <v>70</v>
      </c>
      <c r="Y103" t="s">
        <v>97</v>
      </c>
      <c r="Z103">
        <v>6</v>
      </c>
      <c r="AA103" s="2">
        <v>119.22</v>
      </c>
      <c r="AB103" s="2">
        <v>0</v>
      </c>
      <c r="AC103" s="4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19.87</v>
      </c>
      <c r="AL103" s="2">
        <v>0</v>
      </c>
      <c r="AM103" s="2">
        <v>119.22</v>
      </c>
      <c r="AN103" s="2">
        <v>0</v>
      </c>
      <c r="AO103" s="2">
        <v>0</v>
      </c>
      <c r="AP103" s="2">
        <v>0</v>
      </c>
    </row>
    <row r="104" spans="1:42" x14ac:dyDescent="0.25">
      <c r="A104" s="1">
        <v>45915</v>
      </c>
      <c r="B104" t="s">
        <v>47</v>
      </c>
      <c r="C104">
        <v>649163</v>
      </c>
      <c r="D104">
        <v>2030956182</v>
      </c>
      <c r="E104" t="s">
        <v>678</v>
      </c>
      <c r="F104" t="s">
        <v>179</v>
      </c>
      <c r="G104" t="s">
        <v>50</v>
      </c>
      <c r="H104" t="s">
        <v>115</v>
      </c>
      <c r="I104" t="s">
        <v>441</v>
      </c>
      <c r="J104" t="s">
        <v>442</v>
      </c>
      <c r="K104">
        <v>650218</v>
      </c>
      <c r="L104" t="s">
        <v>73</v>
      </c>
      <c r="M104" t="s">
        <v>74</v>
      </c>
      <c r="N104" t="s">
        <v>56</v>
      </c>
      <c r="O104" s="1">
        <v>45910</v>
      </c>
      <c r="P104" s="1">
        <v>45940</v>
      </c>
      <c r="Q104" s="2">
        <v>9.0500000000000007</v>
      </c>
      <c r="R104">
        <v>1</v>
      </c>
      <c r="S104" t="s">
        <v>57</v>
      </c>
      <c r="T104" t="s">
        <v>96</v>
      </c>
      <c r="U104" s="4">
        <v>0.9</v>
      </c>
      <c r="V104" s="2">
        <v>0</v>
      </c>
      <c r="W104">
        <v>0</v>
      </c>
      <c r="X104" t="s">
        <v>70</v>
      </c>
      <c r="Y104" t="s">
        <v>97</v>
      </c>
      <c r="Z104">
        <v>6</v>
      </c>
      <c r="AA104" s="2">
        <v>48.84</v>
      </c>
      <c r="AB104" s="2">
        <v>0</v>
      </c>
      <c r="AC104" s="4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8.14</v>
      </c>
      <c r="AL104" s="2">
        <v>0</v>
      </c>
      <c r="AM104" s="2">
        <v>48.84</v>
      </c>
      <c r="AN104" s="2">
        <v>0</v>
      </c>
      <c r="AO104" s="2">
        <v>0</v>
      </c>
      <c r="AP104" s="2">
        <v>0</v>
      </c>
    </row>
    <row r="105" spans="1:42" x14ac:dyDescent="0.25">
      <c r="A105" s="1">
        <v>45915</v>
      </c>
      <c r="B105" t="s">
        <v>47</v>
      </c>
      <c r="C105">
        <v>649163</v>
      </c>
      <c r="D105">
        <v>2030959733</v>
      </c>
      <c r="E105" t="s">
        <v>677</v>
      </c>
      <c r="F105" t="s">
        <v>480</v>
      </c>
      <c r="G105" t="s">
        <v>50</v>
      </c>
      <c r="H105" t="s">
        <v>151</v>
      </c>
      <c r="I105" t="s">
        <v>441</v>
      </c>
      <c r="J105" t="s">
        <v>445</v>
      </c>
      <c r="K105">
        <v>673059</v>
      </c>
      <c r="L105" t="s">
        <v>152</v>
      </c>
      <c r="M105" t="s">
        <v>153</v>
      </c>
      <c r="N105" t="s">
        <v>56</v>
      </c>
      <c r="O105" s="1">
        <v>45931</v>
      </c>
      <c r="P105" s="1">
        <v>45962</v>
      </c>
      <c r="Q105" s="2">
        <v>57.27</v>
      </c>
      <c r="R105">
        <v>1</v>
      </c>
      <c r="S105" t="s">
        <v>57</v>
      </c>
      <c r="T105" t="s">
        <v>96</v>
      </c>
      <c r="U105" s="4">
        <v>0.7</v>
      </c>
      <c r="V105" s="2">
        <v>0</v>
      </c>
      <c r="W105">
        <v>0</v>
      </c>
      <c r="X105" t="s">
        <v>70</v>
      </c>
      <c r="Y105" t="s">
        <v>97</v>
      </c>
      <c r="Z105">
        <v>6</v>
      </c>
      <c r="AA105" s="2">
        <v>240.54</v>
      </c>
      <c r="AB105" s="2">
        <v>0</v>
      </c>
      <c r="AC105" s="4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40.090000000000003</v>
      </c>
      <c r="AL105" s="2">
        <v>0</v>
      </c>
      <c r="AM105" s="2">
        <v>240.54</v>
      </c>
      <c r="AN105" s="2">
        <v>0</v>
      </c>
      <c r="AO105" s="2">
        <v>0</v>
      </c>
      <c r="AP105" s="2">
        <v>0</v>
      </c>
    </row>
    <row r="106" spans="1:42" x14ac:dyDescent="0.25">
      <c r="A106" s="1">
        <v>45915</v>
      </c>
      <c r="B106" t="s">
        <v>47</v>
      </c>
      <c r="C106">
        <v>649163</v>
      </c>
      <c r="D106">
        <v>2030962019</v>
      </c>
      <c r="E106" t="s">
        <v>676</v>
      </c>
      <c r="F106" t="s">
        <v>374</v>
      </c>
      <c r="G106" t="s">
        <v>50</v>
      </c>
      <c r="H106" t="s">
        <v>180</v>
      </c>
      <c r="I106" t="s">
        <v>441</v>
      </c>
      <c r="J106" t="s">
        <v>451</v>
      </c>
      <c r="K106">
        <v>877790</v>
      </c>
      <c r="L106" t="s">
        <v>299</v>
      </c>
      <c r="M106" t="s">
        <v>300</v>
      </c>
      <c r="N106" t="s">
        <v>56</v>
      </c>
      <c r="O106" s="1">
        <v>45911</v>
      </c>
      <c r="P106" s="1">
        <v>45941</v>
      </c>
      <c r="Q106" s="2">
        <v>62.3</v>
      </c>
      <c r="R106">
        <v>1</v>
      </c>
      <c r="S106" t="s">
        <v>57</v>
      </c>
      <c r="T106" t="s">
        <v>96</v>
      </c>
      <c r="U106" s="4">
        <v>0.42</v>
      </c>
      <c r="V106" s="2">
        <v>0</v>
      </c>
      <c r="W106">
        <v>0</v>
      </c>
      <c r="X106" t="s">
        <v>70</v>
      </c>
      <c r="Y106" t="s">
        <v>97</v>
      </c>
      <c r="Z106">
        <v>6</v>
      </c>
      <c r="AA106" s="2">
        <v>157.02000000000001</v>
      </c>
      <c r="AB106" s="2">
        <v>0</v>
      </c>
      <c r="AC106" s="4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26.17</v>
      </c>
      <c r="AL106" s="2">
        <v>0</v>
      </c>
      <c r="AM106" s="2">
        <v>157.02000000000001</v>
      </c>
      <c r="AN106" s="2">
        <v>0</v>
      </c>
      <c r="AO106" s="2">
        <v>0</v>
      </c>
      <c r="AP106" s="2">
        <v>0</v>
      </c>
    </row>
    <row r="107" spans="1:42" x14ac:dyDescent="0.25">
      <c r="A107" s="1">
        <v>45915</v>
      </c>
      <c r="B107" t="s">
        <v>47</v>
      </c>
      <c r="C107">
        <v>649163</v>
      </c>
      <c r="D107">
        <v>2030963808</v>
      </c>
      <c r="E107" t="s">
        <v>675</v>
      </c>
      <c r="F107" t="s">
        <v>674</v>
      </c>
      <c r="G107" t="s">
        <v>50</v>
      </c>
      <c r="H107" t="s">
        <v>151</v>
      </c>
      <c r="I107" t="s">
        <v>441</v>
      </c>
      <c r="J107" t="s">
        <v>445</v>
      </c>
      <c r="K107">
        <v>673059</v>
      </c>
      <c r="L107" t="s">
        <v>152</v>
      </c>
      <c r="M107" t="s">
        <v>153</v>
      </c>
      <c r="N107" t="s">
        <v>56</v>
      </c>
      <c r="O107" s="1">
        <v>45910</v>
      </c>
      <c r="P107" s="1">
        <v>45940</v>
      </c>
      <c r="Q107" s="2">
        <v>57.27</v>
      </c>
      <c r="R107">
        <v>1</v>
      </c>
      <c r="S107" t="s">
        <v>57</v>
      </c>
      <c r="T107" t="s">
        <v>96</v>
      </c>
      <c r="U107" s="4">
        <v>0.7</v>
      </c>
      <c r="V107" s="2">
        <v>0</v>
      </c>
      <c r="W107">
        <v>0</v>
      </c>
      <c r="X107" t="s">
        <v>70</v>
      </c>
      <c r="Y107" t="s">
        <v>97</v>
      </c>
      <c r="Z107">
        <v>6</v>
      </c>
      <c r="AA107" s="2">
        <v>240.54</v>
      </c>
      <c r="AB107" s="2">
        <v>0</v>
      </c>
      <c r="AC107" s="4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40.090000000000003</v>
      </c>
      <c r="AL107" s="2">
        <v>0</v>
      </c>
      <c r="AM107" s="2">
        <v>240.54</v>
      </c>
      <c r="AN107" s="2">
        <v>0</v>
      </c>
      <c r="AO107" s="2">
        <v>0</v>
      </c>
      <c r="AP107" s="2">
        <v>0</v>
      </c>
    </row>
    <row r="108" spans="1:42" x14ac:dyDescent="0.25">
      <c r="A108" s="1">
        <v>45915</v>
      </c>
      <c r="B108" t="s">
        <v>47</v>
      </c>
      <c r="C108">
        <v>649163</v>
      </c>
      <c r="D108">
        <v>2030966818</v>
      </c>
      <c r="E108" t="s">
        <v>673</v>
      </c>
      <c r="F108" t="s">
        <v>281</v>
      </c>
      <c r="G108" t="s">
        <v>50</v>
      </c>
      <c r="H108" t="s">
        <v>193</v>
      </c>
      <c r="I108" t="s">
        <v>441</v>
      </c>
      <c r="J108" t="s">
        <v>445</v>
      </c>
      <c r="K108">
        <v>823350</v>
      </c>
      <c r="L108" t="s">
        <v>79</v>
      </c>
      <c r="M108" t="s">
        <v>80</v>
      </c>
      <c r="N108" t="s">
        <v>56</v>
      </c>
      <c r="O108" s="1">
        <v>45910</v>
      </c>
      <c r="P108" s="1">
        <v>45940</v>
      </c>
      <c r="Q108" s="2">
        <v>18.57</v>
      </c>
      <c r="R108">
        <v>1</v>
      </c>
      <c r="S108" t="s">
        <v>57</v>
      </c>
      <c r="T108" t="s">
        <v>96</v>
      </c>
      <c r="U108" s="4">
        <v>0.7</v>
      </c>
      <c r="V108" s="2">
        <v>0</v>
      </c>
      <c r="W108">
        <v>0</v>
      </c>
      <c r="X108" t="s">
        <v>70</v>
      </c>
      <c r="Y108" t="s">
        <v>97</v>
      </c>
      <c r="Z108">
        <v>6</v>
      </c>
      <c r="AA108" s="2">
        <v>78</v>
      </c>
      <c r="AB108" s="2">
        <v>0</v>
      </c>
      <c r="AC108" s="4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13</v>
      </c>
      <c r="AL108" s="2">
        <v>0</v>
      </c>
      <c r="AM108" s="2">
        <v>78</v>
      </c>
      <c r="AN108" s="2">
        <v>0</v>
      </c>
      <c r="AO108" s="2">
        <v>0</v>
      </c>
      <c r="AP108" s="2">
        <v>0</v>
      </c>
    </row>
    <row r="109" spans="1:42" x14ac:dyDescent="0.25">
      <c r="A109" s="1">
        <v>45915</v>
      </c>
      <c r="B109" t="s">
        <v>47</v>
      </c>
      <c r="C109">
        <v>649163</v>
      </c>
      <c r="D109">
        <v>2030982991</v>
      </c>
      <c r="E109" t="s">
        <v>672</v>
      </c>
      <c r="F109" t="s">
        <v>671</v>
      </c>
      <c r="G109" t="s">
        <v>50</v>
      </c>
      <c r="H109" t="s">
        <v>151</v>
      </c>
      <c r="I109" t="s">
        <v>441</v>
      </c>
      <c r="J109" t="s">
        <v>445</v>
      </c>
      <c r="K109">
        <v>823350</v>
      </c>
      <c r="L109" t="s">
        <v>79</v>
      </c>
      <c r="M109" t="s">
        <v>80</v>
      </c>
      <c r="N109" t="s">
        <v>56</v>
      </c>
      <c r="O109" s="1">
        <v>45915</v>
      </c>
      <c r="P109" s="1">
        <v>45945</v>
      </c>
      <c r="Q109" s="2">
        <v>94.01</v>
      </c>
      <c r="R109">
        <v>1</v>
      </c>
      <c r="S109" t="s">
        <v>57</v>
      </c>
      <c r="T109" t="s">
        <v>96</v>
      </c>
      <c r="U109" s="4">
        <v>0.7</v>
      </c>
      <c r="V109" s="2">
        <v>0</v>
      </c>
      <c r="W109">
        <v>0</v>
      </c>
      <c r="X109" t="s">
        <v>70</v>
      </c>
      <c r="Y109" t="s">
        <v>97</v>
      </c>
      <c r="Z109">
        <v>6</v>
      </c>
      <c r="AA109" s="2">
        <v>394.86</v>
      </c>
      <c r="AB109" s="2">
        <v>0</v>
      </c>
      <c r="AC109" s="4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65.81</v>
      </c>
      <c r="AL109" s="2">
        <v>0</v>
      </c>
      <c r="AM109" s="2">
        <v>394.86</v>
      </c>
      <c r="AN109" s="2">
        <v>0</v>
      </c>
      <c r="AO109" s="2">
        <v>0</v>
      </c>
      <c r="AP109" s="2">
        <v>0</v>
      </c>
    </row>
    <row r="110" spans="1:42" x14ac:dyDescent="0.25">
      <c r="A110" s="1">
        <v>45915</v>
      </c>
      <c r="B110" t="s">
        <v>47</v>
      </c>
      <c r="C110">
        <v>649163</v>
      </c>
      <c r="D110">
        <v>2030986241</v>
      </c>
      <c r="E110" t="s">
        <v>670</v>
      </c>
      <c r="F110" t="s">
        <v>669</v>
      </c>
      <c r="G110" t="s">
        <v>50</v>
      </c>
      <c r="H110" t="s">
        <v>115</v>
      </c>
      <c r="I110" t="s">
        <v>441</v>
      </c>
      <c r="J110" t="s">
        <v>445</v>
      </c>
      <c r="K110">
        <v>673059</v>
      </c>
      <c r="L110" t="s">
        <v>152</v>
      </c>
      <c r="M110" t="s">
        <v>153</v>
      </c>
      <c r="N110" t="s">
        <v>56</v>
      </c>
      <c r="O110" s="1">
        <v>45913</v>
      </c>
      <c r="P110" s="1">
        <v>45943</v>
      </c>
      <c r="Q110" s="2">
        <v>13</v>
      </c>
      <c r="R110">
        <v>1</v>
      </c>
      <c r="S110" t="s">
        <v>57</v>
      </c>
      <c r="T110" t="s">
        <v>96</v>
      </c>
      <c r="U110" s="4">
        <v>0.7</v>
      </c>
      <c r="V110" s="2">
        <v>0</v>
      </c>
      <c r="W110">
        <v>0</v>
      </c>
      <c r="X110" t="s">
        <v>70</v>
      </c>
      <c r="Y110" t="s">
        <v>97</v>
      </c>
      <c r="Z110">
        <v>6</v>
      </c>
      <c r="AA110" s="2">
        <v>54.6</v>
      </c>
      <c r="AB110" s="2">
        <v>0</v>
      </c>
      <c r="AC110" s="4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9.1</v>
      </c>
      <c r="AL110" s="2">
        <v>0</v>
      </c>
      <c r="AM110" s="2">
        <v>54.6</v>
      </c>
      <c r="AN110" s="2">
        <v>0</v>
      </c>
      <c r="AO110" s="2">
        <v>0</v>
      </c>
      <c r="AP110" s="2">
        <v>0</v>
      </c>
    </row>
    <row r="111" spans="1:42" x14ac:dyDescent="0.25">
      <c r="A111" s="1">
        <v>45915</v>
      </c>
      <c r="B111" t="s">
        <v>47</v>
      </c>
      <c r="C111">
        <v>649163</v>
      </c>
      <c r="D111">
        <v>2030987631</v>
      </c>
      <c r="E111" t="s">
        <v>640</v>
      </c>
      <c r="F111" t="s">
        <v>171</v>
      </c>
      <c r="G111" t="s">
        <v>50</v>
      </c>
      <c r="H111" t="s">
        <v>134</v>
      </c>
      <c r="I111" t="s">
        <v>441</v>
      </c>
      <c r="J111" t="s">
        <v>451</v>
      </c>
      <c r="K111">
        <v>823068</v>
      </c>
      <c r="L111" t="s">
        <v>215</v>
      </c>
      <c r="M111" t="s">
        <v>216</v>
      </c>
      <c r="N111" t="s">
        <v>56</v>
      </c>
      <c r="O111" s="1">
        <v>45931</v>
      </c>
      <c r="P111" s="1">
        <v>45962</v>
      </c>
      <c r="Q111" s="2">
        <v>15.5</v>
      </c>
      <c r="R111">
        <v>1</v>
      </c>
      <c r="S111" t="s">
        <v>57</v>
      </c>
      <c r="T111" t="s">
        <v>96</v>
      </c>
      <c r="U111" s="4">
        <v>0.42</v>
      </c>
      <c r="V111" s="2">
        <v>0</v>
      </c>
      <c r="W111">
        <v>0</v>
      </c>
      <c r="X111" t="s">
        <v>70</v>
      </c>
      <c r="Y111" t="s">
        <v>97</v>
      </c>
      <c r="Z111">
        <v>6</v>
      </c>
      <c r="AA111" s="2">
        <v>39.06</v>
      </c>
      <c r="AB111" s="2">
        <v>0</v>
      </c>
      <c r="AC111" s="4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6.51</v>
      </c>
      <c r="AL111" s="2">
        <v>0</v>
      </c>
      <c r="AM111" s="2">
        <v>39.06</v>
      </c>
      <c r="AN111" s="2">
        <v>0</v>
      </c>
      <c r="AO111" s="2">
        <v>0</v>
      </c>
      <c r="AP111" s="2">
        <v>0</v>
      </c>
    </row>
    <row r="112" spans="1:42" x14ac:dyDescent="0.25">
      <c r="A112" s="1">
        <v>45915</v>
      </c>
      <c r="B112" t="s">
        <v>47</v>
      </c>
      <c r="C112">
        <v>649163</v>
      </c>
      <c r="D112">
        <v>2030987632</v>
      </c>
      <c r="E112" t="s">
        <v>640</v>
      </c>
      <c r="F112" t="s">
        <v>171</v>
      </c>
      <c r="G112" t="s">
        <v>50</v>
      </c>
      <c r="H112" t="s">
        <v>134</v>
      </c>
      <c r="I112" t="s">
        <v>441</v>
      </c>
      <c r="J112" t="s">
        <v>445</v>
      </c>
      <c r="K112">
        <v>823068</v>
      </c>
      <c r="L112" t="s">
        <v>215</v>
      </c>
      <c r="M112" t="s">
        <v>216</v>
      </c>
      <c r="N112" t="s">
        <v>56</v>
      </c>
      <c r="O112" s="1">
        <v>45931</v>
      </c>
      <c r="P112" s="1">
        <v>45962</v>
      </c>
      <c r="Q112" s="2">
        <v>26.67</v>
      </c>
      <c r="R112">
        <v>1</v>
      </c>
      <c r="S112" t="s">
        <v>57</v>
      </c>
      <c r="T112" t="s">
        <v>96</v>
      </c>
      <c r="U112" s="4">
        <v>0.7</v>
      </c>
      <c r="V112" s="2">
        <v>0</v>
      </c>
      <c r="W112">
        <v>0</v>
      </c>
      <c r="X112" t="s">
        <v>70</v>
      </c>
      <c r="Y112" t="s">
        <v>97</v>
      </c>
      <c r="Z112">
        <v>6</v>
      </c>
      <c r="AA112" s="2">
        <v>112.02</v>
      </c>
      <c r="AB112" s="2">
        <v>0</v>
      </c>
      <c r="AC112" s="4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18.670000000000002</v>
      </c>
      <c r="AL112" s="2">
        <v>0</v>
      </c>
      <c r="AM112" s="2">
        <v>112.02</v>
      </c>
      <c r="AN112" s="2">
        <v>0</v>
      </c>
      <c r="AO112" s="2">
        <v>0</v>
      </c>
      <c r="AP112" s="2">
        <v>0</v>
      </c>
    </row>
    <row r="113" spans="1:42" x14ac:dyDescent="0.25">
      <c r="A113" s="1">
        <v>45915</v>
      </c>
      <c r="B113" t="s">
        <v>47</v>
      </c>
      <c r="C113">
        <v>649163</v>
      </c>
      <c r="D113">
        <v>2030994135</v>
      </c>
      <c r="E113" t="s">
        <v>668</v>
      </c>
      <c r="F113" t="s">
        <v>630</v>
      </c>
      <c r="G113" t="s">
        <v>50</v>
      </c>
      <c r="H113" t="s">
        <v>214</v>
      </c>
      <c r="I113" t="s">
        <v>441</v>
      </c>
      <c r="J113" t="s">
        <v>545</v>
      </c>
      <c r="K113">
        <v>823068</v>
      </c>
      <c r="L113" t="s">
        <v>215</v>
      </c>
      <c r="M113" t="s">
        <v>216</v>
      </c>
      <c r="N113" t="s">
        <v>56</v>
      </c>
      <c r="O113" s="1">
        <v>45931</v>
      </c>
      <c r="P113" s="1">
        <v>45962</v>
      </c>
      <c r="Q113" s="2">
        <v>24.61</v>
      </c>
      <c r="R113">
        <v>1</v>
      </c>
      <c r="S113" t="s">
        <v>57</v>
      </c>
      <c r="T113" t="s">
        <v>96</v>
      </c>
      <c r="U113" s="4">
        <v>0.7</v>
      </c>
      <c r="V113" s="2">
        <v>0</v>
      </c>
      <c r="W113">
        <v>0</v>
      </c>
      <c r="X113" t="s">
        <v>70</v>
      </c>
      <c r="Y113" t="s">
        <v>97</v>
      </c>
      <c r="Z113">
        <v>6</v>
      </c>
      <c r="AA113" s="2">
        <v>103.38</v>
      </c>
      <c r="AB113" s="2">
        <v>0</v>
      </c>
      <c r="AC113" s="4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17.23</v>
      </c>
      <c r="AL113" s="2">
        <v>0</v>
      </c>
      <c r="AM113" s="2">
        <v>103.38</v>
      </c>
      <c r="AN113" s="2">
        <v>0</v>
      </c>
      <c r="AO113" s="2">
        <v>0</v>
      </c>
      <c r="AP113" s="2">
        <v>0</v>
      </c>
    </row>
    <row r="114" spans="1:42" x14ac:dyDescent="0.25">
      <c r="A114" s="1">
        <v>45915</v>
      </c>
      <c r="B114" t="s">
        <v>47</v>
      </c>
      <c r="C114">
        <v>649163</v>
      </c>
      <c r="D114">
        <v>2031001701</v>
      </c>
      <c r="E114" t="s">
        <v>667</v>
      </c>
      <c r="F114" t="s">
        <v>666</v>
      </c>
      <c r="G114" t="s">
        <v>50</v>
      </c>
      <c r="H114" t="s">
        <v>77</v>
      </c>
      <c r="I114" t="s">
        <v>441</v>
      </c>
      <c r="J114" t="s">
        <v>445</v>
      </c>
      <c r="K114">
        <v>751867</v>
      </c>
      <c r="L114" t="s">
        <v>84</v>
      </c>
      <c r="M114" t="s">
        <v>85</v>
      </c>
      <c r="N114" t="s">
        <v>56</v>
      </c>
      <c r="O114" s="1">
        <v>45931</v>
      </c>
      <c r="P114" s="1">
        <v>45962</v>
      </c>
      <c r="Q114" s="2">
        <v>21.71</v>
      </c>
      <c r="R114">
        <v>1</v>
      </c>
      <c r="S114" t="s">
        <v>57</v>
      </c>
      <c r="T114" t="s">
        <v>96</v>
      </c>
      <c r="U114" s="4">
        <v>0.7</v>
      </c>
      <c r="V114" s="2">
        <v>0</v>
      </c>
      <c r="W114">
        <v>0</v>
      </c>
      <c r="X114" t="s">
        <v>70</v>
      </c>
      <c r="Y114" t="s">
        <v>97</v>
      </c>
      <c r="Z114">
        <v>6</v>
      </c>
      <c r="AA114" s="2">
        <v>91.2</v>
      </c>
      <c r="AB114" s="2">
        <v>0</v>
      </c>
      <c r="AC114" s="4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15.2</v>
      </c>
      <c r="AL114" s="2">
        <v>0</v>
      </c>
      <c r="AM114" s="2">
        <v>91.2</v>
      </c>
      <c r="AN114" s="2">
        <v>0</v>
      </c>
      <c r="AO114" s="2">
        <v>0</v>
      </c>
      <c r="AP114" s="2">
        <v>0</v>
      </c>
    </row>
    <row r="115" spans="1:42" x14ac:dyDescent="0.25">
      <c r="A115" s="1">
        <v>45915</v>
      </c>
      <c r="B115" t="s">
        <v>47</v>
      </c>
      <c r="C115">
        <v>649163</v>
      </c>
      <c r="D115">
        <v>2031005188</v>
      </c>
      <c r="E115" t="s">
        <v>665</v>
      </c>
      <c r="F115" t="s">
        <v>664</v>
      </c>
      <c r="G115" t="s">
        <v>50</v>
      </c>
      <c r="H115" t="s">
        <v>214</v>
      </c>
      <c r="I115" t="s">
        <v>441</v>
      </c>
      <c r="J115" t="s">
        <v>545</v>
      </c>
      <c r="K115">
        <v>823068</v>
      </c>
      <c r="L115" t="s">
        <v>215</v>
      </c>
      <c r="M115" t="s">
        <v>216</v>
      </c>
      <c r="N115" t="s">
        <v>56</v>
      </c>
      <c r="O115" s="1">
        <v>45931</v>
      </c>
      <c r="P115" s="1">
        <v>45962</v>
      </c>
      <c r="Q115" s="2">
        <v>24.61</v>
      </c>
      <c r="R115">
        <v>1</v>
      </c>
      <c r="S115" t="s">
        <v>57</v>
      </c>
      <c r="T115" t="s">
        <v>96</v>
      </c>
      <c r="U115" s="4">
        <v>0.7</v>
      </c>
      <c r="V115" s="2">
        <v>0</v>
      </c>
      <c r="W115">
        <v>0</v>
      </c>
      <c r="X115" t="s">
        <v>70</v>
      </c>
      <c r="Y115" t="s">
        <v>97</v>
      </c>
      <c r="Z115">
        <v>6</v>
      </c>
      <c r="AA115" s="2">
        <v>103.38</v>
      </c>
      <c r="AB115" s="2">
        <v>0</v>
      </c>
      <c r="AC115" s="4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17.23</v>
      </c>
      <c r="AL115" s="2">
        <v>0</v>
      </c>
      <c r="AM115" s="2">
        <v>103.38</v>
      </c>
      <c r="AN115" s="2">
        <v>0</v>
      </c>
      <c r="AO115" s="2">
        <v>0</v>
      </c>
      <c r="AP115" s="2">
        <v>0</v>
      </c>
    </row>
    <row r="116" spans="1:42" x14ac:dyDescent="0.25">
      <c r="A116" s="1">
        <v>45915</v>
      </c>
      <c r="B116" t="s">
        <v>47</v>
      </c>
      <c r="C116">
        <v>649163</v>
      </c>
      <c r="D116">
        <v>2031005189</v>
      </c>
      <c r="E116" t="s">
        <v>665</v>
      </c>
      <c r="F116" t="s">
        <v>664</v>
      </c>
      <c r="G116" t="s">
        <v>50</v>
      </c>
      <c r="H116" t="s">
        <v>214</v>
      </c>
      <c r="I116" t="s">
        <v>441</v>
      </c>
      <c r="J116" t="s">
        <v>442</v>
      </c>
      <c r="K116">
        <v>823068</v>
      </c>
      <c r="L116" t="s">
        <v>215</v>
      </c>
      <c r="M116" t="s">
        <v>216</v>
      </c>
      <c r="N116" t="s">
        <v>56</v>
      </c>
      <c r="O116" s="1">
        <v>45931</v>
      </c>
      <c r="P116" s="1">
        <v>45962</v>
      </c>
      <c r="Q116" s="2">
        <v>27.81</v>
      </c>
      <c r="R116">
        <v>1</v>
      </c>
      <c r="S116" t="s">
        <v>57</v>
      </c>
      <c r="T116" t="s">
        <v>96</v>
      </c>
      <c r="U116" s="4">
        <v>0.9</v>
      </c>
      <c r="V116" s="2">
        <v>0</v>
      </c>
      <c r="W116">
        <v>0</v>
      </c>
      <c r="X116" t="s">
        <v>70</v>
      </c>
      <c r="Y116" t="s">
        <v>97</v>
      </c>
      <c r="Z116">
        <v>6</v>
      </c>
      <c r="AA116" s="2">
        <v>150.18</v>
      </c>
      <c r="AB116" s="2">
        <v>0</v>
      </c>
      <c r="AC116" s="4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25.03</v>
      </c>
      <c r="AL116" s="2">
        <v>0</v>
      </c>
      <c r="AM116" s="2">
        <v>150.18</v>
      </c>
      <c r="AN116" s="2">
        <v>0</v>
      </c>
      <c r="AO116" s="2">
        <v>0</v>
      </c>
      <c r="AP116" s="2">
        <v>0</v>
      </c>
    </row>
    <row r="117" spans="1:42" x14ac:dyDescent="0.25">
      <c r="A117" s="1">
        <v>45915</v>
      </c>
      <c r="B117" t="s">
        <v>47</v>
      </c>
      <c r="C117">
        <v>649163</v>
      </c>
      <c r="D117">
        <v>2031017068</v>
      </c>
      <c r="E117" t="s">
        <v>639</v>
      </c>
      <c r="F117" t="s">
        <v>49</v>
      </c>
      <c r="G117" t="s">
        <v>50</v>
      </c>
      <c r="H117" t="s">
        <v>180</v>
      </c>
      <c r="I117" t="s">
        <v>441</v>
      </c>
      <c r="J117" t="s">
        <v>445</v>
      </c>
      <c r="K117">
        <v>877790</v>
      </c>
      <c r="L117" t="s">
        <v>299</v>
      </c>
      <c r="M117" t="s">
        <v>300</v>
      </c>
      <c r="N117" t="s">
        <v>56</v>
      </c>
      <c r="O117" s="1">
        <v>45913</v>
      </c>
      <c r="P117" s="1">
        <v>45943</v>
      </c>
      <c r="Q117" s="2">
        <v>14.92</v>
      </c>
      <c r="R117">
        <v>1</v>
      </c>
      <c r="S117" t="s">
        <v>57</v>
      </c>
      <c r="T117" t="s">
        <v>96</v>
      </c>
      <c r="U117" s="4">
        <v>0.7</v>
      </c>
      <c r="V117" s="2">
        <v>0</v>
      </c>
      <c r="W117">
        <v>0</v>
      </c>
      <c r="X117" t="s">
        <v>70</v>
      </c>
      <c r="Y117" t="s">
        <v>97</v>
      </c>
      <c r="Z117">
        <v>6</v>
      </c>
      <c r="AA117" s="2">
        <v>62.64</v>
      </c>
      <c r="AB117" s="2">
        <v>0</v>
      </c>
      <c r="AC117" s="4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10.44</v>
      </c>
      <c r="AL117" s="2">
        <v>0</v>
      </c>
      <c r="AM117" s="2">
        <v>62.64</v>
      </c>
      <c r="AN117" s="2">
        <v>0</v>
      </c>
      <c r="AO117" s="2">
        <v>0</v>
      </c>
      <c r="AP117" s="2">
        <v>0</v>
      </c>
    </row>
    <row r="118" spans="1:42" x14ac:dyDescent="0.25">
      <c r="A118" s="1">
        <v>45915</v>
      </c>
      <c r="B118" t="s">
        <v>47</v>
      </c>
      <c r="C118">
        <v>649163</v>
      </c>
      <c r="D118">
        <v>2031032749</v>
      </c>
      <c r="E118" t="s">
        <v>663</v>
      </c>
      <c r="F118" t="s">
        <v>662</v>
      </c>
      <c r="G118" t="s">
        <v>50</v>
      </c>
      <c r="H118" t="s">
        <v>93</v>
      </c>
      <c r="I118" t="s">
        <v>441</v>
      </c>
      <c r="J118" t="s">
        <v>445</v>
      </c>
      <c r="K118">
        <v>882035</v>
      </c>
      <c r="L118" t="s">
        <v>661</v>
      </c>
      <c r="M118" t="s">
        <v>660</v>
      </c>
      <c r="N118" t="s">
        <v>56</v>
      </c>
      <c r="O118" s="1">
        <v>45931</v>
      </c>
      <c r="P118" s="1">
        <v>45962</v>
      </c>
      <c r="Q118" s="2">
        <v>102.7</v>
      </c>
      <c r="R118">
        <v>1</v>
      </c>
      <c r="S118" t="s">
        <v>57</v>
      </c>
      <c r="T118" t="s">
        <v>96</v>
      </c>
      <c r="U118" s="4">
        <v>0.7</v>
      </c>
      <c r="V118" s="2">
        <v>0</v>
      </c>
      <c r="W118">
        <v>0</v>
      </c>
      <c r="X118" t="s">
        <v>70</v>
      </c>
      <c r="Y118" t="s">
        <v>97</v>
      </c>
      <c r="Z118">
        <v>6</v>
      </c>
      <c r="AA118" s="2">
        <v>431.34</v>
      </c>
      <c r="AB118" s="2">
        <v>0</v>
      </c>
      <c r="AC118" s="4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71.89</v>
      </c>
      <c r="AL118" s="2">
        <v>0</v>
      </c>
      <c r="AM118" s="2">
        <v>431.34</v>
      </c>
      <c r="AN118" s="2">
        <v>0</v>
      </c>
      <c r="AO118" s="2">
        <v>0</v>
      </c>
      <c r="AP118" s="2">
        <v>0</v>
      </c>
    </row>
    <row r="119" spans="1:42" x14ac:dyDescent="0.25">
      <c r="A119" s="1">
        <v>45915</v>
      </c>
      <c r="B119" t="s">
        <v>47</v>
      </c>
      <c r="C119">
        <v>649163</v>
      </c>
      <c r="D119">
        <v>2031047975</v>
      </c>
      <c r="E119" t="s">
        <v>659</v>
      </c>
      <c r="F119" t="s">
        <v>658</v>
      </c>
      <c r="G119" t="s">
        <v>50</v>
      </c>
      <c r="H119" t="s">
        <v>115</v>
      </c>
      <c r="I119" t="s">
        <v>441</v>
      </c>
      <c r="J119" t="s">
        <v>445</v>
      </c>
      <c r="K119">
        <v>756418</v>
      </c>
      <c r="L119" t="s">
        <v>257</v>
      </c>
      <c r="M119" t="s">
        <v>258</v>
      </c>
      <c r="N119" t="s">
        <v>56</v>
      </c>
      <c r="O119" s="1">
        <v>45914</v>
      </c>
      <c r="P119" s="1">
        <v>45944</v>
      </c>
      <c r="Q119" s="2">
        <v>84.43</v>
      </c>
      <c r="R119">
        <v>1</v>
      </c>
      <c r="S119" t="s">
        <v>57</v>
      </c>
      <c r="T119" t="s">
        <v>96</v>
      </c>
      <c r="U119" s="4">
        <v>0.7</v>
      </c>
      <c r="V119" s="2">
        <v>0</v>
      </c>
      <c r="W119">
        <v>0</v>
      </c>
      <c r="X119" t="s">
        <v>70</v>
      </c>
      <c r="Y119" t="s">
        <v>97</v>
      </c>
      <c r="Z119">
        <v>6</v>
      </c>
      <c r="AA119" s="2">
        <v>354.6</v>
      </c>
      <c r="AB119" s="2">
        <v>0</v>
      </c>
      <c r="AC119" s="4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59.1</v>
      </c>
      <c r="AL119" s="2">
        <v>0</v>
      </c>
      <c r="AM119" s="2">
        <v>354.6</v>
      </c>
      <c r="AN119" s="2">
        <v>0</v>
      </c>
      <c r="AO119" s="2">
        <v>0</v>
      </c>
      <c r="AP119" s="2">
        <v>0</v>
      </c>
    </row>
    <row r="120" spans="1:42" x14ac:dyDescent="0.25">
      <c r="A120" s="1">
        <v>45915</v>
      </c>
      <c r="B120" t="s">
        <v>47</v>
      </c>
      <c r="C120">
        <v>649163</v>
      </c>
      <c r="D120">
        <v>2031047976</v>
      </c>
      <c r="E120" t="s">
        <v>659</v>
      </c>
      <c r="F120" t="s">
        <v>658</v>
      </c>
      <c r="G120" t="s">
        <v>50</v>
      </c>
      <c r="H120" t="s">
        <v>115</v>
      </c>
      <c r="I120" t="s">
        <v>441</v>
      </c>
      <c r="J120" t="s">
        <v>442</v>
      </c>
      <c r="K120">
        <v>756418</v>
      </c>
      <c r="L120" t="s">
        <v>257</v>
      </c>
      <c r="M120" t="s">
        <v>258</v>
      </c>
      <c r="N120" t="s">
        <v>56</v>
      </c>
      <c r="O120" s="1">
        <v>45914</v>
      </c>
      <c r="P120" s="1">
        <v>45944</v>
      </c>
      <c r="Q120" s="2">
        <v>22.38</v>
      </c>
      <c r="R120">
        <v>1</v>
      </c>
      <c r="S120" t="s">
        <v>57</v>
      </c>
      <c r="T120" t="s">
        <v>96</v>
      </c>
      <c r="U120" s="4">
        <v>0.9</v>
      </c>
      <c r="V120" s="2">
        <v>0</v>
      </c>
      <c r="W120">
        <v>0</v>
      </c>
      <c r="X120" t="s">
        <v>70</v>
      </c>
      <c r="Y120" t="s">
        <v>97</v>
      </c>
      <c r="Z120">
        <v>6</v>
      </c>
      <c r="AA120" s="2">
        <v>120.84</v>
      </c>
      <c r="AB120" s="2">
        <v>0</v>
      </c>
      <c r="AC120" s="4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20.14</v>
      </c>
      <c r="AL120" s="2">
        <v>0</v>
      </c>
      <c r="AM120" s="2">
        <v>120.84</v>
      </c>
      <c r="AN120" s="2">
        <v>0</v>
      </c>
      <c r="AO120" s="2">
        <v>0</v>
      </c>
      <c r="AP120" s="2">
        <v>0</v>
      </c>
    </row>
    <row r="121" spans="1:42" x14ac:dyDescent="0.25">
      <c r="A121" s="1">
        <v>45915</v>
      </c>
      <c r="B121" t="s">
        <v>47</v>
      </c>
      <c r="C121">
        <v>649163</v>
      </c>
      <c r="D121">
        <v>2031048164</v>
      </c>
      <c r="E121" t="s">
        <v>657</v>
      </c>
      <c r="F121" t="s">
        <v>656</v>
      </c>
      <c r="G121" t="s">
        <v>50</v>
      </c>
      <c r="H121" t="s">
        <v>93</v>
      </c>
      <c r="I121" t="s">
        <v>441</v>
      </c>
      <c r="J121" t="s">
        <v>445</v>
      </c>
      <c r="K121">
        <v>807212</v>
      </c>
      <c r="L121" t="s">
        <v>467</v>
      </c>
      <c r="M121" t="s">
        <v>468</v>
      </c>
      <c r="N121" t="s">
        <v>56</v>
      </c>
      <c r="O121" s="1">
        <v>45914</v>
      </c>
      <c r="P121" s="1">
        <v>45944</v>
      </c>
      <c r="Q121" s="2">
        <v>160.29</v>
      </c>
      <c r="R121">
        <v>1</v>
      </c>
      <c r="S121" t="s">
        <v>57</v>
      </c>
      <c r="T121" t="s">
        <v>96</v>
      </c>
      <c r="U121" s="4">
        <v>0.7</v>
      </c>
      <c r="V121" s="2">
        <v>0</v>
      </c>
      <c r="W121">
        <v>0</v>
      </c>
      <c r="X121" t="s">
        <v>70</v>
      </c>
      <c r="Y121" t="s">
        <v>97</v>
      </c>
      <c r="Z121">
        <v>6</v>
      </c>
      <c r="AA121" s="2">
        <v>673.2</v>
      </c>
      <c r="AB121" s="2">
        <v>0</v>
      </c>
      <c r="AC121" s="4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112.2</v>
      </c>
      <c r="AL121" s="2">
        <v>0</v>
      </c>
      <c r="AM121" s="2">
        <v>673.2</v>
      </c>
      <c r="AN121" s="2">
        <v>0</v>
      </c>
      <c r="AO121" s="2">
        <v>0</v>
      </c>
      <c r="AP121" s="2">
        <v>0</v>
      </c>
    </row>
    <row r="122" spans="1:42" x14ac:dyDescent="0.25">
      <c r="A122" s="1">
        <v>45915</v>
      </c>
      <c r="B122" t="s">
        <v>47</v>
      </c>
      <c r="C122">
        <v>649163</v>
      </c>
      <c r="D122">
        <v>2031057792</v>
      </c>
      <c r="E122" t="s">
        <v>638</v>
      </c>
      <c r="F122" t="s">
        <v>85</v>
      </c>
      <c r="G122" t="s">
        <v>50</v>
      </c>
      <c r="H122" t="s">
        <v>134</v>
      </c>
      <c r="I122" t="s">
        <v>441</v>
      </c>
      <c r="J122" t="s">
        <v>445</v>
      </c>
      <c r="K122">
        <v>856163</v>
      </c>
      <c r="L122" t="s">
        <v>79</v>
      </c>
      <c r="M122" t="s">
        <v>279</v>
      </c>
      <c r="N122" t="s">
        <v>56</v>
      </c>
      <c r="O122" s="1">
        <v>45915</v>
      </c>
      <c r="P122" s="1">
        <v>45945</v>
      </c>
      <c r="Q122" s="2">
        <v>30.68</v>
      </c>
      <c r="R122">
        <v>1</v>
      </c>
      <c r="S122" t="s">
        <v>57</v>
      </c>
      <c r="T122" t="s">
        <v>96</v>
      </c>
      <c r="U122" s="4">
        <v>0.7</v>
      </c>
      <c r="V122" s="2">
        <v>0</v>
      </c>
      <c r="W122">
        <v>0</v>
      </c>
      <c r="X122" t="s">
        <v>70</v>
      </c>
      <c r="Y122" t="s">
        <v>97</v>
      </c>
      <c r="Z122">
        <v>6</v>
      </c>
      <c r="AA122" s="2">
        <v>128.88</v>
      </c>
      <c r="AB122" s="2">
        <v>0</v>
      </c>
      <c r="AC122" s="4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21.48</v>
      </c>
      <c r="AL122" s="2">
        <v>0</v>
      </c>
      <c r="AM122" s="2">
        <v>128.88</v>
      </c>
      <c r="AN122" s="2">
        <v>0</v>
      </c>
      <c r="AO122" s="2">
        <v>0</v>
      </c>
      <c r="AP122" s="2">
        <v>0</v>
      </c>
    </row>
    <row r="123" spans="1:42" x14ac:dyDescent="0.25">
      <c r="A123" s="1">
        <v>45915</v>
      </c>
      <c r="B123" t="s">
        <v>47</v>
      </c>
      <c r="C123">
        <v>649163</v>
      </c>
      <c r="D123">
        <v>2030924640</v>
      </c>
      <c r="E123" t="s">
        <v>648</v>
      </c>
      <c r="F123" t="s">
        <v>647</v>
      </c>
      <c r="G123" t="s">
        <v>50</v>
      </c>
      <c r="H123" t="s">
        <v>63</v>
      </c>
      <c r="I123" t="s">
        <v>569</v>
      </c>
      <c r="J123" t="s">
        <v>645</v>
      </c>
      <c r="K123">
        <v>874230</v>
      </c>
      <c r="L123" t="s">
        <v>644</v>
      </c>
      <c r="M123" t="s">
        <v>643</v>
      </c>
      <c r="N123" t="s">
        <v>56</v>
      </c>
      <c r="O123" s="1">
        <v>45911</v>
      </c>
      <c r="P123" s="1">
        <v>45941</v>
      </c>
      <c r="Q123" s="2">
        <v>163.94</v>
      </c>
      <c r="R123">
        <v>1</v>
      </c>
      <c r="S123" t="s">
        <v>57</v>
      </c>
      <c r="T123" t="s">
        <v>305</v>
      </c>
      <c r="U123" s="4">
        <v>0.19</v>
      </c>
      <c r="V123" s="2">
        <v>0</v>
      </c>
      <c r="W123">
        <v>0</v>
      </c>
      <c r="X123" t="s">
        <v>70</v>
      </c>
      <c r="Y123" t="s">
        <v>97</v>
      </c>
      <c r="Z123">
        <v>6</v>
      </c>
      <c r="AA123" s="2">
        <v>186.9</v>
      </c>
      <c r="AB123" s="2">
        <v>0</v>
      </c>
      <c r="AC123" s="4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31.15</v>
      </c>
      <c r="AL123" s="2">
        <v>0</v>
      </c>
      <c r="AM123" s="2">
        <v>186.9</v>
      </c>
      <c r="AN123" s="2">
        <v>0</v>
      </c>
      <c r="AO123" s="2">
        <v>0</v>
      </c>
      <c r="AP123" s="2">
        <v>0</v>
      </c>
    </row>
    <row r="124" spans="1:42" x14ac:dyDescent="0.25">
      <c r="A124" s="1">
        <v>45915</v>
      </c>
      <c r="B124" t="s">
        <v>47</v>
      </c>
      <c r="C124">
        <v>649163</v>
      </c>
      <c r="D124">
        <v>2030932599</v>
      </c>
      <c r="E124" t="s">
        <v>646</v>
      </c>
      <c r="F124" t="s">
        <v>368</v>
      </c>
      <c r="G124" t="s">
        <v>50</v>
      </c>
      <c r="H124" t="s">
        <v>63</v>
      </c>
      <c r="I124" t="s">
        <v>569</v>
      </c>
      <c r="J124" t="s">
        <v>645</v>
      </c>
      <c r="K124">
        <v>874230</v>
      </c>
      <c r="L124" t="s">
        <v>644</v>
      </c>
      <c r="M124" t="s">
        <v>643</v>
      </c>
      <c r="N124" t="s">
        <v>56</v>
      </c>
      <c r="O124" s="1">
        <v>45911</v>
      </c>
      <c r="P124" s="1">
        <v>45941</v>
      </c>
      <c r="Q124" s="2">
        <v>196.19</v>
      </c>
      <c r="R124">
        <v>1</v>
      </c>
      <c r="S124" t="s">
        <v>57</v>
      </c>
      <c r="T124" t="s">
        <v>305</v>
      </c>
      <c r="U124" s="4">
        <v>0.19</v>
      </c>
      <c r="V124" s="2">
        <v>0</v>
      </c>
      <c r="W124">
        <v>0</v>
      </c>
      <c r="X124" t="s">
        <v>70</v>
      </c>
      <c r="Y124" t="s">
        <v>97</v>
      </c>
      <c r="Z124">
        <v>6</v>
      </c>
      <c r="AA124" s="2">
        <v>223.68</v>
      </c>
      <c r="AB124" s="2">
        <v>0</v>
      </c>
      <c r="AC124" s="4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37.28</v>
      </c>
      <c r="AL124" s="2">
        <v>0</v>
      </c>
      <c r="AM124" s="2">
        <v>223.68</v>
      </c>
      <c r="AN124" s="2">
        <v>0</v>
      </c>
      <c r="AO124" s="2">
        <v>0</v>
      </c>
      <c r="AP124" s="2">
        <v>0</v>
      </c>
    </row>
    <row r="125" spans="1:42" x14ac:dyDescent="0.25">
      <c r="A125" s="1">
        <v>45915</v>
      </c>
      <c r="B125" t="s">
        <v>47</v>
      </c>
      <c r="C125">
        <v>649163</v>
      </c>
      <c r="D125">
        <v>2030934309</v>
      </c>
      <c r="E125" t="s">
        <v>642</v>
      </c>
      <c r="F125" t="s">
        <v>641</v>
      </c>
      <c r="G125" t="s">
        <v>50</v>
      </c>
      <c r="H125" t="s">
        <v>266</v>
      </c>
      <c r="I125" t="s">
        <v>569</v>
      </c>
      <c r="J125" t="s">
        <v>571</v>
      </c>
      <c r="K125">
        <v>812994</v>
      </c>
      <c r="L125" t="s">
        <v>294</v>
      </c>
      <c r="M125" t="s">
        <v>295</v>
      </c>
      <c r="N125" t="s">
        <v>56</v>
      </c>
      <c r="O125" s="1">
        <v>45909</v>
      </c>
      <c r="P125" s="1">
        <v>45939</v>
      </c>
      <c r="Q125" s="2">
        <v>1014.3</v>
      </c>
      <c r="R125">
        <v>1</v>
      </c>
      <c r="S125" t="s">
        <v>57</v>
      </c>
      <c r="T125" t="s">
        <v>305</v>
      </c>
      <c r="U125" s="4">
        <v>0.28999999999999998</v>
      </c>
      <c r="V125" s="2">
        <v>0</v>
      </c>
      <c r="W125">
        <v>0</v>
      </c>
      <c r="X125" t="s">
        <v>70</v>
      </c>
      <c r="Y125" t="s">
        <v>97</v>
      </c>
      <c r="Z125">
        <v>6</v>
      </c>
      <c r="AA125" s="2">
        <v>1764.9</v>
      </c>
      <c r="AB125" s="2">
        <v>0</v>
      </c>
      <c r="AC125" s="4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294.14999999999998</v>
      </c>
      <c r="AL125" s="2">
        <v>0</v>
      </c>
      <c r="AM125" s="2">
        <v>1764.9</v>
      </c>
      <c r="AN125" s="2">
        <v>0</v>
      </c>
      <c r="AO125" s="2">
        <v>0</v>
      </c>
      <c r="AP125" s="2">
        <v>0</v>
      </c>
    </row>
    <row r="126" spans="1:42" x14ac:dyDescent="0.25">
      <c r="A126" s="1">
        <v>45915</v>
      </c>
      <c r="B126" t="s">
        <v>47</v>
      </c>
      <c r="C126">
        <v>649163</v>
      </c>
      <c r="D126">
        <v>2031017070</v>
      </c>
      <c r="E126" t="s">
        <v>639</v>
      </c>
      <c r="F126" t="s">
        <v>49</v>
      </c>
      <c r="G126" t="s">
        <v>50</v>
      </c>
      <c r="H126" t="s">
        <v>180</v>
      </c>
      <c r="I126" t="s">
        <v>569</v>
      </c>
      <c r="J126" t="s">
        <v>572</v>
      </c>
      <c r="K126">
        <v>877790</v>
      </c>
      <c r="L126" t="s">
        <v>299</v>
      </c>
      <c r="M126" t="s">
        <v>300</v>
      </c>
      <c r="N126" t="s">
        <v>56</v>
      </c>
      <c r="O126" s="1">
        <v>45913</v>
      </c>
      <c r="P126" s="1">
        <v>45943</v>
      </c>
      <c r="Q126" s="2">
        <v>262.94</v>
      </c>
      <c r="R126">
        <v>1</v>
      </c>
      <c r="S126" t="s">
        <v>57</v>
      </c>
      <c r="T126" t="s">
        <v>301</v>
      </c>
      <c r="U126" s="4">
        <v>0.19</v>
      </c>
      <c r="V126" s="2">
        <v>0</v>
      </c>
      <c r="W126">
        <v>0</v>
      </c>
      <c r="X126" t="s">
        <v>70</v>
      </c>
      <c r="Y126" t="s">
        <v>97</v>
      </c>
      <c r="Z126">
        <v>6</v>
      </c>
      <c r="AA126" s="2">
        <v>299.76</v>
      </c>
      <c r="AB126" s="2">
        <v>0</v>
      </c>
      <c r="AC126" s="4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49.96</v>
      </c>
      <c r="AL126" s="2">
        <v>0</v>
      </c>
      <c r="AM126" s="2">
        <v>299.76</v>
      </c>
      <c r="AN126" s="2">
        <v>0</v>
      </c>
      <c r="AO126" s="2">
        <v>0</v>
      </c>
      <c r="AP126" s="2">
        <v>0</v>
      </c>
    </row>
    <row r="127" spans="1:42" x14ac:dyDescent="0.25">
      <c r="A127" s="1">
        <v>45915</v>
      </c>
      <c r="B127" t="s">
        <v>47</v>
      </c>
      <c r="C127">
        <v>649163</v>
      </c>
      <c r="D127">
        <v>2030987634</v>
      </c>
      <c r="E127" t="s">
        <v>640</v>
      </c>
      <c r="F127" t="s">
        <v>171</v>
      </c>
      <c r="G127" t="s">
        <v>50</v>
      </c>
      <c r="H127" t="s">
        <v>134</v>
      </c>
      <c r="I127" t="s">
        <v>243</v>
      </c>
      <c r="J127" t="s">
        <v>1054</v>
      </c>
      <c r="K127">
        <v>823068</v>
      </c>
      <c r="L127" t="s">
        <v>215</v>
      </c>
      <c r="M127" t="s">
        <v>216</v>
      </c>
      <c r="N127" t="s">
        <v>56</v>
      </c>
      <c r="O127" s="1">
        <v>45931</v>
      </c>
      <c r="P127" s="1">
        <v>45962</v>
      </c>
      <c r="Q127" s="2">
        <v>15</v>
      </c>
      <c r="R127">
        <v>1</v>
      </c>
      <c r="S127" t="s">
        <v>57</v>
      </c>
      <c r="T127" t="s">
        <v>636</v>
      </c>
      <c r="U127" s="4">
        <v>0.27</v>
      </c>
      <c r="V127" s="2">
        <v>0</v>
      </c>
      <c r="W127">
        <v>0</v>
      </c>
      <c r="X127" t="s">
        <v>70</v>
      </c>
      <c r="Y127" t="s">
        <v>97</v>
      </c>
      <c r="Z127">
        <v>3</v>
      </c>
      <c r="AA127" s="2">
        <v>12.15</v>
      </c>
      <c r="AB127" s="2">
        <v>0</v>
      </c>
      <c r="AC127" s="4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4.05</v>
      </c>
      <c r="AL127" s="2">
        <v>0</v>
      </c>
      <c r="AM127" s="2">
        <v>12.15</v>
      </c>
      <c r="AN127" s="2">
        <v>0</v>
      </c>
      <c r="AO127" s="2">
        <v>0</v>
      </c>
      <c r="AP127" s="2">
        <v>0</v>
      </c>
    </row>
    <row r="128" spans="1:42" x14ac:dyDescent="0.25">
      <c r="A128" s="1">
        <v>45915</v>
      </c>
      <c r="B128" t="s">
        <v>47</v>
      </c>
      <c r="C128">
        <v>649163</v>
      </c>
      <c r="D128">
        <v>2031057793</v>
      </c>
      <c r="E128" t="s">
        <v>638</v>
      </c>
      <c r="F128" t="s">
        <v>85</v>
      </c>
      <c r="G128" t="s">
        <v>50</v>
      </c>
      <c r="H128" t="s">
        <v>134</v>
      </c>
      <c r="I128" t="s">
        <v>243</v>
      </c>
      <c r="J128" t="s">
        <v>1054</v>
      </c>
      <c r="K128">
        <v>856163</v>
      </c>
      <c r="L128" t="s">
        <v>79</v>
      </c>
      <c r="M128" t="s">
        <v>279</v>
      </c>
      <c r="N128" t="s">
        <v>56</v>
      </c>
      <c r="O128" s="1">
        <v>45915</v>
      </c>
      <c r="P128" s="1">
        <v>45945</v>
      </c>
      <c r="Q128" s="2">
        <v>15</v>
      </c>
      <c r="R128">
        <v>1</v>
      </c>
      <c r="S128" t="s">
        <v>57</v>
      </c>
      <c r="T128" t="s">
        <v>636</v>
      </c>
      <c r="U128" s="4">
        <v>0.27</v>
      </c>
      <c r="V128" s="2">
        <v>0</v>
      </c>
      <c r="W128">
        <v>0</v>
      </c>
      <c r="X128" t="s">
        <v>70</v>
      </c>
      <c r="Y128" t="s">
        <v>97</v>
      </c>
      <c r="Z128">
        <v>3</v>
      </c>
      <c r="AA128" s="2">
        <v>12.15</v>
      </c>
      <c r="AB128" s="2">
        <v>0</v>
      </c>
      <c r="AC128" s="4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4.05</v>
      </c>
      <c r="AL128" s="2">
        <v>0</v>
      </c>
      <c r="AM128" s="2">
        <v>12.15</v>
      </c>
      <c r="AN128" s="2">
        <v>0</v>
      </c>
      <c r="AO128" s="2">
        <v>0</v>
      </c>
      <c r="AP128" s="2">
        <v>0</v>
      </c>
    </row>
    <row r="129" spans="1:42" x14ac:dyDescent="0.25">
      <c r="A129" s="1">
        <v>45915</v>
      </c>
      <c r="B129" t="s">
        <v>47</v>
      </c>
      <c r="C129">
        <v>649163</v>
      </c>
      <c r="D129">
        <v>2030987630</v>
      </c>
      <c r="E129" t="s">
        <v>640</v>
      </c>
      <c r="F129" t="s">
        <v>171</v>
      </c>
      <c r="G129" t="s">
        <v>50</v>
      </c>
      <c r="H129" t="s">
        <v>134</v>
      </c>
      <c r="I129" t="s">
        <v>569</v>
      </c>
      <c r="J129" t="s">
        <v>637</v>
      </c>
      <c r="K129">
        <v>823068</v>
      </c>
      <c r="L129" t="s">
        <v>215</v>
      </c>
      <c r="M129" t="s">
        <v>216</v>
      </c>
      <c r="N129" t="s">
        <v>56</v>
      </c>
      <c r="O129" s="1">
        <v>45931</v>
      </c>
      <c r="P129" s="1">
        <v>45962</v>
      </c>
      <c r="Q129" s="2">
        <v>140.85</v>
      </c>
      <c r="R129">
        <v>1</v>
      </c>
      <c r="S129" t="s">
        <v>57</v>
      </c>
      <c r="T129" t="s">
        <v>636</v>
      </c>
      <c r="U129" s="4">
        <v>0.27</v>
      </c>
      <c r="V129" s="2">
        <v>0</v>
      </c>
      <c r="W129">
        <v>0</v>
      </c>
      <c r="X129" t="s">
        <v>70</v>
      </c>
      <c r="Y129" t="s">
        <v>97</v>
      </c>
      <c r="Z129">
        <v>3</v>
      </c>
      <c r="AA129" s="2">
        <v>114.09</v>
      </c>
      <c r="AB129" s="2">
        <v>0</v>
      </c>
      <c r="AC129" s="4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38.03</v>
      </c>
      <c r="AL129" s="2">
        <v>0</v>
      </c>
      <c r="AM129" s="2">
        <v>114.09</v>
      </c>
      <c r="AN129" s="2">
        <v>0</v>
      </c>
      <c r="AO129" s="2">
        <v>0</v>
      </c>
      <c r="AP129" s="2">
        <v>0</v>
      </c>
    </row>
    <row r="130" spans="1:42" x14ac:dyDescent="0.25">
      <c r="A130" s="1">
        <v>45915</v>
      </c>
      <c r="B130" t="s">
        <v>47</v>
      </c>
      <c r="C130">
        <v>649163</v>
      </c>
      <c r="D130">
        <v>2031057791</v>
      </c>
      <c r="E130" t="s">
        <v>638</v>
      </c>
      <c r="F130" t="s">
        <v>85</v>
      </c>
      <c r="G130" t="s">
        <v>50</v>
      </c>
      <c r="H130" t="s">
        <v>134</v>
      </c>
      <c r="I130" t="s">
        <v>569</v>
      </c>
      <c r="J130" t="s">
        <v>637</v>
      </c>
      <c r="K130">
        <v>856163</v>
      </c>
      <c r="L130" t="s">
        <v>79</v>
      </c>
      <c r="M130" t="s">
        <v>279</v>
      </c>
      <c r="N130" t="s">
        <v>56</v>
      </c>
      <c r="O130" s="1">
        <v>45915</v>
      </c>
      <c r="P130" s="1">
        <v>45945</v>
      </c>
      <c r="Q130" s="2">
        <v>165.77</v>
      </c>
      <c r="R130">
        <v>1</v>
      </c>
      <c r="S130" t="s">
        <v>57</v>
      </c>
      <c r="T130" t="s">
        <v>636</v>
      </c>
      <c r="U130" s="4">
        <v>0.27</v>
      </c>
      <c r="V130" s="2">
        <v>0</v>
      </c>
      <c r="W130">
        <v>0</v>
      </c>
      <c r="X130" t="s">
        <v>70</v>
      </c>
      <c r="Y130" t="s">
        <v>97</v>
      </c>
      <c r="Z130">
        <v>3</v>
      </c>
      <c r="AA130" s="2">
        <v>134.28</v>
      </c>
      <c r="AB130" s="2">
        <v>0</v>
      </c>
      <c r="AC130" s="4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44.76</v>
      </c>
      <c r="AL130" s="2">
        <v>0</v>
      </c>
      <c r="AM130" s="2">
        <v>134.28</v>
      </c>
      <c r="AN130" s="2">
        <v>0</v>
      </c>
      <c r="AO130" s="2">
        <v>0</v>
      </c>
      <c r="AP130" s="2">
        <v>0</v>
      </c>
    </row>
    <row r="131" spans="1:42" x14ac:dyDescent="0.25">
      <c r="A131" s="1">
        <v>45922</v>
      </c>
      <c r="B131" t="s">
        <v>47</v>
      </c>
      <c r="C131">
        <v>649163</v>
      </c>
      <c r="D131">
        <v>2020534057</v>
      </c>
      <c r="E131" t="s">
        <v>48</v>
      </c>
      <c r="F131" t="s">
        <v>49</v>
      </c>
      <c r="G131" t="s">
        <v>50</v>
      </c>
      <c r="H131" t="s">
        <v>51</v>
      </c>
      <c r="I131" t="s">
        <v>52</v>
      </c>
      <c r="J131" t="s">
        <v>53</v>
      </c>
      <c r="K131">
        <v>702406</v>
      </c>
      <c r="L131" t="s">
        <v>54</v>
      </c>
      <c r="M131" t="s">
        <v>55</v>
      </c>
      <c r="N131" t="s">
        <v>56</v>
      </c>
      <c r="O131" s="1">
        <v>45224</v>
      </c>
      <c r="P131" s="1">
        <v>45955</v>
      </c>
      <c r="Q131" s="2">
        <v>42.45</v>
      </c>
      <c r="R131">
        <v>1</v>
      </c>
      <c r="S131" t="s">
        <v>57</v>
      </c>
      <c r="T131" t="s">
        <v>58</v>
      </c>
      <c r="U131" s="3">
        <v>6.5000000000000002E-2</v>
      </c>
      <c r="V131" s="2">
        <v>0</v>
      </c>
      <c r="W131">
        <v>0</v>
      </c>
      <c r="X131" t="s">
        <v>59</v>
      </c>
      <c r="Y131" t="s">
        <v>60</v>
      </c>
      <c r="Z131">
        <v>0</v>
      </c>
      <c r="AA131" s="2">
        <v>0</v>
      </c>
      <c r="AB131" s="2">
        <v>0</v>
      </c>
      <c r="AC131" s="4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2.76</v>
      </c>
      <c r="AM131" s="2">
        <v>2.76</v>
      </c>
      <c r="AN131" s="2">
        <v>0</v>
      </c>
      <c r="AO131" s="2">
        <v>0</v>
      </c>
      <c r="AP131" s="2">
        <v>0</v>
      </c>
    </row>
    <row r="132" spans="1:42" x14ac:dyDescent="0.25">
      <c r="A132" s="1">
        <v>45922</v>
      </c>
      <c r="B132" t="s">
        <v>47</v>
      </c>
      <c r="C132">
        <v>649163</v>
      </c>
      <c r="D132">
        <v>2022279767</v>
      </c>
      <c r="E132" t="s">
        <v>61</v>
      </c>
      <c r="F132" t="s">
        <v>62</v>
      </c>
      <c r="G132" t="s">
        <v>50</v>
      </c>
      <c r="H132" t="s">
        <v>63</v>
      </c>
      <c r="I132" t="s">
        <v>52</v>
      </c>
      <c r="J132" t="s">
        <v>53</v>
      </c>
      <c r="K132">
        <v>649270</v>
      </c>
      <c r="L132" t="s">
        <v>64</v>
      </c>
      <c r="M132" t="s">
        <v>65</v>
      </c>
      <c r="N132" t="s">
        <v>56</v>
      </c>
      <c r="O132" s="1">
        <v>45371</v>
      </c>
      <c r="P132" s="1">
        <v>45950</v>
      </c>
      <c r="Q132" s="2">
        <v>46.46</v>
      </c>
      <c r="R132">
        <v>1</v>
      </c>
      <c r="S132" t="s">
        <v>57</v>
      </c>
      <c r="T132" t="s">
        <v>58</v>
      </c>
      <c r="U132" s="3">
        <v>2.5000000000000001E-2</v>
      </c>
      <c r="V132" s="2">
        <v>0</v>
      </c>
      <c r="W132">
        <v>0</v>
      </c>
      <c r="X132" t="s">
        <v>59</v>
      </c>
      <c r="Y132" t="s">
        <v>60</v>
      </c>
      <c r="Z132">
        <v>0</v>
      </c>
      <c r="AA132" s="2">
        <v>0</v>
      </c>
      <c r="AB132" s="2">
        <v>0</v>
      </c>
      <c r="AC132" s="4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1.1599999999999999</v>
      </c>
      <c r="AM132" s="2">
        <v>1.1599999999999999</v>
      </c>
      <c r="AN132" s="2">
        <v>0</v>
      </c>
      <c r="AO132" s="2">
        <v>0</v>
      </c>
      <c r="AP132" s="2">
        <v>0</v>
      </c>
    </row>
    <row r="133" spans="1:42" x14ac:dyDescent="0.25">
      <c r="A133" s="1">
        <v>45922</v>
      </c>
      <c r="B133" t="s">
        <v>47</v>
      </c>
      <c r="C133">
        <v>649163</v>
      </c>
      <c r="D133">
        <v>2026584086</v>
      </c>
      <c r="E133" t="s">
        <v>66</v>
      </c>
      <c r="F133" t="s">
        <v>67</v>
      </c>
      <c r="G133" t="s">
        <v>50</v>
      </c>
      <c r="H133" t="s">
        <v>51</v>
      </c>
      <c r="I133" t="s">
        <v>52</v>
      </c>
      <c r="J133" t="s">
        <v>53</v>
      </c>
      <c r="K133">
        <v>649247</v>
      </c>
      <c r="L133" t="s">
        <v>68</v>
      </c>
      <c r="M133" t="s">
        <v>69</v>
      </c>
      <c r="N133" t="s">
        <v>56</v>
      </c>
      <c r="O133" s="1">
        <v>45689</v>
      </c>
      <c r="P133" s="1">
        <v>45931</v>
      </c>
      <c r="Q133" s="2">
        <v>-52.69</v>
      </c>
      <c r="R133">
        <v>1</v>
      </c>
      <c r="S133" t="s">
        <v>57</v>
      </c>
      <c r="T133" t="s">
        <v>58</v>
      </c>
      <c r="U133" s="4">
        <v>0.6</v>
      </c>
      <c r="V133" s="2">
        <v>0</v>
      </c>
      <c r="W133">
        <v>-1</v>
      </c>
      <c r="X133" t="s">
        <v>70</v>
      </c>
      <c r="Y133" t="s">
        <v>60</v>
      </c>
      <c r="Z133">
        <v>0</v>
      </c>
      <c r="AA133" s="2">
        <v>0</v>
      </c>
      <c r="AB133" s="2">
        <v>0</v>
      </c>
      <c r="AC133" s="4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-31.61</v>
      </c>
      <c r="AM133" s="2">
        <v>-31.61</v>
      </c>
      <c r="AN133" s="2">
        <v>0</v>
      </c>
      <c r="AO133" s="2">
        <v>0</v>
      </c>
      <c r="AP133" s="2">
        <v>0</v>
      </c>
    </row>
    <row r="134" spans="1:42" x14ac:dyDescent="0.25">
      <c r="A134" s="1">
        <v>45922</v>
      </c>
      <c r="B134" t="s">
        <v>47</v>
      </c>
      <c r="C134">
        <v>649163</v>
      </c>
      <c r="D134">
        <v>2026740151</v>
      </c>
      <c r="E134" t="s">
        <v>71</v>
      </c>
      <c r="F134" t="s">
        <v>72</v>
      </c>
      <c r="G134" t="s">
        <v>50</v>
      </c>
      <c r="H134" t="s">
        <v>51</v>
      </c>
      <c r="I134" t="s">
        <v>52</v>
      </c>
      <c r="J134" t="s">
        <v>53</v>
      </c>
      <c r="K134">
        <v>650218</v>
      </c>
      <c r="L134" t="s">
        <v>73</v>
      </c>
      <c r="M134" t="s">
        <v>74</v>
      </c>
      <c r="N134" t="s">
        <v>56</v>
      </c>
      <c r="O134" s="1">
        <v>45681</v>
      </c>
      <c r="P134" s="1">
        <v>45954</v>
      </c>
      <c r="Q134" s="2">
        <v>40.159999999999997</v>
      </c>
      <c r="R134">
        <v>1</v>
      </c>
      <c r="S134" t="s">
        <v>57</v>
      </c>
      <c r="T134" t="s">
        <v>58</v>
      </c>
      <c r="U134" s="4">
        <v>0.6</v>
      </c>
      <c r="V134" s="2">
        <v>0</v>
      </c>
      <c r="W134">
        <v>0</v>
      </c>
      <c r="X134" t="s">
        <v>70</v>
      </c>
      <c r="Y134" t="s">
        <v>60</v>
      </c>
      <c r="Z134">
        <v>0</v>
      </c>
      <c r="AA134" s="2">
        <v>0</v>
      </c>
      <c r="AB134" s="2">
        <v>0</v>
      </c>
      <c r="AC134" s="4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24.1</v>
      </c>
      <c r="AM134" s="2">
        <v>24.1</v>
      </c>
      <c r="AN134" s="2">
        <v>0</v>
      </c>
      <c r="AO134" s="2">
        <v>0</v>
      </c>
      <c r="AP134" s="2">
        <v>0</v>
      </c>
    </row>
    <row r="135" spans="1:42" x14ac:dyDescent="0.25">
      <c r="A135" s="1">
        <v>45922</v>
      </c>
      <c r="B135" t="s">
        <v>47</v>
      </c>
      <c r="C135">
        <v>649163</v>
      </c>
      <c r="D135">
        <v>2028320246</v>
      </c>
      <c r="E135" t="s">
        <v>75</v>
      </c>
      <c r="F135" t="s">
        <v>76</v>
      </c>
      <c r="G135" t="s">
        <v>50</v>
      </c>
      <c r="H135" t="s">
        <v>77</v>
      </c>
      <c r="I135" t="s">
        <v>52</v>
      </c>
      <c r="J135" t="s">
        <v>78</v>
      </c>
      <c r="K135">
        <v>823350</v>
      </c>
      <c r="L135" t="s">
        <v>79</v>
      </c>
      <c r="M135" t="s">
        <v>80</v>
      </c>
      <c r="N135" t="s">
        <v>56</v>
      </c>
      <c r="O135" s="1">
        <v>45772</v>
      </c>
      <c r="P135" s="1">
        <v>45955</v>
      </c>
      <c r="Q135" s="2">
        <v>68.52</v>
      </c>
      <c r="R135">
        <v>1</v>
      </c>
      <c r="S135" t="s">
        <v>57</v>
      </c>
      <c r="T135" t="s">
        <v>58</v>
      </c>
      <c r="U135" s="4">
        <v>0.6</v>
      </c>
      <c r="V135" s="2">
        <v>0</v>
      </c>
      <c r="W135">
        <v>0</v>
      </c>
      <c r="X135" t="s">
        <v>70</v>
      </c>
      <c r="Y135" t="s">
        <v>60</v>
      </c>
      <c r="Z135">
        <v>0</v>
      </c>
      <c r="AA135" s="2">
        <v>0</v>
      </c>
      <c r="AB135" s="2">
        <v>0</v>
      </c>
      <c r="AC135" s="4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41.11</v>
      </c>
      <c r="AM135" s="2">
        <v>41.11</v>
      </c>
      <c r="AN135" s="2">
        <v>0</v>
      </c>
      <c r="AO135" s="2">
        <v>0</v>
      </c>
      <c r="AP135" s="2">
        <v>0</v>
      </c>
    </row>
    <row r="136" spans="1:42" x14ac:dyDescent="0.25">
      <c r="A136" s="1">
        <v>45922</v>
      </c>
      <c r="B136" t="s">
        <v>47</v>
      </c>
      <c r="C136">
        <v>649163</v>
      </c>
      <c r="D136">
        <v>2029035617</v>
      </c>
      <c r="E136" t="s">
        <v>81</v>
      </c>
      <c r="F136" t="s">
        <v>82</v>
      </c>
      <c r="G136" t="s">
        <v>50</v>
      </c>
      <c r="H136" t="s">
        <v>83</v>
      </c>
      <c r="I136" t="s">
        <v>52</v>
      </c>
      <c r="J136" t="s">
        <v>78</v>
      </c>
      <c r="K136">
        <v>751867</v>
      </c>
      <c r="L136" t="s">
        <v>84</v>
      </c>
      <c r="M136" t="s">
        <v>85</v>
      </c>
      <c r="N136" t="s">
        <v>56</v>
      </c>
      <c r="O136" s="1">
        <v>45798</v>
      </c>
      <c r="P136" s="1">
        <v>45951</v>
      </c>
      <c r="Q136" s="2">
        <v>105.84</v>
      </c>
      <c r="R136">
        <v>1</v>
      </c>
      <c r="S136" t="s">
        <v>57</v>
      </c>
      <c r="T136" t="s">
        <v>58</v>
      </c>
      <c r="U136" s="4">
        <v>0.6</v>
      </c>
      <c r="V136" s="2">
        <v>0</v>
      </c>
      <c r="W136">
        <v>0</v>
      </c>
      <c r="X136" t="s">
        <v>70</v>
      </c>
      <c r="Y136" t="s">
        <v>60</v>
      </c>
      <c r="Z136">
        <v>0</v>
      </c>
      <c r="AA136" s="2">
        <v>0</v>
      </c>
      <c r="AB136" s="2">
        <v>0</v>
      </c>
      <c r="AC136" s="4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63.5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</row>
    <row r="137" spans="1:42" x14ac:dyDescent="0.25">
      <c r="A137" s="1">
        <v>45922</v>
      </c>
      <c r="B137" t="s">
        <v>47</v>
      </c>
      <c r="C137">
        <v>649163</v>
      </c>
      <c r="D137">
        <v>2029073662</v>
      </c>
      <c r="E137" t="s">
        <v>86</v>
      </c>
      <c r="F137" t="s">
        <v>87</v>
      </c>
      <c r="G137" t="s">
        <v>50</v>
      </c>
      <c r="H137" t="s">
        <v>77</v>
      </c>
      <c r="I137" t="s">
        <v>52</v>
      </c>
      <c r="J137" t="s">
        <v>88</v>
      </c>
      <c r="K137">
        <v>821015</v>
      </c>
      <c r="L137" t="s">
        <v>89</v>
      </c>
      <c r="M137" t="s">
        <v>90</v>
      </c>
      <c r="N137" t="s">
        <v>56</v>
      </c>
      <c r="O137" s="1">
        <v>45801</v>
      </c>
      <c r="P137" s="1">
        <v>45954</v>
      </c>
      <c r="Q137" s="2">
        <v>50.6</v>
      </c>
      <c r="R137">
        <v>1</v>
      </c>
      <c r="S137" t="s">
        <v>57</v>
      </c>
      <c r="T137" t="s">
        <v>58</v>
      </c>
      <c r="U137" s="4">
        <v>0.6</v>
      </c>
      <c r="V137" s="2">
        <v>0</v>
      </c>
      <c r="W137">
        <v>0</v>
      </c>
      <c r="X137" t="s">
        <v>70</v>
      </c>
      <c r="Y137" t="s">
        <v>60</v>
      </c>
      <c r="Z137">
        <v>0</v>
      </c>
      <c r="AA137" s="2">
        <v>0</v>
      </c>
      <c r="AB137" s="2">
        <v>0</v>
      </c>
      <c r="AC137" s="4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30.36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</row>
    <row r="138" spans="1:42" x14ac:dyDescent="0.25">
      <c r="A138" s="1">
        <v>45922</v>
      </c>
      <c r="B138" t="s">
        <v>47</v>
      </c>
      <c r="C138">
        <v>649163</v>
      </c>
      <c r="D138">
        <v>2016328594</v>
      </c>
      <c r="E138" t="s">
        <v>103</v>
      </c>
      <c r="F138" t="s">
        <v>104</v>
      </c>
      <c r="G138" t="s">
        <v>50</v>
      </c>
      <c r="H138" t="s">
        <v>105</v>
      </c>
      <c r="I138" t="s">
        <v>106</v>
      </c>
      <c r="J138" t="s">
        <v>107</v>
      </c>
      <c r="K138">
        <v>651818</v>
      </c>
      <c r="L138" t="s">
        <v>108</v>
      </c>
      <c r="M138" t="s">
        <v>109</v>
      </c>
      <c r="N138" t="s">
        <v>56</v>
      </c>
      <c r="O138" s="1">
        <v>44829</v>
      </c>
      <c r="P138" s="1">
        <v>45955</v>
      </c>
      <c r="Q138" s="2">
        <v>85.84</v>
      </c>
      <c r="R138">
        <v>1</v>
      </c>
      <c r="S138" t="s">
        <v>57</v>
      </c>
      <c r="T138" t="s">
        <v>58</v>
      </c>
      <c r="U138" s="4">
        <v>0.1</v>
      </c>
      <c r="V138" s="2">
        <v>0</v>
      </c>
      <c r="W138">
        <v>0</v>
      </c>
      <c r="X138" t="s">
        <v>59</v>
      </c>
      <c r="Y138" t="s">
        <v>60</v>
      </c>
      <c r="Z138">
        <v>0</v>
      </c>
      <c r="AA138" s="2">
        <v>0</v>
      </c>
      <c r="AB138" s="2">
        <v>0</v>
      </c>
      <c r="AC138" s="4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8.58</v>
      </c>
      <c r="AM138" s="2">
        <v>8.58</v>
      </c>
      <c r="AN138" s="2">
        <v>0</v>
      </c>
      <c r="AO138" s="2">
        <v>0</v>
      </c>
      <c r="AP138" s="2">
        <v>0</v>
      </c>
    </row>
    <row r="139" spans="1:42" x14ac:dyDescent="0.25">
      <c r="A139" s="1">
        <v>45922</v>
      </c>
      <c r="B139" t="s">
        <v>47</v>
      </c>
      <c r="C139">
        <v>649163</v>
      </c>
      <c r="D139">
        <v>2018417444</v>
      </c>
      <c r="E139" t="s">
        <v>110</v>
      </c>
      <c r="F139" t="s">
        <v>111</v>
      </c>
      <c r="G139" t="s">
        <v>50</v>
      </c>
      <c r="H139" t="s">
        <v>112</v>
      </c>
      <c r="I139" t="s">
        <v>106</v>
      </c>
      <c r="J139" t="s">
        <v>107</v>
      </c>
      <c r="K139">
        <v>651818</v>
      </c>
      <c r="L139" t="s">
        <v>108</v>
      </c>
      <c r="M139" t="s">
        <v>109</v>
      </c>
      <c r="N139" t="s">
        <v>56</v>
      </c>
      <c r="O139" s="1">
        <v>45037</v>
      </c>
      <c r="P139" s="1">
        <v>45951</v>
      </c>
      <c r="Q139" s="2">
        <v>55.33</v>
      </c>
      <c r="R139">
        <v>1</v>
      </c>
      <c r="S139" t="s">
        <v>57</v>
      </c>
      <c r="T139" t="s">
        <v>58</v>
      </c>
      <c r="U139" s="4">
        <v>0.1</v>
      </c>
      <c r="V139" s="2">
        <v>0</v>
      </c>
      <c r="W139">
        <v>0</v>
      </c>
      <c r="X139" t="s">
        <v>59</v>
      </c>
      <c r="Y139" t="s">
        <v>60</v>
      </c>
      <c r="Z139">
        <v>0</v>
      </c>
      <c r="AA139" s="2">
        <v>0</v>
      </c>
      <c r="AB139" s="2">
        <v>0</v>
      </c>
      <c r="AC139" s="4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5.53</v>
      </c>
      <c r="AM139" s="2">
        <v>5.53</v>
      </c>
      <c r="AN139" s="2">
        <v>0</v>
      </c>
      <c r="AO139" s="2">
        <v>0</v>
      </c>
      <c r="AP139" s="2">
        <v>0</v>
      </c>
    </row>
    <row r="140" spans="1:42" x14ac:dyDescent="0.25">
      <c r="A140" s="1">
        <v>45922</v>
      </c>
      <c r="B140" t="s">
        <v>47</v>
      </c>
      <c r="C140">
        <v>649163</v>
      </c>
      <c r="D140">
        <v>2022682155</v>
      </c>
      <c r="E140" t="s">
        <v>113</v>
      </c>
      <c r="F140" t="s">
        <v>114</v>
      </c>
      <c r="G140" t="s">
        <v>50</v>
      </c>
      <c r="H140" t="s">
        <v>115</v>
      </c>
      <c r="I140" t="s">
        <v>106</v>
      </c>
      <c r="J140" t="s">
        <v>116</v>
      </c>
      <c r="K140">
        <v>651818</v>
      </c>
      <c r="L140" t="s">
        <v>108</v>
      </c>
      <c r="M140" t="s">
        <v>109</v>
      </c>
      <c r="N140" t="s">
        <v>56</v>
      </c>
      <c r="O140" s="1">
        <v>45418</v>
      </c>
      <c r="P140" s="1">
        <v>45936</v>
      </c>
      <c r="Q140" s="2">
        <v>-38.82</v>
      </c>
      <c r="R140">
        <v>1</v>
      </c>
      <c r="S140" t="s">
        <v>57</v>
      </c>
      <c r="T140" t="s">
        <v>58</v>
      </c>
      <c r="U140" s="4">
        <v>0.1</v>
      </c>
      <c r="V140" s="2">
        <v>0</v>
      </c>
      <c r="W140">
        <v>-1</v>
      </c>
      <c r="X140" t="s">
        <v>59</v>
      </c>
      <c r="Y140" t="s">
        <v>60</v>
      </c>
      <c r="Z140">
        <v>0</v>
      </c>
      <c r="AA140" s="2">
        <v>0</v>
      </c>
      <c r="AB140" s="2">
        <v>0</v>
      </c>
      <c r="AC140" s="4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-3.88</v>
      </c>
      <c r="AM140" s="2">
        <v>-3.88</v>
      </c>
      <c r="AN140" s="2">
        <v>0</v>
      </c>
      <c r="AO140" s="2">
        <v>0</v>
      </c>
      <c r="AP140" s="2">
        <v>0</v>
      </c>
    </row>
    <row r="141" spans="1:42" x14ac:dyDescent="0.25">
      <c r="A141" s="1">
        <v>45922</v>
      </c>
      <c r="B141" t="s">
        <v>47</v>
      </c>
      <c r="C141">
        <v>649163</v>
      </c>
      <c r="D141">
        <v>2022762069</v>
      </c>
      <c r="E141" t="s">
        <v>67</v>
      </c>
      <c r="F141" t="s">
        <v>117</v>
      </c>
      <c r="G141" t="s">
        <v>50</v>
      </c>
      <c r="H141" t="s">
        <v>77</v>
      </c>
      <c r="I141" t="s">
        <v>106</v>
      </c>
      <c r="J141" t="s">
        <v>107</v>
      </c>
      <c r="K141">
        <v>651818</v>
      </c>
      <c r="L141" t="s">
        <v>108</v>
      </c>
      <c r="M141" t="s">
        <v>109</v>
      </c>
      <c r="N141" t="s">
        <v>56</v>
      </c>
      <c r="O141" s="1">
        <v>45407</v>
      </c>
      <c r="P141" s="1">
        <v>45955</v>
      </c>
      <c r="Q141" s="2">
        <v>178.58</v>
      </c>
      <c r="R141">
        <v>1</v>
      </c>
      <c r="S141" t="s">
        <v>57</v>
      </c>
      <c r="T141" t="s">
        <v>58</v>
      </c>
      <c r="U141" s="4">
        <v>0.1</v>
      </c>
      <c r="V141" s="2">
        <v>0</v>
      </c>
      <c r="W141">
        <v>0</v>
      </c>
      <c r="X141" t="s">
        <v>59</v>
      </c>
      <c r="Y141" t="s">
        <v>60</v>
      </c>
      <c r="Z141">
        <v>0</v>
      </c>
      <c r="AA141" s="2">
        <v>0</v>
      </c>
      <c r="AB141" s="2">
        <v>0</v>
      </c>
      <c r="AC141" s="4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17.86</v>
      </c>
      <c r="AM141" s="2">
        <v>17.86</v>
      </c>
      <c r="AN141" s="2">
        <v>0</v>
      </c>
      <c r="AO141" s="2">
        <v>0</v>
      </c>
      <c r="AP141" s="2">
        <v>0</v>
      </c>
    </row>
    <row r="142" spans="1:42" x14ac:dyDescent="0.25">
      <c r="A142" s="1">
        <v>45922</v>
      </c>
      <c r="B142" t="s">
        <v>47</v>
      </c>
      <c r="C142">
        <v>649163</v>
      </c>
      <c r="D142">
        <v>2024462651</v>
      </c>
      <c r="E142" t="s">
        <v>118</v>
      </c>
      <c r="F142" t="s">
        <v>85</v>
      </c>
      <c r="G142" t="s">
        <v>50</v>
      </c>
      <c r="H142" t="s">
        <v>93</v>
      </c>
      <c r="I142" t="s">
        <v>106</v>
      </c>
      <c r="J142" t="s">
        <v>107</v>
      </c>
      <c r="K142">
        <v>651818</v>
      </c>
      <c r="L142" t="s">
        <v>108</v>
      </c>
      <c r="M142" t="s">
        <v>109</v>
      </c>
      <c r="N142" t="s">
        <v>56</v>
      </c>
      <c r="O142" s="1">
        <v>45524</v>
      </c>
      <c r="P142" s="1">
        <v>45950</v>
      </c>
      <c r="Q142" s="2">
        <v>108.16</v>
      </c>
      <c r="R142">
        <v>1</v>
      </c>
      <c r="S142" t="s">
        <v>57</v>
      </c>
      <c r="T142" t="s">
        <v>58</v>
      </c>
      <c r="U142" s="4">
        <v>0.1</v>
      </c>
      <c r="V142" s="2">
        <v>0</v>
      </c>
      <c r="W142">
        <v>0</v>
      </c>
      <c r="X142" t="s">
        <v>59</v>
      </c>
      <c r="Y142" t="s">
        <v>60</v>
      </c>
      <c r="Z142">
        <v>0</v>
      </c>
      <c r="AA142" s="2">
        <v>0</v>
      </c>
      <c r="AB142" s="2">
        <v>0</v>
      </c>
      <c r="AC142" s="4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10.82</v>
      </c>
      <c r="AM142" s="2">
        <v>10.82</v>
      </c>
      <c r="AN142" s="2">
        <v>0</v>
      </c>
      <c r="AO142" s="2">
        <v>0</v>
      </c>
      <c r="AP142" s="2">
        <v>0</v>
      </c>
    </row>
    <row r="143" spans="1:42" x14ac:dyDescent="0.25">
      <c r="A143" s="1">
        <v>45922</v>
      </c>
      <c r="B143" t="s">
        <v>47</v>
      </c>
      <c r="C143">
        <v>649163</v>
      </c>
      <c r="D143">
        <v>2025233514</v>
      </c>
      <c r="E143" t="s">
        <v>119</v>
      </c>
      <c r="F143" t="s">
        <v>120</v>
      </c>
      <c r="G143" t="s">
        <v>50</v>
      </c>
      <c r="H143" t="s">
        <v>121</v>
      </c>
      <c r="I143" t="s">
        <v>106</v>
      </c>
      <c r="J143" t="s">
        <v>107</v>
      </c>
      <c r="K143">
        <v>767312</v>
      </c>
      <c r="L143" t="s">
        <v>122</v>
      </c>
      <c r="M143" t="s">
        <v>123</v>
      </c>
      <c r="N143" t="s">
        <v>56</v>
      </c>
      <c r="O143" s="1">
        <v>45586</v>
      </c>
      <c r="P143" s="1">
        <v>45951</v>
      </c>
      <c r="Q143" s="2">
        <v>14.94</v>
      </c>
      <c r="R143">
        <v>1</v>
      </c>
      <c r="S143" t="s">
        <v>57</v>
      </c>
      <c r="T143" t="s">
        <v>58</v>
      </c>
      <c r="U143" s="4">
        <v>0.9</v>
      </c>
      <c r="V143" s="2">
        <v>0</v>
      </c>
      <c r="W143">
        <v>0</v>
      </c>
      <c r="X143" t="s">
        <v>70</v>
      </c>
      <c r="Y143" t="s">
        <v>60</v>
      </c>
      <c r="Z143">
        <v>0</v>
      </c>
      <c r="AA143" s="2">
        <v>0</v>
      </c>
      <c r="AB143" s="2">
        <v>0</v>
      </c>
      <c r="AC143" s="4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13.45</v>
      </c>
      <c r="AM143" s="2">
        <v>13.45</v>
      </c>
      <c r="AN143" s="2">
        <v>0</v>
      </c>
      <c r="AO143" s="2">
        <v>0</v>
      </c>
      <c r="AP143" s="2">
        <v>0</v>
      </c>
    </row>
    <row r="144" spans="1:42" x14ac:dyDescent="0.25">
      <c r="A144" s="1">
        <v>45922</v>
      </c>
      <c r="B144" t="s">
        <v>47</v>
      </c>
      <c r="C144">
        <v>649163</v>
      </c>
      <c r="D144">
        <v>2025404174</v>
      </c>
      <c r="E144" t="s">
        <v>110</v>
      </c>
      <c r="F144" t="s">
        <v>124</v>
      </c>
      <c r="G144" t="s">
        <v>50</v>
      </c>
      <c r="H144" t="s">
        <v>112</v>
      </c>
      <c r="I144" t="s">
        <v>106</v>
      </c>
      <c r="J144" t="s">
        <v>107</v>
      </c>
      <c r="K144">
        <v>651818</v>
      </c>
      <c r="L144" t="s">
        <v>108</v>
      </c>
      <c r="M144" t="s">
        <v>109</v>
      </c>
      <c r="N144" t="s">
        <v>56</v>
      </c>
      <c r="O144" s="1">
        <v>45587</v>
      </c>
      <c r="P144" s="1">
        <v>45952</v>
      </c>
      <c r="Q144" s="2">
        <v>253</v>
      </c>
      <c r="R144">
        <v>1</v>
      </c>
      <c r="S144" t="s">
        <v>57</v>
      </c>
      <c r="T144" t="s">
        <v>58</v>
      </c>
      <c r="U144" s="4">
        <v>0.9</v>
      </c>
      <c r="V144" s="2">
        <v>0</v>
      </c>
      <c r="W144">
        <v>0</v>
      </c>
      <c r="X144" t="s">
        <v>70</v>
      </c>
      <c r="Y144" t="s">
        <v>60</v>
      </c>
      <c r="Z144">
        <v>0</v>
      </c>
      <c r="AA144" s="2">
        <v>0</v>
      </c>
      <c r="AB144" s="2">
        <v>0</v>
      </c>
      <c r="AC144" s="4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227.7</v>
      </c>
      <c r="AM144" s="2">
        <v>227.7</v>
      </c>
      <c r="AN144" s="2">
        <v>0</v>
      </c>
      <c r="AO144" s="2">
        <v>0</v>
      </c>
      <c r="AP144" s="2">
        <v>0</v>
      </c>
    </row>
    <row r="145" spans="1:42" x14ac:dyDescent="0.25">
      <c r="A145" s="1">
        <v>45922</v>
      </c>
      <c r="B145" t="s">
        <v>47</v>
      </c>
      <c r="C145">
        <v>649163</v>
      </c>
      <c r="D145">
        <v>2025693148</v>
      </c>
      <c r="E145" t="s">
        <v>125</v>
      </c>
      <c r="F145" t="s">
        <v>126</v>
      </c>
      <c r="G145" t="s">
        <v>50</v>
      </c>
      <c r="H145" t="s">
        <v>127</v>
      </c>
      <c r="I145" t="s">
        <v>106</v>
      </c>
      <c r="J145" t="s">
        <v>107</v>
      </c>
      <c r="K145">
        <v>651818</v>
      </c>
      <c r="L145" t="s">
        <v>108</v>
      </c>
      <c r="M145" t="s">
        <v>109</v>
      </c>
      <c r="N145" t="s">
        <v>56</v>
      </c>
      <c r="O145" s="1">
        <v>45648</v>
      </c>
      <c r="P145" s="1">
        <v>45952</v>
      </c>
      <c r="Q145" s="2">
        <v>226.81</v>
      </c>
      <c r="R145">
        <v>1</v>
      </c>
      <c r="S145" t="s">
        <v>57</v>
      </c>
      <c r="T145" t="s">
        <v>58</v>
      </c>
      <c r="U145" s="4">
        <v>0.9</v>
      </c>
      <c r="V145" s="2">
        <v>0</v>
      </c>
      <c r="W145">
        <v>0</v>
      </c>
      <c r="X145" t="s">
        <v>70</v>
      </c>
      <c r="Y145" t="s">
        <v>60</v>
      </c>
      <c r="Z145">
        <v>0</v>
      </c>
      <c r="AA145" s="2">
        <v>0</v>
      </c>
      <c r="AB145" s="2">
        <v>0</v>
      </c>
      <c r="AC145" s="4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204.13</v>
      </c>
      <c r="AM145" s="2">
        <v>204.13</v>
      </c>
      <c r="AN145" s="2">
        <v>0</v>
      </c>
      <c r="AO145" s="2">
        <v>0</v>
      </c>
      <c r="AP145" s="2">
        <v>0</v>
      </c>
    </row>
    <row r="146" spans="1:42" x14ac:dyDescent="0.25">
      <c r="A146" s="1">
        <v>45922</v>
      </c>
      <c r="B146" t="s">
        <v>47</v>
      </c>
      <c r="C146">
        <v>649163</v>
      </c>
      <c r="D146">
        <v>2025727275</v>
      </c>
      <c r="E146" t="s">
        <v>128</v>
      </c>
      <c r="F146" t="s">
        <v>129</v>
      </c>
      <c r="G146" t="s">
        <v>50</v>
      </c>
      <c r="H146" t="s">
        <v>115</v>
      </c>
      <c r="I146" t="s">
        <v>106</v>
      </c>
      <c r="J146" t="s">
        <v>107</v>
      </c>
      <c r="K146">
        <v>753748</v>
      </c>
      <c r="L146" t="s">
        <v>130</v>
      </c>
      <c r="M146" t="s">
        <v>131</v>
      </c>
      <c r="N146" t="s">
        <v>56</v>
      </c>
      <c r="O146" s="1">
        <v>45658</v>
      </c>
      <c r="P146" s="1">
        <v>45931</v>
      </c>
      <c r="Q146" s="2">
        <v>-181.71</v>
      </c>
      <c r="R146">
        <v>1</v>
      </c>
      <c r="S146" t="s">
        <v>57</v>
      </c>
      <c r="T146" t="s">
        <v>58</v>
      </c>
      <c r="U146" s="4">
        <v>0.9</v>
      </c>
      <c r="V146" s="2">
        <v>0</v>
      </c>
      <c r="W146">
        <v>-1</v>
      </c>
      <c r="X146" t="s">
        <v>70</v>
      </c>
      <c r="Y146" t="s">
        <v>60</v>
      </c>
      <c r="Z146">
        <v>0</v>
      </c>
      <c r="AA146" s="2">
        <v>0</v>
      </c>
      <c r="AB146" s="2">
        <v>0</v>
      </c>
      <c r="AC146" s="4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-163.54</v>
      </c>
      <c r="AM146" s="2">
        <v>-163.54</v>
      </c>
      <c r="AN146" s="2">
        <v>0</v>
      </c>
      <c r="AO146" s="2">
        <v>0</v>
      </c>
      <c r="AP146" s="2">
        <v>0</v>
      </c>
    </row>
    <row r="147" spans="1:42" x14ac:dyDescent="0.25">
      <c r="A147" s="1">
        <v>45922</v>
      </c>
      <c r="B147" t="s">
        <v>47</v>
      </c>
      <c r="C147">
        <v>649163</v>
      </c>
      <c r="D147">
        <v>2025816907</v>
      </c>
      <c r="E147" t="s">
        <v>132</v>
      </c>
      <c r="F147" t="s">
        <v>133</v>
      </c>
      <c r="G147" t="s">
        <v>50</v>
      </c>
      <c r="H147" t="s">
        <v>134</v>
      </c>
      <c r="I147" t="s">
        <v>106</v>
      </c>
      <c r="J147" t="s">
        <v>116</v>
      </c>
      <c r="K147">
        <v>651818</v>
      </c>
      <c r="L147" t="s">
        <v>108</v>
      </c>
      <c r="M147" t="s">
        <v>109</v>
      </c>
      <c r="N147" t="s">
        <v>56</v>
      </c>
      <c r="O147" s="1">
        <v>45648</v>
      </c>
      <c r="P147" s="1">
        <v>45952</v>
      </c>
      <c r="Q147" s="2">
        <v>116.52</v>
      </c>
      <c r="R147">
        <v>1</v>
      </c>
      <c r="S147" t="s">
        <v>57</v>
      </c>
      <c r="T147" t="s">
        <v>58</v>
      </c>
      <c r="U147" s="4">
        <v>0.75</v>
      </c>
      <c r="V147" s="2">
        <v>0</v>
      </c>
      <c r="W147">
        <v>0</v>
      </c>
      <c r="X147" t="s">
        <v>70</v>
      </c>
      <c r="Y147" t="s">
        <v>60</v>
      </c>
      <c r="Z147">
        <v>0</v>
      </c>
      <c r="AA147" s="2">
        <v>0</v>
      </c>
      <c r="AB147" s="2">
        <v>0</v>
      </c>
      <c r="AC147" s="4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87.39</v>
      </c>
      <c r="AM147" s="2">
        <v>87.39</v>
      </c>
      <c r="AN147" s="2">
        <v>0</v>
      </c>
      <c r="AO147" s="2">
        <v>0</v>
      </c>
      <c r="AP147" s="2">
        <v>0</v>
      </c>
    </row>
    <row r="148" spans="1:42" x14ac:dyDescent="0.25">
      <c r="A148" s="1">
        <v>45922</v>
      </c>
      <c r="B148" t="s">
        <v>47</v>
      </c>
      <c r="C148">
        <v>649163</v>
      </c>
      <c r="D148">
        <v>2026190010</v>
      </c>
      <c r="E148" t="s">
        <v>135</v>
      </c>
      <c r="F148" t="s">
        <v>136</v>
      </c>
      <c r="G148" t="s">
        <v>50</v>
      </c>
      <c r="H148" t="s">
        <v>93</v>
      </c>
      <c r="I148" t="s">
        <v>106</v>
      </c>
      <c r="J148" t="s">
        <v>116</v>
      </c>
      <c r="K148">
        <v>792847</v>
      </c>
      <c r="L148" t="s">
        <v>137</v>
      </c>
      <c r="M148" t="s">
        <v>138</v>
      </c>
      <c r="N148" t="s">
        <v>56</v>
      </c>
      <c r="O148" s="1">
        <v>45647</v>
      </c>
      <c r="P148" s="1">
        <v>45951</v>
      </c>
      <c r="Q148" s="2">
        <v>51.73</v>
      </c>
      <c r="R148">
        <v>1</v>
      </c>
      <c r="S148" t="s">
        <v>57</v>
      </c>
      <c r="T148" t="s">
        <v>58</v>
      </c>
      <c r="U148" s="4">
        <v>0.75</v>
      </c>
      <c r="V148" s="2">
        <v>0</v>
      </c>
      <c r="W148">
        <v>0</v>
      </c>
      <c r="X148" t="s">
        <v>70</v>
      </c>
      <c r="Y148" t="s">
        <v>60</v>
      </c>
      <c r="Z148">
        <v>0</v>
      </c>
      <c r="AA148" s="2">
        <v>0</v>
      </c>
      <c r="AB148" s="2">
        <v>0</v>
      </c>
      <c r="AC148" s="4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38.799999999999997</v>
      </c>
      <c r="AM148" s="2">
        <v>38.799999999999997</v>
      </c>
      <c r="AN148" s="2">
        <v>0</v>
      </c>
      <c r="AO148" s="2">
        <v>0</v>
      </c>
      <c r="AP148" s="2">
        <v>0</v>
      </c>
    </row>
    <row r="149" spans="1:42" x14ac:dyDescent="0.25">
      <c r="A149" s="1">
        <v>45922</v>
      </c>
      <c r="B149" t="s">
        <v>47</v>
      </c>
      <c r="C149">
        <v>649163</v>
      </c>
      <c r="D149">
        <v>2026262566</v>
      </c>
      <c r="E149" t="s">
        <v>139</v>
      </c>
      <c r="F149" t="s">
        <v>140</v>
      </c>
      <c r="G149" t="s">
        <v>50</v>
      </c>
      <c r="H149" t="s">
        <v>141</v>
      </c>
      <c r="I149" t="s">
        <v>106</v>
      </c>
      <c r="J149" t="s">
        <v>107</v>
      </c>
      <c r="K149">
        <v>816021</v>
      </c>
      <c r="L149" t="s">
        <v>142</v>
      </c>
      <c r="M149" t="s">
        <v>143</v>
      </c>
      <c r="N149" t="s">
        <v>56</v>
      </c>
      <c r="O149" s="1">
        <v>45647</v>
      </c>
      <c r="P149" s="1">
        <v>45951</v>
      </c>
      <c r="Q149" s="2">
        <v>31.71</v>
      </c>
      <c r="R149">
        <v>1</v>
      </c>
      <c r="S149" t="s">
        <v>57</v>
      </c>
      <c r="T149" t="s">
        <v>58</v>
      </c>
      <c r="U149" s="4">
        <v>0.9</v>
      </c>
      <c r="V149" s="2">
        <v>0</v>
      </c>
      <c r="W149">
        <v>0</v>
      </c>
      <c r="X149" t="s">
        <v>70</v>
      </c>
      <c r="Y149" t="s">
        <v>60</v>
      </c>
      <c r="Z149">
        <v>0</v>
      </c>
      <c r="AA149" s="2">
        <v>0</v>
      </c>
      <c r="AB149" s="2">
        <v>0</v>
      </c>
      <c r="AC149" s="4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28.54</v>
      </c>
      <c r="AM149" s="2">
        <v>28.54</v>
      </c>
      <c r="AN149" s="2">
        <v>0</v>
      </c>
      <c r="AO149" s="2">
        <v>0</v>
      </c>
      <c r="AP149" s="2">
        <v>0</v>
      </c>
    </row>
    <row r="150" spans="1:42" x14ac:dyDescent="0.25">
      <c r="A150" s="1">
        <v>45922</v>
      </c>
      <c r="B150" t="s">
        <v>47</v>
      </c>
      <c r="C150">
        <v>649163</v>
      </c>
      <c r="D150">
        <v>2026295211</v>
      </c>
      <c r="E150" t="s">
        <v>144</v>
      </c>
      <c r="F150" t="s">
        <v>145</v>
      </c>
      <c r="G150" t="s">
        <v>50</v>
      </c>
      <c r="H150" t="s">
        <v>141</v>
      </c>
      <c r="I150" t="s">
        <v>106</v>
      </c>
      <c r="J150" t="s">
        <v>146</v>
      </c>
      <c r="K150">
        <v>816021</v>
      </c>
      <c r="L150" t="s">
        <v>142</v>
      </c>
      <c r="M150" t="s">
        <v>143</v>
      </c>
      <c r="N150" t="s">
        <v>56</v>
      </c>
      <c r="O150" s="1">
        <v>45650</v>
      </c>
      <c r="P150" s="1">
        <v>45954</v>
      </c>
      <c r="Q150" s="2">
        <v>42.22</v>
      </c>
      <c r="R150">
        <v>1</v>
      </c>
      <c r="S150" t="s">
        <v>57</v>
      </c>
      <c r="T150" t="s">
        <v>58</v>
      </c>
      <c r="U150" s="4">
        <v>0.65</v>
      </c>
      <c r="V150" s="2">
        <v>0</v>
      </c>
      <c r="W150">
        <v>0</v>
      </c>
      <c r="X150" t="s">
        <v>70</v>
      </c>
      <c r="Y150" t="s">
        <v>60</v>
      </c>
      <c r="Z150">
        <v>0</v>
      </c>
      <c r="AA150" s="2">
        <v>0</v>
      </c>
      <c r="AB150" s="2">
        <v>0</v>
      </c>
      <c r="AC150" s="4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27.44</v>
      </c>
      <c r="AM150" s="2">
        <v>27.44</v>
      </c>
      <c r="AN150" s="2">
        <v>0</v>
      </c>
      <c r="AO150" s="2">
        <v>0</v>
      </c>
      <c r="AP150" s="2">
        <v>0</v>
      </c>
    </row>
    <row r="151" spans="1:42" x14ac:dyDescent="0.25">
      <c r="A151" s="1">
        <v>45922</v>
      </c>
      <c r="B151" t="s">
        <v>47</v>
      </c>
      <c r="C151">
        <v>649163</v>
      </c>
      <c r="D151">
        <v>2026669942</v>
      </c>
      <c r="E151" t="s">
        <v>147</v>
      </c>
      <c r="F151" t="s">
        <v>148</v>
      </c>
      <c r="G151" t="s">
        <v>50</v>
      </c>
      <c r="H151" t="s">
        <v>77</v>
      </c>
      <c r="I151" t="s">
        <v>106</v>
      </c>
      <c r="J151" t="s">
        <v>107</v>
      </c>
      <c r="K151">
        <v>767312</v>
      </c>
      <c r="L151" t="s">
        <v>122</v>
      </c>
      <c r="M151" t="s">
        <v>123</v>
      </c>
      <c r="N151" t="s">
        <v>56</v>
      </c>
      <c r="O151" s="1">
        <v>45677</v>
      </c>
      <c r="P151" s="1">
        <v>45950</v>
      </c>
      <c r="Q151" s="2">
        <v>17.02</v>
      </c>
      <c r="R151">
        <v>1</v>
      </c>
      <c r="S151" t="s">
        <v>57</v>
      </c>
      <c r="T151" t="s">
        <v>58</v>
      </c>
      <c r="U151" s="4">
        <v>0.9</v>
      </c>
      <c r="V151" s="2">
        <v>0</v>
      </c>
      <c r="W151">
        <v>0</v>
      </c>
      <c r="X151" t="s">
        <v>70</v>
      </c>
      <c r="Y151" t="s">
        <v>60</v>
      </c>
      <c r="Z151">
        <v>0</v>
      </c>
      <c r="AA151" s="2">
        <v>0</v>
      </c>
      <c r="AB151" s="2">
        <v>0</v>
      </c>
      <c r="AC151" s="4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15.32</v>
      </c>
      <c r="AM151" s="2">
        <v>15.32</v>
      </c>
      <c r="AN151" s="2">
        <v>0</v>
      </c>
      <c r="AO151" s="2">
        <v>0</v>
      </c>
      <c r="AP151" s="2">
        <v>0</v>
      </c>
    </row>
    <row r="152" spans="1:42" x14ac:dyDescent="0.25">
      <c r="A152" s="1">
        <v>45922</v>
      </c>
      <c r="B152" t="s">
        <v>47</v>
      </c>
      <c r="C152">
        <v>649163</v>
      </c>
      <c r="D152">
        <v>2026783376</v>
      </c>
      <c r="E152" t="s">
        <v>149</v>
      </c>
      <c r="F152" t="s">
        <v>150</v>
      </c>
      <c r="G152" t="s">
        <v>50</v>
      </c>
      <c r="H152" t="s">
        <v>151</v>
      </c>
      <c r="I152" t="s">
        <v>106</v>
      </c>
      <c r="J152" t="s">
        <v>146</v>
      </c>
      <c r="K152">
        <v>673059</v>
      </c>
      <c r="L152" t="s">
        <v>152</v>
      </c>
      <c r="M152" t="s">
        <v>153</v>
      </c>
      <c r="N152" t="s">
        <v>56</v>
      </c>
      <c r="O152" s="1">
        <v>45709</v>
      </c>
      <c r="P152" s="1">
        <v>45951</v>
      </c>
      <c r="Q152" s="2">
        <v>66.489999999999995</v>
      </c>
      <c r="R152">
        <v>1</v>
      </c>
      <c r="S152" t="s">
        <v>57</v>
      </c>
      <c r="T152" t="s">
        <v>58</v>
      </c>
      <c r="U152" s="4">
        <v>0.65</v>
      </c>
      <c r="V152" s="2">
        <v>0</v>
      </c>
      <c r="W152">
        <v>0</v>
      </c>
      <c r="X152" t="s">
        <v>70</v>
      </c>
      <c r="Y152" t="s">
        <v>60</v>
      </c>
      <c r="Z152">
        <v>0</v>
      </c>
      <c r="AA152" s="2">
        <v>0</v>
      </c>
      <c r="AB152" s="2">
        <v>0</v>
      </c>
      <c r="AC152" s="4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43.22</v>
      </c>
      <c r="AM152" s="2">
        <v>43.22</v>
      </c>
      <c r="AN152" s="2">
        <v>0</v>
      </c>
      <c r="AO152" s="2">
        <v>0</v>
      </c>
      <c r="AP152" s="2">
        <v>0</v>
      </c>
    </row>
    <row r="153" spans="1:42" x14ac:dyDescent="0.25">
      <c r="A153" s="1">
        <v>45922</v>
      </c>
      <c r="B153" t="s">
        <v>47</v>
      </c>
      <c r="C153">
        <v>649163</v>
      </c>
      <c r="D153">
        <v>2027010992</v>
      </c>
      <c r="E153" t="s">
        <v>154</v>
      </c>
      <c r="F153" t="s">
        <v>155</v>
      </c>
      <c r="G153" t="s">
        <v>50</v>
      </c>
      <c r="H153" t="s">
        <v>141</v>
      </c>
      <c r="I153" t="s">
        <v>106</v>
      </c>
      <c r="J153" t="s">
        <v>146</v>
      </c>
      <c r="K153">
        <v>816021</v>
      </c>
      <c r="L153" t="s">
        <v>142</v>
      </c>
      <c r="M153" t="s">
        <v>143</v>
      </c>
      <c r="N153" t="s">
        <v>56</v>
      </c>
      <c r="O153" s="1">
        <v>45697</v>
      </c>
      <c r="P153" s="1">
        <v>45939</v>
      </c>
      <c r="Q153" s="2">
        <v>47.01</v>
      </c>
      <c r="R153">
        <v>1</v>
      </c>
      <c r="S153" t="s">
        <v>57</v>
      </c>
      <c r="T153" t="s">
        <v>58</v>
      </c>
      <c r="U153" s="4">
        <v>0.65</v>
      </c>
      <c r="V153" s="2">
        <v>0</v>
      </c>
      <c r="W153">
        <v>0</v>
      </c>
      <c r="X153" t="s">
        <v>70</v>
      </c>
      <c r="Y153" t="s">
        <v>60</v>
      </c>
      <c r="Z153">
        <v>0</v>
      </c>
      <c r="AA153" s="2">
        <v>0</v>
      </c>
      <c r="AB153" s="2">
        <v>0</v>
      </c>
      <c r="AC153" s="4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30.56</v>
      </c>
      <c r="AM153" s="2">
        <v>30.56</v>
      </c>
      <c r="AN153" s="2">
        <v>0</v>
      </c>
      <c r="AO153" s="2">
        <v>0</v>
      </c>
      <c r="AP153" s="2">
        <v>0</v>
      </c>
    </row>
    <row r="154" spans="1:42" x14ac:dyDescent="0.25">
      <c r="A154" s="1">
        <v>45922</v>
      </c>
      <c r="B154" t="s">
        <v>47</v>
      </c>
      <c r="C154">
        <v>649163</v>
      </c>
      <c r="D154">
        <v>2027223263</v>
      </c>
      <c r="E154" t="s">
        <v>156</v>
      </c>
      <c r="F154" t="s">
        <v>49</v>
      </c>
      <c r="G154" t="s">
        <v>50</v>
      </c>
      <c r="H154" t="s">
        <v>157</v>
      </c>
      <c r="I154" t="s">
        <v>106</v>
      </c>
      <c r="J154" t="s">
        <v>116</v>
      </c>
      <c r="K154">
        <v>822865</v>
      </c>
      <c r="L154" t="s">
        <v>158</v>
      </c>
      <c r="M154" t="s">
        <v>159</v>
      </c>
      <c r="N154" t="s">
        <v>56</v>
      </c>
      <c r="O154" s="1">
        <v>45709</v>
      </c>
      <c r="P154" s="1">
        <v>45951</v>
      </c>
      <c r="Q154" s="2">
        <v>94.78</v>
      </c>
      <c r="R154">
        <v>1</v>
      </c>
      <c r="S154" t="s">
        <v>57</v>
      </c>
      <c r="T154" t="s">
        <v>58</v>
      </c>
      <c r="U154" s="4">
        <v>0.75</v>
      </c>
      <c r="V154" s="2">
        <v>0</v>
      </c>
      <c r="W154">
        <v>0</v>
      </c>
      <c r="X154" t="s">
        <v>70</v>
      </c>
      <c r="Y154" t="s">
        <v>60</v>
      </c>
      <c r="Z154">
        <v>0</v>
      </c>
      <c r="AA154" s="2">
        <v>0</v>
      </c>
      <c r="AB154" s="2">
        <v>0</v>
      </c>
      <c r="AC154" s="4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71.08</v>
      </c>
      <c r="AM154" s="2">
        <v>71.08</v>
      </c>
      <c r="AN154" s="2">
        <v>0</v>
      </c>
      <c r="AO154" s="2">
        <v>0</v>
      </c>
      <c r="AP154" s="2">
        <v>0</v>
      </c>
    </row>
    <row r="155" spans="1:42" x14ac:dyDescent="0.25">
      <c r="A155" s="1">
        <v>45922</v>
      </c>
      <c r="B155" t="s">
        <v>47</v>
      </c>
      <c r="C155">
        <v>649163</v>
      </c>
      <c r="D155">
        <v>2027258066</v>
      </c>
      <c r="E155" t="s">
        <v>160</v>
      </c>
      <c r="F155" t="s">
        <v>161</v>
      </c>
      <c r="G155" t="s">
        <v>50</v>
      </c>
      <c r="H155" t="s">
        <v>151</v>
      </c>
      <c r="I155" t="s">
        <v>106</v>
      </c>
      <c r="J155" t="s">
        <v>146</v>
      </c>
      <c r="K155">
        <v>673059</v>
      </c>
      <c r="L155" t="s">
        <v>152</v>
      </c>
      <c r="M155" t="s">
        <v>153</v>
      </c>
      <c r="N155" t="s">
        <v>56</v>
      </c>
      <c r="O155" s="1">
        <v>45710</v>
      </c>
      <c r="P155" s="1">
        <v>45952</v>
      </c>
      <c r="Q155" s="2">
        <v>78.239999999999995</v>
      </c>
      <c r="R155">
        <v>1</v>
      </c>
      <c r="S155" t="s">
        <v>57</v>
      </c>
      <c r="T155" t="s">
        <v>58</v>
      </c>
      <c r="U155" s="4">
        <v>0.65</v>
      </c>
      <c r="V155" s="2">
        <v>0</v>
      </c>
      <c r="W155">
        <v>0</v>
      </c>
      <c r="X155" t="s">
        <v>70</v>
      </c>
      <c r="Y155" t="s">
        <v>60</v>
      </c>
      <c r="Z155">
        <v>0</v>
      </c>
      <c r="AA155" s="2">
        <v>0</v>
      </c>
      <c r="AB155" s="2">
        <v>0</v>
      </c>
      <c r="AC155" s="4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50.86</v>
      </c>
      <c r="AM155" s="2">
        <v>50.86</v>
      </c>
      <c r="AN155" s="2">
        <v>0</v>
      </c>
      <c r="AO155" s="2">
        <v>0</v>
      </c>
      <c r="AP155" s="2">
        <v>0</v>
      </c>
    </row>
    <row r="156" spans="1:42" x14ac:dyDescent="0.25">
      <c r="A156" s="1">
        <v>45922</v>
      </c>
      <c r="B156" t="s">
        <v>47</v>
      </c>
      <c r="C156">
        <v>649163</v>
      </c>
      <c r="D156">
        <v>2027642345</v>
      </c>
      <c r="E156" t="s">
        <v>162</v>
      </c>
      <c r="F156" t="s">
        <v>163</v>
      </c>
      <c r="G156" t="s">
        <v>50</v>
      </c>
      <c r="H156" t="s">
        <v>127</v>
      </c>
      <c r="I156" t="s">
        <v>106</v>
      </c>
      <c r="J156" t="s">
        <v>107</v>
      </c>
      <c r="K156">
        <v>651818</v>
      </c>
      <c r="L156" t="s">
        <v>108</v>
      </c>
      <c r="M156" t="s">
        <v>109</v>
      </c>
      <c r="N156" t="s">
        <v>56</v>
      </c>
      <c r="O156" s="1">
        <v>45754</v>
      </c>
      <c r="P156" s="1">
        <v>45937</v>
      </c>
      <c r="Q156" s="2">
        <v>119.92</v>
      </c>
      <c r="R156">
        <v>1</v>
      </c>
      <c r="S156" t="s">
        <v>57</v>
      </c>
      <c r="T156" t="s">
        <v>58</v>
      </c>
      <c r="U156" s="4">
        <v>0.9</v>
      </c>
      <c r="V156" s="2">
        <v>0</v>
      </c>
      <c r="W156">
        <v>0</v>
      </c>
      <c r="X156" t="s">
        <v>70</v>
      </c>
      <c r="Y156" t="s">
        <v>60</v>
      </c>
      <c r="Z156">
        <v>0</v>
      </c>
      <c r="AA156" s="2">
        <v>0</v>
      </c>
      <c r="AB156" s="2">
        <v>0</v>
      </c>
      <c r="AC156" s="4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107.93</v>
      </c>
      <c r="AM156" s="2">
        <v>107.93</v>
      </c>
      <c r="AN156" s="2">
        <v>0</v>
      </c>
      <c r="AO156" s="2">
        <v>0</v>
      </c>
      <c r="AP156" s="2">
        <v>0</v>
      </c>
    </row>
    <row r="157" spans="1:42" x14ac:dyDescent="0.25">
      <c r="A157" s="1">
        <v>45922</v>
      </c>
      <c r="B157" t="s">
        <v>47</v>
      </c>
      <c r="C157">
        <v>649163</v>
      </c>
      <c r="D157">
        <v>2027867339</v>
      </c>
      <c r="E157" t="s">
        <v>164</v>
      </c>
      <c r="F157" t="s">
        <v>165</v>
      </c>
      <c r="G157" t="s">
        <v>50</v>
      </c>
      <c r="H157" t="s">
        <v>141</v>
      </c>
      <c r="I157" t="s">
        <v>106</v>
      </c>
      <c r="J157" t="s">
        <v>107</v>
      </c>
      <c r="K157">
        <v>816021</v>
      </c>
      <c r="L157" t="s">
        <v>142</v>
      </c>
      <c r="M157" t="s">
        <v>143</v>
      </c>
      <c r="N157" t="s">
        <v>56</v>
      </c>
      <c r="O157" s="1">
        <v>45736</v>
      </c>
      <c r="P157" s="1">
        <v>45950</v>
      </c>
      <c r="Q157" s="2">
        <v>59.42</v>
      </c>
      <c r="R157">
        <v>1</v>
      </c>
      <c r="S157" t="s">
        <v>57</v>
      </c>
      <c r="T157" t="s">
        <v>58</v>
      </c>
      <c r="U157" s="4">
        <v>0.9</v>
      </c>
      <c r="V157" s="2">
        <v>0</v>
      </c>
      <c r="W157">
        <v>0</v>
      </c>
      <c r="X157" t="s">
        <v>70</v>
      </c>
      <c r="Y157" t="s">
        <v>60</v>
      </c>
      <c r="Z157">
        <v>0</v>
      </c>
      <c r="AA157" s="2">
        <v>0</v>
      </c>
      <c r="AB157" s="2">
        <v>0</v>
      </c>
      <c r="AC157" s="4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53.48</v>
      </c>
      <c r="AM157" s="2">
        <v>53.48</v>
      </c>
      <c r="AN157" s="2">
        <v>0</v>
      </c>
      <c r="AO157" s="2">
        <v>0</v>
      </c>
      <c r="AP157" s="2">
        <v>0</v>
      </c>
    </row>
    <row r="158" spans="1:42" x14ac:dyDescent="0.25">
      <c r="A158" s="1">
        <v>45922</v>
      </c>
      <c r="B158" t="s">
        <v>47</v>
      </c>
      <c r="C158">
        <v>649163</v>
      </c>
      <c r="D158">
        <v>2027913474</v>
      </c>
      <c r="E158" t="s">
        <v>166</v>
      </c>
      <c r="F158" t="s">
        <v>167</v>
      </c>
      <c r="G158" t="s">
        <v>50</v>
      </c>
      <c r="H158" t="s">
        <v>141</v>
      </c>
      <c r="I158" t="s">
        <v>106</v>
      </c>
      <c r="J158" t="s">
        <v>107</v>
      </c>
      <c r="K158">
        <v>816021</v>
      </c>
      <c r="L158" t="s">
        <v>142</v>
      </c>
      <c r="M158" t="s">
        <v>143</v>
      </c>
      <c r="N158" t="s">
        <v>56</v>
      </c>
      <c r="O158" s="1">
        <v>45738</v>
      </c>
      <c r="P158" s="1">
        <v>45952</v>
      </c>
      <c r="Q158" s="2">
        <v>111.54</v>
      </c>
      <c r="R158">
        <v>1</v>
      </c>
      <c r="S158" t="s">
        <v>57</v>
      </c>
      <c r="T158" t="s">
        <v>58</v>
      </c>
      <c r="U158" s="4">
        <v>0.9</v>
      </c>
      <c r="V158" s="2">
        <v>0</v>
      </c>
      <c r="W158">
        <v>0</v>
      </c>
      <c r="X158" t="s">
        <v>70</v>
      </c>
      <c r="Y158" t="s">
        <v>60</v>
      </c>
      <c r="Z158">
        <v>0</v>
      </c>
      <c r="AA158" s="2">
        <v>0</v>
      </c>
      <c r="AB158" s="2">
        <v>0</v>
      </c>
      <c r="AC158" s="4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100.39</v>
      </c>
      <c r="AM158" s="2">
        <v>100.39</v>
      </c>
      <c r="AN158" s="2">
        <v>0</v>
      </c>
      <c r="AO158" s="2">
        <v>0</v>
      </c>
      <c r="AP158" s="2">
        <v>0</v>
      </c>
    </row>
    <row r="159" spans="1:42" x14ac:dyDescent="0.25">
      <c r="A159" s="1">
        <v>45922</v>
      </c>
      <c r="B159" t="s">
        <v>47</v>
      </c>
      <c r="C159">
        <v>649163</v>
      </c>
      <c r="D159">
        <v>2027965834</v>
      </c>
      <c r="E159" t="s">
        <v>168</v>
      </c>
      <c r="F159" t="s">
        <v>169</v>
      </c>
      <c r="G159" t="s">
        <v>50</v>
      </c>
      <c r="H159" t="s">
        <v>151</v>
      </c>
      <c r="I159" t="s">
        <v>106</v>
      </c>
      <c r="J159" t="s">
        <v>146</v>
      </c>
      <c r="K159">
        <v>812782</v>
      </c>
      <c r="L159" t="s">
        <v>170</v>
      </c>
      <c r="M159" t="s">
        <v>171</v>
      </c>
      <c r="N159" t="s">
        <v>56</v>
      </c>
      <c r="O159" s="1">
        <v>45738</v>
      </c>
      <c r="P159" s="1">
        <v>45952</v>
      </c>
      <c r="Q159" s="2">
        <v>8.64</v>
      </c>
      <c r="R159">
        <v>1</v>
      </c>
      <c r="S159" t="s">
        <v>57</v>
      </c>
      <c r="T159" t="s">
        <v>58</v>
      </c>
      <c r="U159" s="4">
        <v>0.65</v>
      </c>
      <c r="V159" s="2">
        <v>0</v>
      </c>
      <c r="W159">
        <v>0</v>
      </c>
      <c r="X159" t="s">
        <v>70</v>
      </c>
      <c r="Y159" t="s">
        <v>60</v>
      </c>
      <c r="Z159">
        <v>0</v>
      </c>
      <c r="AA159" s="2">
        <v>0</v>
      </c>
      <c r="AB159" s="2">
        <v>0</v>
      </c>
      <c r="AC159" s="4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5.62</v>
      </c>
      <c r="AM159" s="2">
        <v>5.62</v>
      </c>
      <c r="AN159" s="2">
        <v>0</v>
      </c>
      <c r="AO159" s="2">
        <v>0</v>
      </c>
      <c r="AP159" s="2">
        <v>0</v>
      </c>
    </row>
    <row r="160" spans="1:42" x14ac:dyDescent="0.25">
      <c r="A160" s="1">
        <v>45922</v>
      </c>
      <c r="B160" t="s">
        <v>47</v>
      </c>
      <c r="C160">
        <v>649163</v>
      </c>
      <c r="D160">
        <v>2028004036</v>
      </c>
      <c r="E160" t="s">
        <v>172</v>
      </c>
      <c r="F160" t="s">
        <v>173</v>
      </c>
      <c r="G160" t="s">
        <v>50</v>
      </c>
      <c r="H160" t="s">
        <v>141</v>
      </c>
      <c r="I160" t="s">
        <v>106</v>
      </c>
      <c r="J160" t="s">
        <v>146</v>
      </c>
      <c r="K160">
        <v>816021</v>
      </c>
      <c r="L160" t="s">
        <v>142</v>
      </c>
      <c r="M160" t="s">
        <v>143</v>
      </c>
      <c r="N160" t="s">
        <v>56</v>
      </c>
      <c r="O160" s="1">
        <v>45741</v>
      </c>
      <c r="P160" s="1">
        <v>45955</v>
      </c>
      <c r="Q160" s="2">
        <v>21.96</v>
      </c>
      <c r="R160">
        <v>1</v>
      </c>
      <c r="S160" t="s">
        <v>57</v>
      </c>
      <c r="T160" t="s">
        <v>58</v>
      </c>
      <c r="U160" s="4">
        <v>0.65</v>
      </c>
      <c r="V160" s="2">
        <v>0</v>
      </c>
      <c r="W160">
        <v>0</v>
      </c>
      <c r="X160" t="s">
        <v>70</v>
      </c>
      <c r="Y160" t="s">
        <v>60</v>
      </c>
      <c r="Z160">
        <v>0</v>
      </c>
      <c r="AA160" s="2">
        <v>0</v>
      </c>
      <c r="AB160" s="2">
        <v>0</v>
      </c>
      <c r="AC160" s="4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14.27</v>
      </c>
      <c r="AM160" s="2">
        <v>14.27</v>
      </c>
      <c r="AN160" s="2">
        <v>0</v>
      </c>
      <c r="AO160" s="2">
        <v>0</v>
      </c>
      <c r="AP160" s="2">
        <v>0</v>
      </c>
    </row>
    <row r="161" spans="1:42" x14ac:dyDescent="0.25">
      <c r="A161" s="1">
        <v>45922</v>
      </c>
      <c r="B161" t="s">
        <v>47</v>
      </c>
      <c r="C161">
        <v>649163</v>
      </c>
      <c r="D161">
        <v>2028461883</v>
      </c>
      <c r="E161" t="s">
        <v>174</v>
      </c>
      <c r="F161" t="s">
        <v>175</v>
      </c>
      <c r="G161" t="s">
        <v>50</v>
      </c>
      <c r="H161" t="s">
        <v>121</v>
      </c>
      <c r="I161" t="s">
        <v>106</v>
      </c>
      <c r="J161" t="s">
        <v>107</v>
      </c>
      <c r="K161">
        <v>823350</v>
      </c>
      <c r="L161" t="s">
        <v>79</v>
      </c>
      <c r="M161" t="s">
        <v>80</v>
      </c>
      <c r="N161" t="s">
        <v>56</v>
      </c>
      <c r="O161" s="1">
        <v>45772</v>
      </c>
      <c r="P161" s="1">
        <v>45955</v>
      </c>
      <c r="Q161" s="2">
        <v>36.82</v>
      </c>
      <c r="R161">
        <v>1</v>
      </c>
      <c r="S161" t="s">
        <v>57</v>
      </c>
      <c r="T161" t="s">
        <v>58</v>
      </c>
      <c r="U161" s="4">
        <v>0.9</v>
      </c>
      <c r="V161" s="2">
        <v>0</v>
      </c>
      <c r="W161">
        <v>0</v>
      </c>
      <c r="X161" t="s">
        <v>70</v>
      </c>
      <c r="Y161" t="s">
        <v>60</v>
      </c>
      <c r="Z161">
        <v>0</v>
      </c>
      <c r="AA161" s="2">
        <v>0</v>
      </c>
      <c r="AB161" s="2">
        <v>0</v>
      </c>
      <c r="AC161" s="4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33.14</v>
      </c>
      <c r="AM161" s="2">
        <v>33.14</v>
      </c>
      <c r="AN161" s="2">
        <v>0</v>
      </c>
      <c r="AO161" s="2">
        <v>0</v>
      </c>
      <c r="AP161" s="2">
        <v>0</v>
      </c>
    </row>
    <row r="162" spans="1:42" x14ac:dyDescent="0.25">
      <c r="A162" s="1">
        <v>45922</v>
      </c>
      <c r="B162" t="s">
        <v>47</v>
      </c>
      <c r="C162">
        <v>649163</v>
      </c>
      <c r="D162">
        <v>2028466943</v>
      </c>
      <c r="E162" t="s">
        <v>176</v>
      </c>
      <c r="F162" t="s">
        <v>177</v>
      </c>
      <c r="G162" t="s">
        <v>50</v>
      </c>
      <c r="H162" t="s">
        <v>141</v>
      </c>
      <c r="I162" t="s">
        <v>106</v>
      </c>
      <c r="J162" t="s">
        <v>107</v>
      </c>
      <c r="K162">
        <v>816021</v>
      </c>
      <c r="L162" t="s">
        <v>142</v>
      </c>
      <c r="M162" t="s">
        <v>143</v>
      </c>
      <c r="N162" t="s">
        <v>56</v>
      </c>
      <c r="O162" s="1">
        <v>45767</v>
      </c>
      <c r="P162" s="1">
        <v>45950</v>
      </c>
      <c r="Q162" s="2">
        <v>31.08</v>
      </c>
      <c r="R162">
        <v>1</v>
      </c>
      <c r="S162" t="s">
        <v>57</v>
      </c>
      <c r="T162" t="s">
        <v>58</v>
      </c>
      <c r="U162" s="4">
        <v>0.9</v>
      </c>
      <c r="V162" s="2">
        <v>0</v>
      </c>
      <c r="W162">
        <v>0</v>
      </c>
      <c r="X162" t="s">
        <v>70</v>
      </c>
      <c r="Y162" t="s">
        <v>60</v>
      </c>
      <c r="Z162">
        <v>0</v>
      </c>
      <c r="AA162" s="2">
        <v>0</v>
      </c>
      <c r="AB162" s="2">
        <v>0</v>
      </c>
      <c r="AC162" s="4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27.97</v>
      </c>
      <c r="AM162" s="2">
        <v>27.97</v>
      </c>
      <c r="AN162" s="2">
        <v>0</v>
      </c>
      <c r="AO162" s="2">
        <v>0</v>
      </c>
      <c r="AP162" s="2">
        <v>0</v>
      </c>
    </row>
    <row r="163" spans="1:42" x14ac:dyDescent="0.25">
      <c r="A163" s="1">
        <v>45922</v>
      </c>
      <c r="B163" t="s">
        <v>47</v>
      </c>
      <c r="C163">
        <v>649163</v>
      </c>
      <c r="D163">
        <v>2028498800</v>
      </c>
      <c r="E163" t="s">
        <v>178</v>
      </c>
      <c r="F163" t="s">
        <v>179</v>
      </c>
      <c r="G163" t="s">
        <v>50</v>
      </c>
      <c r="H163" t="s">
        <v>180</v>
      </c>
      <c r="I163" t="s">
        <v>106</v>
      </c>
      <c r="J163" t="s">
        <v>116</v>
      </c>
      <c r="K163">
        <v>823350</v>
      </c>
      <c r="L163" t="s">
        <v>79</v>
      </c>
      <c r="M163" t="s">
        <v>80</v>
      </c>
      <c r="N163" t="s">
        <v>56</v>
      </c>
      <c r="O163" s="1">
        <v>45772</v>
      </c>
      <c r="P163" s="1">
        <v>45955</v>
      </c>
      <c r="Q163" s="2">
        <v>28.95</v>
      </c>
      <c r="R163">
        <v>1</v>
      </c>
      <c r="S163" t="s">
        <v>57</v>
      </c>
      <c r="T163" t="s">
        <v>58</v>
      </c>
      <c r="U163" s="4">
        <v>0.75</v>
      </c>
      <c r="V163" s="2">
        <v>0</v>
      </c>
      <c r="W163">
        <v>0</v>
      </c>
      <c r="X163" t="s">
        <v>70</v>
      </c>
      <c r="Y163" t="s">
        <v>60</v>
      </c>
      <c r="Z163">
        <v>0</v>
      </c>
      <c r="AA163" s="2">
        <v>0</v>
      </c>
      <c r="AB163" s="2">
        <v>0</v>
      </c>
      <c r="AC163" s="4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21.71</v>
      </c>
      <c r="AM163" s="2">
        <v>21.71</v>
      </c>
      <c r="AN163" s="2">
        <v>0</v>
      </c>
      <c r="AO163" s="2">
        <v>0</v>
      </c>
      <c r="AP163" s="2">
        <v>0</v>
      </c>
    </row>
    <row r="164" spans="1:42" x14ac:dyDescent="0.25">
      <c r="A164" s="1">
        <v>45922</v>
      </c>
      <c r="B164" t="s">
        <v>47</v>
      </c>
      <c r="C164">
        <v>649163</v>
      </c>
      <c r="D164">
        <v>2028857840</v>
      </c>
      <c r="E164" t="s">
        <v>181</v>
      </c>
      <c r="F164" t="s">
        <v>182</v>
      </c>
      <c r="G164" t="s">
        <v>50</v>
      </c>
      <c r="H164" t="s">
        <v>183</v>
      </c>
      <c r="I164" t="s">
        <v>106</v>
      </c>
      <c r="J164" t="s">
        <v>184</v>
      </c>
      <c r="K164">
        <v>651818</v>
      </c>
      <c r="L164" t="s">
        <v>108</v>
      </c>
      <c r="M164" t="s">
        <v>109</v>
      </c>
      <c r="N164" t="s">
        <v>56</v>
      </c>
      <c r="O164" s="1">
        <v>45789</v>
      </c>
      <c r="P164" s="1">
        <v>45942</v>
      </c>
      <c r="Q164" s="2">
        <v>68.7</v>
      </c>
      <c r="R164">
        <v>1</v>
      </c>
      <c r="S164" t="s">
        <v>57</v>
      </c>
      <c r="T164" t="s">
        <v>58</v>
      </c>
      <c r="U164" s="4">
        <v>0.75</v>
      </c>
      <c r="V164" s="2">
        <v>0</v>
      </c>
      <c r="W164">
        <v>0</v>
      </c>
      <c r="X164" t="s">
        <v>70</v>
      </c>
      <c r="Y164" t="s">
        <v>60</v>
      </c>
      <c r="Z164">
        <v>0</v>
      </c>
      <c r="AA164" s="2">
        <v>0</v>
      </c>
      <c r="AB164" s="2">
        <v>0</v>
      </c>
      <c r="AC164" s="4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51.52</v>
      </c>
      <c r="AM164" s="2">
        <v>51.52</v>
      </c>
      <c r="AN164" s="2">
        <v>0</v>
      </c>
      <c r="AO164" s="2">
        <v>0</v>
      </c>
      <c r="AP164" s="2">
        <v>0</v>
      </c>
    </row>
    <row r="165" spans="1:42" x14ac:dyDescent="0.25">
      <c r="A165" s="1">
        <v>45922</v>
      </c>
      <c r="B165" t="s">
        <v>47</v>
      </c>
      <c r="C165">
        <v>649163</v>
      </c>
      <c r="D165">
        <v>2028992070</v>
      </c>
      <c r="E165" t="s">
        <v>185</v>
      </c>
      <c r="F165" t="s">
        <v>55</v>
      </c>
      <c r="G165" t="s">
        <v>50</v>
      </c>
      <c r="H165" t="s">
        <v>180</v>
      </c>
      <c r="I165" t="s">
        <v>106</v>
      </c>
      <c r="J165" t="s">
        <v>107</v>
      </c>
      <c r="K165">
        <v>753748</v>
      </c>
      <c r="L165" t="s">
        <v>130</v>
      </c>
      <c r="M165" t="s">
        <v>131</v>
      </c>
      <c r="N165" t="s">
        <v>56</v>
      </c>
      <c r="O165" s="1">
        <v>45799</v>
      </c>
      <c r="P165" s="1">
        <v>45952</v>
      </c>
      <c r="Q165" s="2">
        <v>78.150000000000006</v>
      </c>
      <c r="R165">
        <v>1</v>
      </c>
      <c r="S165" t="s">
        <v>57</v>
      </c>
      <c r="T165" t="s">
        <v>58</v>
      </c>
      <c r="U165" s="4">
        <v>0.9</v>
      </c>
      <c r="V165" s="2">
        <v>0</v>
      </c>
      <c r="W165">
        <v>0</v>
      </c>
      <c r="X165" t="s">
        <v>70</v>
      </c>
      <c r="Y165" t="s">
        <v>60</v>
      </c>
      <c r="Z165">
        <v>0</v>
      </c>
      <c r="AA165" s="2">
        <v>0</v>
      </c>
      <c r="AB165" s="2">
        <v>0</v>
      </c>
      <c r="AC165" s="4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70.34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</row>
    <row r="166" spans="1:42" x14ac:dyDescent="0.25">
      <c r="A166" s="1">
        <v>45922</v>
      </c>
      <c r="B166" t="s">
        <v>47</v>
      </c>
      <c r="C166">
        <v>649163</v>
      </c>
      <c r="D166">
        <v>2029038485</v>
      </c>
      <c r="E166" t="s">
        <v>186</v>
      </c>
      <c r="F166" t="s">
        <v>187</v>
      </c>
      <c r="G166" t="s">
        <v>50</v>
      </c>
      <c r="H166" t="s">
        <v>188</v>
      </c>
      <c r="I166" t="s">
        <v>106</v>
      </c>
      <c r="J166" t="s">
        <v>184</v>
      </c>
      <c r="K166">
        <v>673059</v>
      </c>
      <c r="L166" t="s">
        <v>152</v>
      </c>
      <c r="M166" t="s">
        <v>153</v>
      </c>
      <c r="N166" t="s">
        <v>56</v>
      </c>
      <c r="O166" s="1">
        <v>45798</v>
      </c>
      <c r="P166" s="1">
        <v>45951</v>
      </c>
      <c r="Q166" s="2">
        <v>50.74</v>
      </c>
      <c r="R166">
        <v>1</v>
      </c>
      <c r="S166" t="s">
        <v>57</v>
      </c>
      <c r="T166" t="s">
        <v>58</v>
      </c>
      <c r="U166" s="4">
        <v>0.75</v>
      </c>
      <c r="V166" s="2">
        <v>0</v>
      </c>
      <c r="W166">
        <v>0</v>
      </c>
      <c r="X166" t="s">
        <v>70</v>
      </c>
      <c r="Y166" t="s">
        <v>60</v>
      </c>
      <c r="Z166">
        <v>0</v>
      </c>
      <c r="AA166" s="2">
        <v>0</v>
      </c>
      <c r="AB166" s="2">
        <v>0</v>
      </c>
      <c r="AC166" s="4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38.06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</row>
    <row r="167" spans="1:42" x14ac:dyDescent="0.25">
      <c r="A167" s="1">
        <v>45922</v>
      </c>
      <c r="B167" t="s">
        <v>47</v>
      </c>
      <c r="C167">
        <v>649163</v>
      </c>
      <c r="D167">
        <v>2029101372</v>
      </c>
      <c r="E167" t="s">
        <v>189</v>
      </c>
      <c r="F167" t="s">
        <v>190</v>
      </c>
      <c r="G167" t="s">
        <v>50</v>
      </c>
      <c r="H167" t="s">
        <v>151</v>
      </c>
      <c r="I167" t="s">
        <v>106</v>
      </c>
      <c r="J167" t="s">
        <v>146</v>
      </c>
      <c r="K167">
        <v>767312</v>
      </c>
      <c r="L167" t="s">
        <v>122</v>
      </c>
      <c r="M167" t="s">
        <v>123</v>
      </c>
      <c r="N167" t="s">
        <v>56</v>
      </c>
      <c r="O167" s="1">
        <v>45801</v>
      </c>
      <c r="P167" s="1">
        <v>45954</v>
      </c>
      <c r="Q167" s="2">
        <v>53.79</v>
      </c>
      <c r="R167">
        <v>1</v>
      </c>
      <c r="S167" t="s">
        <v>57</v>
      </c>
      <c r="T167" t="s">
        <v>58</v>
      </c>
      <c r="U167" s="4">
        <v>0.65</v>
      </c>
      <c r="V167" s="2">
        <v>0</v>
      </c>
      <c r="W167">
        <v>0</v>
      </c>
      <c r="X167" t="s">
        <v>70</v>
      </c>
      <c r="Y167" t="s">
        <v>60</v>
      </c>
      <c r="Z167">
        <v>0</v>
      </c>
      <c r="AA167" s="2">
        <v>0</v>
      </c>
      <c r="AB167" s="2">
        <v>0</v>
      </c>
      <c r="AC167" s="4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34.96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</row>
    <row r="168" spans="1:42" x14ac:dyDescent="0.25">
      <c r="A168" s="1">
        <v>45922</v>
      </c>
      <c r="B168" t="s">
        <v>47</v>
      </c>
      <c r="C168">
        <v>649163</v>
      </c>
      <c r="D168">
        <v>2029620629</v>
      </c>
      <c r="E168" t="s">
        <v>198</v>
      </c>
      <c r="F168" t="s">
        <v>199</v>
      </c>
      <c r="G168" t="s">
        <v>50</v>
      </c>
      <c r="H168" t="s">
        <v>93</v>
      </c>
      <c r="I168" t="s">
        <v>106</v>
      </c>
      <c r="J168" t="s">
        <v>107</v>
      </c>
      <c r="K168">
        <v>824062</v>
      </c>
      <c r="L168" t="s">
        <v>200</v>
      </c>
      <c r="M168" t="s">
        <v>201</v>
      </c>
      <c r="N168" t="s">
        <v>56</v>
      </c>
      <c r="O168" s="1">
        <v>45833</v>
      </c>
      <c r="P168" s="1">
        <v>45955</v>
      </c>
      <c r="Q168" s="2">
        <v>145.06</v>
      </c>
      <c r="R168">
        <v>1</v>
      </c>
      <c r="S168" t="s">
        <v>57</v>
      </c>
      <c r="T168" t="s">
        <v>58</v>
      </c>
      <c r="U168" s="4">
        <v>0.9</v>
      </c>
      <c r="V168" s="2">
        <v>0</v>
      </c>
      <c r="W168">
        <v>0</v>
      </c>
      <c r="X168" t="s">
        <v>70</v>
      </c>
      <c r="Y168" t="s">
        <v>60</v>
      </c>
      <c r="Z168">
        <v>0</v>
      </c>
      <c r="AA168" s="2">
        <v>0</v>
      </c>
      <c r="AB168" s="2">
        <v>0</v>
      </c>
      <c r="AC168" s="4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130.55000000000001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</row>
    <row r="169" spans="1:42" x14ac:dyDescent="0.25">
      <c r="A169" s="1">
        <v>45922</v>
      </c>
      <c r="B169" t="s">
        <v>47</v>
      </c>
      <c r="C169">
        <v>649163</v>
      </c>
      <c r="D169">
        <v>2029910877</v>
      </c>
      <c r="E169" t="s">
        <v>202</v>
      </c>
      <c r="F169" t="s">
        <v>203</v>
      </c>
      <c r="G169" t="s">
        <v>50</v>
      </c>
      <c r="H169" t="s">
        <v>204</v>
      </c>
      <c r="I169" t="s">
        <v>106</v>
      </c>
      <c r="J169" t="s">
        <v>116</v>
      </c>
      <c r="K169">
        <v>792847</v>
      </c>
      <c r="L169" t="s">
        <v>137</v>
      </c>
      <c r="M169" t="s">
        <v>138</v>
      </c>
      <c r="N169" t="s">
        <v>56</v>
      </c>
      <c r="O169" s="1">
        <v>45850</v>
      </c>
      <c r="P169" s="1">
        <v>45942</v>
      </c>
      <c r="Q169" s="2">
        <v>150.47999999999999</v>
      </c>
      <c r="R169">
        <v>1</v>
      </c>
      <c r="S169" t="s">
        <v>57</v>
      </c>
      <c r="T169" t="s">
        <v>58</v>
      </c>
      <c r="U169" s="4">
        <v>0.75</v>
      </c>
      <c r="V169" s="2">
        <v>0</v>
      </c>
      <c r="W169">
        <v>0</v>
      </c>
      <c r="X169" t="s">
        <v>70</v>
      </c>
      <c r="Y169" t="s">
        <v>60</v>
      </c>
      <c r="Z169">
        <v>0</v>
      </c>
      <c r="AA169" s="2">
        <v>0</v>
      </c>
      <c r="AB169" s="2">
        <v>0</v>
      </c>
      <c r="AC169" s="4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112.86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</row>
    <row r="170" spans="1:42" x14ac:dyDescent="0.25">
      <c r="A170" s="1">
        <v>45922</v>
      </c>
      <c r="B170" t="s">
        <v>47</v>
      </c>
      <c r="C170">
        <v>649163</v>
      </c>
      <c r="D170">
        <v>2029980504</v>
      </c>
      <c r="E170" t="s">
        <v>205</v>
      </c>
      <c r="F170" t="s">
        <v>206</v>
      </c>
      <c r="G170" t="s">
        <v>50</v>
      </c>
      <c r="H170" t="s">
        <v>63</v>
      </c>
      <c r="I170" t="s">
        <v>106</v>
      </c>
      <c r="J170" t="s">
        <v>184</v>
      </c>
      <c r="K170">
        <v>673059</v>
      </c>
      <c r="L170" t="s">
        <v>152</v>
      </c>
      <c r="M170" t="s">
        <v>153</v>
      </c>
      <c r="N170" t="s">
        <v>56</v>
      </c>
      <c r="O170" s="1">
        <v>45884</v>
      </c>
      <c r="P170" s="1">
        <v>45945</v>
      </c>
      <c r="Q170" s="2">
        <v>85.81</v>
      </c>
      <c r="R170">
        <v>1</v>
      </c>
      <c r="S170" t="s">
        <v>57</v>
      </c>
      <c r="T170" t="s">
        <v>58</v>
      </c>
      <c r="U170" s="4">
        <v>0.75</v>
      </c>
      <c r="V170" s="2">
        <v>0</v>
      </c>
      <c r="W170">
        <v>0</v>
      </c>
      <c r="X170" t="s">
        <v>70</v>
      </c>
      <c r="Y170" t="s">
        <v>60</v>
      </c>
      <c r="Z170">
        <v>0</v>
      </c>
      <c r="AA170" s="2">
        <v>0</v>
      </c>
      <c r="AB170" s="2">
        <v>0</v>
      </c>
      <c r="AC170" s="4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64.36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</row>
    <row r="171" spans="1:42" x14ac:dyDescent="0.25">
      <c r="A171" s="1">
        <v>45922</v>
      </c>
      <c r="B171" t="s">
        <v>47</v>
      </c>
      <c r="C171">
        <v>649163</v>
      </c>
      <c r="D171">
        <v>2030077439</v>
      </c>
      <c r="E171" t="s">
        <v>207</v>
      </c>
      <c r="F171" t="s">
        <v>208</v>
      </c>
      <c r="G171" t="s">
        <v>50</v>
      </c>
      <c r="H171" t="s">
        <v>209</v>
      </c>
      <c r="I171" t="s">
        <v>106</v>
      </c>
      <c r="J171" t="s">
        <v>184</v>
      </c>
      <c r="K171">
        <v>856824</v>
      </c>
      <c r="L171" t="s">
        <v>210</v>
      </c>
      <c r="M171" t="s">
        <v>211</v>
      </c>
      <c r="N171" t="s">
        <v>56</v>
      </c>
      <c r="O171" s="1">
        <v>45860</v>
      </c>
      <c r="P171" s="1">
        <v>45952</v>
      </c>
      <c r="Q171" s="2">
        <v>48.01</v>
      </c>
      <c r="R171">
        <v>1</v>
      </c>
      <c r="S171" t="s">
        <v>57</v>
      </c>
      <c r="T171" t="s">
        <v>58</v>
      </c>
      <c r="U171" s="4">
        <v>0.75</v>
      </c>
      <c r="V171" s="2">
        <v>0</v>
      </c>
      <c r="W171">
        <v>0</v>
      </c>
      <c r="X171" t="s">
        <v>70</v>
      </c>
      <c r="Y171" t="s">
        <v>60</v>
      </c>
      <c r="Z171">
        <v>0</v>
      </c>
      <c r="AA171" s="2">
        <v>0</v>
      </c>
      <c r="AB171" s="2">
        <v>0</v>
      </c>
      <c r="AC171" s="4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36.01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</row>
    <row r="172" spans="1:42" x14ac:dyDescent="0.25">
      <c r="A172" s="1">
        <v>45922</v>
      </c>
      <c r="B172" t="s">
        <v>47</v>
      </c>
      <c r="C172">
        <v>649163</v>
      </c>
      <c r="D172">
        <v>2030079839</v>
      </c>
      <c r="E172" t="s">
        <v>212</v>
      </c>
      <c r="F172" t="s">
        <v>213</v>
      </c>
      <c r="G172" t="s">
        <v>50</v>
      </c>
      <c r="H172" t="s">
        <v>214</v>
      </c>
      <c r="I172" t="s">
        <v>106</v>
      </c>
      <c r="J172" t="s">
        <v>107</v>
      </c>
      <c r="K172">
        <v>823068</v>
      </c>
      <c r="L172" t="s">
        <v>215</v>
      </c>
      <c r="M172" t="s">
        <v>216</v>
      </c>
      <c r="N172" t="s">
        <v>56</v>
      </c>
      <c r="O172" s="1">
        <v>45861</v>
      </c>
      <c r="P172" s="1">
        <v>45953</v>
      </c>
      <c r="Q172" s="2">
        <v>100.34</v>
      </c>
      <c r="R172">
        <v>1</v>
      </c>
      <c r="S172" t="s">
        <v>57</v>
      </c>
      <c r="T172" t="s">
        <v>58</v>
      </c>
      <c r="U172" s="4">
        <v>0.9</v>
      </c>
      <c r="V172" s="2">
        <v>0</v>
      </c>
      <c r="W172">
        <v>0</v>
      </c>
      <c r="X172" t="s">
        <v>70</v>
      </c>
      <c r="Y172" t="s">
        <v>60</v>
      </c>
      <c r="Z172">
        <v>0</v>
      </c>
      <c r="AA172" s="2">
        <v>0</v>
      </c>
      <c r="AB172" s="2">
        <v>0</v>
      </c>
      <c r="AC172" s="4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90.31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</row>
    <row r="173" spans="1:42" x14ac:dyDescent="0.25">
      <c r="A173" s="1">
        <v>45922</v>
      </c>
      <c r="B173" t="s">
        <v>47</v>
      </c>
      <c r="C173">
        <v>649163</v>
      </c>
      <c r="D173">
        <v>2030085142</v>
      </c>
      <c r="E173" t="s">
        <v>217</v>
      </c>
      <c r="F173" t="s">
        <v>218</v>
      </c>
      <c r="G173" t="s">
        <v>50</v>
      </c>
      <c r="H173" t="s">
        <v>93</v>
      </c>
      <c r="I173" t="s">
        <v>106</v>
      </c>
      <c r="J173" t="s">
        <v>184</v>
      </c>
      <c r="K173">
        <v>673059</v>
      </c>
      <c r="L173" t="s">
        <v>152</v>
      </c>
      <c r="M173" t="s">
        <v>153</v>
      </c>
      <c r="N173" t="s">
        <v>56</v>
      </c>
      <c r="O173" s="1">
        <v>45861</v>
      </c>
      <c r="P173" s="1">
        <v>45953</v>
      </c>
      <c r="Q173" s="2">
        <v>78.430000000000007</v>
      </c>
      <c r="R173">
        <v>1</v>
      </c>
      <c r="S173" t="s">
        <v>57</v>
      </c>
      <c r="T173" t="s">
        <v>58</v>
      </c>
      <c r="U173" s="4">
        <v>0.75</v>
      </c>
      <c r="V173" s="2">
        <v>0</v>
      </c>
      <c r="W173">
        <v>0</v>
      </c>
      <c r="X173" t="s">
        <v>70</v>
      </c>
      <c r="Y173" t="s">
        <v>60</v>
      </c>
      <c r="Z173">
        <v>0</v>
      </c>
      <c r="AA173" s="2">
        <v>0</v>
      </c>
      <c r="AB173" s="2">
        <v>0</v>
      </c>
      <c r="AC173" s="4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58.82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</row>
    <row r="174" spans="1:42" x14ac:dyDescent="0.25">
      <c r="A174" s="1">
        <v>45922</v>
      </c>
      <c r="B174" t="s">
        <v>47</v>
      </c>
      <c r="C174">
        <v>649163</v>
      </c>
      <c r="D174">
        <v>2030108810</v>
      </c>
      <c r="E174" t="s">
        <v>219</v>
      </c>
      <c r="F174" t="s">
        <v>220</v>
      </c>
      <c r="G174" t="s">
        <v>50</v>
      </c>
      <c r="H174" t="s">
        <v>141</v>
      </c>
      <c r="I174" t="s">
        <v>106</v>
      </c>
      <c r="J174" t="s">
        <v>107</v>
      </c>
      <c r="K174">
        <v>796984</v>
      </c>
      <c r="L174" t="s">
        <v>221</v>
      </c>
      <c r="M174" t="s">
        <v>62</v>
      </c>
      <c r="N174" t="s">
        <v>56</v>
      </c>
      <c r="O174" s="1">
        <v>45862</v>
      </c>
      <c r="P174" s="1">
        <v>45954</v>
      </c>
      <c r="Q174" s="2">
        <v>36.130000000000003</v>
      </c>
      <c r="R174">
        <v>1</v>
      </c>
      <c r="S174" t="s">
        <v>57</v>
      </c>
      <c r="T174" t="s">
        <v>58</v>
      </c>
      <c r="U174" s="4">
        <v>0.9</v>
      </c>
      <c r="V174" s="2">
        <v>0</v>
      </c>
      <c r="W174">
        <v>0</v>
      </c>
      <c r="X174" t="s">
        <v>70</v>
      </c>
      <c r="Y174" t="s">
        <v>60</v>
      </c>
      <c r="Z174">
        <v>0</v>
      </c>
      <c r="AA174" s="2">
        <v>0</v>
      </c>
      <c r="AB174" s="2">
        <v>0</v>
      </c>
      <c r="AC174" s="4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32.520000000000003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</row>
    <row r="175" spans="1:42" x14ac:dyDescent="0.25">
      <c r="A175" s="1">
        <v>45922</v>
      </c>
      <c r="B175" t="s">
        <v>47</v>
      </c>
      <c r="C175">
        <v>649163</v>
      </c>
      <c r="D175">
        <v>2030145092</v>
      </c>
      <c r="E175" t="s">
        <v>222</v>
      </c>
      <c r="F175" t="s">
        <v>223</v>
      </c>
      <c r="G175" t="s">
        <v>50</v>
      </c>
      <c r="H175" t="s">
        <v>93</v>
      </c>
      <c r="I175" t="s">
        <v>106</v>
      </c>
      <c r="J175" t="s">
        <v>107</v>
      </c>
      <c r="K175">
        <v>824062</v>
      </c>
      <c r="L175" t="s">
        <v>200</v>
      </c>
      <c r="M175" t="s">
        <v>201</v>
      </c>
      <c r="N175" t="s">
        <v>56</v>
      </c>
      <c r="O175" s="1">
        <v>45864</v>
      </c>
      <c r="P175" s="1">
        <v>45956</v>
      </c>
      <c r="Q175" s="2">
        <v>62.71</v>
      </c>
      <c r="R175">
        <v>1</v>
      </c>
      <c r="S175" t="s">
        <v>57</v>
      </c>
      <c r="T175" t="s">
        <v>58</v>
      </c>
      <c r="U175" s="4">
        <v>0.9</v>
      </c>
      <c r="V175" s="2">
        <v>0</v>
      </c>
      <c r="W175">
        <v>0</v>
      </c>
      <c r="X175" t="s">
        <v>70</v>
      </c>
      <c r="Y175" t="s">
        <v>60</v>
      </c>
      <c r="Z175">
        <v>0</v>
      </c>
      <c r="AA175" s="2">
        <v>0</v>
      </c>
      <c r="AB175" s="2">
        <v>0</v>
      </c>
      <c r="AC175" s="4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56.44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</row>
    <row r="176" spans="1:42" x14ac:dyDescent="0.25">
      <c r="A176" s="1">
        <v>45922</v>
      </c>
      <c r="B176" t="s">
        <v>47</v>
      </c>
      <c r="C176">
        <v>649163</v>
      </c>
      <c r="D176">
        <v>2030315874</v>
      </c>
      <c r="E176" t="s">
        <v>224</v>
      </c>
      <c r="F176" t="s">
        <v>225</v>
      </c>
      <c r="G176" t="s">
        <v>50</v>
      </c>
      <c r="H176" t="s">
        <v>214</v>
      </c>
      <c r="I176" t="s">
        <v>106</v>
      </c>
      <c r="J176" t="s">
        <v>107</v>
      </c>
      <c r="K176">
        <v>823068</v>
      </c>
      <c r="L176" t="s">
        <v>215</v>
      </c>
      <c r="M176" t="s">
        <v>216</v>
      </c>
      <c r="N176" t="s">
        <v>56</v>
      </c>
      <c r="O176" s="1">
        <v>45890</v>
      </c>
      <c r="P176" s="1">
        <v>45951</v>
      </c>
      <c r="Q176" s="2">
        <v>129.13999999999999</v>
      </c>
      <c r="R176">
        <v>1</v>
      </c>
      <c r="S176" t="s">
        <v>57</v>
      </c>
      <c r="T176" t="s">
        <v>58</v>
      </c>
      <c r="U176" s="4">
        <v>0.9</v>
      </c>
      <c r="V176" s="2">
        <v>0</v>
      </c>
      <c r="W176">
        <v>0</v>
      </c>
      <c r="X176" t="s">
        <v>70</v>
      </c>
      <c r="Y176" t="s">
        <v>60</v>
      </c>
      <c r="Z176">
        <v>0</v>
      </c>
      <c r="AA176" s="2">
        <v>0</v>
      </c>
      <c r="AB176" s="2">
        <v>0</v>
      </c>
      <c r="AC176" s="4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116.23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</row>
    <row r="177" spans="1:42" x14ac:dyDescent="0.25">
      <c r="A177" s="1">
        <v>45922</v>
      </c>
      <c r="B177" t="s">
        <v>47</v>
      </c>
      <c r="C177">
        <v>649163</v>
      </c>
      <c r="D177">
        <v>2030429653</v>
      </c>
      <c r="E177" t="s">
        <v>226</v>
      </c>
      <c r="F177" t="s">
        <v>227</v>
      </c>
      <c r="G177" t="s">
        <v>50</v>
      </c>
      <c r="H177" t="s">
        <v>83</v>
      </c>
      <c r="I177" t="s">
        <v>106</v>
      </c>
      <c r="J177" t="s">
        <v>116</v>
      </c>
      <c r="K177">
        <v>651818</v>
      </c>
      <c r="L177" t="s">
        <v>108</v>
      </c>
      <c r="M177" t="s">
        <v>109</v>
      </c>
      <c r="N177" t="s">
        <v>56</v>
      </c>
      <c r="O177" s="1">
        <v>45889</v>
      </c>
      <c r="P177" s="1">
        <v>45950</v>
      </c>
      <c r="Q177" s="2">
        <v>132.5</v>
      </c>
      <c r="R177">
        <v>1</v>
      </c>
      <c r="S177" t="s">
        <v>57</v>
      </c>
      <c r="T177" t="s">
        <v>58</v>
      </c>
      <c r="U177" s="4">
        <v>0.75</v>
      </c>
      <c r="V177" s="2">
        <v>0</v>
      </c>
      <c r="W177">
        <v>0</v>
      </c>
      <c r="X177" t="s">
        <v>70</v>
      </c>
      <c r="Y177" t="s">
        <v>60</v>
      </c>
      <c r="Z177">
        <v>0</v>
      </c>
      <c r="AA177" s="2">
        <v>0</v>
      </c>
      <c r="AB177" s="2">
        <v>0</v>
      </c>
      <c r="AC177" s="4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99.38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</row>
    <row r="178" spans="1:42" x14ac:dyDescent="0.25">
      <c r="A178" s="1">
        <v>45922</v>
      </c>
      <c r="B178" t="s">
        <v>47</v>
      </c>
      <c r="C178">
        <v>649163</v>
      </c>
      <c r="D178">
        <v>2030463473</v>
      </c>
      <c r="E178" t="s">
        <v>228</v>
      </c>
      <c r="F178" t="s">
        <v>229</v>
      </c>
      <c r="G178" t="s">
        <v>50</v>
      </c>
      <c r="H178" t="s">
        <v>214</v>
      </c>
      <c r="I178" t="s">
        <v>106</v>
      </c>
      <c r="J178" t="s">
        <v>107</v>
      </c>
      <c r="K178">
        <v>823068</v>
      </c>
      <c r="L178" t="s">
        <v>215</v>
      </c>
      <c r="M178" t="s">
        <v>216</v>
      </c>
      <c r="N178" t="s">
        <v>230</v>
      </c>
      <c r="O178" s="1">
        <v>45885</v>
      </c>
      <c r="P178" s="1">
        <v>45946</v>
      </c>
      <c r="Q178" s="2">
        <v>-149.66999999999999</v>
      </c>
      <c r="R178">
        <v>1</v>
      </c>
      <c r="S178" t="s">
        <v>57</v>
      </c>
      <c r="T178" t="s">
        <v>58</v>
      </c>
      <c r="U178" s="4">
        <v>0.9</v>
      </c>
      <c r="V178" s="2">
        <v>0</v>
      </c>
      <c r="W178">
        <v>-1</v>
      </c>
      <c r="X178" t="s">
        <v>70</v>
      </c>
      <c r="Y178" t="s">
        <v>60</v>
      </c>
      <c r="Z178">
        <v>0</v>
      </c>
      <c r="AA178" s="2">
        <v>0</v>
      </c>
      <c r="AB178" s="2">
        <v>0</v>
      </c>
      <c r="AC178" s="4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-134.69999999999999</v>
      </c>
      <c r="AM178" s="2">
        <v>-134.69999999999999</v>
      </c>
      <c r="AN178" s="2">
        <v>0</v>
      </c>
      <c r="AO178" s="2">
        <v>0</v>
      </c>
      <c r="AP178" s="2">
        <v>0</v>
      </c>
    </row>
    <row r="179" spans="1:42" x14ac:dyDescent="0.25">
      <c r="A179" s="1">
        <v>45922</v>
      </c>
      <c r="B179" t="s">
        <v>47</v>
      </c>
      <c r="C179">
        <v>649163</v>
      </c>
      <c r="D179">
        <v>2030463473</v>
      </c>
      <c r="E179" t="s">
        <v>228</v>
      </c>
      <c r="F179" t="s">
        <v>229</v>
      </c>
      <c r="G179" t="s">
        <v>50</v>
      </c>
      <c r="H179" t="s">
        <v>214</v>
      </c>
      <c r="I179" t="s">
        <v>106</v>
      </c>
      <c r="J179" t="s">
        <v>107</v>
      </c>
      <c r="K179">
        <v>823068</v>
      </c>
      <c r="L179" t="s">
        <v>215</v>
      </c>
      <c r="M179" t="s">
        <v>216</v>
      </c>
      <c r="N179" t="s">
        <v>230</v>
      </c>
      <c r="O179" s="1">
        <v>45885</v>
      </c>
      <c r="P179" s="1">
        <v>45946</v>
      </c>
      <c r="Q179" s="2">
        <v>-149.66999999999999</v>
      </c>
      <c r="R179">
        <v>1</v>
      </c>
      <c r="S179" t="s">
        <v>57</v>
      </c>
      <c r="T179" t="s">
        <v>58</v>
      </c>
      <c r="U179" s="4">
        <v>0.9</v>
      </c>
      <c r="V179" s="2">
        <v>0</v>
      </c>
      <c r="W179">
        <v>-1</v>
      </c>
      <c r="X179" t="s">
        <v>70</v>
      </c>
      <c r="Y179" t="s">
        <v>60</v>
      </c>
      <c r="Z179">
        <v>0</v>
      </c>
      <c r="AA179" s="2">
        <v>0</v>
      </c>
      <c r="AB179" s="2">
        <v>0</v>
      </c>
      <c r="AC179" s="4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-134.69999999999999</v>
      </c>
      <c r="AM179" s="2">
        <v>-134.69999999999999</v>
      </c>
      <c r="AN179" s="2">
        <v>0</v>
      </c>
      <c r="AO179" s="2">
        <v>0</v>
      </c>
      <c r="AP179" s="2">
        <v>0</v>
      </c>
    </row>
    <row r="180" spans="1:42" x14ac:dyDescent="0.25">
      <c r="A180" s="1">
        <v>45922</v>
      </c>
      <c r="B180" t="s">
        <v>47</v>
      </c>
      <c r="C180">
        <v>649163</v>
      </c>
      <c r="D180">
        <v>2030567354</v>
      </c>
      <c r="E180" t="s">
        <v>104</v>
      </c>
      <c r="F180" t="s">
        <v>231</v>
      </c>
      <c r="G180" t="s">
        <v>50</v>
      </c>
      <c r="H180" t="s">
        <v>214</v>
      </c>
      <c r="I180" t="s">
        <v>106</v>
      </c>
      <c r="J180" t="s">
        <v>107</v>
      </c>
      <c r="K180">
        <v>823068</v>
      </c>
      <c r="L180" t="s">
        <v>215</v>
      </c>
      <c r="M180" t="s">
        <v>216</v>
      </c>
      <c r="N180" t="s">
        <v>56</v>
      </c>
      <c r="O180" s="1">
        <v>45892</v>
      </c>
      <c r="P180" s="1">
        <v>45953</v>
      </c>
      <c r="Q180" s="2">
        <v>106.25</v>
      </c>
      <c r="R180">
        <v>1</v>
      </c>
      <c r="S180" t="s">
        <v>57</v>
      </c>
      <c r="T180" t="s">
        <v>58</v>
      </c>
      <c r="U180" s="4">
        <v>0.9</v>
      </c>
      <c r="V180" s="2">
        <v>0</v>
      </c>
      <c r="W180">
        <v>0</v>
      </c>
      <c r="X180" t="s">
        <v>70</v>
      </c>
      <c r="Y180" t="s">
        <v>60</v>
      </c>
      <c r="Z180">
        <v>0</v>
      </c>
      <c r="AA180" s="2">
        <v>0</v>
      </c>
      <c r="AB180" s="2">
        <v>0</v>
      </c>
      <c r="AC180" s="4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95.62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</row>
    <row r="181" spans="1:42" x14ac:dyDescent="0.25">
      <c r="A181" s="1">
        <v>45922</v>
      </c>
      <c r="B181" t="s">
        <v>47</v>
      </c>
      <c r="C181">
        <v>649163</v>
      </c>
      <c r="D181">
        <v>2030868834</v>
      </c>
      <c r="E181" t="s">
        <v>234</v>
      </c>
      <c r="F181" t="s">
        <v>109</v>
      </c>
      <c r="G181" t="s">
        <v>50</v>
      </c>
      <c r="H181" t="s">
        <v>134</v>
      </c>
      <c r="I181" t="s">
        <v>106</v>
      </c>
      <c r="J181" t="s">
        <v>107</v>
      </c>
      <c r="K181">
        <v>651818</v>
      </c>
      <c r="L181" t="s">
        <v>108</v>
      </c>
      <c r="M181" t="s">
        <v>109</v>
      </c>
      <c r="N181" t="s">
        <v>56</v>
      </c>
      <c r="O181" s="1">
        <v>45906</v>
      </c>
      <c r="P181" s="1">
        <v>45936</v>
      </c>
      <c r="Q181" s="2">
        <v>242.05</v>
      </c>
      <c r="R181">
        <v>1</v>
      </c>
      <c r="S181" t="s">
        <v>57</v>
      </c>
      <c r="T181" t="s">
        <v>58</v>
      </c>
      <c r="U181" s="4">
        <v>0.9</v>
      </c>
      <c r="V181" s="2">
        <v>0</v>
      </c>
      <c r="W181">
        <v>0</v>
      </c>
      <c r="X181" t="s">
        <v>70</v>
      </c>
      <c r="Y181" t="s">
        <v>60</v>
      </c>
      <c r="Z181">
        <v>0</v>
      </c>
      <c r="AA181" s="2">
        <v>0</v>
      </c>
      <c r="AB181" s="2">
        <v>0</v>
      </c>
      <c r="AC181" s="4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217.84</v>
      </c>
      <c r="AM181" s="2">
        <v>217.84</v>
      </c>
      <c r="AN181" s="2">
        <v>0</v>
      </c>
      <c r="AO181" s="2">
        <v>0</v>
      </c>
      <c r="AP181" s="2">
        <v>0</v>
      </c>
    </row>
    <row r="182" spans="1:42" x14ac:dyDescent="0.25">
      <c r="A182" s="1">
        <v>45922</v>
      </c>
      <c r="B182" t="s">
        <v>47</v>
      </c>
      <c r="C182">
        <v>649163</v>
      </c>
      <c r="D182">
        <v>2020461027</v>
      </c>
      <c r="E182" t="s">
        <v>242</v>
      </c>
      <c r="F182" t="s">
        <v>179</v>
      </c>
      <c r="G182" t="s">
        <v>50</v>
      </c>
      <c r="H182" t="s">
        <v>157</v>
      </c>
      <c r="I182" t="s">
        <v>243</v>
      </c>
      <c r="J182" t="s">
        <v>244</v>
      </c>
      <c r="K182">
        <v>673059</v>
      </c>
      <c r="L182" t="s">
        <v>152</v>
      </c>
      <c r="M182" t="s">
        <v>153</v>
      </c>
      <c r="N182" t="s">
        <v>56</v>
      </c>
      <c r="O182" s="1">
        <v>45284</v>
      </c>
      <c r="P182" s="1">
        <v>45954</v>
      </c>
      <c r="Q182" s="2">
        <v>15</v>
      </c>
      <c r="R182">
        <v>1</v>
      </c>
      <c r="S182" t="s">
        <v>57</v>
      </c>
      <c r="T182" t="s">
        <v>58</v>
      </c>
      <c r="U182" s="4">
        <v>0.28999999999999998</v>
      </c>
      <c r="V182" s="2">
        <v>0</v>
      </c>
      <c r="W182">
        <v>0</v>
      </c>
      <c r="X182" t="s">
        <v>59</v>
      </c>
      <c r="Y182" t="s">
        <v>60</v>
      </c>
      <c r="Z182">
        <v>0</v>
      </c>
      <c r="AA182" s="2">
        <v>0</v>
      </c>
      <c r="AB182" s="2">
        <v>0</v>
      </c>
      <c r="AC182" s="4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4.3499999999999996</v>
      </c>
      <c r="AM182" s="2">
        <v>4.3499999999999996</v>
      </c>
      <c r="AN182" s="2">
        <v>0</v>
      </c>
      <c r="AO182" s="2">
        <v>0</v>
      </c>
      <c r="AP182" s="2">
        <v>0</v>
      </c>
    </row>
    <row r="183" spans="1:42" x14ac:dyDescent="0.25">
      <c r="A183" s="1">
        <v>45922</v>
      </c>
      <c r="B183" t="s">
        <v>47</v>
      </c>
      <c r="C183">
        <v>649163</v>
      </c>
      <c r="D183">
        <v>2022974572</v>
      </c>
      <c r="E183" t="s">
        <v>245</v>
      </c>
      <c r="F183" t="s">
        <v>246</v>
      </c>
      <c r="G183" t="s">
        <v>50</v>
      </c>
      <c r="H183" t="s">
        <v>93</v>
      </c>
      <c r="I183" t="s">
        <v>243</v>
      </c>
      <c r="J183" t="s">
        <v>244</v>
      </c>
      <c r="K183">
        <v>651818</v>
      </c>
      <c r="L183" t="s">
        <v>108</v>
      </c>
      <c r="M183" t="s">
        <v>109</v>
      </c>
      <c r="N183" t="s">
        <v>56</v>
      </c>
      <c r="O183" s="1">
        <v>45433</v>
      </c>
      <c r="P183" s="1">
        <v>45951</v>
      </c>
      <c r="Q183" s="2">
        <v>15</v>
      </c>
      <c r="R183">
        <v>1</v>
      </c>
      <c r="S183" t="s">
        <v>57</v>
      </c>
      <c r="T183" t="s">
        <v>58</v>
      </c>
      <c r="U183" s="4">
        <v>0.28999999999999998</v>
      </c>
      <c r="V183" s="2">
        <v>0</v>
      </c>
      <c r="W183">
        <v>0</v>
      </c>
      <c r="X183" t="s">
        <v>59</v>
      </c>
      <c r="Y183" t="s">
        <v>60</v>
      </c>
      <c r="Z183">
        <v>0</v>
      </c>
      <c r="AA183" s="2">
        <v>0</v>
      </c>
      <c r="AB183" s="2">
        <v>0</v>
      </c>
      <c r="AC183" s="4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4.3499999999999996</v>
      </c>
      <c r="AM183" s="2">
        <v>4.3499999999999996</v>
      </c>
      <c r="AN183" s="2">
        <v>0</v>
      </c>
      <c r="AO183" s="2">
        <v>0</v>
      </c>
      <c r="AP183" s="2">
        <v>0</v>
      </c>
    </row>
    <row r="184" spans="1:42" x14ac:dyDescent="0.25">
      <c r="A184" s="1">
        <v>45922</v>
      </c>
      <c r="B184" t="s">
        <v>47</v>
      </c>
      <c r="C184">
        <v>649163</v>
      </c>
      <c r="D184">
        <v>2023139790</v>
      </c>
      <c r="E184" t="s">
        <v>247</v>
      </c>
      <c r="F184" t="s">
        <v>248</v>
      </c>
      <c r="G184" t="s">
        <v>50</v>
      </c>
      <c r="H184" t="s">
        <v>77</v>
      </c>
      <c r="I184" t="s">
        <v>243</v>
      </c>
      <c r="J184" t="s">
        <v>249</v>
      </c>
      <c r="K184">
        <v>751867</v>
      </c>
      <c r="L184" t="s">
        <v>84</v>
      </c>
      <c r="M184" t="s">
        <v>85</v>
      </c>
      <c r="N184" t="s">
        <v>56</v>
      </c>
      <c r="O184" s="1">
        <v>45432</v>
      </c>
      <c r="P184" s="1">
        <v>45950</v>
      </c>
      <c r="Q184" s="2">
        <v>15</v>
      </c>
      <c r="R184">
        <v>1</v>
      </c>
      <c r="S184" t="s">
        <v>57</v>
      </c>
      <c r="T184" t="s">
        <v>58</v>
      </c>
      <c r="U184" s="4">
        <v>0.1</v>
      </c>
      <c r="V184" s="2">
        <v>0</v>
      </c>
      <c r="W184">
        <v>0</v>
      </c>
      <c r="X184" t="s">
        <v>59</v>
      </c>
      <c r="Y184" t="s">
        <v>60</v>
      </c>
      <c r="Z184">
        <v>0</v>
      </c>
      <c r="AA184" s="2">
        <v>0</v>
      </c>
      <c r="AB184" s="2">
        <v>0</v>
      </c>
      <c r="AC184" s="4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1.5</v>
      </c>
      <c r="AM184" s="2">
        <v>1.5</v>
      </c>
      <c r="AN184" s="2">
        <v>0</v>
      </c>
      <c r="AO184" s="2">
        <v>0</v>
      </c>
      <c r="AP184" s="2">
        <v>0</v>
      </c>
    </row>
    <row r="185" spans="1:42" x14ac:dyDescent="0.25">
      <c r="A185" s="1">
        <v>45922</v>
      </c>
      <c r="B185" t="s">
        <v>47</v>
      </c>
      <c r="C185">
        <v>649163</v>
      </c>
      <c r="D185">
        <v>2023625918</v>
      </c>
      <c r="E185" t="s">
        <v>250</v>
      </c>
      <c r="F185" t="s">
        <v>251</v>
      </c>
      <c r="G185" t="s">
        <v>50</v>
      </c>
      <c r="H185" t="s">
        <v>63</v>
      </c>
      <c r="I185" t="s">
        <v>243</v>
      </c>
      <c r="J185" t="s">
        <v>252</v>
      </c>
      <c r="K185">
        <v>673059</v>
      </c>
      <c r="L185" t="s">
        <v>152</v>
      </c>
      <c r="M185" t="s">
        <v>153</v>
      </c>
      <c r="N185" t="s">
        <v>56</v>
      </c>
      <c r="O185" s="1">
        <v>45466</v>
      </c>
      <c r="P185" s="1">
        <v>45953</v>
      </c>
      <c r="Q185" s="2">
        <v>15</v>
      </c>
      <c r="R185">
        <v>1</v>
      </c>
      <c r="S185" t="s">
        <v>57</v>
      </c>
      <c r="T185" t="s">
        <v>58</v>
      </c>
      <c r="U185" s="4">
        <v>0.19</v>
      </c>
      <c r="V185" s="2">
        <v>0</v>
      </c>
      <c r="W185">
        <v>0</v>
      </c>
      <c r="X185" t="s">
        <v>59</v>
      </c>
      <c r="Y185" t="s">
        <v>60</v>
      </c>
      <c r="Z185">
        <v>0</v>
      </c>
      <c r="AA185" s="2">
        <v>0</v>
      </c>
      <c r="AB185" s="2">
        <v>0</v>
      </c>
      <c r="AC185" s="4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2.85</v>
      </c>
      <c r="AM185" s="2">
        <v>2.85</v>
      </c>
      <c r="AN185" s="2">
        <v>0</v>
      </c>
      <c r="AO185" s="2">
        <v>0</v>
      </c>
      <c r="AP185" s="2">
        <v>0</v>
      </c>
    </row>
    <row r="186" spans="1:42" x14ac:dyDescent="0.25">
      <c r="A186" s="1">
        <v>45922</v>
      </c>
      <c r="B186" t="s">
        <v>47</v>
      </c>
      <c r="C186">
        <v>649163</v>
      </c>
      <c r="D186">
        <v>2026146812</v>
      </c>
      <c r="E186" t="s">
        <v>253</v>
      </c>
      <c r="F186" t="s">
        <v>254</v>
      </c>
      <c r="G186" t="s">
        <v>50</v>
      </c>
      <c r="H186" t="s">
        <v>255</v>
      </c>
      <c r="I186" t="s">
        <v>243</v>
      </c>
      <c r="J186" t="s">
        <v>249</v>
      </c>
      <c r="K186">
        <v>650218</v>
      </c>
      <c r="L186" t="s">
        <v>73</v>
      </c>
      <c r="M186" t="s">
        <v>74</v>
      </c>
      <c r="N186" t="s">
        <v>56</v>
      </c>
      <c r="O186" s="1">
        <v>45658</v>
      </c>
      <c r="P186" s="1">
        <v>45931</v>
      </c>
      <c r="Q186" s="2">
        <v>15</v>
      </c>
      <c r="R186">
        <v>1</v>
      </c>
      <c r="S186" t="s">
        <v>57</v>
      </c>
      <c r="T186" t="s">
        <v>58</v>
      </c>
      <c r="U186" s="4">
        <v>0.38</v>
      </c>
      <c r="V186" s="2">
        <v>0</v>
      </c>
      <c r="W186">
        <v>0</v>
      </c>
      <c r="X186" t="s">
        <v>70</v>
      </c>
      <c r="Y186" t="s">
        <v>60</v>
      </c>
      <c r="Z186">
        <v>0</v>
      </c>
      <c r="AA186" s="2">
        <v>0</v>
      </c>
      <c r="AB186" s="2">
        <v>0</v>
      </c>
      <c r="AC186" s="4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5.7</v>
      </c>
      <c r="AM186" s="2">
        <v>5.7</v>
      </c>
      <c r="AN186" s="2">
        <v>0</v>
      </c>
      <c r="AO186" s="2">
        <v>0</v>
      </c>
      <c r="AP186" s="2">
        <v>0</v>
      </c>
    </row>
    <row r="187" spans="1:42" x14ac:dyDescent="0.25">
      <c r="A187" s="1">
        <v>45922</v>
      </c>
      <c r="B187" t="s">
        <v>47</v>
      </c>
      <c r="C187">
        <v>649163</v>
      </c>
      <c r="D187">
        <v>2026265886</v>
      </c>
      <c r="E187" t="s">
        <v>154</v>
      </c>
      <c r="F187" t="s">
        <v>256</v>
      </c>
      <c r="G187" t="s">
        <v>50</v>
      </c>
      <c r="H187" t="s">
        <v>115</v>
      </c>
      <c r="I187" t="s">
        <v>243</v>
      </c>
      <c r="J187" t="s">
        <v>249</v>
      </c>
      <c r="K187">
        <v>756418</v>
      </c>
      <c r="L187" t="s">
        <v>257</v>
      </c>
      <c r="M187" t="s">
        <v>258</v>
      </c>
      <c r="N187" t="s">
        <v>56</v>
      </c>
      <c r="O187" s="1">
        <v>45647</v>
      </c>
      <c r="P187" s="1">
        <v>45951</v>
      </c>
      <c r="Q187" s="2">
        <v>15</v>
      </c>
      <c r="R187">
        <v>1</v>
      </c>
      <c r="S187" t="s">
        <v>57</v>
      </c>
      <c r="T187" t="s">
        <v>58</v>
      </c>
      <c r="U187" s="4">
        <v>0.38</v>
      </c>
      <c r="V187" s="2">
        <v>0</v>
      </c>
      <c r="W187">
        <v>0</v>
      </c>
      <c r="X187" t="s">
        <v>70</v>
      </c>
      <c r="Y187" t="s">
        <v>60</v>
      </c>
      <c r="Z187">
        <v>0</v>
      </c>
      <c r="AA187" s="2">
        <v>0</v>
      </c>
      <c r="AB187" s="2">
        <v>0</v>
      </c>
      <c r="AC187" s="4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5.7</v>
      </c>
      <c r="AM187" s="2">
        <v>5.7</v>
      </c>
      <c r="AN187" s="2">
        <v>0</v>
      </c>
      <c r="AO187" s="2">
        <v>0</v>
      </c>
      <c r="AP187" s="2">
        <v>0</v>
      </c>
    </row>
    <row r="188" spans="1:42" x14ac:dyDescent="0.25">
      <c r="A188" s="1">
        <v>45922</v>
      </c>
      <c r="B188" t="s">
        <v>47</v>
      </c>
      <c r="C188">
        <v>649163</v>
      </c>
      <c r="D188">
        <v>2028533940</v>
      </c>
      <c r="E188" t="s">
        <v>259</v>
      </c>
      <c r="F188" t="s">
        <v>260</v>
      </c>
      <c r="G188" t="s">
        <v>50</v>
      </c>
      <c r="H188" t="s">
        <v>93</v>
      </c>
      <c r="I188" t="s">
        <v>243</v>
      </c>
      <c r="J188" t="s">
        <v>261</v>
      </c>
      <c r="K188">
        <v>820873</v>
      </c>
      <c r="L188" t="s">
        <v>262</v>
      </c>
      <c r="M188" t="s">
        <v>263</v>
      </c>
      <c r="N188" t="s">
        <v>56</v>
      </c>
      <c r="O188" s="1">
        <v>45770</v>
      </c>
      <c r="P188" s="1">
        <v>45953</v>
      </c>
      <c r="Q188" s="2">
        <v>15</v>
      </c>
      <c r="R188">
        <v>1</v>
      </c>
      <c r="S188" t="s">
        <v>57</v>
      </c>
      <c r="T188" t="s">
        <v>58</v>
      </c>
      <c r="U188" s="4">
        <v>0.38</v>
      </c>
      <c r="V188" s="2">
        <v>0</v>
      </c>
      <c r="W188">
        <v>0</v>
      </c>
      <c r="X188" t="s">
        <v>70</v>
      </c>
      <c r="Y188" t="s">
        <v>60</v>
      </c>
      <c r="Z188">
        <v>0</v>
      </c>
      <c r="AA188" s="2">
        <v>0</v>
      </c>
      <c r="AB188" s="2">
        <v>0</v>
      </c>
      <c r="AC188" s="4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5.7</v>
      </c>
      <c r="AM188" s="2">
        <v>5.7</v>
      </c>
      <c r="AN188" s="2">
        <v>0</v>
      </c>
      <c r="AO188" s="2">
        <v>0</v>
      </c>
      <c r="AP188" s="2">
        <v>0</v>
      </c>
    </row>
    <row r="189" spans="1:42" x14ac:dyDescent="0.25">
      <c r="A189" s="1">
        <v>45922</v>
      </c>
      <c r="B189" t="s">
        <v>47</v>
      </c>
      <c r="C189">
        <v>649163</v>
      </c>
      <c r="D189">
        <v>2028539830</v>
      </c>
      <c r="E189" t="s">
        <v>264</v>
      </c>
      <c r="F189" t="s">
        <v>265</v>
      </c>
      <c r="G189" t="s">
        <v>50</v>
      </c>
      <c r="H189" t="s">
        <v>266</v>
      </c>
      <c r="I189" t="s">
        <v>243</v>
      </c>
      <c r="J189" t="s">
        <v>249</v>
      </c>
      <c r="K189">
        <v>673059</v>
      </c>
      <c r="L189" t="s">
        <v>152</v>
      </c>
      <c r="M189" t="s">
        <v>153</v>
      </c>
      <c r="N189" t="s">
        <v>56</v>
      </c>
      <c r="O189" s="1">
        <v>45778</v>
      </c>
      <c r="P189" s="1">
        <v>45931</v>
      </c>
      <c r="Q189" s="2">
        <v>-110</v>
      </c>
      <c r="R189">
        <v>1</v>
      </c>
      <c r="S189" t="s">
        <v>57</v>
      </c>
      <c r="T189" t="s">
        <v>58</v>
      </c>
      <c r="U189" s="4">
        <v>0.38</v>
      </c>
      <c r="V189" s="2">
        <v>0</v>
      </c>
      <c r="W189">
        <v>-1</v>
      </c>
      <c r="X189" t="s">
        <v>70</v>
      </c>
      <c r="Y189" t="s">
        <v>60</v>
      </c>
      <c r="Z189">
        <v>0</v>
      </c>
      <c r="AA189" s="2">
        <v>0</v>
      </c>
      <c r="AB189" s="2">
        <v>0</v>
      </c>
      <c r="AC189" s="4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-41.8</v>
      </c>
      <c r="AM189" s="2">
        <v>-41.8</v>
      </c>
      <c r="AN189" s="2">
        <v>0</v>
      </c>
      <c r="AO189" s="2">
        <v>0</v>
      </c>
      <c r="AP189" s="2">
        <v>0</v>
      </c>
    </row>
    <row r="190" spans="1:42" x14ac:dyDescent="0.25">
      <c r="A190" s="1">
        <v>45922</v>
      </c>
      <c r="B190" t="s">
        <v>47</v>
      </c>
      <c r="C190">
        <v>649163</v>
      </c>
      <c r="D190">
        <v>2029021816</v>
      </c>
      <c r="E190" t="s">
        <v>267</v>
      </c>
      <c r="F190" t="s">
        <v>268</v>
      </c>
      <c r="G190" t="s">
        <v>50</v>
      </c>
      <c r="H190" t="s">
        <v>151</v>
      </c>
      <c r="I190" t="s">
        <v>243</v>
      </c>
      <c r="J190" t="s">
        <v>249</v>
      </c>
      <c r="K190">
        <v>650218</v>
      </c>
      <c r="L190" t="s">
        <v>73</v>
      </c>
      <c r="M190" t="s">
        <v>74</v>
      </c>
      <c r="N190" t="s">
        <v>56</v>
      </c>
      <c r="O190" s="1">
        <v>45797</v>
      </c>
      <c r="P190" s="1">
        <v>45950</v>
      </c>
      <c r="Q190" s="2">
        <v>15</v>
      </c>
      <c r="R190">
        <v>1</v>
      </c>
      <c r="S190" t="s">
        <v>57</v>
      </c>
      <c r="T190" t="s">
        <v>58</v>
      </c>
      <c r="U190" s="4">
        <v>0.38</v>
      </c>
      <c r="V190" s="2">
        <v>0</v>
      </c>
      <c r="W190">
        <v>0</v>
      </c>
      <c r="X190" t="s">
        <v>70</v>
      </c>
      <c r="Y190" t="s">
        <v>60</v>
      </c>
      <c r="Z190">
        <v>0</v>
      </c>
      <c r="AA190" s="2">
        <v>0</v>
      </c>
      <c r="AB190" s="2">
        <v>0</v>
      </c>
      <c r="AC190" s="4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5.7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</row>
    <row r="191" spans="1:42" x14ac:dyDescent="0.25">
      <c r="A191" s="1">
        <v>45922</v>
      </c>
      <c r="B191" t="s">
        <v>47</v>
      </c>
      <c r="C191">
        <v>649163</v>
      </c>
      <c r="D191">
        <v>2029038488</v>
      </c>
      <c r="E191" t="s">
        <v>186</v>
      </c>
      <c r="F191" t="s">
        <v>187</v>
      </c>
      <c r="G191" t="s">
        <v>50</v>
      </c>
      <c r="H191" t="s">
        <v>188</v>
      </c>
      <c r="I191" t="s">
        <v>243</v>
      </c>
      <c r="J191" t="s">
        <v>269</v>
      </c>
      <c r="K191">
        <v>673059</v>
      </c>
      <c r="L191" t="s">
        <v>152</v>
      </c>
      <c r="M191" t="s">
        <v>153</v>
      </c>
      <c r="N191" t="s">
        <v>56</v>
      </c>
      <c r="O191" s="1">
        <v>45798</v>
      </c>
      <c r="P191" s="1">
        <v>45951</v>
      </c>
      <c r="Q191" s="2">
        <v>15</v>
      </c>
      <c r="R191">
        <v>1</v>
      </c>
      <c r="S191" t="s">
        <v>57</v>
      </c>
      <c r="T191" t="s">
        <v>58</v>
      </c>
      <c r="U191" s="4">
        <v>0.19</v>
      </c>
      <c r="V191" s="2">
        <v>0</v>
      </c>
      <c r="W191">
        <v>0</v>
      </c>
      <c r="X191" t="s">
        <v>70</v>
      </c>
      <c r="Y191" t="s">
        <v>60</v>
      </c>
      <c r="Z191">
        <v>0</v>
      </c>
      <c r="AA191" s="2">
        <v>0</v>
      </c>
      <c r="AB191" s="2">
        <v>0</v>
      </c>
      <c r="AC191" s="4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2.85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</row>
    <row r="192" spans="1:42" x14ac:dyDescent="0.25">
      <c r="A192" s="1">
        <v>45922</v>
      </c>
      <c r="B192" t="s">
        <v>47</v>
      </c>
      <c r="C192">
        <v>649163</v>
      </c>
      <c r="D192">
        <v>2029051888</v>
      </c>
      <c r="E192" t="s">
        <v>160</v>
      </c>
      <c r="F192" t="s">
        <v>270</v>
      </c>
      <c r="G192" t="s">
        <v>50</v>
      </c>
      <c r="H192" t="s">
        <v>115</v>
      </c>
      <c r="I192" t="s">
        <v>243</v>
      </c>
      <c r="J192" t="s">
        <v>244</v>
      </c>
      <c r="K192">
        <v>856824</v>
      </c>
      <c r="L192" t="s">
        <v>210</v>
      </c>
      <c r="M192" t="s">
        <v>211</v>
      </c>
      <c r="N192" t="s">
        <v>56</v>
      </c>
      <c r="O192" s="1">
        <v>45799</v>
      </c>
      <c r="P192" s="1">
        <v>45952</v>
      </c>
      <c r="Q192" s="2">
        <v>15</v>
      </c>
      <c r="R192">
        <v>1</v>
      </c>
      <c r="S192" t="s">
        <v>57</v>
      </c>
      <c r="T192" t="s">
        <v>58</v>
      </c>
      <c r="U192" s="4">
        <v>0.28999999999999998</v>
      </c>
      <c r="V192" s="2">
        <v>0</v>
      </c>
      <c r="W192">
        <v>0</v>
      </c>
      <c r="X192" t="s">
        <v>70</v>
      </c>
      <c r="Y192" t="s">
        <v>60</v>
      </c>
      <c r="Z192">
        <v>0</v>
      </c>
      <c r="AA192" s="2">
        <v>0</v>
      </c>
      <c r="AB192" s="2">
        <v>0</v>
      </c>
      <c r="AC192" s="4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4.3499999999999996</v>
      </c>
      <c r="AM192" s="2">
        <v>4.3499999999999996</v>
      </c>
      <c r="AN192" s="2">
        <v>0</v>
      </c>
      <c r="AO192" s="2">
        <v>0</v>
      </c>
      <c r="AP192" s="2">
        <v>0</v>
      </c>
    </row>
    <row r="193" spans="1:42" x14ac:dyDescent="0.25">
      <c r="A193" s="1">
        <v>45922</v>
      </c>
      <c r="B193" t="s">
        <v>47</v>
      </c>
      <c r="C193">
        <v>649163</v>
      </c>
      <c r="D193">
        <v>2029620631</v>
      </c>
      <c r="E193" t="s">
        <v>198</v>
      </c>
      <c r="F193" t="s">
        <v>199</v>
      </c>
      <c r="G193" t="s">
        <v>50</v>
      </c>
      <c r="H193" t="s">
        <v>93</v>
      </c>
      <c r="I193" t="s">
        <v>243</v>
      </c>
      <c r="J193" t="s">
        <v>261</v>
      </c>
      <c r="K193">
        <v>824062</v>
      </c>
      <c r="L193" t="s">
        <v>200</v>
      </c>
      <c r="M193" t="s">
        <v>201</v>
      </c>
      <c r="N193" t="s">
        <v>56</v>
      </c>
      <c r="O193" s="1">
        <v>45833</v>
      </c>
      <c r="P193" s="1">
        <v>45955</v>
      </c>
      <c r="Q193" s="2">
        <v>15</v>
      </c>
      <c r="R193">
        <v>1</v>
      </c>
      <c r="S193" t="s">
        <v>57</v>
      </c>
      <c r="T193" t="s">
        <v>58</v>
      </c>
      <c r="U193" s="4">
        <v>0.38</v>
      </c>
      <c r="V193" s="2">
        <v>0</v>
      </c>
      <c r="W193">
        <v>0</v>
      </c>
      <c r="X193" t="s">
        <v>70</v>
      </c>
      <c r="Y193" t="s">
        <v>60</v>
      </c>
      <c r="Z193">
        <v>0</v>
      </c>
      <c r="AA193" s="2">
        <v>0</v>
      </c>
      <c r="AB193" s="2">
        <v>0</v>
      </c>
      <c r="AC193" s="4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5.7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</row>
    <row r="194" spans="1:42" x14ac:dyDescent="0.25">
      <c r="A194" s="1">
        <v>45922</v>
      </c>
      <c r="B194" t="s">
        <v>47</v>
      </c>
      <c r="C194">
        <v>649163</v>
      </c>
      <c r="D194">
        <v>2029623278</v>
      </c>
      <c r="E194" t="s">
        <v>271</v>
      </c>
      <c r="F194" t="s">
        <v>272</v>
      </c>
      <c r="G194" t="s">
        <v>50</v>
      </c>
      <c r="H194" t="s">
        <v>93</v>
      </c>
      <c r="I194" t="s">
        <v>243</v>
      </c>
      <c r="J194" t="s">
        <v>261</v>
      </c>
      <c r="K194">
        <v>840313</v>
      </c>
      <c r="L194" t="s">
        <v>273</v>
      </c>
      <c r="M194" t="s">
        <v>274</v>
      </c>
      <c r="N194" t="s">
        <v>56</v>
      </c>
      <c r="O194" s="1">
        <v>45833</v>
      </c>
      <c r="P194" s="1">
        <v>45955</v>
      </c>
      <c r="Q194" s="2">
        <v>15</v>
      </c>
      <c r="R194">
        <v>1</v>
      </c>
      <c r="S194" t="s">
        <v>57</v>
      </c>
      <c r="T194" t="s">
        <v>58</v>
      </c>
      <c r="U194" s="4">
        <v>0.38</v>
      </c>
      <c r="V194" s="2">
        <v>0</v>
      </c>
      <c r="W194">
        <v>0</v>
      </c>
      <c r="X194" t="s">
        <v>70</v>
      </c>
      <c r="Y194" t="s">
        <v>60</v>
      </c>
      <c r="Z194">
        <v>0</v>
      </c>
      <c r="AA194" s="2">
        <v>0</v>
      </c>
      <c r="AB194" s="2">
        <v>0</v>
      </c>
      <c r="AC194" s="4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5.7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</row>
    <row r="195" spans="1:42" x14ac:dyDescent="0.25">
      <c r="A195" s="1">
        <v>45922</v>
      </c>
      <c r="B195" t="s">
        <v>47</v>
      </c>
      <c r="C195">
        <v>649163</v>
      </c>
      <c r="D195">
        <v>2030085147</v>
      </c>
      <c r="E195" t="s">
        <v>217</v>
      </c>
      <c r="F195" t="s">
        <v>218</v>
      </c>
      <c r="G195" t="s">
        <v>50</v>
      </c>
      <c r="H195" t="s">
        <v>93</v>
      </c>
      <c r="I195" t="s">
        <v>243</v>
      </c>
      <c r="J195" t="s">
        <v>269</v>
      </c>
      <c r="K195">
        <v>673059</v>
      </c>
      <c r="L195" t="s">
        <v>152</v>
      </c>
      <c r="M195" t="s">
        <v>153</v>
      </c>
      <c r="N195" t="s">
        <v>56</v>
      </c>
      <c r="O195" s="1">
        <v>45861</v>
      </c>
      <c r="P195" s="1">
        <v>45953</v>
      </c>
      <c r="Q195" s="2">
        <v>15</v>
      </c>
      <c r="R195">
        <v>1</v>
      </c>
      <c r="S195" t="s">
        <v>57</v>
      </c>
      <c r="T195" t="s">
        <v>58</v>
      </c>
      <c r="U195" s="4">
        <v>0.19</v>
      </c>
      <c r="V195" s="2">
        <v>0</v>
      </c>
      <c r="W195">
        <v>0</v>
      </c>
      <c r="X195" t="s">
        <v>70</v>
      </c>
      <c r="Y195" t="s">
        <v>60</v>
      </c>
      <c r="Z195">
        <v>0</v>
      </c>
      <c r="AA195" s="2">
        <v>0</v>
      </c>
      <c r="AB195" s="2">
        <v>0</v>
      </c>
      <c r="AC195" s="4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2.85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</row>
    <row r="196" spans="1:42" x14ac:dyDescent="0.25">
      <c r="A196" s="1">
        <v>45922</v>
      </c>
      <c r="B196" t="s">
        <v>47</v>
      </c>
      <c r="C196">
        <v>649163</v>
      </c>
      <c r="D196">
        <v>2030093006</v>
      </c>
      <c r="E196" t="s">
        <v>275</v>
      </c>
      <c r="F196" t="s">
        <v>276</v>
      </c>
      <c r="G196" t="s">
        <v>50</v>
      </c>
      <c r="H196" t="s">
        <v>115</v>
      </c>
      <c r="I196" t="s">
        <v>243</v>
      </c>
      <c r="J196" t="s">
        <v>261</v>
      </c>
      <c r="K196">
        <v>650218</v>
      </c>
      <c r="L196" t="s">
        <v>73</v>
      </c>
      <c r="M196" t="s">
        <v>74</v>
      </c>
      <c r="N196" t="s">
        <v>56</v>
      </c>
      <c r="O196" s="1">
        <v>45861</v>
      </c>
      <c r="P196" s="1">
        <v>45953</v>
      </c>
      <c r="Q196" s="2">
        <v>15</v>
      </c>
      <c r="R196">
        <v>1</v>
      </c>
      <c r="S196" t="s">
        <v>57</v>
      </c>
      <c r="T196" t="s">
        <v>58</v>
      </c>
      <c r="U196" s="4">
        <v>0.38</v>
      </c>
      <c r="V196" s="2">
        <v>0</v>
      </c>
      <c r="W196">
        <v>0</v>
      </c>
      <c r="X196" t="s">
        <v>70</v>
      </c>
      <c r="Y196" t="s">
        <v>60</v>
      </c>
      <c r="Z196">
        <v>0</v>
      </c>
      <c r="AA196" s="2">
        <v>0</v>
      </c>
      <c r="AB196" s="2">
        <v>0</v>
      </c>
      <c r="AC196" s="4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5.7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</row>
    <row r="197" spans="1:42" x14ac:dyDescent="0.25">
      <c r="A197" s="1">
        <v>45922</v>
      </c>
      <c r="B197" t="s">
        <v>47</v>
      </c>
      <c r="C197">
        <v>649163</v>
      </c>
      <c r="D197">
        <v>2030105691</v>
      </c>
      <c r="E197" t="s">
        <v>277</v>
      </c>
      <c r="F197" t="s">
        <v>278</v>
      </c>
      <c r="G197" t="s">
        <v>50</v>
      </c>
      <c r="H197" t="s">
        <v>93</v>
      </c>
      <c r="I197" t="s">
        <v>243</v>
      </c>
      <c r="J197" t="s">
        <v>261</v>
      </c>
      <c r="K197">
        <v>856163</v>
      </c>
      <c r="L197" t="s">
        <v>79</v>
      </c>
      <c r="M197" t="s">
        <v>279</v>
      </c>
      <c r="N197" t="s">
        <v>56</v>
      </c>
      <c r="O197" s="1">
        <v>45862</v>
      </c>
      <c r="P197" s="1">
        <v>45954</v>
      </c>
      <c r="Q197" s="2">
        <v>15</v>
      </c>
      <c r="R197">
        <v>1</v>
      </c>
      <c r="S197" t="s">
        <v>57</v>
      </c>
      <c r="T197" t="s">
        <v>58</v>
      </c>
      <c r="U197" s="4">
        <v>0.38</v>
      </c>
      <c r="V197" s="2">
        <v>0</v>
      </c>
      <c r="W197">
        <v>0</v>
      </c>
      <c r="X197" t="s">
        <v>70</v>
      </c>
      <c r="Y197" t="s">
        <v>60</v>
      </c>
      <c r="Z197">
        <v>0</v>
      </c>
      <c r="AA197" s="2">
        <v>0</v>
      </c>
      <c r="AB197" s="2">
        <v>0</v>
      </c>
      <c r="AC197" s="4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5.7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</row>
    <row r="198" spans="1:42" x14ac:dyDescent="0.25">
      <c r="A198" s="1">
        <v>45922</v>
      </c>
      <c r="B198" t="s">
        <v>47</v>
      </c>
      <c r="C198">
        <v>649163</v>
      </c>
      <c r="D198">
        <v>2030217704</v>
      </c>
      <c r="E198" t="s">
        <v>280</v>
      </c>
      <c r="F198" t="s">
        <v>281</v>
      </c>
      <c r="G198" t="s">
        <v>50</v>
      </c>
      <c r="H198" t="s">
        <v>93</v>
      </c>
      <c r="I198" t="s">
        <v>243</v>
      </c>
      <c r="J198" t="s">
        <v>249</v>
      </c>
      <c r="K198">
        <v>768887</v>
      </c>
      <c r="L198" t="s">
        <v>282</v>
      </c>
      <c r="M198" t="s">
        <v>283</v>
      </c>
      <c r="N198" t="s">
        <v>56</v>
      </c>
      <c r="O198" s="1">
        <v>45870</v>
      </c>
      <c r="P198" s="1">
        <v>45931</v>
      </c>
      <c r="Q198" s="2">
        <v>-1</v>
      </c>
      <c r="R198">
        <v>1</v>
      </c>
      <c r="S198" t="s">
        <v>57</v>
      </c>
      <c r="T198" t="s">
        <v>58</v>
      </c>
      <c r="U198" s="4">
        <v>0.38</v>
      </c>
      <c r="V198" s="2">
        <v>0</v>
      </c>
      <c r="W198">
        <v>-1</v>
      </c>
      <c r="X198" t="s">
        <v>70</v>
      </c>
      <c r="Y198" t="s">
        <v>60</v>
      </c>
      <c r="Z198">
        <v>0</v>
      </c>
      <c r="AA198" s="2">
        <v>0</v>
      </c>
      <c r="AB198" s="2">
        <v>0</v>
      </c>
      <c r="AC198" s="4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-0.38</v>
      </c>
      <c r="AM198" s="2">
        <v>-0.38</v>
      </c>
      <c r="AN198" s="2">
        <v>0</v>
      </c>
      <c r="AO198" s="2">
        <v>0</v>
      </c>
      <c r="AP198" s="2">
        <v>0</v>
      </c>
    </row>
    <row r="199" spans="1:42" x14ac:dyDescent="0.25">
      <c r="A199" s="1">
        <v>45922</v>
      </c>
      <c r="B199" t="s">
        <v>47</v>
      </c>
      <c r="C199">
        <v>649163</v>
      </c>
      <c r="D199">
        <v>2030495950</v>
      </c>
      <c r="E199" t="s">
        <v>284</v>
      </c>
      <c r="F199" t="s">
        <v>285</v>
      </c>
      <c r="G199" t="s">
        <v>50</v>
      </c>
      <c r="H199" t="s">
        <v>93</v>
      </c>
      <c r="I199" t="s">
        <v>243</v>
      </c>
      <c r="J199" t="s">
        <v>261</v>
      </c>
      <c r="K199">
        <v>768887</v>
      </c>
      <c r="L199" t="s">
        <v>282</v>
      </c>
      <c r="M199" t="s">
        <v>283</v>
      </c>
      <c r="N199" t="s">
        <v>56</v>
      </c>
      <c r="O199" s="1">
        <v>45884</v>
      </c>
      <c r="P199" s="1">
        <v>45945</v>
      </c>
      <c r="Q199" s="2">
        <v>-11</v>
      </c>
      <c r="R199">
        <v>1</v>
      </c>
      <c r="S199" t="s">
        <v>57</v>
      </c>
      <c r="T199" t="s">
        <v>58</v>
      </c>
      <c r="U199" s="4">
        <v>0.38</v>
      </c>
      <c r="V199" s="2">
        <v>0</v>
      </c>
      <c r="W199">
        <v>-1</v>
      </c>
      <c r="X199" t="s">
        <v>70</v>
      </c>
      <c r="Y199" t="s">
        <v>60</v>
      </c>
      <c r="Z199">
        <v>0</v>
      </c>
      <c r="AA199" s="2">
        <v>0</v>
      </c>
      <c r="AB199" s="2">
        <v>0</v>
      </c>
      <c r="AC199" s="4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-4.18</v>
      </c>
      <c r="AM199" s="2">
        <v>-4.18</v>
      </c>
      <c r="AN199" s="2">
        <v>0</v>
      </c>
      <c r="AO199" s="2">
        <v>0</v>
      </c>
      <c r="AP199" s="2">
        <v>0</v>
      </c>
    </row>
    <row r="200" spans="1:42" x14ac:dyDescent="0.25">
      <c r="A200" s="1">
        <v>45922</v>
      </c>
      <c r="B200" t="s">
        <v>47</v>
      </c>
      <c r="C200">
        <v>649163</v>
      </c>
      <c r="D200">
        <v>2030591799</v>
      </c>
      <c r="E200" t="s">
        <v>286</v>
      </c>
      <c r="F200" t="s">
        <v>287</v>
      </c>
      <c r="G200" t="s">
        <v>50</v>
      </c>
      <c r="H200" t="s">
        <v>93</v>
      </c>
      <c r="I200" t="s">
        <v>243</v>
      </c>
      <c r="J200" t="s">
        <v>261</v>
      </c>
      <c r="K200">
        <v>856163</v>
      </c>
      <c r="L200" t="s">
        <v>79</v>
      </c>
      <c r="M200" t="s">
        <v>279</v>
      </c>
      <c r="N200" t="s">
        <v>56</v>
      </c>
      <c r="O200" s="1">
        <v>45890</v>
      </c>
      <c r="P200" s="1">
        <v>45951</v>
      </c>
      <c r="Q200" s="2">
        <v>15</v>
      </c>
      <c r="R200">
        <v>1</v>
      </c>
      <c r="S200" t="s">
        <v>57</v>
      </c>
      <c r="T200" t="s">
        <v>58</v>
      </c>
      <c r="U200" s="4">
        <v>0.38</v>
      </c>
      <c r="V200" s="2">
        <v>0</v>
      </c>
      <c r="W200">
        <v>0</v>
      </c>
      <c r="X200" t="s">
        <v>70</v>
      </c>
      <c r="Y200" t="s">
        <v>60</v>
      </c>
      <c r="Z200">
        <v>0</v>
      </c>
      <c r="AA200" s="2">
        <v>0</v>
      </c>
      <c r="AB200" s="2">
        <v>0</v>
      </c>
      <c r="AC200" s="4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5.7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</row>
    <row r="201" spans="1:42" x14ac:dyDescent="0.25">
      <c r="A201" s="1">
        <v>45922</v>
      </c>
      <c r="B201" t="s">
        <v>47</v>
      </c>
      <c r="C201">
        <v>649163</v>
      </c>
      <c r="D201">
        <v>2030600738</v>
      </c>
      <c r="E201" t="s">
        <v>288</v>
      </c>
      <c r="F201" t="s">
        <v>289</v>
      </c>
      <c r="G201" t="s">
        <v>50</v>
      </c>
      <c r="H201" t="s">
        <v>115</v>
      </c>
      <c r="I201" t="s">
        <v>243</v>
      </c>
      <c r="J201" t="s">
        <v>244</v>
      </c>
      <c r="K201">
        <v>882919</v>
      </c>
      <c r="L201" t="s">
        <v>290</v>
      </c>
      <c r="M201" t="s">
        <v>291</v>
      </c>
      <c r="N201" t="s">
        <v>56</v>
      </c>
      <c r="O201" s="1">
        <v>45894</v>
      </c>
      <c r="P201" s="1">
        <v>45955</v>
      </c>
      <c r="Q201" s="2">
        <v>15</v>
      </c>
      <c r="R201">
        <v>1</v>
      </c>
      <c r="S201" t="s">
        <v>57</v>
      </c>
      <c r="T201" t="s">
        <v>58</v>
      </c>
      <c r="U201" s="4">
        <v>0.28999999999999998</v>
      </c>
      <c r="V201" s="2">
        <v>0</v>
      </c>
      <c r="W201">
        <v>0</v>
      </c>
      <c r="X201" t="s">
        <v>70</v>
      </c>
      <c r="Y201" t="s">
        <v>60</v>
      </c>
      <c r="Z201">
        <v>0</v>
      </c>
      <c r="AA201" s="2">
        <v>0</v>
      </c>
      <c r="AB201" s="2">
        <v>0</v>
      </c>
      <c r="AC201" s="4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4.3499999999999996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</row>
    <row r="202" spans="1:42" x14ac:dyDescent="0.25">
      <c r="A202" s="1">
        <v>45922</v>
      </c>
      <c r="B202" t="s">
        <v>47</v>
      </c>
      <c r="C202">
        <v>649163</v>
      </c>
      <c r="D202">
        <v>2030805542</v>
      </c>
      <c r="E202" t="s">
        <v>292</v>
      </c>
      <c r="F202" t="s">
        <v>293</v>
      </c>
      <c r="G202" t="s">
        <v>50</v>
      </c>
      <c r="H202" t="s">
        <v>93</v>
      </c>
      <c r="I202" t="s">
        <v>243</v>
      </c>
      <c r="J202" t="s">
        <v>261</v>
      </c>
      <c r="K202">
        <v>812994</v>
      </c>
      <c r="L202" t="s">
        <v>294</v>
      </c>
      <c r="M202" t="s">
        <v>295</v>
      </c>
      <c r="N202" t="s">
        <v>230</v>
      </c>
      <c r="O202" s="1">
        <v>45902</v>
      </c>
      <c r="P202" s="1">
        <v>45932</v>
      </c>
      <c r="Q202" s="2">
        <v>-7</v>
      </c>
      <c r="R202">
        <v>1</v>
      </c>
      <c r="S202" t="s">
        <v>57</v>
      </c>
      <c r="T202" t="s">
        <v>58</v>
      </c>
      <c r="U202" s="4">
        <v>0.38</v>
      </c>
      <c r="V202" s="2">
        <v>0</v>
      </c>
      <c r="W202">
        <v>-1</v>
      </c>
      <c r="X202" t="s">
        <v>70</v>
      </c>
      <c r="Y202" t="s">
        <v>60</v>
      </c>
      <c r="Z202">
        <v>0</v>
      </c>
      <c r="AA202" s="2">
        <v>0</v>
      </c>
      <c r="AB202" s="2">
        <v>0</v>
      </c>
      <c r="AC202" s="4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-2.66</v>
      </c>
      <c r="AM202" s="2">
        <v>-2.66</v>
      </c>
      <c r="AN202" s="2">
        <v>0</v>
      </c>
      <c r="AO202" s="2">
        <v>0</v>
      </c>
      <c r="AP202" s="2">
        <v>0</v>
      </c>
    </row>
    <row r="203" spans="1:42" x14ac:dyDescent="0.25">
      <c r="A203" s="1">
        <v>45922</v>
      </c>
      <c r="B203" t="s">
        <v>47</v>
      </c>
      <c r="C203">
        <v>649163</v>
      </c>
      <c r="D203">
        <v>2016328595</v>
      </c>
      <c r="E203" t="s">
        <v>103</v>
      </c>
      <c r="F203" t="s">
        <v>104</v>
      </c>
      <c r="G203" t="s">
        <v>50</v>
      </c>
      <c r="H203" t="s">
        <v>105</v>
      </c>
      <c r="I203" t="s">
        <v>306</v>
      </c>
      <c r="J203" t="s">
        <v>307</v>
      </c>
      <c r="K203">
        <v>651818</v>
      </c>
      <c r="L203" t="s">
        <v>108</v>
      </c>
      <c r="M203" t="s">
        <v>109</v>
      </c>
      <c r="N203" t="s">
        <v>56</v>
      </c>
      <c r="O203" s="1">
        <v>44829</v>
      </c>
      <c r="P203" s="1">
        <v>45955</v>
      </c>
      <c r="Q203" s="2">
        <v>42.47</v>
      </c>
      <c r="R203">
        <v>1</v>
      </c>
      <c r="S203" t="s">
        <v>57</v>
      </c>
      <c r="T203" t="s">
        <v>58</v>
      </c>
      <c r="U203" s="4">
        <v>0.06</v>
      </c>
      <c r="V203" s="2">
        <v>0</v>
      </c>
      <c r="W203">
        <v>0</v>
      </c>
      <c r="X203" t="s">
        <v>59</v>
      </c>
      <c r="Y203" t="s">
        <v>60</v>
      </c>
      <c r="Z203">
        <v>0</v>
      </c>
      <c r="AA203" s="2">
        <v>0</v>
      </c>
      <c r="AB203" s="2">
        <v>0</v>
      </c>
      <c r="AC203" s="4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2.5499999999999998</v>
      </c>
      <c r="AM203" s="2">
        <v>2.5499999999999998</v>
      </c>
      <c r="AN203" s="2">
        <v>0</v>
      </c>
      <c r="AO203" s="2">
        <v>0</v>
      </c>
      <c r="AP203" s="2">
        <v>0</v>
      </c>
    </row>
    <row r="204" spans="1:42" x14ac:dyDescent="0.25">
      <c r="A204" s="1">
        <v>45922</v>
      </c>
      <c r="B204" t="s">
        <v>47</v>
      </c>
      <c r="C204">
        <v>649163</v>
      </c>
      <c r="D204">
        <v>2016868356</v>
      </c>
      <c r="E204" t="s">
        <v>308</v>
      </c>
      <c r="F204" t="s">
        <v>109</v>
      </c>
      <c r="G204" t="s">
        <v>50</v>
      </c>
      <c r="H204" t="s">
        <v>51</v>
      </c>
      <c r="I204" t="s">
        <v>306</v>
      </c>
      <c r="J204" t="s">
        <v>307</v>
      </c>
      <c r="K204">
        <v>650794</v>
      </c>
      <c r="L204" t="s">
        <v>309</v>
      </c>
      <c r="M204" t="s">
        <v>310</v>
      </c>
      <c r="N204" t="s">
        <v>56</v>
      </c>
      <c r="O204" s="1">
        <v>44885</v>
      </c>
      <c r="P204" s="1">
        <v>45950</v>
      </c>
      <c r="Q204" s="2">
        <v>17.649999999999999</v>
      </c>
      <c r="R204">
        <v>1</v>
      </c>
      <c r="S204" t="s">
        <v>57</v>
      </c>
      <c r="T204" t="s">
        <v>58</v>
      </c>
      <c r="U204" s="4">
        <v>0.06</v>
      </c>
      <c r="V204" s="2">
        <v>0</v>
      </c>
      <c r="W204">
        <v>0</v>
      </c>
      <c r="X204" t="s">
        <v>59</v>
      </c>
      <c r="Y204" t="s">
        <v>60</v>
      </c>
      <c r="Z204">
        <v>0</v>
      </c>
      <c r="AA204" s="2">
        <v>0</v>
      </c>
      <c r="AB204" s="2">
        <v>0</v>
      </c>
      <c r="AC204" s="4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1.06</v>
      </c>
      <c r="AM204" s="2">
        <v>1.06</v>
      </c>
      <c r="AN204" s="2">
        <v>0</v>
      </c>
      <c r="AO204" s="2">
        <v>0</v>
      </c>
      <c r="AP204" s="2">
        <v>0</v>
      </c>
    </row>
    <row r="205" spans="1:42" x14ac:dyDescent="0.25">
      <c r="A205" s="1">
        <v>45922</v>
      </c>
      <c r="B205" t="s">
        <v>47</v>
      </c>
      <c r="C205">
        <v>649163</v>
      </c>
      <c r="D205">
        <v>2019459171</v>
      </c>
      <c r="E205" t="s">
        <v>311</v>
      </c>
      <c r="F205" t="s">
        <v>277</v>
      </c>
      <c r="G205" t="s">
        <v>50</v>
      </c>
      <c r="H205" t="s">
        <v>51</v>
      </c>
      <c r="I205" t="s">
        <v>306</v>
      </c>
      <c r="J205" t="s">
        <v>307</v>
      </c>
      <c r="K205">
        <v>702406</v>
      </c>
      <c r="L205" t="s">
        <v>54</v>
      </c>
      <c r="M205" t="s">
        <v>55</v>
      </c>
      <c r="N205" t="s">
        <v>56</v>
      </c>
      <c r="O205" s="1">
        <v>45129</v>
      </c>
      <c r="P205" s="1">
        <v>45952</v>
      </c>
      <c r="Q205" s="2">
        <v>57.29</v>
      </c>
      <c r="R205">
        <v>1</v>
      </c>
      <c r="S205" t="s">
        <v>57</v>
      </c>
      <c r="T205" t="s">
        <v>58</v>
      </c>
      <c r="U205" s="4">
        <v>0.06</v>
      </c>
      <c r="V205" s="2">
        <v>0</v>
      </c>
      <c r="W205">
        <v>0</v>
      </c>
      <c r="X205" t="s">
        <v>59</v>
      </c>
      <c r="Y205" t="s">
        <v>60</v>
      </c>
      <c r="Z205">
        <v>0</v>
      </c>
      <c r="AA205" s="2">
        <v>0</v>
      </c>
      <c r="AB205" s="2">
        <v>0</v>
      </c>
      <c r="AC205" s="4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3.44</v>
      </c>
      <c r="AM205" s="2">
        <v>3.44</v>
      </c>
      <c r="AN205" s="2">
        <v>0</v>
      </c>
      <c r="AO205" s="2">
        <v>0</v>
      </c>
      <c r="AP205" s="2">
        <v>0</v>
      </c>
    </row>
    <row r="206" spans="1:42" x14ac:dyDescent="0.25">
      <c r="A206" s="1">
        <v>45922</v>
      </c>
      <c r="B206" t="s">
        <v>47</v>
      </c>
      <c r="C206">
        <v>649163</v>
      </c>
      <c r="D206">
        <v>2019665210</v>
      </c>
      <c r="E206" t="s">
        <v>312</v>
      </c>
      <c r="F206" t="s">
        <v>313</v>
      </c>
      <c r="G206" t="s">
        <v>50</v>
      </c>
      <c r="H206" t="s">
        <v>180</v>
      </c>
      <c r="I206" t="s">
        <v>306</v>
      </c>
      <c r="J206" t="s">
        <v>307</v>
      </c>
      <c r="K206">
        <v>673059</v>
      </c>
      <c r="L206" t="s">
        <v>152</v>
      </c>
      <c r="M206" t="s">
        <v>153</v>
      </c>
      <c r="N206" t="s">
        <v>56</v>
      </c>
      <c r="O206" s="1">
        <v>45192</v>
      </c>
      <c r="P206" s="1">
        <v>45953</v>
      </c>
      <c r="Q206" s="2">
        <v>42.78</v>
      </c>
      <c r="R206">
        <v>1</v>
      </c>
      <c r="S206" t="s">
        <v>57</v>
      </c>
      <c r="T206" t="s">
        <v>58</v>
      </c>
      <c r="U206" s="4">
        <v>0.06</v>
      </c>
      <c r="V206" s="2">
        <v>0</v>
      </c>
      <c r="W206">
        <v>0</v>
      </c>
      <c r="X206" t="s">
        <v>59</v>
      </c>
      <c r="Y206" t="s">
        <v>60</v>
      </c>
      <c r="Z206">
        <v>0</v>
      </c>
      <c r="AA206" s="2">
        <v>0</v>
      </c>
      <c r="AB206" s="2">
        <v>0</v>
      </c>
      <c r="AC206" s="4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2.57</v>
      </c>
      <c r="AM206" s="2">
        <v>2.57</v>
      </c>
      <c r="AN206" s="2">
        <v>0</v>
      </c>
      <c r="AO206" s="2">
        <v>0</v>
      </c>
      <c r="AP206" s="2">
        <v>0</v>
      </c>
    </row>
    <row r="207" spans="1:42" x14ac:dyDescent="0.25">
      <c r="A207" s="1">
        <v>45922</v>
      </c>
      <c r="B207" t="s">
        <v>47</v>
      </c>
      <c r="C207">
        <v>649163</v>
      </c>
      <c r="D207">
        <v>2019971559</v>
      </c>
      <c r="E207" t="s">
        <v>314</v>
      </c>
      <c r="F207" t="s">
        <v>315</v>
      </c>
      <c r="G207" t="s">
        <v>50</v>
      </c>
      <c r="H207" t="s">
        <v>51</v>
      </c>
      <c r="I207" t="s">
        <v>306</v>
      </c>
      <c r="J207" t="s">
        <v>307</v>
      </c>
      <c r="K207">
        <v>678320</v>
      </c>
      <c r="L207" t="s">
        <v>316</v>
      </c>
      <c r="M207" t="s">
        <v>317</v>
      </c>
      <c r="N207" t="s">
        <v>56</v>
      </c>
      <c r="O207" s="1">
        <v>45163</v>
      </c>
      <c r="P207" s="1">
        <v>45955</v>
      </c>
      <c r="Q207" s="2">
        <v>49.12</v>
      </c>
      <c r="R207">
        <v>1</v>
      </c>
      <c r="S207" t="s">
        <v>57</v>
      </c>
      <c r="T207" t="s">
        <v>58</v>
      </c>
      <c r="U207" s="4">
        <v>0.06</v>
      </c>
      <c r="V207" s="2">
        <v>0</v>
      </c>
      <c r="W207">
        <v>0</v>
      </c>
      <c r="X207" t="s">
        <v>59</v>
      </c>
      <c r="Y207" t="s">
        <v>60</v>
      </c>
      <c r="Z207">
        <v>0</v>
      </c>
      <c r="AA207" s="2">
        <v>0</v>
      </c>
      <c r="AB207" s="2">
        <v>0</v>
      </c>
      <c r="AC207" s="4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2.95</v>
      </c>
      <c r="AM207" s="2">
        <v>2.95</v>
      </c>
      <c r="AN207" s="2">
        <v>0</v>
      </c>
      <c r="AO207" s="2">
        <v>0</v>
      </c>
      <c r="AP207" s="2">
        <v>0</v>
      </c>
    </row>
    <row r="208" spans="1:42" x14ac:dyDescent="0.25">
      <c r="A208" s="1">
        <v>45922</v>
      </c>
      <c r="B208" t="s">
        <v>47</v>
      </c>
      <c r="C208">
        <v>649163</v>
      </c>
      <c r="D208">
        <v>2020534056</v>
      </c>
      <c r="E208" t="s">
        <v>48</v>
      </c>
      <c r="F208" t="s">
        <v>49</v>
      </c>
      <c r="G208" t="s">
        <v>50</v>
      </c>
      <c r="H208" t="s">
        <v>51</v>
      </c>
      <c r="I208" t="s">
        <v>306</v>
      </c>
      <c r="J208" t="s">
        <v>307</v>
      </c>
      <c r="K208">
        <v>702406</v>
      </c>
      <c r="L208" t="s">
        <v>54</v>
      </c>
      <c r="M208" t="s">
        <v>55</v>
      </c>
      <c r="N208" t="s">
        <v>56</v>
      </c>
      <c r="O208" s="1">
        <v>45224</v>
      </c>
      <c r="P208" s="1">
        <v>45955</v>
      </c>
      <c r="Q208" s="2">
        <v>32.979999999999997</v>
      </c>
      <c r="R208">
        <v>1</v>
      </c>
      <c r="S208" t="s">
        <v>57</v>
      </c>
      <c r="T208" t="s">
        <v>58</v>
      </c>
      <c r="U208" s="4">
        <v>0.06</v>
      </c>
      <c r="V208" s="2">
        <v>0</v>
      </c>
      <c r="W208">
        <v>0</v>
      </c>
      <c r="X208" t="s">
        <v>59</v>
      </c>
      <c r="Y208" t="s">
        <v>60</v>
      </c>
      <c r="Z208">
        <v>0</v>
      </c>
      <c r="AA208" s="2">
        <v>0</v>
      </c>
      <c r="AB208" s="2">
        <v>0</v>
      </c>
      <c r="AC208" s="4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1.98</v>
      </c>
      <c r="AM208" s="2">
        <v>1.98</v>
      </c>
      <c r="AN208" s="2">
        <v>0</v>
      </c>
      <c r="AO208" s="2">
        <v>0</v>
      </c>
      <c r="AP208" s="2">
        <v>0</v>
      </c>
    </row>
    <row r="209" spans="1:42" x14ac:dyDescent="0.25">
      <c r="A209" s="1">
        <v>45922</v>
      </c>
      <c r="B209" t="s">
        <v>47</v>
      </c>
      <c r="C209">
        <v>649163</v>
      </c>
      <c r="D209">
        <v>2020849790</v>
      </c>
      <c r="E209" t="s">
        <v>318</v>
      </c>
      <c r="F209" t="s">
        <v>319</v>
      </c>
      <c r="G209" t="s">
        <v>50</v>
      </c>
      <c r="H209" t="s">
        <v>93</v>
      </c>
      <c r="I209" t="s">
        <v>306</v>
      </c>
      <c r="J209" t="s">
        <v>307</v>
      </c>
      <c r="K209">
        <v>673059</v>
      </c>
      <c r="L209" t="s">
        <v>152</v>
      </c>
      <c r="M209" t="s">
        <v>153</v>
      </c>
      <c r="N209" t="s">
        <v>56</v>
      </c>
      <c r="O209" s="1">
        <v>45251</v>
      </c>
      <c r="P209" s="1">
        <v>45951</v>
      </c>
      <c r="Q209" s="2">
        <v>47.78</v>
      </c>
      <c r="R209">
        <v>1</v>
      </c>
      <c r="S209" t="s">
        <v>57</v>
      </c>
      <c r="T209" t="s">
        <v>58</v>
      </c>
      <c r="U209" s="4">
        <v>0.06</v>
      </c>
      <c r="V209" s="2">
        <v>0</v>
      </c>
      <c r="W209">
        <v>0</v>
      </c>
      <c r="X209" t="s">
        <v>59</v>
      </c>
      <c r="Y209" t="s">
        <v>60</v>
      </c>
      <c r="Z209">
        <v>0</v>
      </c>
      <c r="AA209" s="2">
        <v>0</v>
      </c>
      <c r="AB209" s="2">
        <v>0</v>
      </c>
      <c r="AC209" s="4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2.87</v>
      </c>
      <c r="AM209" s="2">
        <v>2.87</v>
      </c>
      <c r="AN209" s="2">
        <v>0</v>
      </c>
      <c r="AO209" s="2">
        <v>0</v>
      </c>
      <c r="AP209" s="2">
        <v>0</v>
      </c>
    </row>
    <row r="210" spans="1:42" x14ac:dyDescent="0.25">
      <c r="A210" s="1">
        <v>45922</v>
      </c>
      <c r="B210" t="s">
        <v>47</v>
      </c>
      <c r="C210">
        <v>649163</v>
      </c>
      <c r="D210">
        <v>2021476042</v>
      </c>
      <c r="E210" t="s">
        <v>320</v>
      </c>
      <c r="F210" t="s">
        <v>321</v>
      </c>
      <c r="G210" t="s">
        <v>50</v>
      </c>
      <c r="H210" t="s">
        <v>51</v>
      </c>
      <c r="I210" t="s">
        <v>306</v>
      </c>
      <c r="J210" t="s">
        <v>307</v>
      </c>
      <c r="K210">
        <v>728134</v>
      </c>
      <c r="L210" t="s">
        <v>322</v>
      </c>
      <c r="M210" t="s">
        <v>323</v>
      </c>
      <c r="N210" t="s">
        <v>56</v>
      </c>
      <c r="O210" s="1">
        <v>45311</v>
      </c>
      <c r="P210" s="1">
        <v>45950</v>
      </c>
      <c r="Q210" s="2">
        <v>49.98</v>
      </c>
      <c r="R210">
        <v>1</v>
      </c>
      <c r="S210" t="s">
        <v>57</v>
      </c>
      <c r="T210" t="s">
        <v>58</v>
      </c>
      <c r="U210" s="4">
        <v>0.06</v>
      </c>
      <c r="V210" s="2">
        <v>0</v>
      </c>
      <c r="W210">
        <v>0</v>
      </c>
      <c r="X210" t="s">
        <v>59</v>
      </c>
      <c r="Y210" t="s">
        <v>60</v>
      </c>
      <c r="Z210">
        <v>0</v>
      </c>
      <c r="AA210" s="2">
        <v>0</v>
      </c>
      <c r="AB210" s="2">
        <v>0</v>
      </c>
      <c r="AC210" s="4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3</v>
      </c>
      <c r="AM210" s="2">
        <v>3</v>
      </c>
      <c r="AN210" s="2">
        <v>0</v>
      </c>
      <c r="AO210" s="2">
        <v>0</v>
      </c>
      <c r="AP210" s="2">
        <v>0</v>
      </c>
    </row>
    <row r="211" spans="1:42" x14ac:dyDescent="0.25">
      <c r="A211" s="1">
        <v>45922</v>
      </c>
      <c r="B211" t="s">
        <v>47</v>
      </c>
      <c r="C211">
        <v>649163</v>
      </c>
      <c r="D211">
        <v>2021499228</v>
      </c>
      <c r="E211" t="s">
        <v>324</v>
      </c>
      <c r="F211" t="s">
        <v>325</v>
      </c>
      <c r="G211" t="s">
        <v>50</v>
      </c>
      <c r="H211" t="s">
        <v>51</v>
      </c>
      <c r="I211" t="s">
        <v>306</v>
      </c>
      <c r="J211" t="s">
        <v>307</v>
      </c>
      <c r="K211">
        <v>678320</v>
      </c>
      <c r="L211" t="s">
        <v>316</v>
      </c>
      <c r="M211" t="s">
        <v>317</v>
      </c>
      <c r="N211" t="s">
        <v>56</v>
      </c>
      <c r="O211" s="1">
        <v>45314</v>
      </c>
      <c r="P211" s="1">
        <v>45953</v>
      </c>
      <c r="Q211" s="2">
        <v>39.979999999999997</v>
      </c>
      <c r="R211">
        <v>1</v>
      </c>
      <c r="S211" t="s">
        <v>57</v>
      </c>
      <c r="T211" t="s">
        <v>58</v>
      </c>
      <c r="U211" s="4">
        <v>0.06</v>
      </c>
      <c r="V211" s="2">
        <v>0</v>
      </c>
      <c r="W211">
        <v>0</v>
      </c>
      <c r="X211" t="s">
        <v>59</v>
      </c>
      <c r="Y211" t="s">
        <v>60</v>
      </c>
      <c r="Z211">
        <v>0</v>
      </c>
      <c r="AA211" s="2">
        <v>0</v>
      </c>
      <c r="AB211" s="2">
        <v>0</v>
      </c>
      <c r="AC211" s="4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2.4</v>
      </c>
      <c r="AM211" s="2">
        <v>2.4</v>
      </c>
      <c r="AN211" s="2">
        <v>0</v>
      </c>
      <c r="AO211" s="2">
        <v>0</v>
      </c>
      <c r="AP211" s="2">
        <v>0</v>
      </c>
    </row>
    <row r="212" spans="1:42" x14ac:dyDescent="0.25">
      <c r="A212" s="1">
        <v>45922</v>
      </c>
      <c r="B212" t="s">
        <v>47</v>
      </c>
      <c r="C212">
        <v>649163</v>
      </c>
      <c r="D212">
        <v>2021544238</v>
      </c>
      <c r="E212" t="s">
        <v>326</v>
      </c>
      <c r="F212" t="s">
        <v>327</v>
      </c>
      <c r="G212" t="s">
        <v>50</v>
      </c>
      <c r="H212" t="s">
        <v>51</v>
      </c>
      <c r="I212" t="s">
        <v>306</v>
      </c>
      <c r="J212" t="s">
        <v>307</v>
      </c>
      <c r="K212">
        <v>649247</v>
      </c>
      <c r="L212" t="s">
        <v>68</v>
      </c>
      <c r="M212" t="s">
        <v>69</v>
      </c>
      <c r="N212" t="s">
        <v>56</v>
      </c>
      <c r="O212" s="1">
        <v>45317</v>
      </c>
      <c r="P212" s="1">
        <v>45956</v>
      </c>
      <c r="Q212" s="2">
        <v>39.979999999999997</v>
      </c>
      <c r="R212">
        <v>1</v>
      </c>
      <c r="S212" t="s">
        <v>57</v>
      </c>
      <c r="T212" t="s">
        <v>58</v>
      </c>
      <c r="U212" s="4">
        <v>0.06</v>
      </c>
      <c r="V212" s="2">
        <v>0</v>
      </c>
      <c r="W212">
        <v>0</v>
      </c>
      <c r="X212" t="s">
        <v>59</v>
      </c>
      <c r="Y212" t="s">
        <v>60</v>
      </c>
      <c r="Z212">
        <v>0</v>
      </c>
      <c r="AA212" s="2">
        <v>0</v>
      </c>
      <c r="AB212" s="2">
        <v>0</v>
      </c>
      <c r="AC212" s="4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2.4</v>
      </c>
      <c r="AM212" s="2">
        <v>2.4</v>
      </c>
      <c r="AN212" s="2">
        <v>0</v>
      </c>
      <c r="AO212" s="2">
        <v>0</v>
      </c>
      <c r="AP212" s="2">
        <v>0</v>
      </c>
    </row>
    <row r="213" spans="1:42" x14ac:dyDescent="0.25">
      <c r="A213" s="1">
        <v>45922</v>
      </c>
      <c r="B213" t="s">
        <v>47</v>
      </c>
      <c r="C213">
        <v>649163</v>
      </c>
      <c r="D213">
        <v>2022763331</v>
      </c>
      <c r="E213" t="s">
        <v>328</v>
      </c>
      <c r="F213" t="s">
        <v>329</v>
      </c>
      <c r="G213" t="s">
        <v>50</v>
      </c>
      <c r="H213" t="s">
        <v>51</v>
      </c>
      <c r="I213" t="s">
        <v>306</v>
      </c>
      <c r="J213" t="s">
        <v>307</v>
      </c>
      <c r="K213">
        <v>649247</v>
      </c>
      <c r="L213" t="s">
        <v>68</v>
      </c>
      <c r="M213" t="s">
        <v>69</v>
      </c>
      <c r="N213" t="s">
        <v>56</v>
      </c>
      <c r="O213" s="1">
        <v>45402</v>
      </c>
      <c r="P213" s="1">
        <v>45950</v>
      </c>
      <c r="Q213" s="2">
        <v>39.979999999999997</v>
      </c>
      <c r="R213">
        <v>1</v>
      </c>
      <c r="S213" t="s">
        <v>57</v>
      </c>
      <c r="T213" t="s">
        <v>58</v>
      </c>
      <c r="U213" s="4">
        <v>0.06</v>
      </c>
      <c r="V213" s="2">
        <v>0</v>
      </c>
      <c r="W213">
        <v>0</v>
      </c>
      <c r="X213" t="s">
        <v>59</v>
      </c>
      <c r="Y213" t="s">
        <v>60</v>
      </c>
      <c r="Z213">
        <v>0</v>
      </c>
      <c r="AA213" s="2">
        <v>0</v>
      </c>
      <c r="AB213" s="2">
        <v>0</v>
      </c>
      <c r="AC213" s="4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2.4</v>
      </c>
      <c r="AM213" s="2">
        <v>2.4</v>
      </c>
      <c r="AN213" s="2">
        <v>0</v>
      </c>
      <c r="AO213" s="2">
        <v>0</v>
      </c>
      <c r="AP213" s="2">
        <v>0</v>
      </c>
    </row>
    <row r="214" spans="1:42" x14ac:dyDescent="0.25">
      <c r="A214" s="1">
        <v>45922</v>
      </c>
      <c r="B214" t="s">
        <v>47</v>
      </c>
      <c r="C214">
        <v>649163</v>
      </c>
      <c r="D214">
        <v>2022823602</v>
      </c>
      <c r="E214" t="s">
        <v>330</v>
      </c>
      <c r="F214" t="s">
        <v>331</v>
      </c>
      <c r="G214" t="s">
        <v>50</v>
      </c>
      <c r="H214" t="s">
        <v>51</v>
      </c>
      <c r="I214" t="s">
        <v>306</v>
      </c>
      <c r="J214" t="s">
        <v>307</v>
      </c>
      <c r="K214">
        <v>702406</v>
      </c>
      <c r="L214" t="s">
        <v>54</v>
      </c>
      <c r="M214" t="s">
        <v>55</v>
      </c>
      <c r="N214" t="s">
        <v>56</v>
      </c>
      <c r="O214" s="1">
        <v>45406</v>
      </c>
      <c r="P214" s="1">
        <v>45954</v>
      </c>
      <c r="Q214" s="2">
        <v>58.98</v>
      </c>
      <c r="R214">
        <v>1</v>
      </c>
      <c r="S214" t="s">
        <v>57</v>
      </c>
      <c r="T214" t="s">
        <v>58</v>
      </c>
      <c r="U214" s="4">
        <v>0.06</v>
      </c>
      <c r="V214" s="2">
        <v>0</v>
      </c>
      <c r="W214">
        <v>0</v>
      </c>
      <c r="X214" t="s">
        <v>59</v>
      </c>
      <c r="Y214" t="s">
        <v>60</v>
      </c>
      <c r="Z214">
        <v>0</v>
      </c>
      <c r="AA214" s="2">
        <v>0</v>
      </c>
      <c r="AB214" s="2">
        <v>0</v>
      </c>
      <c r="AC214" s="4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3.54</v>
      </c>
      <c r="AM214" s="2">
        <v>3.54</v>
      </c>
      <c r="AN214" s="2">
        <v>0</v>
      </c>
      <c r="AO214" s="2">
        <v>0</v>
      </c>
      <c r="AP214" s="2">
        <v>0</v>
      </c>
    </row>
    <row r="215" spans="1:42" x14ac:dyDescent="0.25">
      <c r="A215" s="1">
        <v>45922</v>
      </c>
      <c r="B215" t="s">
        <v>47</v>
      </c>
      <c r="C215">
        <v>649163</v>
      </c>
      <c r="D215">
        <v>2022838178</v>
      </c>
      <c r="E215" t="s">
        <v>332</v>
      </c>
      <c r="F215" t="s">
        <v>333</v>
      </c>
      <c r="G215" t="s">
        <v>50</v>
      </c>
      <c r="H215" t="s">
        <v>151</v>
      </c>
      <c r="I215" t="s">
        <v>306</v>
      </c>
      <c r="J215" t="s">
        <v>307</v>
      </c>
      <c r="K215">
        <v>673059</v>
      </c>
      <c r="L215" t="s">
        <v>152</v>
      </c>
      <c r="M215" t="s">
        <v>153</v>
      </c>
      <c r="N215" t="s">
        <v>56</v>
      </c>
      <c r="O215" s="1">
        <v>45407</v>
      </c>
      <c r="P215" s="1">
        <v>45955</v>
      </c>
      <c r="Q215" s="2">
        <v>70.52</v>
      </c>
      <c r="R215">
        <v>1</v>
      </c>
      <c r="S215" t="s">
        <v>57</v>
      </c>
      <c r="T215" t="s">
        <v>58</v>
      </c>
      <c r="U215" s="4">
        <v>0.06</v>
      </c>
      <c r="V215" s="2">
        <v>0</v>
      </c>
      <c r="W215">
        <v>0</v>
      </c>
      <c r="X215" t="s">
        <v>59</v>
      </c>
      <c r="Y215" t="s">
        <v>60</v>
      </c>
      <c r="Z215">
        <v>0</v>
      </c>
      <c r="AA215" s="2">
        <v>0</v>
      </c>
      <c r="AB215" s="2">
        <v>0</v>
      </c>
      <c r="AC215" s="4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4.2300000000000004</v>
      </c>
      <c r="AM215" s="2">
        <v>4.2300000000000004</v>
      </c>
      <c r="AN215" s="2">
        <v>0</v>
      </c>
      <c r="AO215" s="2">
        <v>0</v>
      </c>
      <c r="AP215" s="2">
        <v>0</v>
      </c>
    </row>
    <row r="216" spans="1:42" x14ac:dyDescent="0.25">
      <c r="A216" s="1">
        <v>45922</v>
      </c>
      <c r="B216" t="s">
        <v>47</v>
      </c>
      <c r="C216">
        <v>649163</v>
      </c>
      <c r="D216">
        <v>2023139789</v>
      </c>
      <c r="E216" t="s">
        <v>247</v>
      </c>
      <c r="F216" t="s">
        <v>248</v>
      </c>
      <c r="G216" t="s">
        <v>50</v>
      </c>
      <c r="H216" t="s">
        <v>77</v>
      </c>
      <c r="I216" t="s">
        <v>306</v>
      </c>
      <c r="J216" t="s">
        <v>307</v>
      </c>
      <c r="K216">
        <v>751867</v>
      </c>
      <c r="L216" t="s">
        <v>84</v>
      </c>
      <c r="M216" t="s">
        <v>85</v>
      </c>
      <c r="N216" t="s">
        <v>56</v>
      </c>
      <c r="O216" s="1">
        <v>45432</v>
      </c>
      <c r="P216" s="1">
        <v>45950</v>
      </c>
      <c r="Q216" s="2">
        <v>43.65</v>
      </c>
      <c r="R216">
        <v>1</v>
      </c>
      <c r="S216" t="s">
        <v>57</v>
      </c>
      <c r="T216" t="s">
        <v>58</v>
      </c>
      <c r="U216" s="4">
        <v>0.06</v>
      </c>
      <c r="V216" s="2">
        <v>0</v>
      </c>
      <c r="W216">
        <v>0</v>
      </c>
      <c r="X216" t="s">
        <v>59</v>
      </c>
      <c r="Y216" t="s">
        <v>60</v>
      </c>
      <c r="Z216">
        <v>0</v>
      </c>
      <c r="AA216" s="2">
        <v>0</v>
      </c>
      <c r="AB216" s="2">
        <v>0</v>
      </c>
      <c r="AC216" s="4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2.62</v>
      </c>
      <c r="AM216" s="2">
        <v>2.62</v>
      </c>
      <c r="AN216" s="2">
        <v>0</v>
      </c>
      <c r="AO216" s="2">
        <v>0</v>
      </c>
      <c r="AP216" s="2">
        <v>0</v>
      </c>
    </row>
    <row r="217" spans="1:42" x14ac:dyDescent="0.25">
      <c r="A217" s="1">
        <v>45922</v>
      </c>
      <c r="B217" t="s">
        <v>47</v>
      </c>
      <c r="C217">
        <v>649163</v>
      </c>
      <c r="D217">
        <v>2023230473</v>
      </c>
      <c r="E217" t="s">
        <v>334</v>
      </c>
      <c r="F217" t="s">
        <v>335</v>
      </c>
      <c r="G217" t="s">
        <v>50</v>
      </c>
      <c r="H217" t="s">
        <v>51</v>
      </c>
      <c r="I217" t="s">
        <v>306</v>
      </c>
      <c r="J217" t="s">
        <v>307</v>
      </c>
      <c r="K217">
        <v>702406</v>
      </c>
      <c r="L217" t="s">
        <v>54</v>
      </c>
      <c r="M217" t="s">
        <v>55</v>
      </c>
      <c r="N217" t="s">
        <v>56</v>
      </c>
      <c r="O217" s="1">
        <v>45436</v>
      </c>
      <c r="P217" s="1">
        <v>45954</v>
      </c>
      <c r="Q217" s="2">
        <v>40.119999999999997</v>
      </c>
      <c r="R217">
        <v>1</v>
      </c>
      <c r="S217" t="s">
        <v>57</v>
      </c>
      <c r="T217" t="s">
        <v>58</v>
      </c>
      <c r="U217" s="4">
        <v>0.06</v>
      </c>
      <c r="V217" s="2">
        <v>0</v>
      </c>
      <c r="W217">
        <v>0</v>
      </c>
      <c r="X217" t="s">
        <v>59</v>
      </c>
      <c r="Y217" t="s">
        <v>60</v>
      </c>
      <c r="Z217">
        <v>0</v>
      </c>
      <c r="AA217" s="2">
        <v>0</v>
      </c>
      <c r="AB217" s="2">
        <v>0</v>
      </c>
      <c r="AC217" s="4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2.41</v>
      </c>
      <c r="AM217" s="2">
        <v>2.41</v>
      </c>
      <c r="AN217" s="2">
        <v>0</v>
      </c>
      <c r="AO217" s="2">
        <v>0</v>
      </c>
      <c r="AP217" s="2">
        <v>0</v>
      </c>
    </row>
    <row r="218" spans="1:42" x14ac:dyDescent="0.25">
      <c r="A218" s="1">
        <v>45922</v>
      </c>
      <c r="B218" t="s">
        <v>47</v>
      </c>
      <c r="C218">
        <v>649163</v>
      </c>
      <c r="D218">
        <v>2023233680</v>
      </c>
      <c r="E218" t="s">
        <v>336</v>
      </c>
      <c r="F218" t="s">
        <v>337</v>
      </c>
      <c r="G218" t="s">
        <v>50</v>
      </c>
      <c r="H218" t="s">
        <v>93</v>
      </c>
      <c r="I218" t="s">
        <v>306</v>
      </c>
      <c r="J218" t="s">
        <v>307</v>
      </c>
      <c r="K218">
        <v>757719</v>
      </c>
      <c r="L218" t="s">
        <v>338</v>
      </c>
      <c r="M218" t="s">
        <v>339</v>
      </c>
      <c r="N218" t="s">
        <v>56</v>
      </c>
      <c r="O218" s="1">
        <v>45436</v>
      </c>
      <c r="P218" s="1">
        <v>45954</v>
      </c>
      <c r="Q218" s="2">
        <v>31.28</v>
      </c>
      <c r="R218">
        <v>1</v>
      </c>
      <c r="S218" t="s">
        <v>57</v>
      </c>
      <c r="T218" t="s">
        <v>58</v>
      </c>
      <c r="U218" s="4">
        <v>0.06</v>
      </c>
      <c r="V218" s="2">
        <v>0</v>
      </c>
      <c r="W218">
        <v>0</v>
      </c>
      <c r="X218" t="s">
        <v>59</v>
      </c>
      <c r="Y218" t="s">
        <v>60</v>
      </c>
      <c r="Z218">
        <v>0</v>
      </c>
      <c r="AA218" s="2">
        <v>0</v>
      </c>
      <c r="AB218" s="2">
        <v>0</v>
      </c>
      <c r="AC218" s="4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1.88</v>
      </c>
      <c r="AM218" s="2">
        <v>1.88</v>
      </c>
      <c r="AN218" s="2">
        <v>0</v>
      </c>
      <c r="AO218" s="2">
        <v>0</v>
      </c>
      <c r="AP218" s="2">
        <v>0</v>
      </c>
    </row>
    <row r="219" spans="1:42" x14ac:dyDescent="0.25">
      <c r="A219" s="1">
        <v>45922</v>
      </c>
      <c r="B219" t="s">
        <v>47</v>
      </c>
      <c r="C219">
        <v>649163</v>
      </c>
      <c r="D219">
        <v>2024049922</v>
      </c>
      <c r="E219" t="s">
        <v>340</v>
      </c>
      <c r="F219" t="s">
        <v>341</v>
      </c>
      <c r="G219" t="s">
        <v>50</v>
      </c>
      <c r="H219" t="s">
        <v>51</v>
      </c>
      <c r="I219" t="s">
        <v>306</v>
      </c>
      <c r="J219" t="s">
        <v>307</v>
      </c>
      <c r="K219">
        <v>702406</v>
      </c>
      <c r="L219" t="s">
        <v>54</v>
      </c>
      <c r="M219" t="s">
        <v>55</v>
      </c>
      <c r="N219" t="s">
        <v>56</v>
      </c>
      <c r="O219" s="1">
        <v>45497</v>
      </c>
      <c r="P219" s="1">
        <v>45954</v>
      </c>
      <c r="Q219" s="2">
        <v>40.119999999999997</v>
      </c>
      <c r="R219">
        <v>1</v>
      </c>
      <c r="S219" t="s">
        <v>57</v>
      </c>
      <c r="T219" t="s">
        <v>58</v>
      </c>
      <c r="U219" s="4">
        <v>0.06</v>
      </c>
      <c r="V219" s="2">
        <v>0</v>
      </c>
      <c r="W219">
        <v>0</v>
      </c>
      <c r="X219" t="s">
        <v>59</v>
      </c>
      <c r="Y219" t="s">
        <v>60</v>
      </c>
      <c r="Z219">
        <v>0</v>
      </c>
      <c r="AA219" s="2">
        <v>0</v>
      </c>
      <c r="AB219" s="2">
        <v>0</v>
      </c>
      <c r="AC219" s="4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2.41</v>
      </c>
      <c r="AM219" s="2">
        <v>2.41</v>
      </c>
      <c r="AN219" s="2">
        <v>0</v>
      </c>
      <c r="AO219" s="2">
        <v>0</v>
      </c>
      <c r="AP219" s="2">
        <v>0</v>
      </c>
    </row>
    <row r="220" spans="1:42" x14ac:dyDescent="0.25">
      <c r="A220" s="1">
        <v>45922</v>
      </c>
      <c r="B220" t="s">
        <v>47</v>
      </c>
      <c r="C220">
        <v>649163</v>
      </c>
      <c r="D220">
        <v>2024462650</v>
      </c>
      <c r="E220" t="s">
        <v>118</v>
      </c>
      <c r="F220" t="s">
        <v>85</v>
      </c>
      <c r="G220" t="s">
        <v>50</v>
      </c>
      <c r="H220" t="s">
        <v>93</v>
      </c>
      <c r="I220" t="s">
        <v>306</v>
      </c>
      <c r="J220" t="s">
        <v>307</v>
      </c>
      <c r="K220">
        <v>651818</v>
      </c>
      <c r="L220" t="s">
        <v>108</v>
      </c>
      <c r="M220" t="s">
        <v>109</v>
      </c>
      <c r="N220" t="s">
        <v>56</v>
      </c>
      <c r="O220" s="1">
        <v>45524</v>
      </c>
      <c r="P220" s="1">
        <v>45950</v>
      </c>
      <c r="Q220" s="2">
        <v>42.42</v>
      </c>
      <c r="R220">
        <v>1</v>
      </c>
      <c r="S220" t="s">
        <v>57</v>
      </c>
      <c r="T220" t="s">
        <v>58</v>
      </c>
      <c r="U220" s="4">
        <v>0.06</v>
      </c>
      <c r="V220" s="2">
        <v>0</v>
      </c>
      <c r="W220">
        <v>0</v>
      </c>
      <c r="X220" t="s">
        <v>59</v>
      </c>
      <c r="Y220" t="s">
        <v>60</v>
      </c>
      <c r="Z220">
        <v>0</v>
      </c>
      <c r="AA220" s="2">
        <v>0</v>
      </c>
      <c r="AB220" s="2">
        <v>0</v>
      </c>
      <c r="AC220" s="4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2.5499999999999998</v>
      </c>
      <c r="AM220" s="2">
        <v>2.5499999999999998</v>
      </c>
      <c r="AN220" s="2">
        <v>0</v>
      </c>
      <c r="AO220" s="2">
        <v>0</v>
      </c>
      <c r="AP220" s="2">
        <v>0</v>
      </c>
    </row>
    <row r="221" spans="1:42" x14ac:dyDescent="0.25">
      <c r="A221" s="1">
        <v>45922</v>
      </c>
      <c r="B221" t="s">
        <v>47</v>
      </c>
      <c r="C221">
        <v>649163</v>
      </c>
      <c r="D221">
        <v>2024489047</v>
      </c>
      <c r="E221" t="s">
        <v>342</v>
      </c>
      <c r="F221" t="s">
        <v>123</v>
      </c>
      <c r="G221" t="s">
        <v>50</v>
      </c>
      <c r="H221" t="s">
        <v>51</v>
      </c>
      <c r="I221" t="s">
        <v>306</v>
      </c>
      <c r="J221" t="s">
        <v>307</v>
      </c>
      <c r="K221">
        <v>702406</v>
      </c>
      <c r="L221" t="s">
        <v>54</v>
      </c>
      <c r="M221" t="s">
        <v>55</v>
      </c>
      <c r="N221" t="s">
        <v>56</v>
      </c>
      <c r="O221" s="1">
        <v>45526</v>
      </c>
      <c r="P221" s="1">
        <v>45952</v>
      </c>
      <c r="Q221" s="2">
        <v>47.29</v>
      </c>
      <c r="R221">
        <v>1</v>
      </c>
      <c r="S221" t="s">
        <v>57</v>
      </c>
      <c r="T221" t="s">
        <v>58</v>
      </c>
      <c r="U221" s="4">
        <v>0.06</v>
      </c>
      <c r="V221" s="2">
        <v>0</v>
      </c>
      <c r="W221">
        <v>0</v>
      </c>
      <c r="X221" t="s">
        <v>59</v>
      </c>
      <c r="Y221" t="s">
        <v>60</v>
      </c>
      <c r="Z221">
        <v>0</v>
      </c>
      <c r="AA221" s="2">
        <v>0</v>
      </c>
      <c r="AB221" s="2">
        <v>0</v>
      </c>
      <c r="AC221" s="4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2.84</v>
      </c>
      <c r="AM221" s="2">
        <v>2.84</v>
      </c>
      <c r="AN221" s="2">
        <v>0</v>
      </c>
      <c r="AO221" s="2">
        <v>0</v>
      </c>
      <c r="AP221" s="2">
        <v>0</v>
      </c>
    </row>
    <row r="222" spans="1:42" x14ac:dyDescent="0.25">
      <c r="A222" s="1">
        <v>45922</v>
      </c>
      <c r="B222" t="s">
        <v>47</v>
      </c>
      <c r="C222">
        <v>649163</v>
      </c>
      <c r="D222">
        <v>2025028098</v>
      </c>
      <c r="E222" t="s">
        <v>343</v>
      </c>
      <c r="F222" t="s">
        <v>344</v>
      </c>
      <c r="G222" t="s">
        <v>50</v>
      </c>
      <c r="H222" t="s">
        <v>63</v>
      </c>
      <c r="I222" t="s">
        <v>306</v>
      </c>
      <c r="J222" t="s">
        <v>307</v>
      </c>
      <c r="K222">
        <v>673059</v>
      </c>
      <c r="L222" t="s">
        <v>152</v>
      </c>
      <c r="M222" t="s">
        <v>153</v>
      </c>
      <c r="N222" t="s">
        <v>56</v>
      </c>
      <c r="O222" s="1">
        <v>45561</v>
      </c>
      <c r="P222" s="1">
        <v>45956</v>
      </c>
      <c r="Q222" s="2">
        <v>37.840000000000003</v>
      </c>
      <c r="R222">
        <v>1</v>
      </c>
      <c r="S222" t="s">
        <v>57</v>
      </c>
      <c r="T222" t="s">
        <v>58</v>
      </c>
      <c r="U222" s="4">
        <v>0.06</v>
      </c>
      <c r="V222" s="2">
        <v>0</v>
      </c>
      <c r="W222">
        <v>0</v>
      </c>
      <c r="X222" t="s">
        <v>59</v>
      </c>
      <c r="Y222" t="s">
        <v>60</v>
      </c>
      <c r="Z222">
        <v>0</v>
      </c>
      <c r="AA222" s="2">
        <v>0</v>
      </c>
      <c r="AB222" s="2">
        <v>0</v>
      </c>
      <c r="AC222" s="4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2.27</v>
      </c>
      <c r="AM222" s="2">
        <v>2.27</v>
      </c>
      <c r="AN222" s="2">
        <v>0</v>
      </c>
      <c r="AO222" s="2">
        <v>0</v>
      </c>
      <c r="AP222" s="2">
        <v>0</v>
      </c>
    </row>
    <row r="223" spans="1:42" x14ac:dyDescent="0.25">
      <c r="A223" s="1">
        <v>45922</v>
      </c>
      <c r="B223" t="s">
        <v>47</v>
      </c>
      <c r="C223">
        <v>649163</v>
      </c>
      <c r="D223">
        <v>2025154617</v>
      </c>
      <c r="E223" t="s">
        <v>345</v>
      </c>
      <c r="F223" t="s">
        <v>346</v>
      </c>
      <c r="G223" t="s">
        <v>50</v>
      </c>
      <c r="H223" t="s">
        <v>115</v>
      </c>
      <c r="I223" t="s">
        <v>306</v>
      </c>
      <c r="J223" t="s">
        <v>307</v>
      </c>
      <c r="K223">
        <v>767312</v>
      </c>
      <c r="L223" t="s">
        <v>122</v>
      </c>
      <c r="M223" t="s">
        <v>123</v>
      </c>
      <c r="N223" t="s">
        <v>56</v>
      </c>
      <c r="O223" s="1">
        <v>45581</v>
      </c>
      <c r="P223" s="1">
        <v>45946</v>
      </c>
      <c r="Q223" s="2">
        <v>-27.52</v>
      </c>
      <c r="R223">
        <v>1</v>
      </c>
      <c r="S223" t="s">
        <v>57</v>
      </c>
      <c r="T223" t="s">
        <v>58</v>
      </c>
      <c r="U223" s="3">
        <v>0.375</v>
      </c>
      <c r="V223" s="2">
        <v>0</v>
      </c>
      <c r="W223">
        <v>-1</v>
      </c>
      <c r="X223" t="s">
        <v>70</v>
      </c>
      <c r="Y223" t="s">
        <v>60</v>
      </c>
      <c r="Z223">
        <v>0</v>
      </c>
      <c r="AA223" s="2">
        <v>0</v>
      </c>
      <c r="AB223" s="2">
        <v>0</v>
      </c>
      <c r="AC223" s="4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-10.32</v>
      </c>
      <c r="AM223" s="2">
        <v>-10.32</v>
      </c>
      <c r="AN223" s="2">
        <v>0</v>
      </c>
      <c r="AO223" s="2">
        <v>0</v>
      </c>
      <c r="AP223" s="2">
        <v>0</v>
      </c>
    </row>
    <row r="224" spans="1:42" x14ac:dyDescent="0.25">
      <c r="A224" s="1">
        <v>45922</v>
      </c>
      <c r="B224" t="s">
        <v>47</v>
      </c>
      <c r="C224">
        <v>649163</v>
      </c>
      <c r="D224">
        <v>2025233515</v>
      </c>
      <c r="E224" t="s">
        <v>119</v>
      </c>
      <c r="F224" t="s">
        <v>120</v>
      </c>
      <c r="G224" t="s">
        <v>50</v>
      </c>
      <c r="H224" t="s">
        <v>121</v>
      </c>
      <c r="I224" t="s">
        <v>306</v>
      </c>
      <c r="J224" t="s">
        <v>307</v>
      </c>
      <c r="K224">
        <v>767312</v>
      </c>
      <c r="L224" t="s">
        <v>122</v>
      </c>
      <c r="M224" t="s">
        <v>123</v>
      </c>
      <c r="N224" t="s">
        <v>56</v>
      </c>
      <c r="O224" s="1">
        <v>45586</v>
      </c>
      <c r="P224" s="1">
        <v>45951</v>
      </c>
      <c r="Q224" s="2">
        <v>26.74</v>
      </c>
      <c r="R224">
        <v>1</v>
      </c>
      <c r="S224" t="s">
        <v>57</v>
      </c>
      <c r="T224" t="s">
        <v>58</v>
      </c>
      <c r="U224" s="3">
        <v>0.375</v>
      </c>
      <c r="V224" s="2">
        <v>0</v>
      </c>
      <c r="W224">
        <v>0</v>
      </c>
      <c r="X224" t="s">
        <v>70</v>
      </c>
      <c r="Y224" t="s">
        <v>60</v>
      </c>
      <c r="Z224">
        <v>0</v>
      </c>
      <c r="AA224" s="2">
        <v>0</v>
      </c>
      <c r="AB224" s="2">
        <v>0</v>
      </c>
      <c r="AC224" s="4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10.029999999999999</v>
      </c>
      <c r="AM224" s="2">
        <v>10.029999999999999</v>
      </c>
      <c r="AN224" s="2">
        <v>0</v>
      </c>
      <c r="AO224" s="2">
        <v>0</v>
      </c>
      <c r="AP224" s="2">
        <v>0</v>
      </c>
    </row>
    <row r="225" spans="1:42" x14ac:dyDescent="0.25">
      <c r="A225" s="1">
        <v>45922</v>
      </c>
      <c r="B225" t="s">
        <v>47</v>
      </c>
      <c r="C225">
        <v>649163</v>
      </c>
      <c r="D225">
        <v>2026146810</v>
      </c>
      <c r="E225" t="s">
        <v>253</v>
      </c>
      <c r="F225" t="s">
        <v>254</v>
      </c>
      <c r="G225" t="s">
        <v>50</v>
      </c>
      <c r="H225" t="s">
        <v>255</v>
      </c>
      <c r="I225" t="s">
        <v>306</v>
      </c>
      <c r="J225" t="s">
        <v>307</v>
      </c>
      <c r="K225">
        <v>650218</v>
      </c>
      <c r="L225" t="s">
        <v>73</v>
      </c>
      <c r="M225" t="s">
        <v>74</v>
      </c>
      <c r="N225" t="s">
        <v>56</v>
      </c>
      <c r="O225" s="1">
        <v>45658</v>
      </c>
      <c r="P225" s="1">
        <v>45931</v>
      </c>
      <c r="Q225" s="2">
        <v>57.77</v>
      </c>
      <c r="R225">
        <v>1</v>
      </c>
      <c r="S225" t="s">
        <v>57</v>
      </c>
      <c r="T225" t="s">
        <v>58</v>
      </c>
      <c r="U225" s="3">
        <v>0.375</v>
      </c>
      <c r="V225" s="2">
        <v>0</v>
      </c>
      <c r="W225">
        <v>0</v>
      </c>
      <c r="X225" t="s">
        <v>70</v>
      </c>
      <c r="Y225" t="s">
        <v>60</v>
      </c>
      <c r="Z225">
        <v>0</v>
      </c>
      <c r="AA225" s="2">
        <v>0</v>
      </c>
      <c r="AB225" s="2">
        <v>0</v>
      </c>
      <c r="AC225" s="4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21.66</v>
      </c>
      <c r="AM225" s="2">
        <v>21.66</v>
      </c>
      <c r="AN225" s="2">
        <v>0</v>
      </c>
      <c r="AO225" s="2">
        <v>0</v>
      </c>
      <c r="AP225" s="2">
        <v>0</v>
      </c>
    </row>
    <row r="226" spans="1:42" x14ac:dyDescent="0.25">
      <c r="A226" s="1">
        <v>45922</v>
      </c>
      <c r="B226" t="s">
        <v>47</v>
      </c>
      <c r="C226">
        <v>649163</v>
      </c>
      <c r="D226">
        <v>2026265883</v>
      </c>
      <c r="E226" t="s">
        <v>154</v>
      </c>
      <c r="F226" t="s">
        <v>256</v>
      </c>
      <c r="G226" t="s">
        <v>50</v>
      </c>
      <c r="H226" t="s">
        <v>115</v>
      </c>
      <c r="I226" t="s">
        <v>306</v>
      </c>
      <c r="J226" t="s">
        <v>307</v>
      </c>
      <c r="K226">
        <v>756418</v>
      </c>
      <c r="L226" t="s">
        <v>257</v>
      </c>
      <c r="M226" t="s">
        <v>258</v>
      </c>
      <c r="N226" t="s">
        <v>56</v>
      </c>
      <c r="O226" s="1">
        <v>45647</v>
      </c>
      <c r="P226" s="1">
        <v>45951</v>
      </c>
      <c r="Q226" s="2">
        <v>53.2</v>
      </c>
      <c r="R226">
        <v>1</v>
      </c>
      <c r="S226" t="s">
        <v>57</v>
      </c>
      <c r="T226" t="s">
        <v>58</v>
      </c>
      <c r="U226" s="3">
        <v>0.375</v>
      </c>
      <c r="V226" s="2">
        <v>0</v>
      </c>
      <c r="W226">
        <v>0</v>
      </c>
      <c r="X226" t="s">
        <v>70</v>
      </c>
      <c r="Y226" t="s">
        <v>60</v>
      </c>
      <c r="Z226">
        <v>0</v>
      </c>
      <c r="AA226" s="2">
        <v>0</v>
      </c>
      <c r="AB226" s="2">
        <v>0</v>
      </c>
      <c r="AC226" s="4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19.95</v>
      </c>
      <c r="AM226" s="2">
        <v>19.95</v>
      </c>
      <c r="AN226" s="2">
        <v>0</v>
      </c>
      <c r="AO226" s="2">
        <v>0</v>
      </c>
      <c r="AP226" s="2">
        <v>0</v>
      </c>
    </row>
    <row r="227" spans="1:42" x14ac:dyDescent="0.25">
      <c r="A227" s="1">
        <v>45922</v>
      </c>
      <c r="B227" t="s">
        <v>47</v>
      </c>
      <c r="C227">
        <v>649163</v>
      </c>
      <c r="D227">
        <v>2026421757</v>
      </c>
      <c r="E227" t="s">
        <v>277</v>
      </c>
      <c r="F227" t="s">
        <v>347</v>
      </c>
      <c r="G227" t="s">
        <v>50</v>
      </c>
      <c r="H227" t="s">
        <v>151</v>
      </c>
      <c r="I227" t="s">
        <v>306</v>
      </c>
      <c r="J227" t="s">
        <v>307</v>
      </c>
      <c r="K227">
        <v>673059</v>
      </c>
      <c r="L227" t="s">
        <v>152</v>
      </c>
      <c r="M227" t="s">
        <v>153</v>
      </c>
      <c r="N227" t="s">
        <v>56</v>
      </c>
      <c r="O227" s="1">
        <v>45689</v>
      </c>
      <c r="P227" s="1">
        <v>45931</v>
      </c>
      <c r="Q227" s="2">
        <v>-25.6</v>
      </c>
      <c r="R227">
        <v>1</v>
      </c>
      <c r="S227" t="s">
        <v>57</v>
      </c>
      <c r="T227" t="s">
        <v>58</v>
      </c>
      <c r="U227" s="3">
        <v>0.375</v>
      </c>
      <c r="V227" s="2">
        <v>0</v>
      </c>
      <c r="W227">
        <v>-1</v>
      </c>
      <c r="X227" t="s">
        <v>70</v>
      </c>
      <c r="Y227" t="s">
        <v>60</v>
      </c>
      <c r="Z227">
        <v>0</v>
      </c>
      <c r="AA227" s="2">
        <v>0</v>
      </c>
      <c r="AB227" s="2">
        <v>0</v>
      </c>
      <c r="AC227" s="4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-9.6</v>
      </c>
      <c r="AM227" s="2">
        <v>-9.6</v>
      </c>
      <c r="AN227" s="2">
        <v>0</v>
      </c>
      <c r="AO227" s="2">
        <v>0</v>
      </c>
      <c r="AP227" s="2">
        <v>0</v>
      </c>
    </row>
    <row r="228" spans="1:42" x14ac:dyDescent="0.25">
      <c r="A228" s="1">
        <v>45922</v>
      </c>
      <c r="B228" t="s">
        <v>47</v>
      </c>
      <c r="C228">
        <v>649163</v>
      </c>
      <c r="D228">
        <v>2026594776</v>
      </c>
      <c r="E228" t="s">
        <v>348</v>
      </c>
      <c r="F228" t="s">
        <v>349</v>
      </c>
      <c r="G228" t="s">
        <v>50</v>
      </c>
      <c r="H228" t="s">
        <v>93</v>
      </c>
      <c r="I228" t="s">
        <v>306</v>
      </c>
      <c r="J228" t="s">
        <v>307</v>
      </c>
      <c r="K228">
        <v>673059</v>
      </c>
      <c r="L228" t="s">
        <v>152</v>
      </c>
      <c r="M228" t="s">
        <v>153</v>
      </c>
      <c r="N228" t="s">
        <v>56</v>
      </c>
      <c r="O228" s="1">
        <v>45678</v>
      </c>
      <c r="P228" s="1">
        <v>45951</v>
      </c>
      <c r="Q228" s="2">
        <v>57.11</v>
      </c>
      <c r="R228">
        <v>1</v>
      </c>
      <c r="S228" t="s">
        <v>57</v>
      </c>
      <c r="T228" t="s">
        <v>58</v>
      </c>
      <c r="U228" s="3">
        <v>0.375</v>
      </c>
      <c r="V228" s="2">
        <v>0</v>
      </c>
      <c r="W228">
        <v>0</v>
      </c>
      <c r="X228" t="s">
        <v>70</v>
      </c>
      <c r="Y228" t="s">
        <v>60</v>
      </c>
      <c r="Z228">
        <v>0</v>
      </c>
      <c r="AA228" s="2">
        <v>0</v>
      </c>
      <c r="AB228" s="2">
        <v>0</v>
      </c>
      <c r="AC228" s="4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21.42</v>
      </c>
      <c r="AM228" s="2">
        <v>21.42</v>
      </c>
      <c r="AN228" s="2">
        <v>0</v>
      </c>
      <c r="AO228" s="2">
        <v>0</v>
      </c>
      <c r="AP228" s="2">
        <v>0</v>
      </c>
    </row>
    <row r="229" spans="1:42" x14ac:dyDescent="0.25">
      <c r="A229" s="1">
        <v>45922</v>
      </c>
      <c r="B229" t="s">
        <v>47</v>
      </c>
      <c r="C229">
        <v>649163</v>
      </c>
      <c r="D229">
        <v>2026650736</v>
      </c>
      <c r="E229" t="s">
        <v>350</v>
      </c>
      <c r="F229" t="s">
        <v>351</v>
      </c>
      <c r="G229" t="s">
        <v>50</v>
      </c>
      <c r="H229" t="s">
        <v>93</v>
      </c>
      <c r="I229" t="s">
        <v>306</v>
      </c>
      <c r="J229" t="s">
        <v>307</v>
      </c>
      <c r="K229">
        <v>766747</v>
      </c>
      <c r="L229" t="s">
        <v>352</v>
      </c>
      <c r="M229" t="s">
        <v>49</v>
      </c>
      <c r="N229" t="s">
        <v>56</v>
      </c>
      <c r="O229" s="1">
        <v>45677</v>
      </c>
      <c r="P229" s="1">
        <v>45950</v>
      </c>
      <c r="Q229" s="2">
        <v>150.44999999999999</v>
      </c>
      <c r="R229">
        <v>1</v>
      </c>
      <c r="S229" t="s">
        <v>57</v>
      </c>
      <c r="T229" t="s">
        <v>58</v>
      </c>
      <c r="U229" s="3">
        <v>0.375</v>
      </c>
      <c r="V229" s="2">
        <v>0</v>
      </c>
      <c r="W229">
        <v>0</v>
      </c>
      <c r="X229" t="s">
        <v>70</v>
      </c>
      <c r="Y229" t="s">
        <v>60</v>
      </c>
      <c r="Z229">
        <v>0</v>
      </c>
      <c r="AA229" s="2">
        <v>0</v>
      </c>
      <c r="AB229" s="2">
        <v>0</v>
      </c>
      <c r="AC229" s="4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56.42</v>
      </c>
      <c r="AM229" s="2">
        <v>56.42</v>
      </c>
      <c r="AN229" s="2">
        <v>0</v>
      </c>
      <c r="AO229" s="2">
        <v>0</v>
      </c>
      <c r="AP229" s="2">
        <v>0</v>
      </c>
    </row>
    <row r="230" spans="1:42" x14ac:dyDescent="0.25">
      <c r="A230" s="1">
        <v>45922</v>
      </c>
      <c r="B230" t="s">
        <v>47</v>
      </c>
      <c r="C230">
        <v>649163</v>
      </c>
      <c r="D230">
        <v>2026669940</v>
      </c>
      <c r="E230" t="s">
        <v>147</v>
      </c>
      <c r="F230" t="s">
        <v>148</v>
      </c>
      <c r="G230" t="s">
        <v>50</v>
      </c>
      <c r="H230" t="s">
        <v>77</v>
      </c>
      <c r="I230" t="s">
        <v>306</v>
      </c>
      <c r="J230" t="s">
        <v>307</v>
      </c>
      <c r="K230">
        <v>767312</v>
      </c>
      <c r="L230" t="s">
        <v>122</v>
      </c>
      <c r="M230" t="s">
        <v>123</v>
      </c>
      <c r="N230" t="s">
        <v>56</v>
      </c>
      <c r="O230" s="1">
        <v>45677</v>
      </c>
      <c r="P230" s="1">
        <v>45950</v>
      </c>
      <c r="Q230" s="2">
        <v>24.7</v>
      </c>
      <c r="R230">
        <v>1</v>
      </c>
      <c r="S230" t="s">
        <v>57</v>
      </c>
      <c r="T230" t="s">
        <v>58</v>
      </c>
      <c r="U230" s="3">
        <v>0.375</v>
      </c>
      <c r="V230" s="2">
        <v>0</v>
      </c>
      <c r="W230">
        <v>0</v>
      </c>
      <c r="X230" t="s">
        <v>70</v>
      </c>
      <c r="Y230" t="s">
        <v>60</v>
      </c>
      <c r="Z230">
        <v>0</v>
      </c>
      <c r="AA230" s="2">
        <v>0</v>
      </c>
      <c r="AB230" s="2">
        <v>0</v>
      </c>
      <c r="AC230" s="4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9.26</v>
      </c>
      <c r="AM230" s="2">
        <v>9.26</v>
      </c>
      <c r="AN230" s="2">
        <v>0</v>
      </c>
      <c r="AO230" s="2">
        <v>0</v>
      </c>
      <c r="AP230" s="2">
        <v>0</v>
      </c>
    </row>
    <row r="231" spans="1:42" x14ac:dyDescent="0.25">
      <c r="A231" s="1">
        <v>45922</v>
      </c>
      <c r="B231" t="s">
        <v>47</v>
      </c>
      <c r="C231">
        <v>649163</v>
      </c>
      <c r="D231">
        <v>2026682935</v>
      </c>
      <c r="E231" t="s">
        <v>353</v>
      </c>
      <c r="F231" t="s">
        <v>354</v>
      </c>
      <c r="G231" t="s">
        <v>50</v>
      </c>
      <c r="H231" t="s">
        <v>51</v>
      </c>
      <c r="I231" t="s">
        <v>306</v>
      </c>
      <c r="J231" t="s">
        <v>307</v>
      </c>
      <c r="K231">
        <v>728134</v>
      </c>
      <c r="L231" t="s">
        <v>322</v>
      </c>
      <c r="M231" t="s">
        <v>323</v>
      </c>
      <c r="N231" t="s">
        <v>56</v>
      </c>
      <c r="O231" s="1">
        <v>45678</v>
      </c>
      <c r="P231" s="1">
        <v>45951</v>
      </c>
      <c r="Q231" s="2">
        <v>39.979999999999997</v>
      </c>
      <c r="R231">
        <v>1</v>
      </c>
      <c r="S231" t="s">
        <v>57</v>
      </c>
      <c r="T231" t="s">
        <v>58</v>
      </c>
      <c r="U231" s="3">
        <v>0.375</v>
      </c>
      <c r="V231" s="2">
        <v>0</v>
      </c>
      <c r="W231">
        <v>0</v>
      </c>
      <c r="X231" t="s">
        <v>70</v>
      </c>
      <c r="Y231" t="s">
        <v>60</v>
      </c>
      <c r="Z231">
        <v>0</v>
      </c>
      <c r="AA231" s="2">
        <v>0</v>
      </c>
      <c r="AB231" s="2">
        <v>0</v>
      </c>
      <c r="AC231" s="4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14.99</v>
      </c>
      <c r="AM231" s="2">
        <v>14.99</v>
      </c>
      <c r="AN231" s="2">
        <v>0</v>
      </c>
      <c r="AO231" s="2">
        <v>0</v>
      </c>
      <c r="AP231" s="2">
        <v>0</v>
      </c>
    </row>
    <row r="232" spans="1:42" x14ac:dyDescent="0.25">
      <c r="A232" s="1">
        <v>45922</v>
      </c>
      <c r="B232" t="s">
        <v>47</v>
      </c>
      <c r="C232">
        <v>649163</v>
      </c>
      <c r="D232">
        <v>2026696631</v>
      </c>
      <c r="E232" t="s">
        <v>355</v>
      </c>
      <c r="F232" t="s">
        <v>356</v>
      </c>
      <c r="G232" t="s">
        <v>50</v>
      </c>
      <c r="H232" t="s">
        <v>51</v>
      </c>
      <c r="I232" t="s">
        <v>306</v>
      </c>
      <c r="J232" t="s">
        <v>307</v>
      </c>
      <c r="K232">
        <v>728134</v>
      </c>
      <c r="L232" t="s">
        <v>322</v>
      </c>
      <c r="M232" t="s">
        <v>323</v>
      </c>
      <c r="N232" t="s">
        <v>56</v>
      </c>
      <c r="O232" s="1">
        <v>45679</v>
      </c>
      <c r="P232" s="1">
        <v>45952</v>
      </c>
      <c r="Q232" s="2">
        <v>81.58</v>
      </c>
      <c r="R232">
        <v>1</v>
      </c>
      <c r="S232" t="s">
        <v>57</v>
      </c>
      <c r="T232" t="s">
        <v>58</v>
      </c>
      <c r="U232" s="3">
        <v>0.375</v>
      </c>
      <c r="V232" s="2">
        <v>0</v>
      </c>
      <c r="W232">
        <v>0</v>
      </c>
      <c r="X232" t="s">
        <v>70</v>
      </c>
      <c r="Y232" t="s">
        <v>60</v>
      </c>
      <c r="Z232">
        <v>0</v>
      </c>
      <c r="AA232" s="2">
        <v>0</v>
      </c>
      <c r="AB232" s="2">
        <v>0</v>
      </c>
      <c r="AC232" s="4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30.59</v>
      </c>
      <c r="AM232" s="2">
        <v>30.59</v>
      </c>
      <c r="AN232" s="2">
        <v>0</v>
      </c>
      <c r="AO232" s="2">
        <v>0</v>
      </c>
      <c r="AP232" s="2">
        <v>0</v>
      </c>
    </row>
    <row r="233" spans="1:42" x14ac:dyDescent="0.25">
      <c r="A233" s="1">
        <v>45922</v>
      </c>
      <c r="B233" t="s">
        <v>47</v>
      </c>
      <c r="C233">
        <v>649163</v>
      </c>
      <c r="D233">
        <v>2026757479</v>
      </c>
      <c r="E233" t="s">
        <v>357</v>
      </c>
      <c r="F233" t="s">
        <v>277</v>
      </c>
      <c r="G233" t="s">
        <v>50</v>
      </c>
      <c r="H233" t="s">
        <v>151</v>
      </c>
      <c r="I233" t="s">
        <v>306</v>
      </c>
      <c r="J233" t="s">
        <v>307</v>
      </c>
      <c r="K233">
        <v>650794</v>
      </c>
      <c r="L233" t="s">
        <v>309</v>
      </c>
      <c r="M233" t="s">
        <v>310</v>
      </c>
      <c r="N233" t="s">
        <v>56</v>
      </c>
      <c r="O233" s="1">
        <v>45682</v>
      </c>
      <c r="P233" s="1">
        <v>45955</v>
      </c>
      <c r="Q233" s="2">
        <v>61.9</v>
      </c>
      <c r="R233">
        <v>1</v>
      </c>
      <c r="S233" t="s">
        <v>57</v>
      </c>
      <c r="T233" t="s">
        <v>58</v>
      </c>
      <c r="U233" s="3">
        <v>0.375</v>
      </c>
      <c r="V233" s="2">
        <v>0</v>
      </c>
      <c r="W233">
        <v>0</v>
      </c>
      <c r="X233" t="s">
        <v>70</v>
      </c>
      <c r="Y233" t="s">
        <v>60</v>
      </c>
      <c r="Z233">
        <v>0</v>
      </c>
      <c r="AA233" s="2">
        <v>0</v>
      </c>
      <c r="AB233" s="2">
        <v>0</v>
      </c>
      <c r="AC233" s="4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23.21</v>
      </c>
      <c r="AM233" s="2">
        <v>23.21</v>
      </c>
      <c r="AN233" s="2">
        <v>0</v>
      </c>
      <c r="AO233" s="2">
        <v>0</v>
      </c>
      <c r="AP233" s="2">
        <v>0</v>
      </c>
    </row>
    <row r="234" spans="1:42" x14ac:dyDescent="0.25">
      <c r="A234" s="1">
        <v>45922</v>
      </c>
      <c r="B234" t="s">
        <v>47</v>
      </c>
      <c r="C234">
        <v>649163</v>
      </c>
      <c r="D234">
        <v>2026760029</v>
      </c>
      <c r="E234" t="s">
        <v>358</v>
      </c>
      <c r="F234" t="s">
        <v>359</v>
      </c>
      <c r="G234" t="s">
        <v>50</v>
      </c>
      <c r="H234" t="s">
        <v>360</v>
      </c>
      <c r="I234" t="s">
        <v>306</v>
      </c>
      <c r="J234" t="s">
        <v>307</v>
      </c>
      <c r="K234">
        <v>767312</v>
      </c>
      <c r="L234" t="s">
        <v>122</v>
      </c>
      <c r="M234" t="s">
        <v>123</v>
      </c>
      <c r="N234" t="s">
        <v>56</v>
      </c>
      <c r="O234" s="1">
        <v>45682</v>
      </c>
      <c r="P234" s="1">
        <v>45955</v>
      </c>
      <c r="Q234" s="2">
        <v>22.84</v>
      </c>
      <c r="R234">
        <v>1</v>
      </c>
      <c r="S234" t="s">
        <v>57</v>
      </c>
      <c r="T234" t="s">
        <v>58</v>
      </c>
      <c r="U234" s="3">
        <v>0.375</v>
      </c>
      <c r="V234" s="2">
        <v>0</v>
      </c>
      <c r="W234">
        <v>0</v>
      </c>
      <c r="X234" t="s">
        <v>70</v>
      </c>
      <c r="Y234" t="s">
        <v>60</v>
      </c>
      <c r="Z234">
        <v>0</v>
      </c>
      <c r="AA234" s="2">
        <v>0</v>
      </c>
      <c r="AB234" s="2">
        <v>0</v>
      </c>
      <c r="AC234" s="4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8.56</v>
      </c>
      <c r="AM234" s="2">
        <v>8.56</v>
      </c>
      <c r="AN234" s="2">
        <v>0</v>
      </c>
      <c r="AO234" s="2">
        <v>0</v>
      </c>
      <c r="AP234" s="2">
        <v>0</v>
      </c>
    </row>
    <row r="235" spans="1:42" x14ac:dyDescent="0.25">
      <c r="A235" s="1">
        <v>45922</v>
      </c>
      <c r="B235" t="s">
        <v>47</v>
      </c>
      <c r="C235">
        <v>649163</v>
      </c>
      <c r="D235">
        <v>2026783378</v>
      </c>
      <c r="E235" t="s">
        <v>149</v>
      </c>
      <c r="F235" t="s">
        <v>150</v>
      </c>
      <c r="G235" t="s">
        <v>50</v>
      </c>
      <c r="H235" t="s">
        <v>151</v>
      </c>
      <c r="I235" t="s">
        <v>306</v>
      </c>
      <c r="J235" t="s">
        <v>307</v>
      </c>
      <c r="K235">
        <v>673059</v>
      </c>
      <c r="L235" t="s">
        <v>152</v>
      </c>
      <c r="M235" t="s">
        <v>153</v>
      </c>
      <c r="N235" t="s">
        <v>56</v>
      </c>
      <c r="O235" s="1">
        <v>45709</v>
      </c>
      <c r="P235" s="1">
        <v>45951</v>
      </c>
      <c r="Q235" s="2">
        <v>54.86</v>
      </c>
      <c r="R235">
        <v>1</v>
      </c>
      <c r="S235" t="s">
        <v>57</v>
      </c>
      <c r="T235" t="s">
        <v>58</v>
      </c>
      <c r="U235" s="3">
        <v>0.375</v>
      </c>
      <c r="V235" s="2">
        <v>0</v>
      </c>
      <c r="W235">
        <v>0</v>
      </c>
      <c r="X235" t="s">
        <v>70</v>
      </c>
      <c r="Y235" t="s">
        <v>60</v>
      </c>
      <c r="Z235">
        <v>0</v>
      </c>
      <c r="AA235" s="2">
        <v>0</v>
      </c>
      <c r="AB235" s="2">
        <v>0</v>
      </c>
      <c r="AC235" s="4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20.57</v>
      </c>
      <c r="AM235" s="2">
        <v>20.57</v>
      </c>
      <c r="AN235" s="2">
        <v>0</v>
      </c>
      <c r="AO235" s="2">
        <v>0</v>
      </c>
      <c r="AP235" s="2">
        <v>0</v>
      </c>
    </row>
    <row r="236" spans="1:42" x14ac:dyDescent="0.25">
      <c r="A236" s="1">
        <v>45922</v>
      </c>
      <c r="B236" t="s">
        <v>47</v>
      </c>
      <c r="C236">
        <v>649163</v>
      </c>
      <c r="D236">
        <v>2027321380</v>
      </c>
      <c r="E236" t="s">
        <v>361</v>
      </c>
      <c r="F236" t="s">
        <v>362</v>
      </c>
      <c r="G236" t="s">
        <v>50</v>
      </c>
      <c r="H236" t="s">
        <v>93</v>
      </c>
      <c r="I236" t="s">
        <v>306</v>
      </c>
      <c r="J236" t="s">
        <v>307</v>
      </c>
      <c r="K236">
        <v>673059</v>
      </c>
      <c r="L236" t="s">
        <v>152</v>
      </c>
      <c r="M236" t="s">
        <v>153</v>
      </c>
      <c r="N236" t="s">
        <v>56</v>
      </c>
      <c r="O236" s="1">
        <v>45713</v>
      </c>
      <c r="P236" s="1">
        <v>45955</v>
      </c>
      <c r="Q236" s="2">
        <v>27.64</v>
      </c>
      <c r="R236">
        <v>1</v>
      </c>
      <c r="S236" t="s">
        <v>57</v>
      </c>
      <c r="T236" t="s">
        <v>58</v>
      </c>
      <c r="U236" s="3">
        <v>0.375</v>
      </c>
      <c r="V236" s="2">
        <v>0</v>
      </c>
      <c r="W236">
        <v>0</v>
      </c>
      <c r="X236" t="s">
        <v>70</v>
      </c>
      <c r="Y236" t="s">
        <v>60</v>
      </c>
      <c r="Z236">
        <v>0</v>
      </c>
      <c r="AA236" s="2">
        <v>0</v>
      </c>
      <c r="AB236" s="2">
        <v>0</v>
      </c>
      <c r="AC236" s="4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10.36</v>
      </c>
      <c r="AM236" s="2">
        <v>10.36</v>
      </c>
      <c r="AN236" s="2">
        <v>0</v>
      </c>
      <c r="AO236" s="2">
        <v>0</v>
      </c>
      <c r="AP236" s="2">
        <v>0</v>
      </c>
    </row>
    <row r="237" spans="1:42" x14ac:dyDescent="0.25">
      <c r="A237" s="1">
        <v>45922</v>
      </c>
      <c r="B237" t="s">
        <v>47</v>
      </c>
      <c r="C237">
        <v>649163</v>
      </c>
      <c r="D237">
        <v>2027343741</v>
      </c>
      <c r="E237" t="s">
        <v>363</v>
      </c>
      <c r="F237" t="s">
        <v>364</v>
      </c>
      <c r="G237" t="s">
        <v>50</v>
      </c>
      <c r="H237" t="s">
        <v>188</v>
      </c>
      <c r="I237" t="s">
        <v>306</v>
      </c>
      <c r="J237" t="s">
        <v>307</v>
      </c>
      <c r="K237">
        <v>673059</v>
      </c>
      <c r="L237" t="s">
        <v>152</v>
      </c>
      <c r="M237" t="s">
        <v>153</v>
      </c>
      <c r="N237" t="s">
        <v>56</v>
      </c>
      <c r="O237" s="1">
        <v>45714</v>
      </c>
      <c r="P237" s="1">
        <v>45956</v>
      </c>
      <c r="Q237" s="2">
        <v>59.58</v>
      </c>
      <c r="R237">
        <v>1</v>
      </c>
      <c r="S237" t="s">
        <v>57</v>
      </c>
      <c r="T237" t="s">
        <v>58</v>
      </c>
      <c r="U237" s="3">
        <v>0.375</v>
      </c>
      <c r="V237" s="2">
        <v>0</v>
      </c>
      <c r="W237">
        <v>0</v>
      </c>
      <c r="X237" t="s">
        <v>70</v>
      </c>
      <c r="Y237" t="s">
        <v>60</v>
      </c>
      <c r="Z237">
        <v>0</v>
      </c>
      <c r="AA237" s="2">
        <v>0</v>
      </c>
      <c r="AB237" s="2">
        <v>0</v>
      </c>
      <c r="AC237" s="4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22.34</v>
      </c>
      <c r="AM237" s="2">
        <v>22.34</v>
      </c>
      <c r="AN237" s="2">
        <v>0</v>
      </c>
      <c r="AO237" s="2">
        <v>0</v>
      </c>
      <c r="AP237" s="2">
        <v>0</v>
      </c>
    </row>
    <row r="238" spans="1:42" x14ac:dyDescent="0.25">
      <c r="A238" s="1">
        <v>45922</v>
      </c>
      <c r="B238" t="s">
        <v>47</v>
      </c>
      <c r="C238">
        <v>649163</v>
      </c>
      <c r="D238">
        <v>2027798220</v>
      </c>
      <c r="E238" t="s">
        <v>365</v>
      </c>
      <c r="F238" t="s">
        <v>366</v>
      </c>
      <c r="G238" t="s">
        <v>50</v>
      </c>
      <c r="H238" t="s">
        <v>93</v>
      </c>
      <c r="I238" t="s">
        <v>306</v>
      </c>
      <c r="J238" t="s">
        <v>307</v>
      </c>
      <c r="K238">
        <v>821015</v>
      </c>
      <c r="L238" t="s">
        <v>89</v>
      </c>
      <c r="M238" t="s">
        <v>90</v>
      </c>
      <c r="N238" t="s">
        <v>56</v>
      </c>
      <c r="O238" s="1">
        <v>45736</v>
      </c>
      <c r="P238" s="1">
        <v>45950</v>
      </c>
      <c r="Q238" s="2">
        <v>48.61</v>
      </c>
      <c r="R238">
        <v>1</v>
      </c>
      <c r="S238" t="s">
        <v>57</v>
      </c>
      <c r="T238" t="s">
        <v>58</v>
      </c>
      <c r="U238" s="3">
        <v>0.375</v>
      </c>
      <c r="V238" s="2">
        <v>0</v>
      </c>
      <c r="W238">
        <v>0</v>
      </c>
      <c r="X238" t="s">
        <v>70</v>
      </c>
      <c r="Y238" t="s">
        <v>60</v>
      </c>
      <c r="Z238">
        <v>0</v>
      </c>
      <c r="AA238" s="2">
        <v>0</v>
      </c>
      <c r="AB238" s="2">
        <v>0</v>
      </c>
      <c r="AC238" s="4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18.23</v>
      </c>
      <c r="AM238" s="2">
        <v>18.23</v>
      </c>
      <c r="AN238" s="2">
        <v>0</v>
      </c>
      <c r="AO238" s="2">
        <v>0</v>
      </c>
      <c r="AP238" s="2">
        <v>0</v>
      </c>
    </row>
    <row r="239" spans="1:42" x14ac:dyDescent="0.25">
      <c r="A239" s="1">
        <v>45922</v>
      </c>
      <c r="B239" t="s">
        <v>47</v>
      </c>
      <c r="C239">
        <v>649163</v>
      </c>
      <c r="D239">
        <v>2027836412</v>
      </c>
      <c r="E239" t="s">
        <v>367</v>
      </c>
      <c r="F239" t="s">
        <v>368</v>
      </c>
      <c r="G239" t="s">
        <v>50</v>
      </c>
      <c r="H239" t="s">
        <v>121</v>
      </c>
      <c r="I239" t="s">
        <v>306</v>
      </c>
      <c r="J239" t="s">
        <v>307</v>
      </c>
      <c r="K239">
        <v>856163</v>
      </c>
      <c r="L239" t="s">
        <v>79</v>
      </c>
      <c r="M239" t="s">
        <v>279</v>
      </c>
      <c r="N239" t="s">
        <v>56</v>
      </c>
      <c r="O239" s="1">
        <v>45736</v>
      </c>
      <c r="P239" s="1">
        <v>45950</v>
      </c>
      <c r="Q239" s="2">
        <v>95.66</v>
      </c>
      <c r="R239">
        <v>1</v>
      </c>
      <c r="S239" t="s">
        <v>57</v>
      </c>
      <c r="T239" t="s">
        <v>58</v>
      </c>
      <c r="U239" s="3">
        <v>0.375</v>
      </c>
      <c r="V239" s="2">
        <v>0</v>
      </c>
      <c r="W239">
        <v>0</v>
      </c>
      <c r="X239" t="s">
        <v>70</v>
      </c>
      <c r="Y239" t="s">
        <v>60</v>
      </c>
      <c r="Z239">
        <v>0</v>
      </c>
      <c r="AA239" s="2">
        <v>0</v>
      </c>
      <c r="AB239" s="2">
        <v>0</v>
      </c>
      <c r="AC239" s="4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35.869999999999997</v>
      </c>
      <c r="AM239" s="2">
        <v>35.869999999999997</v>
      </c>
      <c r="AN239" s="2">
        <v>0</v>
      </c>
      <c r="AO239" s="2">
        <v>0</v>
      </c>
      <c r="AP239" s="2">
        <v>0</v>
      </c>
    </row>
    <row r="240" spans="1:42" x14ac:dyDescent="0.25">
      <c r="A240" s="1">
        <v>45922</v>
      </c>
      <c r="B240" t="s">
        <v>47</v>
      </c>
      <c r="C240">
        <v>649163</v>
      </c>
      <c r="D240">
        <v>2027867337</v>
      </c>
      <c r="E240" t="s">
        <v>164</v>
      </c>
      <c r="F240" t="s">
        <v>165</v>
      </c>
      <c r="G240" t="s">
        <v>50</v>
      </c>
      <c r="H240" t="s">
        <v>141</v>
      </c>
      <c r="I240" t="s">
        <v>306</v>
      </c>
      <c r="J240" t="s">
        <v>307</v>
      </c>
      <c r="K240">
        <v>816021</v>
      </c>
      <c r="L240" t="s">
        <v>142</v>
      </c>
      <c r="M240" t="s">
        <v>143</v>
      </c>
      <c r="N240" t="s">
        <v>56</v>
      </c>
      <c r="O240" s="1">
        <v>45736</v>
      </c>
      <c r="P240" s="1">
        <v>45950</v>
      </c>
      <c r="Q240" s="2">
        <v>45.39</v>
      </c>
      <c r="R240">
        <v>1</v>
      </c>
      <c r="S240" t="s">
        <v>57</v>
      </c>
      <c r="T240" t="s">
        <v>58</v>
      </c>
      <c r="U240" s="3">
        <v>0.375</v>
      </c>
      <c r="V240" s="2">
        <v>0</v>
      </c>
      <c r="W240">
        <v>0</v>
      </c>
      <c r="X240" t="s">
        <v>70</v>
      </c>
      <c r="Y240" t="s">
        <v>60</v>
      </c>
      <c r="Z240">
        <v>0</v>
      </c>
      <c r="AA240" s="2">
        <v>0</v>
      </c>
      <c r="AB240" s="2">
        <v>0</v>
      </c>
      <c r="AC240" s="4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17.02</v>
      </c>
      <c r="AM240" s="2">
        <v>17.02</v>
      </c>
      <c r="AN240" s="2">
        <v>0</v>
      </c>
      <c r="AO240" s="2">
        <v>0</v>
      </c>
      <c r="AP240" s="2">
        <v>0</v>
      </c>
    </row>
    <row r="241" spans="1:42" x14ac:dyDescent="0.25">
      <c r="A241" s="1">
        <v>45922</v>
      </c>
      <c r="B241" t="s">
        <v>47</v>
      </c>
      <c r="C241">
        <v>649163</v>
      </c>
      <c r="D241">
        <v>2028005040</v>
      </c>
      <c r="E241" t="s">
        <v>369</v>
      </c>
      <c r="F241" t="s">
        <v>370</v>
      </c>
      <c r="G241" t="s">
        <v>50</v>
      </c>
      <c r="H241" t="s">
        <v>93</v>
      </c>
      <c r="I241" t="s">
        <v>306</v>
      </c>
      <c r="J241" t="s">
        <v>307</v>
      </c>
      <c r="K241">
        <v>824062</v>
      </c>
      <c r="L241" t="s">
        <v>200</v>
      </c>
      <c r="M241" t="s">
        <v>201</v>
      </c>
      <c r="N241" t="s">
        <v>56</v>
      </c>
      <c r="O241" s="1">
        <v>45741</v>
      </c>
      <c r="P241" s="1">
        <v>45955</v>
      </c>
      <c r="Q241" s="2">
        <v>184.68</v>
      </c>
      <c r="R241">
        <v>1</v>
      </c>
      <c r="S241" t="s">
        <v>57</v>
      </c>
      <c r="T241" t="s">
        <v>58</v>
      </c>
      <c r="U241" s="3">
        <v>0.375</v>
      </c>
      <c r="V241" s="2">
        <v>0</v>
      </c>
      <c r="W241">
        <v>0</v>
      </c>
      <c r="X241" t="s">
        <v>70</v>
      </c>
      <c r="Y241" t="s">
        <v>60</v>
      </c>
      <c r="Z241">
        <v>0</v>
      </c>
      <c r="AA241" s="2">
        <v>0</v>
      </c>
      <c r="AB241" s="2">
        <v>0</v>
      </c>
      <c r="AC241" s="4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69.260000000000005</v>
      </c>
      <c r="AM241" s="2">
        <v>69.260000000000005</v>
      </c>
      <c r="AN241" s="2">
        <v>0</v>
      </c>
      <c r="AO241" s="2">
        <v>0</v>
      </c>
      <c r="AP241" s="2">
        <v>0</v>
      </c>
    </row>
    <row r="242" spans="1:42" x14ac:dyDescent="0.25">
      <c r="A242" s="1">
        <v>45922</v>
      </c>
      <c r="B242" t="s">
        <v>47</v>
      </c>
      <c r="C242">
        <v>649163</v>
      </c>
      <c r="D242">
        <v>2028320247</v>
      </c>
      <c r="E242" t="s">
        <v>75</v>
      </c>
      <c r="F242" t="s">
        <v>76</v>
      </c>
      <c r="G242" t="s">
        <v>50</v>
      </c>
      <c r="H242" t="s">
        <v>77</v>
      </c>
      <c r="I242" t="s">
        <v>306</v>
      </c>
      <c r="J242" t="s">
        <v>307</v>
      </c>
      <c r="K242">
        <v>823350</v>
      </c>
      <c r="L242" t="s">
        <v>79</v>
      </c>
      <c r="M242" t="s">
        <v>80</v>
      </c>
      <c r="N242" t="s">
        <v>56</v>
      </c>
      <c r="O242" s="1">
        <v>45772</v>
      </c>
      <c r="P242" s="1">
        <v>45955</v>
      </c>
      <c r="Q242" s="2">
        <v>66.5</v>
      </c>
      <c r="R242">
        <v>1</v>
      </c>
      <c r="S242" t="s">
        <v>57</v>
      </c>
      <c r="T242" t="s">
        <v>58</v>
      </c>
      <c r="U242" s="3">
        <v>0.375</v>
      </c>
      <c r="V242" s="2">
        <v>0</v>
      </c>
      <c r="W242">
        <v>0</v>
      </c>
      <c r="X242" t="s">
        <v>70</v>
      </c>
      <c r="Y242" t="s">
        <v>60</v>
      </c>
      <c r="Z242">
        <v>0</v>
      </c>
      <c r="AA242" s="2">
        <v>0</v>
      </c>
      <c r="AB242" s="2">
        <v>0</v>
      </c>
      <c r="AC242" s="4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24.94</v>
      </c>
      <c r="AM242" s="2">
        <v>24.94</v>
      </c>
      <c r="AN242" s="2">
        <v>0</v>
      </c>
      <c r="AO242" s="2">
        <v>0</v>
      </c>
      <c r="AP242" s="2">
        <v>0</v>
      </c>
    </row>
    <row r="243" spans="1:42" x14ac:dyDescent="0.25">
      <c r="A243" s="1">
        <v>45922</v>
      </c>
      <c r="B243" t="s">
        <v>47</v>
      </c>
      <c r="C243">
        <v>649163</v>
      </c>
      <c r="D243">
        <v>2028402356</v>
      </c>
      <c r="E243" t="s">
        <v>371</v>
      </c>
      <c r="F243" t="s">
        <v>372</v>
      </c>
      <c r="G243" t="s">
        <v>50</v>
      </c>
      <c r="H243" t="s">
        <v>93</v>
      </c>
      <c r="I243" t="s">
        <v>306</v>
      </c>
      <c r="J243" t="s">
        <v>307</v>
      </c>
      <c r="K243">
        <v>768887</v>
      </c>
      <c r="L243" t="s">
        <v>282</v>
      </c>
      <c r="M243" t="s">
        <v>283</v>
      </c>
      <c r="N243" t="s">
        <v>56</v>
      </c>
      <c r="O243" s="1">
        <v>45762</v>
      </c>
      <c r="P243" s="1">
        <v>45945</v>
      </c>
      <c r="Q243" s="2">
        <v>-59.51</v>
      </c>
      <c r="R243">
        <v>1</v>
      </c>
      <c r="S243" t="s">
        <v>57</v>
      </c>
      <c r="T243" t="s">
        <v>58</v>
      </c>
      <c r="U243" s="3">
        <v>0.375</v>
      </c>
      <c r="V243" s="2">
        <v>0</v>
      </c>
      <c r="W243">
        <v>-1</v>
      </c>
      <c r="X243" t="s">
        <v>70</v>
      </c>
      <c r="Y243" t="s">
        <v>60</v>
      </c>
      <c r="Z243">
        <v>0</v>
      </c>
      <c r="AA243" s="2">
        <v>0</v>
      </c>
      <c r="AB243" s="2">
        <v>0</v>
      </c>
      <c r="AC243" s="4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-22.32</v>
      </c>
      <c r="AM243" s="2">
        <v>-22.32</v>
      </c>
      <c r="AN243" s="2">
        <v>0</v>
      </c>
      <c r="AO243" s="2">
        <v>0</v>
      </c>
      <c r="AP243" s="2">
        <v>0</v>
      </c>
    </row>
    <row r="244" spans="1:42" x14ac:dyDescent="0.25">
      <c r="A244" s="1">
        <v>45922</v>
      </c>
      <c r="B244" t="s">
        <v>47</v>
      </c>
      <c r="C244">
        <v>649163</v>
      </c>
      <c r="D244">
        <v>2028419377</v>
      </c>
      <c r="E244" t="s">
        <v>373</v>
      </c>
      <c r="F244" t="s">
        <v>374</v>
      </c>
      <c r="G244" t="s">
        <v>50</v>
      </c>
      <c r="H244" t="s">
        <v>93</v>
      </c>
      <c r="I244" t="s">
        <v>306</v>
      </c>
      <c r="J244" t="s">
        <v>307</v>
      </c>
      <c r="K244">
        <v>840313</v>
      </c>
      <c r="L244" t="s">
        <v>273</v>
      </c>
      <c r="M244" t="s">
        <v>274</v>
      </c>
      <c r="N244" t="s">
        <v>56</v>
      </c>
      <c r="O244" s="1">
        <v>45767</v>
      </c>
      <c r="P244" s="1">
        <v>45950</v>
      </c>
      <c r="Q244" s="2">
        <v>61.01</v>
      </c>
      <c r="R244">
        <v>1</v>
      </c>
      <c r="S244" t="s">
        <v>57</v>
      </c>
      <c r="T244" t="s">
        <v>58</v>
      </c>
      <c r="U244" s="3">
        <v>0.375</v>
      </c>
      <c r="V244" s="2">
        <v>0</v>
      </c>
      <c r="W244">
        <v>0</v>
      </c>
      <c r="X244" t="s">
        <v>70</v>
      </c>
      <c r="Y244" t="s">
        <v>60</v>
      </c>
      <c r="Z244">
        <v>0</v>
      </c>
      <c r="AA244" s="2">
        <v>0</v>
      </c>
      <c r="AB244" s="2">
        <v>0</v>
      </c>
      <c r="AC244" s="4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22.88</v>
      </c>
      <c r="AM244" s="2">
        <v>22.88</v>
      </c>
      <c r="AN244" s="2">
        <v>0</v>
      </c>
      <c r="AO244" s="2">
        <v>0</v>
      </c>
      <c r="AP244" s="2">
        <v>0</v>
      </c>
    </row>
    <row r="245" spans="1:42" x14ac:dyDescent="0.25">
      <c r="A245" s="1">
        <v>45922</v>
      </c>
      <c r="B245" t="s">
        <v>47</v>
      </c>
      <c r="C245">
        <v>649163</v>
      </c>
      <c r="D245">
        <v>2028461881</v>
      </c>
      <c r="E245" t="s">
        <v>174</v>
      </c>
      <c r="F245" t="s">
        <v>175</v>
      </c>
      <c r="G245" t="s">
        <v>50</v>
      </c>
      <c r="H245" t="s">
        <v>121</v>
      </c>
      <c r="I245" t="s">
        <v>306</v>
      </c>
      <c r="J245" t="s">
        <v>307</v>
      </c>
      <c r="K245">
        <v>823350</v>
      </c>
      <c r="L245" t="s">
        <v>79</v>
      </c>
      <c r="M245" t="s">
        <v>80</v>
      </c>
      <c r="N245" t="s">
        <v>56</v>
      </c>
      <c r="O245" s="1">
        <v>45772</v>
      </c>
      <c r="P245" s="1">
        <v>45955</v>
      </c>
      <c r="Q245" s="2">
        <v>78.41</v>
      </c>
      <c r="R245">
        <v>1</v>
      </c>
      <c r="S245" t="s">
        <v>57</v>
      </c>
      <c r="T245" t="s">
        <v>58</v>
      </c>
      <c r="U245" s="3">
        <v>0.375</v>
      </c>
      <c r="V245" s="2">
        <v>0</v>
      </c>
      <c r="W245">
        <v>0</v>
      </c>
      <c r="X245" t="s">
        <v>70</v>
      </c>
      <c r="Y245" t="s">
        <v>60</v>
      </c>
      <c r="Z245">
        <v>0</v>
      </c>
      <c r="AA245" s="2">
        <v>0</v>
      </c>
      <c r="AB245" s="2">
        <v>0</v>
      </c>
      <c r="AC245" s="4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29.4</v>
      </c>
      <c r="AM245" s="2">
        <v>29.4</v>
      </c>
      <c r="AN245" s="2">
        <v>0</v>
      </c>
      <c r="AO245" s="2">
        <v>0</v>
      </c>
      <c r="AP245" s="2">
        <v>0</v>
      </c>
    </row>
    <row r="246" spans="1:42" x14ac:dyDescent="0.25">
      <c r="A246" s="1">
        <v>45922</v>
      </c>
      <c r="B246" t="s">
        <v>47</v>
      </c>
      <c r="C246">
        <v>649163</v>
      </c>
      <c r="D246">
        <v>2028466946</v>
      </c>
      <c r="E246" t="s">
        <v>176</v>
      </c>
      <c r="F246" t="s">
        <v>177</v>
      </c>
      <c r="G246" t="s">
        <v>50</v>
      </c>
      <c r="H246" t="s">
        <v>141</v>
      </c>
      <c r="I246" t="s">
        <v>306</v>
      </c>
      <c r="J246" t="s">
        <v>307</v>
      </c>
      <c r="K246">
        <v>816021</v>
      </c>
      <c r="L246" t="s">
        <v>142</v>
      </c>
      <c r="M246" t="s">
        <v>143</v>
      </c>
      <c r="N246" t="s">
        <v>56</v>
      </c>
      <c r="O246" s="1">
        <v>45767</v>
      </c>
      <c r="P246" s="1">
        <v>45950</v>
      </c>
      <c r="Q246" s="2">
        <v>38.74</v>
      </c>
      <c r="R246">
        <v>1</v>
      </c>
      <c r="S246" t="s">
        <v>57</v>
      </c>
      <c r="T246" t="s">
        <v>58</v>
      </c>
      <c r="U246" s="3">
        <v>0.375</v>
      </c>
      <c r="V246" s="2">
        <v>0</v>
      </c>
      <c r="W246">
        <v>0</v>
      </c>
      <c r="X246" t="s">
        <v>70</v>
      </c>
      <c r="Y246" t="s">
        <v>60</v>
      </c>
      <c r="Z246">
        <v>0</v>
      </c>
      <c r="AA246" s="2">
        <v>0</v>
      </c>
      <c r="AB246" s="2">
        <v>0</v>
      </c>
      <c r="AC246" s="4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14.53</v>
      </c>
      <c r="AM246" s="2">
        <v>14.53</v>
      </c>
      <c r="AN246" s="2">
        <v>0</v>
      </c>
      <c r="AO246" s="2">
        <v>0</v>
      </c>
      <c r="AP246" s="2">
        <v>0</v>
      </c>
    </row>
    <row r="247" spans="1:42" x14ac:dyDescent="0.25">
      <c r="A247" s="1">
        <v>45922</v>
      </c>
      <c r="B247" t="s">
        <v>47</v>
      </c>
      <c r="C247">
        <v>649163</v>
      </c>
      <c r="D247">
        <v>2028498798</v>
      </c>
      <c r="E247" t="s">
        <v>178</v>
      </c>
      <c r="F247" t="s">
        <v>179</v>
      </c>
      <c r="G247" t="s">
        <v>50</v>
      </c>
      <c r="H247" t="s">
        <v>180</v>
      </c>
      <c r="I247" t="s">
        <v>306</v>
      </c>
      <c r="J247" t="s">
        <v>307</v>
      </c>
      <c r="K247">
        <v>823350</v>
      </c>
      <c r="L247" t="s">
        <v>79</v>
      </c>
      <c r="M247" t="s">
        <v>80</v>
      </c>
      <c r="N247" t="s">
        <v>56</v>
      </c>
      <c r="O247" s="1">
        <v>45772</v>
      </c>
      <c r="P247" s="1">
        <v>45955</v>
      </c>
      <c r="Q247" s="2">
        <v>58.15</v>
      </c>
      <c r="R247">
        <v>1</v>
      </c>
      <c r="S247" t="s">
        <v>57</v>
      </c>
      <c r="T247" t="s">
        <v>58</v>
      </c>
      <c r="U247" s="3">
        <v>0.375</v>
      </c>
      <c r="V247" s="2">
        <v>0</v>
      </c>
      <c r="W247">
        <v>0</v>
      </c>
      <c r="X247" t="s">
        <v>70</v>
      </c>
      <c r="Y247" t="s">
        <v>60</v>
      </c>
      <c r="Z247">
        <v>0</v>
      </c>
      <c r="AA247" s="2">
        <v>0</v>
      </c>
      <c r="AB247" s="2">
        <v>0</v>
      </c>
      <c r="AC247" s="4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21.81</v>
      </c>
      <c r="AM247" s="2">
        <v>21.81</v>
      </c>
      <c r="AN247" s="2">
        <v>0</v>
      </c>
      <c r="AO247" s="2">
        <v>0</v>
      </c>
      <c r="AP247" s="2">
        <v>0</v>
      </c>
    </row>
    <row r="248" spans="1:42" x14ac:dyDescent="0.25">
      <c r="A248" s="1">
        <v>45922</v>
      </c>
      <c r="B248" t="s">
        <v>47</v>
      </c>
      <c r="C248">
        <v>649163</v>
      </c>
      <c r="D248">
        <v>2028963882</v>
      </c>
      <c r="E248" t="s">
        <v>375</v>
      </c>
      <c r="F248" t="s">
        <v>376</v>
      </c>
      <c r="G248" t="s">
        <v>50</v>
      </c>
      <c r="H248" t="s">
        <v>93</v>
      </c>
      <c r="I248" t="s">
        <v>306</v>
      </c>
      <c r="J248" t="s">
        <v>307</v>
      </c>
      <c r="K248">
        <v>812656</v>
      </c>
      <c r="L248" t="s">
        <v>338</v>
      </c>
      <c r="M248" t="s">
        <v>377</v>
      </c>
      <c r="N248" t="s">
        <v>56</v>
      </c>
      <c r="O248" s="1">
        <v>45801</v>
      </c>
      <c r="P248" s="1">
        <v>45954</v>
      </c>
      <c r="Q248" s="2">
        <v>67.19</v>
      </c>
      <c r="R248">
        <v>1</v>
      </c>
      <c r="S248" t="s">
        <v>57</v>
      </c>
      <c r="T248" t="s">
        <v>58</v>
      </c>
      <c r="U248" s="3">
        <v>0.375</v>
      </c>
      <c r="V248" s="2">
        <v>0</v>
      </c>
      <c r="W248">
        <v>0</v>
      </c>
      <c r="X248" t="s">
        <v>70</v>
      </c>
      <c r="Y248" t="s">
        <v>60</v>
      </c>
      <c r="Z248">
        <v>0</v>
      </c>
      <c r="AA248" s="2">
        <v>0</v>
      </c>
      <c r="AB248" s="2">
        <v>0</v>
      </c>
      <c r="AC248" s="4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25.2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</row>
    <row r="249" spans="1:42" x14ac:dyDescent="0.25">
      <c r="A249" s="1">
        <v>45922</v>
      </c>
      <c r="B249" t="s">
        <v>47</v>
      </c>
      <c r="C249">
        <v>649163</v>
      </c>
      <c r="D249">
        <v>2029021815</v>
      </c>
      <c r="E249" t="s">
        <v>267</v>
      </c>
      <c r="F249" t="s">
        <v>268</v>
      </c>
      <c r="G249" t="s">
        <v>50</v>
      </c>
      <c r="H249" t="s">
        <v>151</v>
      </c>
      <c r="I249" t="s">
        <v>306</v>
      </c>
      <c r="J249" t="s">
        <v>307</v>
      </c>
      <c r="K249">
        <v>650218</v>
      </c>
      <c r="L249" t="s">
        <v>73</v>
      </c>
      <c r="M249" t="s">
        <v>74</v>
      </c>
      <c r="N249" t="s">
        <v>56</v>
      </c>
      <c r="O249" s="1">
        <v>45797</v>
      </c>
      <c r="P249" s="1">
        <v>45950</v>
      </c>
      <c r="Q249" s="2">
        <v>37.130000000000003</v>
      </c>
      <c r="R249">
        <v>1</v>
      </c>
      <c r="S249" t="s">
        <v>57</v>
      </c>
      <c r="T249" t="s">
        <v>58</v>
      </c>
      <c r="U249" s="3">
        <v>0.375</v>
      </c>
      <c r="V249" s="2">
        <v>0</v>
      </c>
      <c r="W249">
        <v>0</v>
      </c>
      <c r="X249" t="s">
        <v>70</v>
      </c>
      <c r="Y249" t="s">
        <v>60</v>
      </c>
      <c r="Z249">
        <v>0</v>
      </c>
      <c r="AA249" s="2">
        <v>0</v>
      </c>
      <c r="AB249" s="2">
        <v>0</v>
      </c>
      <c r="AC249" s="4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13.92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</row>
    <row r="250" spans="1:42" x14ac:dyDescent="0.25">
      <c r="A250" s="1">
        <v>45922</v>
      </c>
      <c r="B250" t="s">
        <v>47</v>
      </c>
      <c r="C250">
        <v>649163</v>
      </c>
      <c r="D250">
        <v>2029026297</v>
      </c>
      <c r="E250" t="s">
        <v>378</v>
      </c>
      <c r="F250" t="s">
        <v>379</v>
      </c>
      <c r="G250" t="s">
        <v>50</v>
      </c>
      <c r="H250" t="s">
        <v>83</v>
      </c>
      <c r="I250" t="s">
        <v>306</v>
      </c>
      <c r="J250" t="s">
        <v>307</v>
      </c>
      <c r="K250">
        <v>767312</v>
      </c>
      <c r="L250" t="s">
        <v>122</v>
      </c>
      <c r="M250" t="s">
        <v>123</v>
      </c>
      <c r="N250" t="s">
        <v>56</v>
      </c>
      <c r="O250" s="1">
        <v>45798</v>
      </c>
      <c r="P250" s="1">
        <v>45951</v>
      </c>
      <c r="Q250" s="2">
        <v>23.79</v>
      </c>
      <c r="R250">
        <v>1</v>
      </c>
      <c r="S250" t="s">
        <v>57</v>
      </c>
      <c r="T250" t="s">
        <v>58</v>
      </c>
      <c r="U250" s="3">
        <v>0.375</v>
      </c>
      <c r="V250" s="2">
        <v>0</v>
      </c>
      <c r="W250">
        <v>0</v>
      </c>
      <c r="X250" t="s">
        <v>70</v>
      </c>
      <c r="Y250" t="s">
        <v>60</v>
      </c>
      <c r="Z250">
        <v>0</v>
      </c>
      <c r="AA250" s="2">
        <v>0</v>
      </c>
      <c r="AB250" s="2">
        <v>0</v>
      </c>
      <c r="AC250" s="4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8.92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</row>
    <row r="251" spans="1:42" x14ac:dyDescent="0.25">
      <c r="A251" s="1">
        <v>45922</v>
      </c>
      <c r="B251" t="s">
        <v>47</v>
      </c>
      <c r="C251">
        <v>649163</v>
      </c>
      <c r="D251">
        <v>2029034261</v>
      </c>
      <c r="E251" t="s">
        <v>380</v>
      </c>
      <c r="F251" t="s">
        <v>381</v>
      </c>
      <c r="G251" t="s">
        <v>50</v>
      </c>
      <c r="H251" t="s">
        <v>115</v>
      </c>
      <c r="I251" t="s">
        <v>306</v>
      </c>
      <c r="J251" t="s">
        <v>307</v>
      </c>
      <c r="K251">
        <v>806645</v>
      </c>
      <c r="L251" t="s">
        <v>382</v>
      </c>
      <c r="M251" t="s">
        <v>366</v>
      </c>
      <c r="N251" t="s">
        <v>56</v>
      </c>
      <c r="O251" s="1">
        <v>45798</v>
      </c>
      <c r="P251" s="1">
        <v>45951</v>
      </c>
      <c r="Q251" s="2">
        <v>35.6</v>
      </c>
      <c r="R251">
        <v>1</v>
      </c>
      <c r="S251" t="s">
        <v>57</v>
      </c>
      <c r="T251" t="s">
        <v>58</v>
      </c>
      <c r="U251" s="3">
        <v>0.375</v>
      </c>
      <c r="V251" s="2">
        <v>0</v>
      </c>
      <c r="W251">
        <v>0</v>
      </c>
      <c r="X251" t="s">
        <v>70</v>
      </c>
      <c r="Y251" t="s">
        <v>60</v>
      </c>
      <c r="Z251">
        <v>0</v>
      </c>
      <c r="AA251" s="2">
        <v>0</v>
      </c>
      <c r="AB251" s="2">
        <v>0</v>
      </c>
      <c r="AC251" s="4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13.35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</row>
    <row r="252" spans="1:42" x14ac:dyDescent="0.25">
      <c r="A252" s="1">
        <v>45922</v>
      </c>
      <c r="B252" t="s">
        <v>47</v>
      </c>
      <c r="C252">
        <v>649163</v>
      </c>
      <c r="D252">
        <v>2029036918</v>
      </c>
      <c r="E252" t="s">
        <v>383</v>
      </c>
      <c r="F252" t="s">
        <v>280</v>
      </c>
      <c r="G252" t="s">
        <v>50</v>
      </c>
      <c r="H252" t="s">
        <v>121</v>
      </c>
      <c r="I252" t="s">
        <v>306</v>
      </c>
      <c r="J252" t="s">
        <v>307</v>
      </c>
      <c r="K252">
        <v>813184</v>
      </c>
      <c r="L252" t="s">
        <v>194</v>
      </c>
      <c r="M252" t="s">
        <v>195</v>
      </c>
      <c r="N252" t="s">
        <v>56</v>
      </c>
      <c r="O252" s="1">
        <v>45798</v>
      </c>
      <c r="P252" s="1">
        <v>45951</v>
      </c>
      <c r="Q252" s="2">
        <v>59.41</v>
      </c>
      <c r="R252">
        <v>1</v>
      </c>
      <c r="S252" t="s">
        <v>57</v>
      </c>
      <c r="T252" t="s">
        <v>58</v>
      </c>
      <c r="U252" s="3">
        <v>0.375</v>
      </c>
      <c r="V252" s="2">
        <v>0</v>
      </c>
      <c r="W252">
        <v>0</v>
      </c>
      <c r="X252" t="s">
        <v>70</v>
      </c>
      <c r="Y252" t="s">
        <v>60</v>
      </c>
      <c r="Z252">
        <v>0</v>
      </c>
      <c r="AA252" s="2">
        <v>0</v>
      </c>
      <c r="AB252" s="2">
        <v>0</v>
      </c>
      <c r="AC252" s="4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22.28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</row>
    <row r="253" spans="1:42" x14ac:dyDescent="0.25">
      <c r="A253" s="1">
        <v>45922</v>
      </c>
      <c r="B253" t="s">
        <v>47</v>
      </c>
      <c r="C253">
        <v>649163</v>
      </c>
      <c r="D253">
        <v>2029038487</v>
      </c>
      <c r="E253" t="s">
        <v>186</v>
      </c>
      <c r="F253" t="s">
        <v>187</v>
      </c>
      <c r="G253" t="s">
        <v>50</v>
      </c>
      <c r="H253" t="s">
        <v>188</v>
      </c>
      <c r="I253" t="s">
        <v>306</v>
      </c>
      <c r="J253" t="s">
        <v>307</v>
      </c>
      <c r="K253">
        <v>673059</v>
      </c>
      <c r="L253" t="s">
        <v>152</v>
      </c>
      <c r="M253" t="s">
        <v>153</v>
      </c>
      <c r="N253" t="s">
        <v>56</v>
      </c>
      <c r="O253" s="1">
        <v>45798</v>
      </c>
      <c r="P253" s="1">
        <v>45951</v>
      </c>
      <c r="Q253" s="2">
        <v>60.1</v>
      </c>
      <c r="R253">
        <v>1</v>
      </c>
      <c r="S253" t="s">
        <v>57</v>
      </c>
      <c r="T253" t="s">
        <v>58</v>
      </c>
      <c r="U253" s="3">
        <v>0.375</v>
      </c>
      <c r="V253" s="2">
        <v>0</v>
      </c>
      <c r="W253">
        <v>0</v>
      </c>
      <c r="X253" t="s">
        <v>70</v>
      </c>
      <c r="Y253" t="s">
        <v>60</v>
      </c>
      <c r="Z253">
        <v>0</v>
      </c>
      <c r="AA253" s="2">
        <v>0</v>
      </c>
      <c r="AB253" s="2">
        <v>0</v>
      </c>
      <c r="AC253" s="4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22.54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</row>
    <row r="254" spans="1:42" x14ac:dyDescent="0.25">
      <c r="A254" s="1">
        <v>45922</v>
      </c>
      <c r="B254" t="s">
        <v>47</v>
      </c>
      <c r="C254">
        <v>649163</v>
      </c>
      <c r="D254">
        <v>2029062370</v>
      </c>
      <c r="E254" t="s">
        <v>384</v>
      </c>
      <c r="F254" t="s">
        <v>385</v>
      </c>
      <c r="G254" t="s">
        <v>50</v>
      </c>
      <c r="H254" t="s">
        <v>188</v>
      </c>
      <c r="I254" t="s">
        <v>306</v>
      </c>
      <c r="J254" t="s">
        <v>307</v>
      </c>
      <c r="K254">
        <v>767312</v>
      </c>
      <c r="L254" t="s">
        <v>122</v>
      </c>
      <c r="M254" t="s">
        <v>123</v>
      </c>
      <c r="N254" t="s">
        <v>56</v>
      </c>
      <c r="O254" s="1">
        <v>45800</v>
      </c>
      <c r="P254" s="1">
        <v>45953</v>
      </c>
      <c r="Q254" s="2">
        <v>122.99</v>
      </c>
      <c r="R254">
        <v>1</v>
      </c>
      <c r="S254" t="s">
        <v>57</v>
      </c>
      <c r="T254" t="s">
        <v>58</v>
      </c>
      <c r="U254" s="3">
        <v>0.375</v>
      </c>
      <c r="V254" s="2">
        <v>0</v>
      </c>
      <c r="W254">
        <v>0</v>
      </c>
      <c r="X254" t="s">
        <v>70</v>
      </c>
      <c r="Y254" t="s">
        <v>60</v>
      </c>
      <c r="Z254">
        <v>0</v>
      </c>
      <c r="AA254" s="2">
        <v>0</v>
      </c>
      <c r="AB254" s="2">
        <v>0</v>
      </c>
      <c r="AC254" s="4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46.12</v>
      </c>
      <c r="AM254" s="2">
        <v>46.12</v>
      </c>
      <c r="AN254" s="2">
        <v>0</v>
      </c>
      <c r="AO254" s="2">
        <v>0</v>
      </c>
      <c r="AP254" s="2">
        <v>0</v>
      </c>
    </row>
    <row r="255" spans="1:42" x14ac:dyDescent="0.25">
      <c r="A255" s="1">
        <v>45922</v>
      </c>
      <c r="B255" t="s">
        <v>47</v>
      </c>
      <c r="C255">
        <v>649163</v>
      </c>
      <c r="D255">
        <v>2029081351</v>
      </c>
      <c r="E255" t="s">
        <v>170</v>
      </c>
      <c r="F255" t="s">
        <v>331</v>
      </c>
      <c r="G255" t="s">
        <v>50</v>
      </c>
      <c r="H255" t="s">
        <v>93</v>
      </c>
      <c r="I255" t="s">
        <v>306</v>
      </c>
      <c r="J255" t="s">
        <v>307</v>
      </c>
      <c r="K255">
        <v>823350</v>
      </c>
      <c r="L255" t="s">
        <v>79</v>
      </c>
      <c r="M255" t="s">
        <v>80</v>
      </c>
      <c r="N255" t="s">
        <v>56</v>
      </c>
      <c r="O255" s="1">
        <v>45800</v>
      </c>
      <c r="P255" s="1">
        <v>45953</v>
      </c>
      <c r="Q255" s="2">
        <v>57.19</v>
      </c>
      <c r="R255">
        <v>1</v>
      </c>
      <c r="S255" t="s">
        <v>57</v>
      </c>
      <c r="T255" t="s">
        <v>58</v>
      </c>
      <c r="U255" s="3">
        <v>0.375</v>
      </c>
      <c r="V255" s="2">
        <v>0</v>
      </c>
      <c r="W255">
        <v>0</v>
      </c>
      <c r="X255" t="s">
        <v>70</v>
      </c>
      <c r="Y255" t="s">
        <v>60</v>
      </c>
      <c r="Z255">
        <v>0</v>
      </c>
      <c r="AA255" s="2">
        <v>0</v>
      </c>
      <c r="AB255" s="2">
        <v>0</v>
      </c>
      <c r="AC255" s="4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21.45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</row>
    <row r="256" spans="1:42" x14ac:dyDescent="0.25">
      <c r="A256" s="1">
        <v>45922</v>
      </c>
      <c r="B256" t="s">
        <v>47</v>
      </c>
      <c r="C256">
        <v>649163</v>
      </c>
      <c r="D256">
        <v>2029880648</v>
      </c>
      <c r="E256" t="s">
        <v>388</v>
      </c>
      <c r="F256" t="s">
        <v>389</v>
      </c>
      <c r="G256" t="s">
        <v>50</v>
      </c>
      <c r="H256" t="s">
        <v>93</v>
      </c>
      <c r="I256" t="s">
        <v>306</v>
      </c>
      <c r="J256" t="s">
        <v>307</v>
      </c>
      <c r="K256">
        <v>812994</v>
      </c>
      <c r="L256" t="s">
        <v>294</v>
      </c>
      <c r="M256" t="s">
        <v>295</v>
      </c>
      <c r="N256" t="s">
        <v>56</v>
      </c>
      <c r="O256" s="1">
        <v>45858</v>
      </c>
      <c r="P256" s="1">
        <v>45950</v>
      </c>
      <c r="Q256" s="2">
        <v>77.48</v>
      </c>
      <c r="R256">
        <v>1</v>
      </c>
      <c r="S256" t="s">
        <v>57</v>
      </c>
      <c r="T256" t="s">
        <v>58</v>
      </c>
      <c r="U256" s="3">
        <v>0.375</v>
      </c>
      <c r="V256" s="2">
        <v>0</v>
      </c>
      <c r="W256">
        <v>0</v>
      </c>
      <c r="X256" t="s">
        <v>70</v>
      </c>
      <c r="Y256" t="s">
        <v>60</v>
      </c>
      <c r="Z256">
        <v>0</v>
      </c>
      <c r="AA256" s="2">
        <v>0</v>
      </c>
      <c r="AB256" s="2">
        <v>0</v>
      </c>
      <c r="AC256" s="4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29.06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</row>
    <row r="257" spans="1:42" x14ac:dyDescent="0.25">
      <c r="A257" s="1">
        <v>45922</v>
      </c>
      <c r="B257" t="s">
        <v>47</v>
      </c>
      <c r="C257">
        <v>649163</v>
      </c>
      <c r="D257">
        <v>2030064157</v>
      </c>
      <c r="E257" t="s">
        <v>390</v>
      </c>
      <c r="F257" t="s">
        <v>391</v>
      </c>
      <c r="G257" t="s">
        <v>50</v>
      </c>
      <c r="H257" t="s">
        <v>77</v>
      </c>
      <c r="I257" t="s">
        <v>306</v>
      </c>
      <c r="J257" t="s">
        <v>307</v>
      </c>
      <c r="K257">
        <v>673059</v>
      </c>
      <c r="L257" t="s">
        <v>152</v>
      </c>
      <c r="M257" t="s">
        <v>153</v>
      </c>
      <c r="N257" t="s">
        <v>56</v>
      </c>
      <c r="O257" s="1">
        <v>45860</v>
      </c>
      <c r="P257" s="1">
        <v>45952</v>
      </c>
      <c r="Q257" s="2">
        <v>48.56</v>
      </c>
      <c r="R257">
        <v>1</v>
      </c>
      <c r="S257" t="s">
        <v>57</v>
      </c>
      <c r="T257" t="s">
        <v>58</v>
      </c>
      <c r="U257" s="3">
        <v>0.375</v>
      </c>
      <c r="V257" s="2">
        <v>0</v>
      </c>
      <c r="W257">
        <v>0</v>
      </c>
      <c r="X257" t="s">
        <v>70</v>
      </c>
      <c r="Y257" t="s">
        <v>60</v>
      </c>
      <c r="Z257">
        <v>0</v>
      </c>
      <c r="AA257" s="2">
        <v>0</v>
      </c>
      <c r="AB257" s="2">
        <v>0</v>
      </c>
      <c r="AC257" s="4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18.21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</row>
    <row r="258" spans="1:42" x14ac:dyDescent="0.25">
      <c r="A258" s="1">
        <v>45922</v>
      </c>
      <c r="B258" t="s">
        <v>47</v>
      </c>
      <c r="C258">
        <v>649163</v>
      </c>
      <c r="D258">
        <v>2030085144</v>
      </c>
      <c r="E258" t="s">
        <v>217</v>
      </c>
      <c r="F258" t="s">
        <v>218</v>
      </c>
      <c r="G258" t="s">
        <v>50</v>
      </c>
      <c r="H258" t="s">
        <v>93</v>
      </c>
      <c r="I258" t="s">
        <v>306</v>
      </c>
      <c r="J258" t="s">
        <v>307</v>
      </c>
      <c r="K258">
        <v>673059</v>
      </c>
      <c r="L258" t="s">
        <v>152</v>
      </c>
      <c r="M258" t="s">
        <v>153</v>
      </c>
      <c r="N258" t="s">
        <v>56</v>
      </c>
      <c r="O258" s="1">
        <v>45861</v>
      </c>
      <c r="P258" s="1">
        <v>45953</v>
      </c>
      <c r="Q258" s="2">
        <v>77.48</v>
      </c>
      <c r="R258">
        <v>1</v>
      </c>
      <c r="S258" t="s">
        <v>57</v>
      </c>
      <c r="T258" t="s">
        <v>58</v>
      </c>
      <c r="U258" s="3">
        <v>0.375</v>
      </c>
      <c r="V258" s="2">
        <v>0</v>
      </c>
      <c r="W258">
        <v>0</v>
      </c>
      <c r="X258" t="s">
        <v>70</v>
      </c>
      <c r="Y258" t="s">
        <v>60</v>
      </c>
      <c r="Z258">
        <v>0</v>
      </c>
      <c r="AA258" s="2">
        <v>0</v>
      </c>
      <c r="AB258" s="2">
        <v>0</v>
      </c>
      <c r="AC258" s="4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29.06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</row>
    <row r="259" spans="1:42" x14ac:dyDescent="0.25">
      <c r="A259" s="1">
        <v>45922</v>
      </c>
      <c r="B259" t="s">
        <v>47</v>
      </c>
      <c r="C259">
        <v>649163</v>
      </c>
      <c r="D259">
        <v>2030091895</v>
      </c>
      <c r="E259" t="s">
        <v>392</v>
      </c>
      <c r="F259" t="s">
        <v>393</v>
      </c>
      <c r="G259" t="s">
        <v>50</v>
      </c>
      <c r="H259" t="s">
        <v>77</v>
      </c>
      <c r="I259" t="s">
        <v>306</v>
      </c>
      <c r="J259" t="s">
        <v>307</v>
      </c>
      <c r="K259">
        <v>673059</v>
      </c>
      <c r="L259" t="s">
        <v>152</v>
      </c>
      <c r="M259" t="s">
        <v>153</v>
      </c>
      <c r="N259" t="s">
        <v>56</v>
      </c>
      <c r="O259" s="1">
        <v>45861</v>
      </c>
      <c r="P259" s="1">
        <v>45953</v>
      </c>
      <c r="Q259" s="2">
        <v>58.56</v>
      </c>
      <c r="R259">
        <v>1</v>
      </c>
      <c r="S259" t="s">
        <v>57</v>
      </c>
      <c r="T259" t="s">
        <v>58</v>
      </c>
      <c r="U259" s="3">
        <v>0.375</v>
      </c>
      <c r="V259" s="2">
        <v>0</v>
      </c>
      <c r="W259">
        <v>0</v>
      </c>
      <c r="X259" t="s">
        <v>70</v>
      </c>
      <c r="Y259" t="s">
        <v>60</v>
      </c>
      <c r="Z259">
        <v>0</v>
      </c>
      <c r="AA259" s="2">
        <v>0</v>
      </c>
      <c r="AB259" s="2">
        <v>0</v>
      </c>
      <c r="AC259" s="4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21.96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</row>
    <row r="260" spans="1:42" x14ac:dyDescent="0.25">
      <c r="A260" s="1">
        <v>45922</v>
      </c>
      <c r="B260" t="s">
        <v>47</v>
      </c>
      <c r="C260">
        <v>649163</v>
      </c>
      <c r="D260">
        <v>2030108808</v>
      </c>
      <c r="E260" t="s">
        <v>219</v>
      </c>
      <c r="F260" t="s">
        <v>220</v>
      </c>
      <c r="G260" t="s">
        <v>50</v>
      </c>
      <c r="H260" t="s">
        <v>141</v>
      </c>
      <c r="I260" t="s">
        <v>306</v>
      </c>
      <c r="J260" t="s">
        <v>307</v>
      </c>
      <c r="K260">
        <v>796984</v>
      </c>
      <c r="L260" t="s">
        <v>221</v>
      </c>
      <c r="M260" t="s">
        <v>62</v>
      </c>
      <c r="N260" t="s">
        <v>56</v>
      </c>
      <c r="O260" s="1">
        <v>45862</v>
      </c>
      <c r="P260" s="1">
        <v>45954</v>
      </c>
      <c r="Q260" s="2">
        <v>47.28</v>
      </c>
      <c r="R260">
        <v>1</v>
      </c>
      <c r="S260" t="s">
        <v>57</v>
      </c>
      <c r="T260" t="s">
        <v>58</v>
      </c>
      <c r="U260" s="3">
        <v>0.375</v>
      </c>
      <c r="V260" s="2">
        <v>0</v>
      </c>
      <c r="W260">
        <v>0</v>
      </c>
      <c r="X260" t="s">
        <v>70</v>
      </c>
      <c r="Y260" t="s">
        <v>60</v>
      </c>
      <c r="Z260">
        <v>0</v>
      </c>
      <c r="AA260" s="2">
        <v>0</v>
      </c>
      <c r="AB260" s="2">
        <v>0</v>
      </c>
      <c r="AC260" s="4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17.73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</row>
    <row r="261" spans="1:42" x14ac:dyDescent="0.25">
      <c r="A261" s="1">
        <v>45922</v>
      </c>
      <c r="B261" t="s">
        <v>47</v>
      </c>
      <c r="C261">
        <v>649163</v>
      </c>
      <c r="D261">
        <v>2030113889</v>
      </c>
      <c r="E261" t="s">
        <v>394</v>
      </c>
      <c r="F261" t="s">
        <v>395</v>
      </c>
      <c r="G261" t="s">
        <v>50</v>
      </c>
      <c r="H261" t="s">
        <v>180</v>
      </c>
      <c r="I261" t="s">
        <v>306</v>
      </c>
      <c r="J261" t="s">
        <v>307</v>
      </c>
      <c r="K261">
        <v>767312</v>
      </c>
      <c r="L261" t="s">
        <v>122</v>
      </c>
      <c r="M261" t="s">
        <v>123</v>
      </c>
      <c r="N261" t="s">
        <v>56</v>
      </c>
      <c r="O261" s="1">
        <v>45862</v>
      </c>
      <c r="P261" s="1">
        <v>45954</v>
      </c>
      <c r="Q261" s="2">
        <v>62.71</v>
      </c>
      <c r="R261">
        <v>1</v>
      </c>
      <c r="S261" t="s">
        <v>57</v>
      </c>
      <c r="T261" t="s">
        <v>58</v>
      </c>
      <c r="U261" s="3">
        <v>0.375</v>
      </c>
      <c r="V261" s="2">
        <v>0</v>
      </c>
      <c r="W261">
        <v>0</v>
      </c>
      <c r="X261" t="s">
        <v>70</v>
      </c>
      <c r="Y261" t="s">
        <v>60</v>
      </c>
      <c r="Z261">
        <v>0</v>
      </c>
      <c r="AA261" s="2">
        <v>0</v>
      </c>
      <c r="AB261" s="2">
        <v>0</v>
      </c>
      <c r="AC261" s="4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23.52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</row>
    <row r="262" spans="1:42" x14ac:dyDescent="0.25">
      <c r="A262" s="1">
        <v>45922</v>
      </c>
      <c r="B262" t="s">
        <v>47</v>
      </c>
      <c r="C262">
        <v>649163</v>
      </c>
      <c r="D262">
        <v>2030125458</v>
      </c>
      <c r="E262" t="s">
        <v>396</v>
      </c>
      <c r="F262" t="s">
        <v>397</v>
      </c>
      <c r="G262" t="s">
        <v>50</v>
      </c>
      <c r="H262" t="s">
        <v>115</v>
      </c>
      <c r="I262" t="s">
        <v>306</v>
      </c>
      <c r="J262" t="s">
        <v>307</v>
      </c>
      <c r="K262">
        <v>856163</v>
      </c>
      <c r="L262" t="s">
        <v>79</v>
      </c>
      <c r="M262" t="s">
        <v>279</v>
      </c>
      <c r="N262" t="s">
        <v>56</v>
      </c>
      <c r="O262" s="1">
        <v>45863</v>
      </c>
      <c r="P262" s="1">
        <v>45955</v>
      </c>
      <c r="Q262" s="2">
        <v>50.3</v>
      </c>
      <c r="R262">
        <v>1</v>
      </c>
      <c r="S262" t="s">
        <v>57</v>
      </c>
      <c r="T262" t="s">
        <v>58</v>
      </c>
      <c r="U262" s="3">
        <v>0.375</v>
      </c>
      <c r="V262" s="2">
        <v>0</v>
      </c>
      <c r="W262">
        <v>0</v>
      </c>
      <c r="X262" t="s">
        <v>70</v>
      </c>
      <c r="Y262" t="s">
        <v>60</v>
      </c>
      <c r="Z262">
        <v>0</v>
      </c>
      <c r="AA262" s="2">
        <v>0</v>
      </c>
      <c r="AB262" s="2">
        <v>0</v>
      </c>
      <c r="AC262" s="4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18.86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</row>
    <row r="263" spans="1:42" x14ac:dyDescent="0.25">
      <c r="A263" s="1">
        <v>45922</v>
      </c>
      <c r="B263" t="s">
        <v>47</v>
      </c>
      <c r="C263">
        <v>649163</v>
      </c>
      <c r="D263">
        <v>2030429655</v>
      </c>
      <c r="E263" t="s">
        <v>226</v>
      </c>
      <c r="F263" t="s">
        <v>227</v>
      </c>
      <c r="G263" t="s">
        <v>50</v>
      </c>
      <c r="H263" t="s">
        <v>83</v>
      </c>
      <c r="I263" t="s">
        <v>306</v>
      </c>
      <c r="J263" t="s">
        <v>307</v>
      </c>
      <c r="K263">
        <v>651818</v>
      </c>
      <c r="L263" t="s">
        <v>108</v>
      </c>
      <c r="M263" t="s">
        <v>109</v>
      </c>
      <c r="N263" t="s">
        <v>56</v>
      </c>
      <c r="O263" s="1">
        <v>45889</v>
      </c>
      <c r="P263" s="1">
        <v>45950</v>
      </c>
      <c r="Q263" s="2">
        <v>43.91</v>
      </c>
      <c r="R263">
        <v>1</v>
      </c>
      <c r="S263" t="s">
        <v>57</v>
      </c>
      <c r="T263" t="s">
        <v>58</v>
      </c>
      <c r="U263" s="3">
        <v>0.375</v>
      </c>
      <c r="V263" s="2">
        <v>0</v>
      </c>
      <c r="W263">
        <v>0</v>
      </c>
      <c r="X263" t="s">
        <v>70</v>
      </c>
      <c r="Y263" t="s">
        <v>60</v>
      </c>
      <c r="Z263">
        <v>0</v>
      </c>
      <c r="AA263" s="2">
        <v>0</v>
      </c>
      <c r="AB263" s="2">
        <v>0</v>
      </c>
      <c r="AC263" s="4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16.47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</row>
    <row r="264" spans="1:42" x14ac:dyDescent="0.25">
      <c r="A264" s="1">
        <v>45922</v>
      </c>
      <c r="B264" t="s">
        <v>47</v>
      </c>
      <c r="C264">
        <v>649163</v>
      </c>
      <c r="D264">
        <v>2030461446</v>
      </c>
      <c r="E264" t="s">
        <v>398</v>
      </c>
      <c r="F264" t="s">
        <v>399</v>
      </c>
      <c r="G264" t="s">
        <v>50</v>
      </c>
      <c r="H264" t="s">
        <v>400</v>
      </c>
      <c r="I264" t="s">
        <v>306</v>
      </c>
      <c r="J264" t="s">
        <v>307</v>
      </c>
      <c r="K264">
        <v>767312</v>
      </c>
      <c r="L264" t="s">
        <v>122</v>
      </c>
      <c r="M264" t="s">
        <v>123</v>
      </c>
      <c r="N264" t="s">
        <v>56</v>
      </c>
      <c r="O264" s="1">
        <v>45892</v>
      </c>
      <c r="P264" s="1">
        <v>45953</v>
      </c>
      <c r="Q264" s="2">
        <v>79.27</v>
      </c>
      <c r="R264">
        <v>1</v>
      </c>
      <c r="S264" t="s">
        <v>57</v>
      </c>
      <c r="T264" t="s">
        <v>58</v>
      </c>
      <c r="U264" s="3">
        <v>0.375</v>
      </c>
      <c r="V264" s="2">
        <v>0</v>
      </c>
      <c r="W264">
        <v>0</v>
      </c>
      <c r="X264" t="s">
        <v>70</v>
      </c>
      <c r="Y264" t="s">
        <v>60</v>
      </c>
      <c r="Z264">
        <v>0</v>
      </c>
      <c r="AA264" s="2">
        <v>0</v>
      </c>
      <c r="AB264" s="2">
        <v>0</v>
      </c>
      <c r="AC264" s="4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29.73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</row>
    <row r="265" spans="1:42" x14ac:dyDescent="0.25">
      <c r="A265" s="1">
        <v>45922</v>
      </c>
      <c r="B265" t="s">
        <v>47</v>
      </c>
      <c r="C265">
        <v>649163</v>
      </c>
      <c r="D265">
        <v>2030478246</v>
      </c>
      <c r="E265" t="s">
        <v>117</v>
      </c>
      <c r="F265" t="s">
        <v>401</v>
      </c>
      <c r="G265" t="s">
        <v>50</v>
      </c>
      <c r="H265" t="s">
        <v>402</v>
      </c>
      <c r="I265" t="s">
        <v>306</v>
      </c>
      <c r="J265" t="s">
        <v>307</v>
      </c>
      <c r="K265">
        <v>673059</v>
      </c>
      <c r="L265" t="s">
        <v>152</v>
      </c>
      <c r="M265" t="s">
        <v>153</v>
      </c>
      <c r="N265" t="s">
        <v>56</v>
      </c>
      <c r="O265" s="1">
        <v>45883</v>
      </c>
      <c r="P265" s="1">
        <v>45944</v>
      </c>
      <c r="Q265" s="2">
        <v>69.67</v>
      </c>
      <c r="R265">
        <v>1</v>
      </c>
      <c r="S265" t="s">
        <v>57</v>
      </c>
      <c r="T265" t="s">
        <v>58</v>
      </c>
      <c r="U265" s="3">
        <v>0.375</v>
      </c>
      <c r="V265" s="2">
        <v>0</v>
      </c>
      <c r="W265">
        <v>0</v>
      </c>
      <c r="X265" t="s">
        <v>70</v>
      </c>
      <c r="Y265" t="s">
        <v>60</v>
      </c>
      <c r="Z265">
        <v>0</v>
      </c>
      <c r="AA265" s="2">
        <v>0</v>
      </c>
      <c r="AB265" s="2">
        <v>0</v>
      </c>
      <c r="AC265" s="4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26.13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</row>
    <row r="266" spans="1:42" x14ac:dyDescent="0.25">
      <c r="A266" s="1">
        <v>45922</v>
      </c>
      <c r="B266" t="s">
        <v>47</v>
      </c>
      <c r="C266">
        <v>649163</v>
      </c>
      <c r="D266">
        <v>2030583042</v>
      </c>
      <c r="E266" t="s">
        <v>403</v>
      </c>
      <c r="F266" t="s">
        <v>404</v>
      </c>
      <c r="G266" t="s">
        <v>50</v>
      </c>
      <c r="H266" t="s">
        <v>405</v>
      </c>
      <c r="I266" t="s">
        <v>306</v>
      </c>
      <c r="J266" t="s">
        <v>307</v>
      </c>
      <c r="K266">
        <v>820140</v>
      </c>
      <c r="L266" t="s">
        <v>406</v>
      </c>
      <c r="M266" t="s">
        <v>95</v>
      </c>
      <c r="N266" t="s">
        <v>56</v>
      </c>
      <c r="O266" s="1">
        <v>45889</v>
      </c>
      <c r="P266" s="1">
        <v>45950</v>
      </c>
      <c r="Q266" s="2">
        <v>123.26</v>
      </c>
      <c r="R266">
        <v>1</v>
      </c>
      <c r="S266" t="s">
        <v>57</v>
      </c>
      <c r="T266" t="s">
        <v>58</v>
      </c>
      <c r="U266" s="3">
        <v>9.5000000000000001E-2</v>
      </c>
      <c r="V266" s="2">
        <v>0</v>
      </c>
      <c r="W266">
        <v>0</v>
      </c>
      <c r="X266" t="s">
        <v>70</v>
      </c>
      <c r="Y266" t="s">
        <v>60</v>
      </c>
      <c r="Z266">
        <v>0</v>
      </c>
      <c r="AA266" s="2">
        <v>0</v>
      </c>
      <c r="AB266" s="2">
        <v>0</v>
      </c>
      <c r="AC266" s="4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11.71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</row>
    <row r="267" spans="1:42" x14ac:dyDescent="0.25">
      <c r="A267" s="1">
        <v>45922</v>
      </c>
      <c r="B267" t="s">
        <v>47</v>
      </c>
      <c r="C267">
        <v>649163</v>
      </c>
      <c r="D267">
        <v>2030590884</v>
      </c>
      <c r="E267" t="s">
        <v>407</v>
      </c>
      <c r="F267" t="s">
        <v>393</v>
      </c>
      <c r="G267" t="s">
        <v>50</v>
      </c>
      <c r="H267" t="s">
        <v>408</v>
      </c>
      <c r="I267" t="s">
        <v>306</v>
      </c>
      <c r="J267" t="s">
        <v>307</v>
      </c>
      <c r="K267">
        <v>767312</v>
      </c>
      <c r="L267" t="s">
        <v>122</v>
      </c>
      <c r="M267" t="s">
        <v>123</v>
      </c>
      <c r="N267" t="s">
        <v>56</v>
      </c>
      <c r="O267" s="1">
        <v>45890</v>
      </c>
      <c r="P267" s="1">
        <v>45951</v>
      </c>
      <c r="Q267" s="2">
        <v>17.37</v>
      </c>
      <c r="R267">
        <v>1</v>
      </c>
      <c r="S267" t="s">
        <v>57</v>
      </c>
      <c r="T267" t="s">
        <v>58</v>
      </c>
      <c r="U267" s="3">
        <v>0.375</v>
      </c>
      <c r="V267" s="2">
        <v>0</v>
      </c>
      <c r="W267">
        <v>0</v>
      </c>
      <c r="X267" t="s">
        <v>70</v>
      </c>
      <c r="Y267" t="s">
        <v>60</v>
      </c>
      <c r="Z267">
        <v>0</v>
      </c>
      <c r="AA267" s="2">
        <v>0</v>
      </c>
      <c r="AB267" s="2">
        <v>0</v>
      </c>
      <c r="AC267" s="4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6.51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</row>
    <row r="268" spans="1:42" x14ac:dyDescent="0.25">
      <c r="A268" s="1">
        <v>45922</v>
      </c>
      <c r="B268" t="s">
        <v>47</v>
      </c>
      <c r="C268">
        <v>649163</v>
      </c>
      <c r="D268">
        <v>2030601614</v>
      </c>
      <c r="E268" t="s">
        <v>409</v>
      </c>
      <c r="F268" t="s">
        <v>410</v>
      </c>
      <c r="G268" t="s">
        <v>50</v>
      </c>
      <c r="H268" t="s">
        <v>93</v>
      </c>
      <c r="I268" t="s">
        <v>306</v>
      </c>
      <c r="J268" t="s">
        <v>307</v>
      </c>
      <c r="K268">
        <v>813184</v>
      </c>
      <c r="L268" t="s">
        <v>194</v>
      </c>
      <c r="M268" t="s">
        <v>195</v>
      </c>
      <c r="N268" t="s">
        <v>56</v>
      </c>
      <c r="O268" s="1">
        <v>45891</v>
      </c>
      <c r="P268" s="1">
        <v>45952</v>
      </c>
      <c r="Q268" s="2">
        <v>63.37</v>
      </c>
      <c r="R268">
        <v>1</v>
      </c>
      <c r="S268" t="s">
        <v>57</v>
      </c>
      <c r="T268" t="s">
        <v>58</v>
      </c>
      <c r="U268" s="3">
        <v>0.375</v>
      </c>
      <c r="V268" s="2">
        <v>0</v>
      </c>
      <c r="W268">
        <v>0</v>
      </c>
      <c r="X268" t="s">
        <v>70</v>
      </c>
      <c r="Y268" t="s">
        <v>60</v>
      </c>
      <c r="Z268">
        <v>0</v>
      </c>
      <c r="AA268" s="2">
        <v>0</v>
      </c>
      <c r="AB268" s="2">
        <v>0</v>
      </c>
      <c r="AC268" s="4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23.76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</row>
    <row r="269" spans="1:42" x14ac:dyDescent="0.25">
      <c r="A269" s="1">
        <v>45922</v>
      </c>
      <c r="B269" t="s">
        <v>47</v>
      </c>
      <c r="C269">
        <v>649163</v>
      </c>
      <c r="D269">
        <v>2030601875</v>
      </c>
      <c r="E269" t="s">
        <v>411</v>
      </c>
      <c r="F269" t="s">
        <v>123</v>
      </c>
      <c r="G269" t="s">
        <v>50</v>
      </c>
      <c r="H269" t="s">
        <v>51</v>
      </c>
      <c r="I269" t="s">
        <v>306</v>
      </c>
      <c r="J269" t="s">
        <v>307</v>
      </c>
      <c r="K269">
        <v>702406</v>
      </c>
      <c r="L269" t="s">
        <v>54</v>
      </c>
      <c r="M269" t="s">
        <v>55</v>
      </c>
      <c r="N269" t="s">
        <v>56</v>
      </c>
      <c r="O269" s="1">
        <v>45890</v>
      </c>
      <c r="P269" s="1">
        <v>45951</v>
      </c>
      <c r="Q269" s="2">
        <v>36.65</v>
      </c>
      <c r="R269">
        <v>1</v>
      </c>
      <c r="S269" t="s">
        <v>57</v>
      </c>
      <c r="T269" t="s">
        <v>58</v>
      </c>
      <c r="U269" s="3">
        <v>0.375</v>
      </c>
      <c r="V269" s="2">
        <v>0</v>
      </c>
      <c r="W269">
        <v>0</v>
      </c>
      <c r="X269" t="s">
        <v>70</v>
      </c>
      <c r="Y269" t="s">
        <v>60</v>
      </c>
      <c r="Z269">
        <v>0</v>
      </c>
      <c r="AA269" s="2">
        <v>0</v>
      </c>
      <c r="AB269" s="2">
        <v>0</v>
      </c>
      <c r="AC269" s="4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13.74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</row>
    <row r="270" spans="1:42" x14ac:dyDescent="0.25">
      <c r="A270" s="1">
        <v>45922</v>
      </c>
      <c r="B270" t="s">
        <v>47</v>
      </c>
      <c r="C270">
        <v>649163</v>
      </c>
      <c r="D270">
        <v>2030670142</v>
      </c>
      <c r="E270" t="s">
        <v>412</v>
      </c>
      <c r="F270" t="s">
        <v>413</v>
      </c>
      <c r="G270" t="s">
        <v>50</v>
      </c>
      <c r="H270" t="s">
        <v>51</v>
      </c>
      <c r="I270" t="s">
        <v>306</v>
      </c>
      <c r="J270" t="s">
        <v>307</v>
      </c>
      <c r="K270">
        <v>650218</v>
      </c>
      <c r="L270" t="s">
        <v>73</v>
      </c>
      <c r="M270" t="s">
        <v>74</v>
      </c>
      <c r="N270" t="s">
        <v>56</v>
      </c>
      <c r="O270" s="1">
        <v>45895</v>
      </c>
      <c r="P270" s="1">
        <v>45956</v>
      </c>
      <c r="Q270" s="2">
        <v>36.11</v>
      </c>
      <c r="R270">
        <v>1</v>
      </c>
      <c r="S270" t="s">
        <v>57</v>
      </c>
      <c r="T270" t="s">
        <v>58</v>
      </c>
      <c r="U270" s="3">
        <v>0.375</v>
      </c>
      <c r="V270" s="2">
        <v>0</v>
      </c>
      <c r="W270">
        <v>0</v>
      </c>
      <c r="X270" t="s">
        <v>70</v>
      </c>
      <c r="Y270" t="s">
        <v>60</v>
      </c>
      <c r="Z270">
        <v>0</v>
      </c>
      <c r="AA270" s="2">
        <v>0</v>
      </c>
      <c r="AB270" s="2">
        <v>0</v>
      </c>
      <c r="AC270" s="4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13.54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</row>
    <row r="271" spans="1:42" x14ac:dyDescent="0.25">
      <c r="A271" s="1">
        <v>45922</v>
      </c>
      <c r="B271" t="s">
        <v>47</v>
      </c>
      <c r="C271">
        <v>649163</v>
      </c>
      <c r="D271">
        <v>2030846037</v>
      </c>
      <c r="E271" t="s">
        <v>414</v>
      </c>
      <c r="F271" t="s">
        <v>415</v>
      </c>
      <c r="G271" t="s">
        <v>50</v>
      </c>
      <c r="H271" t="s">
        <v>115</v>
      </c>
      <c r="I271" t="s">
        <v>306</v>
      </c>
      <c r="J271" t="s">
        <v>307</v>
      </c>
      <c r="K271">
        <v>822865</v>
      </c>
      <c r="L271" t="s">
        <v>158</v>
      </c>
      <c r="M271" t="s">
        <v>159</v>
      </c>
      <c r="N271" t="s">
        <v>230</v>
      </c>
      <c r="O271" s="1">
        <v>45913</v>
      </c>
      <c r="P271" s="1">
        <v>45943</v>
      </c>
      <c r="Q271" s="2">
        <v>-28.38</v>
      </c>
      <c r="R271">
        <v>1</v>
      </c>
      <c r="S271" t="s">
        <v>57</v>
      </c>
      <c r="T271" t="s">
        <v>96</v>
      </c>
      <c r="U271" s="3">
        <v>0.375</v>
      </c>
      <c r="V271" s="2">
        <v>0</v>
      </c>
      <c r="W271">
        <v>-1</v>
      </c>
      <c r="X271" t="s">
        <v>70</v>
      </c>
      <c r="Y271" t="s">
        <v>60</v>
      </c>
      <c r="Z271">
        <v>0</v>
      </c>
      <c r="AA271" s="2">
        <v>0</v>
      </c>
      <c r="AB271" s="2">
        <v>0</v>
      </c>
      <c r="AC271" s="4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-10.64</v>
      </c>
      <c r="AM271" s="2">
        <v>-10.64</v>
      </c>
      <c r="AN271" s="2">
        <v>0</v>
      </c>
      <c r="AO271" s="2">
        <v>0</v>
      </c>
      <c r="AP271" s="2">
        <v>0</v>
      </c>
    </row>
    <row r="272" spans="1:42" x14ac:dyDescent="0.25">
      <c r="A272" s="1">
        <v>45922</v>
      </c>
      <c r="B272" t="s">
        <v>47</v>
      </c>
      <c r="C272">
        <v>649163</v>
      </c>
      <c r="D272">
        <v>2030978541</v>
      </c>
      <c r="E272" t="s">
        <v>416</v>
      </c>
      <c r="F272" t="s">
        <v>417</v>
      </c>
      <c r="G272" t="s">
        <v>50</v>
      </c>
      <c r="H272" t="s">
        <v>115</v>
      </c>
      <c r="I272" t="s">
        <v>306</v>
      </c>
      <c r="J272" t="s">
        <v>307</v>
      </c>
      <c r="K272">
        <v>822865</v>
      </c>
      <c r="L272" t="s">
        <v>158</v>
      </c>
      <c r="M272" t="s">
        <v>159</v>
      </c>
      <c r="N272" t="s">
        <v>56</v>
      </c>
      <c r="O272" s="1">
        <v>45889</v>
      </c>
      <c r="P272" s="1">
        <v>45950</v>
      </c>
      <c r="Q272" s="2">
        <v>33.39</v>
      </c>
      <c r="R272">
        <v>1</v>
      </c>
      <c r="S272" t="s">
        <v>57</v>
      </c>
      <c r="T272" t="s">
        <v>418</v>
      </c>
      <c r="U272" s="3">
        <v>0.375</v>
      </c>
      <c r="V272" s="2">
        <v>0</v>
      </c>
      <c r="W272">
        <v>0</v>
      </c>
      <c r="X272" t="s">
        <v>70</v>
      </c>
      <c r="Y272" t="s">
        <v>60</v>
      </c>
      <c r="Z272">
        <v>0</v>
      </c>
      <c r="AA272" s="2">
        <v>0</v>
      </c>
      <c r="AB272" s="2">
        <v>0</v>
      </c>
      <c r="AC272" s="4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12.52</v>
      </c>
      <c r="AM272" s="2">
        <v>12.52</v>
      </c>
      <c r="AN272" s="2">
        <v>0</v>
      </c>
      <c r="AO272" s="2">
        <v>0</v>
      </c>
      <c r="AP272" s="2">
        <v>0</v>
      </c>
    </row>
    <row r="273" spans="1:42" x14ac:dyDescent="0.25">
      <c r="A273" s="1">
        <v>45922</v>
      </c>
      <c r="B273" t="s">
        <v>47</v>
      </c>
      <c r="C273">
        <v>649163</v>
      </c>
      <c r="D273">
        <v>2023139788</v>
      </c>
      <c r="E273" t="s">
        <v>247</v>
      </c>
      <c r="F273" t="s">
        <v>248</v>
      </c>
      <c r="G273" t="s">
        <v>50</v>
      </c>
      <c r="H273" t="s">
        <v>77</v>
      </c>
      <c r="I273" t="s">
        <v>430</v>
      </c>
      <c r="J273" t="s">
        <v>431</v>
      </c>
      <c r="K273">
        <v>751867</v>
      </c>
      <c r="L273" t="s">
        <v>84</v>
      </c>
      <c r="M273" t="s">
        <v>85</v>
      </c>
      <c r="N273" t="s">
        <v>56</v>
      </c>
      <c r="O273" s="1">
        <v>45432</v>
      </c>
      <c r="P273" s="1">
        <v>45950</v>
      </c>
      <c r="Q273" s="2">
        <v>25.14</v>
      </c>
      <c r="R273">
        <v>1</v>
      </c>
      <c r="S273" t="s">
        <v>57</v>
      </c>
      <c r="T273" t="s">
        <v>58</v>
      </c>
      <c r="U273" s="4">
        <v>0.1</v>
      </c>
      <c r="V273" s="2">
        <v>0</v>
      </c>
      <c r="W273">
        <v>0</v>
      </c>
      <c r="X273" t="s">
        <v>59</v>
      </c>
      <c r="Y273" t="s">
        <v>60</v>
      </c>
      <c r="Z273">
        <v>0</v>
      </c>
      <c r="AA273" s="2">
        <v>0</v>
      </c>
      <c r="AB273" s="2">
        <v>0</v>
      </c>
      <c r="AC273" s="4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2.5099999999999998</v>
      </c>
      <c r="AM273" s="2">
        <v>2.5099999999999998</v>
      </c>
      <c r="AN273" s="2">
        <v>0</v>
      </c>
      <c r="AO273" s="2">
        <v>0</v>
      </c>
      <c r="AP273" s="2">
        <v>0</v>
      </c>
    </row>
    <row r="274" spans="1:42" x14ac:dyDescent="0.25">
      <c r="A274" s="1">
        <v>45922</v>
      </c>
      <c r="B274" t="s">
        <v>47</v>
      </c>
      <c r="C274">
        <v>649163</v>
      </c>
      <c r="D274">
        <v>2024010323</v>
      </c>
      <c r="E274" t="s">
        <v>432</v>
      </c>
      <c r="F274" t="s">
        <v>281</v>
      </c>
      <c r="G274" t="s">
        <v>50</v>
      </c>
      <c r="H274" t="s">
        <v>51</v>
      </c>
      <c r="I274" t="s">
        <v>430</v>
      </c>
      <c r="J274" t="s">
        <v>431</v>
      </c>
      <c r="K274">
        <v>649247</v>
      </c>
      <c r="L274" t="s">
        <v>68</v>
      </c>
      <c r="M274" t="s">
        <v>69</v>
      </c>
      <c r="N274" t="s">
        <v>56</v>
      </c>
      <c r="O274" s="1">
        <v>45493</v>
      </c>
      <c r="P274" s="1">
        <v>45950</v>
      </c>
      <c r="Q274" s="2">
        <v>41.73</v>
      </c>
      <c r="R274">
        <v>1</v>
      </c>
      <c r="S274" t="s">
        <v>57</v>
      </c>
      <c r="T274" t="s">
        <v>58</v>
      </c>
      <c r="U274" s="4">
        <v>0.1</v>
      </c>
      <c r="V274" s="2">
        <v>0</v>
      </c>
      <c r="W274">
        <v>0</v>
      </c>
      <c r="X274" t="s">
        <v>59</v>
      </c>
      <c r="Y274" t="s">
        <v>60</v>
      </c>
      <c r="Z274">
        <v>0</v>
      </c>
      <c r="AA274" s="2">
        <v>0</v>
      </c>
      <c r="AB274" s="2">
        <v>0</v>
      </c>
      <c r="AC274" s="4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4.17</v>
      </c>
      <c r="AM274" s="2">
        <v>4.17</v>
      </c>
      <c r="AN274" s="2">
        <v>0</v>
      </c>
      <c r="AO274" s="2">
        <v>0</v>
      </c>
      <c r="AP274" s="2">
        <v>0</v>
      </c>
    </row>
    <row r="275" spans="1:42" x14ac:dyDescent="0.25">
      <c r="A275" s="1">
        <v>45922</v>
      </c>
      <c r="B275" t="s">
        <v>47</v>
      </c>
      <c r="C275">
        <v>649163</v>
      </c>
      <c r="D275">
        <v>2026146811</v>
      </c>
      <c r="E275" t="s">
        <v>253</v>
      </c>
      <c r="F275" t="s">
        <v>254</v>
      </c>
      <c r="G275" t="s">
        <v>50</v>
      </c>
      <c r="H275" t="s">
        <v>255</v>
      </c>
      <c r="I275" t="s">
        <v>430</v>
      </c>
      <c r="J275" t="s">
        <v>431</v>
      </c>
      <c r="K275">
        <v>650218</v>
      </c>
      <c r="L275" t="s">
        <v>73</v>
      </c>
      <c r="M275" t="s">
        <v>74</v>
      </c>
      <c r="N275" t="s">
        <v>56</v>
      </c>
      <c r="O275" s="1">
        <v>45658</v>
      </c>
      <c r="P275" s="1">
        <v>45931</v>
      </c>
      <c r="Q275" s="2">
        <v>35.35</v>
      </c>
      <c r="R275">
        <v>1</v>
      </c>
      <c r="S275" t="s">
        <v>57</v>
      </c>
      <c r="T275" t="s">
        <v>58</v>
      </c>
      <c r="U275" s="4">
        <v>0.38</v>
      </c>
      <c r="V275" s="2">
        <v>0</v>
      </c>
      <c r="W275">
        <v>0</v>
      </c>
      <c r="X275" t="s">
        <v>70</v>
      </c>
      <c r="Y275" t="s">
        <v>60</v>
      </c>
      <c r="Z275">
        <v>0</v>
      </c>
      <c r="AA275" s="2">
        <v>0</v>
      </c>
      <c r="AB275" s="2">
        <v>0</v>
      </c>
      <c r="AC275" s="4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13.43</v>
      </c>
      <c r="AM275" s="2">
        <v>13.43</v>
      </c>
      <c r="AN275" s="2">
        <v>0</v>
      </c>
      <c r="AO275" s="2">
        <v>0</v>
      </c>
      <c r="AP275" s="2">
        <v>0</v>
      </c>
    </row>
    <row r="276" spans="1:42" x14ac:dyDescent="0.25">
      <c r="A276" s="1">
        <v>45922</v>
      </c>
      <c r="B276" t="s">
        <v>47</v>
      </c>
      <c r="C276">
        <v>649163</v>
      </c>
      <c r="D276">
        <v>2026262564</v>
      </c>
      <c r="E276" t="s">
        <v>139</v>
      </c>
      <c r="F276" t="s">
        <v>140</v>
      </c>
      <c r="G276" t="s">
        <v>50</v>
      </c>
      <c r="H276" t="s">
        <v>141</v>
      </c>
      <c r="I276" t="s">
        <v>430</v>
      </c>
      <c r="J276" t="s">
        <v>431</v>
      </c>
      <c r="K276">
        <v>816021</v>
      </c>
      <c r="L276" t="s">
        <v>142</v>
      </c>
      <c r="M276" t="s">
        <v>143</v>
      </c>
      <c r="N276" t="s">
        <v>56</v>
      </c>
      <c r="O276" s="1">
        <v>45647</v>
      </c>
      <c r="P276" s="1">
        <v>45951</v>
      </c>
      <c r="Q276" s="2">
        <v>16.91</v>
      </c>
      <c r="R276">
        <v>1</v>
      </c>
      <c r="S276" t="s">
        <v>57</v>
      </c>
      <c r="T276" t="s">
        <v>58</v>
      </c>
      <c r="U276" s="4">
        <v>0.38</v>
      </c>
      <c r="V276" s="2">
        <v>0</v>
      </c>
      <c r="W276">
        <v>0</v>
      </c>
      <c r="X276" t="s">
        <v>70</v>
      </c>
      <c r="Y276" t="s">
        <v>60</v>
      </c>
      <c r="Z276">
        <v>0</v>
      </c>
      <c r="AA276" s="2">
        <v>0</v>
      </c>
      <c r="AB276" s="2">
        <v>0</v>
      </c>
      <c r="AC276" s="4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6.43</v>
      </c>
      <c r="AM276" s="2">
        <v>6.43</v>
      </c>
      <c r="AN276" s="2">
        <v>0</v>
      </c>
      <c r="AO276" s="2">
        <v>0</v>
      </c>
      <c r="AP276" s="2">
        <v>0</v>
      </c>
    </row>
    <row r="277" spans="1:42" x14ac:dyDescent="0.25">
      <c r="A277" s="1">
        <v>45922</v>
      </c>
      <c r="B277" t="s">
        <v>47</v>
      </c>
      <c r="C277">
        <v>649163</v>
      </c>
      <c r="D277">
        <v>2026265884</v>
      </c>
      <c r="E277" t="s">
        <v>154</v>
      </c>
      <c r="F277" t="s">
        <v>256</v>
      </c>
      <c r="G277" t="s">
        <v>50</v>
      </c>
      <c r="H277" t="s">
        <v>115</v>
      </c>
      <c r="I277" t="s">
        <v>430</v>
      </c>
      <c r="J277" t="s">
        <v>431</v>
      </c>
      <c r="K277">
        <v>756418</v>
      </c>
      <c r="L277" t="s">
        <v>257</v>
      </c>
      <c r="M277" t="s">
        <v>258</v>
      </c>
      <c r="N277" t="s">
        <v>56</v>
      </c>
      <c r="O277" s="1">
        <v>45647</v>
      </c>
      <c r="P277" s="1">
        <v>45951</v>
      </c>
      <c r="Q277" s="2">
        <v>18.579999999999998</v>
      </c>
      <c r="R277">
        <v>1</v>
      </c>
      <c r="S277" t="s">
        <v>57</v>
      </c>
      <c r="T277" t="s">
        <v>58</v>
      </c>
      <c r="U277" s="4">
        <v>0.38</v>
      </c>
      <c r="V277" s="2">
        <v>0</v>
      </c>
      <c r="W277">
        <v>0</v>
      </c>
      <c r="X277" t="s">
        <v>70</v>
      </c>
      <c r="Y277" t="s">
        <v>60</v>
      </c>
      <c r="Z277">
        <v>0</v>
      </c>
      <c r="AA277" s="2">
        <v>0</v>
      </c>
      <c r="AB277" s="2">
        <v>0</v>
      </c>
      <c r="AC277" s="4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7.06</v>
      </c>
      <c r="AM277" s="2">
        <v>7.06</v>
      </c>
      <c r="AN277" s="2">
        <v>0</v>
      </c>
      <c r="AO277" s="2">
        <v>0</v>
      </c>
      <c r="AP277" s="2">
        <v>0</v>
      </c>
    </row>
    <row r="278" spans="1:42" x14ac:dyDescent="0.25">
      <c r="A278" s="1">
        <v>45922</v>
      </c>
      <c r="B278" t="s">
        <v>47</v>
      </c>
      <c r="C278">
        <v>649163</v>
      </c>
      <c r="D278">
        <v>2026603377</v>
      </c>
      <c r="E278" t="s">
        <v>433</v>
      </c>
      <c r="F278" t="s">
        <v>434</v>
      </c>
      <c r="G278" t="s">
        <v>50</v>
      </c>
      <c r="H278" t="s">
        <v>51</v>
      </c>
      <c r="I278" t="s">
        <v>430</v>
      </c>
      <c r="J278" t="s">
        <v>431</v>
      </c>
      <c r="K278">
        <v>751867</v>
      </c>
      <c r="L278" t="s">
        <v>84</v>
      </c>
      <c r="M278" t="s">
        <v>85</v>
      </c>
      <c r="N278" t="s">
        <v>56</v>
      </c>
      <c r="O278" s="1">
        <v>45673</v>
      </c>
      <c r="P278" s="1">
        <v>45946</v>
      </c>
      <c r="Q278" s="2">
        <v>55.16</v>
      </c>
      <c r="R278">
        <v>1</v>
      </c>
      <c r="S278" t="s">
        <v>57</v>
      </c>
      <c r="T278" t="s">
        <v>58</v>
      </c>
      <c r="U278" s="4">
        <v>0.38</v>
      </c>
      <c r="V278" s="2">
        <v>0</v>
      </c>
      <c r="W278">
        <v>0</v>
      </c>
      <c r="X278" t="s">
        <v>70</v>
      </c>
      <c r="Y278" t="s">
        <v>60</v>
      </c>
      <c r="Z278">
        <v>0</v>
      </c>
      <c r="AA278" s="2">
        <v>0</v>
      </c>
      <c r="AB278" s="2">
        <v>0</v>
      </c>
      <c r="AC278" s="4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20.96</v>
      </c>
      <c r="AM278" s="2">
        <v>20.96</v>
      </c>
      <c r="AN278" s="2">
        <v>0</v>
      </c>
      <c r="AO278" s="2">
        <v>0</v>
      </c>
      <c r="AP278" s="2">
        <v>0</v>
      </c>
    </row>
    <row r="279" spans="1:42" x14ac:dyDescent="0.25">
      <c r="A279" s="1">
        <v>45922</v>
      </c>
      <c r="B279" t="s">
        <v>47</v>
      </c>
      <c r="C279">
        <v>649163</v>
      </c>
      <c r="D279">
        <v>2026740150</v>
      </c>
      <c r="E279" t="s">
        <v>71</v>
      </c>
      <c r="F279" t="s">
        <v>72</v>
      </c>
      <c r="G279" t="s">
        <v>50</v>
      </c>
      <c r="H279" t="s">
        <v>51</v>
      </c>
      <c r="I279" t="s">
        <v>430</v>
      </c>
      <c r="J279" t="s">
        <v>431</v>
      </c>
      <c r="K279">
        <v>650218</v>
      </c>
      <c r="L279" t="s">
        <v>73</v>
      </c>
      <c r="M279" t="s">
        <v>74</v>
      </c>
      <c r="N279" t="s">
        <v>56</v>
      </c>
      <c r="O279" s="1">
        <v>45681</v>
      </c>
      <c r="P279" s="1">
        <v>45954</v>
      </c>
      <c r="Q279" s="2">
        <v>53.16</v>
      </c>
      <c r="R279">
        <v>1</v>
      </c>
      <c r="S279" t="s">
        <v>57</v>
      </c>
      <c r="T279" t="s">
        <v>58</v>
      </c>
      <c r="U279" s="4">
        <v>0.38</v>
      </c>
      <c r="V279" s="2">
        <v>0</v>
      </c>
      <c r="W279">
        <v>0</v>
      </c>
      <c r="X279" t="s">
        <v>70</v>
      </c>
      <c r="Y279" t="s">
        <v>60</v>
      </c>
      <c r="Z279">
        <v>0</v>
      </c>
      <c r="AA279" s="2">
        <v>0</v>
      </c>
      <c r="AB279" s="2">
        <v>0</v>
      </c>
      <c r="AC279" s="4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20.2</v>
      </c>
      <c r="AM279" s="2">
        <v>20.2</v>
      </c>
      <c r="AN279" s="2">
        <v>0</v>
      </c>
      <c r="AO279" s="2">
        <v>0</v>
      </c>
      <c r="AP279" s="2">
        <v>0</v>
      </c>
    </row>
    <row r="280" spans="1:42" x14ac:dyDescent="0.25">
      <c r="A280" s="1">
        <v>45922</v>
      </c>
      <c r="B280" t="s">
        <v>47</v>
      </c>
      <c r="C280">
        <v>649163</v>
      </c>
      <c r="D280">
        <v>2027010990</v>
      </c>
      <c r="E280" t="s">
        <v>154</v>
      </c>
      <c r="F280" t="s">
        <v>155</v>
      </c>
      <c r="G280" t="s">
        <v>50</v>
      </c>
      <c r="H280" t="s">
        <v>141</v>
      </c>
      <c r="I280" t="s">
        <v>430</v>
      </c>
      <c r="J280" t="s">
        <v>431</v>
      </c>
      <c r="K280">
        <v>816021</v>
      </c>
      <c r="L280" t="s">
        <v>142</v>
      </c>
      <c r="M280" t="s">
        <v>143</v>
      </c>
      <c r="N280" t="s">
        <v>56</v>
      </c>
      <c r="O280" s="1">
        <v>45697</v>
      </c>
      <c r="P280" s="1">
        <v>45939</v>
      </c>
      <c r="Q280" s="2">
        <v>29.31</v>
      </c>
      <c r="R280">
        <v>1</v>
      </c>
      <c r="S280" t="s">
        <v>57</v>
      </c>
      <c r="T280" t="s">
        <v>58</v>
      </c>
      <c r="U280" s="4">
        <v>0.38</v>
      </c>
      <c r="V280" s="2">
        <v>0</v>
      </c>
      <c r="W280">
        <v>0</v>
      </c>
      <c r="X280" t="s">
        <v>70</v>
      </c>
      <c r="Y280" t="s">
        <v>60</v>
      </c>
      <c r="Z280">
        <v>0</v>
      </c>
      <c r="AA280" s="2">
        <v>0</v>
      </c>
      <c r="AB280" s="2">
        <v>0</v>
      </c>
      <c r="AC280" s="4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11.14</v>
      </c>
      <c r="AM280" s="2">
        <v>11.14</v>
      </c>
      <c r="AN280" s="2">
        <v>0</v>
      </c>
      <c r="AO280" s="2">
        <v>0</v>
      </c>
      <c r="AP280" s="2">
        <v>0</v>
      </c>
    </row>
    <row r="281" spans="1:42" x14ac:dyDescent="0.25">
      <c r="A281" s="1">
        <v>45922</v>
      </c>
      <c r="B281" t="s">
        <v>47</v>
      </c>
      <c r="C281">
        <v>649163</v>
      </c>
      <c r="D281">
        <v>2027642347</v>
      </c>
      <c r="E281" t="s">
        <v>162</v>
      </c>
      <c r="F281" t="s">
        <v>163</v>
      </c>
      <c r="G281" t="s">
        <v>50</v>
      </c>
      <c r="H281" t="s">
        <v>127</v>
      </c>
      <c r="I281" t="s">
        <v>430</v>
      </c>
      <c r="J281" t="s">
        <v>431</v>
      </c>
      <c r="K281">
        <v>651818</v>
      </c>
      <c r="L281" t="s">
        <v>108</v>
      </c>
      <c r="M281" t="s">
        <v>109</v>
      </c>
      <c r="N281" t="s">
        <v>56</v>
      </c>
      <c r="O281" s="1">
        <v>45754</v>
      </c>
      <c r="P281" s="1">
        <v>45937</v>
      </c>
      <c r="Q281" s="2">
        <v>21.53</v>
      </c>
      <c r="R281">
        <v>1</v>
      </c>
      <c r="S281" t="s">
        <v>57</v>
      </c>
      <c r="T281" t="s">
        <v>58</v>
      </c>
      <c r="U281" s="4">
        <v>0.38</v>
      </c>
      <c r="V281" s="2">
        <v>0</v>
      </c>
      <c r="W281">
        <v>0</v>
      </c>
      <c r="X281" t="s">
        <v>70</v>
      </c>
      <c r="Y281" t="s">
        <v>60</v>
      </c>
      <c r="Z281">
        <v>0</v>
      </c>
      <c r="AA281" s="2">
        <v>0</v>
      </c>
      <c r="AB281" s="2">
        <v>0</v>
      </c>
      <c r="AC281" s="4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8.18</v>
      </c>
      <c r="AM281" s="2">
        <v>8.18</v>
      </c>
      <c r="AN281" s="2">
        <v>0</v>
      </c>
      <c r="AO281" s="2">
        <v>0</v>
      </c>
      <c r="AP281" s="2">
        <v>0</v>
      </c>
    </row>
    <row r="282" spans="1:42" x14ac:dyDescent="0.25">
      <c r="A282" s="1">
        <v>45922</v>
      </c>
      <c r="B282" t="s">
        <v>47</v>
      </c>
      <c r="C282">
        <v>649163</v>
      </c>
      <c r="D282">
        <v>2027867340</v>
      </c>
      <c r="E282" t="s">
        <v>164</v>
      </c>
      <c r="F282" t="s">
        <v>165</v>
      </c>
      <c r="G282" t="s">
        <v>50</v>
      </c>
      <c r="H282" t="s">
        <v>141</v>
      </c>
      <c r="I282" t="s">
        <v>430</v>
      </c>
      <c r="J282" t="s">
        <v>431</v>
      </c>
      <c r="K282">
        <v>816021</v>
      </c>
      <c r="L282" t="s">
        <v>142</v>
      </c>
      <c r="M282" t="s">
        <v>143</v>
      </c>
      <c r="N282" t="s">
        <v>56</v>
      </c>
      <c r="O282" s="1">
        <v>45736</v>
      </c>
      <c r="P282" s="1">
        <v>45950</v>
      </c>
      <c r="Q282" s="2">
        <v>16.91</v>
      </c>
      <c r="R282">
        <v>1</v>
      </c>
      <c r="S282" t="s">
        <v>57</v>
      </c>
      <c r="T282" t="s">
        <v>58</v>
      </c>
      <c r="U282" s="4">
        <v>0.38</v>
      </c>
      <c r="V282" s="2">
        <v>0</v>
      </c>
      <c r="W282">
        <v>0</v>
      </c>
      <c r="X282" t="s">
        <v>70</v>
      </c>
      <c r="Y282" t="s">
        <v>60</v>
      </c>
      <c r="Z282">
        <v>0</v>
      </c>
      <c r="AA282" s="2">
        <v>0</v>
      </c>
      <c r="AB282" s="2">
        <v>0</v>
      </c>
      <c r="AC282" s="4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6.43</v>
      </c>
      <c r="AM282" s="2">
        <v>6.43</v>
      </c>
      <c r="AN282" s="2">
        <v>0</v>
      </c>
      <c r="AO282" s="2">
        <v>0</v>
      </c>
      <c r="AP282" s="2">
        <v>0</v>
      </c>
    </row>
    <row r="283" spans="1:42" x14ac:dyDescent="0.25">
      <c r="A283" s="1">
        <v>45922</v>
      </c>
      <c r="B283" t="s">
        <v>47</v>
      </c>
      <c r="C283">
        <v>649163</v>
      </c>
      <c r="D283">
        <v>2027913473</v>
      </c>
      <c r="E283" t="s">
        <v>166</v>
      </c>
      <c r="F283" t="s">
        <v>167</v>
      </c>
      <c r="G283" t="s">
        <v>50</v>
      </c>
      <c r="H283" t="s">
        <v>141</v>
      </c>
      <c r="I283" t="s">
        <v>430</v>
      </c>
      <c r="J283" t="s">
        <v>431</v>
      </c>
      <c r="K283">
        <v>816021</v>
      </c>
      <c r="L283" t="s">
        <v>142</v>
      </c>
      <c r="M283" t="s">
        <v>143</v>
      </c>
      <c r="N283" t="s">
        <v>56</v>
      </c>
      <c r="O283" s="1">
        <v>45738</v>
      </c>
      <c r="P283" s="1">
        <v>45952</v>
      </c>
      <c r="Q283" s="2">
        <v>40.270000000000003</v>
      </c>
      <c r="R283">
        <v>1</v>
      </c>
      <c r="S283" t="s">
        <v>57</v>
      </c>
      <c r="T283" t="s">
        <v>58</v>
      </c>
      <c r="U283" s="4">
        <v>0.38</v>
      </c>
      <c r="V283" s="2">
        <v>0</v>
      </c>
      <c r="W283">
        <v>0</v>
      </c>
      <c r="X283" t="s">
        <v>70</v>
      </c>
      <c r="Y283" t="s">
        <v>60</v>
      </c>
      <c r="Z283">
        <v>0</v>
      </c>
      <c r="AA283" s="2">
        <v>0</v>
      </c>
      <c r="AB283" s="2">
        <v>0</v>
      </c>
      <c r="AC283" s="4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15.3</v>
      </c>
      <c r="AM283" s="2">
        <v>15.3</v>
      </c>
      <c r="AN283" s="2">
        <v>0</v>
      </c>
      <c r="AO283" s="2">
        <v>0</v>
      </c>
      <c r="AP283" s="2">
        <v>0</v>
      </c>
    </row>
    <row r="284" spans="1:42" x14ac:dyDescent="0.25">
      <c r="A284" s="1">
        <v>45922</v>
      </c>
      <c r="B284" t="s">
        <v>47</v>
      </c>
      <c r="C284">
        <v>649163</v>
      </c>
      <c r="D284">
        <v>2028000915</v>
      </c>
      <c r="E284" t="s">
        <v>435</v>
      </c>
      <c r="F284" t="s">
        <v>436</v>
      </c>
      <c r="G284" t="s">
        <v>50</v>
      </c>
      <c r="H284" t="s">
        <v>437</v>
      </c>
      <c r="I284" t="s">
        <v>430</v>
      </c>
      <c r="J284" t="s">
        <v>438</v>
      </c>
      <c r="K284">
        <v>824062</v>
      </c>
      <c r="L284" t="s">
        <v>200</v>
      </c>
      <c r="M284" t="s">
        <v>201</v>
      </c>
      <c r="N284" t="s">
        <v>56</v>
      </c>
      <c r="O284" s="1">
        <v>45770</v>
      </c>
      <c r="P284" s="1">
        <v>45953</v>
      </c>
      <c r="Q284" s="2">
        <v>131.32</v>
      </c>
      <c r="R284">
        <v>1</v>
      </c>
      <c r="S284" t="s">
        <v>57</v>
      </c>
      <c r="T284" t="s">
        <v>58</v>
      </c>
      <c r="U284" s="4">
        <v>0.38</v>
      </c>
      <c r="V284" s="2">
        <v>0</v>
      </c>
      <c r="W284">
        <v>0</v>
      </c>
      <c r="X284" t="s">
        <v>70</v>
      </c>
      <c r="Y284" t="s">
        <v>60</v>
      </c>
      <c r="Z284">
        <v>0</v>
      </c>
      <c r="AA284" s="2">
        <v>0</v>
      </c>
      <c r="AB284" s="2">
        <v>0</v>
      </c>
      <c r="AC284" s="4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49.9</v>
      </c>
      <c r="AM284" s="2">
        <v>49.9</v>
      </c>
      <c r="AN284" s="2">
        <v>0</v>
      </c>
      <c r="AO284" s="2">
        <v>0</v>
      </c>
      <c r="AP284" s="2">
        <v>0</v>
      </c>
    </row>
    <row r="285" spans="1:42" x14ac:dyDescent="0.25">
      <c r="A285" s="1">
        <v>45922</v>
      </c>
      <c r="B285" t="s">
        <v>47</v>
      </c>
      <c r="C285">
        <v>649163</v>
      </c>
      <c r="D285">
        <v>2028000916</v>
      </c>
      <c r="E285" t="s">
        <v>435</v>
      </c>
      <c r="F285" t="s">
        <v>436</v>
      </c>
      <c r="G285" t="s">
        <v>50</v>
      </c>
      <c r="H285" t="s">
        <v>437</v>
      </c>
      <c r="I285" t="s">
        <v>430</v>
      </c>
      <c r="J285" t="s">
        <v>439</v>
      </c>
      <c r="K285">
        <v>824062</v>
      </c>
      <c r="L285" t="s">
        <v>200</v>
      </c>
      <c r="M285" t="s">
        <v>201</v>
      </c>
      <c r="N285" t="s">
        <v>56</v>
      </c>
      <c r="O285" s="1">
        <v>45770</v>
      </c>
      <c r="P285" s="1">
        <v>45953</v>
      </c>
      <c r="Q285" s="2">
        <v>7.09</v>
      </c>
      <c r="R285">
        <v>1</v>
      </c>
      <c r="S285" t="s">
        <v>57</v>
      </c>
      <c r="T285" t="s">
        <v>58</v>
      </c>
      <c r="U285" s="4">
        <v>0.38</v>
      </c>
      <c r="V285" s="2">
        <v>0</v>
      </c>
      <c r="W285">
        <v>0</v>
      </c>
      <c r="X285" t="s">
        <v>70</v>
      </c>
      <c r="Y285" t="s">
        <v>60</v>
      </c>
      <c r="Z285">
        <v>0</v>
      </c>
      <c r="AA285" s="2">
        <v>0</v>
      </c>
      <c r="AB285" s="2">
        <v>0</v>
      </c>
      <c r="AC285" s="4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2.69</v>
      </c>
      <c r="AM285" s="2">
        <v>2.69</v>
      </c>
      <c r="AN285" s="2">
        <v>0</v>
      </c>
      <c r="AO285" s="2">
        <v>0</v>
      </c>
      <c r="AP285" s="2">
        <v>0</v>
      </c>
    </row>
    <row r="286" spans="1:42" x14ac:dyDescent="0.25">
      <c r="A286" s="1">
        <v>45922</v>
      </c>
      <c r="B286" t="s">
        <v>47</v>
      </c>
      <c r="C286">
        <v>649163</v>
      </c>
      <c r="D286">
        <v>2028466945</v>
      </c>
      <c r="E286" t="s">
        <v>176</v>
      </c>
      <c r="F286" t="s">
        <v>177</v>
      </c>
      <c r="G286" t="s">
        <v>50</v>
      </c>
      <c r="H286" t="s">
        <v>141</v>
      </c>
      <c r="I286" t="s">
        <v>430</v>
      </c>
      <c r="J286" t="s">
        <v>431</v>
      </c>
      <c r="K286">
        <v>816021</v>
      </c>
      <c r="L286" t="s">
        <v>142</v>
      </c>
      <c r="M286" t="s">
        <v>143</v>
      </c>
      <c r="N286" t="s">
        <v>56</v>
      </c>
      <c r="O286" s="1">
        <v>45767</v>
      </c>
      <c r="P286" s="1">
        <v>45950</v>
      </c>
      <c r="Q286" s="2">
        <v>19.39</v>
      </c>
      <c r="R286">
        <v>1</v>
      </c>
      <c r="S286" t="s">
        <v>57</v>
      </c>
      <c r="T286" t="s">
        <v>58</v>
      </c>
      <c r="U286" s="4">
        <v>0.38</v>
      </c>
      <c r="V286" s="2">
        <v>0</v>
      </c>
      <c r="W286">
        <v>0</v>
      </c>
      <c r="X286" t="s">
        <v>70</v>
      </c>
      <c r="Y286" t="s">
        <v>60</v>
      </c>
      <c r="Z286">
        <v>0</v>
      </c>
      <c r="AA286" s="2">
        <v>0</v>
      </c>
      <c r="AB286" s="2">
        <v>0</v>
      </c>
      <c r="AC286" s="4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7.37</v>
      </c>
      <c r="AM286" s="2">
        <v>7.37</v>
      </c>
      <c r="AN286" s="2">
        <v>0</v>
      </c>
      <c r="AO286" s="2">
        <v>0</v>
      </c>
      <c r="AP286" s="2">
        <v>0</v>
      </c>
    </row>
    <row r="287" spans="1:42" x14ac:dyDescent="0.25">
      <c r="A287" s="1">
        <v>45922</v>
      </c>
      <c r="B287" t="s">
        <v>47</v>
      </c>
      <c r="C287">
        <v>649163</v>
      </c>
      <c r="D287">
        <v>2028533939</v>
      </c>
      <c r="E287" t="s">
        <v>259</v>
      </c>
      <c r="F287" t="s">
        <v>260</v>
      </c>
      <c r="G287" t="s">
        <v>50</v>
      </c>
      <c r="H287" t="s">
        <v>93</v>
      </c>
      <c r="I287" t="s">
        <v>430</v>
      </c>
      <c r="J287" t="s">
        <v>438</v>
      </c>
      <c r="K287">
        <v>820873</v>
      </c>
      <c r="L287" t="s">
        <v>262</v>
      </c>
      <c r="M287" t="s">
        <v>263</v>
      </c>
      <c r="N287" t="s">
        <v>56</v>
      </c>
      <c r="O287" s="1">
        <v>45770</v>
      </c>
      <c r="P287" s="1">
        <v>45953</v>
      </c>
      <c r="Q287" s="2">
        <v>139</v>
      </c>
      <c r="R287">
        <v>1</v>
      </c>
      <c r="S287" t="s">
        <v>57</v>
      </c>
      <c r="T287" t="s">
        <v>58</v>
      </c>
      <c r="U287" s="4">
        <v>0.38</v>
      </c>
      <c r="V287" s="2">
        <v>0</v>
      </c>
      <c r="W287">
        <v>0</v>
      </c>
      <c r="X287" t="s">
        <v>70</v>
      </c>
      <c r="Y287" t="s">
        <v>60</v>
      </c>
      <c r="Z287">
        <v>0</v>
      </c>
      <c r="AA287" s="2">
        <v>0</v>
      </c>
      <c r="AB287" s="2">
        <v>0</v>
      </c>
      <c r="AC287" s="4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52.82</v>
      </c>
      <c r="AM287" s="2">
        <v>52.82</v>
      </c>
      <c r="AN287" s="2">
        <v>0</v>
      </c>
      <c r="AO287" s="2">
        <v>0</v>
      </c>
      <c r="AP287" s="2">
        <v>0</v>
      </c>
    </row>
    <row r="288" spans="1:42" x14ac:dyDescent="0.25">
      <c r="A288" s="1">
        <v>45922</v>
      </c>
      <c r="B288" t="s">
        <v>47</v>
      </c>
      <c r="C288">
        <v>649163</v>
      </c>
      <c r="D288">
        <v>2029021814</v>
      </c>
      <c r="E288" t="s">
        <v>267</v>
      </c>
      <c r="F288" t="s">
        <v>268</v>
      </c>
      <c r="G288" t="s">
        <v>50</v>
      </c>
      <c r="H288" t="s">
        <v>151</v>
      </c>
      <c r="I288" t="s">
        <v>430</v>
      </c>
      <c r="J288" t="s">
        <v>431</v>
      </c>
      <c r="K288">
        <v>650218</v>
      </c>
      <c r="L288" t="s">
        <v>73</v>
      </c>
      <c r="M288" t="s">
        <v>74</v>
      </c>
      <c r="N288" t="s">
        <v>56</v>
      </c>
      <c r="O288" s="1">
        <v>45797</v>
      </c>
      <c r="P288" s="1">
        <v>45950</v>
      </c>
      <c r="Q288" s="2">
        <v>20.76</v>
      </c>
      <c r="R288">
        <v>1</v>
      </c>
      <c r="S288" t="s">
        <v>57</v>
      </c>
      <c r="T288" t="s">
        <v>58</v>
      </c>
      <c r="U288" s="4">
        <v>0.38</v>
      </c>
      <c r="V288" s="2">
        <v>0</v>
      </c>
      <c r="W288">
        <v>0</v>
      </c>
      <c r="X288" t="s">
        <v>70</v>
      </c>
      <c r="Y288" t="s">
        <v>60</v>
      </c>
      <c r="Z288">
        <v>0</v>
      </c>
      <c r="AA288" s="2">
        <v>0</v>
      </c>
      <c r="AB288" s="2">
        <v>0</v>
      </c>
      <c r="AC288" s="4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7.89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</row>
    <row r="289" spans="1:42" x14ac:dyDescent="0.25">
      <c r="A289" s="1">
        <v>45922</v>
      </c>
      <c r="B289" t="s">
        <v>47</v>
      </c>
      <c r="C289">
        <v>649163</v>
      </c>
      <c r="D289">
        <v>2029038483</v>
      </c>
      <c r="E289" t="s">
        <v>186</v>
      </c>
      <c r="F289" t="s">
        <v>187</v>
      </c>
      <c r="G289" t="s">
        <v>50</v>
      </c>
      <c r="H289" t="s">
        <v>188</v>
      </c>
      <c r="I289" t="s">
        <v>430</v>
      </c>
      <c r="J289" t="s">
        <v>440</v>
      </c>
      <c r="K289">
        <v>673059</v>
      </c>
      <c r="L289" t="s">
        <v>152</v>
      </c>
      <c r="M289" t="s">
        <v>153</v>
      </c>
      <c r="N289" t="s">
        <v>56</v>
      </c>
      <c r="O289" s="1">
        <v>45798</v>
      </c>
      <c r="P289" s="1">
        <v>45951</v>
      </c>
      <c r="Q289" s="2">
        <v>146.72999999999999</v>
      </c>
      <c r="R289">
        <v>1</v>
      </c>
      <c r="S289" t="s">
        <v>57</v>
      </c>
      <c r="T289" t="s">
        <v>58</v>
      </c>
      <c r="U289" s="4">
        <v>0.19</v>
      </c>
      <c r="V289" s="2">
        <v>0</v>
      </c>
      <c r="W289">
        <v>0</v>
      </c>
      <c r="X289" t="s">
        <v>70</v>
      </c>
      <c r="Y289" t="s">
        <v>60</v>
      </c>
      <c r="Z289">
        <v>0</v>
      </c>
      <c r="AA289" s="2">
        <v>0</v>
      </c>
      <c r="AB289" s="2">
        <v>0</v>
      </c>
      <c r="AC289" s="4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27.88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</row>
    <row r="290" spans="1:42" x14ac:dyDescent="0.25">
      <c r="A290" s="1">
        <v>45922</v>
      </c>
      <c r="B290" t="s">
        <v>47</v>
      </c>
      <c r="C290">
        <v>649163</v>
      </c>
      <c r="D290">
        <v>2029038484</v>
      </c>
      <c r="E290" t="s">
        <v>186</v>
      </c>
      <c r="F290" t="s">
        <v>187</v>
      </c>
      <c r="G290" t="s">
        <v>50</v>
      </c>
      <c r="H290" t="s">
        <v>188</v>
      </c>
      <c r="I290" t="s">
        <v>430</v>
      </c>
      <c r="J290" t="s">
        <v>439</v>
      </c>
      <c r="K290">
        <v>673059</v>
      </c>
      <c r="L290" t="s">
        <v>152</v>
      </c>
      <c r="M290" t="s">
        <v>153</v>
      </c>
      <c r="N290" t="s">
        <v>56</v>
      </c>
      <c r="O290" s="1">
        <v>45798</v>
      </c>
      <c r="P290" s="1">
        <v>45951</v>
      </c>
      <c r="Q290" s="2">
        <v>7.09</v>
      </c>
      <c r="R290">
        <v>1</v>
      </c>
      <c r="S290" t="s">
        <v>57</v>
      </c>
      <c r="T290" t="s">
        <v>58</v>
      </c>
      <c r="U290" s="4">
        <v>0.38</v>
      </c>
      <c r="V290" s="2">
        <v>0</v>
      </c>
      <c r="W290">
        <v>0</v>
      </c>
      <c r="X290" t="s">
        <v>70</v>
      </c>
      <c r="Y290" t="s">
        <v>60</v>
      </c>
      <c r="Z290">
        <v>0</v>
      </c>
      <c r="AA290" s="2">
        <v>0</v>
      </c>
      <c r="AB290" s="2">
        <v>0</v>
      </c>
      <c r="AC290" s="4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2.69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</row>
    <row r="291" spans="1:42" x14ac:dyDescent="0.25">
      <c r="A291" s="1">
        <v>45922</v>
      </c>
      <c r="B291" t="s">
        <v>47</v>
      </c>
      <c r="C291">
        <v>649163</v>
      </c>
      <c r="D291">
        <v>2029620627</v>
      </c>
      <c r="E291" t="s">
        <v>198</v>
      </c>
      <c r="F291" t="s">
        <v>199</v>
      </c>
      <c r="G291" t="s">
        <v>50</v>
      </c>
      <c r="H291" t="s">
        <v>93</v>
      </c>
      <c r="I291" t="s">
        <v>430</v>
      </c>
      <c r="J291" t="s">
        <v>438</v>
      </c>
      <c r="K291">
        <v>824062</v>
      </c>
      <c r="L291" t="s">
        <v>200</v>
      </c>
      <c r="M291" t="s">
        <v>201</v>
      </c>
      <c r="N291" t="s">
        <v>56</v>
      </c>
      <c r="O291" s="1">
        <v>45833</v>
      </c>
      <c r="P291" s="1">
        <v>45955</v>
      </c>
      <c r="Q291" s="2">
        <v>226.98</v>
      </c>
      <c r="R291">
        <v>1</v>
      </c>
      <c r="S291" t="s">
        <v>57</v>
      </c>
      <c r="T291" t="s">
        <v>58</v>
      </c>
      <c r="U291" s="4">
        <v>0.38</v>
      </c>
      <c r="V291" s="2">
        <v>0</v>
      </c>
      <c r="W291">
        <v>0</v>
      </c>
      <c r="X291" t="s">
        <v>70</v>
      </c>
      <c r="Y291" t="s">
        <v>60</v>
      </c>
      <c r="Z291">
        <v>0</v>
      </c>
      <c r="AA291" s="2">
        <v>0</v>
      </c>
      <c r="AB291" s="2">
        <v>0</v>
      </c>
      <c r="AC291" s="4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86.25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</row>
    <row r="292" spans="1:42" x14ac:dyDescent="0.25">
      <c r="A292" s="1">
        <v>45922</v>
      </c>
      <c r="B292" t="s">
        <v>47</v>
      </c>
      <c r="C292">
        <v>649163</v>
      </c>
      <c r="D292">
        <v>2029620628</v>
      </c>
      <c r="E292" t="s">
        <v>198</v>
      </c>
      <c r="F292" t="s">
        <v>199</v>
      </c>
      <c r="G292" t="s">
        <v>50</v>
      </c>
      <c r="H292" t="s">
        <v>93</v>
      </c>
      <c r="I292" t="s">
        <v>430</v>
      </c>
      <c r="J292" t="s">
        <v>439</v>
      </c>
      <c r="K292">
        <v>824062</v>
      </c>
      <c r="L292" t="s">
        <v>200</v>
      </c>
      <c r="M292" t="s">
        <v>201</v>
      </c>
      <c r="N292" t="s">
        <v>56</v>
      </c>
      <c r="O292" s="1">
        <v>45833</v>
      </c>
      <c r="P292" s="1">
        <v>45955</v>
      </c>
      <c r="Q292" s="2">
        <v>7.09</v>
      </c>
      <c r="R292">
        <v>1</v>
      </c>
      <c r="S292" t="s">
        <v>57</v>
      </c>
      <c r="T292" t="s">
        <v>58</v>
      </c>
      <c r="U292" s="4">
        <v>0.38</v>
      </c>
      <c r="V292" s="2">
        <v>0</v>
      </c>
      <c r="W292">
        <v>0</v>
      </c>
      <c r="X292" t="s">
        <v>70</v>
      </c>
      <c r="Y292" t="s">
        <v>60</v>
      </c>
      <c r="Z292">
        <v>0</v>
      </c>
      <c r="AA292" s="2">
        <v>0</v>
      </c>
      <c r="AB292" s="2">
        <v>0</v>
      </c>
      <c r="AC292" s="4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2.69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</row>
    <row r="293" spans="1:42" x14ac:dyDescent="0.25">
      <c r="A293" s="1">
        <v>45922</v>
      </c>
      <c r="B293" t="s">
        <v>47</v>
      </c>
      <c r="C293">
        <v>649163</v>
      </c>
      <c r="D293">
        <v>2029623274</v>
      </c>
      <c r="E293" t="s">
        <v>271</v>
      </c>
      <c r="F293" t="s">
        <v>272</v>
      </c>
      <c r="G293" t="s">
        <v>50</v>
      </c>
      <c r="H293" t="s">
        <v>93</v>
      </c>
      <c r="I293" t="s">
        <v>430</v>
      </c>
      <c r="J293" t="s">
        <v>438</v>
      </c>
      <c r="K293">
        <v>840313</v>
      </c>
      <c r="L293" t="s">
        <v>273</v>
      </c>
      <c r="M293" t="s">
        <v>274</v>
      </c>
      <c r="N293" t="s">
        <v>56</v>
      </c>
      <c r="O293" s="1">
        <v>45833</v>
      </c>
      <c r="P293" s="1">
        <v>45955</v>
      </c>
      <c r="Q293" s="2">
        <v>172.55</v>
      </c>
      <c r="R293">
        <v>1</v>
      </c>
      <c r="S293" t="s">
        <v>57</v>
      </c>
      <c r="T293" t="s">
        <v>58</v>
      </c>
      <c r="U293" s="4">
        <v>0.38</v>
      </c>
      <c r="V293" s="2">
        <v>0</v>
      </c>
      <c r="W293">
        <v>0</v>
      </c>
      <c r="X293" t="s">
        <v>70</v>
      </c>
      <c r="Y293" t="s">
        <v>60</v>
      </c>
      <c r="Z293">
        <v>0</v>
      </c>
      <c r="AA293" s="2">
        <v>0</v>
      </c>
      <c r="AB293" s="2">
        <v>0</v>
      </c>
      <c r="AC293" s="4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65.569999999999993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</row>
    <row r="294" spans="1:42" x14ac:dyDescent="0.25">
      <c r="A294" s="1">
        <v>45922</v>
      </c>
      <c r="B294" t="s">
        <v>47</v>
      </c>
      <c r="C294">
        <v>649163</v>
      </c>
      <c r="D294">
        <v>2029623275</v>
      </c>
      <c r="E294" t="s">
        <v>271</v>
      </c>
      <c r="F294" t="s">
        <v>272</v>
      </c>
      <c r="G294" t="s">
        <v>50</v>
      </c>
      <c r="H294" t="s">
        <v>93</v>
      </c>
      <c r="I294" t="s">
        <v>430</v>
      </c>
      <c r="J294" t="s">
        <v>439</v>
      </c>
      <c r="K294">
        <v>840313</v>
      </c>
      <c r="L294" t="s">
        <v>273</v>
      </c>
      <c r="M294" t="s">
        <v>274</v>
      </c>
      <c r="N294" t="s">
        <v>56</v>
      </c>
      <c r="O294" s="1">
        <v>45833</v>
      </c>
      <c r="P294" s="1">
        <v>45955</v>
      </c>
      <c r="Q294" s="2">
        <v>7.09</v>
      </c>
      <c r="R294">
        <v>1</v>
      </c>
      <c r="S294" t="s">
        <v>57</v>
      </c>
      <c r="T294" t="s">
        <v>58</v>
      </c>
      <c r="U294" s="4">
        <v>0.38</v>
      </c>
      <c r="V294" s="2">
        <v>0</v>
      </c>
      <c r="W294">
        <v>0</v>
      </c>
      <c r="X294" t="s">
        <v>70</v>
      </c>
      <c r="Y294" t="s">
        <v>60</v>
      </c>
      <c r="Z294">
        <v>0</v>
      </c>
      <c r="AA294" s="2">
        <v>0</v>
      </c>
      <c r="AB294" s="2">
        <v>0</v>
      </c>
      <c r="AC294" s="4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2.69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</row>
    <row r="295" spans="1:42" x14ac:dyDescent="0.25">
      <c r="A295" s="1">
        <v>45922</v>
      </c>
      <c r="B295" t="s">
        <v>47</v>
      </c>
      <c r="C295">
        <v>649163</v>
      </c>
      <c r="D295">
        <v>2029623276</v>
      </c>
      <c r="E295" t="s">
        <v>271</v>
      </c>
      <c r="F295" t="s">
        <v>272</v>
      </c>
      <c r="G295" t="s">
        <v>50</v>
      </c>
      <c r="H295" t="s">
        <v>93</v>
      </c>
      <c r="I295" t="s">
        <v>430</v>
      </c>
      <c r="J295" t="s">
        <v>431</v>
      </c>
      <c r="K295">
        <v>840313</v>
      </c>
      <c r="L295" t="s">
        <v>273</v>
      </c>
      <c r="M295" t="s">
        <v>274</v>
      </c>
      <c r="N295" t="s">
        <v>56</v>
      </c>
      <c r="O295" s="1">
        <v>45833</v>
      </c>
      <c r="P295" s="1">
        <v>45955</v>
      </c>
      <c r="Q295" s="2">
        <v>11.71</v>
      </c>
      <c r="R295">
        <v>1</v>
      </c>
      <c r="S295" t="s">
        <v>57</v>
      </c>
      <c r="T295" t="s">
        <v>58</v>
      </c>
      <c r="U295" s="4">
        <v>0.38</v>
      </c>
      <c r="V295" s="2">
        <v>0</v>
      </c>
      <c r="W295">
        <v>0</v>
      </c>
      <c r="X295" t="s">
        <v>70</v>
      </c>
      <c r="Y295" t="s">
        <v>60</v>
      </c>
      <c r="Z295">
        <v>0</v>
      </c>
      <c r="AA295" s="2">
        <v>0</v>
      </c>
      <c r="AB295" s="2">
        <v>0</v>
      </c>
      <c r="AC295" s="4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4.45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</row>
    <row r="296" spans="1:42" x14ac:dyDescent="0.25">
      <c r="A296" s="1">
        <v>45922</v>
      </c>
      <c r="B296" t="s">
        <v>47</v>
      </c>
      <c r="C296">
        <v>649163</v>
      </c>
      <c r="D296">
        <v>2030085145</v>
      </c>
      <c r="E296" t="s">
        <v>217</v>
      </c>
      <c r="F296" t="s">
        <v>218</v>
      </c>
      <c r="G296" t="s">
        <v>50</v>
      </c>
      <c r="H296" t="s">
        <v>93</v>
      </c>
      <c r="I296" t="s">
        <v>430</v>
      </c>
      <c r="J296" t="s">
        <v>440</v>
      </c>
      <c r="K296">
        <v>673059</v>
      </c>
      <c r="L296" t="s">
        <v>152</v>
      </c>
      <c r="M296" t="s">
        <v>153</v>
      </c>
      <c r="N296" t="s">
        <v>56</v>
      </c>
      <c r="O296" s="1">
        <v>45861</v>
      </c>
      <c r="P296" s="1">
        <v>45953</v>
      </c>
      <c r="Q296" s="2">
        <v>218.73</v>
      </c>
      <c r="R296">
        <v>1</v>
      </c>
      <c r="S296" t="s">
        <v>57</v>
      </c>
      <c r="T296" t="s">
        <v>58</v>
      </c>
      <c r="U296" s="4">
        <v>0.19</v>
      </c>
      <c r="V296" s="2">
        <v>0</v>
      </c>
      <c r="W296">
        <v>0</v>
      </c>
      <c r="X296" t="s">
        <v>70</v>
      </c>
      <c r="Y296" t="s">
        <v>60</v>
      </c>
      <c r="Z296">
        <v>0</v>
      </c>
      <c r="AA296" s="2">
        <v>0</v>
      </c>
      <c r="AB296" s="2">
        <v>0</v>
      </c>
      <c r="AC296" s="4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41.56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</row>
    <row r="297" spans="1:42" x14ac:dyDescent="0.25">
      <c r="A297" s="1">
        <v>45922</v>
      </c>
      <c r="B297" t="s">
        <v>47</v>
      </c>
      <c r="C297">
        <v>649163</v>
      </c>
      <c r="D297">
        <v>2030085146</v>
      </c>
      <c r="E297" t="s">
        <v>217</v>
      </c>
      <c r="F297" t="s">
        <v>218</v>
      </c>
      <c r="G297" t="s">
        <v>50</v>
      </c>
      <c r="H297" t="s">
        <v>93</v>
      </c>
      <c r="I297" t="s">
        <v>430</v>
      </c>
      <c r="J297" t="s">
        <v>439</v>
      </c>
      <c r="K297">
        <v>673059</v>
      </c>
      <c r="L297" t="s">
        <v>152</v>
      </c>
      <c r="M297" t="s">
        <v>153</v>
      </c>
      <c r="N297" t="s">
        <v>56</v>
      </c>
      <c r="O297" s="1">
        <v>45861</v>
      </c>
      <c r="P297" s="1">
        <v>45953</v>
      </c>
      <c r="Q297" s="2">
        <v>7.09</v>
      </c>
      <c r="R297">
        <v>1</v>
      </c>
      <c r="S297" t="s">
        <v>57</v>
      </c>
      <c r="T297" t="s">
        <v>58</v>
      </c>
      <c r="U297" s="4">
        <v>0.38</v>
      </c>
      <c r="V297" s="2">
        <v>0</v>
      </c>
      <c r="W297">
        <v>0</v>
      </c>
      <c r="X297" t="s">
        <v>70</v>
      </c>
      <c r="Y297" t="s">
        <v>60</v>
      </c>
      <c r="Z297">
        <v>0</v>
      </c>
      <c r="AA297" s="2">
        <v>0</v>
      </c>
      <c r="AB297" s="2">
        <v>0</v>
      </c>
      <c r="AC297" s="4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2.69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</row>
    <row r="298" spans="1:42" x14ac:dyDescent="0.25">
      <c r="A298" s="1">
        <v>45922</v>
      </c>
      <c r="B298" t="s">
        <v>47</v>
      </c>
      <c r="C298">
        <v>649163</v>
      </c>
      <c r="D298">
        <v>2030093004</v>
      </c>
      <c r="E298" t="s">
        <v>275</v>
      </c>
      <c r="F298" t="s">
        <v>276</v>
      </c>
      <c r="G298" t="s">
        <v>50</v>
      </c>
      <c r="H298" t="s">
        <v>115</v>
      </c>
      <c r="I298" t="s">
        <v>430</v>
      </c>
      <c r="J298" t="s">
        <v>438</v>
      </c>
      <c r="K298">
        <v>650218</v>
      </c>
      <c r="L298" t="s">
        <v>73</v>
      </c>
      <c r="M298" t="s">
        <v>74</v>
      </c>
      <c r="N298" t="s">
        <v>56</v>
      </c>
      <c r="O298" s="1">
        <v>45861</v>
      </c>
      <c r="P298" s="1">
        <v>45953</v>
      </c>
      <c r="Q298" s="2">
        <v>217.56</v>
      </c>
      <c r="R298">
        <v>1</v>
      </c>
      <c r="S298" t="s">
        <v>57</v>
      </c>
      <c r="T298" t="s">
        <v>58</v>
      </c>
      <c r="U298" s="4">
        <v>0.38</v>
      </c>
      <c r="V298" s="2">
        <v>0</v>
      </c>
      <c r="W298">
        <v>0</v>
      </c>
      <c r="X298" t="s">
        <v>70</v>
      </c>
      <c r="Y298" t="s">
        <v>60</v>
      </c>
      <c r="Z298">
        <v>0</v>
      </c>
      <c r="AA298" s="2">
        <v>0</v>
      </c>
      <c r="AB298" s="2">
        <v>0</v>
      </c>
      <c r="AC298" s="4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82.67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</row>
    <row r="299" spans="1:42" x14ac:dyDescent="0.25">
      <c r="A299" s="1">
        <v>45922</v>
      </c>
      <c r="B299" t="s">
        <v>47</v>
      </c>
      <c r="C299">
        <v>649163</v>
      </c>
      <c r="D299">
        <v>2030093005</v>
      </c>
      <c r="E299" t="s">
        <v>275</v>
      </c>
      <c r="F299" t="s">
        <v>276</v>
      </c>
      <c r="G299" t="s">
        <v>50</v>
      </c>
      <c r="H299" t="s">
        <v>115</v>
      </c>
      <c r="I299" t="s">
        <v>430</v>
      </c>
      <c r="J299" t="s">
        <v>439</v>
      </c>
      <c r="K299">
        <v>650218</v>
      </c>
      <c r="L299" t="s">
        <v>73</v>
      </c>
      <c r="M299" t="s">
        <v>74</v>
      </c>
      <c r="N299" t="s">
        <v>56</v>
      </c>
      <c r="O299" s="1">
        <v>45861</v>
      </c>
      <c r="P299" s="1">
        <v>45953</v>
      </c>
      <c r="Q299" s="2">
        <v>7.09</v>
      </c>
      <c r="R299">
        <v>1</v>
      </c>
      <c r="S299" t="s">
        <v>57</v>
      </c>
      <c r="T299" t="s">
        <v>58</v>
      </c>
      <c r="U299" s="4">
        <v>0.38</v>
      </c>
      <c r="V299" s="2">
        <v>0</v>
      </c>
      <c r="W299">
        <v>0</v>
      </c>
      <c r="X299" t="s">
        <v>70</v>
      </c>
      <c r="Y299" t="s">
        <v>60</v>
      </c>
      <c r="Z299">
        <v>0</v>
      </c>
      <c r="AA299" s="2">
        <v>0</v>
      </c>
      <c r="AB299" s="2">
        <v>0</v>
      </c>
      <c r="AC299" s="4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2.69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</row>
    <row r="300" spans="1:42" x14ac:dyDescent="0.25">
      <c r="A300" s="1">
        <v>45922</v>
      </c>
      <c r="B300" t="s">
        <v>47</v>
      </c>
      <c r="C300">
        <v>649163</v>
      </c>
      <c r="D300">
        <v>2030105688</v>
      </c>
      <c r="E300" t="s">
        <v>277</v>
      </c>
      <c r="F300" t="s">
        <v>278</v>
      </c>
      <c r="G300" t="s">
        <v>50</v>
      </c>
      <c r="H300" t="s">
        <v>93</v>
      </c>
      <c r="I300" t="s">
        <v>430</v>
      </c>
      <c r="J300" t="s">
        <v>438</v>
      </c>
      <c r="K300">
        <v>856163</v>
      </c>
      <c r="L300" t="s">
        <v>79</v>
      </c>
      <c r="M300" t="s">
        <v>279</v>
      </c>
      <c r="N300" t="s">
        <v>56</v>
      </c>
      <c r="O300" s="1">
        <v>45862</v>
      </c>
      <c r="P300" s="1">
        <v>45954</v>
      </c>
      <c r="Q300" s="2">
        <v>616.1</v>
      </c>
      <c r="R300">
        <v>1</v>
      </c>
      <c r="S300" t="s">
        <v>57</v>
      </c>
      <c r="T300" t="s">
        <v>58</v>
      </c>
      <c r="U300" s="4">
        <v>0.38</v>
      </c>
      <c r="V300" s="2">
        <v>0</v>
      </c>
      <c r="W300">
        <v>0</v>
      </c>
      <c r="X300" t="s">
        <v>70</v>
      </c>
      <c r="Y300" t="s">
        <v>60</v>
      </c>
      <c r="Z300">
        <v>0</v>
      </c>
      <c r="AA300" s="2">
        <v>0</v>
      </c>
      <c r="AB300" s="2">
        <v>0</v>
      </c>
      <c r="AC300" s="4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234.12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</row>
    <row r="301" spans="1:42" x14ac:dyDescent="0.25">
      <c r="A301" s="1">
        <v>45922</v>
      </c>
      <c r="B301" t="s">
        <v>47</v>
      </c>
      <c r="C301">
        <v>649163</v>
      </c>
      <c r="D301">
        <v>2030105689</v>
      </c>
      <c r="E301" t="s">
        <v>277</v>
      </c>
      <c r="F301" t="s">
        <v>278</v>
      </c>
      <c r="G301" t="s">
        <v>50</v>
      </c>
      <c r="H301" t="s">
        <v>93</v>
      </c>
      <c r="I301" t="s">
        <v>430</v>
      </c>
      <c r="J301" t="s">
        <v>439</v>
      </c>
      <c r="K301">
        <v>856163</v>
      </c>
      <c r="L301" t="s">
        <v>79</v>
      </c>
      <c r="M301" t="s">
        <v>279</v>
      </c>
      <c r="N301" t="s">
        <v>56</v>
      </c>
      <c r="O301" s="1">
        <v>45862</v>
      </c>
      <c r="P301" s="1">
        <v>45954</v>
      </c>
      <c r="Q301" s="2">
        <v>7.09</v>
      </c>
      <c r="R301">
        <v>1</v>
      </c>
      <c r="S301" t="s">
        <v>57</v>
      </c>
      <c r="T301" t="s">
        <v>58</v>
      </c>
      <c r="U301" s="4">
        <v>0.38</v>
      </c>
      <c r="V301" s="2">
        <v>0</v>
      </c>
      <c r="W301">
        <v>0</v>
      </c>
      <c r="X301" t="s">
        <v>70</v>
      </c>
      <c r="Y301" t="s">
        <v>60</v>
      </c>
      <c r="Z301">
        <v>0</v>
      </c>
      <c r="AA301" s="2">
        <v>0</v>
      </c>
      <c r="AB301" s="2">
        <v>0</v>
      </c>
      <c r="AC301" s="4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2.69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</row>
    <row r="302" spans="1:42" x14ac:dyDescent="0.25">
      <c r="A302" s="1">
        <v>45922</v>
      </c>
      <c r="B302" t="s">
        <v>47</v>
      </c>
      <c r="C302">
        <v>649163</v>
      </c>
      <c r="D302">
        <v>2030108811</v>
      </c>
      <c r="E302" t="s">
        <v>219</v>
      </c>
      <c r="F302" t="s">
        <v>220</v>
      </c>
      <c r="G302" t="s">
        <v>50</v>
      </c>
      <c r="H302" t="s">
        <v>141</v>
      </c>
      <c r="I302" t="s">
        <v>430</v>
      </c>
      <c r="J302" t="s">
        <v>431</v>
      </c>
      <c r="K302">
        <v>796984</v>
      </c>
      <c r="L302" t="s">
        <v>221</v>
      </c>
      <c r="M302" t="s">
        <v>62</v>
      </c>
      <c r="N302" t="s">
        <v>56</v>
      </c>
      <c r="O302" s="1">
        <v>45862</v>
      </c>
      <c r="P302" s="1">
        <v>45954</v>
      </c>
      <c r="Q302" s="2">
        <v>16.91</v>
      </c>
      <c r="R302">
        <v>1</v>
      </c>
      <c r="S302" t="s">
        <v>57</v>
      </c>
      <c r="T302" t="s">
        <v>58</v>
      </c>
      <c r="U302" s="4">
        <v>0.38</v>
      </c>
      <c r="V302" s="2">
        <v>0</v>
      </c>
      <c r="W302">
        <v>0</v>
      </c>
      <c r="X302" t="s">
        <v>70</v>
      </c>
      <c r="Y302" t="s">
        <v>60</v>
      </c>
      <c r="Z302">
        <v>0</v>
      </c>
      <c r="AA302" s="2">
        <v>0</v>
      </c>
      <c r="AB302" s="2">
        <v>0</v>
      </c>
      <c r="AC302" s="4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6.43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</row>
    <row r="303" spans="1:42" x14ac:dyDescent="0.25">
      <c r="A303" s="1">
        <v>45922</v>
      </c>
      <c r="B303" t="s">
        <v>47</v>
      </c>
      <c r="C303">
        <v>649163</v>
      </c>
      <c r="D303">
        <v>2030217702</v>
      </c>
      <c r="E303" t="s">
        <v>280</v>
      </c>
      <c r="F303" t="s">
        <v>281</v>
      </c>
      <c r="G303" t="s">
        <v>50</v>
      </c>
      <c r="H303" t="s">
        <v>93</v>
      </c>
      <c r="I303" t="s">
        <v>430</v>
      </c>
      <c r="J303" t="s">
        <v>431</v>
      </c>
      <c r="K303">
        <v>768887</v>
      </c>
      <c r="L303" t="s">
        <v>282</v>
      </c>
      <c r="M303" t="s">
        <v>283</v>
      </c>
      <c r="N303" t="s">
        <v>56</v>
      </c>
      <c r="O303" s="1">
        <v>45870</v>
      </c>
      <c r="P303" s="1">
        <v>45931</v>
      </c>
      <c r="Q303" s="2">
        <v>-0.93</v>
      </c>
      <c r="R303">
        <v>1</v>
      </c>
      <c r="S303" t="s">
        <v>57</v>
      </c>
      <c r="T303" t="s">
        <v>58</v>
      </c>
      <c r="U303" s="4">
        <v>0.38</v>
      </c>
      <c r="V303" s="2">
        <v>0</v>
      </c>
      <c r="W303">
        <v>-1</v>
      </c>
      <c r="X303" t="s">
        <v>70</v>
      </c>
      <c r="Y303" t="s">
        <v>60</v>
      </c>
      <c r="Z303">
        <v>0</v>
      </c>
      <c r="AA303" s="2">
        <v>0</v>
      </c>
      <c r="AB303" s="2">
        <v>0</v>
      </c>
      <c r="AC303" s="4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-0.35</v>
      </c>
      <c r="AM303" s="2">
        <v>-0.35</v>
      </c>
      <c r="AN303" s="2">
        <v>0</v>
      </c>
      <c r="AO303" s="2">
        <v>0</v>
      </c>
      <c r="AP303" s="2">
        <v>0</v>
      </c>
    </row>
    <row r="304" spans="1:42" x14ac:dyDescent="0.25">
      <c r="A304" s="1">
        <v>45922</v>
      </c>
      <c r="B304" t="s">
        <v>47</v>
      </c>
      <c r="C304">
        <v>649163</v>
      </c>
      <c r="D304">
        <v>2030495947</v>
      </c>
      <c r="E304" t="s">
        <v>284</v>
      </c>
      <c r="F304" t="s">
        <v>285</v>
      </c>
      <c r="G304" t="s">
        <v>50</v>
      </c>
      <c r="H304" t="s">
        <v>93</v>
      </c>
      <c r="I304" t="s">
        <v>430</v>
      </c>
      <c r="J304" t="s">
        <v>438</v>
      </c>
      <c r="K304">
        <v>768887</v>
      </c>
      <c r="L304" t="s">
        <v>282</v>
      </c>
      <c r="M304" t="s">
        <v>283</v>
      </c>
      <c r="N304" t="s">
        <v>56</v>
      </c>
      <c r="O304" s="1">
        <v>45884</v>
      </c>
      <c r="P304" s="1">
        <v>45945</v>
      </c>
      <c r="Q304" s="2">
        <v>-133.03</v>
      </c>
      <c r="R304">
        <v>1</v>
      </c>
      <c r="S304" t="s">
        <v>57</v>
      </c>
      <c r="T304" t="s">
        <v>58</v>
      </c>
      <c r="U304" s="4">
        <v>0.38</v>
      </c>
      <c r="V304" s="2">
        <v>0</v>
      </c>
      <c r="W304">
        <v>-1</v>
      </c>
      <c r="X304" t="s">
        <v>70</v>
      </c>
      <c r="Y304" t="s">
        <v>60</v>
      </c>
      <c r="Z304">
        <v>0</v>
      </c>
      <c r="AA304" s="2">
        <v>0</v>
      </c>
      <c r="AB304" s="2">
        <v>0</v>
      </c>
      <c r="AC304" s="4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-50.55</v>
      </c>
      <c r="AM304" s="2">
        <v>-50.55</v>
      </c>
      <c r="AN304" s="2">
        <v>0</v>
      </c>
      <c r="AO304" s="2">
        <v>0</v>
      </c>
      <c r="AP304" s="2">
        <v>0</v>
      </c>
    </row>
    <row r="305" spans="1:42" x14ac:dyDescent="0.25">
      <c r="A305" s="1">
        <v>45922</v>
      </c>
      <c r="B305" t="s">
        <v>47</v>
      </c>
      <c r="C305">
        <v>649163</v>
      </c>
      <c r="D305">
        <v>2030495948</v>
      </c>
      <c r="E305" t="s">
        <v>284</v>
      </c>
      <c r="F305" t="s">
        <v>285</v>
      </c>
      <c r="G305" t="s">
        <v>50</v>
      </c>
      <c r="H305" t="s">
        <v>93</v>
      </c>
      <c r="I305" t="s">
        <v>430</v>
      </c>
      <c r="J305" t="s">
        <v>439</v>
      </c>
      <c r="K305">
        <v>768887</v>
      </c>
      <c r="L305" t="s">
        <v>282</v>
      </c>
      <c r="M305" t="s">
        <v>283</v>
      </c>
      <c r="N305" t="s">
        <v>56</v>
      </c>
      <c r="O305" s="1">
        <v>45884</v>
      </c>
      <c r="P305" s="1">
        <v>45945</v>
      </c>
      <c r="Q305" s="2">
        <v>-5.2</v>
      </c>
      <c r="R305">
        <v>1</v>
      </c>
      <c r="S305" t="s">
        <v>57</v>
      </c>
      <c r="T305" t="s">
        <v>58</v>
      </c>
      <c r="U305" s="4">
        <v>0.38</v>
      </c>
      <c r="V305" s="2">
        <v>0</v>
      </c>
      <c r="W305">
        <v>-1</v>
      </c>
      <c r="X305" t="s">
        <v>70</v>
      </c>
      <c r="Y305" t="s">
        <v>60</v>
      </c>
      <c r="Z305">
        <v>0</v>
      </c>
      <c r="AA305" s="2">
        <v>0</v>
      </c>
      <c r="AB305" s="2">
        <v>0</v>
      </c>
      <c r="AC305" s="4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-1.98</v>
      </c>
      <c r="AM305" s="2">
        <v>-1.98</v>
      </c>
      <c r="AN305" s="2">
        <v>0</v>
      </c>
      <c r="AO305" s="2">
        <v>0</v>
      </c>
      <c r="AP305" s="2">
        <v>0</v>
      </c>
    </row>
    <row r="306" spans="1:42" x14ac:dyDescent="0.25">
      <c r="A306" s="1">
        <v>45922</v>
      </c>
      <c r="B306" t="s">
        <v>47</v>
      </c>
      <c r="C306">
        <v>649163</v>
      </c>
      <c r="D306">
        <v>2030591796</v>
      </c>
      <c r="E306" t="s">
        <v>286</v>
      </c>
      <c r="F306" t="s">
        <v>287</v>
      </c>
      <c r="G306" t="s">
        <v>50</v>
      </c>
      <c r="H306" t="s">
        <v>93</v>
      </c>
      <c r="I306" t="s">
        <v>430</v>
      </c>
      <c r="J306" t="s">
        <v>438</v>
      </c>
      <c r="K306">
        <v>856163</v>
      </c>
      <c r="L306" t="s">
        <v>79</v>
      </c>
      <c r="M306" t="s">
        <v>279</v>
      </c>
      <c r="N306" t="s">
        <v>56</v>
      </c>
      <c r="O306" s="1">
        <v>45890</v>
      </c>
      <c r="P306" s="1">
        <v>45951</v>
      </c>
      <c r="Q306" s="2">
        <v>187.73</v>
      </c>
      <c r="R306">
        <v>1</v>
      </c>
      <c r="S306" t="s">
        <v>57</v>
      </c>
      <c r="T306" t="s">
        <v>58</v>
      </c>
      <c r="U306" s="4">
        <v>0.38</v>
      </c>
      <c r="V306" s="2">
        <v>0</v>
      </c>
      <c r="W306">
        <v>0</v>
      </c>
      <c r="X306" t="s">
        <v>70</v>
      </c>
      <c r="Y306" t="s">
        <v>60</v>
      </c>
      <c r="Z306">
        <v>0</v>
      </c>
      <c r="AA306" s="2">
        <v>0</v>
      </c>
      <c r="AB306" s="2">
        <v>0</v>
      </c>
      <c r="AC306" s="4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71.34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</row>
    <row r="307" spans="1:42" x14ac:dyDescent="0.25">
      <c r="A307" s="1">
        <v>45922</v>
      </c>
      <c r="B307" t="s">
        <v>47</v>
      </c>
      <c r="C307">
        <v>649163</v>
      </c>
      <c r="D307">
        <v>2030591798</v>
      </c>
      <c r="E307" t="s">
        <v>286</v>
      </c>
      <c r="F307" t="s">
        <v>287</v>
      </c>
      <c r="G307" t="s">
        <v>50</v>
      </c>
      <c r="H307" t="s">
        <v>93</v>
      </c>
      <c r="I307" t="s">
        <v>430</v>
      </c>
      <c r="J307" t="s">
        <v>439</v>
      </c>
      <c r="K307">
        <v>856163</v>
      </c>
      <c r="L307" t="s">
        <v>79</v>
      </c>
      <c r="M307" t="s">
        <v>279</v>
      </c>
      <c r="N307" t="s">
        <v>56</v>
      </c>
      <c r="O307" s="1">
        <v>45890</v>
      </c>
      <c r="P307" s="1">
        <v>45951</v>
      </c>
      <c r="Q307" s="2">
        <v>7.09</v>
      </c>
      <c r="R307">
        <v>1</v>
      </c>
      <c r="S307" t="s">
        <v>57</v>
      </c>
      <c r="T307" t="s">
        <v>58</v>
      </c>
      <c r="U307" s="4">
        <v>0.38</v>
      </c>
      <c r="V307" s="2">
        <v>0</v>
      </c>
      <c r="W307">
        <v>0</v>
      </c>
      <c r="X307" t="s">
        <v>70</v>
      </c>
      <c r="Y307" t="s">
        <v>60</v>
      </c>
      <c r="Z307">
        <v>0</v>
      </c>
      <c r="AA307" s="2">
        <v>0</v>
      </c>
      <c r="AB307" s="2">
        <v>0</v>
      </c>
      <c r="AC307" s="4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2.69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</row>
    <row r="308" spans="1:42" x14ac:dyDescent="0.25">
      <c r="A308" s="1">
        <v>45922</v>
      </c>
      <c r="B308" t="s">
        <v>47</v>
      </c>
      <c r="C308">
        <v>649163</v>
      </c>
      <c r="D308">
        <v>2030670141</v>
      </c>
      <c r="E308" t="s">
        <v>412</v>
      </c>
      <c r="F308" t="s">
        <v>413</v>
      </c>
      <c r="G308" t="s">
        <v>50</v>
      </c>
      <c r="H308" t="s">
        <v>51</v>
      </c>
      <c r="I308" t="s">
        <v>430</v>
      </c>
      <c r="J308" t="s">
        <v>431</v>
      </c>
      <c r="K308">
        <v>650218</v>
      </c>
      <c r="L308" t="s">
        <v>73</v>
      </c>
      <c r="M308" t="s">
        <v>74</v>
      </c>
      <c r="N308" t="s">
        <v>56</v>
      </c>
      <c r="O308" s="1">
        <v>45895</v>
      </c>
      <c r="P308" s="1">
        <v>45956</v>
      </c>
      <c r="Q308" s="2">
        <v>21.97</v>
      </c>
      <c r="R308">
        <v>1</v>
      </c>
      <c r="S308" t="s">
        <v>57</v>
      </c>
      <c r="T308" t="s">
        <v>58</v>
      </c>
      <c r="U308" s="4">
        <v>0.38</v>
      </c>
      <c r="V308" s="2">
        <v>0</v>
      </c>
      <c r="W308">
        <v>0</v>
      </c>
      <c r="X308" t="s">
        <v>70</v>
      </c>
      <c r="Y308" t="s">
        <v>60</v>
      </c>
      <c r="Z308">
        <v>0</v>
      </c>
      <c r="AA308" s="2">
        <v>0</v>
      </c>
      <c r="AB308" s="2">
        <v>0</v>
      </c>
      <c r="AC308" s="4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8.35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</row>
    <row r="309" spans="1:42" x14ac:dyDescent="0.25">
      <c r="A309" s="1">
        <v>45922</v>
      </c>
      <c r="B309" t="s">
        <v>47</v>
      </c>
      <c r="C309">
        <v>649163</v>
      </c>
      <c r="D309">
        <v>2030805541</v>
      </c>
      <c r="E309" t="s">
        <v>292</v>
      </c>
      <c r="F309" t="s">
        <v>293</v>
      </c>
      <c r="G309" t="s">
        <v>50</v>
      </c>
      <c r="H309" t="s">
        <v>93</v>
      </c>
      <c r="I309" t="s">
        <v>430</v>
      </c>
      <c r="J309" t="s">
        <v>438</v>
      </c>
      <c r="K309">
        <v>812994</v>
      </c>
      <c r="L309" t="s">
        <v>294</v>
      </c>
      <c r="M309" t="s">
        <v>295</v>
      </c>
      <c r="N309" t="s">
        <v>230</v>
      </c>
      <c r="O309" s="1">
        <v>45902</v>
      </c>
      <c r="P309" s="1">
        <v>45932</v>
      </c>
      <c r="Q309" s="2">
        <v>-111.08</v>
      </c>
      <c r="R309">
        <v>1</v>
      </c>
      <c r="S309" t="s">
        <v>57</v>
      </c>
      <c r="T309" t="s">
        <v>58</v>
      </c>
      <c r="U309" s="4">
        <v>0.38</v>
      </c>
      <c r="V309" s="2">
        <v>0</v>
      </c>
      <c r="W309">
        <v>-1</v>
      </c>
      <c r="X309" t="s">
        <v>70</v>
      </c>
      <c r="Y309" t="s">
        <v>60</v>
      </c>
      <c r="Z309">
        <v>0</v>
      </c>
      <c r="AA309" s="2">
        <v>0</v>
      </c>
      <c r="AB309" s="2">
        <v>0</v>
      </c>
      <c r="AC309" s="4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-42.21</v>
      </c>
      <c r="AM309" s="2">
        <v>-42.21</v>
      </c>
      <c r="AN309" s="2">
        <v>0</v>
      </c>
      <c r="AO309" s="2">
        <v>0</v>
      </c>
      <c r="AP309" s="2">
        <v>0</v>
      </c>
    </row>
    <row r="310" spans="1:42" x14ac:dyDescent="0.25">
      <c r="A310" s="1">
        <v>45922</v>
      </c>
      <c r="B310" t="s">
        <v>47</v>
      </c>
      <c r="C310">
        <v>649163</v>
      </c>
      <c r="D310">
        <v>2016328596</v>
      </c>
      <c r="E310" t="s">
        <v>103</v>
      </c>
      <c r="F310" t="s">
        <v>104</v>
      </c>
      <c r="G310" t="s">
        <v>50</v>
      </c>
      <c r="H310" t="s">
        <v>105</v>
      </c>
      <c r="I310" t="s">
        <v>441</v>
      </c>
      <c r="J310" t="s">
        <v>442</v>
      </c>
      <c r="K310">
        <v>651818</v>
      </c>
      <c r="L310" t="s">
        <v>108</v>
      </c>
      <c r="M310" t="s">
        <v>109</v>
      </c>
      <c r="N310" t="s">
        <v>56</v>
      </c>
      <c r="O310" s="1">
        <v>44829</v>
      </c>
      <c r="P310" s="1">
        <v>45955</v>
      </c>
      <c r="Q310" s="2">
        <v>32.42</v>
      </c>
      <c r="R310">
        <v>1</v>
      </c>
      <c r="S310" t="s">
        <v>57</v>
      </c>
      <c r="T310" t="s">
        <v>58</v>
      </c>
      <c r="U310" s="4">
        <v>0.1</v>
      </c>
      <c r="V310" s="2">
        <v>0</v>
      </c>
      <c r="W310">
        <v>0</v>
      </c>
      <c r="X310" t="s">
        <v>59</v>
      </c>
      <c r="Y310" t="s">
        <v>60</v>
      </c>
      <c r="Z310">
        <v>0</v>
      </c>
      <c r="AA310" s="2">
        <v>0</v>
      </c>
      <c r="AB310" s="2">
        <v>0</v>
      </c>
      <c r="AC310" s="4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3.24</v>
      </c>
      <c r="AM310" s="2">
        <v>3.24</v>
      </c>
      <c r="AN310" s="2">
        <v>0</v>
      </c>
      <c r="AO310" s="2">
        <v>0</v>
      </c>
      <c r="AP310" s="2">
        <v>0</v>
      </c>
    </row>
    <row r="311" spans="1:42" x14ac:dyDescent="0.25">
      <c r="A311" s="1">
        <v>45922</v>
      </c>
      <c r="B311" t="s">
        <v>47</v>
      </c>
      <c r="C311">
        <v>649163</v>
      </c>
      <c r="D311">
        <v>2016853590</v>
      </c>
      <c r="E311" t="s">
        <v>443</v>
      </c>
      <c r="F311" t="s">
        <v>444</v>
      </c>
      <c r="G311" t="s">
        <v>50</v>
      </c>
      <c r="H311" t="s">
        <v>151</v>
      </c>
      <c r="I311" t="s">
        <v>441</v>
      </c>
      <c r="J311" t="s">
        <v>445</v>
      </c>
      <c r="K311">
        <v>649793</v>
      </c>
      <c r="L311" t="s">
        <v>152</v>
      </c>
      <c r="M311" t="s">
        <v>446</v>
      </c>
      <c r="N311" t="s">
        <v>56</v>
      </c>
      <c r="O311" s="1">
        <v>44927</v>
      </c>
      <c r="P311" s="1">
        <v>45931</v>
      </c>
      <c r="Q311" s="2">
        <v>-27.21</v>
      </c>
      <c r="R311">
        <v>1</v>
      </c>
      <c r="S311" t="s">
        <v>57</v>
      </c>
      <c r="T311" t="s">
        <v>58</v>
      </c>
      <c r="U311" s="4">
        <v>0.15</v>
      </c>
      <c r="V311" s="2">
        <v>0</v>
      </c>
      <c r="W311">
        <v>-1</v>
      </c>
      <c r="X311" t="s">
        <v>59</v>
      </c>
      <c r="Y311" t="s">
        <v>60</v>
      </c>
      <c r="Z311">
        <v>0</v>
      </c>
      <c r="AA311" s="2">
        <v>0</v>
      </c>
      <c r="AB311" s="2">
        <v>0</v>
      </c>
      <c r="AC311" s="4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-4.08</v>
      </c>
      <c r="AM311" s="2">
        <v>-4.08</v>
      </c>
      <c r="AN311" s="2">
        <v>0</v>
      </c>
      <c r="AO311" s="2">
        <v>0</v>
      </c>
      <c r="AP311" s="2">
        <v>0</v>
      </c>
    </row>
    <row r="312" spans="1:42" x14ac:dyDescent="0.25">
      <c r="A312" s="1">
        <v>45922</v>
      </c>
      <c r="B312" t="s">
        <v>47</v>
      </c>
      <c r="C312">
        <v>649163</v>
      </c>
      <c r="D312">
        <v>2016853591</v>
      </c>
      <c r="E312" t="s">
        <v>443</v>
      </c>
      <c r="F312" t="s">
        <v>444</v>
      </c>
      <c r="G312" t="s">
        <v>50</v>
      </c>
      <c r="H312" t="s">
        <v>151</v>
      </c>
      <c r="I312" t="s">
        <v>441</v>
      </c>
      <c r="J312" t="s">
        <v>447</v>
      </c>
      <c r="K312">
        <v>649793</v>
      </c>
      <c r="L312" t="s">
        <v>152</v>
      </c>
      <c r="M312" t="s">
        <v>446</v>
      </c>
      <c r="N312" t="s">
        <v>56</v>
      </c>
      <c r="O312" s="1">
        <v>44927</v>
      </c>
      <c r="P312" s="1">
        <v>45931</v>
      </c>
      <c r="Q312" s="2">
        <v>-12.87</v>
      </c>
      <c r="R312">
        <v>1</v>
      </c>
      <c r="S312" t="s">
        <v>57</v>
      </c>
      <c r="T312" t="s">
        <v>58</v>
      </c>
      <c r="U312" s="4">
        <v>0.15</v>
      </c>
      <c r="V312" s="2">
        <v>0</v>
      </c>
      <c r="W312">
        <v>-1</v>
      </c>
      <c r="X312" t="s">
        <v>59</v>
      </c>
      <c r="Y312" t="s">
        <v>60</v>
      </c>
      <c r="Z312">
        <v>0</v>
      </c>
      <c r="AA312" s="2">
        <v>0</v>
      </c>
      <c r="AB312" s="2">
        <v>0</v>
      </c>
      <c r="AC312" s="4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-1.93</v>
      </c>
      <c r="AM312" s="2">
        <v>-1.93</v>
      </c>
      <c r="AN312" s="2">
        <v>0</v>
      </c>
      <c r="AO312" s="2">
        <v>0</v>
      </c>
      <c r="AP312" s="2">
        <v>0</v>
      </c>
    </row>
    <row r="313" spans="1:42" x14ac:dyDescent="0.25">
      <c r="A313" s="1">
        <v>45922</v>
      </c>
      <c r="B313" t="s">
        <v>47</v>
      </c>
      <c r="C313">
        <v>649163</v>
      </c>
      <c r="D313">
        <v>2016875098</v>
      </c>
      <c r="E313" t="s">
        <v>448</v>
      </c>
      <c r="F313" t="s">
        <v>449</v>
      </c>
      <c r="G313" t="s">
        <v>50</v>
      </c>
      <c r="H313" t="s">
        <v>450</v>
      </c>
      <c r="I313" t="s">
        <v>441</v>
      </c>
      <c r="J313" t="s">
        <v>451</v>
      </c>
      <c r="K313">
        <v>652037</v>
      </c>
      <c r="L313" t="s">
        <v>309</v>
      </c>
      <c r="M313" t="s">
        <v>303</v>
      </c>
      <c r="N313" t="s">
        <v>56</v>
      </c>
      <c r="O313" s="1">
        <v>44887</v>
      </c>
      <c r="P313" s="1">
        <v>45952</v>
      </c>
      <c r="Q313" s="2">
        <v>93.84</v>
      </c>
      <c r="R313">
        <v>1</v>
      </c>
      <c r="S313" t="s">
        <v>57</v>
      </c>
      <c r="T313" t="s">
        <v>58</v>
      </c>
      <c r="U313" s="4">
        <v>0.09</v>
      </c>
      <c r="V313" s="2">
        <v>0</v>
      </c>
      <c r="W313">
        <v>0</v>
      </c>
      <c r="X313" t="s">
        <v>59</v>
      </c>
      <c r="Y313" t="s">
        <v>60</v>
      </c>
      <c r="Z313">
        <v>0</v>
      </c>
      <c r="AA313" s="2">
        <v>0</v>
      </c>
      <c r="AB313" s="2">
        <v>0</v>
      </c>
      <c r="AC313" s="4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8.4499999999999993</v>
      </c>
      <c r="AM313" s="2">
        <v>8.4499999999999993</v>
      </c>
      <c r="AN313" s="2">
        <v>0</v>
      </c>
      <c r="AO313" s="2">
        <v>0</v>
      </c>
      <c r="AP313" s="2">
        <v>0</v>
      </c>
    </row>
    <row r="314" spans="1:42" x14ac:dyDescent="0.25">
      <c r="A314" s="1">
        <v>45922</v>
      </c>
      <c r="B314" t="s">
        <v>47</v>
      </c>
      <c r="C314">
        <v>649163</v>
      </c>
      <c r="D314">
        <v>2017608417</v>
      </c>
      <c r="E314" t="s">
        <v>67</v>
      </c>
      <c r="F314" t="s">
        <v>444</v>
      </c>
      <c r="G314" t="s">
        <v>50</v>
      </c>
      <c r="H314" t="s">
        <v>127</v>
      </c>
      <c r="I314" t="s">
        <v>441</v>
      </c>
      <c r="J314" t="s">
        <v>442</v>
      </c>
      <c r="K314">
        <v>651818</v>
      </c>
      <c r="L314" t="s">
        <v>108</v>
      </c>
      <c r="M314" t="s">
        <v>109</v>
      </c>
      <c r="N314" t="s">
        <v>56</v>
      </c>
      <c r="O314" s="1">
        <v>44983</v>
      </c>
      <c r="P314" s="1">
        <v>45956</v>
      </c>
      <c r="Q314" s="2">
        <v>163.25</v>
      </c>
      <c r="R314">
        <v>1</v>
      </c>
      <c r="S314" t="s">
        <v>57</v>
      </c>
      <c r="T314" t="s">
        <v>58</v>
      </c>
      <c r="U314" s="4">
        <v>0.1</v>
      </c>
      <c r="V314" s="2">
        <v>0</v>
      </c>
      <c r="W314">
        <v>0</v>
      </c>
      <c r="X314" t="s">
        <v>59</v>
      </c>
      <c r="Y314" t="s">
        <v>60</v>
      </c>
      <c r="Z314">
        <v>0</v>
      </c>
      <c r="AA314" s="2">
        <v>0</v>
      </c>
      <c r="AB314" s="2">
        <v>0</v>
      </c>
      <c r="AC314" s="4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16.32</v>
      </c>
      <c r="AM314" s="2">
        <v>16.32</v>
      </c>
      <c r="AN314" s="2">
        <v>0</v>
      </c>
      <c r="AO314" s="2">
        <v>0</v>
      </c>
      <c r="AP314" s="2">
        <v>0</v>
      </c>
    </row>
    <row r="315" spans="1:42" x14ac:dyDescent="0.25">
      <c r="A315" s="1">
        <v>45922</v>
      </c>
      <c r="B315" t="s">
        <v>47</v>
      </c>
      <c r="C315">
        <v>649163</v>
      </c>
      <c r="D315">
        <v>2018417445</v>
      </c>
      <c r="E315" t="s">
        <v>110</v>
      </c>
      <c r="F315" t="s">
        <v>111</v>
      </c>
      <c r="G315" t="s">
        <v>50</v>
      </c>
      <c r="H315" t="s">
        <v>112</v>
      </c>
      <c r="I315" t="s">
        <v>441</v>
      </c>
      <c r="J315" t="s">
        <v>447</v>
      </c>
      <c r="K315">
        <v>651818</v>
      </c>
      <c r="L315" t="s">
        <v>108</v>
      </c>
      <c r="M315" t="s">
        <v>109</v>
      </c>
      <c r="N315" t="s">
        <v>56</v>
      </c>
      <c r="O315" s="1">
        <v>45037</v>
      </c>
      <c r="P315" s="1">
        <v>45951</v>
      </c>
      <c r="Q315" s="2">
        <v>25.73</v>
      </c>
      <c r="R315">
        <v>1</v>
      </c>
      <c r="S315" t="s">
        <v>57</v>
      </c>
      <c r="T315" t="s">
        <v>58</v>
      </c>
      <c r="U315" s="4">
        <v>0.15</v>
      </c>
      <c r="V315" s="2">
        <v>0</v>
      </c>
      <c r="W315">
        <v>0</v>
      </c>
      <c r="X315" t="s">
        <v>59</v>
      </c>
      <c r="Y315" t="s">
        <v>60</v>
      </c>
      <c r="Z315">
        <v>0</v>
      </c>
      <c r="AA315" s="2">
        <v>0</v>
      </c>
      <c r="AB315" s="2">
        <v>0</v>
      </c>
      <c r="AC315" s="4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3.86</v>
      </c>
      <c r="AM315" s="2">
        <v>3.86</v>
      </c>
      <c r="AN315" s="2">
        <v>0</v>
      </c>
      <c r="AO315" s="2">
        <v>0</v>
      </c>
      <c r="AP315" s="2">
        <v>0</v>
      </c>
    </row>
    <row r="316" spans="1:42" x14ac:dyDescent="0.25">
      <c r="A316" s="1">
        <v>45922</v>
      </c>
      <c r="B316" t="s">
        <v>47</v>
      </c>
      <c r="C316">
        <v>649163</v>
      </c>
      <c r="D316">
        <v>2018582687</v>
      </c>
      <c r="E316" t="s">
        <v>452</v>
      </c>
      <c r="F316" t="s">
        <v>179</v>
      </c>
      <c r="G316" t="s">
        <v>50</v>
      </c>
      <c r="H316" t="s">
        <v>151</v>
      </c>
      <c r="I316" t="s">
        <v>441</v>
      </c>
      <c r="J316" t="s">
        <v>445</v>
      </c>
      <c r="K316">
        <v>673059</v>
      </c>
      <c r="L316" t="s">
        <v>152</v>
      </c>
      <c r="M316" t="s">
        <v>153</v>
      </c>
      <c r="N316" t="s">
        <v>56</v>
      </c>
      <c r="O316" s="1">
        <v>45096</v>
      </c>
      <c r="P316" s="1">
        <v>45949</v>
      </c>
      <c r="Q316" s="2">
        <v>67.31</v>
      </c>
      <c r="R316">
        <v>1</v>
      </c>
      <c r="S316" t="s">
        <v>57</v>
      </c>
      <c r="T316" t="s">
        <v>58</v>
      </c>
      <c r="U316" s="4">
        <v>0.15</v>
      </c>
      <c r="V316" s="2">
        <v>0</v>
      </c>
      <c r="W316">
        <v>0</v>
      </c>
      <c r="X316" t="s">
        <v>59</v>
      </c>
      <c r="Y316" t="s">
        <v>60</v>
      </c>
      <c r="Z316">
        <v>0</v>
      </c>
      <c r="AA316" s="2">
        <v>0</v>
      </c>
      <c r="AB316" s="2">
        <v>0</v>
      </c>
      <c r="AC316" s="4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10.1</v>
      </c>
      <c r="AM316" s="2">
        <v>10.1</v>
      </c>
      <c r="AN316" s="2">
        <v>0</v>
      </c>
      <c r="AO316" s="2">
        <v>0</v>
      </c>
      <c r="AP316" s="2">
        <v>0</v>
      </c>
    </row>
    <row r="317" spans="1:42" x14ac:dyDescent="0.25">
      <c r="A317" s="1">
        <v>45922</v>
      </c>
      <c r="B317" t="s">
        <v>47</v>
      </c>
      <c r="C317">
        <v>649163</v>
      </c>
      <c r="D317">
        <v>2018582688</v>
      </c>
      <c r="E317" t="s">
        <v>452</v>
      </c>
      <c r="F317" t="s">
        <v>179</v>
      </c>
      <c r="G317" t="s">
        <v>50</v>
      </c>
      <c r="H317" t="s">
        <v>151</v>
      </c>
      <c r="I317" t="s">
        <v>441</v>
      </c>
      <c r="J317" t="s">
        <v>447</v>
      </c>
      <c r="K317">
        <v>673059</v>
      </c>
      <c r="L317" t="s">
        <v>152</v>
      </c>
      <c r="M317" t="s">
        <v>153</v>
      </c>
      <c r="N317" t="s">
        <v>56</v>
      </c>
      <c r="O317" s="1">
        <v>45096</v>
      </c>
      <c r="P317" s="1">
        <v>45949</v>
      </c>
      <c r="Q317" s="2">
        <v>51.46</v>
      </c>
      <c r="R317">
        <v>1</v>
      </c>
      <c r="S317" t="s">
        <v>57</v>
      </c>
      <c r="T317" t="s">
        <v>58</v>
      </c>
      <c r="U317" s="4">
        <v>0.15</v>
      </c>
      <c r="V317" s="2">
        <v>0</v>
      </c>
      <c r="W317">
        <v>0</v>
      </c>
      <c r="X317" t="s">
        <v>59</v>
      </c>
      <c r="Y317" t="s">
        <v>60</v>
      </c>
      <c r="Z317">
        <v>0</v>
      </c>
      <c r="AA317" s="2">
        <v>0</v>
      </c>
      <c r="AB317" s="2">
        <v>0</v>
      </c>
      <c r="AC317" s="4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7.72</v>
      </c>
      <c r="AM317" s="2">
        <v>7.72</v>
      </c>
      <c r="AN317" s="2">
        <v>0</v>
      </c>
      <c r="AO317" s="2">
        <v>0</v>
      </c>
      <c r="AP317" s="2">
        <v>0</v>
      </c>
    </row>
    <row r="318" spans="1:42" x14ac:dyDescent="0.25">
      <c r="A318" s="1">
        <v>45922</v>
      </c>
      <c r="B318" t="s">
        <v>47</v>
      </c>
      <c r="C318">
        <v>649163</v>
      </c>
      <c r="D318">
        <v>2019665208</v>
      </c>
      <c r="E318" t="s">
        <v>312</v>
      </c>
      <c r="F318" t="s">
        <v>313</v>
      </c>
      <c r="G318" t="s">
        <v>50</v>
      </c>
      <c r="H318" t="s">
        <v>180</v>
      </c>
      <c r="I318" t="s">
        <v>441</v>
      </c>
      <c r="J318" t="s">
        <v>447</v>
      </c>
      <c r="K318">
        <v>673059</v>
      </c>
      <c r="L318" t="s">
        <v>152</v>
      </c>
      <c r="M318" t="s">
        <v>153</v>
      </c>
      <c r="N318" t="s">
        <v>56</v>
      </c>
      <c r="O318" s="1">
        <v>45192</v>
      </c>
      <c r="P318" s="1">
        <v>45953</v>
      </c>
      <c r="Q318" s="2">
        <v>8.3699999999999992</v>
      </c>
      <c r="R318">
        <v>1</v>
      </c>
      <c r="S318" t="s">
        <v>57</v>
      </c>
      <c r="T318" t="s">
        <v>58</v>
      </c>
      <c r="U318" s="4">
        <v>0.15</v>
      </c>
      <c r="V318" s="2">
        <v>0</v>
      </c>
      <c r="W318">
        <v>0</v>
      </c>
      <c r="X318" t="s">
        <v>59</v>
      </c>
      <c r="Y318" t="s">
        <v>60</v>
      </c>
      <c r="Z318">
        <v>0</v>
      </c>
      <c r="AA318" s="2">
        <v>0</v>
      </c>
      <c r="AB318" s="2">
        <v>0</v>
      </c>
      <c r="AC318" s="4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1.26</v>
      </c>
      <c r="AM318" s="2">
        <v>1.26</v>
      </c>
      <c r="AN318" s="2">
        <v>0</v>
      </c>
      <c r="AO318" s="2">
        <v>0</v>
      </c>
      <c r="AP318" s="2">
        <v>0</v>
      </c>
    </row>
    <row r="319" spans="1:42" x14ac:dyDescent="0.25">
      <c r="A319" s="1">
        <v>45922</v>
      </c>
      <c r="B319" t="s">
        <v>47</v>
      </c>
      <c r="C319">
        <v>649163</v>
      </c>
      <c r="D319">
        <v>2019665209</v>
      </c>
      <c r="E319" t="s">
        <v>312</v>
      </c>
      <c r="F319" t="s">
        <v>313</v>
      </c>
      <c r="G319" t="s">
        <v>50</v>
      </c>
      <c r="H319" t="s">
        <v>180</v>
      </c>
      <c r="I319" t="s">
        <v>441</v>
      </c>
      <c r="J319" t="s">
        <v>445</v>
      </c>
      <c r="K319">
        <v>673059</v>
      </c>
      <c r="L319" t="s">
        <v>152</v>
      </c>
      <c r="M319" t="s">
        <v>153</v>
      </c>
      <c r="N319" t="s">
        <v>56</v>
      </c>
      <c r="O319" s="1">
        <v>45192</v>
      </c>
      <c r="P319" s="1">
        <v>45953</v>
      </c>
      <c r="Q319" s="2">
        <v>62.38</v>
      </c>
      <c r="R319">
        <v>1</v>
      </c>
      <c r="S319" t="s">
        <v>57</v>
      </c>
      <c r="T319" t="s">
        <v>58</v>
      </c>
      <c r="U319" s="4">
        <v>0.15</v>
      </c>
      <c r="V319" s="2">
        <v>0</v>
      </c>
      <c r="W319">
        <v>0</v>
      </c>
      <c r="X319" t="s">
        <v>59</v>
      </c>
      <c r="Y319" t="s">
        <v>60</v>
      </c>
      <c r="Z319">
        <v>0</v>
      </c>
      <c r="AA319" s="2">
        <v>0</v>
      </c>
      <c r="AB319" s="2">
        <v>0</v>
      </c>
      <c r="AC319" s="4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9.36</v>
      </c>
      <c r="AM319" s="2">
        <v>9.36</v>
      </c>
      <c r="AN319" s="2">
        <v>0</v>
      </c>
      <c r="AO319" s="2">
        <v>0</v>
      </c>
      <c r="AP319" s="2">
        <v>0</v>
      </c>
    </row>
    <row r="320" spans="1:42" x14ac:dyDescent="0.25">
      <c r="A320" s="1">
        <v>45922</v>
      </c>
      <c r="B320" t="s">
        <v>47</v>
      </c>
      <c r="C320">
        <v>649163</v>
      </c>
      <c r="D320">
        <v>2021939084</v>
      </c>
      <c r="E320" t="s">
        <v>453</v>
      </c>
      <c r="F320" t="s">
        <v>454</v>
      </c>
      <c r="G320" t="s">
        <v>50</v>
      </c>
      <c r="H320" t="s">
        <v>180</v>
      </c>
      <c r="I320" t="s">
        <v>441</v>
      </c>
      <c r="J320" t="s">
        <v>447</v>
      </c>
      <c r="K320">
        <v>673059</v>
      </c>
      <c r="L320" t="s">
        <v>152</v>
      </c>
      <c r="M320" t="s">
        <v>153</v>
      </c>
      <c r="N320" t="s">
        <v>56</v>
      </c>
      <c r="O320" s="1">
        <v>45346</v>
      </c>
      <c r="P320" s="1">
        <v>45954</v>
      </c>
      <c r="Q320" s="2">
        <v>8.3699999999999992</v>
      </c>
      <c r="R320">
        <v>1</v>
      </c>
      <c r="S320" t="s">
        <v>57</v>
      </c>
      <c r="T320" t="s">
        <v>58</v>
      </c>
      <c r="U320" s="4">
        <v>0.15</v>
      </c>
      <c r="V320" s="2">
        <v>0</v>
      </c>
      <c r="W320">
        <v>0</v>
      </c>
      <c r="X320" t="s">
        <v>59</v>
      </c>
      <c r="Y320" t="s">
        <v>60</v>
      </c>
      <c r="Z320">
        <v>0</v>
      </c>
      <c r="AA320" s="2">
        <v>0</v>
      </c>
      <c r="AB320" s="2">
        <v>0</v>
      </c>
      <c r="AC320" s="4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1.26</v>
      </c>
      <c r="AM320" s="2">
        <v>1.26</v>
      </c>
      <c r="AN320" s="2">
        <v>0</v>
      </c>
      <c r="AO320" s="2">
        <v>0</v>
      </c>
      <c r="AP320" s="2">
        <v>0</v>
      </c>
    </row>
    <row r="321" spans="1:42" x14ac:dyDescent="0.25">
      <c r="A321" s="1">
        <v>45922</v>
      </c>
      <c r="B321" t="s">
        <v>47</v>
      </c>
      <c r="C321">
        <v>649163</v>
      </c>
      <c r="D321">
        <v>2022085303</v>
      </c>
      <c r="E321" t="s">
        <v>455</v>
      </c>
      <c r="F321" t="s">
        <v>456</v>
      </c>
      <c r="G321" t="s">
        <v>50</v>
      </c>
      <c r="H321" t="s">
        <v>188</v>
      </c>
      <c r="I321" t="s">
        <v>441</v>
      </c>
      <c r="J321" t="s">
        <v>445</v>
      </c>
      <c r="K321">
        <v>673059</v>
      </c>
      <c r="L321" t="s">
        <v>152</v>
      </c>
      <c r="M321" t="s">
        <v>153</v>
      </c>
      <c r="N321" t="s">
        <v>56</v>
      </c>
      <c r="O321" s="1">
        <v>45374</v>
      </c>
      <c r="P321" s="1">
        <v>45953</v>
      </c>
      <c r="Q321" s="2">
        <v>159</v>
      </c>
      <c r="R321">
        <v>1</v>
      </c>
      <c r="S321" t="s">
        <v>57</v>
      </c>
      <c r="T321" t="s">
        <v>58</v>
      </c>
      <c r="U321" s="4">
        <v>0.15</v>
      </c>
      <c r="V321" s="2">
        <v>0</v>
      </c>
      <c r="W321">
        <v>0</v>
      </c>
      <c r="X321" t="s">
        <v>59</v>
      </c>
      <c r="Y321" t="s">
        <v>60</v>
      </c>
      <c r="Z321">
        <v>0</v>
      </c>
      <c r="AA321" s="2">
        <v>0</v>
      </c>
      <c r="AB321" s="2">
        <v>0</v>
      </c>
      <c r="AC321" s="4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23.85</v>
      </c>
      <c r="AM321" s="2">
        <v>23.85</v>
      </c>
      <c r="AN321" s="2">
        <v>0</v>
      </c>
      <c r="AO321" s="2">
        <v>0</v>
      </c>
      <c r="AP321" s="2">
        <v>0</v>
      </c>
    </row>
    <row r="322" spans="1:42" x14ac:dyDescent="0.25">
      <c r="A322" s="1">
        <v>45922</v>
      </c>
      <c r="B322" t="s">
        <v>47</v>
      </c>
      <c r="C322">
        <v>649163</v>
      </c>
      <c r="D322">
        <v>2022148752</v>
      </c>
      <c r="E322" t="s">
        <v>457</v>
      </c>
      <c r="F322" t="s">
        <v>458</v>
      </c>
      <c r="G322" t="s">
        <v>50</v>
      </c>
      <c r="H322" t="s">
        <v>400</v>
      </c>
      <c r="I322" t="s">
        <v>441</v>
      </c>
      <c r="J322" t="s">
        <v>442</v>
      </c>
      <c r="K322">
        <v>651818</v>
      </c>
      <c r="L322" t="s">
        <v>108</v>
      </c>
      <c r="M322" t="s">
        <v>109</v>
      </c>
      <c r="N322" t="s">
        <v>56</v>
      </c>
      <c r="O322" s="1">
        <v>45377</v>
      </c>
      <c r="P322" s="1">
        <v>45956</v>
      </c>
      <c r="Q322" s="2">
        <v>51.31</v>
      </c>
      <c r="R322">
        <v>1</v>
      </c>
      <c r="S322" t="s">
        <v>57</v>
      </c>
      <c r="T322" t="s">
        <v>58</v>
      </c>
      <c r="U322" s="4">
        <v>0.1</v>
      </c>
      <c r="V322" s="2">
        <v>0</v>
      </c>
      <c r="W322">
        <v>0</v>
      </c>
      <c r="X322" t="s">
        <v>59</v>
      </c>
      <c r="Y322" t="s">
        <v>60</v>
      </c>
      <c r="Z322">
        <v>0</v>
      </c>
      <c r="AA322" s="2">
        <v>0</v>
      </c>
      <c r="AB322" s="2">
        <v>0</v>
      </c>
      <c r="AC322" s="4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5.13</v>
      </c>
      <c r="AM322" s="2">
        <v>5.13</v>
      </c>
      <c r="AN322" s="2">
        <v>0</v>
      </c>
      <c r="AO322" s="2">
        <v>0</v>
      </c>
      <c r="AP322" s="2">
        <v>0</v>
      </c>
    </row>
    <row r="323" spans="1:42" x14ac:dyDescent="0.25">
      <c r="A323" s="1">
        <v>45922</v>
      </c>
      <c r="B323" t="s">
        <v>47</v>
      </c>
      <c r="C323">
        <v>649163</v>
      </c>
      <c r="D323">
        <v>2022373049</v>
      </c>
      <c r="E323" t="s">
        <v>149</v>
      </c>
      <c r="F323" t="s">
        <v>459</v>
      </c>
      <c r="G323" t="s">
        <v>50</v>
      </c>
      <c r="H323" t="s">
        <v>151</v>
      </c>
      <c r="I323" t="s">
        <v>441</v>
      </c>
      <c r="J323" t="s">
        <v>445</v>
      </c>
      <c r="K323">
        <v>673059</v>
      </c>
      <c r="L323" t="s">
        <v>152</v>
      </c>
      <c r="M323" t="s">
        <v>153</v>
      </c>
      <c r="N323" t="s">
        <v>56</v>
      </c>
      <c r="O323" s="1">
        <v>45372</v>
      </c>
      <c r="P323" s="1">
        <v>45951</v>
      </c>
      <c r="Q323" s="2">
        <v>57.27</v>
      </c>
      <c r="R323">
        <v>1</v>
      </c>
      <c r="S323" t="s">
        <v>57</v>
      </c>
      <c r="T323" t="s">
        <v>58</v>
      </c>
      <c r="U323" s="4">
        <v>0.15</v>
      </c>
      <c r="V323" s="2">
        <v>0</v>
      </c>
      <c r="W323">
        <v>0</v>
      </c>
      <c r="X323" t="s">
        <v>59</v>
      </c>
      <c r="Y323" t="s">
        <v>60</v>
      </c>
      <c r="Z323">
        <v>0</v>
      </c>
      <c r="AA323" s="2">
        <v>0</v>
      </c>
      <c r="AB323" s="2">
        <v>0</v>
      </c>
      <c r="AC323" s="4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8.59</v>
      </c>
      <c r="AM323" s="2">
        <v>8.59</v>
      </c>
      <c r="AN323" s="2">
        <v>0</v>
      </c>
      <c r="AO323" s="2">
        <v>0</v>
      </c>
      <c r="AP323" s="2">
        <v>0</v>
      </c>
    </row>
    <row r="324" spans="1:42" x14ac:dyDescent="0.25">
      <c r="A324" s="1">
        <v>45922</v>
      </c>
      <c r="B324" t="s">
        <v>47</v>
      </c>
      <c r="C324">
        <v>649163</v>
      </c>
      <c r="D324">
        <v>2022682156</v>
      </c>
      <c r="E324" t="s">
        <v>113</v>
      </c>
      <c r="F324" t="s">
        <v>114</v>
      </c>
      <c r="G324" t="s">
        <v>50</v>
      </c>
      <c r="H324" t="s">
        <v>115</v>
      </c>
      <c r="I324" t="s">
        <v>441</v>
      </c>
      <c r="J324" t="s">
        <v>442</v>
      </c>
      <c r="K324">
        <v>651818</v>
      </c>
      <c r="L324" t="s">
        <v>108</v>
      </c>
      <c r="M324" t="s">
        <v>109</v>
      </c>
      <c r="N324" t="s">
        <v>56</v>
      </c>
      <c r="O324" s="1">
        <v>45418</v>
      </c>
      <c r="P324" s="1">
        <v>45936</v>
      </c>
      <c r="Q324" s="2">
        <v>-23.67</v>
      </c>
      <c r="R324">
        <v>1</v>
      </c>
      <c r="S324" t="s">
        <v>57</v>
      </c>
      <c r="T324" t="s">
        <v>58</v>
      </c>
      <c r="U324" s="4">
        <v>0.1</v>
      </c>
      <c r="V324" s="2">
        <v>0</v>
      </c>
      <c r="W324">
        <v>-1</v>
      </c>
      <c r="X324" t="s">
        <v>59</v>
      </c>
      <c r="Y324" t="s">
        <v>60</v>
      </c>
      <c r="Z324">
        <v>0</v>
      </c>
      <c r="AA324" s="2">
        <v>0</v>
      </c>
      <c r="AB324" s="2">
        <v>0</v>
      </c>
      <c r="AC324" s="4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-2.37</v>
      </c>
      <c r="AM324" s="2">
        <v>-2.37</v>
      </c>
      <c r="AN324" s="2">
        <v>0</v>
      </c>
      <c r="AO324" s="2">
        <v>0</v>
      </c>
      <c r="AP324" s="2">
        <v>0</v>
      </c>
    </row>
    <row r="325" spans="1:42" x14ac:dyDescent="0.25">
      <c r="A325" s="1">
        <v>45922</v>
      </c>
      <c r="B325" t="s">
        <v>47</v>
      </c>
      <c r="C325">
        <v>649163</v>
      </c>
      <c r="D325">
        <v>2023233681</v>
      </c>
      <c r="E325" t="s">
        <v>336</v>
      </c>
      <c r="F325" t="s">
        <v>337</v>
      </c>
      <c r="G325" t="s">
        <v>50</v>
      </c>
      <c r="H325" t="s">
        <v>93</v>
      </c>
      <c r="I325" t="s">
        <v>441</v>
      </c>
      <c r="J325" t="s">
        <v>445</v>
      </c>
      <c r="K325">
        <v>757719</v>
      </c>
      <c r="L325" t="s">
        <v>338</v>
      </c>
      <c r="M325" t="s">
        <v>339</v>
      </c>
      <c r="N325" t="s">
        <v>56</v>
      </c>
      <c r="O325" s="1">
        <v>45436</v>
      </c>
      <c r="P325" s="1">
        <v>45954</v>
      </c>
      <c r="Q325" s="2">
        <v>47.71</v>
      </c>
      <c r="R325">
        <v>1</v>
      </c>
      <c r="S325" t="s">
        <v>57</v>
      </c>
      <c r="T325" t="s">
        <v>58</v>
      </c>
      <c r="U325" s="4">
        <v>0.15</v>
      </c>
      <c r="V325" s="2">
        <v>0</v>
      </c>
      <c r="W325">
        <v>0</v>
      </c>
      <c r="X325" t="s">
        <v>59</v>
      </c>
      <c r="Y325" t="s">
        <v>60</v>
      </c>
      <c r="Z325">
        <v>0</v>
      </c>
      <c r="AA325" s="2">
        <v>0</v>
      </c>
      <c r="AB325" s="2">
        <v>0</v>
      </c>
      <c r="AC325" s="4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7.16</v>
      </c>
      <c r="AM325" s="2">
        <v>7.16</v>
      </c>
      <c r="AN325" s="2">
        <v>0</v>
      </c>
      <c r="AO325" s="2">
        <v>0</v>
      </c>
      <c r="AP325" s="2">
        <v>0</v>
      </c>
    </row>
    <row r="326" spans="1:42" x14ac:dyDescent="0.25">
      <c r="A326" s="1">
        <v>45922</v>
      </c>
      <c r="B326" t="s">
        <v>47</v>
      </c>
      <c r="C326">
        <v>649163</v>
      </c>
      <c r="D326">
        <v>2023973863</v>
      </c>
      <c r="E326" t="s">
        <v>460</v>
      </c>
      <c r="F326" t="s">
        <v>461</v>
      </c>
      <c r="G326" t="s">
        <v>50</v>
      </c>
      <c r="H326" t="s">
        <v>151</v>
      </c>
      <c r="I326" t="s">
        <v>441</v>
      </c>
      <c r="J326" t="s">
        <v>442</v>
      </c>
      <c r="K326">
        <v>767312</v>
      </c>
      <c r="L326" t="s">
        <v>122</v>
      </c>
      <c r="M326" t="s">
        <v>123</v>
      </c>
      <c r="N326" t="s">
        <v>56</v>
      </c>
      <c r="O326" s="1">
        <v>45493</v>
      </c>
      <c r="P326" s="1">
        <v>45950</v>
      </c>
      <c r="Q326" s="2">
        <v>27.81</v>
      </c>
      <c r="R326">
        <v>1</v>
      </c>
      <c r="S326" t="s">
        <v>57</v>
      </c>
      <c r="T326" t="s">
        <v>58</v>
      </c>
      <c r="U326" s="4">
        <v>0.1</v>
      </c>
      <c r="V326" s="2">
        <v>0</v>
      </c>
      <c r="W326">
        <v>0</v>
      </c>
      <c r="X326" t="s">
        <v>59</v>
      </c>
      <c r="Y326" t="s">
        <v>60</v>
      </c>
      <c r="Z326">
        <v>0</v>
      </c>
      <c r="AA326" s="2">
        <v>0</v>
      </c>
      <c r="AB326" s="2">
        <v>0</v>
      </c>
      <c r="AC326" s="4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2.78</v>
      </c>
      <c r="AM326" s="2">
        <v>2.78</v>
      </c>
      <c r="AN326" s="2">
        <v>0</v>
      </c>
      <c r="AO326" s="2">
        <v>0</v>
      </c>
      <c r="AP326" s="2">
        <v>0</v>
      </c>
    </row>
    <row r="327" spans="1:42" x14ac:dyDescent="0.25">
      <c r="A327" s="1">
        <v>45922</v>
      </c>
      <c r="B327" t="s">
        <v>47</v>
      </c>
      <c r="C327">
        <v>649163</v>
      </c>
      <c r="D327">
        <v>2023973864</v>
      </c>
      <c r="E327" t="s">
        <v>460</v>
      </c>
      <c r="F327" t="s">
        <v>461</v>
      </c>
      <c r="G327" t="s">
        <v>50</v>
      </c>
      <c r="H327" t="s">
        <v>151</v>
      </c>
      <c r="I327" t="s">
        <v>441</v>
      </c>
      <c r="J327" t="s">
        <v>445</v>
      </c>
      <c r="K327">
        <v>767312</v>
      </c>
      <c r="L327" t="s">
        <v>122</v>
      </c>
      <c r="M327" t="s">
        <v>123</v>
      </c>
      <c r="N327" t="s">
        <v>56</v>
      </c>
      <c r="O327" s="1">
        <v>45493</v>
      </c>
      <c r="P327" s="1">
        <v>45950</v>
      </c>
      <c r="Q327" s="2">
        <v>10.75</v>
      </c>
      <c r="R327">
        <v>1</v>
      </c>
      <c r="S327" t="s">
        <v>57</v>
      </c>
      <c r="T327" t="s">
        <v>58</v>
      </c>
      <c r="U327" s="4">
        <v>0.15</v>
      </c>
      <c r="V327" s="2">
        <v>0</v>
      </c>
      <c r="W327">
        <v>0</v>
      </c>
      <c r="X327" t="s">
        <v>59</v>
      </c>
      <c r="Y327" t="s">
        <v>60</v>
      </c>
      <c r="Z327">
        <v>0</v>
      </c>
      <c r="AA327" s="2">
        <v>0</v>
      </c>
      <c r="AB327" s="2">
        <v>0</v>
      </c>
      <c r="AC327" s="4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1.61</v>
      </c>
      <c r="AM327" s="2">
        <v>1.61</v>
      </c>
      <c r="AN327" s="2">
        <v>0</v>
      </c>
      <c r="AO327" s="2">
        <v>0</v>
      </c>
      <c r="AP327" s="2">
        <v>0</v>
      </c>
    </row>
    <row r="328" spans="1:42" x14ac:dyDescent="0.25">
      <c r="A328" s="1">
        <v>45922</v>
      </c>
      <c r="B328" t="s">
        <v>47</v>
      </c>
      <c r="C328">
        <v>649163</v>
      </c>
      <c r="D328">
        <v>2024485179</v>
      </c>
      <c r="E328" t="s">
        <v>462</v>
      </c>
      <c r="F328" t="s">
        <v>49</v>
      </c>
      <c r="G328" t="s">
        <v>50</v>
      </c>
      <c r="H328" t="s">
        <v>93</v>
      </c>
      <c r="I328" t="s">
        <v>441</v>
      </c>
      <c r="J328" t="s">
        <v>445</v>
      </c>
      <c r="K328">
        <v>782049</v>
      </c>
      <c r="L328" t="s">
        <v>462</v>
      </c>
      <c r="M328" t="s">
        <v>49</v>
      </c>
      <c r="N328" t="s">
        <v>56</v>
      </c>
      <c r="O328" s="1">
        <v>45525</v>
      </c>
      <c r="P328" s="1">
        <v>45951</v>
      </c>
      <c r="Q328" s="2">
        <v>27.5</v>
      </c>
      <c r="R328">
        <v>1</v>
      </c>
      <c r="S328" t="s">
        <v>57</v>
      </c>
      <c r="T328" t="s">
        <v>58</v>
      </c>
      <c r="U328" s="4">
        <v>0.15</v>
      </c>
      <c r="V328" s="2">
        <v>0</v>
      </c>
      <c r="W328">
        <v>0</v>
      </c>
      <c r="X328" t="s">
        <v>59</v>
      </c>
      <c r="Y328" t="s">
        <v>60</v>
      </c>
      <c r="Z328">
        <v>0</v>
      </c>
      <c r="AA328" s="2">
        <v>0</v>
      </c>
      <c r="AB328" s="2">
        <v>0</v>
      </c>
      <c r="AC328" s="4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4.12</v>
      </c>
      <c r="AM328" s="2">
        <v>4.12</v>
      </c>
      <c r="AN328" s="2">
        <v>0</v>
      </c>
      <c r="AO328" s="2">
        <v>0</v>
      </c>
      <c r="AP328" s="2">
        <v>0</v>
      </c>
    </row>
    <row r="329" spans="1:42" x14ac:dyDescent="0.25">
      <c r="A329" s="1">
        <v>45922</v>
      </c>
      <c r="B329" t="s">
        <v>47</v>
      </c>
      <c r="C329">
        <v>649163</v>
      </c>
      <c r="D329">
        <v>2024487768</v>
      </c>
      <c r="E329" t="s">
        <v>463</v>
      </c>
      <c r="F329" t="s">
        <v>464</v>
      </c>
      <c r="G329" t="s">
        <v>50</v>
      </c>
      <c r="H329" t="s">
        <v>93</v>
      </c>
      <c r="I329" t="s">
        <v>441</v>
      </c>
      <c r="J329" t="s">
        <v>445</v>
      </c>
      <c r="K329">
        <v>757039</v>
      </c>
      <c r="L329" t="s">
        <v>463</v>
      </c>
      <c r="M329" t="s">
        <v>104</v>
      </c>
      <c r="N329" t="s">
        <v>56</v>
      </c>
      <c r="O329" s="1">
        <v>45526</v>
      </c>
      <c r="P329" s="1">
        <v>45952</v>
      </c>
      <c r="Q329" s="2">
        <v>49.8</v>
      </c>
      <c r="R329">
        <v>1</v>
      </c>
      <c r="S329" t="s">
        <v>57</v>
      </c>
      <c r="T329" t="s">
        <v>58</v>
      </c>
      <c r="U329" s="4">
        <v>0.15</v>
      </c>
      <c r="V329" s="2">
        <v>0</v>
      </c>
      <c r="W329">
        <v>0</v>
      </c>
      <c r="X329" t="s">
        <v>59</v>
      </c>
      <c r="Y329" t="s">
        <v>60</v>
      </c>
      <c r="Z329">
        <v>0</v>
      </c>
      <c r="AA329" s="2">
        <v>0</v>
      </c>
      <c r="AB329" s="2">
        <v>0</v>
      </c>
      <c r="AC329" s="4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7.47</v>
      </c>
      <c r="AM329" s="2">
        <v>7.47</v>
      </c>
      <c r="AN329" s="2">
        <v>0</v>
      </c>
      <c r="AO329" s="2">
        <v>0</v>
      </c>
      <c r="AP329" s="2">
        <v>0</v>
      </c>
    </row>
    <row r="330" spans="1:42" x14ac:dyDescent="0.25">
      <c r="A330" s="1">
        <v>45922</v>
      </c>
      <c r="B330" t="s">
        <v>47</v>
      </c>
      <c r="C330">
        <v>649163</v>
      </c>
      <c r="D330">
        <v>2025022512</v>
      </c>
      <c r="E330" t="s">
        <v>282</v>
      </c>
      <c r="F330" t="s">
        <v>283</v>
      </c>
      <c r="G330" t="s">
        <v>50</v>
      </c>
      <c r="H330" t="s">
        <v>93</v>
      </c>
      <c r="I330" t="s">
        <v>441</v>
      </c>
      <c r="J330" t="s">
        <v>445</v>
      </c>
      <c r="K330">
        <v>768887</v>
      </c>
      <c r="L330" t="s">
        <v>282</v>
      </c>
      <c r="M330" t="s">
        <v>283</v>
      </c>
      <c r="N330" t="s">
        <v>56</v>
      </c>
      <c r="O330" s="1">
        <v>45561</v>
      </c>
      <c r="P330" s="1">
        <v>45956</v>
      </c>
      <c r="Q330" s="2">
        <v>122.22</v>
      </c>
      <c r="R330">
        <v>1</v>
      </c>
      <c r="S330" t="s">
        <v>57</v>
      </c>
      <c r="T330" t="s">
        <v>58</v>
      </c>
      <c r="U330" s="4">
        <v>0.15</v>
      </c>
      <c r="V330" s="2">
        <v>0</v>
      </c>
      <c r="W330">
        <v>0</v>
      </c>
      <c r="X330" t="s">
        <v>59</v>
      </c>
      <c r="Y330" t="s">
        <v>60</v>
      </c>
      <c r="Z330">
        <v>0</v>
      </c>
      <c r="AA330" s="2">
        <v>0</v>
      </c>
      <c r="AB330" s="2">
        <v>0</v>
      </c>
      <c r="AC330" s="4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18.329999999999998</v>
      </c>
      <c r="AM330" s="2">
        <v>18.329999999999998</v>
      </c>
      <c r="AN330" s="2">
        <v>0</v>
      </c>
      <c r="AO330" s="2">
        <v>0</v>
      </c>
      <c r="AP330" s="2">
        <v>0</v>
      </c>
    </row>
    <row r="331" spans="1:42" x14ac:dyDescent="0.25">
      <c r="A331" s="1">
        <v>45922</v>
      </c>
      <c r="B331" t="s">
        <v>47</v>
      </c>
      <c r="C331">
        <v>649163</v>
      </c>
      <c r="D331">
        <v>2025154616</v>
      </c>
      <c r="E331" t="s">
        <v>345</v>
      </c>
      <c r="F331" t="s">
        <v>346</v>
      </c>
      <c r="G331" t="s">
        <v>50</v>
      </c>
      <c r="H331" t="s">
        <v>115</v>
      </c>
      <c r="I331" t="s">
        <v>441</v>
      </c>
      <c r="J331" t="s">
        <v>445</v>
      </c>
      <c r="K331">
        <v>767312</v>
      </c>
      <c r="L331" t="s">
        <v>122</v>
      </c>
      <c r="M331" t="s">
        <v>123</v>
      </c>
      <c r="N331" t="s">
        <v>56</v>
      </c>
      <c r="O331" s="1">
        <v>45581</v>
      </c>
      <c r="P331" s="1">
        <v>45946</v>
      </c>
      <c r="Q331" s="2">
        <v>-129.22</v>
      </c>
      <c r="R331">
        <v>1</v>
      </c>
      <c r="S331" t="s">
        <v>57</v>
      </c>
      <c r="T331" t="s">
        <v>58</v>
      </c>
      <c r="U331" s="4">
        <v>0.7</v>
      </c>
      <c r="V331" s="2">
        <v>0</v>
      </c>
      <c r="W331">
        <v>-1</v>
      </c>
      <c r="X331" t="s">
        <v>70</v>
      </c>
      <c r="Y331" t="s">
        <v>60</v>
      </c>
      <c r="Z331">
        <v>0</v>
      </c>
      <c r="AA331" s="2">
        <v>0</v>
      </c>
      <c r="AB331" s="2">
        <v>0</v>
      </c>
      <c r="AC331" s="4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-90.45</v>
      </c>
      <c r="AM331" s="2">
        <v>-90.45</v>
      </c>
      <c r="AN331" s="2">
        <v>0</v>
      </c>
      <c r="AO331" s="2">
        <v>0</v>
      </c>
      <c r="AP331" s="2">
        <v>0</v>
      </c>
    </row>
    <row r="332" spans="1:42" x14ac:dyDescent="0.25">
      <c r="A332" s="1">
        <v>45922</v>
      </c>
      <c r="B332" t="s">
        <v>47</v>
      </c>
      <c r="C332">
        <v>649163</v>
      </c>
      <c r="D332">
        <v>2025233513</v>
      </c>
      <c r="E332" t="s">
        <v>119</v>
      </c>
      <c r="F332" t="s">
        <v>120</v>
      </c>
      <c r="G332" t="s">
        <v>50</v>
      </c>
      <c r="H332" t="s">
        <v>121</v>
      </c>
      <c r="I332" t="s">
        <v>441</v>
      </c>
      <c r="J332" t="s">
        <v>445</v>
      </c>
      <c r="K332">
        <v>767312</v>
      </c>
      <c r="L332" t="s">
        <v>122</v>
      </c>
      <c r="M332" t="s">
        <v>123</v>
      </c>
      <c r="N332" t="s">
        <v>56</v>
      </c>
      <c r="O332" s="1">
        <v>45586</v>
      </c>
      <c r="P332" s="1">
        <v>45951</v>
      </c>
      <c r="Q332" s="2">
        <v>28.73</v>
      </c>
      <c r="R332">
        <v>1</v>
      </c>
      <c r="S332" t="s">
        <v>57</v>
      </c>
      <c r="T332" t="s">
        <v>58</v>
      </c>
      <c r="U332" s="4">
        <v>0.7</v>
      </c>
      <c r="V332" s="2">
        <v>0</v>
      </c>
      <c r="W332">
        <v>0</v>
      </c>
      <c r="X332" t="s">
        <v>70</v>
      </c>
      <c r="Y332" t="s">
        <v>60</v>
      </c>
      <c r="Z332">
        <v>0</v>
      </c>
      <c r="AA332" s="2">
        <v>0</v>
      </c>
      <c r="AB332" s="2">
        <v>0</v>
      </c>
      <c r="AC332" s="4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20.11</v>
      </c>
      <c r="AM332" s="2">
        <v>20.11</v>
      </c>
      <c r="AN332" s="2">
        <v>0</v>
      </c>
      <c r="AO332" s="2">
        <v>0</v>
      </c>
      <c r="AP332" s="2">
        <v>0</v>
      </c>
    </row>
    <row r="333" spans="1:42" x14ac:dyDescent="0.25">
      <c r="A333" s="1">
        <v>45922</v>
      </c>
      <c r="B333" t="s">
        <v>47</v>
      </c>
      <c r="C333">
        <v>649163</v>
      </c>
      <c r="D333">
        <v>2025418184</v>
      </c>
      <c r="E333" t="s">
        <v>465</v>
      </c>
      <c r="F333" t="s">
        <v>466</v>
      </c>
      <c r="G333" t="s">
        <v>50</v>
      </c>
      <c r="H333" t="s">
        <v>93</v>
      </c>
      <c r="I333" t="s">
        <v>441</v>
      </c>
      <c r="J333" t="s">
        <v>445</v>
      </c>
      <c r="K333">
        <v>807212</v>
      </c>
      <c r="L333" t="s">
        <v>467</v>
      </c>
      <c r="M333" t="s">
        <v>468</v>
      </c>
      <c r="N333" t="s">
        <v>56</v>
      </c>
      <c r="O333" s="1">
        <v>45587</v>
      </c>
      <c r="P333" s="1">
        <v>45952</v>
      </c>
      <c r="Q333" s="2">
        <v>11.5</v>
      </c>
      <c r="R333">
        <v>1</v>
      </c>
      <c r="S333" t="s">
        <v>57</v>
      </c>
      <c r="T333" t="s">
        <v>58</v>
      </c>
      <c r="U333" s="4">
        <v>0.7</v>
      </c>
      <c r="V333" s="2">
        <v>0</v>
      </c>
      <c r="W333">
        <v>0</v>
      </c>
      <c r="X333" t="s">
        <v>70</v>
      </c>
      <c r="Y333" t="s">
        <v>60</v>
      </c>
      <c r="Z333">
        <v>0</v>
      </c>
      <c r="AA333" s="2">
        <v>0</v>
      </c>
      <c r="AB333" s="2">
        <v>0</v>
      </c>
      <c r="AC333" s="4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8.0500000000000007</v>
      </c>
      <c r="AM333" s="2">
        <v>8.0500000000000007</v>
      </c>
      <c r="AN333" s="2">
        <v>0</v>
      </c>
      <c r="AO333" s="2">
        <v>0</v>
      </c>
      <c r="AP333" s="2">
        <v>0</v>
      </c>
    </row>
    <row r="334" spans="1:42" x14ac:dyDescent="0.25">
      <c r="A334" s="1">
        <v>45922</v>
      </c>
      <c r="B334" t="s">
        <v>47</v>
      </c>
      <c r="C334">
        <v>649163</v>
      </c>
      <c r="D334">
        <v>2025432387</v>
      </c>
      <c r="E334" t="s">
        <v>469</v>
      </c>
      <c r="F334" t="s">
        <v>470</v>
      </c>
      <c r="G334" t="s">
        <v>50</v>
      </c>
      <c r="H334" t="s">
        <v>115</v>
      </c>
      <c r="I334" t="s">
        <v>441</v>
      </c>
      <c r="J334" t="s">
        <v>442</v>
      </c>
      <c r="K334">
        <v>767312</v>
      </c>
      <c r="L334" t="s">
        <v>122</v>
      </c>
      <c r="M334" t="s">
        <v>123</v>
      </c>
      <c r="N334" t="s">
        <v>56</v>
      </c>
      <c r="O334" s="1">
        <v>45588</v>
      </c>
      <c r="P334" s="1">
        <v>45953</v>
      </c>
      <c r="Q334" s="2">
        <v>31.17</v>
      </c>
      <c r="R334">
        <v>1</v>
      </c>
      <c r="S334" t="s">
        <v>57</v>
      </c>
      <c r="T334" t="s">
        <v>58</v>
      </c>
      <c r="U334" s="4">
        <v>0.9</v>
      </c>
      <c r="V334" s="2">
        <v>0</v>
      </c>
      <c r="W334">
        <v>0</v>
      </c>
      <c r="X334" t="s">
        <v>70</v>
      </c>
      <c r="Y334" t="s">
        <v>60</v>
      </c>
      <c r="Z334">
        <v>0</v>
      </c>
      <c r="AA334" s="2">
        <v>0</v>
      </c>
      <c r="AB334" s="2">
        <v>0</v>
      </c>
      <c r="AC334" s="4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28.05</v>
      </c>
      <c r="AM334" s="2">
        <v>28.05</v>
      </c>
      <c r="AN334" s="2">
        <v>0</v>
      </c>
      <c r="AO334" s="2">
        <v>0</v>
      </c>
      <c r="AP334" s="2">
        <v>0</v>
      </c>
    </row>
    <row r="335" spans="1:42" x14ac:dyDescent="0.25">
      <c r="A335" s="1">
        <v>45922</v>
      </c>
      <c r="B335" t="s">
        <v>47</v>
      </c>
      <c r="C335">
        <v>649163</v>
      </c>
      <c r="D335">
        <v>2025727276</v>
      </c>
      <c r="E335" t="s">
        <v>128</v>
      </c>
      <c r="F335" t="s">
        <v>129</v>
      </c>
      <c r="G335" t="s">
        <v>50</v>
      </c>
      <c r="H335" t="s">
        <v>115</v>
      </c>
      <c r="I335" t="s">
        <v>441</v>
      </c>
      <c r="J335" t="s">
        <v>445</v>
      </c>
      <c r="K335">
        <v>753748</v>
      </c>
      <c r="L335" t="s">
        <v>130</v>
      </c>
      <c r="M335" t="s">
        <v>131</v>
      </c>
      <c r="N335" t="s">
        <v>56</v>
      </c>
      <c r="O335" s="1">
        <v>45658</v>
      </c>
      <c r="P335" s="1">
        <v>45931</v>
      </c>
      <c r="Q335" s="2">
        <v>-21.13</v>
      </c>
      <c r="R335">
        <v>1</v>
      </c>
      <c r="S335" t="s">
        <v>57</v>
      </c>
      <c r="T335" t="s">
        <v>58</v>
      </c>
      <c r="U335" s="4">
        <v>0.7</v>
      </c>
      <c r="V335" s="2">
        <v>0</v>
      </c>
      <c r="W335">
        <v>-1</v>
      </c>
      <c r="X335" t="s">
        <v>70</v>
      </c>
      <c r="Y335" t="s">
        <v>60</v>
      </c>
      <c r="Z335">
        <v>0</v>
      </c>
      <c r="AA335" s="2">
        <v>0</v>
      </c>
      <c r="AB335" s="2">
        <v>0</v>
      </c>
      <c r="AC335" s="4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-14.79</v>
      </c>
      <c r="AM335" s="2">
        <v>-14.79</v>
      </c>
      <c r="AN335" s="2">
        <v>0</v>
      </c>
      <c r="AO335" s="2">
        <v>0</v>
      </c>
      <c r="AP335" s="2">
        <v>0</v>
      </c>
    </row>
    <row r="336" spans="1:42" x14ac:dyDescent="0.25">
      <c r="A336" s="1">
        <v>45922</v>
      </c>
      <c r="B336" t="s">
        <v>47</v>
      </c>
      <c r="C336">
        <v>649163</v>
      </c>
      <c r="D336">
        <v>2025842066</v>
      </c>
      <c r="E336" t="s">
        <v>357</v>
      </c>
      <c r="F336" t="s">
        <v>303</v>
      </c>
      <c r="G336" t="s">
        <v>50</v>
      </c>
      <c r="H336" t="s">
        <v>93</v>
      </c>
      <c r="I336" t="s">
        <v>441</v>
      </c>
      <c r="J336" t="s">
        <v>445</v>
      </c>
      <c r="K336">
        <v>768271</v>
      </c>
      <c r="L336" t="s">
        <v>471</v>
      </c>
      <c r="M336" t="s">
        <v>92</v>
      </c>
      <c r="N336" t="s">
        <v>56</v>
      </c>
      <c r="O336" s="1">
        <v>45616</v>
      </c>
      <c r="P336" s="1">
        <v>45950</v>
      </c>
      <c r="Q336" s="2">
        <v>74.58</v>
      </c>
      <c r="R336">
        <v>1</v>
      </c>
      <c r="S336" t="s">
        <v>57</v>
      </c>
      <c r="T336" t="s">
        <v>58</v>
      </c>
      <c r="U336" s="4">
        <v>0.7</v>
      </c>
      <c r="V336" s="2">
        <v>0</v>
      </c>
      <c r="W336">
        <v>0</v>
      </c>
      <c r="X336" t="s">
        <v>70</v>
      </c>
      <c r="Y336" t="s">
        <v>60</v>
      </c>
      <c r="Z336">
        <v>0</v>
      </c>
      <c r="AA336" s="2">
        <v>0</v>
      </c>
      <c r="AB336" s="2">
        <v>0</v>
      </c>
      <c r="AC336" s="4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52.21</v>
      </c>
      <c r="AM336" s="2">
        <v>52.21</v>
      </c>
      <c r="AN336" s="2">
        <v>0</v>
      </c>
      <c r="AO336" s="2">
        <v>0</v>
      </c>
      <c r="AP336" s="2">
        <v>0</v>
      </c>
    </row>
    <row r="337" spans="1:42" x14ac:dyDescent="0.25">
      <c r="A337" s="1">
        <v>45922</v>
      </c>
      <c r="B337" t="s">
        <v>47</v>
      </c>
      <c r="C337">
        <v>649163</v>
      </c>
      <c r="D337">
        <v>2025847603</v>
      </c>
      <c r="E337" t="s">
        <v>472</v>
      </c>
      <c r="F337" t="s">
        <v>473</v>
      </c>
      <c r="G337" t="s">
        <v>50</v>
      </c>
      <c r="H337" t="s">
        <v>93</v>
      </c>
      <c r="I337" t="s">
        <v>441</v>
      </c>
      <c r="J337" t="s">
        <v>445</v>
      </c>
      <c r="K337">
        <v>807212</v>
      </c>
      <c r="L337" t="s">
        <v>467</v>
      </c>
      <c r="M337" t="s">
        <v>468</v>
      </c>
      <c r="N337" t="s">
        <v>56</v>
      </c>
      <c r="O337" s="1">
        <v>45617</v>
      </c>
      <c r="P337" s="1">
        <v>45951</v>
      </c>
      <c r="Q337" s="2">
        <v>46.08</v>
      </c>
      <c r="R337">
        <v>1</v>
      </c>
      <c r="S337" t="s">
        <v>57</v>
      </c>
      <c r="T337" t="s">
        <v>58</v>
      </c>
      <c r="U337" s="4">
        <v>0.7</v>
      </c>
      <c r="V337" s="2">
        <v>0</v>
      </c>
      <c r="W337">
        <v>0</v>
      </c>
      <c r="X337" t="s">
        <v>70</v>
      </c>
      <c r="Y337" t="s">
        <v>60</v>
      </c>
      <c r="Z337">
        <v>0</v>
      </c>
      <c r="AA337" s="2">
        <v>0</v>
      </c>
      <c r="AB337" s="2">
        <v>0</v>
      </c>
      <c r="AC337" s="4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32.26</v>
      </c>
      <c r="AM337" s="2">
        <v>32.26</v>
      </c>
      <c r="AN337" s="2">
        <v>0</v>
      </c>
      <c r="AO337" s="2">
        <v>0</v>
      </c>
      <c r="AP337" s="2">
        <v>0</v>
      </c>
    </row>
    <row r="338" spans="1:42" x14ac:dyDescent="0.25">
      <c r="A338" s="1">
        <v>45922</v>
      </c>
      <c r="B338" t="s">
        <v>47</v>
      </c>
      <c r="C338">
        <v>649163</v>
      </c>
      <c r="D338">
        <v>2025895058</v>
      </c>
      <c r="E338" t="s">
        <v>474</v>
      </c>
      <c r="F338" t="s">
        <v>475</v>
      </c>
      <c r="G338" t="s">
        <v>50</v>
      </c>
      <c r="H338" t="s">
        <v>93</v>
      </c>
      <c r="I338" t="s">
        <v>441</v>
      </c>
      <c r="J338" t="s">
        <v>445</v>
      </c>
      <c r="K338">
        <v>807212</v>
      </c>
      <c r="L338" t="s">
        <v>467</v>
      </c>
      <c r="M338" t="s">
        <v>468</v>
      </c>
      <c r="N338" t="s">
        <v>56</v>
      </c>
      <c r="O338" s="1">
        <v>45619</v>
      </c>
      <c r="P338" s="1">
        <v>45953</v>
      </c>
      <c r="Q338" s="2">
        <v>49.92</v>
      </c>
      <c r="R338">
        <v>1</v>
      </c>
      <c r="S338" t="s">
        <v>57</v>
      </c>
      <c r="T338" t="s">
        <v>58</v>
      </c>
      <c r="U338" s="4">
        <v>0.7</v>
      </c>
      <c r="V338" s="2">
        <v>0</v>
      </c>
      <c r="W338">
        <v>0</v>
      </c>
      <c r="X338" t="s">
        <v>70</v>
      </c>
      <c r="Y338" t="s">
        <v>60</v>
      </c>
      <c r="Z338">
        <v>0</v>
      </c>
      <c r="AA338" s="2">
        <v>0</v>
      </c>
      <c r="AB338" s="2">
        <v>0</v>
      </c>
      <c r="AC338" s="4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34.94</v>
      </c>
      <c r="AM338" s="2">
        <v>34.94</v>
      </c>
      <c r="AN338" s="2">
        <v>0</v>
      </c>
      <c r="AO338" s="2">
        <v>0</v>
      </c>
      <c r="AP338" s="2">
        <v>0</v>
      </c>
    </row>
    <row r="339" spans="1:42" x14ac:dyDescent="0.25">
      <c r="A339" s="1">
        <v>45922</v>
      </c>
      <c r="B339" t="s">
        <v>47</v>
      </c>
      <c r="C339">
        <v>649163</v>
      </c>
      <c r="D339">
        <v>2026262565</v>
      </c>
      <c r="E339" t="s">
        <v>139</v>
      </c>
      <c r="F339" t="s">
        <v>140</v>
      </c>
      <c r="G339" t="s">
        <v>50</v>
      </c>
      <c r="H339" t="s">
        <v>141</v>
      </c>
      <c r="I339" t="s">
        <v>441</v>
      </c>
      <c r="J339" t="s">
        <v>445</v>
      </c>
      <c r="K339">
        <v>816021</v>
      </c>
      <c r="L339" t="s">
        <v>142</v>
      </c>
      <c r="M339" t="s">
        <v>143</v>
      </c>
      <c r="N339" t="s">
        <v>56</v>
      </c>
      <c r="O339" s="1">
        <v>45647</v>
      </c>
      <c r="P339" s="1">
        <v>45951</v>
      </c>
      <c r="Q339" s="2">
        <v>9.1</v>
      </c>
      <c r="R339">
        <v>1</v>
      </c>
      <c r="S339" t="s">
        <v>57</v>
      </c>
      <c r="T339" t="s">
        <v>58</v>
      </c>
      <c r="U339" s="4">
        <v>0.7</v>
      </c>
      <c r="V339" s="2">
        <v>0</v>
      </c>
      <c r="W339">
        <v>0</v>
      </c>
      <c r="X339" t="s">
        <v>70</v>
      </c>
      <c r="Y339" t="s">
        <v>60</v>
      </c>
      <c r="Z339">
        <v>0</v>
      </c>
      <c r="AA339" s="2">
        <v>0</v>
      </c>
      <c r="AB339" s="2">
        <v>0</v>
      </c>
      <c r="AC339" s="4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6.37</v>
      </c>
      <c r="AM339" s="2">
        <v>6.37</v>
      </c>
      <c r="AN339" s="2">
        <v>0</v>
      </c>
      <c r="AO339" s="2">
        <v>0</v>
      </c>
      <c r="AP339" s="2">
        <v>0</v>
      </c>
    </row>
    <row r="340" spans="1:42" x14ac:dyDescent="0.25">
      <c r="A340" s="1">
        <v>45922</v>
      </c>
      <c r="B340" t="s">
        <v>47</v>
      </c>
      <c r="C340">
        <v>649163</v>
      </c>
      <c r="D340">
        <v>2026262567</v>
      </c>
      <c r="E340" t="s">
        <v>139</v>
      </c>
      <c r="F340" t="s">
        <v>140</v>
      </c>
      <c r="G340" t="s">
        <v>50</v>
      </c>
      <c r="H340" t="s">
        <v>141</v>
      </c>
      <c r="I340" t="s">
        <v>441</v>
      </c>
      <c r="J340" t="s">
        <v>447</v>
      </c>
      <c r="K340">
        <v>816021</v>
      </c>
      <c r="L340" t="s">
        <v>142</v>
      </c>
      <c r="M340" t="s">
        <v>143</v>
      </c>
      <c r="N340" t="s">
        <v>56</v>
      </c>
      <c r="O340" s="1">
        <v>45647</v>
      </c>
      <c r="P340" s="1">
        <v>45951</v>
      </c>
      <c r="Q340" s="2">
        <v>6.3</v>
      </c>
      <c r="R340">
        <v>1</v>
      </c>
      <c r="S340" t="s">
        <v>57</v>
      </c>
      <c r="T340" t="s">
        <v>58</v>
      </c>
      <c r="U340" s="4">
        <v>0.7</v>
      </c>
      <c r="V340" s="2">
        <v>0</v>
      </c>
      <c r="W340">
        <v>0</v>
      </c>
      <c r="X340" t="s">
        <v>70</v>
      </c>
      <c r="Y340" t="s">
        <v>60</v>
      </c>
      <c r="Z340">
        <v>0</v>
      </c>
      <c r="AA340" s="2">
        <v>0</v>
      </c>
      <c r="AB340" s="2">
        <v>0</v>
      </c>
      <c r="AC340" s="4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4.41</v>
      </c>
      <c r="AM340" s="2">
        <v>4.41</v>
      </c>
      <c r="AN340" s="2">
        <v>0</v>
      </c>
      <c r="AO340" s="2">
        <v>0</v>
      </c>
      <c r="AP340" s="2">
        <v>0</v>
      </c>
    </row>
    <row r="341" spans="1:42" x14ac:dyDescent="0.25">
      <c r="A341" s="1">
        <v>45922</v>
      </c>
      <c r="B341" t="s">
        <v>47</v>
      </c>
      <c r="C341">
        <v>649163</v>
      </c>
      <c r="D341">
        <v>2026263730</v>
      </c>
      <c r="E341" t="s">
        <v>476</v>
      </c>
      <c r="F341" t="s">
        <v>477</v>
      </c>
      <c r="G341" t="s">
        <v>50</v>
      </c>
      <c r="H341" t="s">
        <v>93</v>
      </c>
      <c r="I341" t="s">
        <v>441</v>
      </c>
      <c r="J341" t="s">
        <v>445</v>
      </c>
      <c r="K341">
        <v>807212</v>
      </c>
      <c r="L341" t="s">
        <v>467</v>
      </c>
      <c r="M341" t="s">
        <v>468</v>
      </c>
      <c r="N341" t="s">
        <v>56</v>
      </c>
      <c r="O341" s="1">
        <v>45647</v>
      </c>
      <c r="P341" s="1">
        <v>45951</v>
      </c>
      <c r="Q341" s="2">
        <v>126.92</v>
      </c>
      <c r="R341">
        <v>1</v>
      </c>
      <c r="S341" t="s">
        <v>57</v>
      </c>
      <c r="T341" t="s">
        <v>58</v>
      </c>
      <c r="U341" s="4">
        <v>0.7</v>
      </c>
      <c r="V341" s="2">
        <v>0</v>
      </c>
      <c r="W341">
        <v>0</v>
      </c>
      <c r="X341" t="s">
        <v>70</v>
      </c>
      <c r="Y341" t="s">
        <v>60</v>
      </c>
      <c r="Z341">
        <v>0</v>
      </c>
      <c r="AA341" s="2">
        <v>0</v>
      </c>
      <c r="AB341" s="2">
        <v>0</v>
      </c>
      <c r="AC341" s="4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88.84</v>
      </c>
      <c r="AM341" s="2">
        <v>88.84</v>
      </c>
      <c r="AN341" s="2">
        <v>0</v>
      </c>
      <c r="AO341" s="2">
        <v>0</v>
      </c>
      <c r="AP341" s="2">
        <v>0</v>
      </c>
    </row>
    <row r="342" spans="1:42" x14ac:dyDescent="0.25">
      <c r="A342" s="1">
        <v>45922</v>
      </c>
      <c r="B342" t="s">
        <v>47</v>
      </c>
      <c r="C342">
        <v>649163</v>
      </c>
      <c r="D342">
        <v>2026265885</v>
      </c>
      <c r="E342" t="s">
        <v>154</v>
      </c>
      <c r="F342" t="s">
        <v>256</v>
      </c>
      <c r="G342" t="s">
        <v>50</v>
      </c>
      <c r="H342" t="s">
        <v>115</v>
      </c>
      <c r="I342" t="s">
        <v>441</v>
      </c>
      <c r="J342" t="s">
        <v>442</v>
      </c>
      <c r="K342">
        <v>756418</v>
      </c>
      <c r="L342" t="s">
        <v>257</v>
      </c>
      <c r="M342" t="s">
        <v>258</v>
      </c>
      <c r="N342" t="s">
        <v>56</v>
      </c>
      <c r="O342" s="1">
        <v>45647</v>
      </c>
      <c r="P342" s="1">
        <v>45951</v>
      </c>
      <c r="Q342" s="2">
        <v>32.33</v>
      </c>
      <c r="R342">
        <v>1</v>
      </c>
      <c r="S342" t="s">
        <v>57</v>
      </c>
      <c r="T342" t="s">
        <v>58</v>
      </c>
      <c r="U342" s="4">
        <v>0.9</v>
      </c>
      <c r="V342" s="2">
        <v>0</v>
      </c>
      <c r="W342">
        <v>0</v>
      </c>
      <c r="X342" t="s">
        <v>70</v>
      </c>
      <c r="Y342" t="s">
        <v>60</v>
      </c>
      <c r="Z342">
        <v>0</v>
      </c>
      <c r="AA342" s="2">
        <v>0</v>
      </c>
      <c r="AB342" s="2">
        <v>0</v>
      </c>
      <c r="AC342" s="4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29.1</v>
      </c>
      <c r="AM342" s="2">
        <v>29.1</v>
      </c>
      <c r="AN342" s="2">
        <v>0</v>
      </c>
      <c r="AO342" s="2">
        <v>0</v>
      </c>
      <c r="AP342" s="2">
        <v>0</v>
      </c>
    </row>
    <row r="343" spans="1:42" x14ac:dyDescent="0.25">
      <c r="A343" s="1">
        <v>45922</v>
      </c>
      <c r="B343" t="s">
        <v>47</v>
      </c>
      <c r="C343">
        <v>649163</v>
      </c>
      <c r="D343">
        <v>2026293121</v>
      </c>
      <c r="E343" t="s">
        <v>478</v>
      </c>
      <c r="F343" t="s">
        <v>479</v>
      </c>
      <c r="G343" t="s">
        <v>50</v>
      </c>
      <c r="H343" t="s">
        <v>93</v>
      </c>
      <c r="I343" t="s">
        <v>441</v>
      </c>
      <c r="J343" t="s">
        <v>445</v>
      </c>
      <c r="K343">
        <v>757719</v>
      </c>
      <c r="L343" t="s">
        <v>338</v>
      </c>
      <c r="M343" t="s">
        <v>339</v>
      </c>
      <c r="N343" t="s">
        <v>56</v>
      </c>
      <c r="O343" s="1">
        <v>45650</v>
      </c>
      <c r="P343" s="1">
        <v>45954</v>
      </c>
      <c r="Q343" s="2">
        <v>88.96</v>
      </c>
      <c r="R343">
        <v>1</v>
      </c>
      <c r="S343" t="s">
        <v>57</v>
      </c>
      <c r="T343" t="s">
        <v>58</v>
      </c>
      <c r="U343" s="4">
        <v>0.7</v>
      </c>
      <c r="V343" s="2">
        <v>0</v>
      </c>
      <c r="W343">
        <v>0</v>
      </c>
      <c r="X343" t="s">
        <v>70</v>
      </c>
      <c r="Y343" t="s">
        <v>60</v>
      </c>
      <c r="Z343">
        <v>0</v>
      </c>
      <c r="AA343" s="2">
        <v>0</v>
      </c>
      <c r="AB343" s="2">
        <v>0</v>
      </c>
      <c r="AC343" s="4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62.27</v>
      </c>
      <c r="AM343" s="2">
        <v>62.27</v>
      </c>
      <c r="AN343" s="2">
        <v>0</v>
      </c>
      <c r="AO343" s="2">
        <v>0</v>
      </c>
      <c r="AP343" s="2">
        <v>0</v>
      </c>
    </row>
    <row r="344" spans="1:42" x14ac:dyDescent="0.25">
      <c r="A344" s="1">
        <v>45922</v>
      </c>
      <c r="B344" t="s">
        <v>47</v>
      </c>
      <c r="C344">
        <v>649163</v>
      </c>
      <c r="D344">
        <v>2026295209</v>
      </c>
      <c r="E344" t="s">
        <v>144</v>
      </c>
      <c r="F344" t="s">
        <v>145</v>
      </c>
      <c r="G344" t="s">
        <v>50</v>
      </c>
      <c r="H344" t="s">
        <v>141</v>
      </c>
      <c r="I344" t="s">
        <v>441</v>
      </c>
      <c r="J344" t="s">
        <v>445</v>
      </c>
      <c r="K344">
        <v>816021</v>
      </c>
      <c r="L344" t="s">
        <v>142</v>
      </c>
      <c r="M344" t="s">
        <v>143</v>
      </c>
      <c r="N344" t="s">
        <v>56</v>
      </c>
      <c r="O344" s="1">
        <v>45650</v>
      </c>
      <c r="P344" s="1">
        <v>45954</v>
      </c>
      <c r="Q344" s="2">
        <v>18.28</v>
      </c>
      <c r="R344">
        <v>1</v>
      </c>
      <c r="S344" t="s">
        <v>57</v>
      </c>
      <c r="T344" t="s">
        <v>58</v>
      </c>
      <c r="U344" s="4">
        <v>0.7</v>
      </c>
      <c r="V344" s="2">
        <v>0</v>
      </c>
      <c r="W344">
        <v>0</v>
      </c>
      <c r="X344" t="s">
        <v>70</v>
      </c>
      <c r="Y344" t="s">
        <v>60</v>
      </c>
      <c r="Z344">
        <v>0</v>
      </c>
      <c r="AA344" s="2">
        <v>0</v>
      </c>
      <c r="AB344" s="2">
        <v>0</v>
      </c>
      <c r="AC344" s="4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12.8</v>
      </c>
      <c r="AM344" s="2">
        <v>12.8</v>
      </c>
      <c r="AN344" s="2">
        <v>0</v>
      </c>
      <c r="AO344" s="2">
        <v>0</v>
      </c>
      <c r="AP344" s="2">
        <v>0</v>
      </c>
    </row>
    <row r="345" spans="1:42" x14ac:dyDescent="0.25">
      <c r="A345" s="1">
        <v>45922</v>
      </c>
      <c r="B345" t="s">
        <v>47</v>
      </c>
      <c r="C345">
        <v>649163</v>
      </c>
      <c r="D345">
        <v>2026295210</v>
      </c>
      <c r="E345" t="s">
        <v>144</v>
      </c>
      <c r="F345" t="s">
        <v>145</v>
      </c>
      <c r="G345" t="s">
        <v>50</v>
      </c>
      <c r="H345" t="s">
        <v>141</v>
      </c>
      <c r="I345" t="s">
        <v>441</v>
      </c>
      <c r="J345" t="s">
        <v>447</v>
      </c>
      <c r="K345">
        <v>816021</v>
      </c>
      <c r="L345" t="s">
        <v>142</v>
      </c>
      <c r="M345" t="s">
        <v>143</v>
      </c>
      <c r="N345" t="s">
        <v>56</v>
      </c>
      <c r="O345" s="1">
        <v>45650</v>
      </c>
      <c r="P345" s="1">
        <v>45954</v>
      </c>
      <c r="Q345" s="2">
        <v>14.65</v>
      </c>
      <c r="R345">
        <v>1</v>
      </c>
      <c r="S345" t="s">
        <v>57</v>
      </c>
      <c r="T345" t="s">
        <v>58</v>
      </c>
      <c r="U345" s="4">
        <v>0.7</v>
      </c>
      <c r="V345" s="2">
        <v>0</v>
      </c>
      <c r="W345">
        <v>0</v>
      </c>
      <c r="X345" t="s">
        <v>70</v>
      </c>
      <c r="Y345" t="s">
        <v>60</v>
      </c>
      <c r="Z345">
        <v>0</v>
      </c>
      <c r="AA345" s="2">
        <v>0</v>
      </c>
      <c r="AB345" s="2">
        <v>0</v>
      </c>
      <c r="AC345" s="4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10.26</v>
      </c>
      <c r="AM345" s="2">
        <v>10.26</v>
      </c>
      <c r="AN345" s="2">
        <v>0</v>
      </c>
      <c r="AO345" s="2">
        <v>0</v>
      </c>
      <c r="AP345" s="2">
        <v>0</v>
      </c>
    </row>
    <row r="346" spans="1:42" x14ac:dyDescent="0.25">
      <c r="A346" s="1">
        <v>45922</v>
      </c>
      <c r="B346" t="s">
        <v>47</v>
      </c>
      <c r="C346">
        <v>649163</v>
      </c>
      <c r="D346">
        <v>2026421756</v>
      </c>
      <c r="E346" t="s">
        <v>277</v>
      </c>
      <c r="F346" t="s">
        <v>347</v>
      </c>
      <c r="G346" t="s">
        <v>50</v>
      </c>
      <c r="H346" t="s">
        <v>151</v>
      </c>
      <c r="I346" t="s">
        <v>441</v>
      </c>
      <c r="J346" t="s">
        <v>445</v>
      </c>
      <c r="K346">
        <v>673059</v>
      </c>
      <c r="L346" t="s">
        <v>152</v>
      </c>
      <c r="M346" t="s">
        <v>153</v>
      </c>
      <c r="N346" t="s">
        <v>56</v>
      </c>
      <c r="O346" s="1">
        <v>45689</v>
      </c>
      <c r="P346" s="1">
        <v>45931</v>
      </c>
      <c r="Q346" s="2">
        <v>-44.54</v>
      </c>
      <c r="R346">
        <v>1</v>
      </c>
      <c r="S346" t="s">
        <v>57</v>
      </c>
      <c r="T346" t="s">
        <v>58</v>
      </c>
      <c r="U346" s="4">
        <v>0.7</v>
      </c>
      <c r="V346" s="2">
        <v>0</v>
      </c>
      <c r="W346">
        <v>-1</v>
      </c>
      <c r="X346" t="s">
        <v>70</v>
      </c>
      <c r="Y346" t="s">
        <v>60</v>
      </c>
      <c r="Z346">
        <v>0</v>
      </c>
      <c r="AA346" s="2">
        <v>0</v>
      </c>
      <c r="AB346" s="2">
        <v>0</v>
      </c>
      <c r="AC346" s="4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-31.18</v>
      </c>
      <c r="AM346" s="2">
        <v>-31.18</v>
      </c>
      <c r="AN346" s="2">
        <v>0</v>
      </c>
      <c r="AO346" s="2">
        <v>0</v>
      </c>
      <c r="AP346" s="2">
        <v>0</v>
      </c>
    </row>
    <row r="347" spans="1:42" x14ac:dyDescent="0.25">
      <c r="A347" s="1">
        <v>45922</v>
      </c>
      <c r="B347" t="s">
        <v>47</v>
      </c>
      <c r="C347">
        <v>649163</v>
      </c>
      <c r="D347">
        <v>2026421758</v>
      </c>
      <c r="E347" t="s">
        <v>277</v>
      </c>
      <c r="F347" t="s">
        <v>347</v>
      </c>
      <c r="G347" t="s">
        <v>50</v>
      </c>
      <c r="H347" t="s">
        <v>151</v>
      </c>
      <c r="I347" t="s">
        <v>441</v>
      </c>
      <c r="J347" t="s">
        <v>447</v>
      </c>
      <c r="K347">
        <v>673059</v>
      </c>
      <c r="L347" t="s">
        <v>152</v>
      </c>
      <c r="M347" t="s">
        <v>153</v>
      </c>
      <c r="N347" t="s">
        <v>56</v>
      </c>
      <c r="O347" s="1">
        <v>45689</v>
      </c>
      <c r="P347" s="1">
        <v>45931</v>
      </c>
      <c r="Q347" s="2">
        <v>-12.01</v>
      </c>
      <c r="R347">
        <v>1</v>
      </c>
      <c r="S347" t="s">
        <v>57</v>
      </c>
      <c r="T347" t="s">
        <v>58</v>
      </c>
      <c r="U347" s="4">
        <v>0.7</v>
      </c>
      <c r="V347" s="2">
        <v>0</v>
      </c>
      <c r="W347">
        <v>-1</v>
      </c>
      <c r="X347" t="s">
        <v>70</v>
      </c>
      <c r="Y347" t="s">
        <v>60</v>
      </c>
      <c r="Z347">
        <v>0</v>
      </c>
      <c r="AA347" s="2">
        <v>0</v>
      </c>
      <c r="AB347" s="2">
        <v>0</v>
      </c>
      <c r="AC347" s="4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-8.41</v>
      </c>
      <c r="AM347" s="2">
        <v>-8.41</v>
      </c>
      <c r="AN347" s="2">
        <v>0</v>
      </c>
      <c r="AO347" s="2">
        <v>0</v>
      </c>
      <c r="AP347" s="2">
        <v>0</v>
      </c>
    </row>
    <row r="348" spans="1:42" x14ac:dyDescent="0.25">
      <c r="A348" s="1">
        <v>45922</v>
      </c>
      <c r="B348" t="s">
        <v>47</v>
      </c>
      <c r="C348">
        <v>649163</v>
      </c>
      <c r="D348">
        <v>2026506852</v>
      </c>
      <c r="E348" t="s">
        <v>399</v>
      </c>
      <c r="F348" t="s">
        <v>480</v>
      </c>
      <c r="G348" t="s">
        <v>50</v>
      </c>
      <c r="H348" t="s">
        <v>115</v>
      </c>
      <c r="I348" t="s">
        <v>441</v>
      </c>
      <c r="J348" t="s">
        <v>445</v>
      </c>
      <c r="K348">
        <v>792847</v>
      </c>
      <c r="L348" t="s">
        <v>137</v>
      </c>
      <c r="M348" t="s">
        <v>138</v>
      </c>
      <c r="N348" t="s">
        <v>56</v>
      </c>
      <c r="O348" s="1">
        <v>45677</v>
      </c>
      <c r="P348" s="1">
        <v>45950</v>
      </c>
      <c r="Q348" s="2">
        <v>48.76</v>
      </c>
      <c r="R348">
        <v>1</v>
      </c>
      <c r="S348" t="s">
        <v>57</v>
      </c>
      <c r="T348" t="s">
        <v>58</v>
      </c>
      <c r="U348" s="4">
        <v>0.7</v>
      </c>
      <c r="V348" s="2">
        <v>0</v>
      </c>
      <c r="W348">
        <v>0</v>
      </c>
      <c r="X348" t="s">
        <v>70</v>
      </c>
      <c r="Y348" t="s">
        <v>60</v>
      </c>
      <c r="Z348">
        <v>0</v>
      </c>
      <c r="AA348" s="2">
        <v>0</v>
      </c>
      <c r="AB348" s="2">
        <v>0</v>
      </c>
      <c r="AC348" s="4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34.130000000000003</v>
      </c>
      <c r="AM348" s="2">
        <v>34.130000000000003</v>
      </c>
      <c r="AN348" s="2">
        <v>0</v>
      </c>
      <c r="AO348" s="2">
        <v>0</v>
      </c>
      <c r="AP348" s="2">
        <v>0</v>
      </c>
    </row>
    <row r="349" spans="1:42" x14ac:dyDescent="0.25">
      <c r="A349" s="1">
        <v>45922</v>
      </c>
      <c r="B349" t="s">
        <v>47</v>
      </c>
      <c r="C349">
        <v>649163</v>
      </c>
      <c r="D349">
        <v>2026594774</v>
      </c>
      <c r="E349" t="s">
        <v>348</v>
      </c>
      <c r="F349" t="s">
        <v>349</v>
      </c>
      <c r="G349" t="s">
        <v>50</v>
      </c>
      <c r="H349" t="s">
        <v>93</v>
      </c>
      <c r="I349" t="s">
        <v>441</v>
      </c>
      <c r="J349" t="s">
        <v>447</v>
      </c>
      <c r="K349">
        <v>673059</v>
      </c>
      <c r="L349" t="s">
        <v>152</v>
      </c>
      <c r="M349" t="s">
        <v>153</v>
      </c>
      <c r="N349" t="s">
        <v>56</v>
      </c>
      <c r="O349" s="1">
        <v>45678</v>
      </c>
      <c r="P349" s="1">
        <v>45951</v>
      </c>
      <c r="Q349" s="2">
        <v>25.73</v>
      </c>
      <c r="R349">
        <v>1</v>
      </c>
      <c r="S349" t="s">
        <v>57</v>
      </c>
      <c r="T349" t="s">
        <v>58</v>
      </c>
      <c r="U349" s="4">
        <v>0.7</v>
      </c>
      <c r="V349" s="2">
        <v>0</v>
      </c>
      <c r="W349">
        <v>0</v>
      </c>
      <c r="X349" t="s">
        <v>70</v>
      </c>
      <c r="Y349" t="s">
        <v>60</v>
      </c>
      <c r="Z349">
        <v>0</v>
      </c>
      <c r="AA349" s="2">
        <v>0</v>
      </c>
      <c r="AB349" s="2">
        <v>0</v>
      </c>
      <c r="AC349" s="4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18.010000000000002</v>
      </c>
      <c r="AM349" s="2">
        <v>18.010000000000002</v>
      </c>
      <c r="AN349" s="2">
        <v>0</v>
      </c>
      <c r="AO349" s="2">
        <v>0</v>
      </c>
      <c r="AP349" s="2">
        <v>0</v>
      </c>
    </row>
    <row r="350" spans="1:42" x14ac:dyDescent="0.25">
      <c r="A350" s="1">
        <v>45922</v>
      </c>
      <c r="B350" t="s">
        <v>47</v>
      </c>
      <c r="C350">
        <v>649163</v>
      </c>
      <c r="D350">
        <v>2026594775</v>
      </c>
      <c r="E350" t="s">
        <v>348</v>
      </c>
      <c r="F350" t="s">
        <v>349</v>
      </c>
      <c r="G350" t="s">
        <v>50</v>
      </c>
      <c r="H350" t="s">
        <v>93</v>
      </c>
      <c r="I350" t="s">
        <v>441</v>
      </c>
      <c r="J350" t="s">
        <v>445</v>
      </c>
      <c r="K350">
        <v>673059</v>
      </c>
      <c r="L350" t="s">
        <v>152</v>
      </c>
      <c r="M350" t="s">
        <v>153</v>
      </c>
      <c r="N350" t="s">
        <v>56</v>
      </c>
      <c r="O350" s="1">
        <v>45678</v>
      </c>
      <c r="P350" s="1">
        <v>45951</v>
      </c>
      <c r="Q350" s="2">
        <v>115.38</v>
      </c>
      <c r="R350">
        <v>1</v>
      </c>
      <c r="S350" t="s">
        <v>57</v>
      </c>
      <c r="T350" t="s">
        <v>58</v>
      </c>
      <c r="U350" s="4">
        <v>0.7</v>
      </c>
      <c r="V350" s="2">
        <v>0</v>
      </c>
      <c r="W350">
        <v>0</v>
      </c>
      <c r="X350" t="s">
        <v>70</v>
      </c>
      <c r="Y350" t="s">
        <v>60</v>
      </c>
      <c r="Z350">
        <v>0</v>
      </c>
      <c r="AA350" s="2">
        <v>0</v>
      </c>
      <c r="AB350" s="2">
        <v>0</v>
      </c>
      <c r="AC350" s="4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80.77</v>
      </c>
      <c r="AM350" s="2">
        <v>80.77</v>
      </c>
      <c r="AN350" s="2">
        <v>0</v>
      </c>
      <c r="AO350" s="2">
        <v>0</v>
      </c>
      <c r="AP350" s="2">
        <v>0</v>
      </c>
    </row>
    <row r="351" spans="1:42" x14ac:dyDescent="0.25">
      <c r="A351" s="1">
        <v>45922</v>
      </c>
      <c r="B351" t="s">
        <v>47</v>
      </c>
      <c r="C351">
        <v>649163</v>
      </c>
      <c r="D351">
        <v>2026603378</v>
      </c>
      <c r="E351" t="s">
        <v>433</v>
      </c>
      <c r="F351" t="s">
        <v>434</v>
      </c>
      <c r="G351" t="s">
        <v>50</v>
      </c>
      <c r="H351" t="s">
        <v>51</v>
      </c>
      <c r="I351" t="s">
        <v>441</v>
      </c>
      <c r="J351" t="s">
        <v>447</v>
      </c>
      <c r="K351">
        <v>751867</v>
      </c>
      <c r="L351" t="s">
        <v>84</v>
      </c>
      <c r="M351" t="s">
        <v>85</v>
      </c>
      <c r="N351" t="s">
        <v>56</v>
      </c>
      <c r="O351" s="1">
        <v>45673</v>
      </c>
      <c r="P351" s="1">
        <v>45946</v>
      </c>
      <c r="Q351" s="2">
        <v>25.73</v>
      </c>
      <c r="R351">
        <v>1</v>
      </c>
      <c r="S351" t="s">
        <v>57</v>
      </c>
      <c r="T351" t="s">
        <v>58</v>
      </c>
      <c r="U351" s="4">
        <v>0.7</v>
      </c>
      <c r="V351" s="2">
        <v>0</v>
      </c>
      <c r="W351">
        <v>0</v>
      </c>
      <c r="X351" t="s">
        <v>70</v>
      </c>
      <c r="Y351" t="s">
        <v>60</v>
      </c>
      <c r="Z351">
        <v>0</v>
      </c>
      <c r="AA351" s="2">
        <v>0</v>
      </c>
      <c r="AB351" s="2">
        <v>0</v>
      </c>
      <c r="AC351" s="4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18.010000000000002</v>
      </c>
      <c r="AM351" s="2">
        <v>18.010000000000002</v>
      </c>
      <c r="AN351" s="2">
        <v>0</v>
      </c>
      <c r="AO351" s="2">
        <v>0</v>
      </c>
      <c r="AP351" s="2">
        <v>0</v>
      </c>
    </row>
    <row r="352" spans="1:42" x14ac:dyDescent="0.25">
      <c r="A352" s="1">
        <v>45922</v>
      </c>
      <c r="B352" t="s">
        <v>47</v>
      </c>
      <c r="C352">
        <v>649163</v>
      </c>
      <c r="D352">
        <v>2026650737</v>
      </c>
      <c r="E352" t="s">
        <v>350</v>
      </c>
      <c r="F352" t="s">
        <v>351</v>
      </c>
      <c r="G352" t="s">
        <v>50</v>
      </c>
      <c r="H352" t="s">
        <v>93</v>
      </c>
      <c r="I352" t="s">
        <v>441</v>
      </c>
      <c r="J352" t="s">
        <v>445</v>
      </c>
      <c r="K352">
        <v>766747</v>
      </c>
      <c r="L352" t="s">
        <v>352</v>
      </c>
      <c r="M352" t="s">
        <v>49</v>
      </c>
      <c r="N352" t="s">
        <v>56</v>
      </c>
      <c r="O352" s="1">
        <v>45677</v>
      </c>
      <c r="P352" s="1">
        <v>45950</v>
      </c>
      <c r="Q352" s="2">
        <v>15.75</v>
      </c>
      <c r="R352">
        <v>1</v>
      </c>
      <c r="S352" t="s">
        <v>57</v>
      </c>
      <c r="T352" t="s">
        <v>58</v>
      </c>
      <c r="U352" s="4">
        <v>0.7</v>
      </c>
      <c r="V352" s="2">
        <v>0</v>
      </c>
      <c r="W352">
        <v>0</v>
      </c>
      <c r="X352" t="s">
        <v>70</v>
      </c>
      <c r="Y352" t="s">
        <v>60</v>
      </c>
      <c r="Z352">
        <v>0</v>
      </c>
      <c r="AA352" s="2">
        <v>0</v>
      </c>
      <c r="AB352" s="2">
        <v>0</v>
      </c>
      <c r="AC352" s="4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11.02</v>
      </c>
      <c r="AM352" s="2">
        <v>11.02</v>
      </c>
      <c r="AN352" s="2">
        <v>0</v>
      </c>
      <c r="AO352" s="2">
        <v>0</v>
      </c>
      <c r="AP352" s="2">
        <v>0</v>
      </c>
    </row>
    <row r="353" spans="1:42" x14ac:dyDescent="0.25">
      <c r="A353" s="1">
        <v>45922</v>
      </c>
      <c r="B353" t="s">
        <v>47</v>
      </c>
      <c r="C353">
        <v>649163</v>
      </c>
      <c r="D353">
        <v>2026669941</v>
      </c>
      <c r="E353" t="s">
        <v>147</v>
      </c>
      <c r="F353" t="s">
        <v>148</v>
      </c>
      <c r="G353" t="s">
        <v>50</v>
      </c>
      <c r="H353" t="s">
        <v>77</v>
      </c>
      <c r="I353" t="s">
        <v>441</v>
      </c>
      <c r="J353" t="s">
        <v>445</v>
      </c>
      <c r="K353">
        <v>767312</v>
      </c>
      <c r="L353" t="s">
        <v>122</v>
      </c>
      <c r="M353" t="s">
        <v>123</v>
      </c>
      <c r="N353" t="s">
        <v>56</v>
      </c>
      <c r="O353" s="1">
        <v>45677</v>
      </c>
      <c r="P353" s="1">
        <v>45950</v>
      </c>
      <c r="Q353" s="2">
        <v>26.32</v>
      </c>
      <c r="R353">
        <v>1</v>
      </c>
      <c r="S353" t="s">
        <v>57</v>
      </c>
      <c r="T353" t="s">
        <v>58</v>
      </c>
      <c r="U353" s="4">
        <v>0.7</v>
      </c>
      <c r="V353" s="2">
        <v>0</v>
      </c>
      <c r="W353">
        <v>0</v>
      </c>
      <c r="X353" t="s">
        <v>70</v>
      </c>
      <c r="Y353" t="s">
        <v>60</v>
      </c>
      <c r="Z353">
        <v>0</v>
      </c>
      <c r="AA353" s="2">
        <v>0</v>
      </c>
      <c r="AB353" s="2">
        <v>0</v>
      </c>
      <c r="AC353" s="4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18.420000000000002</v>
      </c>
      <c r="AM353" s="2">
        <v>18.420000000000002</v>
      </c>
      <c r="AN353" s="2">
        <v>0</v>
      </c>
      <c r="AO353" s="2">
        <v>0</v>
      </c>
      <c r="AP353" s="2">
        <v>0</v>
      </c>
    </row>
    <row r="354" spans="1:42" x14ac:dyDescent="0.25">
      <c r="A354" s="1">
        <v>45922</v>
      </c>
      <c r="B354" t="s">
        <v>47</v>
      </c>
      <c r="C354">
        <v>649163</v>
      </c>
      <c r="D354">
        <v>2026693770</v>
      </c>
      <c r="E354" t="s">
        <v>481</v>
      </c>
      <c r="F354" t="s">
        <v>482</v>
      </c>
      <c r="G354" t="s">
        <v>50</v>
      </c>
      <c r="H354" t="s">
        <v>405</v>
      </c>
      <c r="I354" t="s">
        <v>441</v>
      </c>
      <c r="J354" t="s">
        <v>442</v>
      </c>
      <c r="K354">
        <v>767312</v>
      </c>
      <c r="L354" t="s">
        <v>122</v>
      </c>
      <c r="M354" t="s">
        <v>123</v>
      </c>
      <c r="N354" t="s">
        <v>56</v>
      </c>
      <c r="O354" s="1">
        <v>45679</v>
      </c>
      <c r="P354" s="1">
        <v>45952</v>
      </c>
      <c r="Q354" s="2">
        <v>58.17</v>
      </c>
      <c r="R354">
        <v>1</v>
      </c>
      <c r="S354" t="s">
        <v>57</v>
      </c>
      <c r="T354" t="s">
        <v>58</v>
      </c>
      <c r="U354" s="4">
        <v>0.9</v>
      </c>
      <c r="V354" s="2">
        <v>0</v>
      </c>
      <c r="W354">
        <v>0</v>
      </c>
      <c r="X354" t="s">
        <v>70</v>
      </c>
      <c r="Y354" t="s">
        <v>60</v>
      </c>
      <c r="Z354">
        <v>0</v>
      </c>
      <c r="AA354" s="2">
        <v>0</v>
      </c>
      <c r="AB354" s="2">
        <v>0</v>
      </c>
      <c r="AC354" s="4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52.35</v>
      </c>
      <c r="AM354" s="2">
        <v>52.35</v>
      </c>
      <c r="AN354" s="2">
        <v>0</v>
      </c>
      <c r="AO354" s="2">
        <v>0</v>
      </c>
      <c r="AP354" s="2">
        <v>0</v>
      </c>
    </row>
    <row r="355" spans="1:42" x14ac:dyDescent="0.25">
      <c r="A355" s="1">
        <v>45922</v>
      </c>
      <c r="B355" t="s">
        <v>47</v>
      </c>
      <c r="C355">
        <v>649163</v>
      </c>
      <c r="D355">
        <v>2026734001</v>
      </c>
      <c r="E355" t="s">
        <v>483</v>
      </c>
      <c r="F355" t="s">
        <v>260</v>
      </c>
      <c r="G355" t="s">
        <v>50</v>
      </c>
      <c r="H355" t="s">
        <v>151</v>
      </c>
      <c r="I355" t="s">
        <v>441</v>
      </c>
      <c r="J355" t="s">
        <v>445</v>
      </c>
      <c r="K355">
        <v>768887</v>
      </c>
      <c r="L355" t="s">
        <v>282</v>
      </c>
      <c r="M355" t="s">
        <v>283</v>
      </c>
      <c r="N355" t="s">
        <v>56</v>
      </c>
      <c r="O355" s="1">
        <v>45681</v>
      </c>
      <c r="P355" s="1">
        <v>45924</v>
      </c>
      <c r="Q355" s="2">
        <v>22.19</v>
      </c>
      <c r="R355">
        <v>1</v>
      </c>
      <c r="S355" t="s">
        <v>57</v>
      </c>
      <c r="T355" t="s">
        <v>58</v>
      </c>
      <c r="U355" s="4">
        <v>0.7</v>
      </c>
      <c r="V355" s="2">
        <v>0</v>
      </c>
      <c r="W355">
        <v>0</v>
      </c>
      <c r="X355" t="s">
        <v>70</v>
      </c>
      <c r="Y355" t="s">
        <v>60</v>
      </c>
      <c r="Z355">
        <v>0</v>
      </c>
      <c r="AA355" s="2">
        <v>0</v>
      </c>
      <c r="AB355" s="2">
        <v>0</v>
      </c>
      <c r="AC355" s="4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15.53</v>
      </c>
      <c r="AM355" s="2">
        <v>15.53</v>
      </c>
      <c r="AN355" s="2">
        <v>0</v>
      </c>
      <c r="AO355" s="2">
        <v>0</v>
      </c>
      <c r="AP355" s="2">
        <v>0</v>
      </c>
    </row>
    <row r="356" spans="1:42" x14ac:dyDescent="0.25">
      <c r="A356" s="1">
        <v>45922</v>
      </c>
      <c r="B356" t="s">
        <v>47</v>
      </c>
      <c r="C356">
        <v>649163</v>
      </c>
      <c r="D356">
        <v>2026734001</v>
      </c>
      <c r="E356" t="s">
        <v>483</v>
      </c>
      <c r="F356" t="s">
        <v>260</v>
      </c>
      <c r="G356" t="s">
        <v>50</v>
      </c>
      <c r="H356" t="s">
        <v>151</v>
      </c>
      <c r="I356" t="s">
        <v>441</v>
      </c>
      <c r="J356" t="s">
        <v>445</v>
      </c>
      <c r="K356">
        <v>768887</v>
      </c>
      <c r="L356" t="s">
        <v>282</v>
      </c>
      <c r="M356" t="s">
        <v>283</v>
      </c>
      <c r="N356" t="s">
        <v>56</v>
      </c>
      <c r="O356" s="1">
        <v>45681</v>
      </c>
      <c r="P356" s="1">
        <v>45954</v>
      </c>
      <c r="Q356" s="2">
        <v>22.19</v>
      </c>
      <c r="R356">
        <v>1</v>
      </c>
      <c r="S356" t="s">
        <v>57</v>
      </c>
      <c r="T356" t="s">
        <v>58</v>
      </c>
      <c r="U356" s="4">
        <v>0.7</v>
      </c>
      <c r="V356" s="2">
        <v>0</v>
      </c>
      <c r="W356">
        <v>0</v>
      </c>
      <c r="X356" t="s">
        <v>70</v>
      </c>
      <c r="Y356" t="s">
        <v>60</v>
      </c>
      <c r="Z356">
        <v>0</v>
      </c>
      <c r="AA356" s="2">
        <v>0</v>
      </c>
      <c r="AB356" s="2">
        <v>0</v>
      </c>
      <c r="AC356" s="4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15.53</v>
      </c>
      <c r="AM356" s="2">
        <v>15.53</v>
      </c>
      <c r="AN356" s="2">
        <v>0</v>
      </c>
      <c r="AO356" s="2">
        <v>0</v>
      </c>
      <c r="AP356" s="2">
        <v>0</v>
      </c>
    </row>
    <row r="357" spans="1:42" x14ac:dyDescent="0.25">
      <c r="A357" s="1">
        <v>45922</v>
      </c>
      <c r="B357" t="s">
        <v>47</v>
      </c>
      <c r="C357">
        <v>649163</v>
      </c>
      <c r="D357">
        <v>2026783375</v>
      </c>
      <c r="E357" t="s">
        <v>149</v>
      </c>
      <c r="F357" t="s">
        <v>150</v>
      </c>
      <c r="G357" t="s">
        <v>50</v>
      </c>
      <c r="H357" t="s">
        <v>151</v>
      </c>
      <c r="I357" t="s">
        <v>441</v>
      </c>
      <c r="J357" t="s">
        <v>445</v>
      </c>
      <c r="K357">
        <v>673059</v>
      </c>
      <c r="L357" t="s">
        <v>152</v>
      </c>
      <c r="M357" t="s">
        <v>153</v>
      </c>
      <c r="N357" t="s">
        <v>56</v>
      </c>
      <c r="O357" s="1">
        <v>45709</v>
      </c>
      <c r="P357" s="1">
        <v>45951</v>
      </c>
      <c r="Q357" s="2">
        <v>57.27</v>
      </c>
      <c r="R357">
        <v>1</v>
      </c>
      <c r="S357" t="s">
        <v>57</v>
      </c>
      <c r="T357" t="s">
        <v>58</v>
      </c>
      <c r="U357" s="4">
        <v>0.7</v>
      </c>
      <c r="V357" s="2">
        <v>0</v>
      </c>
      <c r="W357">
        <v>0</v>
      </c>
      <c r="X357" t="s">
        <v>70</v>
      </c>
      <c r="Y357" t="s">
        <v>60</v>
      </c>
      <c r="Z357">
        <v>0</v>
      </c>
      <c r="AA357" s="2">
        <v>0</v>
      </c>
      <c r="AB357" s="2">
        <v>0</v>
      </c>
      <c r="AC357" s="4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40.090000000000003</v>
      </c>
      <c r="AM357" s="2">
        <v>40.090000000000003</v>
      </c>
      <c r="AN357" s="2">
        <v>0</v>
      </c>
      <c r="AO357" s="2">
        <v>0</v>
      </c>
      <c r="AP357" s="2">
        <v>0</v>
      </c>
    </row>
    <row r="358" spans="1:42" x14ac:dyDescent="0.25">
      <c r="A358" s="1">
        <v>45922</v>
      </c>
      <c r="B358" t="s">
        <v>47</v>
      </c>
      <c r="C358">
        <v>649163</v>
      </c>
      <c r="D358">
        <v>2026783377</v>
      </c>
      <c r="E358" t="s">
        <v>149</v>
      </c>
      <c r="F358" t="s">
        <v>150</v>
      </c>
      <c r="G358" t="s">
        <v>50</v>
      </c>
      <c r="H358" t="s">
        <v>151</v>
      </c>
      <c r="I358" t="s">
        <v>441</v>
      </c>
      <c r="J358" t="s">
        <v>447</v>
      </c>
      <c r="K358">
        <v>673059</v>
      </c>
      <c r="L358" t="s">
        <v>152</v>
      </c>
      <c r="M358" t="s">
        <v>153</v>
      </c>
      <c r="N358" t="s">
        <v>56</v>
      </c>
      <c r="O358" s="1">
        <v>45709</v>
      </c>
      <c r="P358" s="1">
        <v>45951</v>
      </c>
      <c r="Q358" s="2">
        <v>25.73</v>
      </c>
      <c r="R358">
        <v>1</v>
      </c>
      <c r="S358" t="s">
        <v>57</v>
      </c>
      <c r="T358" t="s">
        <v>58</v>
      </c>
      <c r="U358" s="4">
        <v>0.7</v>
      </c>
      <c r="V358" s="2">
        <v>0</v>
      </c>
      <c r="W358">
        <v>0</v>
      </c>
      <c r="X358" t="s">
        <v>70</v>
      </c>
      <c r="Y358" t="s">
        <v>60</v>
      </c>
      <c r="Z358">
        <v>0</v>
      </c>
      <c r="AA358" s="2">
        <v>0</v>
      </c>
      <c r="AB358" s="2">
        <v>0</v>
      </c>
      <c r="AC358" s="4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18.010000000000002</v>
      </c>
      <c r="AM358" s="2">
        <v>18.010000000000002</v>
      </c>
      <c r="AN358" s="2">
        <v>0</v>
      </c>
      <c r="AO358" s="2">
        <v>0</v>
      </c>
      <c r="AP358" s="2">
        <v>0</v>
      </c>
    </row>
    <row r="359" spans="1:42" x14ac:dyDescent="0.25">
      <c r="A359" s="1">
        <v>45922</v>
      </c>
      <c r="B359" t="s">
        <v>47</v>
      </c>
      <c r="C359">
        <v>649163</v>
      </c>
      <c r="D359">
        <v>2027010991</v>
      </c>
      <c r="E359" t="s">
        <v>154</v>
      </c>
      <c r="F359" t="s">
        <v>155</v>
      </c>
      <c r="G359" t="s">
        <v>50</v>
      </c>
      <c r="H359" t="s">
        <v>141</v>
      </c>
      <c r="I359" t="s">
        <v>441</v>
      </c>
      <c r="J359" t="s">
        <v>445</v>
      </c>
      <c r="K359">
        <v>816021</v>
      </c>
      <c r="L359" t="s">
        <v>142</v>
      </c>
      <c r="M359" t="s">
        <v>143</v>
      </c>
      <c r="N359" t="s">
        <v>56</v>
      </c>
      <c r="O359" s="1">
        <v>45697</v>
      </c>
      <c r="P359" s="1">
        <v>45939</v>
      </c>
      <c r="Q359" s="2">
        <v>9.6999999999999993</v>
      </c>
      <c r="R359">
        <v>1</v>
      </c>
      <c r="S359" t="s">
        <v>57</v>
      </c>
      <c r="T359" t="s">
        <v>58</v>
      </c>
      <c r="U359" s="4">
        <v>0.7</v>
      </c>
      <c r="V359" s="2">
        <v>0</v>
      </c>
      <c r="W359">
        <v>0</v>
      </c>
      <c r="X359" t="s">
        <v>70</v>
      </c>
      <c r="Y359" t="s">
        <v>60</v>
      </c>
      <c r="Z359">
        <v>0</v>
      </c>
      <c r="AA359" s="2">
        <v>0</v>
      </c>
      <c r="AB359" s="2">
        <v>0</v>
      </c>
      <c r="AC359" s="4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6.79</v>
      </c>
      <c r="AM359" s="2">
        <v>6.79</v>
      </c>
      <c r="AN359" s="2">
        <v>0</v>
      </c>
      <c r="AO359" s="2">
        <v>0</v>
      </c>
      <c r="AP359" s="2">
        <v>0</v>
      </c>
    </row>
    <row r="360" spans="1:42" x14ac:dyDescent="0.25">
      <c r="A360" s="1">
        <v>45922</v>
      </c>
      <c r="B360" t="s">
        <v>47</v>
      </c>
      <c r="C360">
        <v>649163</v>
      </c>
      <c r="D360">
        <v>2027010993</v>
      </c>
      <c r="E360" t="s">
        <v>154</v>
      </c>
      <c r="F360" t="s">
        <v>155</v>
      </c>
      <c r="G360" t="s">
        <v>50</v>
      </c>
      <c r="H360" t="s">
        <v>141</v>
      </c>
      <c r="I360" t="s">
        <v>441</v>
      </c>
      <c r="J360" t="s">
        <v>447</v>
      </c>
      <c r="K360">
        <v>816021</v>
      </c>
      <c r="L360" t="s">
        <v>142</v>
      </c>
      <c r="M360" t="s">
        <v>143</v>
      </c>
      <c r="N360" t="s">
        <v>56</v>
      </c>
      <c r="O360" s="1">
        <v>45697</v>
      </c>
      <c r="P360" s="1">
        <v>45939</v>
      </c>
      <c r="Q360" s="2">
        <v>6.3</v>
      </c>
      <c r="R360">
        <v>1</v>
      </c>
      <c r="S360" t="s">
        <v>57</v>
      </c>
      <c r="T360" t="s">
        <v>58</v>
      </c>
      <c r="U360" s="4">
        <v>0.7</v>
      </c>
      <c r="V360" s="2">
        <v>0</v>
      </c>
      <c r="W360">
        <v>0</v>
      </c>
      <c r="X360" t="s">
        <v>70</v>
      </c>
      <c r="Y360" t="s">
        <v>60</v>
      </c>
      <c r="Z360">
        <v>0</v>
      </c>
      <c r="AA360" s="2">
        <v>0</v>
      </c>
      <c r="AB360" s="2">
        <v>0</v>
      </c>
      <c r="AC360" s="4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4.41</v>
      </c>
      <c r="AM360" s="2">
        <v>4.41</v>
      </c>
      <c r="AN360" s="2">
        <v>0</v>
      </c>
      <c r="AO360" s="2">
        <v>0</v>
      </c>
      <c r="AP360" s="2">
        <v>0</v>
      </c>
    </row>
    <row r="361" spans="1:42" x14ac:dyDescent="0.25">
      <c r="A361" s="1">
        <v>45922</v>
      </c>
      <c r="B361" t="s">
        <v>47</v>
      </c>
      <c r="C361">
        <v>649163</v>
      </c>
      <c r="D361">
        <v>2027223264</v>
      </c>
      <c r="E361" t="s">
        <v>156</v>
      </c>
      <c r="F361" t="s">
        <v>49</v>
      </c>
      <c r="G361" t="s">
        <v>50</v>
      </c>
      <c r="H361" t="s">
        <v>157</v>
      </c>
      <c r="I361" t="s">
        <v>441</v>
      </c>
      <c r="J361" t="s">
        <v>445</v>
      </c>
      <c r="K361">
        <v>822865</v>
      </c>
      <c r="L361" t="s">
        <v>158</v>
      </c>
      <c r="M361" t="s">
        <v>159</v>
      </c>
      <c r="N361" t="s">
        <v>56</v>
      </c>
      <c r="O361" s="1">
        <v>45709</v>
      </c>
      <c r="P361" s="1">
        <v>45951</v>
      </c>
      <c r="Q361" s="2">
        <v>108.1</v>
      </c>
      <c r="R361">
        <v>1</v>
      </c>
      <c r="S361" t="s">
        <v>57</v>
      </c>
      <c r="T361" t="s">
        <v>58</v>
      </c>
      <c r="U361" s="4">
        <v>0.7</v>
      </c>
      <c r="V361" s="2">
        <v>0</v>
      </c>
      <c r="W361">
        <v>0</v>
      </c>
      <c r="X361" t="s">
        <v>70</v>
      </c>
      <c r="Y361" t="s">
        <v>60</v>
      </c>
      <c r="Z361">
        <v>0</v>
      </c>
      <c r="AA361" s="2">
        <v>0</v>
      </c>
      <c r="AB361" s="2">
        <v>0</v>
      </c>
      <c r="AC361" s="4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75.67</v>
      </c>
      <c r="AM361" s="2">
        <v>75.67</v>
      </c>
      <c r="AN361" s="2">
        <v>0</v>
      </c>
      <c r="AO361" s="2">
        <v>0</v>
      </c>
      <c r="AP361" s="2">
        <v>0</v>
      </c>
    </row>
    <row r="362" spans="1:42" x14ac:dyDescent="0.25">
      <c r="A362" s="1">
        <v>45922</v>
      </c>
      <c r="B362" t="s">
        <v>47</v>
      </c>
      <c r="C362">
        <v>649163</v>
      </c>
      <c r="D362">
        <v>2027258064</v>
      </c>
      <c r="E362" t="s">
        <v>160</v>
      </c>
      <c r="F362" t="s">
        <v>161</v>
      </c>
      <c r="G362" t="s">
        <v>50</v>
      </c>
      <c r="H362" t="s">
        <v>151</v>
      </c>
      <c r="I362" t="s">
        <v>441</v>
      </c>
      <c r="J362" t="s">
        <v>445</v>
      </c>
      <c r="K362">
        <v>673059</v>
      </c>
      <c r="L362" t="s">
        <v>152</v>
      </c>
      <c r="M362" t="s">
        <v>153</v>
      </c>
      <c r="N362" t="s">
        <v>56</v>
      </c>
      <c r="O362" s="1">
        <v>45710</v>
      </c>
      <c r="P362" s="1">
        <v>45952</v>
      </c>
      <c r="Q362" s="2">
        <v>42.36</v>
      </c>
      <c r="R362">
        <v>1</v>
      </c>
      <c r="S362" t="s">
        <v>57</v>
      </c>
      <c r="T362" t="s">
        <v>58</v>
      </c>
      <c r="U362" s="4">
        <v>0.7</v>
      </c>
      <c r="V362" s="2">
        <v>0</v>
      </c>
      <c r="W362">
        <v>0</v>
      </c>
      <c r="X362" t="s">
        <v>70</v>
      </c>
      <c r="Y362" t="s">
        <v>60</v>
      </c>
      <c r="Z362">
        <v>0</v>
      </c>
      <c r="AA362" s="2">
        <v>0</v>
      </c>
      <c r="AB362" s="2">
        <v>0</v>
      </c>
      <c r="AC362" s="4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29.65</v>
      </c>
      <c r="AM362" s="2">
        <v>29.65</v>
      </c>
      <c r="AN362" s="2">
        <v>0</v>
      </c>
      <c r="AO362" s="2">
        <v>0</v>
      </c>
      <c r="AP362" s="2">
        <v>0</v>
      </c>
    </row>
    <row r="363" spans="1:42" x14ac:dyDescent="0.25">
      <c r="A363" s="1">
        <v>45922</v>
      </c>
      <c r="B363" t="s">
        <v>47</v>
      </c>
      <c r="C363">
        <v>649163</v>
      </c>
      <c r="D363">
        <v>2027258065</v>
      </c>
      <c r="E363" t="s">
        <v>160</v>
      </c>
      <c r="F363" t="s">
        <v>161</v>
      </c>
      <c r="G363" t="s">
        <v>50</v>
      </c>
      <c r="H363" t="s">
        <v>151</v>
      </c>
      <c r="I363" t="s">
        <v>441</v>
      </c>
      <c r="J363" t="s">
        <v>447</v>
      </c>
      <c r="K363">
        <v>673059</v>
      </c>
      <c r="L363" t="s">
        <v>152</v>
      </c>
      <c r="M363" t="s">
        <v>153</v>
      </c>
      <c r="N363" t="s">
        <v>56</v>
      </c>
      <c r="O363" s="1">
        <v>45710</v>
      </c>
      <c r="P363" s="1">
        <v>45952</v>
      </c>
      <c r="Q363" s="2">
        <v>25.73</v>
      </c>
      <c r="R363">
        <v>1</v>
      </c>
      <c r="S363" t="s">
        <v>57</v>
      </c>
      <c r="T363" t="s">
        <v>58</v>
      </c>
      <c r="U363" s="4">
        <v>0.7</v>
      </c>
      <c r="V363" s="2">
        <v>0</v>
      </c>
      <c r="W363">
        <v>0</v>
      </c>
      <c r="X363" t="s">
        <v>70</v>
      </c>
      <c r="Y363" t="s">
        <v>60</v>
      </c>
      <c r="Z363">
        <v>0</v>
      </c>
      <c r="AA363" s="2">
        <v>0</v>
      </c>
      <c r="AB363" s="2">
        <v>0</v>
      </c>
      <c r="AC363" s="4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18.010000000000002</v>
      </c>
      <c r="AM363" s="2">
        <v>18.010000000000002</v>
      </c>
      <c r="AN363" s="2">
        <v>0</v>
      </c>
      <c r="AO363" s="2">
        <v>0</v>
      </c>
      <c r="AP363" s="2">
        <v>0</v>
      </c>
    </row>
    <row r="364" spans="1:42" x14ac:dyDescent="0.25">
      <c r="A364" s="1">
        <v>45922</v>
      </c>
      <c r="B364" t="s">
        <v>47</v>
      </c>
      <c r="C364">
        <v>649163</v>
      </c>
      <c r="D364">
        <v>2027258067</v>
      </c>
      <c r="E364" t="s">
        <v>160</v>
      </c>
      <c r="F364" t="s">
        <v>161</v>
      </c>
      <c r="G364" t="s">
        <v>50</v>
      </c>
      <c r="H364" t="s">
        <v>151</v>
      </c>
      <c r="I364" t="s">
        <v>441</v>
      </c>
      <c r="J364" t="s">
        <v>442</v>
      </c>
      <c r="K364">
        <v>673059</v>
      </c>
      <c r="L364" t="s">
        <v>152</v>
      </c>
      <c r="M364" t="s">
        <v>153</v>
      </c>
      <c r="N364" t="s">
        <v>56</v>
      </c>
      <c r="O364" s="1">
        <v>45710</v>
      </c>
      <c r="P364" s="1">
        <v>45952</v>
      </c>
      <c r="Q364" s="2">
        <v>31.08</v>
      </c>
      <c r="R364">
        <v>1</v>
      </c>
      <c r="S364" t="s">
        <v>57</v>
      </c>
      <c r="T364" t="s">
        <v>58</v>
      </c>
      <c r="U364" s="4">
        <v>0.9</v>
      </c>
      <c r="V364" s="2">
        <v>0</v>
      </c>
      <c r="W364">
        <v>0</v>
      </c>
      <c r="X364" t="s">
        <v>70</v>
      </c>
      <c r="Y364" t="s">
        <v>60</v>
      </c>
      <c r="Z364">
        <v>0</v>
      </c>
      <c r="AA364" s="2">
        <v>0</v>
      </c>
      <c r="AB364" s="2">
        <v>0</v>
      </c>
      <c r="AC364" s="4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27.97</v>
      </c>
      <c r="AM364" s="2">
        <v>27.97</v>
      </c>
      <c r="AN364" s="2">
        <v>0</v>
      </c>
      <c r="AO364" s="2">
        <v>0</v>
      </c>
      <c r="AP364" s="2">
        <v>0</v>
      </c>
    </row>
    <row r="365" spans="1:42" x14ac:dyDescent="0.25">
      <c r="A365" s="1">
        <v>45922</v>
      </c>
      <c r="B365" t="s">
        <v>47</v>
      </c>
      <c r="C365">
        <v>649163</v>
      </c>
      <c r="D365">
        <v>2027321379</v>
      </c>
      <c r="E365" t="s">
        <v>361</v>
      </c>
      <c r="F365" t="s">
        <v>362</v>
      </c>
      <c r="G365" t="s">
        <v>50</v>
      </c>
      <c r="H365" t="s">
        <v>93</v>
      </c>
      <c r="I365" t="s">
        <v>441</v>
      </c>
      <c r="J365" t="s">
        <v>445</v>
      </c>
      <c r="K365">
        <v>673059</v>
      </c>
      <c r="L365" t="s">
        <v>152</v>
      </c>
      <c r="M365" t="s">
        <v>153</v>
      </c>
      <c r="N365" t="s">
        <v>56</v>
      </c>
      <c r="O365" s="1">
        <v>45713</v>
      </c>
      <c r="P365" s="1">
        <v>45955</v>
      </c>
      <c r="Q365" s="2">
        <v>169.06</v>
      </c>
      <c r="R365">
        <v>1</v>
      </c>
      <c r="S365" t="s">
        <v>57</v>
      </c>
      <c r="T365" t="s">
        <v>58</v>
      </c>
      <c r="U365" s="4">
        <v>0.7</v>
      </c>
      <c r="V365" s="2">
        <v>0</v>
      </c>
      <c r="W365">
        <v>0</v>
      </c>
      <c r="X365" t="s">
        <v>70</v>
      </c>
      <c r="Y365" t="s">
        <v>60</v>
      </c>
      <c r="Z365">
        <v>0</v>
      </c>
      <c r="AA365" s="2">
        <v>0</v>
      </c>
      <c r="AB365" s="2">
        <v>0</v>
      </c>
      <c r="AC365" s="4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118.34</v>
      </c>
      <c r="AM365" s="2">
        <v>118.34</v>
      </c>
      <c r="AN365" s="2">
        <v>0</v>
      </c>
      <c r="AO365" s="2">
        <v>0</v>
      </c>
      <c r="AP365" s="2">
        <v>0</v>
      </c>
    </row>
    <row r="366" spans="1:42" x14ac:dyDescent="0.25">
      <c r="A366" s="1">
        <v>45922</v>
      </c>
      <c r="B366" t="s">
        <v>47</v>
      </c>
      <c r="C366">
        <v>649163</v>
      </c>
      <c r="D366">
        <v>2027343740</v>
      </c>
      <c r="E366" t="s">
        <v>363</v>
      </c>
      <c r="F366" t="s">
        <v>364</v>
      </c>
      <c r="G366" t="s">
        <v>50</v>
      </c>
      <c r="H366" t="s">
        <v>188</v>
      </c>
      <c r="I366" t="s">
        <v>441</v>
      </c>
      <c r="J366" t="s">
        <v>445</v>
      </c>
      <c r="K366">
        <v>673059</v>
      </c>
      <c r="L366" t="s">
        <v>152</v>
      </c>
      <c r="M366" t="s">
        <v>153</v>
      </c>
      <c r="N366" t="s">
        <v>56</v>
      </c>
      <c r="O366" s="1">
        <v>45714</v>
      </c>
      <c r="P366" s="1">
        <v>45956</v>
      </c>
      <c r="Q366" s="2">
        <v>10.82</v>
      </c>
      <c r="R366">
        <v>1</v>
      </c>
      <c r="S366" t="s">
        <v>57</v>
      </c>
      <c r="T366" t="s">
        <v>58</v>
      </c>
      <c r="U366" s="4">
        <v>0.7</v>
      </c>
      <c r="V366" s="2">
        <v>0</v>
      </c>
      <c r="W366">
        <v>0</v>
      </c>
      <c r="X366" t="s">
        <v>70</v>
      </c>
      <c r="Y366" t="s">
        <v>60</v>
      </c>
      <c r="Z366">
        <v>0</v>
      </c>
      <c r="AA366" s="2">
        <v>0</v>
      </c>
      <c r="AB366" s="2">
        <v>0</v>
      </c>
      <c r="AC366" s="4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7.57</v>
      </c>
      <c r="AM366" s="2">
        <v>7.57</v>
      </c>
      <c r="AN366" s="2">
        <v>0</v>
      </c>
      <c r="AO366" s="2">
        <v>0</v>
      </c>
      <c r="AP366" s="2">
        <v>0</v>
      </c>
    </row>
    <row r="367" spans="1:42" x14ac:dyDescent="0.25">
      <c r="A367" s="1">
        <v>45922</v>
      </c>
      <c r="B367" t="s">
        <v>47</v>
      </c>
      <c r="C367">
        <v>649163</v>
      </c>
      <c r="D367">
        <v>2027642346</v>
      </c>
      <c r="E367" t="s">
        <v>162</v>
      </c>
      <c r="F367" t="s">
        <v>163</v>
      </c>
      <c r="G367" t="s">
        <v>50</v>
      </c>
      <c r="H367" t="s">
        <v>127</v>
      </c>
      <c r="I367" t="s">
        <v>441</v>
      </c>
      <c r="J367" t="s">
        <v>447</v>
      </c>
      <c r="K367">
        <v>651818</v>
      </c>
      <c r="L367" t="s">
        <v>108</v>
      </c>
      <c r="M367" t="s">
        <v>109</v>
      </c>
      <c r="N367" t="s">
        <v>56</v>
      </c>
      <c r="O367" s="1">
        <v>45754</v>
      </c>
      <c r="P367" s="1">
        <v>45937</v>
      </c>
      <c r="Q367" s="2">
        <v>21.44</v>
      </c>
      <c r="R367">
        <v>1</v>
      </c>
      <c r="S367" t="s">
        <v>57</v>
      </c>
      <c r="T367" t="s">
        <v>58</v>
      </c>
      <c r="U367" s="4">
        <v>0.7</v>
      </c>
      <c r="V367" s="2">
        <v>0</v>
      </c>
      <c r="W367">
        <v>0</v>
      </c>
      <c r="X367" t="s">
        <v>70</v>
      </c>
      <c r="Y367" t="s">
        <v>60</v>
      </c>
      <c r="Z367">
        <v>0</v>
      </c>
      <c r="AA367" s="2">
        <v>0</v>
      </c>
      <c r="AB367" s="2">
        <v>0</v>
      </c>
      <c r="AC367" s="4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15.01</v>
      </c>
      <c r="AM367" s="2">
        <v>15.01</v>
      </c>
      <c r="AN367" s="2">
        <v>0</v>
      </c>
      <c r="AO367" s="2">
        <v>0</v>
      </c>
      <c r="AP367" s="2">
        <v>0</v>
      </c>
    </row>
    <row r="368" spans="1:42" x14ac:dyDescent="0.25">
      <c r="A368" s="1">
        <v>45922</v>
      </c>
      <c r="B368" t="s">
        <v>47</v>
      </c>
      <c r="C368">
        <v>649163</v>
      </c>
      <c r="D368">
        <v>2027798219</v>
      </c>
      <c r="E368" t="s">
        <v>365</v>
      </c>
      <c r="F368" t="s">
        <v>366</v>
      </c>
      <c r="G368" t="s">
        <v>50</v>
      </c>
      <c r="H368" t="s">
        <v>93</v>
      </c>
      <c r="I368" t="s">
        <v>441</v>
      </c>
      <c r="J368" t="s">
        <v>445</v>
      </c>
      <c r="K368">
        <v>821015</v>
      </c>
      <c r="L368" t="s">
        <v>89</v>
      </c>
      <c r="M368" t="s">
        <v>90</v>
      </c>
      <c r="N368" t="s">
        <v>56</v>
      </c>
      <c r="O368" s="1">
        <v>45736</v>
      </c>
      <c r="P368" s="1">
        <v>45950</v>
      </c>
      <c r="Q368" s="2">
        <v>77.52</v>
      </c>
      <c r="R368">
        <v>1</v>
      </c>
      <c r="S368" t="s">
        <v>57</v>
      </c>
      <c r="T368" t="s">
        <v>58</v>
      </c>
      <c r="U368" s="4">
        <v>0.7</v>
      </c>
      <c r="V368" s="2">
        <v>0</v>
      </c>
      <c r="W368">
        <v>0</v>
      </c>
      <c r="X368" t="s">
        <v>70</v>
      </c>
      <c r="Y368" t="s">
        <v>60</v>
      </c>
      <c r="Z368">
        <v>0</v>
      </c>
      <c r="AA368" s="2">
        <v>0</v>
      </c>
      <c r="AB368" s="2">
        <v>0</v>
      </c>
      <c r="AC368" s="4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54.26</v>
      </c>
      <c r="AM368" s="2">
        <v>54.26</v>
      </c>
      <c r="AN368" s="2">
        <v>0</v>
      </c>
      <c r="AO368" s="2">
        <v>0</v>
      </c>
      <c r="AP368" s="2">
        <v>0</v>
      </c>
    </row>
    <row r="369" spans="1:42" x14ac:dyDescent="0.25">
      <c r="A369" s="1">
        <v>45922</v>
      </c>
      <c r="B369" t="s">
        <v>47</v>
      </c>
      <c r="C369">
        <v>649163</v>
      </c>
      <c r="D369">
        <v>2027867338</v>
      </c>
      <c r="E369" t="s">
        <v>164</v>
      </c>
      <c r="F369" t="s">
        <v>165</v>
      </c>
      <c r="G369" t="s">
        <v>50</v>
      </c>
      <c r="H369" t="s">
        <v>141</v>
      </c>
      <c r="I369" t="s">
        <v>441</v>
      </c>
      <c r="J369" t="s">
        <v>445</v>
      </c>
      <c r="K369">
        <v>816021</v>
      </c>
      <c r="L369" t="s">
        <v>142</v>
      </c>
      <c r="M369" t="s">
        <v>143</v>
      </c>
      <c r="N369" t="s">
        <v>56</v>
      </c>
      <c r="O369" s="1">
        <v>45736</v>
      </c>
      <c r="P369" s="1">
        <v>45950</v>
      </c>
      <c r="Q369" s="2">
        <v>9.1</v>
      </c>
      <c r="R369">
        <v>1</v>
      </c>
      <c r="S369" t="s">
        <v>57</v>
      </c>
      <c r="T369" t="s">
        <v>58</v>
      </c>
      <c r="U369" s="4">
        <v>0.7</v>
      </c>
      <c r="V369" s="2">
        <v>0</v>
      </c>
      <c r="W369">
        <v>0</v>
      </c>
      <c r="X369" t="s">
        <v>70</v>
      </c>
      <c r="Y369" t="s">
        <v>60</v>
      </c>
      <c r="Z369">
        <v>0</v>
      </c>
      <c r="AA369" s="2">
        <v>0</v>
      </c>
      <c r="AB369" s="2">
        <v>0</v>
      </c>
      <c r="AC369" s="4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6.37</v>
      </c>
      <c r="AM369" s="2">
        <v>6.37</v>
      </c>
      <c r="AN369" s="2">
        <v>0</v>
      </c>
      <c r="AO369" s="2">
        <v>0</v>
      </c>
      <c r="AP369" s="2">
        <v>0</v>
      </c>
    </row>
    <row r="370" spans="1:42" x14ac:dyDescent="0.25">
      <c r="A370" s="1">
        <v>45922</v>
      </c>
      <c r="B370" t="s">
        <v>47</v>
      </c>
      <c r="C370">
        <v>649163</v>
      </c>
      <c r="D370">
        <v>2027904551</v>
      </c>
      <c r="E370" t="s">
        <v>484</v>
      </c>
      <c r="F370" t="s">
        <v>485</v>
      </c>
      <c r="G370" t="s">
        <v>50</v>
      </c>
      <c r="H370" t="s">
        <v>93</v>
      </c>
      <c r="I370" t="s">
        <v>441</v>
      </c>
      <c r="J370" t="s">
        <v>442</v>
      </c>
      <c r="K370">
        <v>813181</v>
      </c>
      <c r="L370" t="s">
        <v>484</v>
      </c>
      <c r="M370" t="s">
        <v>485</v>
      </c>
      <c r="N370" t="s">
        <v>56</v>
      </c>
      <c r="O370" s="1">
        <v>45741</v>
      </c>
      <c r="P370" s="1">
        <v>45955</v>
      </c>
      <c r="Q370" s="2">
        <v>46.42</v>
      </c>
      <c r="R370">
        <v>1</v>
      </c>
      <c r="S370" t="s">
        <v>57</v>
      </c>
      <c r="T370" t="s">
        <v>58</v>
      </c>
      <c r="U370" s="4">
        <v>0.9</v>
      </c>
      <c r="V370" s="2">
        <v>0</v>
      </c>
      <c r="W370">
        <v>0</v>
      </c>
      <c r="X370" t="s">
        <v>70</v>
      </c>
      <c r="Y370" t="s">
        <v>60</v>
      </c>
      <c r="Z370">
        <v>0</v>
      </c>
      <c r="AA370" s="2">
        <v>0</v>
      </c>
      <c r="AB370" s="2">
        <v>0</v>
      </c>
      <c r="AC370" s="4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41.78</v>
      </c>
      <c r="AM370" s="2">
        <v>41.78</v>
      </c>
      <c r="AN370" s="2">
        <v>0</v>
      </c>
      <c r="AO370" s="2">
        <v>0</v>
      </c>
      <c r="AP370" s="2">
        <v>0</v>
      </c>
    </row>
    <row r="371" spans="1:42" x14ac:dyDescent="0.25">
      <c r="A371" s="1">
        <v>45922</v>
      </c>
      <c r="B371" t="s">
        <v>47</v>
      </c>
      <c r="C371">
        <v>649163</v>
      </c>
      <c r="D371">
        <v>2027913472</v>
      </c>
      <c r="E371" t="s">
        <v>166</v>
      </c>
      <c r="F371" t="s">
        <v>167</v>
      </c>
      <c r="G371" t="s">
        <v>50</v>
      </c>
      <c r="H371" t="s">
        <v>141</v>
      </c>
      <c r="I371" t="s">
        <v>441</v>
      </c>
      <c r="J371" t="s">
        <v>445</v>
      </c>
      <c r="K371">
        <v>816021</v>
      </c>
      <c r="L371" t="s">
        <v>142</v>
      </c>
      <c r="M371" t="s">
        <v>143</v>
      </c>
      <c r="N371" t="s">
        <v>56</v>
      </c>
      <c r="O371" s="1">
        <v>45738</v>
      </c>
      <c r="P371" s="1">
        <v>45952</v>
      </c>
      <c r="Q371" s="2">
        <v>7.89</v>
      </c>
      <c r="R371">
        <v>1</v>
      </c>
      <c r="S371" t="s">
        <v>57</v>
      </c>
      <c r="T371" t="s">
        <v>58</v>
      </c>
      <c r="U371" s="4">
        <v>0.7</v>
      </c>
      <c r="V371" s="2">
        <v>0</v>
      </c>
      <c r="W371">
        <v>0</v>
      </c>
      <c r="X371" t="s">
        <v>70</v>
      </c>
      <c r="Y371" t="s">
        <v>60</v>
      </c>
      <c r="Z371">
        <v>0</v>
      </c>
      <c r="AA371" s="2">
        <v>0</v>
      </c>
      <c r="AB371" s="2">
        <v>0</v>
      </c>
      <c r="AC371" s="4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5.52</v>
      </c>
      <c r="AM371" s="2">
        <v>5.52</v>
      </c>
      <c r="AN371" s="2">
        <v>0</v>
      </c>
      <c r="AO371" s="2">
        <v>0</v>
      </c>
      <c r="AP371" s="2">
        <v>0</v>
      </c>
    </row>
    <row r="372" spans="1:42" x14ac:dyDescent="0.25">
      <c r="A372" s="1">
        <v>45922</v>
      </c>
      <c r="B372" t="s">
        <v>47</v>
      </c>
      <c r="C372">
        <v>649163</v>
      </c>
      <c r="D372">
        <v>2027965833</v>
      </c>
      <c r="E372" t="s">
        <v>168</v>
      </c>
      <c r="F372" t="s">
        <v>169</v>
      </c>
      <c r="G372" t="s">
        <v>50</v>
      </c>
      <c r="H372" t="s">
        <v>151</v>
      </c>
      <c r="I372" t="s">
        <v>441</v>
      </c>
      <c r="J372" t="s">
        <v>445</v>
      </c>
      <c r="K372">
        <v>812782</v>
      </c>
      <c r="L372" t="s">
        <v>170</v>
      </c>
      <c r="M372" t="s">
        <v>171</v>
      </c>
      <c r="N372" t="s">
        <v>56</v>
      </c>
      <c r="O372" s="1">
        <v>45738</v>
      </c>
      <c r="P372" s="1">
        <v>45952</v>
      </c>
      <c r="Q372" s="2">
        <v>17.07</v>
      </c>
      <c r="R372">
        <v>1</v>
      </c>
      <c r="S372" t="s">
        <v>57</v>
      </c>
      <c r="T372" t="s">
        <v>58</v>
      </c>
      <c r="U372" s="4">
        <v>0.7</v>
      </c>
      <c r="V372" s="2">
        <v>0</v>
      </c>
      <c r="W372">
        <v>0</v>
      </c>
      <c r="X372" t="s">
        <v>70</v>
      </c>
      <c r="Y372" t="s">
        <v>60</v>
      </c>
      <c r="Z372">
        <v>0</v>
      </c>
      <c r="AA372" s="2">
        <v>0</v>
      </c>
      <c r="AB372" s="2">
        <v>0</v>
      </c>
      <c r="AC372" s="4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11.95</v>
      </c>
      <c r="AM372" s="2">
        <v>11.95</v>
      </c>
      <c r="AN372" s="2">
        <v>0</v>
      </c>
      <c r="AO372" s="2">
        <v>0</v>
      </c>
      <c r="AP372" s="2">
        <v>0</v>
      </c>
    </row>
    <row r="373" spans="1:42" x14ac:dyDescent="0.25">
      <c r="A373" s="1">
        <v>45922</v>
      </c>
      <c r="B373" t="s">
        <v>47</v>
      </c>
      <c r="C373">
        <v>649163</v>
      </c>
      <c r="D373">
        <v>2027993344</v>
      </c>
      <c r="E373" t="s">
        <v>486</v>
      </c>
      <c r="F373" t="s">
        <v>487</v>
      </c>
      <c r="G373" t="s">
        <v>50</v>
      </c>
      <c r="H373" t="s">
        <v>93</v>
      </c>
      <c r="I373" t="s">
        <v>441</v>
      </c>
      <c r="J373" t="s">
        <v>445</v>
      </c>
      <c r="K373">
        <v>760902</v>
      </c>
      <c r="L373" t="s">
        <v>488</v>
      </c>
      <c r="M373" t="s">
        <v>489</v>
      </c>
      <c r="N373" t="s">
        <v>56</v>
      </c>
      <c r="O373" s="1">
        <v>45741</v>
      </c>
      <c r="P373" s="1">
        <v>45955</v>
      </c>
      <c r="Q373" s="2">
        <v>34</v>
      </c>
      <c r="R373">
        <v>1</v>
      </c>
      <c r="S373" t="s">
        <v>57</v>
      </c>
      <c r="T373" t="s">
        <v>58</v>
      </c>
      <c r="U373" s="4">
        <v>0.7</v>
      </c>
      <c r="V373" s="2">
        <v>0</v>
      </c>
      <c r="W373">
        <v>0</v>
      </c>
      <c r="X373" t="s">
        <v>70</v>
      </c>
      <c r="Y373" t="s">
        <v>60</v>
      </c>
      <c r="Z373">
        <v>0</v>
      </c>
      <c r="AA373" s="2">
        <v>0</v>
      </c>
      <c r="AB373" s="2">
        <v>0</v>
      </c>
      <c r="AC373" s="4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23.8</v>
      </c>
      <c r="AM373" s="2">
        <v>23.8</v>
      </c>
      <c r="AN373" s="2">
        <v>0</v>
      </c>
      <c r="AO373" s="2">
        <v>0</v>
      </c>
      <c r="AP373" s="2">
        <v>0</v>
      </c>
    </row>
    <row r="374" spans="1:42" x14ac:dyDescent="0.25">
      <c r="A374" s="1">
        <v>45922</v>
      </c>
      <c r="B374" t="s">
        <v>47</v>
      </c>
      <c r="C374">
        <v>649163</v>
      </c>
      <c r="D374">
        <v>2028000917</v>
      </c>
      <c r="E374" t="s">
        <v>435</v>
      </c>
      <c r="F374" t="s">
        <v>436</v>
      </c>
      <c r="G374" t="s">
        <v>50</v>
      </c>
      <c r="H374" t="s">
        <v>437</v>
      </c>
      <c r="I374" t="s">
        <v>441</v>
      </c>
      <c r="J374" t="s">
        <v>445</v>
      </c>
      <c r="K374">
        <v>824062</v>
      </c>
      <c r="L374" t="s">
        <v>200</v>
      </c>
      <c r="M374" t="s">
        <v>201</v>
      </c>
      <c r="N374" t="s">
        <v>56</v>
      </c>
      <c r="O374" s="1">
        <v>45770</v>
      </c>
      <c r="P374" s="1">
        <v>45953</v>
      </c>
      <c r="Q374" s="2">
        <v>54.98</v>
      </c>
      <c r="R374">
        <v>1</v>
      </c>
      <c r="S374" t="s">
        <v>57</v>
      </c>
      <c r="T374" t="s">
        <v>58</v>
      </c>
      <c r="U374" s="4">
        <v>0.7</v>
      </c>
      <c r="V374" s="2">
        <v>0</v>
      </c>
      <c r="W374">
        <v>0</v>
      </c>
      <c r="X374" t="s">
        <v>70</v>
      </c>
      <c r="Y374" t="s">
        <v>60</v>
      </c>
      <c r="Z374">
        <v>0</v>
      </c>
      <c r="AA374" s="2">
        <v>0</v>
      </c>
      <c r="AB374" s="2">
        <v>0</v>
      </c>
      <c r="AC374" s="4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38.49</v>
      </c>
      <c r="AM374" s="2">
        <v>38.49</v>
      </c>
      <c r="AN374" s="2">
        <v>0</v>
      </c>
      <c r="AO374" s="2">
        <v>0</v>
      </c>
      <c r="AP374" s="2">
        <v>0</v>
      </c>
    </row>
    <row r="375" spans="1:42" x14ac:dyDescent="0.25">
      <c r="A375" s="1">
        <v>45922</v>
      </c>
      <c r="B375" t="s">
        <v>47</v>
      </c>
      <c r="C375">
        <v>649163</v>
      </c>
      <c r="D375">
        <v>2028004035</v>
      </c>
      <c r="E375" t="s">
        <v>172</v>
      </c>
      <c r="F375" t="s">
        <v>173</v>
      </c>
      <c r="G375" t="s">
        <v>50</v>
      </c>
      <c r="H375" t="s">
        <v>141</v>
      </c>
      <c r="I375" t="s">
        <v>441</v>
      </c>
      <c r="J375" t="s">
        <v>445</v>
      </c>
      <c r="K375">
        <v>816021</v>
      </c>
      <c r="L375" t="s">
        <v>142</v>
      </c>
      <c r="M375" t="s">
        <v>143</v>
      </c>
      <c r="N375" t="s">
        <v>56</v>
      </c>
      <c r="O375" s="1">
        <v>45741</v>
      </c>
      <c r="P375" s="1">
        <v>45955</v>
      </c>
      <c r="Q375" s="2">
        <v>9.1</v>
      </c>
      <c r="R375">
        <v>1</v>
      </c>
      <c r="S375" t="s">
        <v>57</v>
      </c>
      <c r="T375" t="s">
        <v>58</v>
      </c>
      <c r="U375" s="4">
        <v>0.7</v>
      </c>
      <c r="V375" s="2">
        <v>0</v>
      </c>
      <c r="W375">
        <v>0</v>
      </c>
      <c r="X375" t="s">
        <v>70</v>
      </c>
      <c r="Y375" t="s">
        <v>60</v>
      </c>
      <c r="Z375">
        <v>0</v>
      </c>
      <c r="AA375" s="2">
        <v>0</v>
      </c>
      <c r="AB375" s="2">
        <v>0</v>
      </c>
      <c r="AC375" s="4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6.37</v>
      </c>
      <c r="AM375" s="2">
        <v>6.37</v>
      </c>
      <c r="AN375" s="2">
        <v>0</v>
      </c>
      <c r="AO375" s="2">
        <v>0</v>
      </c>
      <c r="AP375" s="2">
        <v>0</v>
      </c>
    </row>
    <row r="376" spans="1:42" x14ac:dyDescent="0.25">
      <c r="A376" s="1">
        <v>45922</v>
      </c>
      <c r="B376" t="s">
        <v>47</v>
      </c>
      <c r="C376">
        <v>649163</v>
      </c>
      <c r="D376">
        <v>2028005041</v>
      </c>
      <c r="E376" t="s">
        <v>369</v>
      </c>
      <c r="F376" t="s">
        <v>370</v>
      </c>
      <c r="G376" t="s">
        <v>50</v>
      </c>
      <c r="H376" t="s">
        <v>93</v>
      </c>
      <c r="I376" t="s">
        <v>441</v>
      </c>
      <c r="J376" t="s">
        <v>445</v>
      </c>
      <c r="K376">
        <v>824062</v>
      </c>
      <c r="L376" t="s">
        <v>200</v>
      </c>
      <c r="M376" t="s">
        <v>201</v>
      </c>
      <c r="N376" t="s">
        <v>56</v>
      </c>
      <c r="O376" s="1">
        <v>45741</v>
      </c>
      <c r="P376" s="1">
        <v>45955</v>
      </c>
      <c r="Q376" s="2">
        <v>15.75</v>
      </c>
      <c r="R376">
        <v>1</v>
      </c>
      <c r="S376" t="s">
        <v>57</v>
      </c>
      <c r="T376" t="s">
        <v>58</v>
      </c>
      <c r="U376" s="4">
        <v>0.7</v>
      </c>
      <c r="V376" s="2">
        <v>0</v>
      </c>
      <c r="W376">
        <v>0</v>
      </c>
      <c r="X376" t="s">
        <v>70</v>
      </c>
      <c r="Y376" t="s">
        <v>60</v>
      </c>
      <c r="Z376">
        <v>0</v>
      </c>
      <c r="AA376" s="2">
        <v>0</v>
      </c>
      <c r="AB376" s="2">
        <v>0</v>
      </c>
      <c r="AC376" s="4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11.02</v>
      </c>
      <c r="AM376" s="2">
        <v>11.02</v>
      </c>
      <c r="AN376" s="2">
        <v>0</v>
      </c>
      <c r="AO376" s="2">
        <v>0</v>
      </c>
      <c r="AP376" s="2">
        <v>0</v>
      </c>
    </row>
    <row r="377" spans="1:42" x14ac:dyDescent="0.25">
      <c r="A377" s="1">
        <v>45922</v>
      </c>
      <c r="B377" t="s">
        <v>47</v>
      </c>
      <c r="C377">
        <v>649163</v>
      </c>
      <c r="D377">
        <v>2028007024</v>
      </c>
      <c r="E377" t="s">
        <v>490</v>
      </c>
      <c r="F377" t="s">
        <v>491</v>
      </c>
      <c r="G377" t="s">
        <v>50</v>
      </c>
      <c r="H377" t="s">
        <v>93</v>
      </c>
      <c r="I377" t="s">
        <v>441</v>
      </c>
      <c r="J377" t="s">
        <v>445</v>
      </c>
      <c r="K377">
        <v>760902</v>
      </c>
      <c r="L377" t="s">
        <v>488</v>
      </c>
      <c r="M377" t="s">
        <v>489</v>
      </c>
      <c r="N377" t="s">
        <v>56</v>
      </c>
      <c r="O377" s="1">
        <v>45741</v>
      </c>
      <c r="P377" s="1">
        <v>45955</v>
      </c>
      <c r="Q377" s="2">
        <v>19</v>
      </c>
      <c r="R377">
        <v>1</v>
      </c>
      <c r="S377" t="s">
        <v>57</v>
      </c>
      <c r="T377" t="s">
        <v>58</v>
      </c>
      <c r="U377" s="4">
        <v>0.7</v>
      </c>
      <c r="V377" s="2">
        <v>0</v>
      </c>
      <c r="W377">
        <v>0</v>
      </c>
      <c r="X377" t="s">
        <v>70</v>
      </c>
      <c r="Y377" t="s">
        <v>60</v>
      </c>
      <c r="Z377">
        <v>0</v>
      </c>
      <c r="AA377" s="2">
        <v>0</v>
      </c>
      <c r="AB377" s="2">
        <v>0</v>
      </c>
      <c r="AC377" s="4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13.3</v>
      </c>
      <c r="AM377" s="2">
        <v>13.3</v>
      </c>
      <c r="AN377" s="2">
        <v>0</v>
      </c>
      <c r="AO377" s="2">
        <v>0</v>
      </c>
      <c r="AP377" s="2">
        <v>0</v>
      </c>
    </row>
    <row r="378" spans="1:42" x14ac:dyDescent="0.25">
      <c r="A378" s="1">
        <v>45922</v>
      </c>
      <c r="B378" t="s">
        <v>47</v>
      </c>
      <c r="C378">
        <v>649163</v>
      </c>
      <c r="D378">
        <v>2028402355</v>
      </c>
      <c r="E378" t="s">
        <v>371</v>
      </c>
      <c r="F378" t="s">
        <v>372</v>
      </c>
      <c r="G378" t="s">
        <v>50</v>
      </c>
      <c r="H378" t="s">
        <v>93</v>
      </c>
      <c r="I378" t="s">
        <v>441</v>
      </c>
      <c r="J378" t="s">
        <v>445</v>
      </c>
      <c r="K378">
        <v>768887</v>
      </c>
      <c r="L378" t="s">
        <v>282</v>
      </c>
      <c r="M378" t="s">
        <v>283</v>
      </c>
      <c r="N378" t="s">
        <v>56</v>
      </c>
      <c r="O378" s="1">
        <v>45762</v>
      </c>
      <c r="P378" s="1">
        <v>45945</v>
      </c>
      <c r="Q378" s="2">
        <v>-105.02</v>
      </c>
      <c r="R378">
        <v>1</v>
      </c>
      <c r="S378" t="s">
        <v>57</v>
      </c>
      <c r="T378" t="s">
        <v>58</v>
      </c>
      <c r="U378" s="4">
        <v>0.7</v>
      </c>
      <c r="V378" s="2">
        <v>0</v>
      </c>
      <c r="W378">
        <v>-1</v>
      </c>
      <c r="X378" t="s">
        <v>70</v>
      </c>
      <c r="Y378" t="s">
        <v>60</v>
      </c>
      <c r="Z378">
        <v>0</v>
      </c>
      <c r="AA378" s="2">
        <v>0</v>
      </c>
      <c r="AB378" s="2">
        <v>0</v>
      </c>
      <c r="AC378" s="4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-73.510000000000005</v>
      </c>
      <c r="AM378" s="2">
        <v>-73.510000000000005</v>
      </c>
      <c r="AN378" s="2">
        <v>0</v>
      </c>
      <c r="AO378" s="2">
        <v>0</v>
      </c>
      <c r="AP378" s="2">
        <v>0</v>
      </c>
    </row>
    <row r="379" spans="1:42" x14ac:dyDescent="0.25">
      <c r="A379" s="1">
        <v>45922</v>
      </c>
      <c r="B379" t="s">
        <v>47</v>
      </c>
      <c r="C379">
        <v>649163</v>
      </c>
      <c r="D379">
        <v>2028461882</v>
      </c>
      <c r="E379" t="s">
        <v>174</v>
      </c>
      <c r="F379" t="s">
        <v>175</v>
      </c>
      <c r="G379" t="s">
        <v>50</v>
      </c>
      <c r="H379" t="s">
        <v>121</v>
      </c>
      <c r="I379" t="s">
        <v>441</v>
      </c>
      <c r="J379" t="s">
        <v>445</v>
      </c>
      <c r="K379">
        <v>823350</v>
      </c>
      <c r="L379" t="s">
        <v>79</v>
      </c>
      <c r="M379" t="s">
        <v>80</v>
      </c>
      <c r="N379" t="s">
        <v>56</v>
      </c>
      <c r="O379" s="1">
        <v>45772</v>
      </c>
      <c r="P379" s="1">
        <v>45955</v>
      </c>
      <c r="Q379" s="2">
        <v>58.94</v>
      </c>
      <c r="R379">
        <v>1</v>
      </c>
      <c r="S379" t="s">
        <v>57</v>
      </c>
      <c r="T379" t="s">
        <v>58</v>
      </c>
      <c r="U379" s="4">
        <v>0.7</v>
      </c>
      <c r="V379" s="2">
        <v>0</v>
      </c>
      <c r="W379">
        <v>0</v>
      </c>
      <c r="X379" t="s">
        <v>70</v>
      </c>
      <c r="Y379" t="s">
        <v>60</v>
      </c>
      <c r="Z379">
        <v>0</v>
      </c>
      <c r="AA379" s="2">
        <v>0</v>
      </c>
      <c r="AB379" s="2">
        <v>0</v>
      </c>
      <c r="AC379" s="4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41.26</v>
      </c>
      <c r="AM379" s="2">
        <v>41.26</v>
      </c>
      <c r="AN379" s="2">
        <v>0</v>
      </c>
      <c r="AO379" s="2">
        <v>0</v>
      </c>
      <c r="AP379" s="2">
        <v>0</v>
      </c>
    </row>
    <row r="380" spans="1:42" x14ac:dyDescent="0.25">
      <c r="A380" s="1">
        <v>45922</v>
      </c>
      <c r="B380" t="s">
        <v>47</v>
      </c>
      <c r="C380">
        <v>649163</v>
      </c>
      <c r="D380">
        <v>2028466944</v>
      </c>
      <c r="E380" t="s">
        <v>176</v>
      </c>
      <c r="F380" t="s">
        <v>177</v>
      </c>
      <c r="G380" t="s">
        <v>50</v>
      </c>
      <c r="H380" t="s">
        <v>141</v>
      </c>
      <c r="I380" t="s">
        <v>441</v>
      </c>
      <c r="J380" t="s">
        <v>445</v>
      </c>
      <c r="K380">
        <v>816021</v>
      </c>
      <c r="L380" t="s">
        <v>142</v>
      </c>
      <c r="M380" t="s">
        <v>143</v>
      </c>
      <c r="N380" t="s">
        <v>56</v>
      </c>
      <c r="O380" s="1">
        <v>45767</v>
      </c>
      <c r="P380" s="1">
        <v>45950</v>
      </c>
      <c r="Q380" s="2">
        <v>9.6999999999999993</v>
      </c>
      <c r="R380">
        <v>1</v>
      </c>
      <c r="S380" t="s">
        <v>57</v>
      </c>
      <c r="T380" t="s">
        <v>58</v>
      </c>
      <c r="U380" s="4">
        <v>0.7</v>
      </c>
      <c r="V380" s="2">
        <v>0</v>
      </c>
      <c r="W380">
        <v>0</v>
      </c>
      <c r="X380" t="s">
        <v>70</v>
      </c>
      <c r="Y380" t="s">
        <v>60</v>
      </c>
      <c r="Z380">
        <v>0</v>
      </c>
      <c r="AA380" s="2">
        <v>0</v>
      </c>
      <c r="AB380" s="2">
        <v>0</v>
      </c>
      <c r="AC380" s="4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6.79</v>
      </c>
      <c r="AM380" s="2">
        <v>6.79</v>
      </c>
      <c r="AN380" s="2">
        <v>0</v>
      </c>
      <c r="AO380" s="2">
        <v>0</v>
      </c>
      <c r="AP380" s="2">
        <v>0</v>
      </c>
    </row>
    <row r="381" spans="1:42" x14ac:dyDescent="0.25">
      <c r="A381" s="1">
        <v>45922</v>
      </c>
      <c r="B381" t="s">
        <v>47</v>
      </c>
      <c r="C381">
        <v>649163</v>
      </c>
      <c r="D381">
        <v>2028498799</v>
      </c>
      <c r="E381" t="s">
        <v>178</v>
      </c>
      <c r="F381" t="s">
        <v>179</v>
      </c>
      <c r="G381" t="s">
        <v>50</v>
      </c>
      <c r="H381" t="s">
        <v>180</v>
      </c>
      <c r="I381" t="s">
        <v>441</v>
      </c>
      <c r="J381" t="s">
        <v>445</v>
      </c>
      <c r="K381">
        <v>823350</v>
      </c>
      <c r="L381" t="s">
        <v>79</v>
      </c>
      <c r="M381" t="s">
        <v>80</v>
      </c>
      <c r="N381" t="s">
        <v>56</v>
      </c>
      <c r="O381" s="1">
        <v>45772</v>
      </c>
      <c r="P381" s="1">
        <v>45955</v>
      </c>
      <c r="Q381" s="2">
        <v>30.58</v>
      </c>
      <c r="R381">
        <v>1</v>
      </c>
      <c r="S381" t="s">
        <v>57</v>
      </c>
      <c r="T381" t="s">
        <v>58</v>
      </c>
      <c r="U381" s="4">
        <v>0.7</v>
      </c>
      <c r="V381" s="2">
        <v>0</v>
      </c>
      <c r="W381">
        <v>0</v>
      </c>
      <c r="X381" t="s">
        <v>70</v>
      </c>
      <c r="Y381" t="s">
        <v>60</v>
      </c>
      <c r="Z381">
        <v>0</v>
      </c>
      <c r="AA381" s="2">
        <v>0</v>
      </c>
      <c r="AB381" s="2">
        <v>0</v>
      </c>
      <c r="AC381" s="4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21.41</v>
      </c>
      <c r="AM381" s="2">
        <v>21.41</v>
      </c>
      <c r="AN381" s="2">
        <v>0</v>
      </c>
      <c r="AO381" s="2">
        <v>0</v>
      </c>
      <c r="AP381" s="2">
        <v>0</v>
      </c>
    </row>
    <row r="382" spans="1:42" x14ac:dyDescent="0.25">
      <c r="A382" s="1">
        <v>45922</v>
      </c>
      <c r="B382" t="s">
        <v>47</v>
      </c>
      <c r="C382">
        <v>649163</v>
      </c>
      <c r="D382">
        <v>2028498801</v>
      </c>
      <c r="E382" t="s">
        <v>178</v>
      </c>
      <c r="F382" t="s">
        <v>179</v>
      </c>
      <c r="G382" t="s">
        <v>50</v>
      </c>
      <c r="H382" t="s">
        <v>180</v>
      </c>
      <c r="I382" t="s">
        <v>441</v>
      </c>
      <c r="J382" t="s">
        <v>442</v>
      </c>
      <c r="K382">
        <v>823350</v>
      </c>
      <c r="L382" t="s">
        <v>79</v>
      </c>
      <c r="M382" t="s">
        <v>80</v>
      </c>
      <c r="N382" t="s">
        <v>56</v>
      </c>
      <c r="O382" s="1">
        <v>45772</v>
      </c>
      <c r="P382" s="1">
        <v>45955</v>
      </c>
      <c r="Q382" s="2">
        <v>56.75</v>
      </c>
      <c r="R382">
        <v>1</v>
      </c>
      <c r="S382" t="s">
        <v>57</v>
      </c>
      <c r="T382" t="s">
        <v>58</v>
      </c>
      <c r="U382" s="4">
        <v>0.9</v>
      </c>
      <c r="V382" s="2">
        <v>0</v>
      </c>
      <c r="W382">
        <v>0</v>
      </c>
      <c r="X382" t="s">
        <v>70</v>
      </c>
      <c r="Y382" t="s">
        <v>60</v>
      </c>
      <c r="Z382">
        <v>0</v>
      </c>
      <c r="AA382" s="2">
        <v>0</v>
      </c>
      <c r="AB382" s="2">
        <v>0</v>
      </c>
      <c r="AC382" s="4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51.08</v>
      </c>
      <c r="AM382" s="2">
        <v>51.08</v>
      </c>
      <c r="AN382" s="2">
        <v>0</v>
      </c>
      <c r="AO382" s="2">
        <v>0</v>
      </c>
      <c r="AP382" s="2">
        <v>0</v>
      </c>
    </row>
    <row r="383" spans="1:42" x14ac:dyDescent="0.25">
      <c r="A383" s="1">
        <v>45922</v>
      </c>
      <c r="B383" t="s">
        <v>47</v>
      </c>
      <c r="C383">
        <v>649163</v>
      </c>
      <c r="D383">
        <v>2028547423</v>
      </c>
      <c r="E383" t="s">
        <v>492</v>
      </c>
      <c r="F383" t="s">
        <v>62</v>
      </c>
      <c r="G383" t="s">
        <v>50</v>
      </c>
      <c r="H383" t="s">
        <v>93</v>
      </c>
      <c r="I383" t="s">
        <v>441</v>
      </c>
      <c r="J383" t="s">
        <v>445</v>
      </c>
      <c r="K383">
        <v>812656</v>
      </c>
      <c r="L383" t="s">
        <v>338</v>
      </c>
      <c r="M383" t="s">
        <v>377</v>
      </c>
      <c r="N383" t="s">
        <v>56</v>
      </c>
      <c r="O383" s="1">
        <v>45770</v>
      </c>
      <c r="P383" s="1">
        <v>45953</v>
      </c>
      <c r="Q383" s="2">
        <v>35.700000000000003</v>
      </c>
      <c r="R383">
        <v>1</v>
      </c>
      <c r="S383" t="s">
        <v>57</v>
      </c>
      <c r="T383" t="s">
        <v>58</v>
      </c>
      <c r="U383" s="4">
        <v>0.7</v>
      </c>
      <c r="V383" s="2">
        <v>0</v>
      </c>
      <c r="W383">
        <v>0</v>
      </c>
      <c r="X383" t="s">
        <v>70</v>
      </c>
      <c r="Y383" t="s">
        <v>60</v>
      </c>
      <c r="Z383">
        <v>0</v>
      </c>
      <c r="AA383" s="2">
        <v>0</v>
      </c>
      <c r="AB383" s="2">
        <v>0</v>
      </c>
      <c r="AC383" s="4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24.99</v>
      </c>
      <c r="AM383" s="2">
        <v>24.99</v>
      </c>
      <c r="AN383" s="2">
        <v>0</v>
      </c>
      <c r="AO383" s="2">
        <v>0</v>
      </c>
      <c r="AP383" s="2">
        <v>0</v>
      </c>
    </row>
    <row r="384" spans="1:42" x14ac:dyDescent="0.25">
      <c r="A384" s="1">
        <v>45922</v>
      </c>
      <c r="B384" t="s">
        <v>47</v>
      </c>
      <c r="C384">
        <v>649163</v>
      </c>
      <c r="D384">
        <v>2028857839</v>
      </c>
      <c r="E384" t="s">
        <v>181</v>
      </c>
      <c r="F384" t="s">
        <v>182</v>
      </c>
      <c r="G384" t="s">
        <v>50</v>
      </c>
      <c r="H384" t="s">
        <v>183</v>
      </c>
      <c r="I384" t="s">
        <v>441</v>
      </c>
      <c r="J384" t="s">
        <v>442</v>
      </c>
      <c r="K384">
        <v>651818</v>
      </c>
      <c r="L384" t="s">
        <v>108</v>
      </c>
      <c r="M384" t="s">
        <v>109</v>
      </c>
      <c r="N384" t="s">
        <v>56</v>
      </c>
      <c r="O384" s="1">
        <v>45789</v>
      </c>
      <c r="P384" s="1">
        <v>45942</v>
      </c>
      <c r="Q384" s="2">
        <v>51.63</v>
      </c>
      <c r="R384">
        <v>1</v>
      </c>
      <c r="S384" t="s">
        <v>57</v>
      </c>
      <c r="T384" t="s">
        <v>58</v>
      </c>
      <c r="U384" s="4">
        <v>0.9</v>
      </c>
      <c r="V384" s="2">
        <v>0</v>
      </c>
      <c r="W384">
        <v>0</v>
      </c>
      <c r="X384" t="s">
        <v>70</v>
      </c>
      <c r="Y384" t="s">
        <v>60</v>
      </c>
      <c r="Z384">
        <v>0</v>
      </c>
      <c r="AA384" s="2">
        <v>0</v>
      </c>
      <c r="AB384" s="2">
        <v>0</v>
      </c>
      <c r="AC384" s="4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46.47</v>
      </c>
      <c r="AM384" s="2">
        <v>46.47</v>
      </c>
      <c r="AN384" s="2">
        <v>0</v>
      </c>
      <c r="AO384" s="2">
        <v>0</v>
      </c>
      <c r="AP384" s="2">
        <v>0</v>
      </c>
    </row>
    <row r="385" spans="1:42" x14ac:dyDescent="0.25">
      <c r="A385" s="1">
        <v>45922</v>
      </c>
      <c r="B385" t="s">
        <v>47</v>
      </c>
      <c r="C385">
        <v>649163</v>
      </c>
      <c r="D385">
        <v>2028917635</v>
      </c>
      <c r="E385" t="s">
        <v>493</v>
      </c>
      <c r="F385" t="s">
        <v>494</v>
      </c>
      <c r="G385" t="s">
        <v>50</v>
      </c>
      <c r="H385" t="s">
        <v>93</v>
      </c>
      <c r="I385" t="s">
        <v>441</v>
      </c>
      <c r="J385" t="s">
        <v>451</v>
      </c>
      <c r="K385">
        <v>807212</v>
      </c>
      <c r="L385" t="s">
        <v>467</v>
      </c>
      <c r="M385" t="s">
        <v>468</v>
      </c>
      <c r="N385" t="s">
        <v>56</v>
      </c>
      <c r="O385" s="1">
        <v>45791</v>
      </c>
      <c r="P385" s="1">
        <v>45944</v>
      </c>
      <c r="Q385" s="2">
        <v>-30.09</v>
      </c>
      <c r="R385">
        <v>1</v>
      </c>
      <c r="S385" t="s">
        <v>57</v>
      </c>
      <c r="T385" t="s">
        <v>58</v>
      </c>
      <c r="U385" s="4">
        <v>0.42</v>
      </c>
      <c r="V385" s="2">
        <v>0</v>
      </c>
      <c r="W385">
        <v>-1</v>
      </c>
      <c r="X385" t="s">
        <v>70</v>
      </c>
      <c r="Y385" t="s">
        <v>60</v>
      </c>
      <c r="Z385">
        <v>0</v>
      </c>
      <c r="AA385" s="2">
        <v>0</v>
      </c>
      <c r="AB385" s="2">
        <v>0</v>
      </c>
      <c r="AC385" s="4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-12.64</v>
      </c>
      <c r="AM385" s="2">
        <v>-12.64</v>
      </c>
      <c r="AN385" s="2">
        <v>0</v>
      </c>
      <c r="AO385" s="2">
        <v>0</v>
      </c>
      <c r="AP385" s="2">
        <v>0</v>
      </c>
    </row>
    <row r="386" spans="1:42" x14ac:dyDescent="0.25">
      <c r="A386" s="1">
        <v>45922</v>
      </c>
      <c r="B386" t="s">
        <v>47</v>
      </c>
      <c r="C386">
        <v>649163</v>
      </c>
      <c r="D386">
        <v>2028917636</v>
      </c>
      <c r="E386" t="s">
        <v>493</v>
      </c>
      <c r="F386" t="s">
        <v>494</v>
      </c>
      <c r="G386" t="s">
        <v>50</v>
      </c>
      <c r="H386" t="s">
        <v>93</v>
      </c>
      <c r="I386" t="s">
        <v>441</v>
      </c>
      <c r="J386" t="s">
        <v>445</v>
      </c>
      <c r="K386">
        <v>807212</v>
      </c>
      <c r="L386" t="s">
        <v>467</v>
      </c>
      <c r="M386" t="s">
        <v>468</v>
      </c>
      <c r="N386" t="s">
        <v>56</v>
      </c>
      <c r="O386" s="1">
        <v>45791</v>
      </c>
      <c r="P386" s="1">
        <v>45944</v>
      </c>
      <c r="Q386" s="2">
        <v>-59.4</v>
      </c>
      <c r="R386">
        <v>1</v>
      </c>
      <c r="S386" t="s">
        <v>57</v>
      </c>
      <c r="T386" t="s">
        <v>58</v>
      </c>
      <c r="U386" s="4">
        <v>0.7</v>
      </c>
      <c r="V386" s="2">
        <v>0</v>
      </c>
      <c r="W386">
        <v>-1</v>
      </c>
      <c r="X386" t="s">
        <v>70</v>
      </c>
      <c r="Y386" t="s">
        <v>60</v>
      </c>
      <c r="Z386">
        <v>0</v>
      </c>
      <c r="AA386" s="2">
        <v>0</v>
      </c>
      <c r="AB386" s="2">
        <v>0</v>
      </c>
      <c r="AC386" s="4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-41.58</v>
      </c>
      <c r="AM386" s="2">
        <v>-41.58</v>
      </c>
      <c r="AN386" s="2">
        <v>0</v>
      </c>
      <c r="AO386" s="2">
        <v>0</v>
      </c>
      <c r="AP386" s="2">
        <v>0</v>
      </c>
    </row>
    <row r="387" spans="1:42" x14ac:dyDescent="0.25">
      <c r="A387" s="1">
        <v>45922</v>
      </c>
      <c r="B387" t="s">
        <v>47</v>
      </c>
      <c r="C387">
        <v>649163</v>
      </c>
      <c r="D387">
        <v>2028917836</v>
      </c>
      <c r="E387" t="s">
        <v>495</v>
      </c>
      <c r="F387" t="s">
        <v>496</v>
      </c>
      <c r="G387" t="s">
        <v>50</v>
      </c>
      <c r="H387" t="s">
        <v>214</v>
      </c>
      <c r="I387" t="s">
        <v>441</v>
      </c>
      <c r="J387" t="s">
        <v>442</v>
      </c>
      <c r="K387">
        <v>823068</v>
      </c>
      <c r="L387" t="s">
        <v>215</v>
      </c>
      <c r="M387" t="s">
        <v>216</v>
      </c>
      <c r="N387" t="s">
        <v>56</v>
      </c>
      <c r="O387" s="1">
        <v>45795</v>
      </c>
      <c r="P387" s="1">
        <v>45948</v>
      </c>
      <c r="Q387" s="2">
        <v>-127.63</v>
      </c>
      <c r="R387">
        <v>1</v>
      </c>
      <c r="S387" t="s">
        <v>57</v>
      </c>
      <c r="T387" t="s">
        <v>58</v>
      </c>
      <c r="U387" s="4">
        <v>0.9</v>
      </c>
      <c r="V387" s="2">
        <v>0</v>
      </c>
      <c r="W387">
        <v>-1</v>
      </c>
      <c r="X387" t="s">
        <v>70</v>
      </c>
      <c r="Y387" t="s">
        <v>60</v>
      </c>
      <c r="Z387">
        <v>0</v>
      </c>
      <c r="AA387" s="2">
        <v>0</v>
      </c>
      <c r="AB387" s="2">
        <v>0</v>
      </c>
      <c r="AC387" s="4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-114.87</v>
      </c>
      <c r="AM387" s="2">
        <v>-114.87</v>
      </c>
      <c r="AN387" s="2">
        <v>0</v>
      </c>
      <c r="AO387" s="2">
        <v>0</v>
      </c>
      <c r="AP387" s="2">
        <v>0</v>
      </c>
    </row>
    <row r="388" spans="1:42" x14ac:dyDescent="0.25">
      <c r="A388" s="1">
        <v>45922</v>
      </c>
      <c r="B388" t="s">
        <v>47</v>
      </c>
      <c r="C388">
        <v>649163</v>
      </c>
      <c r="D388">
        <v>2028918191</v>
      </c>
      <c r="E388" t="s">
        <v>495</v>
      </c>
      <c r="F388" t="s">
        <v>497</v>
      </c>
      <c r="G388" t="s">
        <v>50</v>
      </c>
      <c r="H388" t="s">
        <v>214</v>
      </c>
      <c r="I388" t="s">
        <v>441</v>
      </c>
      <c r="J388" t="s">
        <v>442</v>
      </c>
      <c r="K388">
        <v>823068</v>
      </c>
      <c r="L388" t="s">
        <v>215</v>
      </c>
      <c r="M388" t="s">
        <v>216</v>
      </c>
      <c r="N388" t="s">
        <v>56</v>
      </c>
      <c r="O388" s="1">
        <v>45795</v>
      </c>
      <c r="P388" s="1">
        <v>45948</v>
      </c>
      <c r="Q388" s="2">
        <v>-15.67</v>
      </c>
      <c r="R388">
        <v>1</v>
      </c>
      <c r="S388" t="s">
        <v>57</v>
      </c>
      <c r="T388" t="s">
        <v>58</v>
      </c>
      <c r="U388" s="4">
        <v>0.9</v>
      </c>
      <c r="V388" s="2">
        <v>0</v>
      </c>
      <c r="W388">
        <v>-1</v>
      </c>
      <c r="X388" t="s">
        <v>70</v>
      </c>
      <c r="Y388" t="s">
        <v>60</v>
      </c>
      <c r="Z388">
        <v>0</v>
      </c>
      <c r="AA388" s="2">
        <v>0</v>
      </c>
      <c r="AB388" s="2">
        <v>0</v>
      </c>
      <c r="AC388" s="4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-14.1</v>
      </c>
      <c r="AM388" s="2">
        <v>-14.1</v>
      </c>
      <c r="AN388" s="2">
        <v>0</v>
      </c>
      <c r="AO388" s="2">
        <v>0</v>
      </c>
      <c r="AP388" s="2">
        <v>0</v>
      </c>
    </row>
    <row r="389" spans="1:42" x14ac:dyDescent="0.25">
      <c r="A389" s="1">
        <v>45922</v>
      </c>
      <c r="B389" t="s">
        <v>47</v>
      </c>
      <c r="C389">
        <v>649163</v>
      </c>
      <c r="D389">
        <v>2028918531</v>
      </c>
      <c r="E389" t="s">
        <v>498</v>
      </c>
      <c r="F389" t="s">
        <v>499</v>
      </c>
      <c r="G389" t="s">
        <v>50</v>
      </c>
      <c r="H389" t="s">
        <v>214</v>
      </c>
      <c r="I389" t="s">
        <v>441</v>
      </c>
      <c r="J389" t="s">
        <v>442</v>
      </c>
      <c r="K389">
        <v>823068</v>
      </c>
      <c r="L389" t="s">
        <v>215</v>
      </c>
      <c r="M389" t="s">
        <v>216</v>
      </c>
      <c r="N389" t="s">
        <v>56</v>
      </c>
      <c r="O389" s="1">
        <v>45795</v>
      </c>
      <c r="P389" s="1">
        <v>45948</v>
      </c>
      <c r="Q389" s="2">
        <v>-12.92</v>
      </c>
      <c r="R389">
        <v>1</v>
      </c>
      <c r="S389" t="s">
        <v>57</v>
      </c>
      <c r="T389" t="s">
        <v>58</v>
      </c>
      <c r="U389" s="4">
        <v>0.9</v>
      </c>
      <c r="V389" s="2">
        <v>0</v>
      </c>
      <c r="W389">
        <v>-1</v>
      </c>
      <c r="X389" t="s">
        <v>70</v>
      </c>
      <c r="Y389" t="s">
        <v>60</v>
      </c>
      <c r="Z389">
        <v>0</v>
      </c>
      <c r="AA389" s="2">
        <v>0</v>
      </c>
      <c r="AB389" s="2">
        <v>0</v>
      </c>
      <c r="AC389" s="4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-11.63</v>
      </c>
      <c r="AM389" s="2">
        <v>-11.63</v>
      </c>
      <c r="AN389" s="2">
        <v>0</v>
      </c>
      <c r="AO389" s="2">
        <v>0</v>
      </c>
      <c r="AP389" s="2">
        <v>0</v>
      </c>
    </row>
    <row r="390" spans="1:42" x14ac:dyDescent="0.25">
      <c r="A390" s="1">
        <v>45922</v>
      </c>
      <c r="B390" t="s">
        <v>47</v>
      </c>
      <c r="C390">
        <v>649163</v>
      </c>
      <c r="D390">
        <v>2028942347</v>
      </c>
      <c r="E390" t="s">
        <v>500</v>
      </c>
      <c r="F390" t="s">
        <v>501</v>
      </c>
      <c r="G390" t="s">
        <v>50</v>
      </c>
      <c r="H390" t="s">
        <v>93</v>
      </c>
      <c r="I390" t="s">
        <v>441</v>
      </c>
      <c r="J390" t="s">
        <v>445</v>
      </c>
      <c r="K390">
        <v>823350</v>
      </c>
      <c r="L390" t="s">
        <v>79</v>
      </c>
      <c r="M390" t="s">
        <v>80</v>
      </c>
      <c r="N390" t="s">
        <v>56</v>
      </c>
      <c r="O390" s="1">
        <v>45801</v>
      </c>
      <c r="P390" s="1">
        <v>45954</v>
      </c>
      <c r="Q390" s="2">
        <v>192.61</v>
      </c>
      <c r="R390">
        <v>1</v>
      </c>
      <c r="S390" t="s">
        <v>57</v>
      </c>
      <c r="T390" t="s">
        <v>58</v>
      </c>
      <c r="U390" s="4">
        <v>0.7</v>
      </c>
      <c r="V390" s="2">
        <v>0</v>
      </c>
      <c r="W390">
        <v>0</v>
      </c>
      <c r="X390" t="s">
        <v>70</v>
      </c>
      <c r="Y390" t="s">
        <v>60</v>
      </c>
      <c r="Z390">
        <v>0</v>
      </c>
      <c r="AA390" s="2">
        <v>0</v>
      </c>
      <c r="AB390" s="2">
        <v>0</v>
      </c>
      <c r="AC390" s="4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134.83000000000001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</row>
    <row r="391" spans="1:42" x14ac:dyDescent="0.25">
      <c r="A391" s="1">
        <v>45922</v>
      </c>
      <c r="B391" t="s">
        <v>47</v>
      </c>
      <c r="C391">
        <v>649163</v>
      </c>
      <c r="D391">
        <v>2028963883</v>
      </c>
      <c r="E391" t="s">
        <v>375</v>
      </c>
      <c r="F391" t="s">
        <v>376</v>
      </c>
      <c r="G391" t="s">
        <v>50</v>
      </c>
      <c r="H391" t="s">
        <v>93</v>
      </c>
      <c r="I391" t="s">
        <v>441</v>
      </c>
      <c r="J391" t="s">
        <v>445</v>
      </c>
      <c r="K391">
        <v>812656</v>
      </c>
      <c r="L391" t="s">
        <v>338</v>
      </c>
      <c r="M391" t="s">
        <v>377</v>
      </c>
      <c r="N391" t="s">
        <v>56</v>
      </c>
      <c r="O391" s="1">
        <v>45801</v>
      </c>
      <c r="P391" s="1">
        <v>45954</v>
      </c>
      <c r="Q391" s="2">
        <v>42.38</v>
      </c>
      <c r="R391">
        <v>1</v>
      </c>
      <c r="S391" t="s">
        <v>57</v>
      </c>
      <c r="T391" t="s">
        <v>58</v>
      </c>
      <c r="U391" s="4">
        <v>0.7</v>
      </c>
      <c r="V391" s="2">
        <v>0</v>
      </c>
      <c r="W391">
        <v>0</v>
      </c>
      <c r="X391" t="s">
        <v>70</v>
      </c>
      <c r="Y391" t="s">
        <v>60</v>
      </c>
      <c r="Z391">
        <v>0</v>
      </c>
      <c r="AA391" s="2">
        <v>0</v>
      </c>
      <c r="AB391" s="2">
        <v>0</v>
      </c>
      <c r="AC391" s="4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29.67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</row>
    <row r="392" spans="1:42" x14ac:dyDescent="0.25">
      <c r="A392" s="1">
        <v>45922</v>
      </c>
      <c r="B392" t="s">
        <v>47</v>
      </c>
      <c r="C392">
        <v>649163</v>
      </c>
      <c r="D392">
        <v>2028992069</v>
      </c>
      <c r="E392" t="s">
        <v>185</v>
      </c>
      <c r="F392" t="s">
        <v>55</v>
      </c>
      <c r="G392" t="s">
        <v>50</v>
      </c>
      <c r="H392" t="s">
        <v>180</v>
      </c>
      <c r="I392" t="s">
        <v>441</v>
      </c>
      <c r="J392" t="s">
        <v>445</v>
      </c>
      <c r="K392">
        <v>753748</v>
      </c>
      <c r="L392" t="s">
        <v>130</v>
      </c>
      <c r="M392" t="s">
        <v>131</v>
      </c>
      <c r="N392" t="s">
        <v>56</v>
      </c>
      <c r="O392" s="1">
        <v>45799</v>
      </c>
      <c r="P392" s="1">
        <v>45952</v>
      </c>
      <c r="Q392" s="2">
        <v>9.0500000000000007</v>
      </c>
      <c r="R392">
        <v>1</v>
      </c>
      <c r="S392" t="s">
        <v>57</v>
      </c>
      <c r="T392" t="s">
        <v>58</v>
      </c>
      <c r="U392" s="4">
        <v>0.7</v>
      </c>
      <c r="V392" s="2">
        <v>0</v>
      </c>
      <c r="W392">
        <v>0</v>
      </c>
      <c r="X392" t="s">
        <v>70</v>
      </c>
      <c r="Y392" t="s">
        <v>60</v>
      </c>
      <c r="Z392">
        <v>0</v>
      </c>
      <c r="AA392" s="2">
        <v>0</v>
      </c>
      <c r="AB392" s="2">
        <v>0</v>
      </c>
      <c r="AC392" s="4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6.34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</row>
    <row r="393" spans="1:42" x14ac:dyDescent="0.25">
      <c r="A393" s="1">
        <v>45922</v>
      </c>
      <c r="B393" t="s">
        <v>47</v>
      </c>
      <c r="C393">
        <v>649163</v>
      </c>
      <c r="D393">
        <v>2029005430</v>
      </c>
      <c r="E393" t="s">
        <v>502</v>
      </c>
      <c r="F393" t="s">
        <v>62</v>
      </c>
      <c r="G393" t="s">
        <v>50</v>
      </c>
      <c r="H393" t="s">
        <v>214</v>
      </c>
      <c r="I393" t="s">
        <v>441</v>
      </c>
      <c r="J393" t="s">
        <v>442</v>
      </c>
      <c r="K393">
        <v>823068</v>
      </c>
      <c r="L393" t="s">
        <v>215</v>
      </c>
      <c r="M393" t="s">
        <v>216</v>
      </c>
      <c r="N393" t="s">
        <v>56</v>
      </c>
      <c r="O393" s="1">
        <v>45797</v>
      </c>
      <c r="P393" s="1">
        <v>45950</v>
      </c>
      <c r="Q393" s="2">
        <v>31.23</v>
      </c>
      <c r="R393">
        <v>1</v>
      </c>
      <c r="S393" t="s">
        <v>57</v>
      </c>
      <c r="T393" t="s">
        <v>58</v>
      </c>
      <c r="U393" s="4">
        <v>0.9</v>
      </c>
      <c r="V393" s="2">
        <v>0</v>
      </c>
      <c r="W393">
        <v>0</v>
      </c>
      <c r="X393" t="s">
        <v>70</v>
      </c>
      <c r="Y393" t="s">
        <v>60</v>
      </c>
      <c r="Z393">
        <v>0</v>
      </c>
      <c r="AA393" s="2">
        <v>0</v>
      </c>
      <c r="AB393" s="2">
        <v>0</v>
      </c>
      <c r="AC393" s="4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28.11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</row>
    <row r="394" spans="1:42" x14ac:dyDescent="0.25">
      <c r="A394" s="1">
        <v>45922</v>
      </c>
      <c r="B394" t="s">
        <v>47</v>
      </c>
      <c r="C394">
        <v>649163</v>
      </c>
      <c r="D394">
        <v>2029026298</v>
      </c>
      <c r="E394" t="s">
        <v>378</v>
      </c>
      <c r="F394" t="s">
        <v>379</v>
      </c>
      <c r="G394" t="s">
        <v>50</v>
      </c>
      <c r="H394" t="s">
        <v>83</v>
      </c>
      <c r="I394" t="s">
        <v>441</v>
      </c>
      <c r="J394" t="s">
        <v>442</v>
      </c>
      <c r="K394">
        <v>767312</v>
      </c>
      <c r="L394" t="s">
        <v>122</v>
      </c>
      <c r="M394" t="s">
        <v>123</v>
      </c>
      <c r="N394" t="s">
        <v>56</v>
      </c>
      <c r="O394" s="1">
        <v>45798</v>
      </c>
      <c r="P394" s="1">
        <v>45951</v>
      </c>
      <c r="Q394" s="2">
        <v>44.13</v>
      </c>
      <c r="R394">
        <v>1</v>
      </c>
      <c r="S394" t="s">
        <v>57</v>
      </c>
      <c r="T394" t="s">
        <v>58</v>
      </c>
      <c r="U394" s="4">
        <v>0.9</v>
      </c>
      <c r="V394" s="2">
        <v>0</v>
      </c>
      <c r="W394">
        <v>0</v>
      </c>
      <c r="X394" t="s">
        <v>70</v>
      </c>
      <c r="Y394" t="s">
        <v>60</v>
      </c>
      <c r="Z394">
        <v>0</v>
      </c>
      <c r="AA394" s="2">
        <v>0</v>
      </c>
      <c r="AB394" s="2">
        <v>0</v>
      </c>
      <c r="AC394" s="4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39.72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</row>
    <row r="395" spans="1:42" x14ac:dyDescent="0.25">
      <c r="A395" s="1">
        <v>45922</v>
      </c>
      <c r="B395" t="s">
        <v>47</v>
      </c>
      <c r="C395">
        <v>649163</v>
      </c>
      <c r="D395">
        <v>2029031001</v>
      </c>
      <c r="E395" t="s">
        <v>503</v>
      </c>
      <c r="F395" t="s">
        <v>504</v>
      </c>
      <c r="G395" t="s">
        <v>50</v>
      </c>
      <c r="H395" t="s">
        <v>93</v>
      </c>
      <c r="I395" t="s">
        <v>441</v>
      </c>
      <c r="J395" t="s">
        <v>445</v>
      </c>
      <c r="K395">
        <v>807212</v>
      </c>
      <c r="L395" t="s">
        <v>467</v>
      </c>
      <c r="M395" t="s">
        <v>468</v>
      </c>
      <c r="N395" t="s">
        <v>56</v>
      </c>
      <c r="O395" s="1">
        <v>45798</v>
      </c>
      <c r="P395" s="1">
        <v>45951</v>
      </c>
      <c r="Q395" s="2">
        <v>72.760000000000005</v>
      </c>
      <c r="R395">
        <v>1</v>
      </c>
      <c r="S395" t="s">
        <v>57</v>
      </c>
      <c r="T395" t="s">
        <v>58</v>
      </c>
      <c r="U395" s="4">
        <v>0.7</v>
      </c>
      <c r="V395" s="2">
        <v>0</v>
      </c>
      <c r="W395">
        <v>0</v>
      </c>
      <c r="X395" t="s">
        <v>70</v>
      </c>
      <c r="Y395" t="s">
        <v>60</v>
      </c>
      <c r="Z395">
        <v>0</v>
      </c>
      <c r="AA395" s="2">
        <v>0</v>
      </c>
      <c r="AB395" s="2">
        <v>0</v>
      </c>
      <c r="AC395" s="4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50.93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</row>
    <row r="396" spans="1:42" x14ac:dyDescent="0.25">
      <c r="A396" s="1">
        <v>45922</v>
      </c>
      <c r="B396" t="s">
        <v>47</v>
      </c>
      <c r="C396">
        <v>649163</v>
      </c>
      <c r="D396">
        <v>2029031002</v>
      </c>
      <c r="E396" t="s">
        <v>503</v>
      </c>
      <c r="F396" t="s">
        <v>504</v>
      </c>
      <c r="G396" t="s">
        <v>50</v>
      </c>
      <c r="H396" t="s">
        <v>93</v>
      </c>
      <c r="I396" t="s">
        <v>441</v>
      </c>
      <c r="J396" t="s">
        <v>442</v>
      </c>
      <c r="K396">
        <v>807212</v>
      </c>
      <c r="L396" t="s">
        <v>467</v>
      </c>
      <c r="M396" t="s">
        <v>468</v>
      </c>
      <c r="N396" t="s">
        <v>56</v>
      </c>
      <c r="O396" s="1">
        <v>45798</v>
      </c>
      <c r="P396" s="1">
        <v>45951</v>
      </c>
      <c r="Q396" s="2">
        <v>16.670000000000002</v>
      </c>
      <c r="R396">
        <v>1</v>
      </c>
      <c r="S396" t="s">
        <v>57</v>
      </c>
      <c r="T396" t="s">
        <v>58</v>
      </c>
      <c r="U396" s="4">
        <v>0.9</v>
      </c>
      <c r="V396" s="2">
        <v>0</v>
      </c>
      <c r="W396">
        <v>0</v>
      </c>
      <c r="X396" t="s">
        <v>70</v>
      </c>
      <c r="Y396" t="s">
        <v>60</v>
      </c>
      <c r="Z396">
        <v>0</v>
      </c>
      <c r="AA396" s="2">
        <v>0</v>
      </c>
      <c r="AB396" s="2">
        <v>0</v>
      </c>
      <c r="AC396" s="4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15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</row>
    <row r="397" spans="1:42" x14ac:dyDescent="0.25">
      <c r="A397" s="1">
        <v>45922</v>
      </c>
      <c r="B397" t="s">
        <v>47</v>
      </c>
      <c r="C397">
        <v>649163</v>
      </c>
      <c r="D397">
        <v>2029034260</v>
      </c>
      <c r="E397" t="s">
        <v>380</v>
      </c>
      <c r="F397" t="s">
        <v>381</v>
      </c>
      <c r="G397" t="s">
        <v>50</v>
      </c>
      <c r="H397" t="s">
        <v>115</v>
      </c>
      <c r="I397" t="s">
        <v>441</v>
      </c>
      <c r="J397" t="s">
        <v>445</v>
      </c>
      <c r="K397">
        <v>806645</v>
      </c>
      <c r="L397" t="s">
        <v>382</v>
      </c>
      <c r="M397" t="s">
        <v>366</v>
      </c>
      <c r="N397" t="s">
        <v>56</v>
      </c>
      <c r="O397" s="1">
        <v>45798</v>
      </c>
      <c r="P397" s="1">
        <v>45951</v>
      </c>
      <c r="Q397" s="2">
        <v>48.76</v>
      </c>
      <c r="R397">
        <v>1</v>
      </c>
      <c r="S397" t="s">
        <v>57</v>
      </c>
      <c r="T397" t="s">
        <v>58</v>
      </c>
      <c r="U397" s="4">
        <v>0.7</v>
      </c>
      <c r="V397" s="2">
        <v>0</v>
      </c>
      <c r="W397">
        <v>0</v>
      </c>
      <c r="X397" t="s">
        <v>70</v>
      </c>
      <c r="Y397" t="s">
        <v>60</v>
      </c>
      <c r="Z397">
        <v>0</v>
      </c>
      <c r="AA397" s="2">
        <v>0</v>
      </c>
      <c r="AB397" s="2">
        <v>0</v>
      </c>
      <c r="AC397" s="4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34.130000000000003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</row>
    <row r="398" spans="1:42" x14ac:dyDescent="0.25">
      <c r="A398" s="1">
        <v>45922</v>
      </c>
      <c r="B398" t="s">
        <v>47</v>
      </c>
      <c r="C398">
        <v>649163</v>
      </c>
      <c r="D398">
        <v>2029036919</v>
      </c>
      <c r="E398" t="s">
        <v>383</v>
      </c>
      <c r="F398" t="s">
        <v>280</v>
      </c>
      <c r="G398" t="s">
        <v>50</v>
      </c>
      <c r="H398" t="s">
        <v>121</v>
      </c>
      <c r="I398" t="s">
        <v>441</v>
      </c>
      <c r="J398" t="s">
        <v>445</v>
      </c>
      <c r="K398">
        <v>813184</v>
      </c>
      <c r="L398" t="s">
        <v>194</v>
      </c>
      <c r="M398" t="s">
        <v>195</v>
      </c>
      <c r="N398" t="s">
        <v>56</v>
      </c>
      <c r="O398" s="1">
        <v>45798</v>
      </c>
      <c r="P398" s="1">
        <v>45951</v>
      </c>
      <c r="Q398" s="2">
        <v>11.5</v>
      </c>
      <c r="R398">
        <v>1</v>
      </c>
      <c r="S398" t="s">
        <v>57</v>
      </c>
      <c r="T398" t="s">
        <v>58</v>
      </c>
      <c r="U398" s="4">
        <v>0.7</v>
      </c>
      <c r="V398" s="2">
        <v>0</v>
      </c>
      <c r="W398">
        <v>0</v>
      </c>
      <c r="X398" t="s">
        <v>70</v>
      </c>
      <c r="Y398" t="s">
        <v>60</v>
      </c>
      <c r="Z398">
        <v>0</v>
      </c>
      <c r="AA398" s="2">
        <v>0</v>
      </c>
      <c r="AB398" s="2">
        <v>0</v>
      </c>
      <c r="AC398" s="4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8.0500000000000007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</row>
    <row r="399" spans="1:42" x14ac:dyDescent="0.25">
      <c r="A399" s="1">
        <v>45922</v>
      </c>
      <c r="B399" t="s">
        <v>47</v>
      </c>
      <c r="C399">
        <v>649163</v>
      </c>
      <c r="D399">
        <v>2029038486</v>
      </c>
      <c r="E399" t="s">
        <v>186</v>
      </c>
      <c r="F399" t="s">
        <v>187</v>
      </c>
      <c r="G399" t="s">
        <v>50</v>
      </c>
      <c r="H399" t="s">
        <v>188</v>
      </c>
      <c r="I399" t="s">
        <v>441</v>
      </c>
      <c r="J399" t="s">
        <v>445</v>
      </c>
      <c r="K399">
        <v>673059</v>
      </c>
      <c r="L399" t="s">
        <v>152</v>
      </c>
      <c r="M399" t="s">
        <v>153</v>
      </c>
      <c r="N399" t="s">
        <v>56</v>
      </c>
      <c r="O399" s="1">
        <v>45798</v>
      </c>
      <c r="P399" s="1">
        <v>45951</v>
      </c>
      <c r="Q399" s="2">
        <v>61.99</v>
      </c>
      <c r="R399">
        <v>1</v>
      </c>
      <c r="S399" t="s">
        <v>57</v>
      </c>
      <c r="T399" t="s">
        <v>58</v>
      </c>
      <c r="U399" s="4">
        <v>0.7</v>
      </c>
      <c r="V399" s="2">
        <v>0</v>
      </c>
      <c r="W399">
        <v>0</v>
      </c>
      <c r="X399" t="s">
        <v>70</v>
      </c>
      <c r="Y399" t="s">
        <v>60</v>
      </c>
      <c r="Z399">
        <v>0</v>
      </c>
      <c r="AA399" s="2">
        <v>0</v>
      </c>
      <c r="AB399" s="2">
        <v>0</v>
      </c>
      <c r="AC399" s="4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43.39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</row>
    <row r="400" spans="1:42" x14ac:dyDescent="0.25">
      <c r="A400" s="1">
        <v>45922</v>
      </c>
      <c r="B400" t="s">
        <v>47</v>
      </c>
      <c r="C400">
        <v>649163</v>
      </c>
      <c r="D400">
        <v>2029039457</v>
      </c>
      <c r="E400" t="s">
        <v>505</v>
      </c>
      <c r="F400" t="s">
        <v>506</v>
      </c>
      <c r="G400" t="s">
        <v>50</v>
      </c>
      <c r="H400" t="s">
        <v>151</v>
      </c>
      <c r="I400" t="s">
        <v>441</v>
      </c>
      <c r="J400" t="s">
        <v>445</v>
      </c>
      <c r="K400">
        <v>767312</v>
      </c>
      <c r="L400" t="s">
        <v>122</v>
      </c>
      <c r="M400" t="s">
        <v>123</v>
      </c>
      <c r="N400" t="s">
        <v>56</v>
      </c>
      <c r="O400" s="1">
        <v>45798</v>
      </c>
      <c r="P400" s="1">
        <v>45951</v>
      </c>
      <c r="Q400" s="2">
        <v>23</v>
      </c>
      <c r="R400">
        <v>1</v>
      </c>
      <c r="S400" t="s">
        <v>57</v>
      </c>
      <c r="T400" t="s">
        <v>58</v>
      </c>
      <c r="U400" s="4">
        <v>0.7</v>
      </c>
      <c r="V400" s="2">
        <v>0</v>
      </c>
      <c r="W400">
        <v>0</v>
      </c>
      <c r="X400" t="s">
        <v>70</v>
      </c>
      <c r="Y400" t="s">
        <v>60</v>
      </c>
      <c r="Z400">
        <v>0</v>
      </c>
      <c r="AA400" s="2">
        <v>0</v>
      </c>
      <c r="AB400" s="2">
        <v>0</v>
      </c>
      <c r="AC400" s="4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16.100000000000001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</row>
    <row r="401" spans="1:42" x14ac:dyDescent="0.25">
      <c r="A401" s="1">
        <v>45922</v>
      </c>
      <c r="B401" t="s">
        <v>47</v>
      </c>
      <c r="C401">
        <v>649163</v>
      </c>
      <c r="D401">
        <v>2029039458</v>
      </c>
      <c r="E401" t="s">
        <v>505</v>
      </c>
      <c r="F401" t="s">
        <v>506</v>
      </c>
      <c r="G401" t="s">
        <v>50</v>
      </c>
      <c r="H401" t="s">
        <v>151</v>
      </c>
      <c r="I401" t="s">
        <v>441</v>
      </c>
      <c r="J401" t="s">
        <v>442</v>
      </c>
      <c r="K401">
        <v>767312</v>
      </c>
      <c r="L401" t="s">
        <v>122</v>
      </c>
      <c r="M401" t="s">
        <v>123</v>
      </c>
      <c r="N401" t="s">
        <v>56</v>
      </c>
      <c r="O401" s="1">
        <v>45798</v>
      </c>
      <c r="P401" s="1">
        <v>45951</v>
      </c>
      <c r="Q401" s="2">
        <v>48</v>
      </c>
      <c r="R401">
        <v>1</v>
      </c>
      <c r="S401" t="s">
        <v>57</v>
      </c>
      <c r="T401" t="s">
        <v>58</v>
      </c>
      <c r="U401" s="4">
        <v>0.9</v>
      </c>
      <c r="V401" s="2">
        <v>0</v>
      </c>
      <c r="W401">
        <v>0</v>
      </c>
      <c r="X401" t="s">
        <v>70</v>
      </c>
      <c r="Y401" t="s">
        <v>60</v>
      </c>
      <c r="Z401">
        <v>0</v>
      </c>
      <c r="AA401" s="2">
        <v>0</v>
      </c>
      <c r="AB401" s="2">
        <v>0</v>
      </c>
      <c r="AC401" s="4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43.2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</row>
    <row r="402" spans="1:42" x14ac:dyDescent="0.25">
      <c r="A402" s="1">
        <v>45922</v>
      </c>
      <c r="B402" t="s">
        <v>47</v>
      </c>
      <c r="C402">
        <v>649163</v>
      </c>
      <c r="D402">
        <v>2029041858</v>
      </c>
      <c r="E402" t="s">
        <v>507</v>
      </c>
      <c r="F402" t="s">
        <v>331</v>
      </c>
      <c r="G402" t="s">
        <v>50</v>
      </c>
      <c r="H402" t="s">
        <v>93</v>
      </c>
      <c r="I402" t="s">
        <v>441</v>
      </c>
      <c r="J402" t="s">
        <v>445</v>
      </c>
      <c r="K402">
        <v>768887</v>
      </c>
      <c r="L402" t="s">
        <v>282</v>
      </c>
      <c r="M402" t="s">
        <v>283</v>
      </c>
      <c r="N402" t="s">
        <v>56</v>
      </c>
      <c r="O402" s="1">
        <v>45798</v>
      </c>
      <c r="P402" s="1">
        <v>45951</v>
      </c>
      <c r="Q402" s="2">
        <v>103.18</v>
      </c>
      <c r="R402">
        <v>1</v>
      </c>
      <c r="S402" t="s">
        <v>57</v>
      </c>
      <c r="T402" t="s">
        <v>58</v>
      </c>
      <c r="U402" s="4">
        <v>0.7</v>
      </c>
      <c r="V402" s="2">
        <v>0</v>
      </c>
      <c r="W402">
        <v>0</v>
      </c>
      <c r="X402" t="s">
        <v>70</v>
      </c>
      <c r="Y402" t="s">
        <v>60</v>
      </c>
      <c r="Z402">
        <v>0</v>
      </c>
      <c r="AA402" s="2">
        <v>0</v>
      </c>
      <c r="AB402" s="2">
        <v>0</v>
      </c>
      <c r="AC402" s="4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72.23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</row>
    <row r="403" spans="1:42" x14ac:dyDescent="0.25">
      <c r="A403" s="1">
        <v>45922</v>
      </c>
      <c r="B403" t="s">
        <v>47</v>
      </c>
      <c r="C403">
        <v>649163</v>
      </c>
      <c r="D403">
        <v>2029057172</v>
      </c>
      <c r="E403" t="s">
        <v>508</v>
      </c>
      <c r="F403" t="s">
        <v>509</v>
      </c>
      <c r="G403" t="s">
        <v>50</v>
      </c>
      <c r="H403" t="s">
        <v>121</v>
      </c>
      <c r="I403" t="s">
        <v>441</v>
      </c>
      <c r="J403" t="s">
        <v>445</v>
      </c>
      <c r="K403">
        <v>813184</v>
      </c>
      <c r="L403" t="s">
        <v>194</v>
      </c>
      <c r="M403" t="s">
        <v>195</v>
      </c>
      <c r="N403" t="s">
        <v>56</v>
      </c>
      <c r="O403" s="1">
        <v>45799</v>
      </c>
      <c r="P403" s="1">
        <v>45952</v>
      </c>
      <c r="Q403" s="2">
        <v>78.73</v>
      </c>
      <c r="R403">
        <v>1</v>
      </c>
      <c r="S403" t="s">
        <v>57</v>
      </c>
      <c r="T403" t="s">
        <v>58</v>
      </c>
      <c r="U403" s="4">
        <v>0.7</v>
      </c>
      <c r="V403" s="2">
        <v>0</v>
      </c>
      <c r="W403">
        <v>0</v>
      </c>
      <c r="X403" t="s">
        <v>70</v>
      </c>
      <c r="Y403" t="s">
        <v>60</v>
      </c>
      <c r="Z403">
        <v>0</v>
      </c>
      <c r="AA403" s="2">
        <v>0</v>
      </c>
      <c r="AB403" s="2">
        <v>0</v>
      </c>
      <c r="AC403" s="4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55.11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</row>
    <row r="404" spans="1:42" x14ac:dyDescent="0.25">
      <c r="A404" s="1">
        <v>45922</v>
      </c>
      <c r="B404" t="s">
        <v>47</v>
      </c>
      <c r="C404">
        <v>649163</v>
      </c>
      <c r="D404">
        <v>2029062371</v>
      </c>
      <c r="E404" t="s">
        <v>384</v>
      </c>
      <c r="F404" t="s">
        <v>385</v>
      </c>
      <c r="G404" t="s">
        <v>50</v>
      </c>
      <c r="H404" t="s">
        <v>188</v>
      </c>
      <c r="I404" t="s">
        <v>441</v>
      </c>
      <c r="J404" t="s">
        <v>442</v>
      </c>
      <c r="K404">
        <v>767312</v>
      </c>
      <c r="L404" t="s">
        <v>122</v>
      </c>
      <c r="M404" t="s">
        <v>123</v>
      </c>
      <c r="N404" t="s">
        <v>56</v>
      </c>
      <c r="O404" s="1">
        <v>45800</v>
      </c>
      <c r="P404" s="1">
        <v>45953</v>
      </c>
      <c r="Q404" s="2">
        <v>28.83</v>
      </c>
      <c r="R404">
        <v>1</v>
      </c>
      <c r="S404" t="s">
        <v>57</v>
      </c>
      <c r="T404" t="s">
        <v>58</v>
      </c>
      <c r="U404" s="4">
        <v>0.9</v>
      </c>
      <c r="V404" s="2">
        <v>0</v>
      </c>
      <c r="W404">
        <v>0</v>
      </c>
      <c r="X404" t="s">
        <v>70</v>
      </c>
      <c r="Y404" t="s">
        <v>60</v>
      </c>
      <c r="Z404">
        <v>0</v>
      </c>
      <c r="AA404" s="2">
        <v>0</v>
      </c>
      <c r="AB404" s="2">
        <v>0</v>
      </c>
      <c r="AC404" s="4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25.95</v>
      </c>
      <c r="AM404" s="2">
        <v>25.95</v>
      </c>
      <c r="AN404" s="2">
        <v>0</v>
      </c>
      <c r="AO404" s="2">
        <v>0</v>
      </c>
      <c r="AP404" s="2">
        <v>0</v>
      </c>
    </row>
    <row r="405" spans="1:42" x14ac:dyDescent="0.25">
      <c r="A405" s="1">
        <v>45922</v>
      </c>
      <c r="B405" t="s">
        <v>47</v>
      </c>
      <c r="C405">
        <v>649163</v>
      </c>
      <c r="D405">
        <v>2029062372</v>
      </c>
      <c r="E405" t="s">
        <v>384</v>
      </c>
      <c r="F405" t="s">
        <v>385</v>
      </c>
      <c r="G405" t="s">
        <v>50</v>
      </c>
      <c r="H405" t="s">
        <v>188</v>
      </c>
      <c r="I405" t="s">
        <v>441</v>
      </c>
      <c r="J405" t="s">
        <v>445</v>
      </c>
      <c r="K405">
        <v>767312</v>
      </c>
      <c r="L405" t="s">
        <v>122</v>
      </c>
      <c r="M405" t="s">
        <v>123</v>
      </c>
      <c r="N405" t="s">
        <v>56</v>
      </c>
      <c r="O405" s="1">
        <v>45800</v>
      </c>
      <c r="P405" s="1">
        <v>45953</v>
      </c>
      <c r="Q405" s="2">
        <v>29.48</v>
      </c>
      <c r="R405">
        <v>1</v>
      </c>
      <c r="S405" t="s">
        <v>57</v>
      </c>
      <c r="T405" t="s">
        <v>58</v>
      </c>
      <c r="U405" s="4">
        <v>0.7</v>
      </c>
      <c r="V405" s="2">
        <v>0</v>
      </c>
      <c r="W405">
        <v>0</v>
      </c>
      <c r="X405" t="s">
        <v>70</v>
      </c>
      <c r="Y405" t="s">
        <v>60</v>
      </c>
      <c r="Z405">
        <v>0</v>
      </c>
      <c r="AA405" s="2">
        <v>0</v>
      </c>
      <c r="AB405" s="2">
        <v>0</v>
      </c>
      <c r="AC405" s="4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20.64</v>
      </c>
      <c r="AM405" s="2">
        <v>20.64</v>
      </c>
      <c r="AN405" s="2">
        <v>0</v>
      </c>
      <c r="AO405" s="2">
        <v>0</v>
      </c>
      <c r="AP405" s="2">
        <v>0</v>
      </c>
    </row>
    <row r="406" spans="1:42" x14ac:dyDescent="0.25">
      <c r="A406" s="1">
        <v>45922</v>
      </c>
      <c r="B406" t="s">
        <v>47</v>
      </c>
      <c r="C406">
        <v>649163</v>
      </c>
      <c r="D406">
        <v>2029073661</v>
      </c>
      <c r="E406" t="s">
        <v>86</v>
      </c>
      <c r="F406" t="s">
        <v>87</v>
      </c>
      <c r="G406" t="s">
        <v>50</v>
      </c>
      <c r="H406" t="s">
        <v>77</v>
      </c>
      <c r="I406" t="s">
        <v>441</v>
      </c>
      <c r="J406" t="s">
        <v>445</v>
      </c>
      <c r="K406">
        <v>821015</v>
      </c>
      <c r="L406" t="s">
        <v>89</v>
      </c>
      <c r="M406" t="s">
        <v>90</v>
      </c>
      <c r="N406" t="s">
        <v>56</v>
      </c>
      <c r="O406" s="1">
        <v>45801</v>
      </c>
      <c r="P406" s="1">
        <v>45954</v>
      </c>
      <c r="Q406" s="2">
        <v>26.32</v>
      </c>
      <c r="R406">
        <v>1</v>
      </c>
      <c r="S406" t="s">
        <v>57</v>
      </c>
      <c r="T406" t="s">
        <v>58</v>
      </c>
      <c r="U406" s="4">
        <v>0.7</v>
      </c>
      <c r="V406" s="2">
        <v>0</v>
      </c>
      <c r="W406">
        <v>0</v>
      </c>
      <c r="X406" t="s">
        <v>70</v>
      </c>
      <c r="Y406" t="s">
        <v>60</v>
      </c>
      <c r="Z406">
        <v>0</v>
      </c>
      <c r="AA406" s="2">
        <v>0</v>
      </c>
      <c r="AB406" s="2">
        <v>0</v>
      </c>
      <c r="AC406" s="4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18.420000000000002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</row>
    <row r="407" spans="1:42" x14ac:dyDescent="0.25">
      <c r="A407" s="1">
        <v>45922</v>
      </c>
      <c r="B407" t="s">
        <v>47</v>
      </c>
      <c r="C407">
        <v>649163</v>
      </c>
      <c r="D407">
        <v>2029078147</v>
      </c>
      <c r="E407" t="s">
        <v>510</v>
      </c>
      <c r="F407" t="s">
        <v>511</v>
      </c>
      <c r="G407" t="s">
        <v>50</v>
      </c>
      <c r="H407" t="s">
        <v>512</v>
      </c>
      <c r="I407" t="s">
        <v>441</v>
      </c>
      <c r="J407" t="s">
        <v>445</v>
      </c>
      <c r="K407">
        <v>756418</v>
      </c>
      <c r="L407" t="s">
        <v>257</v>
      </c>
      <c r="M407" t="s">
        <v>258</v>
      </c>
      <c r="N407" t="s">
        <v>56</v>
      </c>
      <c r="O407" s="1">
        <v>45800</v>
      </c>
      <c r="P407" s="1">
        <v>45953</v>
      </c>
      <c r="Q407" s="2">
        <v>29.1</v>
      </c>
      <c r="R407">
        <v>1</v>
      </c>
      <c r="S407" t="s">
        <v>57</v>
      </c>
      <c r="T407" t="s">
        <v>58</v>
      </c>
      <c r="U407" s="4">
        <v>0.7</v>
      </c>
      <c r="V407" s="2">
        <v>0</v>
      </c>
      <c r="W407">
        <v>0</v>
      </c>
      <c r="X407" t="s">
        <v>70</v>
      </c>
      <c r="Y407" t="s">
        <v>60</v>
      </c>
      <c r="Z407">
        <v>0</v>
      </c>
      <c r="AA407" s="2">
        <v>0</v>
      </c>
      <c r="AB407" s="2">
        <v>0</v>
      </c>
      <c r="AC407" s="4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20.37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</row>
    <row r="408" spans="1:42" x14ac:dyDescent="0.25">
      <c r="A408" s="1">
        <v>45922</v>
      </c>
      <c r="B408" t="s">
        <v>47</v>
      </c>
      <c r="C408">
        <v>649163</v>
      </c>
      <c r="D408">
        <v>2029078148</v>
      </c>
      <c r="E408" t="s">
        <v>510</v>
      </c>
      <c r="F408" t="s">
        <v>511</v>
      </c>
      <c r="G408" t="s">
        <v>50</v>
      </c>
      <c r="H408" t="s">
        <v>512</v>
      </c>
      <c r="I408" t="s">
        <v>441</v>
      </c>
      <c r="J408" t="s">
        <v>447</v>
      </c>
      <c r="K408">
        <v>756418</v>
      </c>
      <c r="L408" t="s">
        <v>257</v>
      </c>
      <c r="M408" t="s">
        <v>258</v>
      </c>
      <c r="N408" t="s">
        <v>56</v>
      </c>
      <c r="O408" s="1">
        <v>45800</v>
      </c>
      <c r="P408" s="1">
        <v>45953</v>
      </c>
      <c r="Q408" s="2">
        <v>25.73</v>
      </c>
      <c r="R408">
        <v>1</v>
      </c>
      <c r="S408" t="s">
        <v>57</v>
      </c>
      <c r="T408" t="s">
        <v>58</v>
      </c>
      <c r="U408" s="4">
        <v>0.7</v>
      </c>
      <c r="V408" s="2">
        <v>0</v>
      </c>
      <c r="W408">
        <v>0</v>
      </c>
      <c r="X408" t="s">
        <v>70</v>
      </c>
      <c r="Y408" t="s">
        <v>60</v>
      </c>
      <c r="Z408">
        <v>0</v>
      </c>
      <c r="AA408" s="2">
        <v>0</v>
      </c>
      <c r="AB408" s="2">
        <v>0</v>
      </c>
      <c r="AC408" s="4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18.010000000000002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</row>
    <row r="409" spans="1:42" x14ac:dyDescent="0.25">
      <c r="A409" s="1">
        <v>45922</v>
      </c>
      <c r="B409" t="s">
        <v>47</v>
      </c>
      <c r="C409">
        <v>649163</v>
      </c>
      <c r="D409">
        <v>2029081352</v>
      </c>
      <c r="E409" t="s">
        <v>170</v>
      </c>
      <c r="F409" t="s">
        <v>331</v>
      </c>
      <c r="G409" t="s">
        <v>50</v>
      </c>
      <c r="H409" t="s">
        <v>93</v>
      </c>
      <c r="I409" t="s">
        <v>441</v>
      </c>
      <c r="J409" t="s">
        <v>445</v>
      </c>
      <c r="K409">
        <v>823350</v>
      </c>
      <c r="L409" t="s">
        <v>79</v>
      </c>
      <c r="M409" t="s">
        <v>80</v>
      </c>
      <c r="N409" t="s">
        <v>56</v>
      </c>
      <c r="O409" s="1">
        <v>45800</v>
      </c>
      <c r="P409" s="1">
        <v>45953</v>
      </c>
      <c r="Q409" s="2">
        <v>11.5</v>
      </c>
      <c r="R409">
        <v>1</v>
      </c>
      <c r="S409" t="s">
        <v>57</v>
      </c>
      <c r="T409" t="s">
        <v>58</v>
      </c>
      <c r="U409" s="4">
        <v>0.7</v>
      </c>
      <c r="V409" s="2">
        <v>0</v>
      </c>
      <c r="W409">
        <v>0</v>
      </c>
      <c r="X409" t="s">
        <v>70</v>
      </c>
      <c r="Y409" t="s">
        <v>60</v>
      </c>
      <c r="Z409">
        <v>0</v>
      </c>
      <c r="AA409" s="2">
        <v>0</v>
      </c>
      <c r="AB409" s="2">
        <v>0</v>
      </c>
      <c r="AC409" s="4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8.0500000000000007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</row>
    <row r="410" spans="1:42" x14ac:dyDescent="0.25">
      <c r="A410" s="1">
        <v>45922</v>
      </c>
      <c r="B410" t="s">
        <v>47</v>
      </c>
      <c r="C410">
        <v>649163</v>
      </c>
      <c r="D410">
        <v>2029101373</v>
      </c>
      <c r="E410" t="s">
        <v>189</v>
      </c>
      <c r="F410" t="s">
        <v>190</v>
      </c>
      <c r="G410" t="s">
        <v>50</v>
      </c>
      <c r="H410" t="s">
        <v>151</v>
      </c>
      <c r="I410" t="s">
        <v>441</v>
      </c>
      <c r="J410" t="s">
        <v>442</v>
      </c>
      <c r="K410">
        <v>767312</v>
      </c>
      <c r="L410" t="s">
        <v>122</v>
      </c>
      <c r="M410" t="s">
        <v>123</v>
      </c>
      <c r="N410" t="s">
        <v>56</v>
      </c>
      <c r="O410" s="1">
        <v>45801</v>
      </c>
      <c r="P410" s="1">
        <v>45954</v>
      </c>
      <c r="Q410" s="2">
        <v>33.75</v>
      </c>
      <c r="R410">
        <v>1</v>
      </c>
      <c r="S410" t="s">
        <v>57</v>
      </c>
      <c r="T410" t="s">
        <v>58</v>
      </c>
      <c r="U410" s="4">
        <v>0.9</v>
      </c>
      <c r="V410" s="2">
        <v>0</v>
      </c>
      <c r="W410">
        <v>0</v>
      </c>
      <c r="X410" t="s">
        <v>70</v>
      </c>
      <c r="Y410" t="s">
        <v>60</v>
      </c>
      <c r="Z410">
        <v>0</v>
      </c>
      <c r="AA410" s="2">
        <v>0</v>
      </c>
      <c r="AB410" s="2">
        <v>0</v>
      </c>
      <c r="AC410" s="4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30.38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</row>
    <row r="411" spans="1:42" x14ac:dyDescent="0.25">
      <c r="A411" s="1">
        <v>45922</v>
      </c>
      <c r="B411" t="s">
        <v>47</v>
      </c>
      <c r="C411">
        <v>649163</v>
      </c>
      <c r="D411">
        <v>2029101374</v>
      </c>
      <c r="E411" t="s">
        <v>189</v>
      </c>
      <c r="F411" t="s">
        <v>190</v>
      </c>
      <c r="G411" t="s">
        <v>50</v>
      </c>
      <c r="H411" t="s">
        <v>151</v>
      </c>
      <c r="I411" t="s">
        <v>441</v>
      </c>
      <c r="J411" t="s">
        <v>445</v>
      </c>
      <c r="K411">
        <v>767312</v>
      </c>
      <c r="L411" t="s">
        <v>122</v>
      </c>
      <c r="M411" t="s">
        <v>123</v>
      </c>
      <c r="N411" t="s">
        <v>56</v>
      </c>
      <c r="O411" s="1">
        <v>45801</v>
      </c>
      <c r="P411" s="1">
        <v>45954</v>
      </c>
      <c r="Q411" s="2">
        <v>27.89</v>
      </c>
      <c r="R411">
        <v>1</v>
      </c>
      <c r="S411" t="s">
        <v>57</v>
      </c>
      <c r="T411" t="s">
        <v>58</v>
      </c>
      <c r="U411" s="4">
        <v>0.7</v>
      </c>
      <c r="V411" s="2">
        <v>0</v>
      </c>
      <c r="W411">
        <v>0</v>
      </c>
      <c r="X411" t="s">
        <v>70</v>
      </c>
      <c r="Y411" t="s">
        <v>60</v>
      </c>
      <c r="Z411">
        <v>0</v>
      </c>
      <c r="AA411" s="2">
        <v>0</v>
      </c>
      <c r="AB411" s="2">
        <v>0</v>
      </c>
      <c r="AC411" s="4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19.52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</row>
    <row r="412" spans="1:42" x14ac:dyDescent="0.25">
      <c r="A412" s="1">
        <v>45922</v>
      </c>
      <c r="B412" t="s">
        <v>47</v>
      </c>
      <c r="C412">
        <v>649163</v>
      </c>
      <c r="D412">
        <v>2029112078</v>
      </c>
      <c r="E412" t="s">
        <v>513</v>
      </c>
      <c r="F412" t="s">
        <v>514</v>
      </c>
      <c r="G412" t="s">
        <v>50</v>
      </c>
      <c r="H412" t="s">
        <v>93</v>
      </c>
      <c r="I412" t="s">
        <v>441</v>
      </c>
      <c r="J412" t="s">
        <v>445</v>
      </c>
      <c r="K412">
        <v>812656</v>
      </c>
      <c r="L412" t="s">
        <v>338</v>
      </c>
      <c r="M412" t="s">
        <v>377</v>
      </c>
      <c r="N412" t="s">
        <v>56</v>
      </c>
      <c r="O412" s="1">
        <v>45802</v>
      </c>
      <c r="P412" s="1">
        <v>45955</v>
      </c>
      <c r="Q412" s="2">
        <v>46.08</v>
      </c>
      <c r="R412">
        <v>1</v>
      </c>
      <c r="S412" t="s">
        <v>57</v>
      </c>
      <c r="T412" t="s">
        <v>58</v>
      </c>
      <c r="U412" s="4">
        <v>0.7</v>
      </c>
      <c r="V412" s="2">
        <v>0</v>
      </c>
      <c r="W412">
        <v>0</v>
      </c>
      <c r="X412" t="s">
        <v>70</v>
      </c>
      <c r="Y412" t="s">
        <v>60</v>
      </c>
      <c r="Z412">
        <v>0</v>
      </c>
      <c r="AA412" s="2">
        <v>0</v>
      </c>
      <c r="AB412" s="2">
        <v>0</v>
      </c>
      <c r="AC412" s="4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32.26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</row>
    <row r="413" spans="1:42" x14ac:dyDescent="0.25">
      <c r="A413" s="1">
        <v>45922</v>
      </c>
      <c r="B413" t="s">
        <v>47</v>
      </c>
      <c r="C413">
        <v>649163</v>
      </c>
      <c r="D413">
        <v>2029118392</v>
      </c>
      <c r="E413" t="s">
        <v>515</v>
      </c>
      <c r="F413" t="s">
        <v>516</v>
      </c>
      <c r="G413" t="s">
        <v>50</v>
      </c>
      <c r="H413" t="s">
        <v>93</v>
      </c>
      <c r="I413" t="s">
        <v>441</v>
      </c>
      <c r="J413" t="s">
        <v>445</v>
      </c>
      <c r="K413">
        <v>807212</v>
      </c>
      <c r="L413" t="s">
        <v>467</v>
      </c>
      <c r="M413" t="s">
        <v>468</v>
      </c>
      <c r="N413" t="s">
        <v>56</v>
      </c>
      <c r="O413" s="1">
        <v>45803</v>
      </c>
      <c r="P413" s="1">
        <v>45956</v>
      </c>
      <c r="Q413" s="2">
        <v>76.709999999999994</v>
      </c>
      <c r="R413">
        <v>1</v>
      </c>
      <c r="S413" t="s">
        <v>57</v>
      </c>
      <c r="T413" t="s">
        <v>58</v>
      </c>
      <c r="U413" s="4">
        <v>0.7</v>
      </c>
      <c r="V413" s="2">
        <v>0</v>
      </c>
      <c r="W413">
        <v>0</v>
      </c>
      <c r="X413" t="s">
        <v>70</v>
      </c>
      <c r="Y413" t="s">
        <v>60</v>
      </c>
      <c r="Z413">
        <v>0</v>
      </c>
      <c r="AA413" s="2">
        <v>0</v>
      </c>
      <c r="AB413" s="2">
        <v>0</v>
      </c>
      <c r="AC413" s="4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53.7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</row>
    <row r="414" spans="1:42" x14ac:dyDescent="0.25">
      <c r="A414" s="1">
        <v>45922</v>
      </c>
      <c r="B414" t="s">
        <v>47</v>
      </c>
      <c r="C414">
        <v>649163</v>
      </c>
      <c r="D414">
        <v>2029118625</v>
      </c>
      <c r="E414" t="s">
        <v>515</v>
      </c>
      <c r="F414" t="s">
        <v>517</v>
      </c>
      <c r="G414" t="s">
        <v>50</v>
      </c>
      <c r="H414" t="s">
        <v>93</v>
      </c>
      <c r="I414" t="s">
        <v>441</v>
      </c>
      <c r="J414" t="s">
        <v>445</v>
      </c>
      <c r="K414">
        <v>807212</v>
      </c>
      <c r="L414" t="s">
        <v>467</v>
      </c>
      <c r="M414" t="s">
        <v>468</v>
      </c>
      <c r="N414" t="s">
        <v>56</v>
      </c>
      <c r="O414" s="1">
        <v>45803</v>
      </c>
      <c r="P414" s="1">
        <v>45956</v>
      </c>
      <c r="Q414" s="2">
        <v>51</v>
      </c>
      <c r="R414">
        <v>1</v>
      </c>
      <c r="S414" t="s">
        <v>57</v>
      </c>
      <c r="T414" t="s">
        <v>58</v>
      </c>
      <c r="U414" s="4">
        <v>0.7</v>
      </c>
      <c r="V414" s="2">
        <v>0</v>
      </c>
      <c r="W414">
        <v>0</v>
      </c>
      <c r="X414" t="s">
        <v>70</v>
      </c>
      <c r="Y414" t="s">
        <v>60</v>
      </c>
      <c r="Z414">
        <v>0</v>
      </c>
      <c r="AA414" s="2">
        <v>0</v>
      </c>
      <c r="AB414" s="2">
        <v>0</v>
      </c>
      <c r="AC414" s="4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35.700000000000003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</row>
    <row r="415" spans="1:42" x14ac:dyDescent="0.25">
      <c r="A415" s="1">
        <v>45922</v>
      </c>
      <c r="B415" t="s">
        <v>47</v>
      </c>
      <c r="C415">
        <v>649163</v>
      </c>
      <c r="D415">
        <v>2029526622</v>
      </c>
      <c r="E415" t="s">
        <v>386</v>
      </c>
      <c r="F415" t="s">
        <v>387</v>
      </c>
      <c r="G415" t="s">
        <v>50</v>
      </c>
      <c r="H415" t="s">
        <v>180</v>
      </c>
      <c r="I415" t="s">
        <v>441</v>
      </c>
      <c r="J415" t="s">
        <v>445</v>
      </c>
      <c r="K415">
        <v>877790</v>
      </c>
      <c r="L415" t="s">
        <v>299</v>
      </c>
      <c r="M415" t="s">
        <v>300</v>
      </c>
      <c r="N415" t="s">
        <v>56</v>
      </c>
      <c r="O415" s="1">
        <v>45828</v>
      </c>
      <c r="P415" s="1">
        <v>45950</v>
      </c>
      <c r="Q415" s="2">
        <v>4.7699999999999996</v>
      </c>
      <c r="R415">
        <v>1</v>
      </c>
      <c r="S415" t="s">
        <v>57</v>
      </c>
      <c r="T415" t="s">
        <v>58</v>
      </c>
      <c r="U415" s="4">
        <v>0.7</v>
      </c>
      <c r="V415" s="2">
        <v>0</v>
      </c>
      <c r="W415">
        <v>0</v>
      </c>
      <c r="X415" t="s">
        <v>70</v>
      </c>
      <c r="Y415" t="s">
        <v>60</v>
      </c>
      <c r="Z415">
        <v>0</v>
      </c>
      <c r="AA415" s="2">
        <v>0</v>
      </c>
      <c r="AB415" s="2">
        <v>0</v>
      </c>
      <c r="AC415" s="4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3.34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</row>
    <row r="416" spans="1:42" x14ac:dyDescent="0.25">
      <c r="A416" s="1">
        <v>45922</v>
      </c>
      <c r="B416" t="s">
        <v>47</v>
      </c>
      <c r="C416">
        <v>649163</v>
      </c>
      <c r="D416">
        <v>2029543821</v>
      </c>
      <c r="E416" t="s">
        <v>518</v>
      </c>
      <c r="F416" t="s">
        <v>519</v>
      </c>
      <c r="G416" t="s">
        <v>50</v>
      </c>
      <c r="H416" t="s">
        <v>93</v>
      </c>
      <c r="I416" t="s">
        <v>441</v>
      </c>
      <c r="J416" t="s">
        <v>445</v>
      </c>
      <c r="K416">
        <v>807212</v>
      </c>
      <c r="L416" t="s">
        <v>467</v>
      </c>
      <c r="M416" t="s">
        <v>468</v>
      </c>
      <c r="N416" t="s">
        <v>56</v>
      </c>
      <c r="O416" s="1">
        <v>45828</v>
      </c>
      <c r="P416" s="1">
        <v>45950</v>
      </c>
      <c r="Q416" s="2">
        <v>60.25</v>
      </c>
      <c r="R416">
        <v>1</v>
      </c>
      <c r="S416" t="s">
        <v>57</v>
      </c>
      <c r="T416" t="s">
        <v>58</v>
      </c>
      <c r="U416" s="4">
        <v>0.7</v>
      </c>
      <c r="V416" s="2">
        <v>0</v>
      </c>
      <c r="W416">
        <v>0</v>
      </c>
      <c r="X416" t="s">
        <v>70</v>
      </c>
      <c r="Y416" t="s">
        <v>60</v>
      </c>
      <c r="Z416">
        <v>0</v>
      </c>
      <c r="AA416" s="2">
        <v>0</v>
      </c>
      <c r="AB416" s="2">
        <v>0</v>
      </c>
      <c r="AC416" s="4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42.18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</row>
    <row r="417" spans="1:42" x14ac:dyDescent="0.25">
      <c r="A417" s="1">
        <v>45922</v>
      </c>
      <c r="B417" t="s">
        <v>47</v>
      </c>
      <c r="C417">
        <v>649163</v>
      </c>
      <c r="D417">
        <v>2029544666</v>
      </c>
      <c r="E417" t="s">
        <v>191</v>
      </c>
      <c r="F417" t="s">
        <v>192</v>
      </c>
      <c r="G417" t="s">
        <v>50</v>
      </c>
      <c r="H417" t="s">
        <v>193</v>
      </c>
      <c r="I417" t="s">
        <v>441</v>
      </c>
      <c r="J417" t="s">
        <v>445</v>
      </c>
      <c r="K417">
        <v>813184</v>
      </c>
      <c r="L417" t="s">
        <v>194</v>
      </c>
      <c r="M417" t="s">
        <v>195</v>
      </c>
      <c r="N417" t="s">
        <v>56</v>
      </c>
      <c r="O417" s="1">
        <v>45828</v>
      </c>
      <c r="P417" s="1">
        <v>45950</v>
      </c>
      <c r="Q417" s="2">
        <v>28.87</v>
      </c>
      <c r="R417">
        <v>1</v>
      </c>
      <c r="S417" t="s">
        <v>57</v>
      </c>
      <c r="T417" t="s">
        <v>58</v>
      </c>
      <c r="U417" s="4">
        <v>0.7</v>
      </c>
      <c r="V417" s="2">
        <v>0</v>
      </c>
      <c r="W417">
        <v>0</v>
      </c>
      <c r="X417" t="s">
        <v>70</v>
      </c>
      <c r="Y417" t="s">
        <v>60</v>
      </c>
      <c r="Z417">
        <v>0</v>
      </c>
      <c r="AA417" s="2">
        <v>0</v>
      </c>
      <c r="AB417" s="2">
        <v>0</v>
      </c>
      <c r="AC417" s="4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20.21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</row>
    <row r="418" spans="1:42" x14ac:dyDescent="0.25">
      <c r="A418" s="1">
        <v>45922</v>
      </c>
      <c r="B418" t="s">
        <v>47</v>
      </c>
      <c r="C418">
        <v>649163</v>
      </c>
      <c r="D418">
        <v>2029546224</v>
      </c>
      <c r="E418" t="s">
        <v>282</v>
      </c>
      <c r="F418" t="s">
        <v>283</v>
      </c>
      <c r="G418" t="s">
        <v>50</v>
      </c>
      <c r="H418" t="s">
        <v>93</v>
      </c>
      <c r="I418" t="s">
        <v>441</v>
      </c>
      <c r="J418" t="s">
        <v>445</v>
      </c>
      <c r="K418">
        <v>768887</v>
      </c>
      <c r="L418" t="s">
        <v>282</v>
      </c>
      <c r="M418" t="s">
        <v>283</v>
      </c>
      <c r="N418" t="s">
        <v>56</v>
      </c>
      <c r="O418" s="1">
        <v>45828</v>
      </c>
      <c r="P418" s="1">
        <v>45950</v>
      </c>
      <c r="Q418" s="2">
        <v>118</v>
      </c>
      <c r="R418">
        <v>1</v>
      </c>
      <c r="S418" t="s">
        <v>57</v>
      </c>
      <c r="T418" t="s">
        <v>58</v>
      </c>
      <c r="U418" s="4">
        <v>0.7</v>
      </c>
      <c r="V418" s="2">
        <v>0</v>
      </c>
      <c r="W418">
        <v>0</v>
      </c>
      <c r="X418" t="s">
        <v>70</v>
      </c>
      <c r="Y418" t="s">
        <v>60</v>
      </c>
      <c r="Z418">
        <v>0</v>
      </c>
      <c r="AA418" s="2">
        <v>0</v>
      </c>
      <c r="AB418" s="2">
        <v>0</v>
      </c>
      <c r="AC418" s="4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82.6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</row>
    <row r="419" spans="1:42" x14ac:dyDescent="0.25">
      <c r="A419" s="1">
        <v>45922</v>
      </c>
      <c r="B419" t="s">
        <v>47</v>
      </c>
      <c r="C419">
        <v>649163</v>
      </c>
      <c r="D419">
        <v>2029567227</v>
      </c>
      <c r="E419" t="s">
        <v>196</v>
      </c>
      <c r="F419" t="s">
        <v>197</v>
      </c>
      <c r="G419" t="s">
        <v>50</v>
      </c>
      <c r="H419" t="s">
        <v>115</v>
      </c>
      <c r="I419" t="s">
        <v>441</v>
      </c>
      <c r="J419" t="s">
        <v>445</v>
      </c>
      <c r="K419">
        <v>767312</v>
      </c>
      <c r="L419" t="s">
        <v>122</v>
      </c>
      <c r="M419" t="s">
        <v>123</v>
      </c>
      <c r="N419" t="s">
        <v>56</v>
      </c>
      <c r="O419" s="1">
        <v>45829</v>
      </c>
      <c r="P419" s="1">
        <v>45951</v>
      </c>
      <c r="Q419" s="2">
        <v>190.26</v>
      </c>
      <c r="R419">
        <v>1</v>
      </c>
      <c r="S419" t="s">
        <v>57</v>
      </c>
      <c r="T419" t="s">
        <v>58</v>
      </c>
      <c r="U419" s="4">
        <v>0.7</v>
      </c>
      <c r="V419" s="2">
        <v>0</v>
      </c>
      <c r="W419">
        <v>0</v>
      </c>
      <c r="X419" t="s">
        <v>70</v>
      </c>
      <c r="Y419" t="s">
        <v>60</v>
      </c>
      <c r="Z419">
        <v>0</v>
      </c>
      <c r="AA419" s="2">
        <v>0</v>
      </c>
      <c r="AB419" s="2">
        <v>0</v>
      </c>
      <c r="AC419" s="4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133.18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</row>
    <row r="420" spans="1:42" x14ac:dyDescent="0.25">
      <c r="A420" s="1">
        <v>45922</v>
      </c>
      <c r="B420" t="s">
        <v>47</v>
      </c>
      <c r="C420">
        <v>649163</v>
      </c>
      <c r="D420">
        <v>2029598584</v>
      </c>
      <c r="E420" t="s">
        <v>520</v>
      </c>
      <c r="F420" t="s">
        <v>521</v>
      </c>
      <c r="G420" t="s">
        <v>50</v>
      </c>
      <c r="H420" t="s">
        <v>93</v>
      </c>
      <c r="I420" t="s">
        <v>441</v>
      </c>
      <c r="J420" t="s">
        <v>445</v>
      </c>
      <c r="K420">
        <v>807212</v>
      </c>
      <c r="L420" t="s">
        <v>467</v>
      </c>
      <c r="M420" t="s">
        <v>468</v>
      </c>
      <c r="N420" t="s">
        <v>56</v>
      </c>
      <c r="O420" s="1">
        <v>45832</v>
      </c>
      <c r="P420" s="1">
        <v>45954</v>
      </c>
      <c r="Q420" s="2">
        <v>90.45</v>
      </c>
      <c r="R420">
        <v>1</v>
      </c>
      <c r="S420" t="s">
        <v>57</v>
      </c>
      <c r="T420" t="s">
        <v>58</v>
      </c>
      <c r="U420" s="4">
        <v>0.7</v>
      </c>
      <c r="V420" s="2">
        <v>0</v>
      </c>
      <c r="W420">
        <v>0</v>
      </c>
      <c r="X420" t="s">
        <v>70</v>
      </c>
      <c r="Y420" t="s">
        <v>60</v>
      </c>
      <c r="Z420">
        <v>0</v>
      </c>
      <c r="AA420" s="2">
        <v>0</v>
      </c>
      <c r="AB420" s="2">
        <v>0</v>
      </c>
      <c r="AC420" s="4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63.32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</row>
    <row r="421" spans="1:42" x14ac:dyDescent="0.25">
      <c r="A421" s="1">
        <v>45922</v>
      </c>
      <c r="B421" t="s">
        <v>47</v>
      </c>
      <c r="C421">
        <v>649163</v>
      </c>
      <c r="D421">
        <v>2029620630</v>
      </c>
      <c r="E421" t="s">
        <v>198</v>
      </c>
      <c r="F421" t="s">
        <v>199</v>
      </c>
      <c r="G421" t="s">
        <v>50</v>
      </c>
      <c r="H421" t="s">
        <v>93</v>
      </c>
      <c r="I421" t="s">
        <v>441</v>
      </c>
      <c r="J421" t="s">
        <v>445</v>
      </c>
      <c r="K421">
        <v>824062</v>
      </c>
      <c r="L421" t="s">
        <v>200</v>
      </c>
      <c r="M421" t="s">
        <v>201</v>
      </c>
      <c r="N421" t="s">
        <v>56</v>
      </c>
      <c r="O421" s="1">
        <v>45833</v>
      </c>
      <c r="P421" s="1">
        <v>45955</v>
      </c>
      <c r="Q421" s="2">
        <v>11.5</v>
      </c>
      <c r="R421">
        <v>1</v>
      </c>
      <c r="S421" t="s">
        <v>57</v>
      </c>
      <c r="T421" t="s">
        <v>58</v>
      </c>
      <c r="U421" s="4">
        <v>0.7</v>
      </c>
      <c r="V421" s="2">
        <v>0</v>
      </c>
      <c r="W421">
        <v>0</v>
      </c>
      <c r="X421" t="s">
        <v>70</v>
      </c>
      <c r="Y421" t="s">
        <v>60</v>
      </c>
      <c r="Z421">
        <v>0</v>
      </c>
      <c r="AA421" s="2">
        <v>0</v>
      </c>
      <c r="AB421" s="2">
        <v>0</v>
      </c>
      <c r="AC421" s="4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8.0500000000000007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</row>
    <row r="422" spans="1:42" x14ac:dyDescent="0.25">
      <c r="A422" s="1">
        <v>45922</v>
      </c>
      <c r="B422" t="s">
        <v>47</v>
      </c>
      <c r="C422">
        <v>649163</v>
      </c>
      <c r="D422">
        <v>2029623277</v>
      </c>
      <c r="E422" t="s">
        <v>271</v>
      </c>
      <c r="F422" t="s">
        <v>272</v>
      </c>
      <c r="G422" t="s">
        <v>50</v>
      </c>
      <c r="H422" t="s">
        <v>93</v>
      </c>
      <c r="I422" t="s">
        <v>441</v>
      </c>
      <c r="J422" t="s">
        <v>445</v>
      </c>
      <c r="K422">
        <v>840313</v>
      </c>
      <c r="L422" t="s">
        <v>273</v>
      </c>
      <c r="M422" t="s">
        <v>274</v>
      </c>
      <c r="N422" t="s">
        <v>56</v>
      </c>
      <c r="O422" s="1">
        <v>45833</v>
      </c>
      <c r="P422" s="1">
        <v>45955</v>
      </c>
      <c r="Q422" s="2">
        <v>56.5</v>
      </c>
      <c r="R422">
        <v>1</v>
      </c>
      <c r="S422" t="s">
        <v>57</v>
      </c>
      <c r="T422" t="s">
        <v>58</v>
      </c>
      <c r="U422" s="4">
        <v>0.7</v>
      </c>
      <c r="V422" s="2">
        <v>0</v>
      </c>
      <c r="W422">
        <v>0</v>
      </c>
      <c r="X422" t="s">
        <v>70</v>
      </c>
      <c r="Y422" t="s">
        <v>60</v>
      </c>
      <c r="Z422">
        <v>0</v>
      </c>
      <c r="AA422" s="2">
        <v>0</v>
      </c>
      <c r="AB422" s="2">
        <v>0</v>
      </c>
      <c r="AC422" s="4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39.549999999999997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</row>
    <row r="423" spans="1:42" x14ac:dyDescent="0.25">
      <c r="A423" s="1">
        <v>45922</v>
      </c>
      <c r="B423" t="s">
        <v>47</v>
      </c>
      <c r="C423">
        <v>649163</v>
      </c>
      <c r="D423">
        <v>2029647651</v>
      </c>
      <c r="E423" t="s">
        <v>522</v>
      </c>
      <c r="F423" t="s">
        <v>523</v>
      </c>
      <c r="G423" t="s">
        <v>50</v>
      </c>
      <c r="H423" t="s">
        <v>93</v>
      </c>
      <c r="I423" t="s">
        <v>441</v>
      </c>
      <c r="J423" t="s">
        <v>442</v>
      </c>
      <c r="K423">
        <v>807212</v>
      </c>
      <c r="L423" t="s">
        <v>467</v>
      </c>
      <c r="M423" t="s">
        <v>468</v>
      </c>
      <c r="N423" t="s">
        <v>56</v>
      </c>
      <c r="O423" s="1">
        <v>45834</v>
      </c>
      <c r="P423" s="1">
        <v>45956</v>
      </c>
      <c r="Q423" s="2">
        <v>17.62</v>
      </c>
      <c r="R423">
        <v>1</v>
      </c>
      <c r="S423" t="s">
        <v>57</v>
      </c>
      <c r="T423" t="s">
        <v>58</v>
      </c>
      <c r="U423" s="4">
        <v>0.9</v>
      </c>
      <c r="V423" s="2">
        <v>0</v>
      </c>
      <c r="W423">
        <v>0</v>
      </c>
      <c r="X423" t="s">
        <v>70</v>
      </c>
      <c r="Y423" t="s">
        <v>60</v>
      </c>
      <c r="Z423">
        <v>0</v>
      </c>
      <c r="AA423" s="2">
        <v>0</v>
      </c>
      <c r="AB423" s="2">
        <v>0</v>
      </c>
      <c r="AC423" s="4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15.86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</row>
    <row r="424" spans="1:42" x14ac:dyDescent="0.25">
      <c r="A424" s="1">
        <v>45922</v>
      </c>
      <c r="B424" t="s">
        <v>47</v>
      </c>
      <c r="C424">
        <v>649163</v>
      </c>
      <c r="D424">
        <v>2029880647</v>
      </c>
      <c r="E424" t="s">
        <v>388</v>
      </c>
      <c r="F424" t="s">
        <v>389</v>
      </c>
      <c r="G424" t="s">
        <v>50</v>
      </c>
      <c r="H424" t="s">
        <v>93</v>
      </c>
      <c r="I424" t="s">
        <v>441</v>
      </c>
      <c r="J424" t="s">
        <v>445</v>
      </c>
      <c r="K424">
        <v>812994</v>
      </c>
      <c r="L424" t="s">
        <v>294</v>
      </c>
      <c r="M424" t="s">
        <v>295</v>
      </c>
      <c r="N424" t="s">
        <v>56</v>
      </c>
      <c r="O424" s="1">
        <v>45858</v>
      </c>
      <c r="P424" s="1">
        <v>45950</v>
      </c>
      <c r="Q424" s="2">
        <v>46.46</v>
      </c>
      <c r="R424">
        <v>1</v>
      </c>
      <c r="S424" t="s">
        <v>57</v>
      </c>
      <c r="T424" t="s">
        <v>58</v>
      </c>
      <c r="U424" s="4">
        <v>0.7</v>
      </c>
      <c r="V424" s="2">
        <v>0</v>
      </c>
      <c r="W424">
        <v>0</v>
      </c>
      <c r="X424" t="s">
        <v>70</v>
      </c>
      <c r="Y424" t="s">
        <v>60</v>
      </c>
      <c r="Z424">
        <v>0</v>
      </c>
      <c r="AA424" s="2">
        <v>0</v>
      </c>
      <c r="AB424" s="2">
        <v>0</v>
      </c>
      <c r="AC424" s="4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32.520000000000003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</row>
    <row r="425" spans="1:42" x14ac:dyDescent="0.25">
      <c r="A425" s="1">
        <v>45922</v>
      </c>
      <c r="B425" t="s">
        <v>47</v>
      </c>
      <c r="C425">
        <v>649163</v>
      </c>
      <c r="D425">
        <v>2029910878</v>
      </c>
      <c r="E425" t="s">
        <v>202</v>
      </c>
      <c r="F425" t="s">
        <v>203</v>
      </c>
      <c r="G425" t="s">
        <v>50</v>
      </c>
      <c r="H425" t="s">
        <v>204</v>
      </c>
      <c r="I425" t="s">
        <v>441</v>
      </c>
      <c r="J425" t="s">
        <v>445</v>
      </c>
      <c r="K425">
        <v>792847</v>
      </c>
      <c r="L425" t="s">
        <v>137</v>
      </c>
      <c r="M425" t="s">
        <v>138</v>
      </c>
      <c r="N425" t="s">
        <v>56</v>
      </c>
      <c r="O425" s="1">
        <v>45850</v>
      </c>
      <c r="P425" s="1">
        <v>45942</v>
      </c>
      <c r="Q425" s="2">
        <v>175.37</v>
      </c>
      <c r="R425">
        <v>1</v>
      </c>
      <c r="S425" t="s">
        <v>57</v>
      </c>
      <c r="T425" t="s">
        <v>58</v>
      </c>
      <c r="U425" s="4">
        <v>0.7</v>
      </c>
      <c r="V425" s="2">
        <v>0</v>
      </c>
      <c r="W425">
        <v>0</v>
      </c>
      <c r="X425" t="s">
        <v>70</v>
      </c>
      <c r="Y425" t="s">
        <v>60</v>
      </c>
      <c r="Z425">
        <v>0</v>
      </c>
      <c r="AA425" s="2">
        <v>0</v>
      </c>
      <c r="AB425" s="2">
        <v>0</v>
      </c>
      <c r="AC425" s="4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122.76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</row>
    <row r="426" spans="1:42" x14ac:dyDescent="0.25">
      <c r="A426" s="1">
        <v>45922</v>
      </c>
      <c r="B426" t="s">
        <v>47</v>
      </c>
      <c r="C426">
        <v>649163</v>
      </c>
      <c r="D426">
        <v>2029980505</v>
      </c>
      <c r="E426" t="s">
        <v>205</v>
      </c>
      <c r="F426" t="s">
        <v>206</v>
      </c>
      <c r="G426" t="s">
        <v>50</v>
      </c>
      <c r="H426" t="s">
        <v>63</v>
      </c>
      <c r="I426" t="s">
        <v>441</v>
      </c>
      <c r="J426" t="s">
        <v>445</v>
      </c>
      <c r="K426">
        <v>673059</v>
      </c>
      <c r="L426" t="s">
        <v>152</v>
      </c>
      <c r="M426" t="s">
        <v>153</v>
      </c>
      <c r="N426" t="s">
        <v>56</v>
      </c>
      <c r="O426" s="1">
        <v>45884</v>
      </c>
      <c r="P426" s="1">
        <v>45945</v>
      </c>
      <c r="Q426" s="2">
        <v>24</v>
      </c>
      <c r="R426">
        <v>1</v>
      </c>
      <c r="S426" t="s">
        <v>57</v>
      </c>
      <c r="T426" t="s">
        <v>58</v>
      </c>
      <c r="U426" s="4">
        <v>0.7</v>
      </c>
      <c r="V426" s="2">
        <v>0</v>
      </c>
      <c r="W426">
        <v>0</v>
      </c>
      <c r="X426" t="s">
        <v>70</v>
      </c>
      <c r="Y426" t="s">
        <v>60</v>
      </c>
      <c r="Z426">
        <v>0</v>
      </c>
      <c r="AA426" s="2">
        <v>0</v>
      </c>
      <c r="AB426" s="2">
        <v>0</v>
      </c>
      <c r="AC426" s="4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16.8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</row>
    <row r="427" spans="1:42" x14ac:dyDescent="0.25">
      <c r="A427" s="1">
        <v>45922</v>
      </c>
      <c r="B427" t="s">
        <v>47</v>
      </c>
      <c r="C427">
        <v>649163</v>
      </c>
      <c r="D427">
        <v>2029980506</v>
      </c>
      <c r="E427" t="s">
        <v>205</v>
      </c>
      <c r="F427" t="s">
        <v>206</v>
      </c>
      <c r="G427" t="s">
        <v>50</v>
      </c>
      <c r="H427" t="s">
        <v>63</v>
      </c>
      <c r="I427" t="s">
        <v>441</v>
      </c>
      <c r="J427" t="s">
        <v>447</v>
      </c>
      <c r="K427">
        <v>673059</v>
      </c>
      <c r="L427" t="s">
        <v>152</v>
      </c>
      <c r="M427" t="s">
        <v>153</v>
      </c>
      <c r="N427" t="s">
        <v>56</v>
      </c>
      <c r="O427" s="1">
        <v>45884</v>
      </c>
      <c r="P427" s="1">
        <v>45945</v>
      </c>
      <c r="Q427" s="2">
        <v>21.44</v>
      </c>
      <c r="R427">
        <v>1</v>
      </c>
      <c r="S427" t="s">
        <v>57</v>
      </c>
      <c r="T427" t="s">
        <v>58</v>
      </c>
      <c r="U427" s="4">
        <v>0.7</v>
      </c>
      <c r="V427" s="2">
        <v>0</v>
      </c>
      <c r="W427">
        <v>0</v>
      </c>
      <c r="X427" t="s">
        <v>70</v>
      </c>
      <c r="Y427" t="s">
        <v>60</v>
      </c>
      <c r="Z427">
        <v>0</v>
      </c>
      <c r="AA427" s="2">
        <v>0</v>
      </c>
      <c r="AB427" s="2">
        <v>0</v>
      </c>
      <c r="AC427" s="4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15.01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</row>
    <row r="428" spans="1:42" x14ac:dyDescent="0.25">
      <c r="A428" s="1">
        <v>45922</v>
      </c>
      <c r="B428" t="s">
        <v>47</v>
      </c>
      <c r="C428">
        <v>649163</v>
      </c>
      <c r="D428">
        <v>2029992083</v>
      </c>
      <c r="E428" t="s">
        <v>204</v>
      </c>
      <c r="F428" t="s">
        <v>524</v>
      </c>
      <c r="G428" t="s">
        <v>50</v>
      </c>
      <c r="H428" t="s">
        <v>93</v>
      </c>
      <c r="I428" t="s">
        <v>441</v>
      </c>
      <c r="J428" t="s">
        <v>445</v>
      </c>
      <c r="K428">
        <v>839554</v>
      </c>
      <c r="L428" t="s">
        <v>525</v>
      </c>
      <c r="M428" t="s">
        <v>526</v>
      </c>
      <c r="N428" t="s">
        <v>56</v>
      </c>
      <c r="O428" s="1">
        <v>45860</v>
      </c>
      <c r="P428" s="1">
        <v>45952</v>
      </c>
      <c r="Q428" s="2">
        <v>84.57</v>
      </c>
      <c r="R428">
        <v>1</v>
      </c>
      <c r="S428" t="s">
        <v>57</v>
      </c>
      <c r="T428" t="s">
        <v>58</v>
      </c>
      <c r="U428" s="4">
        <v>0.7</v>
      </c>
      <c r="V428" s="2">
        <v>0</v>
      </c>
      <c r="W428">
        <v>0</v>
      </c>
      <c r="X428" t="s">
        <v>70</v>
      </c>
      <c r="Y428" t="s">
        <v>60</v>
      </c>
      <c r="Z428">
        <v>0</v>
      </c>
      <c r="AA428" s="2">
        <v>0</v>
      </c>
      <c r="AB428" s="2">
        <v>0</v>
      </c>
      <c r="AC428" s="4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59.2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</row>
    <row r="429" spans="1:42" x14ac:dyDescent="0.25">
      <c r="A429" s="1">
        <v>45922</v>
      </c>
      <c r="B429" t="s">
        <v>47</v>
      </c>
      <c r="C429">
        <v>649163</v>
      </c>
      <c r="D429">
        <v>2030055437</v>
      </c>
      <c r="E429" t="s">
        <v>527</v>
      </c>
      <c r="F429" t="s">
        <v>528</v>
      </c>
      <c r="G429" t="s">
        <v>50</v>
      </c>
      <c r="H429" t="s">
        <v>93</v>
      </c>
      <c r="I429" t="s">
        <v>441</v>
      </c>
      <c r="J429" t="s">
        <v>445</v>
      </c>
      <c r="K429">
        <v>807212</v>
      </c>
      <c r="L429" t="s">
        <v>467</v>
      </c>
      <c r="M429" t="s">
        <v>468</v>
      </c>
      <c r="N429" t="s">
        <v>56</v>
      </c>
      <c r="O429" s="1">
        <v>45859</v>
      </c>
      <c r="P429" s="1">
        <v>45951</v>
      </c>
      <c r="Q429" s="2">
        <v>32.200000000000003</v>
      </c>
      <c r="R429">
        <v>1</v>
      </c>
      <c r="S429" t="s">
        <v>57</v>
      </c>
      <c r="T429" t="s">
        <v>58</v>
      </c>
      <c r="U429" s="4">
        <v>0.7</v>
      </c>
      <c r="V429" s="2">
        <v>0</v>
      </c>
      <c r="W429">
        <v>0</v>
      </c>
      <c r="X429" t="s">
        <v>70</v>
      </c>
      <c r="Y429" t="s">
        <v>60</v>
      </c>
      <c r="Z429">
        <v>0</v>
      </c>
      <c r="AA429" s="2">
        <v>0</v>
      </c>
      <c r="AB429" s="2">
        <v>0</v>
      </c>
      <c r="AC429" s="4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22.54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</row>
    <row r="430" spans="1:42" x14ac:dyDescent="0.25">
      <c r="A430" s="1">
        <v>45922</v>
      </c>
      <c r="B430" t="s">
        <v>47</v>
      </c>
      <c r="C430">
        <v>649163</v>
      </c>
      <c r="D430">
        <v>2030055518</v>
      </c>
      <c r="E430" t="s">
        <v>529</v>
      </c>
      <c r="F430" t="s">
        <v>530</v>
      </c>
      <c r="G430" t="s">
        <v>50</v>
      </c>
      <c r="H430" t="s">
        <v>93</v>
      </c>
      <c r="I430" t="s">
        <v>441</v>
      </c>
      <c r="J430" t="s">
        <v>445</v>
      </c>
      <c r="K430">
        <v>807212</v>
      </c>
      <c r="L430" t="s">
        <v>467</v>
      </c>
      <c r="M430" t="s">
        <v>468</v>
      </c>
      <c r="N430" t="s">
        <v>56</v>
      </c>
      <c r="O430" s="1">
        <v>45859</v>
      </c>
      <c r="P430" s="1">
        <v>45951</v>
      </c>
      <c r="Q430" s="2">
        <v>34</v>
      </c>
      <c r="R430">
        <v>1</v>
      </c>
      <c r="S430" t="s">
        <v>57</v>
      </c>
      <c r="T430" t="s">
        <v>58</v>
      </c>
      <c r="U430" s="4">
        <v>0.7</v>
      </c>
      <c r="V430" s="2">
        <v>0</v>
      </c>
      <c r="W430">
        <v>0</v>
      </c>
      <c r="X430" t="s">
        <v>70</v>
      </c>
      <c r="Y430" t="s">
        <v>60</v>
      </c>
      <c r="Z430">
        <v>0</v>
      </c>
      <c r="AA430" s="2">
        <v>0</v>
      </c>
      <c r="AB430" s="2">
        <v>0</v>
      </c>
      <c r="AC430" s="4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23.8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</row>
    <row r="431" spans="1:42" x14ac:dyDescent="0.25">
      <c r="A431" s="1">
        <v>45922</v>
      </c>
      <c r="B431" t="s">
        <v>47</v>
      </c>
      <c r="C431">
        <v>649163</v>
      </c>
      <c r="D431">
        <v>2030064158</v>
      </c>
      <c r="E431" t="s">
        <v>390</v>
      </c>
      <c r="F431" t="s">
        <v>391</v>
      </c>
      <c r="G431" t="s">
        <v>50</v>
      </c>
      <c r="H431" t="s">
        <v>77</v>
      </c>
      <c r="I431" t="s">
        <v>441</v>
      </c>
      <c r="J431" t="s">
        <v>445</v>
      </c>
      <c r="K431">
        <v>673059</v>
      </c>
      <c r="L431" t="s">
        <v>152</v>
      </c>
      <c r="M431" t="s">
        <v>153</v>
      </c>
      <c r="N431" t="s">
        <v>56</v>
      </c>
      <c r="O431" s="1">
        <v>45860</v>
      </c>
      <c r="P431" s="1">
        <v>45952</v>
      </c>
      <c r="Q431" s="2">
        <v>14.72</v>
      </c>
      <c r="R431">
        <v>1</v>
      </c>
      <c r="S431" t="s">
        <v>57</v>
      </c>
      <c r="T431" t="s">
        <v>58</v>
      </c>
      <c r="U431" s="4">
        <v>0.7</v>
      </c>
      <c r="V431" s="2">
        <v>0</v>
      </c>
      <c r="W431">
        <v>0</v>
      </c>
      <c r="X431" t="s">
        <v>70</v>
      </c>
      <c r="Y431" t="s">
        <v>60</v>
      </c>
      <c r="Z431">
        <v>0</v>
      </c>
      <c r="AA431" s="2">
        <v>0</v>
      </c>
      <c r="AB431" s="2">
        <v>0</v>
      </c>
      <c r="AC431" s="4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10.3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</row>
    <row r="432" spans="1:42" x14ac:dyDescent="0.25">
      <c r="A432" s="1">
        <v>45922</v>
      </c>
      <c r="B432" t="s">
        <v>47</v>
      </c>
      <c r="C432">
        <v>649163</v>
      </c>
      <c r="D432">
        <v>2030076096</v>
      </c>
      <c r="E432" t="s">
        <v>531</v>
      </c>
      <c r="F432" t="s">
        <v>467</v>
      </c>
      <c r="G432" t="s">
        <v>50</v>
      </c>
      <c r="H432" t="s">
        <v>93</v>
      </c>
      <c r="I432" t="s">
        <v>441</v>
      </c>
      <c r="J432" t="s">
        <v>445</v>
      </c>
      <c r="K432">
        <v>807212</v>
      </c>
      <c r="L432" t="s">
        <v>467</v>
      </c>
      <c r="M432" t="s">
        <v>468</v>
      </c>
      <c r="N432" t="s">
        <v>56</v>
      </c>
      <c r="O432" s="1">
        <v>45860</v>
      </c>
      <c r="P432" s="1">
        <v>45952</v>
      </c>
      <c r="Q432" s="2">
        <v>34</v>
      </c>
      <c r="R432">
        <v>1</v>
      </c>
      <c r="S432" t="s">
        <v>57</v>
      </c>
      <c r="T432" t="s">
        <v>58</v>
      </c>
      <c r="U432" s="4">
        <v>0.7</v>
      </c>
      <c r="V432" s="2">
        <v>0</v>
      </c>
      <c r="W432">
        <v>0</v>
      </c>
      <c r="X432" t="s">
        <v>70</v>
      </c>
      <c r="Y432" t="s">
        <v>60</v>
      </c>
      <c r="Z432">
        <v>0</v>
      </c>
      <c r="AA432" s="2">
        <v>0</v>
      </c>
      <c r="AB432" s="2">
        <v>0</v>
      </c>
      <c r="AC432" s="4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23.8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</row>
    <row r="433" spans="1:42" x14ac:dyDescent="0.25">
      <c r="A433" s="1">
        <v>45922</v>
      </c>
      <c r="B433" t="s">
        <v>47</v>
      </c>
      <c r="C433">
        <v>649163</v>
      </c>
      <c r="D433">
        <v>2030079840</v>
      </c>
      <c r="E433" t="s">
        <v>212</v>
      </c>
      <c r="F433" t="s">
        <v>213</v>
      </c>
      <c r="G433" t="s">
        <v>50</v>
      </c>
      <c r="H433" t="s">
        <v>214</v>
      </c>
      <c r="I433" t="s">
        <v>441</v>
      </c>
      <c r="J433" t="s">
        <v>447</v>
      </c>
      <c r="K433">
        <v>823068</v>
      </c>
      <c r="L433" t="s">
        <v>215</v>
      </c>
      <c r="M433" t="s">
        <v>216</v>
      </c>
      <c r="N433" t="s">
        <v>56</v>
      </c>
      <c r="O433" s="1">
        <v>45861</v>
      </c>
      <c r="P433" s="1">
        <v>45953</v>
      </c>
      <c r="Q433" s="2">
        <v>24.61</v>
      </c>
      <c r="R433">
        <v>1</v>
      </c>
      <c r="S433" t="s">
        <v>57</v>
      </c>
      <c r="T433" t="s">
        <v>58</v>
      </c>
      <c r="U433" s="4">
        <v>0.7</v>
      </c>
      <c r="V433" s="2">
        <v>0</v>
      </c>
      <c r="W433">
        <v>0</v>
      </c>
      <c r="X433" t="s">
        <v>70</v>
      </c>
      <c r="Y433" t="s">
        <v>60</v>
      </c>
      <c r="Z433">
        <v>0</v>
      </c>
      <c r="AA433" s="2">
        <v>0</v>
      </c>
      <c r="AB433" s="2">
        <v>0</v>
      </c>
      <c r="AC433" s="4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17.23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</row>
    <row r="434" spans="1:42" x14ac:dyDescent="0.25">
      <c r="A434" s="1">
        <v>45922</v>
      </c>
      <c r="B434" t="s">
        <v>47</v>
      </c>
      <c r="C434">
        <v>649163</v>
      </c>
      <c r="D434">
        <v>2030084096</v>
      </c>
      <c r="E434" t="s">
        <v>532</v>
      </c>
      <c r="F434" t="s">
        <v>533</v>
      </c>
      <c r="G434" t="s">
        <v>50</v>
      </c>
      <c r="H434" t="s">
        <v>93</v>
      </c>
      <c r="I434" t="s">
        <v>441</v>
      </c>
      <c r="J434" t="s">
        <v>451</v>
      </c>
      <c r="K434">
        <v>843573</v>
      </c>
      <c r="L434" t="s">
        <v>534</v>
      </c>
      <c r="M434" t="s">
        <v>535</v>
      </c>
      <c r="N434" t="s">
        <v>56</v>
      </c>
      <c r="O434" s="1">
        <v>45862</v>
      </c>
      <c r="P434" s="1">
        <v>45954</v>
      </c>
      <c r="Q434" s="2">
        <v>25.08</v>
      </c>
      <c r="R434">
        <v>1</v>
      </c>
      <c r="S434" t="s">
        <v>57</v>
      </c>
      <c r="T434" t="s">
        <v>58</v>
      </c>
      <c r="U434" s="4">
        <v>0.42</v>
      </c>
      <c r="V434" s="2">
        <v>0</v>
      </c>
      <c r="W434">
        <v>0</v>
      </c>
      <c r="X434" t="s">
        <v>70</v>
      </c>
      <c r="Y434" t="s">
        <v>60</v>
      </c>
      <c r="Z434">
        <v>0</v>
      </c>
      <c r="AA434" s="2">
        <v>0</v>
      </c>
      <c r="AB434" s="2">
        <v>0</v>
      </c>
      <c r="AC434" s="4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10.53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</row>
    <row r="435" spans="1:42" x14ac:dyDescent="0.25">
      <c r="A435" s="1">
        <v>45922</v>
      </c>
      <c r="B435" t="s">
        <v>47</v>
      </c>
      <c r="C435">
        <v>649163</v>
      </c>
      <c r="D435">
        <v>2030084097</v>
      </c>
      <c r="E435" t="s">
        <v>532</v>
      </c>
      <c r="F435" t="s">
        <v>533</v>
      </c>
      <c r="G435" t="s">
        <v>50</v>
      </c>
      <c r="H435" t="s">
        <v>93</v>
      </c>
      <c r="I435" t="s">
        <v>441</v>
      </c>
      <c r="J435" t="s">
        <v>445</v>
      </c>
      <c r="K435">
        <v>843573</v>
      </c>
      <c r="L435" t="s">
        <v>534</v>
      </c>
      <c r="M435" t="s">
        <v>535</v>
      </c>
      <c r="N435" t="s">
        <v>56</v>
      </c>
      <c r="O435" s="1">
        <v>45862</v>
      </c>
      <c r="P435" s="1">
        <v>45954</v>
      </c>
      <c r="Q435" s="2">
        <v>19</v>
      </c>
      <c r="R435">
        <v>1</v>
      </c>
      <c r="S435" t="s">
        <v>57</v>
      </c>
      <c r="T435" t="s">
        <v>58</v>
      </c>
      <c r="U435" s="4">
        <v>0.7</v>
      </c>
      <c r="V435" s="2">
        <v>0</v>
      </c>
      <c r="W435">
        <v>0</v>
      </c>
      <c r="X435" t="s">
        <v>70</v>
      </c>
      <c r="Y435" t="s">
        <v>60</v>
      </c>
      <c r="Z435">
        <v>0</v>
      </c>
      <c r="AA435" s="2">
        <v>0</v>
      </c>
      <c r="AB435" s="2">
        <v>0</v>
      </c>
      <c r="AC435" s="4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13.3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</row>
    <row r="436" spans="1:42" x14ac:dyDescent="0.25">
      <c r="A436" s="1">
        <v>45922</v>
      </c>
      <c r="B436" t="s">
        <v>47</v>
      </c>
      <c r="C436">
        <v>649163</v>
      </c>
      <c r="D436">
        <v>2030085143</v>
      </c>
      <c r="E436" t="s">
        <v>217</v>
      </c>
      <c r="F436" t="s">
        <v>218</v>
      </c>
      <c r="G436" t="s">
        <v>50</v>
      </c>
      <c r="H436" t="s">
        <v>93</v>
      </c>
      <c r="I436" t="s">
        <v>441</v>
      </c>
      <c r="J436" t="s">
        <v>445</v>
      </c>
      <c r="K436">
        <v>673059</v>
      </c>
      <c r="L436" t="s">
        <v>152</v>
      </c>
      <c r="M436" t="s">
        <v>153</v>
      </c>
      <c r="N436" t="s">
        <v>56</v>
      </c>
      <c r="O436" s="1">
        <v>45861</v>
      </c>
      <c r="P436" s="1">
        <v>45953</v>
      </c>
      <c r="Q436" s="2">
        <v>153.9</v>
      </c>
      <c r="R436">
        <v>1</v>
      </c>
      <c r="S436" t="s">
        <v>57</v>
      </c>
      <c r="T436" t="s">
        <v>58</v>
      </c>
      <c r="U436" s="4">
        <v>0.7</v>
      </c>
      <c r="V436" s="2">
        <v>0</v>
      </c>
      <c r="W436">
        <v>0</v>
      </c>
      <c r="X436" t="s">
        <v>70</v>
      </c>
      <c r="Y436" t="s">
        <v>60</v>
      </c>
      <c r="Z436">
        <v>0</v>
      </c>
      <c r="AA436" s="2">
        <v>0</v>
      </c>
      <c r="AB436" s="2">
        <v>0</v>
      </c>
      <c r="AC436" s="4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107.73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</row>
    <row r="437" spans="1:42" x14ac:dyDescent="0.25">
      <c r="A437" s="1">
        <v>45922</v>
      </c>
      <c r="B437" t="s">
        <v>47</v>
      </c>
      <c r="C437">
        <v>649163</v>
      </c>
      <c r="D437">
        <v>2030091896</v>
      </c>
      <c r="E437" t="s">
        <v>392</v>
      </c>
      <c r="F437" t="s">
        <v>393</v>
      </c>
      <c r="G437" t="s">
        <v>50</v>
      </c>
      <c r="H437" t="s">
        <v>77</v>
      </c>
      <c r="I437" t="s">
        <v>441</v>
      </c>
      <c r="J437" t="s">
        <v>445</v>
      </c>
      <c r="K437">
        <v>673059</v>
      </c>
      <c r="L437" t="s">
        <v>152</v>
      </c>
      <c r="M437" t="s">
        <v>153</v>
      </c>
      <c r="N437" t="s">
        <v>56</v>
      </c>
      <c r="O437" s="1">
        <v>45861</v>
      </c>
      <c r="P437" s="1">
        <v>45953</v>
      </c>
      <c r="Q437" s="2">
        <v>14.72</v>
      </c>
      <c r="R437">
        <v>1</v>
      </c>
      <c r="S437" t="s">
        <v>57</v>
      </c>
      <c r="T437" t="s">
        <v>58</v>
      </c>
      <c r="U437" s="4">
        <v>0.7</v>
      </c>
      <c r="V437" s="2">
        <v>0</v>
      </c>
      <c r="W437">
        <v>0</v>
      </c>
      <c r="X437" t="s">
        <v>70</v>
      </c>
      <c r="Y437" t="s">
        <v>60</v>
      </c>
      <c r="Z437">
        <v>0</v>
      </c>
      <c r="AA437" s="2">
        <v>0</v>
      </c>
      <c r="AB437" s="2">
        <v>0</v>
      </c>
      <c r="AC437" s="4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10.3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</row>
    <row r="438" spans="1:42" x14ac:dyDescent="0.25">
      <c r="A438" s="1">
        <v>45922</v>
      </c>
      <c r="B438" t="s">
        <v>47</v>
      </c>
      <c r="C438">
        <v>649163</v>
      </c>
      <c r="D438">
        <v>2030105690</v>
      </c>
      <c r="E438" t="s">
        <v>277</v>
      </c>
      <c r="F438" t="s">
        <v>278</v>
      </c>
      <c r="G438" t="s">
        <v>50</v>
      </c>
      <c r="H438" t="s">
        <v>93</v>
      </c>
      <c r="I438" t="s">
        <v>441</v>
      </c>
      <c r="J438" t="s">
        <v>445</v>
      </c>
      <c r="K438">
        <v>856163</v>
      </c>
      <c r="L438" t="s">
        <v>79</v>
      </c>
      <c r="M438" t="s">
        <v>279</v>
      </c>
      <c r="N438" t="s">
        <v>56</v>
      </c>
      <c r="O438" s="1">
        <v>45862</v>
      </c>
      <c r="P438" s="1">
        <v>45954</v>
      </c>
      <c r="Q438" s="2">
        <v>245.95</v>
      </c>
      <c r="R438">
        <v>1</v>
      </c>
      <c r="S438" t="s">
        <v>57</v>
      </c>
      <c r="T438" t="s">
        <v>58</v>
      </c>
      <c r="U438" s="4">
        <v>0.7</v>
      </c>
      <c r="V438" s="2">
        <v>0</v>
      </c>
      <c r="W438">
        <v>0</v>
      </c>
      <c r="X438" t="s">
        <v>70</v>
      </c>
      <c r="Y438" t="s">
        <v>60</v>
      </c>
      <c r="Z438">
        <v>0</v>
      </c>
      <c r="AA438" s="2">
        <v>0</v>
      </c>
      <c r="AB438" s="2">
        <v>0</v>
      </c>
      <c r="AC438" s="4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172.16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</row>
    <row r="439" spans="1:42" x14ac:dyDescent="0.25">
      <c r="A439" s="1">
        <v>45922</v>
      </c>
      <c r="B439" t="s">
        <v>47</v>
      </c>
      <c r="C439">
        <v>649163</v>
      </c>
      <c r="D439">
        <v>2030108809</v>
      </c>
      <c r="E439" t="s">
        <v>219</v>
      </c>
      <c r="F439" t="s">
        <v>220</v>
      </c>
      <c r="G439" t="s">
        <v>50</v>
      </c>
      <c r="H439" t="s">
        <v>141</v>
      </c>
      <c r="I439" t="s">
        <v>441</v>
      </c>
      <c r="J439" t="s">
        <v>445</v>
      </c>
      <c r="K439">
        <v>796984</v>
      </c>
      <c r="L439" t="s">
        <v>221</v>
      </c>
      <c r="M439" t="s">
        <v>62</v>
      </c>
      <c r="N439" t="s">
        <v>56</v>
      </c>
      <c r="O439" s="1">
        <v>45862</v>
      </c>
      <c r="P439" s="1">
        <v>45954</v>
      </c>
      <c r="Q439" s="2">
        <v>9.1</v>
      </c>
      <c r="R439">
        <v>1</v>
      </c>
      <c r="S439" t="s">
        <v>57</v>
      </c>
      <c r="T439" t="s">
        <v>58</v>
      </c>
      <c r="U439" s="4">
        <v>0.7</v>
      </c>
      <c r="V439" s="2">
        <v>0</v>
      </c>
      <c r="W439">
        <v>0</v>
      </c>
      <c r="X439" t="s">
        <v>70</v>
      </c>
      <c r="Y439" t="s">
        <v>60</v>
      </c>
      <c r="Z439">
        <v>0</v>
      </c>
      <c r="AA439" s="2">
        <v>0</v>
      </c>
      <c r="AB439" s="2">
        <v>0</v>
      </c>
      <c r="AC439" s="4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6.37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</row>
    <row r="440" spans="1:42" x14ac:dyDescent="0.25">
      <c r="A440" s="1">
        <v>45922</v>
      </c>
      <c r="B440" t="s">
        <v>47</v>
      </c>
      <c r="C440">
        <v>649163</v>
      </c>
      <c r="D440">
        <v>2030113890</v>
      </c>
      <c r="E440" t="s">
        <v>394</v>
      </c>
      <c r="F440" t="s">
        <v>395</v>
      </c>
      <c r="G440" t="s">
        <v>50</v>
      </c>
      <c r="H440" t="s">
        <v>180</v>
      </c>
      <c r="I440" t="s">
        <v>441</v>
      </c>
      <c r="J440" t="s">
        <v>445</v>
      </c>
      <c r="K440">
        <v>767312</v>
      </c>
      <c r="L440" t="s">
        <v>122</v>
      </c>
      <c r="M440" t="s">
        <v>123</v>
      </c>
      <c r="N440" t="s">
        <v>56</v>
      </c>
      <c r="O440" s="1">
        <v>45862</v>
      </c>
      <c r="P440" s="1">
        <v>45954</v>
      </c>
      <c r="Q440" s="2">
        <v>16.510000000000002</v>
      </c>
      <c r="R440">
        <v>1</v>
      </c>
      <c r="S440" t="s">
        <v>57</v>
      </c>
      <c r="T440" t="s">
        <v>58</v>
      </c>
      <c r="U440" s="4">
        <v>0.7</v>
      </c>
      <c r="V440" s="2">
        <v>0</v>
      </c>
      <c r="W440">
        <v>0</v>
      </c>
      <c r="X440" t="s">
        <v>70</v>
      </c>
      <c r="Y440" t="s">
        <v>60</v>
      </c>
      <c r="Z440">
        <v>0</v>
      </c>
      <c r="AA440" s="2">
        <v>0</v>
      </c>
      <c r="AB440" s="2">
        <v>0</v>
      </c>
      <c r="AC440" s="4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11.56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</row>
    <row r="441" spans="1:42" x14ac:dyDescent="0.25">
      <c r="A441" s="1">
        <v>45922</v>
      </c>
      <c r="B441" t="s">
        <v>47</v>
      </c>
      <c r="C441">
        <v>649163</v>
      </c>
      <c r="D441">
        <v>2030114522</v>
      </c>
      <c r="E441" t="s">
        <v>536</v>
      </c>
      <c r="F441" t="s">
        <v>537</v>
      </c>
      <c r="G441" t="s">
        <v>50</v>
      </c>
      <c r="H441" t="s">
        <v>93</v>
      </c>
      <c r="I441" t="s">
        <v>441</v>
      </c>
      <c r="J441" t="s">
        <v>445</v>
      </c>
      <c r="K441">
        <v>839554</v>
      </c>
      <c r="L441" t="s">
        <v>525</v>
      </c>
      <c r="M441" t="s">
        <v>526</v>
      </c>
      <c r="N441" t="s">
        <v>56</v>
      </c>
      <c r="O441" s="1">
        <v>45863</v>
      </c>
      <c r="P441" s="1">
        <v>45955</v>
      </c>
      <c r="Q441" s="2">
        <v>207.64</v>
      </c>
      <c r="R441">
        <v>1</v>
      </c>
      <c r="S441" t="s">
        <v>57</v>
      </c>
      <c r="T441" t="s">
        <v>58</v>
      </c>
      <c r="U441" s="4">
        <v>0.7</v>
      </c>
      <c r="V441" s="2">
        <v>0</v>
      </c>
      <c r="W441">
        <v>0</v>
      </c>
      <c r="X441" t="s">
        <v>70</v>
      </c>
      <c r="Y441" t="s">
        <v>60</v>
      </c>
      <c r="Z441">
        <v>0</v>
      </c>
      <c r="AA441" s="2">
        <v>0</v>
      </c>
      <c r="AB441" s="2">
        <v>0</v>
      </c>
      <c r="AC441" s="4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145.35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</row>
    <row r="442" spans="1:42" x14ac:dyDescent="0.25">
      <c r="A442" s="1">
        <v>45922</v>
      </c>
      <c r="B442" t="s">
        <v>47</v>
      </c>
      <c r="C442">
        <v>649163</v>
      </c>
      <c r="D442">
        <v>2030117415</v>
      </c>
      <c r="E442" t="s">
        <v>394</v>
      </c>
      <c r="F442" t="s">
        <v>395</v>
      </c>
      <c r="G442" t="s">
        <v>50</v>
      </c>
      <c r="H442" t="s">
        <v>180</v>
      </c>
      <c r="I442" t="s">
        <v>441</v>
      </c>
      <c r="J442" t="s">
        <v>442</v>
      </c>
      <c r="K442">
        <v>767312</v>
      </c>
      <c r="L442" t="s">
        <v>122</v>
      </c>
      <c r="M442" t="s">
        <v>123</v>
      </c>
      <c r="N442" t="s">
        <v>56</v>
      </c>
      <c r="O442" s="1">
        <v>45863</v>
      </c>
      <c r="P442" s="1">
        <v>45955</v>
      </c>
      <c r="Q442" s="2">
        <v>69.08</v>
      </c>
      <c r="R442">
        <v>1</v>
      </c>
      <c r="S442" t="s">
        <v>57</v>
      </c>
      <c r="T442" t="s">
        <v>58</v>
      </c>
      <c r="U442" s="4">
        <v>0.9</v>
      </c>
      <c r="V442" s="2">
        <v>0</v>
      </c>
      <c r="W442">
        <v>0</v>
      </c>
      <c r="X442" t="s">
        <v>70</v>
      </c>
      <c r="Y442" t="s">
        <v>60</v>
      </c>
      <c r="Z442">
        <v>0</v>
      </c>
      <c r="AA442" s="2">
        <v>0</v>
      </c>
      <c r="AB442" s="2">
        <v>0</v>
      </c>
      <c r="AC442" s="4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62.17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</row>
    <row r="443" spans="1:42" x14ac:dyDescent="0.25">
      <c r="A443" s="1">
        <v>45922</v>
      </c>
      <c r="B443" t="s">
        <v>47</v>
      </c>
      <c r="C443">
        <v>649163</v>
      </c>
      <c r="D443">
        <v>2030125457</v>
      </c>
      <c r="E443" t="s">
        <v>396</v>
      </c>
      <c r="F443" t="s">
        <v>397</v>
      </c>
      <c r="G443" t="s">
        <v>50</v>
      </c>
      <c r="H443" t="s">
        <v>115</v>
      </c>
      <c r="I443" t="s">
        <v>441</v>
      </c>
      <c r="J443" t="s">
        <v>445</v>
      </c>
      <c r="K443">
        <v>856163</v>
      </c>
      <c r="L443" t="s">
        <v>79</v>
      </c>
      <c r="M443" t="s">
        <v>279</v>
      </c>
      <c r="N443" t="s">
        <v>56</v>
      </c>
      <c r="O443" s="1">
        <v>45863</v>
      </c>
      <c r="P443" s="1">
        <v>45955</v>
      </c>
      <c r="Q443" s="2">
        <v>13</v>
      </c>
      <c r="R443">
        <v>1</v>
      </c>
      <c r="S443" t="s">
        <v>57</v>
      </c>
      <c r="T443" t="s">
        <v>58</v>
      </c>
      <c r="U443" s="4">
        <v>0.7</v>
      </c>
      <c r="V443" s="2">
        <v>0</v>
      </c>
      <c r="W443">
        <v>0</v>
      </c>
      <c r="X443" t="s">
        <v>70</v>
      </c>
      <c r="Y443" t="s">
        <v>60</v>
      </c>
      <c r="Z443">
        <v>0</v>
      </c>
      <c r="AA443" s="2">
        <v>0</v>
      </c>
      <c r="AB443" s="2">
        <v>0</v>
      </c>
      <c r="AC443" s="4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9.1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</row>
    <row r="444" spans="1:42" x14ac:dyDescent="0.25">
      <c r="A444" s="1">
        <v>45922</v>
      </c>
      <c r="B444" t="s">
        <v>47</v>
      </c>
      <c r="C444">
        <v>649163</v>
      </c>
      <c r="D444">
        <v>2030129459</v>
      </c>
      <c r="E444" t="s">
        <v>538</v>
      </c>
      <c r="F444" t="s">
        <v>539</v>
      </c>
      <c r="G444" t="s">
        <v>50</v>
      </c>
      <c r="H444" t="s">
        <v>134</v>
      </c>
      <c r="I444" t="s">
        <v>441</v>
      </c>
      <c r="J444" t="s">
        <v>445</v>
      </c>
      <c r="K444">
        <v>822865</v>
      </c>
      <c r="L444" t="s">
        <v>158</v>
      </c>
      <c r="M444" t="s">
        <v>159</v>
      </c>
      <c r="N444" t="s">
        <v>56</v>
      </c>
      <c r="O444" s="1">
        <v>45863</v>
      </c>
      <c r="P444" s="1">
        <v>45955</v>
      </c>
      <c r="Q444" s="2">
        <v>30.68</v>
      </c>
      <c r="R444">
        <v>1</v>
      </c>
      <c r="S444" t="s">
        <v>57</v>
      </c>
      <c r="T444" t="s">
        <v>58</v>
      </c>
      <c r="U444" s="4">
        <v>0.7</v>
      </c>
      <c r="V444" s="2">
        <v>0</v>
      </c>
      <c r="W444">
        <v>0</v>
      </c>
      <c r="X444" t="s">
        <v>70</v>
      </c>
      <c r="Y444" t="s">
        <v>60</v>
      </c>
      <c r="Z444">
        <v>0</v>
      </c>
      <c r="AA444" s="2">
        <v>0</v>
      </c>
      <c r="AB444" s="2">
        <v>0</v>
      </c>
      <c r="AC444" s="4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21.48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</row>
    <row r="445" spans="1:42" x14ac:dyDescent="0.25">
      <c r="A445" s="1">
        <v>45922</v>
      </c>
      <c r="B445" t="s">
        <v>47</v>
      </c>
      <c r="C445">
        <v>649163</v>
      </c>
      <c r="D445">
        <v>2030145093</v>
      </c>
      <c r="E445" t="s">
        <v>222</v>
      </c>
      <c r="F445" t="s">
        <v>223</v>
      </c>
      <c r="G445" t="s">
        <v>50</v>
      </c>
      <c r="H445" t="s">
        <v>93</v>
      </c>
      <c r="I445" t="s">
        <v>441</v>
      </c>
      <c r="J445" t="s">
        <v>445</v>
      </c>
      <c r="K445">
        <v>824062</v>
      </c>
      <c r="L445" t="s">
        <v>200</v>
      </c>
      <c r="M445" t="s">
        <v>201</v>
      </c>
      <c r="N445" t="s">
        <v>56</v>
      </c>
      <c r="O445" s="1">
        <v>45864</v>
      </c>
      <c r="P445" s="1">
        <v>45956</v>
      </c>
      <c r="Q445" s="2">
        <v>102.7</v>
      </c>
      <c r="R445">
        <v>1</v>
      </c>
      <c r="S445" t="s">
        <v>57</v>
      </c>
      <c r="T445" t="s">
        <v>58</v>
      </c>
      <c r="U445" s="4">
        <v>0.7</v>
      </c>
      <c r="V445" s="2">
        <v>0</v>
      </c>
      <c r="W445">
        <v>0</v>
      </c>
      <c r="X445" t="s">
        <v>70</v>
      </c>
      <c r="Y445" t="s">
        <v>60</v>
      </c>
      <c r="Z445">
        <v>0</v>
      </c>
      <c r="AA445" s="2">
        <v>0</v>
      </c>
      <c r="AB445" s="2">
        <v>0</v>
      </c>
      <c r="AC445" s="4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71.89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</row>
    <row r="446" spans="1:42" x14ac:dyDescent="0.25">
      <c r="A446" s="1">
        <v>45922</v>
      </c>
      <c r="B446" t="s">
        <v>47</v>
      </c>
      <c r="C446">
        <v>649163</v>
      </c>
      <c r="D446">
        <v>2030217703</v>
      </c>
      <c r="E446" t="s">
        <v>280</v>
      </c>
      <c r="F446" t="s">
        <v>281</v>
      </c>
      <c r="G446" t="s">
        <v>50</v>
      </c>
      <c r="H446" t="s">
        <v>93</v>
      </c>
      <c r="I446" t="s">
        <v>441</v>
      </c>
      <c r="J446" t="s">
        <v>445</v>
      </c>
      <c r="K446">
        <v>768887</v>
      </c>
      <c r="L446" t="s">
        <v>282</v>
      </c>
      <c r="M446" t="s">
        <v>283</v>
      </c>
      <c r="N446" t="s">
        <v>56</v>
      </c>
      <c r="O446" s="1">
        <v>45870</v>
      </c>
      <c r="P446" s="1">
        <v>45931</v>
      </c>
      <c r="Q446" s="2">
        <v>-6.39</v>
      </c>
      <c r="R446">
        <v>1</v>
      </c>
      <c r="S446" t="s">
        <v>57</v>
      </c>
      <c r="T446" t="s">
        <v>58</v>
      </c>
      <c r="U446" s="4">
        <v>0.7</v>
      </c>
      <c r="V446" s="2">
        <v>0</v>
      </c>
      <c r="W446">
        <v>-1</v>
      </c>
      <c r="X446" t="s">
        <v>70</v>
      </c>
      <c r="Y446" t="s">
        <v>60</v>
      </c>
      <c r="Z446">
        <v>0</v>
      </c>
      <c r="AA446" s="2">
        <v>0</v>
      </c>
      <c r="AB446" s="2">
        <v>0</v>
      </c>
      <c r="AC446" s="4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-4.47</v>
      </c>
      <c r="AM446" s="2">
        <v>-4.47</v>
      </c>
      <c r="AN446" s="2">
        <v>0</v>
      </c>
      <c r="AO446" s="2">
        <v>0</v>
      </c>
      <c r="AP446" s="2">
        <v>0</v>
      </c>
    </row>
    <row r="447" spans="1:42" x14ac:dyDescent="0.25">
      <c r="A447" s="1">
        <v>45922</v>
      </c>
      <c r="B447" t="s">
        <v>47</v>
      </c>
      <c r="C447">
        <v>649163</v>
      </c>
      <c r="D447">
        <v>2030218150</v>
      </c>
      <c r="E447" t="s">
        <v>331</v>
      </c>
      <c r="F447" t="s">
        <v>281</v>
      </c>
      <c r="G447" t="s">
        <v>50</v>
      </c>
      <c r="H447" t="s">
        <v>93</v>
      </c>
      <c r="I447" t="s">
        <v>441</v>
      </c>
      <c r="J447" t="s">
        <v>445</v>
      </c>
      <c r="K447">
        <v>768887</v>
      </c>
      <c r="L447" t="s">
        <v>282</v>
      </c>
      <c r="M447" t="s">
        <v>283</v>
      </c>
      <c r="N447" t="s">
        <v>230</v>
      </c>
      <c r="O447" s="1">
        <v>45870</v>
      </c>
      <c r="P447" s="1">
        <v>45931</v>
      </c>
      <c r="Q447" s="2">
        <v>-235.88</v>
      </c>
      <c r="R447">
        <v>1</v>
      </c>
      <c r="S447" t="s">
        <v>57</v>
      </c>
      <c r="T447" t="s">
        <v>58</v>
      </c>
      <c r="U447" s="4">
        <v>0.7</v>
      </c>
      <c r="V447" s="2">
        <v>0</v>
      </c>
      <c r="W447">
        <v>-1</v>
      </c>
      <c r="X447" t="s">
        <v>70</v>
      </c>
      <c r="Y447" t="s">
        <v>60</v>
      </c>
      <c r="Z447">
        <v>0</v>
      </c>
      <c r="AA447" s="2">
        <v>0</v>
      </c>
      <c r="AB447" s="2">
        <v>0</v>
      </c>
      <c r="AC447" s="4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-165.12</v>
      </c>
      <c r="AM447" s="2">
        <v>-165.12</v>
      </c>
      <c r="AN447" s="2">
        <v>0</v>
      </c>
      <c r="AO447" s="2">
        <v>0</v>
      </c>
      <c r="AP447" s="2">
        <v>0</v>
      </c>
    </row>
    <row r="448" spans="1:42" x14ac:dyDescent="0.25">
      <c r="A448" s="1">
        <v>45922</v>
      </c>
      <c r="B448" t="s">
        <v>47</v>
      </c>
      <c r="C448">
        <v>649163</v>
      </c>
      <c r="D448">
        <v>2030313588</v>
      </c>
      <c r="E448" t="s">
        <v>540</v>
      </c>
      <c r="F448" t="s">
        <v>541</v>
      </c>
      <c r="G448" t="s">
        <v>50</v>
      </c>
      <c r="H448" t="s">
        <v>151</v>
      </c>
      <c r="I448" t="s">
        <v>441</v>
      </c>
      <c r="J448" t="s">
        <v>445</v>
      </c>
      <c r="K448">
        <v>673059</v>
      </c>
      <c r="L448" t="s">
        <v>152</v>
      </c>
      <c r="M448" t="s">
        <v>153</v>
      </c>
      <c r="N448" t="s">
        <v>56</v>
      </c>
      <c r="O448" s="1">
        <v>45894</v>
      </c>
      <c r="P448" s="1">
        <v>45955</v>
      </c>
      <c r="Q448" s="2">
        <v>120.91</v>
      </c>
      <c r="R448">
        <v>1</v>
      </c>
      <c r="S448" t="s">
        <v>57</v>
      </c>
      <c r="T448" t="s">
        <v>58</v>
      </c>
      <c r="U448" s="4">
        <v>0.7</v>
      </c>
      <c r="V448" s="2">
        <v>0</v>
      </c>
      <c r="W448">
        <v>0</v>
      </c>
      <c r="X448" t="s">
        <v>70</v>
      </c>
      <c r="Y448" t="s">
        <v>60</v>
      </c>
      <c r="Z448">
        <v>0</v>
      </c>
      <c r="AA448" s="2">
        <v>0</v>
      </c>
      <c r="AB448" s="2">
        <v>0</v>
      </c>
      <c r="AC448" s="4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84.64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</row>
    <row r="449" spans="1:42" x14ac:dyDescent="0.25">
      <c r="A449" s="1">
        <v>45922</v>
      </c>
      <c r="B449" t="s">
        <v>47</v>
      </c>
      <c r="C449">
        <v>649163</v>
      </c>
      <c r="D449">
        <v>2030315872</v>
      </c>
      <c r="E449" t="s">
        <v>224</v>
      </c>
      <c r="F449" t="s">
        <v>225</v>
      </c>
      <c r="G449" t="s">
        <v>50</v>
      </c>
      <c r="H449" t="s">
        <v>214</v>
      </c>
      <c r="I449" t="s">
        <v>441</v>
      </c>
      <c r="J449" t="s">
        <v>451</v>
      </c>
      <c r="K449">
        <v>823068</v>
      </c>
      <c r="L449" t="s">
        <v>215</v>
      </c>
      <c r="M449" t="s">
        <v>216</v>
      </c>
      <c r="N449" t="s">
        <v>56</v>
      </c>
      <c r="O449" s="1">
        <v>45890</v>
      </c>
      <c r="P449" s="1">
        <v>45951</v>
      </c>
      <c r="Q449" s="2">
        <v>43.86</v>
      </c>
      <c r="R449">
        <v>1</v>
      </c>
      <c r="S449" t="s">
        <v>57</v>
      </c>
      <c r="T449" t="s">
        <v>58</v>
      </c>
      <c r="U449" s="4">
        <v>0.42</v>
      </c>
      <c r="V449" s="2">
        <v>0</v>
      </c>
      <c r="W449">
        <v>0</v>
      </c>
      <c r="X449" t="s">
        <v>70</v>
      </c>
      <c r="Y449" t="s">
        <v>60</v>
      </c>
      <c r="Z449">
        <v>0</v>
      </c>
      <c r="AA449" s="2">
        <v>0</v>
      </c>
      <c r="AB449" s="2">
        <v>0</v>
      </c>
      <c r="AC449" s="4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18.420000000000002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</row>
    <row r="450" spans="1:42" x14ac:dyDescent="0.25">
      <c r="A450" s="1">
        <v>45922</v>
      </c>
      <c r="B450" t="s">
        <v>47</v>
      </c>
      <c r="C450">
        <v>649163</v>
      </c>
      <c r="D450">
        <v>2030315873</v>
      </c>
      <c r="E450" t="s">
        <v>224</v>
      </c>
      <c r="F450" t="s">
        <v>225</v>
      </c>
      <c r="G450" t="s">
        <v>50</v>
      </c>
      <c r="H450" t="s">
        <v>214</v>
      </c>
      <c r="I450" t="s">
        <v>441</v>
      </c>
      <c r="J450" t="s">
        <v>447</v>
      </c>
      <c r="K450">
        <v>823068</v>
      </c>
      <c r="L450" t="s">
        <v>215</v>
      </c>
      <c r="M450" t="s">
        <v>216</v>
      </c>
      <c r="N450" t="s">
        <v>56</v>
      </c>
      <c r="O450" s="1">
        <v>45890</v>
      </c>
      <c r="P450" s="1">
        <v>45951</v>
      </c>
      <c r="Q450" s="2">
        <v>24.61</v>
      </c>
      <c r="R450">
        <v>1</v>
      </c>
      <c r="S450" t="s">
        <v>57</v>
      </c>
      <c r="T450" t="s">
        <v>58</v>
      </c>
      <c r="U450" s="4">
        <v>0.7</v>
      </c>
      <c r="V450" s="2">
        <v>0</v>
      </c>
      <c r="W450">
        <v>0</v>
      </c>
      <c r="X450" t="s">
        <v>70</v>
      </c>
      <c r="Y450" t="s">
        <v>60</v>
      </c>
      <c r="Z450">
        <v>0</v>
      </c>
      <c r="AA450" s="2">
        <v>0</v>
      </c>
      <c r="AB450" s="2">
        <v>0</v>
      </c>
      <c r="AC450" s="4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17.23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</row>
    <row r="451" spans="1:42" x14ac:dyDescent="0.25">
      <c r="A451" s="1">
        <v>45922</v>
      </c>
      <c r="B451" t="s">
        <v>47</v>
      </c>
      <c r="C451">
        <v>649163</v>
      </c>
      <c r="D451">
        <v>2030359370</v>
      </c>
      <c r="E451" t="s">
        <v>542</v>
      </c>
      <c r="F451" t="s">
        <v>543</v>
      </c>
      <c r="G451" t="s">
        <v>50</v>
      </c>
      <c r="H451" t="s">
        <v>544</v>
      </c>
      <c r="I451" t="s">
        <v>441</v>
      </c>
      <c r="J451" t="s">
        <v>451</v>
      </c>
      <c r="K451">
        <v>767312</v>
      </c>
      <c r="L451" t="s">
        <v>122</v>
      </c>
      <c r="M451" t="s">
        <v>123</v>
      </c>
      <c r="N451" t="s">
        <v>56</v>
      </c>
      <c r="O451" s="1">
        <v>45879</v>
      </c>
      <c r="P451" s="1">
        <v>45940</v>
      </c>
      <c r="Q451" s="2">
        <v>15.73</v>
      </c>
      <c r="R451">
        <v>1</v>
      </c>
      <c r="S451" t="s">
        <v>57</v>
      </c>
      <c r="T451" t="s">
        <v>58</v>
      </c>
      <c r="U451" s="4">
        <v>0.42</v>
      </c>
      <c r="V451" s="2">
        <v>0</v>
      </c>
      <c r="W451">
        <v>0</v>
      </c>
      <c r="X451" t="s">
        <v>70</v>
      </c>
      <c r="Y451" t="s">
        <v>60</v>
      </c>
      <c r="Z451">
        <v>0</v>
      </c>
      <c r="AA451" s="2">
        <v>0</v>
      </c>
      <c r="AB451" s="2">
        <v>0</v>
      </c>
      <c r="AC451" s="4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6.61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</row>
    <row r="452" spans="1:42" x14ac:dyDescent="0.25">
      <c r="A452" s="1">
        <v>45922</v>
      </c>
      <c r="B452" t="s">
        <v>47</v>
      </c>
      <c r="C452">
        <v>649163</v>
      </c>
      <c r="D452">
        <v>2030359371</v>
      </c>
      <c r="E452" t="s">
        <v>542</v>
      </c>
      <c r="F452" t="s">
        <v>543</v>
      </c>
      <c r="G452" t="s">
        <v>50</v>
      </c>
      <c r="H452" t="s">
        <v>544</v>
      </c>
      <c r="I452" t="s">
        <v>441</v>
      </c>
      <c r="J452" t="s">
        <v>442</v>
      </c>
      <c r="K452">
        <v>767312</v>
      </c>
      <c r="L452" t="s">
        <v>122</v>
      </c>
      <c r="M452" t="s">
        <v>123</v>
      </c>
      <c r="N452" t="s">
        <v>56</v>
      </c>
      <c r="O452" s="1">
        <v>45879</v>
      </c>
      <c r="P452" s="1">
        <v>45940</v>
      </c>
      <c r="Q452" s="2">
        <v>37.42</v>
      </c>
      <c r="R452">
        <v>1</v>
      </c>
      <c r="S452" t="s">
        <v>57</v>
      </c>
      <c r="T452" t="s">
        <v>58</v>
      </c>
      <c r="U452" s="4">
        <v>0.9</v>
      </c>
      <c r="V452" s="2">
        <v>0</v>
      </c>
      <c r="W452">
        <v>0</v>
      </c>
      <c r="X452" t="s">
        <v>70</v>
      </c>
      <c r="Y452" t="s">
        <v>60</v>
      </c>
      <c r="Z452">
        <v>0</v>
      </c>
      <c r="AA452" s="2">
        <v>0</v>
      </c>
      <c r="AB452" s="2">
        <v>0</v>
      </c>
      <c r="AC452" s="4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33.68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</row>
    <row r="453" spans="1:42" x14ac:dyDescent="0.25">
      <c r="A453" s="1">
        <v>45922</v>
      </c>
      <c r="B453" t="s">
        <v>47</v>
      </c>
      <c r="C453">
        <v>649163</v>
      </c>
      <c r="D453">
        <v>2030429654</v>
      </c>
      <c r="E453" t="s">
        <v>226</v>
      </c>
      <c r="F453" t="s">
        <v>227</v>
      </c>
      <c r="G453" t="s">
        <v>50</v>
      </c>
      <c r="H453" t="s">
        <v>83</v>
      </c>
      <c r="I453" t="s">
        <v>441</v>
      </c>
      <c r="J453" t="s">
        <v>442</v>
      </c>
      <c r="K453">
        <v>651818</v>
      </c>
      <c r="L453" t="s">
        <v>108</v>
      </c>
      <c r="M453" t="s">
        <v>109</v>
      </c>
      <c r="N453" t="s">
        <v>56</v>
      </c>
      <c r="O453" s="1">
        <v>45889</v>
      </c>
      <c r="P453" s="1">
        <v>45950</v>
      </c>
      <c r="Q453" s="2">
        <v>51.63</v>
      </c>
      <c r="R453">
        <v>1</v>
      </c>
      <c r="S453" t="s">
        <v>57</v>
      </c>
      <c r="T453" t="s">
        <v>58</v>
      </c>
      <c r="U453" s="4">
        <v>0.9</v>
      </c>
      <c r="V453" s="2">
        <v>0</v>
      </c>
      <c r="W453">
        <v>0</v>
      </c>
      <c r="X453" t="s">
        <v>70</v>
      </c>
      <c r="Y453" t="s">
        <v>60</v>
      </c>
      <c r="Z453">
        <v>0</v>
      </c>
      <c r="AA453" s="2">
        <v>0</v>
      </c>
      <c r="AB453" s="2">
        <v>0</v>
      </c>
      <c r="AC453" s="4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46.47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</row>
    <row r="454" spans="1:42" x14ac:dyDescent="0.25">
      <c r="A454" s="1">
        <v>45922</v>
      </c>
      <c r="B454" t="s">
        <v>47</v>
      </c>
      <c r="C454">
        <v>649163</v>
      </c>
      <c r="D454">
        <v>2030461447</v>
      </c>
      <c r="E454" t="s">
        <v>398</v>
      </c>
      <c r="F454" t="s">
        <v>399</v>
      </c>
      <c r="G454" t="s">
        <v>50</v>
      </c>
      <c r="H454" t="s">
        <v>400</v>
      </c>
      <c r="I454" t="s">
        <v>441</v>
      </c>
      <c r="J454" t="s">
        <v>442</v>
      </c>
      <c r="K454">
        <v>767312</v>
      </c>
      <c r="L454" t="s">
        <v>122</v>
      </c>
      <c r="M454" t="s">
        <v>123</v>
      </c>
      <c r="N454" t="s">
        <v>56</v>
      </c>
      <c r="O454" s="1">
        <v>45892</v>
      </c>
      <c r="P454" s="1">
        <v>45953</v>
      </c>
      <c r="Q454" s="2">
        <v>51.25</v>
      </c>
      <c r="R454">
        <v>1</v>
      </c>
      <c r="S454" t="s">
        <v>57</v>
      </c>
      <c r="T454" t="s">
        <v>58</v>
      </c>
      <c r="U454" s="4">
        <v>0.9</v>
      </c>
      <c r="V454" s="2">
        <v>0</v>
      </c>
      <c r="W454">
        <v>0</v>
      </c>
      <c r="X454" t="s">
        <v>70</v>
      </c>
      <c r="Y454" t="s">
        <v>60</v>
      </c>
      <c r="Z454">
        <v>0</v>
      </c>
      <c r="AA454" s="2">
        <v>0</v>
      </c>
      <c r="AB454" s="2">
        <v>0</v>
      </c>
      <c r="AC454" s="4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46.12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</row>
    <row r="455" spans="1:42" x14ac:dyDescent="0.25">
      <c r="A455" s="1">
        <v>45922</v>
      </c>
      <c r="B455" t="s">
        <v>47</v>
      </c>
      <c r="D455">
        <v>2030463472</v>
      </c>
      <c r="E455" t="s">
        <v>228</v>
      </c>
      <c r="F455" t="s">
        <v>229</v>
      </c>
      <c r="G455" t="s">
        <v>50</v>
      </c>
      <c r="H455" t="s">
        <v>214</v>
      </c>
      <c r="I455" t="s">
        <v>441</v>
      </c>
      <c r="J455" t="s">
        <v>545</v>
      </c>
      <c r="L455" t="s">
        <v>215</v>
      </c>
      <c r="M455" t="s">
        <v>216</v>
      </c>
      <c r="N455" t="s">
        <v>230</v>
      </c>
      <c r="O455" s="1">
        <v>45885</v>
      </c>
      <c r="P455" s="1">
        <v>45946</v>
      </c>
      <c r="Q455" s="2">
        <v>-55.58</v>
      </c>
      <c r="R455">
        <v>1</v>
      </c>
      <c r="S455" t="s">
        <v>57</v>
      </c>
      <c r="T455" t="s">
        <v>58</v>
      </c>
      <c r="U455" s="4">
        <v>0.7</v>
      </c>
      <c r="V455" s="2">
        <v>0</v>
      </c>
      <c r="W455">
        <v>-1</v>
      </c>
      <c r="X455" t="s">
        <v>70</v>
      </c>
      <c r="Y455" t="s">
        <v>60</v>
      </c>
      <c r="Z455">
        <v>0</v>
      </c>
      <c r="AA455" s="2">
        <v>0</v>
      </c>
      <c r="AB455" s="2">
        <v>0</v>
      </c>
      <c r="AC455" s="4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-38.909999999999997</v>
      </c>
      <c r="AM455" s="2">
        <v>-38.909999999999997</v>
      </c>
      <c r="AN455" s="2">
        <v>0</v>
      </c>
      <c r="AO455" s="2">
        <v>0</v>
      </c>
      <c r="AP455" s="2">
        <v>0</v>
      </c>
    </row>
    <row r="456" spans="1:42" x14ac:dyDescent="0.25">
      <c r="A456" s="1">
        <v>45922</v>
      </c>
      <c r="B456" t="s">
        <v>47</v>
      </c>
      <c r="D456">
        <v>2030463472</v>
      </c>
      <c r="E456" t="s">
        <v>228</v>
      </c>
      <c r="F456" t="s">
        <v>229</v>
      </c>
      <c r="G456" t="s">
        <v>50</v>
      </c>
      <c r="H456" t="s">
        <v>214</v>
      </c>
      <c r="I456" t="s">
        <v>441</v>
      </c>
      <c r="J456" t="s">
        <v>545</v>
      </c>
      <c r="L456" t="s">
        <v>215</v>
      </c>
      <c r="M456" t="s">
        <v>216</v>
      </c>
      <c r="N456" t="s">
        <v>230</v>
      </c>
      <c r="O456" s="1">
        <v>45885</v>
      </c>
      <c r="P456" s="1">
        <v>45946</v>
      </c>
      <c r="Q456" s="2">
        <v>-55.58</v>
      </c>
      <c r="R456">
        <v>1</v>
      </c>
      <c r="S456" t="s">
        <v>57</v>
      </c>
      <c r="T456" t="s">
        <v>58</v>
      </c>
      <c r="U456" s="4">
        <v>0.7</v>
      </c>
      <c r="V456" s="2">
        <v>0</v>
      </c>
      <c r="W456">
        <v>-1</v>
      </c>
      <c r="X456" t="s">
        <v>70</v>
      </c>
      <c r="Y456" t="s">
        <v>60</v>
      </c>
      <c r="Z456">
        <v>0</v>
      </c>
      <c r="AA456" s="2">
        <v>0</v>
      </c>
      <c r="AB456" s="2">
        <v>0</v>
      </c>
      <c r="AC456" s="4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-38.909999999999997</v>
      </c>
      <c r="AM456" s="2">
        <v>-38.909999999999997</v>
      </c>
      <c r="AN456" s="2">
        <v>0</v>
      </c>
      <c r="AO456" s="2">
        <v>0</v>
      </c>
      <c r="AP456" s="2">
        <v>0</v>
      </c>
    </row>
    <row r="457" spans="1:42" x14ac:dyDescent="0.25">
      <c r="A457" s="1">
        <v>45922</v>
      </c>
      <c r="B457" t="s">
        <v>47</v>
      </c>
      <c r="C457">
        <v>649163</v>
      </c>
      <c r="D457">
        <v>2030478247</v>
      </c>
      <c r="E457" t="s">
        <v>117</v>
      </c>
      <c r="F457" t="s">
        <v>401</v>
      </c>
      <c r="G457" t="s">
        <v>50</v>
      </c>
      <c r="H457" t="s">
        <v>402</v>
      </c>
      <c r="I457" t="s">
        <v>441</v>
      </c>
      <c r="J457" t="s">
        <v>445</v>
      </c>
      <c r="K457">
        <v>673059</v>
      </c>
      <c r="L457" t="s">
        <v>152</v>
      </c>
      <c r="M457" t="s">
        <v>153</v>
      </c>
      <c r="N457" t="s">
        <v>56</v>
      </c>
      <c r="O457" s="1">
        <v>45883</v>
      </c>
      <c r="P457" s="1">
        <v>45944</v>
      </c>
      <c r="Q457" s="2">
        <v>10.82</v>
      </c>
      <c r="R457">
        <v>1</v>
      </c>
      <c r="S457" t="s">
        <v>57</v>
      </c>
      <c r="T457" t="s">
        <v>58</v>
      </c>
      <c r="U457" s="4">
        <v>0.7</v>
      </c>
      <c r="V457" s="2">
        <v>0</v>
      </c>
      <c r="W457">
        <v>0</v>
      </c>
      <c r="X457" t="s">
        <v>70</v>
      </c>
      <c r="Y457" t="s">
        <v>60</v>
      </c>
      <c r="Z457">
        <v>0</v>
      </c>
      <c r="AA457" s="2">
        <v>0</v>
      </c>
      <c r="AB457" s="2">
        <v>0</v>
      </c>
      <c r="AC457" s="4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7.57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</row>
    <row r="458" spans="1:42" x14ac:dyDescent="0.25">
      <c r="A458" s="1">
        <v>45922</v>
      </c>
      <c r="B458" t="s">
        <v>47</v>
      </c>
      <c r="C458">
        <v>649163</v>
      </c>
      <c r="D458">
        <v>2030495949</v>
      </c>
      <c r="E458" t="s">
        <v>284</v>
      </c>
      <c r="F458" t="s">
        <v>285</v>
      </c>
      <c r="G458" t="s">
        <v>50</v>
      </c>
      <c r="H458" t="s">
        <v>93</v>
      </c>
      <c r="I458" t="s">
        <v>441</v>
      </c>
      <c r="J458" t="s">
        <v>445</v>
      </c>
      <c r="K458">
        <v>768887</v>
      </c>
      <c r="L458" t="s">
        <v>282</v>
      </c>
      <c r="M458" t="s">
        <v>283</v>
      </c>
      <c r="N458" t="s">
        <v>56</v>
      </c>
      <c r="O458" s="1">
        <v>45884</v>
      </c>
      <c r="P458" s="1">
        <v>45945</v>
      </c>
      <c r="Q458" s="2">
        <v>-53.36</v>
      </c>
      <c r="R458">
        <v>1</v>
      </c>
      <c r="S458" t="s">
        <v>57</v>
      </c>
      <c r="T458" t="s">
        <v>58</v>
      </c>
      <c r="U458" s="4">
        <v>0.7</v>
      </c>
      <c r="V458" s="2">
        <v>0</v>
      </c>
      <c r="W458">
        <v>-1</v>
      </c>
      <c r="X458" t="s">
        <v>70</v>
      </c>
      <c r="Y458" t="s">
        <v>60</v>
      </c>
      <c r="Z458">
        <v>0</v>
      </c>
      <c r="AA458" s="2">
        <v>0</v>
      </c>
      <c r="AB458" s="2">
        <v>0</v>
      </c>
      <c r="AC458" s="4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-37.35</v>
      </c>
      <c r="AM458" s="2">
        <v>-37.35</v>
      </c>
      <c r="AN458" s="2">
        <v>0</v>
      </c>
      <c r="AO458" s="2">
        <v>0</v>
      </c>
      <c r="AP458" s="2">
        <v>0</v>
      </c>
    </row>
    <row r="459" spans="1:42" x14ac:dyDescent="0.25">
      <c r="A459" s="1">
        <v>45922</v>
      </c>
      <c r="B459" t="s">
        <v>47</v>
      </c>
      <c r="C459">
        <v>649163</v>
      </c>
      <c r="D459">
        <v>2030510930</v>
      </c>
      <c r="E459" t="s">
        <v>546</v>
      </c>
      <c r="F459" t="s">
        <v>547</v>
      </c>
      <c r="G459" t="s">
        <v>50</v>
      </c>
      <c r="H459" t="s">
        <v>93</v>
      </c>
      <c r="I459" t="s">
        <v>441</v>
      </c>
      <c r="J459" t="s">
        <v>445</v>
      </c>
      <c r="K459">
        <v>843573</v>
      </c>
      <c r="L459" t="s">
        <v>534</v>
      </c>
      <c r="M459" t="s">
        <v>535</v>
      </c>
      <c r="N459" t="s">
        <v>56</v>
      </c>
      <c r="O459" s="1">
        <v>45887</v>
      </c>
      <c r="P459" s="1">
        <v>45948</v>
      </c>
      <c r="Q459" s="2">
        <v>35.06</v>
      </c>
      <c r="R459">
        <v>1</v>
      </c>
      <c r="S459" t="s">
        <v>57</v>
      </c>
      <c r="T459" t="s">
        <v>58</v>
      </c>
      <c r="U459" s="4">
        <v>0.7</v>
      </c>
      <c r="V459" s="2">
        <v>0</v>
      </c>
      <c r="W459">
        <v>0</v>
      </c>
      <c r="X459" t="s">
        <v>70</v>
      </c>
      <c r="Y459" t="s">
        <v>60</v>
      </c>
      <c r="Z459">
        <v>0</v>
      </c>
      <c r="AA459" s="2">
        <v>0</v>
      </c>
      <c r="AB459" s="2">
        <v>0</v>
      </c>
      <c r="AC459" s="4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24.54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</row>
    <row r="460" spans="1:42" x14ac:dyDescent="0.25">
      <c r="A460" s="1">
        <v>45922</v>
      </c>
      <c r="B460" t="s">
        <v>47</v>
      </c>
      <c r="C460">
        <v>649163</v>
      </c>
      <c r="D460">
        <v>2030567353</v>
      </c>
      <c r="E460" t="s">
        <v>104</v>
      </c>
      <c r="F460" t="s">
        <v>231</v>
      </c>
      <c r="G460" t="s">
        <v>50</v>
      </c>
      <c r="H460" t="s">
        <v>214</v>
      </c>
      <c r="I460" t="s">
        <v>441</v>
      </c>
      <c r="J460" t="s">
        <v>447</v>
      </c>
      <c r="K460">
        <v>823068</v>
      </c>
      <c r="L460" t="s">
        <v>215</v>
      </c>
      <c r="M460" t="s">
        <v>216</v>
      </c>
      <c r="N460" t="s">
        <v>56</v>
      </c>
      <c r="O460" s="1">
        <v>45892</v>
      </c>
      <c r="P460" s="1">
        <v>45953</v>
      </c>
      <c r="Q460" s="2">
        <v>24.61</v>
      </c>
      <c r="R460">
        <v>1</v>
      </c>
      <c r="S460" t="s">
        <v>57</v>
      </c>
      <c r="T460" t="s">
        <v>58</v>
      </c>
      <c r="U460" s="4">
        <v>0.7</v>
      </c>
      <c r="V460" s="2">
        <v>0</v>
      </c>
      <c r="W460">
        <v>0</v>
      </c>
      <c r="X460" t="s">
        <v>70</v>
      </c>
      <c r="Y460" t="s">
        <v>60</v>
      </c>
      <c r="Z460">
        <v>0</v>
      </c>
      <c r="AA460" s="2">
        <v>0</v>
      </c>
      <c r="AB460" s="2">
        <v>0</v>
      </c>
      <c r="AC460" s="4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17.23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</row>
    <row r="461" spans="1:42" x14ac:dyDescent="0.25">
      <c r="A461" s="1">
        <v>45922</v>
      </c>
      <c r="B461" t="s">
        <v>47</v>
      </c>
      <c r="C461">
        <v>649163</v>
      </c>
      <c r="D461">
        <v>2030567355</v>
      </c>
      <c r="E461" t="s">
        <v>104</v>
      </c>
      <c r="F461" t="s">
        <v>231</v>
      </c>
      <c r="G461" t="s">
        <v>50</v>
      </c>
      <c r="H461" t="s">
        <v>214</v>
      </c>
      <c r="I461" t="s">
        <v>441</v>
      </c>
      <c r="J461" t="s">
        <v>451</v>
      </c>
      <c r="K461">
        <v>823068</v>
      </c>
      <c r="L461" t="s">
        <v>215</v>
      </c>
      <c r="M461" t="s">
        <v>216</v>
      </c>
      <c r="N461" t="s">
        <v>56</v>
      </c>
      <c r="O461" s="1">
        <v>45892</v>
      </c>
      <c r="P461" s="1">
        <v>45953</v>
      </c>
      <c r="Q461" s="2">
        <v>38.85</v>
      </c>
      <c r="R461">
        <v>1</v>
      </c>
      <c r="S461" t="s">
        <v>57</v>
      </c>
      <c r="T461" t="s">
        <v>58</v>
      </c>
      <c r="U461" s="4">
        <v>0.42</v>
      </c>
      <c r="V461" s="2">
        <v>0</v>
      </c>
      <c r="W461">
        <v>0</v>
      </c>
      <c r="X461" t="s">
        <v>70</v>
      </c>
      <c r="Y461" t="s">
        <v>60</v>
      </c>
      <c r="Z461">
        <v>0</v>
      </c>
      <c r="AA461" s="2">
        <v>0</v>
      </c>
      <c r="AB461" s="2">
        <v>0</v>
      </c>
      <c r="AC461" s="4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16.32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</row>
    <row r="462" spans="1:42" x14ac:dyDescent="0.25">
      <c r="A462" s="1">
        <v>45922</v>
      </c>
      <c r="B462" t="s">
        <v>47</v>
      </c>
      <c r="C462">
        <v>649163</v>
      </c>
      <c r="D462">
        <v>2030581492</v>
      </c>
      <c r="E462" t="s">
        <v>548</v>
      </c>
      <c r="F462" t="s">
        <v>549</v>
      </c>
      <c r="G462" t="s">
        <v>50</v>
      </c>
      <c r="H462" t="s">
        <v>93</v>
      </c>
      <c r="I462" t="s">
        <v>441</v>
      </c>
      <c r="J462" t="s">
        <v>445</v>
      </c>
      <c r="K462">
        <v>813184</v>
      </c>
      <c r="L462" t="s">
        <v>194</v>
      </c>
      <c r="M462" t="s">
        <v>195</v>
      </c>
      <c r="N462" t="s">
        <v>56</v>
      </c>
      <c r="O462" s="1">
        <v>45890</v>
      </c>
      <c r="P462" s="1">
        <v>45951</v>
      </c>
      <c r="Q462" s="2">
        <v>204.04</v>
      </c>
      <c r="R462">
        <v>1</v>
      </c>
      <c r="S462" t="s">
        <v>57</v>
      </c>
      <c r="T462" t="s">
        <v>58</v>
      </c>
      <c r="U462" s="4">
        <v>0.7</v>
      </c>
      <c r="V462" s="2">
        <v>0</v>
      </c>
      <c r="W462">
        <v>0</v>
      </c>
      <c r="X462" t="s">
        <v>70</v>
      </c>
      <c r="Y462" t="s">
        <v>60</v>
      </c>
      <c r="Z462">
        <v>0</v>
      </c>
      <c r="AA462" s="2">
        <v>0</v>
      </c>
      <c r="AB462" s="2">
        <v>0</v>
      </c>
      <c r="AC462" s="4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142.83000000000001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</row>
    <row r="463" spans="1:42" x14ac:dyDescent="0.25">
      <c r="A463" s="1">
        <v>45922</v>
      </c>
      <c r="B463" t="s">
        <v>47</v>
      </c>
      <c r="C463">
        <v>649163</v>
      </c>
      <c r="D463">
        <v>2030583041</v>
      </c>
      <c r="E463" t="s">
        <v>403</v>
      </c>
      <c r="F463" t="s">
        <v>404</v>
      </c>
      <c r="G463" t="s">
        <v>50</v>
      </c>
      <c r="H463" t="s">
        <v>405</v>
      </c>
      <c r="I463" t="s">
        <v>441</v>
      </c>
      <c r="J463" t="s">
        <v>445</v>
      </c>
      <c r="K463">
        <v>820140</v>
      </c>
      <c r="L463" t="s">
        <v>406</v>
      </c>
      <c r="M463" t="s">
        <v>95</v>
      </c>
      <c r="N463" t="s">
        <v>56</v>
      </c>
      <c r="O463" s="1">
        <v>45889</v>
      </c>
      <c r="P463" s="1">
        <v>45950</v>
      </c>
      <c r="Q463" s="2">
        <v>11.5</v>
      </c>
      <c r="R463">
        <v>1</v>
      </c>
      <c r="S463" t="s">
        <v>57</v>
      </c>
      <c r="T463" t="s">
        <v>58</v>
      </c>
      <c r="U463" s="4">
        <v>0.3</v>
      </c>
      <c r="V463" s="2">
        <v>0</v>
      </c>
      <c r="W463">
        <v>0</v>
      </c>
      <c r="X463" t="s">
        <v>70</v>
      </c>
      <c r="Y463" t="s">
        <v>60</v>
      </c>
      <c r="Z463">
        <v>0</v>
      </c>
      <c r="AA463" s="2">
        <v>0</v>
      </c>
      <c r="AB463" s="2">
        <v>0</v>
      </c>
      <c r="AC463" s="4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3.45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</row>
    <row r="464" spans="1:42" x14ac:dyDescent="0.25">
      <c r="A464" s="1">
        <v>45922</v>
      </c>
      <c r="B464" t="s">
        <v>47</v>
      </c>
      <c r="C464">
        <v>649163</v>
      </c>
      <c r="D464">
        <v>2030591797</v>
      </c>
      <c r="E464" t="s">
        <v>286</v>
      </c>
      <c r="F464" t="s">
        <v>287</v>
      </c>
      <c r="G464" t="s">
        <v>50</v>
      </c>
      <c r="H464" t="s">
        <v>93</v>
      </c>
      <c r="I464" t="s">
        <v>441</v>
      </c>
      <c r="J464" t="s">
        <v>445</v>
      </c>
      <c r="K464">
        <v>856163</v>
      </c>
      <c r="L464" t="s">
        <v>79</v>
      </c>
      <c r="M464" t="s">
        <v>279</v>
      </c>
      <c r="N464" t="s">
        <v>56</v>
      </c>
      <c r="O464" s="1">
        <v>45890</v>
      </c>
      <c r="P464" s="1">
        <v>45951</v>
      </c>
      <c r="Q464" s="2">
        <v>112.95</v>
      </c>
      <c r="R464">
        <v>1</v>
      </c>
      <c r="S464" t="s">
        <v>57</v>
      </c>
      <c r="T464" t="s">
        <v>58</v>
      </c>
      <c r="U464" s="4">
        <v>0.7</v>
      </c>
      <c r="V464" s="2">
        <v>0</v>
      </c>
      <c r="W464">
        <v>0</v>
      </c>
      <c r="X464" t="s">
        <v>70</v>
      </c>
      <c r="Y464" t="s">
        <v>60</v>
      </c>
      <c r="Z464">
        <v>0</v>
      </c>
      <c r="AA464" s="2">
        <v>0</v>
      </c>
      <c r="AB464" s="2">
        <v>0</v>
      </c>
      <c r="AC464" s="4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79.06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</row>
    <row r="465" spans="1:42" x14ac:dyDescent="0.25">
      <c r="A465" s="1">
        <v>45922</v>
      </c>
      <c r="B465" t="s">
        <v>47</v>
      </c>
      <c r="C465">
        <v>649163</v>
      </c>
      <c r="D465">
        <v>2030594253</v>
      </c>
      <c r="E465" t="s">
        <v>550</v>
      </c>
      <c r="F465" t="s">
        <v>551</v>
      </c>
      <c r="G465" t="s">
        <v>50</v>
      </c>
      <c r="H465" t="s">
        <v>93</v>
      </c>
      <c r="I465" t="s">
        <v>441</v>
      </c>
      <c r="J465" t="s">
        <v>445</v>
      </c>
      <c r="K465">
        <v>807212</v>
      </c>
      <c r="L465" t="s">
        <v>467</v>
      </c>
      <c r="M465" t="s">
        <v>468</v>
      </c>
      <c r="N465" t="s">
        <v>56</v>
      </c>
      <c r="O465" s="1">
        <v>45890</v>
      </c>
      <c r="P465" s="1">
        <v>45951</v>
      </c>
      <c r="Q465" s="2">
        <v>58.24</v>
      </c>
      <c r="R465">
        <v>1</v>
      </c>
      <c r="S465" t="s">
        <v>57</v>
      </c>
      <c r="T465" t="s">
        <v>58</v>
      </c>
      <c r="U465" s="4">
        <v>0.7</v>
      </c>
      <c r="V465" s="2">
        <v>0</v>
      </c>
      <c r="W465">
        <v>0</v>
      </c>
      <c r="X465" t="s">
        <v>70</v>
      </c>
      <c r="Y465" t="s">
        <v>60</v>
      </c>
      <c r="Z465">
        <v>0</v>
      </c>
      <c r="AA465" s="2">
        <v>0</v>
      </c>
      <c r="AB465" s="2">
        <v>0</v>
      </c>
      <c r="AC465" s="4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40.770000000000003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</row>
    <row r="466" spans="1:42" x14ac:dyDescent="0.25">
      <c r="A466" s="1">
        <v>45922</v>
      </c>
      <c r="B466" t="s">
        <v>47</v>
      </c>
      <c r="C466">
        <v>649163</v>
      </c>
      <c r="D466">
        <v>2030602566</v>
      </c>
      <c r="E466" t="s">
        <v>552</v>
      </c>
      <c r="F466" t="s">
        <v>553</v>
      </c>
      <c r="G466" t="s">
        <v>50</v>
      </c>
      <c r="H466" t="s">
        <v>93</v>
      </c>
      <c r="I466" t="s">
        <v>441</v>
      </c>
      <c r="J466" t="s">
        <v>445</v>
      </c>
      <c r="K466">
        <v>807212</v>
      </c>
      <c r="L466" t="s">
        <v>467</v>
      </c>
      <c r="M466" t="s">
        <v>468</v>
      </c>
      <c r="N466" t="s">
        <v>56</v>
      </c>
      <c r="O466" s="1">
        <v>45890</v>
      </c>
      <c r="P466" s="1">
        <v>45951</v>
      </c>
      <c r="Q466" s="2">
        <v>56.51</v>
      </c>
      <c r="R466">
        <v>1</v>
      </c>
      <c r="S466" t="s">
        <v>57</v>
      </c>
      <c r="T466" t="s">
        <v>58</v>
      </c>
      <c r="U466" s="4">
        <v>0.7</v>
      </c>
      <c r="V466" s="2">
        <v>0</v>
      </c>
      <c r="W466">
        <v>0</v>
      </c>
      <c r="X466" t="s">
        <v>70</v>
      </c>
      <c r="Y466" t="s">
        <v>60</v>
      </c>
      <c r="Z466">
        <v>0</v>
      </c>
      <c r="AA466" s="2">
        <v>0</v>
      </c>
      <c r="AB466" s="2">
        <v>0</v>
      </c>
      <c r="AC466" s="4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39.56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</row>
    <row r="467" spans="1:42" x14ac:dyDescent="0.25">
      <c r="A467" s="1">
        <v>45922</v>
      </c>
      <c r="B467" t="s">
        <v>47</v>
      </c>
      <c r="C467">
        <v>649163</v>
      </c>
      <c r="D467">
        <v>2030613892</v>
      </c>
      <c r="E467" t="s">
        <v>554</v>
      </c>
      <c r="F467" t="s">
        <v>555</v>
      </c>
      <c r="G467" t="s">
        <v>50</v>
      </c>
      <c r="H467" t="s">
        <v>93</v>
      </c>
      <c r="I467" t="s">
        <v>441</v>
      </c>
      <c r="J467" t="s">
        <v>445</v>
      </c>
      <c r="K467">
        <v>812656</v>
      </c>
      <c r="L467" t="s">
        <v>338</v>
      </c>
      <c r="M467" t="s">
        <v>377</v>
      </c>
      <c r="N467" t="s">
        <v>56</v>
      </c>
      <c r="O467" s="1">
        <v>45891</v>
      </c>
      <c r="P467" s="1">
        <v>45952</v>
      </c>
      <c r="Q467" s="2">
        <v>110.16</v>
      </c>
      <c r="R467">
        <v>1</v>
      </c>
      <c r="S467" t="s">
        <v>57</v>
      </c>
      <c r="T467" t="s">
        <v>58</v>
      </c>
      <c r="U467" s="4">
        <v>0.7</v>
      </c>
      <c r="V467" s="2">
        <v>0</v>
      </c>
      <c r="W467">
        <v>0</v>
      </c>
      <c r="X467" t="s">
        <v>70</v>
      </c>
      <c r="Y467" t="s">
        <v>60</v>
      </c>
      <c r="Z467">
        <v>0</v>
      </c>
      <c r="AA467" s="2">
        <v>0</v>
      </c>
      <c r="AB467" s="2">
        <v>0</v>
      </c>
      <c r="AC467" s="4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77.11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</row>
    <row r="468" spans="1:42" x14ac:dyDescent="0.25">
      <c r="A468" s="1">
        <v>45922</v>
      </c>
      <c r="B468" t="s">
        <v>47</v>
      </c>
      <c r="C468">
        <v>649163</v>
      </c>
      <c r="D468">
        <v>2030720647</v>
      </c>
      <c r="E468" t="s">
        <v>558</v>
      </c>
      <c r="F468" t="s">
        <v>559</v>
      </c>
      <c r="G468" t="s">
        <v>50</v>
      </c>
      <c r="H468" t="s">
        <v>115</v>
      </c>
      <c r="I468" t="s">
        <v>441</v>
      </c>
      <c r="J468" t="s">
        <v>445</v>
      </c>
      <c r="K468">
        <v>867497</v>
      </c>
      <c r="L468" t="s">
        <v>560</v>
      </c>
      <c r="M468" t="s">
        <v>561</v>
      </c>
      <c r="N468" t="s">
        <v>230</v>
      </c>
      <c r="O468" s="1">
        <v>45901</v>
      </c>
      <c r="P468" s="1">
        <v>45931</v>
      </c>
      <c r="Q468" s="2">
        <v>-70.819999999999993</v>
      </c>
      <c r="R468">
        <v>1</v>
      </c>
      <c r="S468" t="s">
        <v>57</v>
      </c>
      <c r="T468" t="s">
        <v>58</v>
      </c>
      <c r="U468" s="4">
        <v>0.7</v>
      </c>
      <c r="V468" s="2">
        <v>0</v>
      </c>
      <c r="W468">
        <v>-1</v>
      </c>
      <c r="X468" t="s">
        <v>70</v>
      </c>
      <c r="Y468" t="s">
        <v>60</v>
      </c>
      <c r="Z468">
        <v>0</v>
      </c>
      <c r="AA468" s="2">
        <v>0</v>
      </c>
      <c r="AB468" s="2">
        <v>0</v>
      </c>
      <c r="AC468" s="4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-49.57</v>
      </c>
      <c r="AM468" s="2">
        <v>-49.57</v>
      </c>
      <c r="AN468" s="2">
        <v>0</v>
      </c>
      <c r="AO468" s="2">
        <v>0</v>
      </c>
      <c r="AP468" s="2">
        <v>0</v>
      </c>
    </row>
    <row r="469" spans="1:42" x14ac:dyDescent="0.25">
      <c r="A469" s="1">
        <v>45922</v>
      </c>
      <c r="B469" t="s">
        <v>47</v>
      </c>
      <c r="C469">
        <v>649163</v>
      </c>
      <c r="D469">
        <v>2030846038</v>
      </c>
      <c r="E469" t="s">
        <v>414</v>
      </c>
      <c r="F469" t="s">
        <v>415</v>
      </c>
      <c r="G469" t="s">
        <v>50</v>
      </c>
      <c r="H469" t="s">
        <v>115</v>
      </c>
      <c r="I469" t="s">
        <v>441</v>
      </c>
      <c r="J469" t="s">
        <v>445</v>
      </c>
      <c r="K469">
        <v>822865</v>
      </c>
      <c r="L469" t="s">
        <v>158</v>
      </c>
      <c r="M469" t="s">
        <v>159</v>
      </c>
      <c r="N469" t="s">
        <v>230</v>
      </c>
      <c r="O469" s="1">
        <v>45913</v>
      </c>
      <c r="P469" s="1">
        <v>45943</v>
      </c>
      <c r="Q469" s="2">
        <v>-28.38</v>
      </c>
      <c r="R469">
        <v>1</v>
      </c>
      <c r="S469" t="s">
        <v>57</v>
      </c>
      <c r="T469" t="s">
        <v>96</v>
      </c>
      <c r="U469" s="4">
        <v>0.7</v>
      </c>
      <c r="V469" s="2">
        <v>0</v>
      </c>
      <c r="W469">
        <v>-1</v>
      </c>
      <c r="X469" t="s">
        <v>70</v>
      </c>
      <c r="Y469" t="s">
        <v>60</v>
      </c>
      <c r="Z469">
        <v>0</v>
      </c>
      <c r="AA469" s="2">
        <v>0</v>
      </c>
      <c r="AB469" s="2">
        <v>0</v>
      </c>
      <c r="AC469" s="4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-19.87</v>
      </c>
      <c r="AM469" s="2">
        <v>-19.87</v>
      </c>
      <c r="AN469" s="2">
        <v>0</v>
      </c>
      <c r="AO469" s="2">
        <v>0</v>
      </c>
      <c r="AP469" s="2">
        <v>0</v>
      </c>
    </row>
    <row r="470" spans="1:42" x14ac:dyDescent="0.25">
      <c r="A470" s="1">
        <v>45922</v>
      </c>
      <c r="B470" t="s">
        <v>47</v>
      </c>
      <c r="C470">
        <v>649163</v>
      </c>
      <c r="D470">
        <v>2020461026</v>
      </c>
      <c r="E470" t="s">
        <v>242</v>
      </c>
      <c r="F470" t="s">
        <v>179</v>
      </c>
      <c r="G470" t="s">
        <v>50</v>
      </c>
      <c r="H470" t="s">
        <v>157</v>
      </c>
      <c r="I470" t="s">
        <v>569</v>
      </c>
      <c r="J470" t="s">
        <v>570</v>
      </c>
      <c r="K470">
        <v>673059</v>
      </c>
      <c r="L470" t="s">
        <v>152</v>
      </c>
      <c r="M470" t="s">
        <v>153</v>
      </c>
      <c r="N470" t="s">
        <v>56</v>
      </c>
      <c r="O470" s="1">
        <v>45284</v>
      </c>
      <c r="P470" s="1">
        <v>45954</v>
      </c>
      <c r="Q470" s="2">
        <v>263.83</v>
      </c>
      <c r="R470">
        <v>1</v>
      </c>
      <c r="S470" t="s">
        <v>57</v>
      </c>
      <c r="T470" t="s">
        <v>58</v>
      </c>
      <c r="U470" s="4">
        <v>0.28999999999999998</v>
      </c>
      <c r="V470" s="2">
        <v>0</v>
      </c>
      <c r="W470">
        <v>0</v>
      </c>
      <c r="X470" t="s">
        <v>59</v>
      </c>
      <c r="Y470" t="s">
        <v>60</v>
      </c>
      <c r="Z470">
        <v>0</v>
      </c>
      <c r="AA470" s="2">
        <v>0</v>
      </c>
      <c r="AB470" s="2">
        <v>0</v>
      </c>
      <c r="AC470" s="4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76.510000000000005</v>
      </c>
      <c r="AM470" s="2">
        <v>76.510000000000005</v>
      </c>
      <c r="AN470" s="2">
        <v>0</v>
      </c>
      <c r="AO470" s="2">
        <v>0</v>
      </c>
      <c r="AP470" s="2">
        <v>0</v>
      </c>
    </row>
    <row r="471" spans="1:42" x14ac:dyDescent="0.25">
      <c r="A471" s="1">
        <v>45922</v>
      </c>
      <c r="B471" t="s">
        <v>47</v>
      </c>
      <c r="C471">
        <v>649163</v>
      </c>
      <c r="D471">
        <v>2030600737</v>
      </c>
      <c r="E471" t="s">
        <v>288</v>
      </c>
      <c r="F471" t="s">
        <v>289</v>
      </c>
      <c r="G471" t="s">
        <v>50</v>
      </c>
      <c r="H471" t="s">
        <v>115</v>
      </c>
      <c r="I471" t="s">
        <v>569</v>
      </c>
      <c r="J471" t="s">
        <v>571</v>
      </c>
      <c r="K471">
        <v>882919</v>
      </c>
      <c r="L471" t="s">
        <v>290</v>
      </c>
      <c r="M471" t="s">
        <v>291</v>
      </c>
      <c r="N471" t="s">
        <v>56</v>
      </c>
      <c r="O471" s="1">
        <v>45894</v>
      </c>
      <c r="P471" s="1">
        <v>45955</v>
      </c>
      <c r="Q471" s="2">
        <v>89.62</v>
      </c>
      <c r="R471">
        <v>1</v>
      </c>
      <c r="S471" t="s">
        <v>57</v>
      </c>
      <c r="T471" t="s">
        <v>58</v>
      </c>
      <c r="U471" s="4">
        <v>0.28999999999999998</v>
      </c>
      <c r="V471" s="2">
        <v>0</v>
      </c>
      <c r="W471">
        <v>0</v>
      </c>
      <c r="X471" t="s">
        <v>70</v>
      </c>
      <c r="Y471" t="s">
        <v>60</v>
      </c>
      <c r="Z471">
        <v>0</v>
      </c>
      <c r="AA471" s="2">
        <v>0</v>
      </c>
      <c r="AB471" s="2">
        <v>0</v>
      </c>
      <c r="AC471" s="4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25.99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</row>
    <row r="472" spans="1:42" x14ac:dyDescent="0.25">
      <c r="A472" s="1">
        <v>45922</v>
      </c>
      <c r="B472" t="s">
        <v>47</v>
      </c>
      <c r="C472">
        <v>649163</v>
      </c>
      <c r="D472">
        <v>2018421687</v>
      </c>
      <c r="E472" t="s">
        <v>573</v>
      </c>
      <c r="F472" t="s">
        <v>374</v>
      </c>
      <c r="G472" t="s">
        <v>50</v>
      </c>
      <c r="H472" t="s">
        <v>151</v>
      </c>
      <c r="I472" t="s">
        <v>574</v>
      </c>
      <c r="J472" t="s">
        <v>575</v>
      </c>
      <c r="K472">
        <v>673059</v>
      </c>
      <c r="L472" t="s">
        <v>152</v>
      </c>
      <c r="M472" t="s">
        <v>153</v>
      </c>
      <c r="N472" t="s">
        <v>56</v>
      </c>
      <c r="O472" s="1">
        <v>45037</v>
      </c>
      <c r="P472" s="1">
        <v>45951</v>
      </c>
      <c r="Q472" s="2">
        <v>113.49</v>
      </c>
      <c r="R472">
        <v>1</v>
      </c>
      <c r="S472" t="s">
        <v>57</v>
      </c>
      <c r="T472" t="s">
        <v>58</v>
      </c>
      <c r="U472" s="3">
        <v>5.2499999999999998E-2</v>
      </c>
      <c r="V472" s="2">
        <v>0</v>
      </c>
      <c r="W472">
        <v>0</v>
      </c>
      <c r="X472" t="s">
        <v>59</v>
      </c>
      <c r="Y472" t="s">
        <v>60</v>
      </c>
      <c r="Z472">
        <v>0</v>
      </c>
      <c r="AA472" s="2">
        <v>0</v>
      </c>
      <c r="AB472" s="2">
        <v>0</v>
      </c>
      <c r="AC472" s="4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5.96</v>
      </c>
      <c r="AM472" s="2">
        <v>5.96</v>
      </c>
      <c r="AN472" s="2">
        <v>0</v>
      </c>
      <c r="AO472" s="2">
        <v>0</v>
      </c>
      <c r="AP472" s="2">
        <v>0</v>
      </c>
    </row>
    <row r="473" spans="1:42" x14ac:dyDescent="0.25">
      <c r="A473" s="1">
        <v>45922</v>
      </c>
      <c r="B473" t="s">
        <v>47</v>
      </c>
      <c r="C473">
        <v>649163</v>
      </c>
      <c r="D473">
        <v>2018582686</v>
      </c>
      <c r="E473" t="s">
        <v>452</v>
      </c>
      <c r="F473" t="s">
        <v>179</v>
      </c>
      <c r="G473" t="s">
        <v>50</v>
      </c>
      <c r="H473" t="s">
        <v>151</v>
      </c>
      <c r="I473" t="s">
        <v>574</v>
      </c>
      <c r="J473" t="s">
        <v>575</v>
      </c>
      <c r="K473">
        <v>673059</v>
      </c>
      <c r="L473" t="s">
        <v>152</v>
      </c>
      <c r="M473" t="s">
        <v>153</v>
      </c>
      <c r="N473" t="s">
        <v>56</v>
      </c>
      <c r="O473" s="1">
        <v>45096</v>
      </c>
      <c r="P473" s="1">
        <v>45949</v>
      </c>
      <c r="Q473" s="2">
        <v>95.21</v>
      </c>
      <c r="R473">
        <v>1</v>
      </c>
      <c r="S473" t="s">
        <v>57</v>
      </c>
      <c r="T473" t="s">
        <v>58</v>
      </c>
      <c r="U473" s="3">
        <v>5.2499999999999998E-2</v>
      </c>
      <c r="V473" s="2">
        <v>0</v>
      </c>
      <c r="W473">
        <v>0</v>
      </c>
      <c r="X473" t="s">
        <v>59</v>
      </c>
      <c r="Y473" t="s">
        <v>60</v>
      </c>
      <c r="Z473">
        <v>0</v>
      </c>
      <c r="AA473" s="2">
        <v>0</v>
      </c>
      <c r="AB473" s="2">
        <v>0</v>
      </c>
      <c r="AC473" s="4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5</v>
      </c>
      <c r="AM473" s="2">
        <v>5</v>
      </c>
      <c r="AN473" s="2">
        <v>0</v>
      </c>
      <c r="AO473" s="2">
        <v>0</v>
      </c>
      <c r="AP473" s="2">
        <v>0</v>
      </c>
    </row>
    <row r="474" spans="1:42" x14ac:dyDescent="0.25">
      <c r="A474" s="1">
        <v>45922</v>
      </c>
      <c r="B474" t="s">
        <v>47</v>
      </c>
      <c r="C474">
        <v>649163</v>
      </c>
      <c r="D474">
        <v>2019012741</v>
      </c>
      <c r="E474" t="s">
        <v>576</v>
      </c>
      <c r="F474" t="s">
        <v>577</v>
      </c>
      <c r="G474" t="s">
        <v>50</v>
      </c>
      <c r="H474" t="s">
        <v>51</v>
      </c>
      <c r="I474" t="s">
        <v>574</v>
      </c>
      <c r="J474" t="s">
        <v>575</v>
      </c>
      <c r="K474">
        <v>678320</v>
      </c>
      <c r="L474" t="s">
        <v>316</v>
      </c>
      <c r="M474" t="s">
        <v>317</v>
      </c>
      <c r="N474" t="s">
        <v>56</v>
      </c>
      <c r="O474" s="1">
        <v>45091</v>
      </c>
      <c r="P474" s="1">
        <v>45944</v>
      </c>
      <c r="Q474" s="2">
        <v>-55.54</v>
      </c>
      <c r="R474">
        <v>1</v>
      </c>
      <c r="S474" t="s">
        <v>57</v>
      </c>
      <c r="T474" t="s">
        <v>58</v>
      </c>
      <c r="U474" s="3">
        <v>5.2499999999999998E-2</v>
      </c>
      <c r="V474" s="2">
        <v>0</v>
      </c>
      <c r="W474">
        <v>-1</v>
      </c>
      <c r="X474" t="s">
        <v>59</v>
      </c>
      <c r="Y474" t="s">
        <v>60</v>
      </c>
      <c r="Z474">
        <v>0</v>
      </c>
      <c r="AA474" s="2">
        <v>0</v>
      </c>
      <c r="AB474" s="2">
        <v>0</v>
      </c>
      <c r="AC474" s="4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-2.92</v>
      </c>
      <c r="AM474" s="2">
        <v>-2.92</v>
      </c>
      <c r="AN474" s="2">
        <v>0</v>
      </c>
      <c r="AO474" s="2">
        <v>0</v>
      </c>
      <c r="AP474" s="2">
        <v>0</v>
      </c>
    </row>
    <row r="475" spans="1:42" x14ac:dyDescent="0.25">
      <c r="A475" s="1">
        <v>45922</v>
      </c>
      <c r="B475" t="s">
        <v>47</v>
      </c>
      <c r="C475">
        <v>649163</v>
      </c>
      <c r="D475">
        <v>2020850122</v>
      </c>
      <c r="E475" t="s">
        <v>578</v>
      </c>
      <c r="F475" t="s">
        <v>85</v>
      </c>
      <c r="G475" t="s">
        <v>50</v>
      </c>
      <c r="H475" t="s">
        <v>77</v>
      </c>
      <c r="I475" t="s">
        <v>574</v>
      </c>
      <c r="J475" t="s">
        <v>575</v>
      </c>
      <c r="K475">
        <v>649164</v>
      </c>
      <c r="L475" t="s">
        <v>579</v>
      </c>
      <c r="M475" t="s">
        <v>398</v>
      </c>
      <c r="N475" t="s">
        <v>56</v>
      </c>
      <c r="O475" s="1">
        <v>45251</v>
      </c>
      <c r="P475" s="1">
        <v>45951</v>
      </c>
      <c r="Q475" s="2">
        <v>130.83000000000001</v>
      </c>
      <c r="R475">
        <v>1</v>
      </c>
      <c r="S475" t="s">
        <v>57</v>
      </c>
      <c r="T475" t="s">
        <v>58</v>
      </c>
      <c r="U475" s="3">
        <v>5.2499999999999998E-2</v>
      </c>
      <c r="V475" s="2">
        <v>0</v>
      </c>
      <c r="W475">
        <v>0</v>
      </c>
      <c r="X475" t="s">
        <v>59</v>
      </c>
      <c r="Y475" t="s">
        <v>60</v>
      </c>
      <c r="Z475">
        <v>0</v>
      </c>
      <c r="AA475" s="2">
        <v>0</v>
      </c>
      <c r="AB475" s="2">
        <v>0</v>
      </c>
      <c r="AC475" s="4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6.87</v>
      </c>
      <c r="AM475" s="2">
        <v>6.87</v>
      </c>
      <c r="AN475" s="2">
        <v>0</v>
      </c>
      <c r="AO475" s="2">
        <v>0</v>
      </c>
      <c r="AP475" s="2">
        <v>0</v>
      </c>
    </row>
    <row r="476" spans="1:42" x14ac:dyDescent="0.25">
      <c r="A476" s="1">
        <v>45922</v>
      </c>
      <c r="B476" t="s">
        <v>47</v>
      </c>
      <c r="C476">
        <v>649163</v>
      </c>
      <c r="D476">
        <v>2024385927</v>
      </c>
      <c r="E476" t="s">
        <v>547</v>
      </c>
      <c r="F476" t="s">
        <v>580</v>
      </c>
      <c r="G476" t="s">
        <v>50</v>
      </c>
      <c r="H476" t="s">
        <v>51</v>
      </c>
      <c r="I476" t="s">
        <v>574</v>
      </c>
      <c r="J476" t="s">
        <v>575</v>
      </c>
      <c r="K476">
        <v>650218</v>
      </c>
      <c r="L476" t="s">
        <v>73</v>
      </c>
      <c r="M476" t="s">
        <v>74</v>
      </c>
      <c r="N476" t="s">
        <v>56</v>
      </c>
      <c r="O476" s="1">
        <v>45519</v>
      </c>
      <c r="P476" s="1">
        <v>45945</v>
      </c>
      <c r="Q476" s="2">
        <v>46.07</v>
      </c>
      <c r="R476">
        <v>1</v>
      </c>
      <c r="S476" t="s">
        <v>57</v>
      </c>
      <c r="T476" t="s">
        <v>58</v>
      </c>
      <c r="U476" s="3">
        <v>5.2499999999999998E-2</v>
      </c>
      <c r="V476" s="2">
        <v>0</v>
      </c>
      <c r="W476">
        <v>0</v>
      </c>
      <c r="X476" t="s">
        <v>59</v>
      </c>
      <c r="Y476" t="s">
        <v>60</v>
      </c>
      <c r="Z476">
        <v>0</v>
      </c>
      <c r="AA476" s="2">
        <v>0</v>
      </c>
      <c r="AB476" s="2">
        <v>0</v>
      </c>
      <c r="AC476" s="4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2.42</v>
      </c>
      <c r="AM476" s="2">
        <v>2.42</v>
      </c>
      <c r="AN476" s="2">
        <v>0</v>
      </c>
      <c r="AO476" s="2">
        <v>0</v>
      </c>
      <c r="AP476" s="2">
        <v>0</v>
      </c>
    </row>
    <row r="477" spans="1:42" x14ac:dyDescent="0.25">
      <c r="A477" s="1">
        <v>45922</v>
      </c>
      <c r="B477" t="s">
        <v>47</v>
      </c>
      <c r="C477">
        <v>649163</v>
      </c>
      <c r="D477">
        <v>2024385928</v>
      </c>
      <c r="E477" t="s">
        <v>547</v>
      </c>
      <c r="F477" t="s">
        <v>580</v>
      </c>
      <c r="G477" t="s">
        <v>50</v>
      </c>
      <c r="H477" t="s">
        <v>51</v>
      </c>
      <c r="I477" t="s">
        <v>574</v>
      </c>
      <c r="J477" t="s">
        <v>581</v>
      </c>
      <c r="K477">
        <v>650218</v>
      </c>
      <c r="L477" t="s">
        <v>73</v>
      </c>
      <c r="M477" t="s">
        <v>74</v>
      </c>
      <c r="N477" t="s">
        <v>56</v>
      </c>
      <c r="O477" s="1">
        <v>45519</v>
      </c>
      <c r="P477" s="1">
        <v>45945</v>
      </c>
      <c r="Q477" s="2">
        <v>37.36</v>
      </c>
      <c r="R477">
        <v>1</v>
      </c>
      <c r="S477" t="s">
        <v>57</v>
      </c>
      <c r="T477" t="s">
        <v>58</v>
      </c>
      <c r="U477" s="4">
        <v>0.08</v>
      </c>
      <c r="V477" s="2">
        <v>0</v>
      </c>
      <c r="W477">
        <v>0</v>
      </c>
      <c r="X477" t="s">
        <v>59</v>
      </c>
      <c r="Y477" t="s">
        <v>60</v>
      </c>
      <c r="Z477">
        <v>0</v>
      </c>
      <c r="AA477" s="2">
        <v>0</v>
      </c>
      <c r="AB477" s="2">
        <v>0</v>
      </c>
      <c r="AC477" s="4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2.99</v>
      </c>
      <c r="AM477" s="2">
        <v>2.99</v>
      </c>
      <c r="AN477" s="2">
        <v>0</v>
      </c>
      <c r="AO477" s="2">
        <v>0</v>
      </c>
      <c r="AP477" s="2">
        <v>0</v>
      </c>
    </row>
    <row r="478" spans="1:42" x14ac:dyDescent="0.25">
      <c r="A478" s="1">
        <v>45922</v>
      </c>
      <c r="B478" t="s">
        <v>47</v>
      </c>
      <c r="C478">
        <v>649163</v>
      </c>
      <c r="D478">
        <v>2025295163</v>
      </c>
      <c r="E478" t="s">
        <v>582</v>
      </c>
      <c r="F478" t="s">
        <v>583</v>
      </c>
      <c r="G478" t="s">
        <v>50</v>
      </c>
      <c r="H478" t="s">
        <v>405</v>
      </c>
      <c r="I478" t="s">
        <v>574</v>
      </c>
      <c r="J478" t="s">
        <v>575</v>
      </c>
      <c r="K478">
        <v>767312</v>
      </c>
      <c r="L478" t="s">
        <v>122</v>
      </c>
      <c r="M478" t="s">
        <v>123</v>
      </c>
      <c r="N478" t="s">
        <v>56</v>
      </c>
      <c r="O478" s="1">
        <v>45580</v>
      </c>
      <c r="P478" s="1">
        <v>45945</v>
      </c>
      <c r="Q478" s="2">
        <v>60.92</v>
      </c>
      <c r="R478">
        <v>1</v>
      </c>
      <c r="S478" t="s">
        <v>57</v>
      </c>
      <c r="T478" t="s">
        <v>58</v>
      </c>
      <c r="U478" s="4">
        <v>0.47</v>
      </c>
      <c r="V478" s="2">
        <v>0</v>
      </c>
      <c r="W478">
        <v>0</v>
      </c>
      <c r="X478" t="s">
        <v>70</v>
      </c>
      <c r="Y478" t="s">
        <v>60</v>
      </c>
      <c r="Z478">
        <v>0</v>
      </c>
      <c r="AA478" s="2">
        <v>0</v>
      </c>
      <c r="AB478" s="2">
        <v>0</v>
      </c>
      <c r="AC478" s="4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28.63</v>
      </c>
      <c r="AM478" s="2">
        <v>28.63</v>
      </c>
      <c r="AN478" s="2">
        <v>0</v>
      </c>
      <c r="AO478" s="2">
        <v>0</v>
      </c>
      <c r="AP478" s="2">
        <v>0</v>
      </c>
    </row>
    <row r="479" spans="1:42" x14ac:dyDescent="0.25">
      <c r="A479" s="1">
        <v>45922</v>
      </c>
      <c r="B479" t="s">
        <v>47</v>
      </c>
      <c r="C479">
        <v>649163</v>
      </c>
      <c r="D479">
        <v>2025333216</v>
      </c>
      <c r="E479" t="s">
        <v>584</v>
      </c>
      <c r="F479" t="s">
        <v>585</v>
      </c>
      <c r="G479" t="s">
        <v>50</v>
      </c>
      <c r="H479" t="s">
        <v>93</v>
      </c>
      <c r="I479" t="s">
        <v>574</v>
      </c>
      <c r="J479" t="s">
        <v>575</v>
      </c>
      <c r="K479">
        <v>766422</v>
      </c>
      <c r="L479" t="s">
        <v>586</v>
      </c>
      <c r="M479" t="s">
        <v>109</v>
      </c>
      <c r="N479" t="s">
        <v>56</v>
      </c>
      <c r="O479" s="1">
        <v>45581</v>
      </c>
      <c r="P479" s="1">
        <v>45946</v>
      </c>
      <c r="Q479" s="2">
        <v>53.01</v>
      </c>
      <c r="R479">
        <v>1</v>
      </c>
      <c r="S479" t="s">
        <v>57</v>
      </c>
      <c r="T479" t="s">
        <v>58</v>
      </c>
      <c r="U479" s="4">
        <v>0.47</v>
      </c>
      <c r="V479" s="2">
        <v>0</v>
      </c>
      <c r="W479">
        <v>0</v>
      </c>
      <c r="X479" t="s">
        <v>70</v>
      </c>
      <c r="Y479" t="s">
        <v>60</v>
      </c>
      <c r="Z479">
        <v>0</v>
      </c>
      <c r="AA479" s="2">
        <v>0</v>
      </c>
      <c r="AB479" s="2">
        <v>0</v>
      </c>
      <c r="AC479" s="4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24.91</v>
      </c>
      <c r="AM479" s="2">
        <v>24.91</v>
      </c>
      <c r="AN479" s="2">
        <v>0</v>
      </c>
      <c r="AO479" s="2">
        <v>0</v>
      </c>
      <c r="AP479" s="2">
        <v>0</v>
      </c>
    </row>
    <row r="480" spans="1:42" x14ac:dyDescent="0.25">
      <c r="A480" s="1">
        <v>45922</v>
      </c>
      <c r="B480" t="s">
        <v>47</v>
      </c>
      <c r="C480">
        <v>649163</v>
      </c>
      <c r="D480">
        <v>2026211393</v>
      </c>
      <c r="E480" t="s">
        <v>587</v>
      </c>
      <c r="F480" t="s">
        <v>588</v>
      </c>
      <c r="G480" t="s">
        <v>50</v>
      </c>
      <c r="H480" t="s">
        <v>51</v>
      </c>
      <c r="I480" t="s">
        <v>574</v>
      </c>
      <c r="J480" t="s">
        <v>575</v>
      </c>
      <c r="K480">
        <v>728134</v>
      </c>
      <c r="L480" t="s">
        <v>322</v>
      </c>
      <c r="M480" t="s">
        <v>323</v>
      </c>
      <c r="N480" t="s">
        <v>56</v>
      </c>
      <c r="O480" s="1">
        <v>45644</v>
      </c>
      <c r="P480" s="1">
        <v>45948</v>
      </c>
      <c r="Q480" s="2">
        <v>45.54</v>
      </c>
      <c r="R480">
        <v>1</v>
      </c>
      <c r="S480" t="s">
        <v>57</v>
      </c>
      <c r="T480" t="s">
        <v>58</v>
      </c>
      <c r="U480" s="4">
        <v>0.47</v>
      </c>
      <c r="V480" s="2">
        <v>0</v>
      </c>
      <c r="W480">
        <v>0</v>
      </c>
      <c r="X480" t="s">
        <v>70</v>
      </c>
      <c r="Y480" t="s">
        <v>60</v>
      </c>
      <c r="Z480">
        <v>0</v>
      </c>
      <c r="AA480" s="2">
        <v>0</v>
      </c>
      <c r="AB480" s="2">
        <v>0</v>
      </c>
      <c r="AC480" s="4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21.4</v>
      </c>
      <c r="AM480" s="2">
        <v>21.4</v>
      </c>
      <c r="AN480" s="2">
        <v>0</v>
      </c>
      <c r="AO480" s="2">
        <v>0</v>
      </c>
      <c r="AP480" s="2">
        <v>0</v>
      </c>
    </row>
    <row r="481" spans="1:42" x14ac:dyDescent="0.25">
      <c r="A481" s="1">
        <v>45922</v>
      </c>
      <c r="B481" t="s">
        <v>47</v>
      </c>
      <c r="C481">
        <v>649163</v>
      </c>
      <c r="D481">
        <v>2026212129</v>
      </c>
      <c r="E481" t="s">
        <v>589</v>
      </c>
      <c r="F481" t="s">
        <v>349</v>
      </c>
      <c r="G481" t="s">
        <v>50</v>
      </c>
      <c r="H481" t="s">
        <v>51</v>
      </c>
      <c r="I481" t="s">
        <v>574</v>
      </c>
      <c r="J481" t="s">
        <v>575</v>
      </c>
      <c r="K481">
        <v>728134</v>
      </c>
      <c r="L481" t="s">
        <v>322</v>
      </c>
      <c r="M481" t="s">
        <v>323</v>
      </c>
      <c r="N481" t="s">
        <v>56</v>
      </c>
      <c r="O481" s="1">
        <v>45644</v>
      </c>
      <c r="P481" s="1">
        <v>45948</v>
      </c>
      <c r="Q481" s="2">
        <v>45.54</v>
      </c>
      <c r="R481">
        <v>1</v>
      </c>
      <c r="S481" t="s">
        <v>57</v>
      </c>
      <c r="T481" t="s">
        <v>58</v>
      </c>
      <c r="U481" s="4">
        <v>0.47</v>
      </c>
      <c r="V481" s="2">
        <v>0</v>
      </c>
      <c r="W481">
        <v>0</v>
      </c>
      <c r="X481" t="s">
        <v>70</v>
      </c>
      <c r="Y481" t="s">
        <v>60</v>
      </c>
      <c r="Z481">
        <v>0</v>
      </c>
      <c r="AA481" s="2">
        <v>0</v>
      </c>
      <c r="AB481" s="2">
        <v>0</v>
      </c>
      <c r="AC481" s="4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21.4</v>
      </c>
      <c r="AM481" s="2">
        <v>21.4</v>
      </c>
      <c r="AN481" s="2">
        <v>0</v>
      </c>
      <c r="AO481" s="2">
        <v>0</v>
      </c>
      <c r="AP481" s="2">
        <v>0</v>
      </c>
    </row>
    <row r="482" spans="1:42" x14ac:dyDescent="0.25">
      <c r="A482" s="1">
        <v>45922</v>
      </c>
      <c r="B482" t="s">
        <v>47</v>
      </c>
      <c r="C482">
        <v>649163</v>
      </c>
      <c r="D482">
        <v>2026607392</v>
      </c>
      <c r="E482" t="s">
        <v>590</v>
      </c>
      <c r="F482" t="s">
        <v>514</v>
      </c>
      <c r="G482" t="s">
        <v>50</v>
      </c>
      <c r="H482" t="s">
        <v>51</v>
      </c>
      <c r="I482" t="s">
        <v>574</v>
      </c>
      <c r="J482" t="s">
        <v>575</v>
      </c>
      <c r="K482">
        <v>728134</v>
      </c>
      <c r="L482" t="s">
        <v>322</v>
      </c>
      <c r="M482" t="s">
        <v>323</v>
      </c>
      <c r="N482" t="s">
        <v>56</v>
      </c>
      <c r="O482" s="1">
        <v>45673</v>
      </c>
      <c r="P482" s="1">
        <v>45946</v>
      </c>
      <c r="Q482" s="2">
        <v>78.83</v>
      </c>
      <c r="R482">
        <v>1</v>
      </c>
      <c r="S482" t="s">
        <v>57</v>
      </c>
      <c r="T482" t="s">
        <v>58</v>
      </c>
      <c r="U482" s="4">
        <v>0.47</v>
      </c>
      <c r="V482" s="2">
        <v>0</v>
      </c>
      <c r="W482">
        <v>0</v>
      </c>
      <c r="X482" t="s">
        <v>70</v>
      </c>
      <c r="Y482" t="s">
        <v>60</v>
      </c>
      <c r="Z482">
        <v>0</v>
      </c>
      <c r="AA482" s="2">
        <v>0</v>
      </c>
      <c r="AB482" s="2">
        <v>0</v>
      </c>
      <c r="AC482" s="4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37.049999999999997</v>
      </c>
      <c r="AM482" s="2">
        <v>37.049999999999997</v>
      </c>
      <c r="AN482" s="2">
        <v>0</v>
      </c>
      <c r="AO482" s="2">
        <v>0</v>
      </c>
      <c r="AP482" s="2">
        <v>0</v>
      </c>
    </row>
    <row r="483" spans="1:42" x14ac:dyDescent="0.25">
      <c r="A483" s="1">
        <v>45922</v>
      </c>
      <c r="B483" t="s">
        <v>47</v>
      </c>
      <c r="C483">
        <v>649163</v>
      </c>
      <c r="D483">
        <v>2027883703</v>
      </c>
      <c r="E483" t="s">
        <v>591</v>
      </c>
      <c r="F483" t="s">
        <v>592</v>
      </c>
      <c r="G483" t="s">
        <v>50</v>
      </c>
      <c r="H483" t="s">
        <v>151</v>
      </c>
      <c r="I483" t="s">
        <v>574</v>
      </c>
      <c r="J483" t="s">
        <v>575</v>
      </c>
      <c r="K483">
        <v>767312</v>
      </c>
      <c r="L483" t="s">
        <v>122</v>
      </c>
      <c r="M483" t="s">
        <v>123</v>
      </c>
      <c r="N483" t="s">
        <v>56</v>
      </c>
      <c r="O483" s="1">
        <v>45735</v>
      </c>
      <c r="P483" s="1">
        <v>45949</v>
      </c>
      <c r="Q483" s="2">
        <v>31.52</v>
      </c>
      <c r="R483">
        <v>1</v>
      </c>
      <c r="S483" t="s">
        <v>57</v>
      </c>
      <c r="T483" t="s">
        <v>58</v>
      </c>
      <c r="U483" s="4">
        <v>0.47</v>
      </c>
      <c r="V483" s="2">
        <v>0</v>
      </c>
      <c r="W483">
        <v>0</v>
      </c>
      <c r="X483" t="s">
        <v>70</v>
      </c>
      <c r="Y483" t="s">
        <v>60</v>
      </c>
      <c r="Z483">
        <v>0</v>
      </c>
      <c r="AA483" s="2">
        <v>0</v>
      </c>
      <c r="AB483" s="2">
        <v>0</v>
      </c>
      <c r="AC483" s="4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14.81</v>
      </c>
      <c r="AM483" s="2">
        <v>14.81</v>
      </c>
      <c r="AN483" s="2">
        <v>0</v>
      </c>
      <c r="AO483" s="2">
        <v>0</v>
      </c>
      <c r="AP483" s="2">
        <v>0</v>
      </c>
    </row>
    <row r="484" spans="1:42" x14ac:dyDescent="0.25">
      <c r="A484" s="1">
        <v>45922</v>
      </c>
      <c r="B484" t="s">
        <v>47</v>
      </c>
      <c r="C484">
        <v>649163</v>
      </c>
      <c r="D484">
        <v>2030716398</v>
      </c>
      <c r="E484" t="s">
        <v>600</v>
      </c>
      <c r="F484" t="s">
        <v>601</v>
      </c>
      <c r="G484" t="s">
        <v>50</v>
      </c>
      <c r="H484" t="s">
        <v>93</v>
      </c>
      <c r="I484" t="s">
        <v>574</v>
      </c>
      <c r="J484" t="s">
        <v>575</v>
      </c>
      <c r="K484">
        <v>814033</v>
      </c>
      <c r="L484" t="s">
        <v>595</v>
      </c>
      <c r="M484" t="s">
        <v>596</v>
      </c>
      <c r="N484" t="s">
        <v>56</v>
      </c>
      <c r="O484" s="1">
        <v>45901</v>
      </c>
      <c r="P484" s="1">
        <v>45931</v>
      </c>
      <c r="Q484" s="2">
        <v>-84.15</v>
      </c>
      <c r="R484">
        <v>1</v>
      </c>
      <c r="S484" t="s">
        <v>57</v>
      </c>
      <c r="T484" t="s">
        <v>58</v>
      </c>
      <c r="U484" s="4">
        <v>0.47</v>
      </c>
      <c r="V484" s="2">
        <v>0</v>
      </c>
      <c r="W484">
        <v>-1</v>
      </c>
      <c r="X484" t="s">
        <v>70</v>
      </c>
      <c r="Y484" t="s">
        <v>60</v>
      </c>
      <c r="Z484">
        <v>0</v>
      </c>
      <c r="AA484" s="2">
        <v>0</v>
      </c>
      <c r="AB484" s="2">
        <v>0</v>
      </c>
      <c r="AC484" s="4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-39.549999999999997</v>
      </c>
      <c r="AM484" s="2">
        <v>-39.549999999999997</v>
      </c>
      <c r="AN484" s="2">
        <v>0</v>
      </c>
      <c r="AO484" s="2">
        <v>0</v>
      </c>
      <c r="AP484" s="2">
        <v>0</v>
      </c>
    </row>
    <row r="485" spans="1:42" x14ac:dyDescent="0.25">
      <c r="A485" s="1">
        <v>45915</v>
      </c>
      <c r="B485" t="s">
        <v>47</v>
      </c>
      <c r="C485">
        <v>649163</v>
      </c>
      <c r="D485">
        <v>2022721020</v>
      </c>
      <c r="E485" t="s">
        <v>817</v>
      </c>
      <c r="F485" t="s">
        <v>49</v>
      </c>
      <c r="G485" t="s">
        <v>50</v>
      </c>
      <c r="H485" t="s">
        <v>51</v>
      </c>
      <c r="I485" t="s">
        <v>52</v>
      </c>
      <c r="J485" t="s">
        <v>53</v>
      </c>
      <c r="K485">
        <v>751867</v>
      </c>
      <c r="L485" t="s">
        <v>84</v>
      </c>
      <c r="M485" t="s">
        <v>85</v>
      </c>
      <c r="N485" t="s">
        <v>56</v>
      </c>
      <c r="O485" s="1">
        <v>45413</v>
      </c>
      <c r="P485" s="1">
        <v>45931</v>
      </c>
      <c r="Q485" s="2">
        <v>40.159999999999997</v>
      </c>
      <c r="R485">
        <v>1</v>
      </c>
      <c r="S485" t="s">
        <v>57</v>
      </c>
      <c r="T485" t="s">
        <v>58</v>
      </c>
      <c r="U485" s="3">
        <v>6.5000000000000002E-2</v>
      </c>
      <c r="V485" s="2">
        <v>0</v>
      </c>
      <c r="W485">
        <v>0</v>
      </c>
      <c r="X485" t="s">
        <v>59</v>
      </c>
      <c r="Y485" t="s">
        <v>60</v>
      </c>
      <c r="Z485">
        <v>0</v>
      </c>
      <c r="AA485" s="2">
        <v>0</v>
      </c>
      <c r="AB485" s="2">
        <v>0</v>
      </c>
      <c r="AC485" s="4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2.61</v>
      </c>
      <c r="AM485" s="2">
        <v>2.61</v>
      </c>
      <c r="AN485" s="2">
        <v>0</v>
      </c>
      <c r="AO485" s="2">
        <v>0</v>
      </c>
      <c r="AP485" s="2">
        <v>0</v>
      </c>
    </row>
    <row r="486" spans="1:42" x14ac:dyDescent="0.25">
      <c r="A486" s="1">
        <v>45915</v>
      </c>
      <c r="B486" t="s">
        <v>47</v>
      </c>
      <c r="C486">
        <v>649163</v>
      </c>
      <c r="D486">
        <v>2023499225</v>
      </c>
      <c r="E486" t="s">
        <v>810</v>
      </c>
      <c r="F486" t="s">
        <v>205</v>
      </c>
      <c r="G486" t="s">
        <v>50</v>
      </c>
      <c r="H486" t="s">
        <v>83</v>
      </c>
      <c r="I486" t="s">
        <v>52</v>
      </c>
      <c r="J486" t="s">
        <v>53</v>
      </c>
      <c r="K486">
        <v>751867</v>
      </c>
      <c r="L486" t="s">
        <v>84</v>
      </c>
      <c r="M486" t="s">
        <v>85</v>
      </c>
      <c r="N486" t="s">
        <v>56</v>
      </c>
      <c r="O486" s="1">
        <v>45456</v>
      </c>
      <c r="P486" s="1">
        <v>45943</v>
      </c>
      <c r="Q486" s="2">
        <v>56.69</v>
      </c>
      <c r="R486">
        <v>1</v>
      </c>
      <c r="S486" t="s">
        <v>57</v>
      </c>
      <c r="T486" t="s">
        <v>58</v>
      </c>
      <c r="U486" s="3">
        <v>6.5000000000000002E-2</v>
      </c>
      <c r="V486" s="2">
        <v>0</v>
      </c>
      <c r="W486">
        <v>0</v>
      </c>
      <c r="X486" t="s">
        <v>59</v>
      </c>
      <c r="Y486" t="s">
        <v>60</v>
      </c>
      <c r="Z486">
        <v>0</v>
      </c>
      <c r="AA486" s="2">
        <v>0</v>
      </c>
      <c r="AB486" s="2">
        <v>0</v>
      </c>
      <c r="AC486" s="4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3.68</v>
      </c>
      <c r="AM486" s="2">
        <v>3.68</v>
      </c>
      <c r="AN486" s="2">
        <v>0</v>
      </c>
      <c r="AO486" s="2">
        <v>0</v>
      </c>
      <c r="AP486" s="2">
        <v>0</v>
      </c>
    </row>
    <row r="487" spans="1:42" x14ac:dyDescent="0.25">
      <c r="A487" s="1">
        <v>45915</v>
      </c>
      <c r="B487" t="s">
        <v>47</v>
      </c>
      <c r="C487">
        <v>649163</v>
      </c>
      <c r="D487">
        <v>2023510924</v>
      </c>
      <c r="E487" t="s">
        <v>808</v>
      </c>
      <c r="F487" t="s">
        <v>145</v>
      </c>
      <c r="G487" t="s">
        <v>50</v>
      </c>
      <c r="H487" t="s">
        <v>51</v>
      </c>
      <c r="I487" t="s">
        <v>52</v>
      </c>
      <c r="J487" t="s">
        <v>53</v>
      </c>
      <c r="K487">
        <v>751867</v>
      </c>
      <c r="L487" t="s">
        <v>84</v>
      </c>
      <c r="M487" t="s">
        <v>85</v>
      </c>
      <c r="N487" t="s">
        <v>56</v>
      </c>
      <c r="O487" s="1">
        <v>45457</v>
      </c>
      <c r="P487" s="1">
        <v>45944</v>
      </c>
      <c r="Q487" s="2">
        <v>56.69</v>
      </c>
      <c r="R487">
        <v>1</v>
      </c>
      <c r="S487" t="s">
        <v>57</v>
      </c>
      <c r="T487" t="s">
        <v>58</v>
      </c>
      <c r="U487" s="3">
        <v>6.5000000000000002E-2</v>
      </c>
      <c r="V487" s="2">
        <v>0</v>
      </c>
      <c r="W487">
        <v>0</v>
      </c>
      <c r="X487" t="s">
        <v>59</v>
      </c>
      <c r="Y487" t="s">
        <v>60</v>
      </c>
      <c r="Z487">
        <v>0</v>
      </c>
      <c r="AA487" s="2">
        <v>0</v>
      </c>
      <c r="AB487" s="2">
        <v>0</v>
      </c>
      <c r="AC487" s="4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3.68</v>
      </c>
      <c r="AM487" s="2">
        <v>3.68</v>
      </c>
      <c r="AN487" s="2">
        <v>0</v>
      </c>
      <c r="AO487" s="2">
        <v>0</v>
      </c>
      <c r="AP487" s="2">
        <v>0</v>
      </c>
    </row>
    <row r="488" spans="1:42" x14ac:dyDescent="0.25">
      <c r="A488" s="1">
        <v>45915</v>
      </c>
      <c r="B488" t="s">
        <v>47</v>
      </c>
      <c r="C488">
        <v>649163</v>
      </c>
      <c r="D488">
        <v>2024382706</v>
      </c>
      <c r="E488" t="s">
        <v>806</v>
      </c>
      <c r="F488" t="s">
        <v>409</v>
      </c>
      <c r="G488" t="s">
        <v>50</v>
      </c>
      <c r="H488" t="s">
        <v>51</v>
      </c>
      <c r="I488" t="s">
        <v>52</v>
      </c>
      <c r="J488" t="s">
        <v>53</v>
      </c>
      <c r="K488">
        <v>650218</v>
      </c>
      <c r="L488" t="s">
        <v>73</v>
      </c>
      <c r="M488" t="s">
        <v>74</v>
      </c>
      <c r="N488" t="s">
        <v>56</v>
      </c>
      <c r="O488" s="1">
        <v>45519</v>
      </c>
      <c r="P488" s="1">
        <v>45945</v>
      </c>
      <c r="Q488" s="2">
        <v>40.159999999999997</v>
      </c>
      <c r="R488">
        <v>1</v>
      </c>
      <c r="S488" t="s">
        <v>57</v>
      </c>
      <c r="T488" t="s">
        <v>58</v>
      </c>
      <c r="U488" s="3">
        <v>6.5000000000000002E-2</v>
      </c>
      <c r="V488" s="2">
        <v>0</v>
      </c>
      <c r="W488">
        <v>0</v>
      </c>
      <c r="X488" t="s">
        <v>59</v>
      </c>
      <c r="Y488" t="s">
        <v>60</v>
      </c>
      <c r="Z488">
        <v>0</v>
      </c>
      <c r="AA488" s="2">
        <v>0</v>
      </c>
      <c r="AB488" s="2">
        <v>0</v>
      </c>
      <c r="AC488" s="4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2.61</v>
      </c>
      <c r="AM488" s="2">
        <v>2.61</v>
      </c>
      <c r="AN488" s="2">
        <v>0</v>
      </c>
      <c r="AO488" s="2">
        <v>0</v>
      </c>
      <c r="AP488" s="2">
        <v>0</v>
      </c>
    </row>
    <row r="489" spans="1:42" x14ac:dyDescent="0.25">
      <c r="A489" s="1">
        <v>45915</v>
      </c>
      <c r="B489" t="s">
        <v>47</v>
      </c>
      <c r="C489">
        <v>649163</v>
      </c>
      <c r="D489">
        <v>2024407150</v>
      </c>
      <c r="E489" t="s">
        <v>804</v>
      </c>
      <c r="F489" t="s">
        <v>803</v>
      </c>
      <c r="G489" t="s">
        <v>50</v>
      </c>
      <c r="H489" t="s">
        <v>51</v>
      </c>
      <c r="I489" t="s">
        <v>52</v>
      </c>
      <c r="J489" t="s">
        <v>53</v>
      </c>
      <c r="K489">
        <v>650218</v>
      </c>
      <c r="L489" t="s">
        <v>73</v>
      </c>
      <c r="M489" t="s">
        <v>74</v>
      </c>
      <c r="N489" t="s">
        <v>56</v>
      </c>
      <c r="O489" s="1">
        <v>45520</v>
      </c>
      <c r="P489" s="1">
        <v>45946</v>
      </c>
      <c r="Q489" s="2">
        <v>56.69</v>
      </c>
      <c r="R489">
        <v>1</v>
      </c>
      <c r="S489" t="s">
        <v>57</v>
      </c>
      <c r="T489" t="s">
        <v>58</v>
      </c>
      <c r="U489" s="3">
        <v>6.5000000000000002E-2</v>
      </c>
      <c r="V489" s="2">
        <v>0</v>
      </c>
      <c r="W489">
        <v>0</v>
      </c>
      <c r="X489" t="s">
        <v>59</v>
      </c>
      <c r="Y489" t="s">
        <v>60</v>
      </c>
      <c r="Z489">
        <v>0</v>
      </c>
      <c r="AA489" s="2">
        <v>0</v>
      </c>
      <c r="AB489" s="2">
        <v>0</v>
      </c>
      <c r="AC489" s="4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3.68</v>
      </c>
      <c r="AM489" s="2">
        <v>3.68</v>
      </c>
      <c r="AN489" s="2">
        <v>0</v>
      </c>
      <c r="AO489" s="2">
        <v>0</v>
      </c>
      <c r="AP489" s="2">
        <v>0</v>
      </c>
    </row>
    <row r="490" spans="1:42" x14ac:dyDescent="0.25">
      <c r="A490" s="1">
        <v>45915</v>
      </c>
      <c r="B490" t="s">
        <v>47</v>
      </c>
      <c r="C490">
        <v>649163</v>
      </c>
      <c r="D490">
        <v>2024425645</v>
      </c>
      <c r="E490" t="s">
        <v>735</v>
      </c>
      <c r="F490" t="s">
        <v>346</v>
      </c>
      <c r="G490" t="s">
        <v>50</v>
      </c>
      <c r="H490" t="s">
        <v>180</v>
      </c>
      <c r="I490" t="s">
        <v>52</v>
      </c>
      <c r="J490" t="s">
        <v>53</v>
      </c>
      <c r="K490">
        <v>673059</v>
      </c>
      <c r="L490" t="s">
        <v>152</v>
      </c>
      <c r="M490" t="s">
        <v>153</v>
      </c>
      <c r="N490" t="s">
        <v>56</v>
      </c>
      <c r="O490" s="1">
        <v>45521</v>
      </c>
      <c r="P490" s="1">
        <v>45947</v>
      </c>
      <c r="Q490" s="2">
        <v>34.01</v>
      </c>
      <c r="R490">
        <v>1</v>
      </c>
      <c r="S490" t="s">
        <v>57</v>
      </c>
      <c r="T490" t="s">
        <v>58</v>
      </c>
      <c r="U490" s="3">
        <v>6.5000000000000002E-2</v>
      </c>
      <c r="V490" s="2">
        <v>0</v>
      </c>
      <c r="W490">
        <v>0</v>
      </c>
      <c r="X490" t="s">
        <v>59</v>
      </c>
      <c r="Y490" t="s">
        <v>60</v>
      </c>
      <c r="Z490">
        <v>0</v>
      </c>
      <c r="AA490" s="2">
        <v>0</v>
      </c>
      <c r="AB490" s="2">
        <v>0</v>
      </c>
      <c r="AC490" s="4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2.21</v>
      </c>
      <c r="AM490" s="2">
        <v>2.21</v>
      </c>
      <c r="AN490" s="2">
        <v>0</v>
      </c>
      <c r="AO490" s="2">
        <v>0</v>
      </c>
      <c r="AP490" s="2">
        <v>0</v>
      </c>
    </row>
    <row r="491" spans="1:42" x14ac:dyDescent="0.25">
      <c r="A491" s="1">
        <v>45915</v>
      </c>
      <c r="B491" t="s">
        <v>47</v>
      </c>
      <c r="C491">
        <v>649163</v>
      </c>
      <c r="D491">
        <v>2024737148</v>
      </c>
      <c r="E491" t="s">
        <v>802</v>
      </c>
      <c r="F491" t="s">
        <v>801</v>
      </c>
      <c r="G491" t="s">
        <v>50</v>
      </c>
      <c r="H491" t="s">
        <v>800</v>
      </c>
      <c r="I491" t="s">
        <v>52</v>
      </c>
      <c r="J491" t="s">
        <v>53</v>
      </c>
      <c r="K491">
        <v>751867</v>
      </c>
      <c r="L491" t="s">
        <v>84</v>
      </c>
      <c r="M491" t="s">
        <v>85</v>
      </c>
      <c r="N491" t="s">
        <v>56</v>
      </c>
      <c r="O491" s="1">
        <v>45541</v>
      </c>
      <c r="P491" s="1">
        <v>45936</v>
      </c>
      <c r="Q491" s="2">
        <v>96.55</v>
      </c>
      <c r="R491">
        <v>1</v>
      </c>
      <c r="S491" t="s">
        <v>57</v>
      </c>
      <c r="T491" t="s">
        <v>58</v>
      </c>
      <c r="U491" s="3">
        <v>6.5000000000000002E-2</v>
      </c>
      <c r="V491" s="2">
        <v>0</v>
      </c>
      <c r="W491">
        <v>0</v>
      </c>
      <c r="X491" t="s">
        <v>59</v>
      </c>
      <c r="Y491" t="s">
        <v>60</v>
      </c>
      <c r="Z491">
        <v>0</v>
      </c>
      <c r="AA491" s="2">
        <v>0</v>
      </c>
      <c r="AB491" s="2">
        <v>0</v>
      </c>
      <c r="AC491" s="4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6.28</v>
      </c>
      <c r="AM491" s="2">
        <v>6.28</v>
      </c>
      <c r="AN491" s="2">
        <v>0</v>
      </c>
      <c r="AO491" s="2">
        <v>0</v>
      </c>
      <c r="AP491" s="2">
        <v>0</v>
      </c>
    </row>
    <row r="492" spans="1:42" x14ac:dyDescent="0.25">
      <c r="A492" s="1">
        <v>45915</v>
      </c>
      <c r="B492" t="s">
        <v>47</v>
      </c>
      <c r="C492">
        <v>649163</v>
      </c>
      <c r="D492">
        <v>2025756063</v>
      </c>
      <c r="E492" t="s">
        <v>797</v>
      </c>
      <c r="F492" t="s">
        <v>796</v>
      </c>
      <c r="G492" t="s">
        <v>50</v>
      </c>
      <c r="H492" t="s">
        <v>51</v>
      </c>
      <c r="I492" t="s">
        <v>52</v>
      </c>
      <c r="J492" t="s">
        <v>53</v>
      </c>
      <c r="K492">
        <v>650218</v>
      </c>
      <c r="L492" t="s">
        <v>73</v>
      </c>
      <c r="M492" t="s">
        <v>74</v>
      </c>
      <c r="N492" t="s">
        <v>56</v>
      </c>
      <c r="O492" s="1">
        <v>45610</v>
      </c>
      <c r="P492" s="1">
        <v>45944</v>
      </c>
      <c r="Q492" s="2">
        <v>46.45</v>
      </c>
      <c r="R492">
        <v>1</v>
      </c>
      <c r="S492" t="s">
        <v>57</v>
      </c>
      <c r="T492" t="s">
        <v>58</v>
      </c>
      <c r="U492" s="4">
        <v>0.6</v>
      </c>
      <c r="V492" s="2">
        <v>0</v>
      </c>
      <c r="W492">
        <v>0</v>
      </c>
      <c r="X492" t="s">
        <v>70</v>
      </c>
      <c r="Y492" t="s">
        <v>60</v>
      </c>
      <c r="Z492">
        <v>0</v>
      </c>
      <c r="AA492" s="2">
        <v>0</v>
      </c>
      <c r="AB492" s="2">
        <v>0</v>
      </c>
      <c r="AC492" s="4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27.87</v>
      </c>
      <c r="AM492" s="2">
        <v>27.87</v>
      </c>
      <c r="AN492" s="2">
        <v>0</v>
      </c>
      <c r="AO492" s="2">
        <v>0</v>
      </c>
      <c r="AP492" s="2">
        <v>0</v>
      </c>
    </row>
    <row r="493" spans="1:42" x14ac:dyDescent="0.25">
      <c r="A493" s="1">
        <v>45915</v>
      </c>
      <c r="B493" t="s">
        <v>47</v>
      </c>
      <c r="C493">
        <v>649163</v>
      </c>
      <c r="D493">
        <v>2025771713</v>
      </c>
      <c r="E493" t="s">
        <v>1073</v>
      </c>
      <c r="F493" t="s">
        <v>131</v>
      </c>
      <c r="G493" t="s">
        <v>50</v>
      </c>
      <c r="H493" t="s">
        <v>51</v>
      </c>
      <c r="I493" t="s">
        <v>52</v>
      </c>
      <c r="J493" t="s">
        <v>53</v>
      </c>
      <c r="K493">
        <v>650218</v>
      </c>
      <c r="L493" t="s">
        <v>73</v>
      </c>
      <c r="M493" t="s">
        <v>74</v>
      </c>
      <c r="N493" t="s">
        <v>56</v>
      </c>
      <c r="O493" s="1">
        <v>45611</v>
      </c>
      <c r="P493" s="1">
        <v>45945</v>
      </c>
      <c r="Q493" s="2">
        <v>52.69</v>
      </c>
      <c r="R493">
        <v>1</v>
      </c>
      <c r="S493" t="s">
        <v>57</v>
      </c>
      <c r="T493" t="s">
        <v>58</v>
      </c>
      <c r="U493" s="4">
        <v>0.6</v>
      </c>
      <c r="V493" s="2">
        <v>0</v>
      </c>
      <c r="W493">
        <v>0</v>
      </c>
      <c r="X493" t="s">
        <v>70</v>
      </c>
      <c r="Y493" t="s">
        <v>60</v>
      </c>
      <c r="Z493">
        <v>0</v>
      </c>
      <c r="AA493" s="2">
        <v>0</v>
      </c>
      <c r="AB493" s="2">
        <v>0</v>
      </c>
      <c r="AC493" s="4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31.61</v>
      </c>
      <c r="AM493" s="2">
        <v>31.61</v>
      </c>
      <c r="AN493" s="2">
        <v>0</v>
      </c>
      <c r="AO493" s="2">
        <v>0</v>
      </c>
      <c r="AP493" s="2">
        <v>0</v>
      </c>
    </row>
    <row r="494" spans="1:42" x14ac:dyDescent="0.25">
      <c r="A494" s="1">
        <v>45915</v>
      </c>
      <c r="B494" t="s">
        <v>47</v>
      </c>
      <c r="C494">
        <v>649163</v>
      </c>
      <c r="D494">
        <v>2026603200</v>
      </c>
      <c r="E494" t="s">
        <v>785</v>
      </c>
      <c r="F494" t="s">
        <v>784</v>
      </c>
      <c r="G494" t="s">
        <v>50</v>
      </c>
      <c r="H494" t="s">
        <v>51</v>
      </c>
      <c r="I494" t="s">
        <v>52</v>
      </c>
      <c r="J494" t="s">
        <v>53</v>
      </c>
      <c r="K494">
        <v>751867</v>
      </c>
      <c r="L494" t="s">
        <v>84</v>
      </c>
      <c r="M494" t="s">
        <v>85</v>
      </c>
      <c r="N494" t="s">
        <v>56</v>
      </c>
      <c r="O494" s="1">
        <v>45673</v>
      </c>
      <c r="P494" s="1">
        <v>45946</v>
      </c>
      <c r="Q494" s="2">
        <v>56.69</v>
      </c>
      <c r="R494">
        <v>1</v>
      </c>
      <c r="S494" t="s">
        <v>57</v>
      </c>
      <c r="T494" t="s">
        <v>58</v>
      </c>
      <c r="U494" s="4">
        <v>0.6</v>
      </c>
      <c r="V494" s="2">
        <v>0</v>
      </c>
      <c r="W494">
        <v>0</v>
      </c>
      <c r="X494" t="s">
        <v>70</v>
      </c>
      <c r="Y494" t="s">
        <v>60</v>
      </c>
      <c r="Z494">
        <v>0</v>
      </c>
      <c r="AA494" s="2">
        <v>0</v>
      </c>
      <c r="AB494" s="2">
        <v>0</v>
      </c>
      <c r="AC494" s="4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34.01</v>
      </c>
      <c r="AM494" s="2">
        <v>34.01</v>
      </c>
      <c r="AN494" s="2">
        <v>0</v>
      </c>
      <c r="AO494" s="2">
        <v>0</v>
      </c>
      <c r="AP494" s="2">
        <v>0</v>
      </c>
    </row>
    <row r="495" spans="1:42" x14ac:dyDescent="0.25">
      <c r="A495" s="1">
        <v>45915</v>
      </c>
      <c r="B495" t="s">
        <v>47</v>
      </c>
      <c r="C495">
        <v>649163</v>
      </c>
      <c r="D495">
        <v>2026958695</v>
      </c>
      <c r="E495" t="s">
        <v>1072</v>
      </c>
      <c r="F495" t="s">
        <v>789</v>
      </c>
      <c r="G495" t="s">
        <v>50</v>
      </c>
      <c r="H495" t="s">
        <v>51</v>
      </c>
      <c r="I495" t="s">
        <v>52</v>
      </c>
      <c r="J495" t="s">
        <v>53</v>
      </c>
      <c r="K495">
        <v>677095</v>
      </c>
      <c r="L495" t="s">
        <v>1071</v>
      </c>
      <c r="M495" t="s">
        <v>179</v>
      </c>
      <c r="N495" t="s">
        <v>56</v>
      </c>
      <c r="O495" s="1">
        <v>45702</v>
      </c>
      <c r="P495" s="1">
        <v>45944</v>
      </c>
      <c r="Q495" s="2">
        <v>52.69</v>
      </c>
      <c r="R495">
        <v>1</v>
      </c>
      <c r="S495" t="s">
        <v>57</v>
      </c>
      <c r="T495" t="s">
        <v>58</v>
      </c>
      <c r="U495" s="4">
        <v>0.2</v>
      </c>
      <c r="V495" s="2">
        <v>0</v>
      </c>
      <c r="W495">
        <v>0</v>
      </c>
      <c r="X495" t="s">
        <v>70</v>
      </c>
      <c r="Y495" t="s">
        <v>60</v>
      </c>
      <c r="Z495">
        <v>0</v>
      </c>
      <c r="AA495" s="2">
        <v>0</v>
      </c>
      <c r="AB495" s="2">
        <v>0</v>
      </c>
      <c r="AC495" s="4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10.54</v>
      </c>
      <c r="AM495" s="2">
        <v>10.54</v>
      </c>
      <c r="AN495" s="2">
        <v>0</v>
      </c>
      <c r="AO495" s="2">
        <v>0</v>
      </c>
      <c r="AP495" s="2">
        <v>0</v>
      </c>
    </row>
    <row r="496" spans="1:42" x14ac:dyDescent="0.25">
      <c r="A496" s="1">
        <v>45915</v>
      </c>
      <c r="B496" t="s">
        <v>47</v>
      </c>
      <c r="C496">
        <v>649163</v>
      </c>
      <c r="D496">
        <v>2028488144</v>
      </c>
      <c r="E496" t="s">
        <v>780</v>
      </c>
      <c r="F496" t="s">
        <v>779</v>
      </c>
      <c r="G496" t="s">
        <v>50</v>
      </c>
      <c r="H496" t="s">
        <v>51</v>
      </c>
      <c r="I496" t="s">
        <v>52</v>
      </c>
      <c r="J496" t="s">
        <v>53</v>
      </c>
      <c r="K496">
        <v>751867</v>
      </c>
      <c r="L496" t="s">
        <v>84</v>
      </c>
      <c r="M496" t="s">
        <v>85</v>
      </c>
      <c r="N496" t="s">
        <v>56</v>
      </c>
      <c r="O496" s="1">
        <v>45766</v>
      </c>
      <c r="P496" s="1">
        <v>45949</v>
      </c>
      <c r="Q496" s="2">
        <v>62.54</v>
      </c>
      <c r="R496">
        <v>1</v>
      </c>
      <c r="S496" t="s">
        <v>57</v>
      </c>
      <c r="T496" t="s">
        <v>58</v>
      </c>
      <c r="U496" s="4">
        <v>0.6</v>
      </c>
      <c r="V496" s="2">
        <v>0</v>
      </c>
      <c r="W496">
        <v>0</v>
      </c>
      <c r="X496" t="s">
        <v>70</v>
      </c>
      <c r="Y496" t="s">
        <v>60</v>
      </c>
      <c r="Z496">
        <v>0</v>
      </c>
      <c r="AA496" s="2">
        <v>0</v>
      </c>
      <c r="AB496" s="2">
        <v>0</v>
      </c>
      <c r="AC496" s="4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37.520000000000003</v>
      </c>
      <c r="AM496" s="2">
        <v>37.520000000000003</v>
      </c>
      <c r="AN496" s="2">
        <v>0</v>
      </c>
      <c r="AO496" s="2">
        <v>0</v>
      </c>
      <c r="AP496" s="2">
        <v>0</v>
      </c>
    </row>
    <row r="497" spans="1:42" x14ac:dyDescent="0.25">
      <c r="A497" s="1">
        <v>45915</v>
      </c>
      <c r="B497" t="s">
        <v>47</v>
      </c>
      <c r="C497">
        <v>649163</v>
      </c>
      <c r="D497">
        <v>2029894141</v>
      </c>
      <c r="E497" t="s">
        <v>923</v>
      </c>
      <c r="F497" t="s">
        <v>74</v>
      </c>
      <c r="G497" t="s">
        <v>50</v>
      </c>
      <c r="H497" t="s">
        <v>157</v>
      </c>
      <c r="I497" t="s">
        <v>52</v>
      </c>
      <c r="J497" t="s">
        <v>53</v>
      </c>
      <c r="K497">
        <v>673059</v>
      </c>
      <c r="L497" t="s">
        <v>152</v>
      </c>
      <c r="M497" t="s">
        <v>153</v>
      </c>
      <c r="N497" t="s">
        <v>56</v>
      </c>
      <c r="O497" s="1">
        <v>45852</v>
      </c>
      <c r="P497" s="1">
        <v>45944</v>
      </c>
      <c r="Q497" s="2">
        <v>42.45</v>
      </c>
      <c r="R497">
        <v>1</v>
      </c>
      <c r="S497" t="s">
        <v>57</v>
      </c>
      <c r="T497" t="s">
        <v>58</v>
      </c>
      <c r="U497" s="4">
        <v>0.6</v>
      </c>
      <c r="V497" s="2">
        <v>0</v>
      </c>
      <c r="W497">
        <v>0</v>
      </c>
      <c r="X497" t="s">
        <v>70</v>
      </c>
      <c r="Y497" t="s">
        <v>60</v>
      </c>
      <c r="Z497">
        <v>0</v>
      </c>
      <c r="AA497" s="2">
        <v>0</v>
      </c>
      <c r="AB497" s="2">
        <v>0</v>
      </c>
      <c r="AC497" s="4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25.47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</row>
    <row r="498" spans="1:42" x14ac:dyDescent="0.25">
      <c r="A498" s="1">
        <v>45915</v>
      </c>
      <c r="B498" t="s">
        <v>47</v>
      </c>
      <c r="C498">
        <v>649163</v>
      </c>
      <c r="D498">
        <v>2030469676</v>
      </c>
      <c r="E498" t="s">
        <v>612</v>
      </c>
      <c r="F498" t="s">
        <v>611</v>
      </c>
      <c r="G498" t="s">
        <v>50</v>
      </c>
      <c r="H498" t="s">
        <v>204</v>
      </c>
      <c r="I498" t="s">
        <v>52</v>
      </c>
      <c r="J498" t="s">
        <v>53</v>
      </c>
      <c r="K498">
        <v>751867</v>
      </c>
      <c r="L498" t="s">
        <v>84</v>
      </c>
      <c r="M498" t="s">
        <v>85</v>
      </c>
      <c r="N498" t="s">
        <v>230</v>
      </c>
      <c r="O498" s="1">
        <v>45901</v>
      </c>
      <c r="P498" s="1">
        <v>45931</v>
      </c>
      <c r="Q498" s="2">
        <v>-46.45</v>
      </c>
      <c r="R498">
        <v>1</v>
      </c>
      <c r="S498" t="s">
        <v>57</v>
      </c>
      <c r="T498" t="s">
        <v>58</v>
      </c>
      <c r="U498" s="4">
        <v>0.6</v>
      </c>
      <c r="V498" s="2">
        <v>0</v>
      </c>
      <c r="W498">
        <v>-1</v>
      </c>
      <c r="X498" t="s">
        <v>70</v>
      </c>
      <c r="Y498" t="s">
        <v>60</v>
      </c>
      <c r="Z498">
        <v>0</v>
      </c>
      <c r="AA498" s="2">
        <v>0</v>
      </c>
      <c r="AB498" s="2">
        <v>0</v>
      </c>
      <c r="AC498" s="4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-27.87</v>
      </c>
      <c r="AM498" s="2">
        <v>-27.87</v>
      </c>
      <c r="AN498" s="2">
        <v>0</v>
      </c>
      <c r="AO498" s="2">
        <v>0</v>
      </c>
      <c r="AP498" s="2">
        <v>0</v>
      </c>
    </row>
    <row r="499" spans="1:42" x14ac:dyDescent="0.25">
      <c r="A499" s="1">
        <v>45915</v>
      </c>
      <c r="B499" t="s">
        <v>47</v>
      </c>
      <c r="C499">
        <v>649163</v>
      </c>
      <c r="D499">
        <v>2030516317</v>
      </c>
      <c r="E499" t="s">
        <v>768</v>
      </c>
      <c r="F499" t="s">
        <v>197</v>
      </c>
      <c r="G499" t="s">
        <v>50</v>
      </c>
      <c r="H499" t="s">
        <v>51</v>
      </c>
      <c r="I499" t="s">
        <v>52</v>
      </c>
      <c r="J499" t="s">
        <v>53</v>
      </c>
      <c r="K499">
        <v>751867</v>
      </c>
      <c r="L499" t="s">
        <v>84</v>
      </c>
      <c r="M499" t="s">
        <v>85</v>
      </c>
      <c r="N499" t="s">
        <v>56</v>
      </c>
      <c r="O499" s="1">
        <v>45885</v>
      </c>
      <c r="P499" s="1">
        <v>45946</v>
      </c>
      <c r="Q499" s="2">
        <v>50.06</v>
      </c>
      <c r="R499">
        <v>1</v>
      </c>
      <c r="S499" t="s">
        <v>57</v>
      </c>
      <c r="T499" t="s">
        <v>58</v>
      </c>
      <c r="U499" s="4">
        <v>0.6</v>
      </c>
      <c r="V499" s="2">
        <v>0</v>
      </c>
      <c r="W499">
        <v>0</v>
      </c>
      <c r="X499" t="s">
        <v>70</v>
      </c>
      <c r="Y499" t="s">
        <v>60</v>
      </c>
      <c r="Z499">
        <v>0</v>
      </c>
      <c r="AA499" s="2">
        <v>0</v>
      </c>
      <c r="AB499" s="2">
        <v>0</v>
      </c>
      <c r="AC499" s="4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30.04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</row>
    <row r="500" spans="1:42" x14ac:dyDescent="0.25">
      <c r="A500" s="1">
        <v>45915</v>
      </c>
      <c r="B500" t="s">
        <v>47</v>
      </c>
      <c r="C500">
        <v>649163</v>
      </c>
      <c r="D500">
        <v>2020174611</v>
      </c>
      <c r="E500" t="s">
        <v>748</v>
      </c>
      <c r="F500" t="s">
        <v>747</v>
      </c>
      <c r="G500" t="s">
        <v>50</v>
      </c>
      <c r="H500" t="s">
        <v>214</v>
      </c>
      <c r="I500" t="s">
        <v>106</v>
      </c>
      <c r="J500" t="s">
        <v>107</v>
      </c>
      <c r="K500">
        <v>652037</v>
      </c>
      <c r="L500" t="s">
        <v>309</v>
      </c>
      <c r="M500" t="s">
        <v>303</v>
      </c>
      <c r="N500" t="s">
        <v>56</v>
      </c>
      <c r="O500" s="1">
        <v>45214</v>
      </c>
      <c r="P500" s="1">
        <v>45945</v>
      </c>
      <c r="Q500" s="2">
        <v>246.44</v>
      </c>
      <c r="R500">
        <v>1</v>
      </c>
      <c r="S500" t="s">
        <v>57</v>
      </c>
      <c r="T500" t="s">
        <v>58</v>
      </c>
      <c r="U500" s="4">
        <v>0.1</v>
      </c>
      <c r="V500" s="2">
        <v>0</v>
      </c>
      <c r="W500">
        <v>0</v>
      </c>
      <c r="X500" t="s">
        <v>59</v>
      </c>
      <c r="Y500" t="s">
        <v>60</v>
      </c>
      <c r="Z500">
        <v>0</v>
      </c>
      <c r="AA500" s="2">
        <v>0</v>
      </c>
      <c r="AB500" s="2">
        <v>0</v>
      </c>
      <c r="AC500" s="4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24.64</v>
      </c>
      <c r="AM500" s="2">
        <v>24.64</v>
      </c>
      <c r="AN500" s="2">
        <v>0</v>
      </c>
      <c r="AO500" s="2">
        <v>0</v>
      </c>
      <c r="AP500" s="2">
        <v>0</v>
      </c>
    </row>
    <row r="501" spans="1:42" x14ac:dyDescent="0.25">
      <c r="A501" s="1">
        <v>45915</v>
      </c>
      <c r="B501" t="s">
        <v>47</v>
      </c>
      <c r="C501">
        <v>649163</v>
      </c>
      <c r="D501">
        <v>2021470574</v>
      </c>
      <c r="E501" t="s">
        <v>1070</v>
      </c>
      <c r="F501" t="s">
        <v>1069</v>
      </c>
      <c r="G501" t="s">
        <v>50</v>
      </c>
      <c r="H501" t="s">
        <v>93</v>
      </c>
      <c r="I501" t="s">
        <v>106</v>
      </c>
      <c r="J501" t="s">
        <v>107</v>
      </c>
      <c r="K501">
        <v>651818</v>
      </c>
      <c r="L501" t="s">
        <v>108</v>
      </c>
      <c r="M501" t="s">
        <v>109</v>
      </c>
      <c r="N501" t="s">
        <v>56</v>
      </c>
      <c r="O501" s="1">
        <v>45341</v>
      </c>
      <c r="P501" s="1">
        <v>45949</v>
      </c>
      <c r="Q501" s="2">
        <v>103.16</v>
      </c>
      <c r="R501">
        <v>1</v>
      </c>
      <c r="S501" t="s">
        <v>57</v>
      </c>
      <c r="T501" t="s">
        <v>58</v>
      </c>
      <c r="U501" s="4">
        <v>0.1</v>
      </c>
      <c r="V501" s="2">
        <v>0</v>
      </c>
      <c r="W501">
        <v>0</v>
      </c>
      <c r="X501" t="s">
        <v>59</v>
      </c>
      <c r="Y501" t="s">
        <v>60</v>
      </c>
      <c r="Z501">
        <v>0</v>
      </c>
      <c r="AA501" s="2">
        <v>0</v>
      </c>
      <c r="AB501" s="2">
        <v>0</v>
      </c>
      <c r="AC501" s="4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10.32</v>
      </c>
      <c r="AM501" s="2">
        <v>10.32</v>
      </c>
      <c r="AN501" s="2">
        <v>0</v>
      </c>
      <c r="AO501" s="2">
        <v>0</v>
      </c>
      <c r="AP501" s="2">
        <v>0</v>
      </c>
    </row>
    <row r="502" spans="1:42" x14ac:dyDescent="0.25">
      <c r="A502" s="1">
        <v>45915</v>
      </c>
      <c r="B502" t="s">
        <v>47</v>
      </c>
      <c r="C502">
        <v>649163</v>
      </c>
      <c r="D502">
        <v>2022254779</v>
      </c>
      <c r="E502" t="s">
        <v>740</v>
      </c>
      <c r="F502" t="s">
        <v>145</v>
      </c>
      <c r="G502" t="s">
        <v>50</v>
      </c>
      <c r="H502" t="s">
        <v>151</v>
      </c>
      <c r="I502" t="s">
        <v>106</v>
      </c>
      <c r="J502" t="s">
        <v>146</v>
      </c>
      <c r="K502">
        <v>673059</v>
      </c>
      <c r="L502" t="s">
        <v>152</v>
      </c>
      <c r="M502" t="s">
        <v>153</v>
      </c>
      <c r="N502" t="s">
        <v>56</v>
      </c>
      <c r="O502" s="1">
        <v>45364</v>
      </c>
      <c r="P502" s="1">
        <v>45943</v>
      </c>
      <c r="Q502" s="2">
        <v>150.51</v>
      </c>
      <c r="R502">
        <v>1</v>
      </c>
      <c r="S502" t="s">
        <v>57</v>
      </c>
      <c r="T502" t="s">
        <v>58</v>
      </c>
      <c r="U502" s="4">
        <v>0.1</v>
      </c>
      <c r="V502" s="2">
        <v>0</v>
      </c>
      <c r="W502">
        <v>0</v>
      </c>
      <c r="X502" t="s">
        <v>59</v>
      </c>
      <c r="Y502" t="s">
        <v>60</v>
      </c>
      <c r="Z502">
        <v>0</v>
      </c>
      <c r="AA502" s="2">
        <v>0</v>
      </c>
      <c r="AB502" s="2">
        <v>0</v>
      </c>
      <c r="AC502" s="4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15.05</v>
      </c>
      <c r="AM502" s="2">
        <v>15.05</v>
      </c>
      <c r="AN502" s="2">
        <v>0</v>
      </c>
      <c r="AO502" s="2">
        <v>0</v>
      </c>
      <c r="AP502" s="2">
        <v>0</v>
      </c>
    </row>
    <row r="503" spans="1:42" x14ac:dyDescent="0.25">
      <c r="A503" s="1">
        <v>45915</v>
      </c>
      <c r="B503" t="s">
        <v>47</v>
      </c>
      <c r="C503">
        <v>649163</v>
      </c>
      <c r="D503">
        <v>2024217399</v>
      </c>
      <c r="E503" t="s">
        <v>1068</v>
      </c>
      <c r="F503" t="s">
        <v>374</v>
      </c>
      <c r="G503" t="s">
        <v>50</v>
      </c>
      <c r="H503" t="s">
        <v>188</v>
      </c>
      <c r="I503" t="s">
        <v>106</v>
      </c>
      <c r="J503" t="s">
        <v>107</v>
      </c>
      <c r="K503">
        <v>673059</v>
      </c>
      <c r="L503" t="s">
        <v>152</v>
      </c>
      <c r="M503" t="s">
        <v>153</v>
      </c>
      <c r="N503" t="s">
        <v>230</v>
      </c>
      <c r="O503" s="1">
        <v>45507</v>
      </c>
      <c r="P503" s="1">
        <v>45933</v>
      </c>
      <c r="Q503" s="2">
        <v>-128.19</v>
      </c>
      <c r="R503">
        <v>1</v>
      </c>
      <c r="S503" t="s">
        <v>57</v>
      </c>
      <c r="T503" t="s">
        <v>58</v>
      </c>
      <c r="U503" s="4">
        <v>0.1</v>
      </c>
      <c r="V503" s="2">
        <v>0</v>
      </c>
      <c r="W503">
        <v>-1</v>
      </c>
      <c r="X503" t="s">
        <v>59</v>
      </c>
      <c r="Y503" t="s">
        <v>60</v>
      </c>
      <c r="Z503">
        <v>0</v>
      </c>
      <c r="AA503" s="2">
        <v>0</v>
      </c>
      <c r="AB503" s="2">
        <v>0</v>
      </c>
      <c r="AC503" s="4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-12.82</v>
      </c>
      <c r="AM503" s="2">
        <v>-12.82</v>
      </c>
      <c r="AN503" s="2">
        <v>0</v>
      </c>
      <c r="AO503" s="2">
        <v>0</v>
      </c>
      <c r="AP503" s="2">
        <v>0</v>
      </c>
    </row>
    <row r="504" spans="1:42" x14ac:dyDescent="0.25">
      <c r="A504" s="1">
        <v>45915</v>
      </c>
      <c r="B504" t="s">
        <v>47</v>
      </c>
      <c r="C504">
        <v>649163</v>
      </c>
      <c r="D504">
        <v>2024834573</v>
      </c>
      <c r="E504" t="s">
        <v>734</v>
      </c>
      <c r="F504" t="s">
        <v>409</v>
      </c>
      <c r="G504" t="s">
        <v>50</v>
      </c>
      <c r="H504" t="s">
        <v>405</v>
      </c>
      <c r="I504" t="s">
        <v>106</v>
      </c>
      <c r="J504" t="s">
        <v>107</v>
      </c>
      <c r="K504">
        <v>767312</v>
      </c>
      <c r="L504" t="s">
        <v>122</v>
      </c>
      <c r="M504" t="s">
        <v>123</v>
      </c>
      <c r="N504" t="s">
        <v>56</v>
      </c>
      <c r="O504" s="1">
        <v>45549</v>
      </c>
      <c r="P504" s="1">
        <v>45944</v>
      </c>
      <c r="Q504" s="2">
        <v>41.42</v>
      </c>
      <c r="R504">
        <v>1</v>
      </c>
      <c r="S504" t="s">
        <v>57</v>
      </c>
      <c r="T504" t="s">
        <v>58</v>
      </c>
      <c r="U504" s="4">
        <v>0.1</v>
      </c>
      <c r="V504" s="2">
        <v>0</v>
      </c>
      <c r="W504">
        <v>0</v>
      </c>
      <c r="X504" t="s">
        <v>59</v>
      </c>
      <c r="Y504" t="s">
        <v>60</v>
      </c>
      <c r="Z504">
        <v>0</v>
      </c>
      <c r="AA504" s="2">
        <v>0</v>
      </c>
      <c r="AB504" s="2">
        <v>0</v>
      </c>
      <c r="AC504" s="4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4.1399999999999997</v>
      </c>
      <c r="AM504" s="2">
        <v>4.1399999999999997</v>
      </c>
      <c r="AN504" s="2">
        <v>0</v>
      </c>
      <c r="AO504" s="2">
        <v>0</v>
      </c>
      <c r="AP504" s="2">
        <v>0</v>
      </c>
    </row>
    <row r="505" spans="1:42" x14ac:dyDescent="0.25">
      <c r="A505" s="1">
        <v>45915</v>
      </c>
      <c r="B505" t="s">
        <v>47</v>
      </c>
      <c r="C505">
        <v>649163</v>
      </c>
      <c r="D505">
        <v>2025254892</v>
      </c>
      <c r="E505" t="s">
        <v>1027</v>
      </c>
      <c r="F505" t="s">
        <v>1026</v>
      </c>
      <c r="G505" t="s">
        <v>50</v>
      </c>
      <c r="H505" t="s">
        <v>400</v>
      </c>
      <c r="I505" t="s">
        <v>106</v>
      </c>
      <c r="J505" t="s">
        <v>116</v>
      </c>
      <c r="K505">
        <v>767312</v>
      </c>
      <c r="L505" t="s">
        <v>122</v>
      </c>
      <c r="M505" t="s">
        <v>123</v>
      </c>
      <c r="N505" t="s">
        <v>56</v>
      </c>
      <c r="O505" s="1">
        <v>45576</v>
      </c>
      <c r="P505" s="1">
        <v>45941</v>
      </c>
      <c r="Q505" s="2">
        <v>48.79</v>
      </c>
      <c r="R505">
        <v>1</v>
      </c>
      <c r="S505" t="s">
        <v>57</v>
      </c>
      <c r="T505" t="s">
        <v>58</v>
      </c>
      <c r="U505" s="4">
        <v>0.75</v>
      </c>
      <c r="V505" s="2">
        <v>0</v>
      </c>
      <c r="W505">
        <v>0</v>
      </c>
      <c r="X505" t="s">
        <v>70</v>
      </c>
      <c r="Y505" t="s">
        <v>60</v>
      </c>
      <c r="Z505">
        <v>0</v>
      </c>
      <c r="AA505" s="2">
        <v>0</v>
      </c>
      <c r="AB505" s="2">
        <v>0</v>
      </c>
      <c r="AC505" s="4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36.590000000000003</v>
      </c>
      <c r="AM505" s="2">
        <v>36.590000000000003</v>
      </c>
      <c r="AN505" s="2">
        <v>0</v>
      </c>
      <c r="AO505" s="2">
        <v>0</v>
      </c>
      <c r="AP505" s="2">
        <v>0</v>
      </c>
    </row>
    <row r="506" spans="1:42" x14ac:dyDescent="0.25">
      <c r="A506" s="1">
        <v>45915</v>
      </c>
      <c r="B506" t="s">
        <v>47</v>
      </c>
      <c r="C506">
        <v>649163</v>
      </c>
      <c r="D506">
        <v>2025316510</v>
      </c>
      <c r="E506" t="s">
        <v>1024</v>
      </c>
      <c r="F506" t="s">
        <v>163</v>
      </c>
      <c r="G506" t="s">
        <v>50</v>
      </c>
      <c r="H506" t="s">
        <v>157</v>
      </c>
      <c r="I506" t="s">
        <v>106</v>
      </c>
      <c r="J506" t="s">
        <v>107</v>
      </c>
      <c r="K506">
        <v>767312</v>
      </c>
      <c r="L506" t="s">
        <v>122</v>
      </c>
      <c r="M506" t="s">
        <v>123</v>
      </c>
      <c r="N506" t="s">
        <v>56</v>
      </c>
      <c r="O506" s="1">
        <v>45580</v>
      </c>
      <c r="P506" s="1">
        <v>45945</v>
      </c>
      <c r="Q506" s="2">
        <v>19.309999999999999</v>
      </c>
      <c r="R506">
        <v>1</v>
      </c>
      <c r="S506" t="s">
        <v>57</v>
      </c>
      <c r="T506" t="s">
        <v>58</v>
      </c>
      <c r="U506" s="4">
        <v>0.9</v>
      </c>
      <c r="V506" s="2">
        <v>0</v>
      </c>
      <c r="W506">
        <v>0</v>
      </c>
      <c r="X506" t="s">
        <v>70</v>
      </c>
      <c r="Y506" t="s">
        <v>60</v>
      </c>
      <c r="Z506">
        <v>0</v>
      </c>
      <c r="AA506" s="2">
        <v>0</v>
      </c>
      <c r="AB506" s="2">
        <v>0</v>
      </c>
      <c r="AC506" s="4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17.38</v>
      </c>
      <c r="AM506" s="2">
        <v>17.38</v>
      </c>
      <c r="AN506" s="2">
        <v>0</v>
      </c>
      <c r="AO506" s="2">
        <v>0</v>
      </c>
      <c r="AP506" s="2">
        <v>0</v>
      </c>
    </row>
    <row r="507" spans="1:42" x14ac:dyDescent="0.25">
      <c r="A507" s="1">
        <v>45915</v>
      </c>
      <c r="B507" t="s">
        <v>47</v>
      </c>
      <c r="C507">
        <v>649163</v>
      </c>
      <c r="D507">
        <v>2025747991</v>
      </c>
      <c r="E507" t="s">
        <v>1018</v>
      </c>
      <c r="F507" t="s">
        <v>238</v>
      </c>
      <c r="G507" t="s">
        <v>50</v>
      </c>
      <c r="H507" t="s">
        <v>93</v>
      </c>
      <c r="I507" t="s">
        <v>106</v>
      </c>
      <c r="J507" t="s">
        <v>107</v>
      </c>
      <c r="K507">
        <v>651818</v>
      </c>
      <c r="L507" t="s">
        <v>108</v>
      </c>
      <c r="M507" t="s">
        <v>109</v>
      </c>
      <c r="N507" t="s">
        <v>230</v>
      </c>
      <c r="O507" s="1">
        <v>45664</v>
      </c>
      <c r="P507" s="1">
        <v>45937</v>
      </c>
      <c r="Q507" s="2">
        <v>-75.47</v>
      </c>
      <c r="R507">
        <v>1</v>
      </c>
      <c r="S507" t="s">
        <v>57</v>
      </c>
      <c r="T507" t="s">
        <v>58</v>
      </c>
      <c r="U507" s="4">
        <v>0.9</v>
      </c>
      <c r="V507" s="2">
        <v>0</v>
      </c>
      <c r="W507">
        <v>-1</v>
      </c>
      <c r="X507" t="s">
        <v>70</v>
      </c>
      <c r="Y507" t="s">
        <v>60</v>
      </c>
      <c r="Z507">
        <v>0</v>
      </c>
      <c r="AA507" s="2">
        <v>0</v>
      </c>
      <c r="AB507" s="2">
        <v>0</v>
      </c>
      <c r="AC507" s="4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-67.92</v>
      </c>
      <c r="AM507" s="2">
        <v>-67.92</v>
      </c>
      <c r="AN507" s="2">
        <v>0</v>
      </c>
      <c r="AO507" s="2">
        <v>0</v>
      </c>
      <c r="AP507" s="2">
        <v>0</v>
      </c>
    </row>
    <row r="508" spans="1:42" x14ac:dyDescent="0.25">
      <c r="A508" s="1">
        <v>45915</v>
      </c>
      <c r="B508" t="s">
        <v>47</v>
      </c>
      <c r="C508">
        <v>649163</v>
      </c>
      <c r="D508">
        <v>2025820174</v>
      </c>
      <c r="E508" t="s">
        <v>793</v>
      </c>
      <c r="F508" t="s">
        <v>792</v>
      </c>
      <c r="G508" t="s">
        <v>50</v>
      </c>
      <c r="H508" t="s">
        <v>141</v>
      </c>
      <c r="I508" t="s">
        <v>106</v>
      </c>
      <c r="J508" t="s">
        <v>107</v>
      </c>
      <c r="K508">
        <v>796984</v>
      </c>
      <c r="L508" t="s">
        <v>221</v>
      </c>
      <c r="M508" t="s">
        <v>62</v>
      </c>
      <c r="N508" t="s">
        <v>56</v>
      </c>
      <c r="O508" s="1">
        <v>45615</v>
      </c>
      <c r="P508" s="1">
        <v>45949</v>
      </c>
      <c r="Q508" s="2">
        <v>40.21</v>
      </c>
      <c r="R508">
        <v>1</v>
      </c>
      <c r="S508" t="s">
        <v>57</v>
      </c>
      <c r="T508" t="s">
        <v>58</v>
      </c>
      <c r="U508" s="4">
        <v>0.9</v>
      </c>
      <c r="V508" s="2">
        <v>0</v>
      </c>
      <c r="W508">
        <v>0</v>
      </c>
      <c r="X508" t="s">
        <v>70</v>
      </c>
      <c r="Y508" t="s">
        <v>60</v>
      </c>
      <c r="Z508">
        <v>0</v>
      </c>
      <c r="AA508" s="2">
        <v>0</v>
      </c>
      <c r="AB508" s="2">
        <v>0</v>
      </c>
      <c r="AC508" s="4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36.19</v>
      </c>
      <c r="AM508" s="2">
        <v>36.19</v>
      </c>
      <c r="AN508" s="2">
        <v>0</v>
      </c>
      <c r="AO508" s="2">
        <v>0</v>
      </c>
      <c r="AP508" s="2">
        <v>0</v>
      </c>
    </row>
    <row r="509" spans="1:42" x14ac:dyDescent="0.25">
      <c r="A509" s="1">
        <v>45915</v>
      </c>
      <c r="B509" t="s">
        <v>47</v>
      </c>
      <c r="C509">
        <v>649163</v>
      </c>
      <c r="D509">
        <v>2025850686</v>
      </c>
      <c r="E509" t="s">
        <v>556</v>
      </c>
      <c r="F509" t="s">
        <v>791</v>
      </c>
      <c r="G509" t="s">
        <v>50</v>
      </c>
      <c r="H509" t="s">
        <v>193</v>
      </c>
      <c r="I509" t="s">
        <v>106</v>
      </c>
      <c r="J509" t="s">
        <v>146</v>
      </c>
      <c r="K509">
        <v>673059</v>
      </c>
      <c r="L509" t="s">
        <v>152</v>
      </c>
      <c r="M509" t="s">
        <v>153</v>
      </c>
      <c r="N509" t="s">
        <v>56</v>
      </c>
      <c r="O509" s="1">
        <v>45658</v>
      </c>
      <c r="P509" s="1">
        <v>45931</v>
      </c>
      <c r="Q509" s="2">
        <v>126.15</v>
      </c>
      <c r="R509">
        <v>1</v>
      </c>
      <c r="S509" t="s">
        <v>57</v>
      </c>
      <c r="T509" t="s">
        <v>58</v>
      </c>
      <c r="U509" s="4">
        <v>0.65</v>
      </c>
      <c r="V509" s="2">
        <v>0</v>
      </c>
      <c r="W509">
        <v>0</v>
      </c>
      <c r="X509" t="s">
        <v>70</v>
      </c>
      <c r="Y509" t="s">
        <v>60</v>
      </c>
      <c r="Z509">
        <v>0</v>
      </c>
      <c r="AA509" s="2">
        <v>0</v>
      </c>
      <c r="AB509" s="2">
        <v>0</v>
      </c>
      <c r="AC509" s="4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82</v>
      </c>
      <c r="AM509" s="2">
        <v>82</v>
      </c>
      <c r="AN509" s="2">
        <v>0</v>
      </c>
      <c r="AO509" s="2">
        <v>0</v>
      </c>
      <c r="AP509" s="2">
        <v>0</v>
      </c>
    </row>
    <row r="510" spans="1:42" x14ac:dyDescent="0.25">
      <c r="A510" s="1">
        <v>45915</v>
      </c>
      <c r="B510" t="s">
        <v>47</v>
      </c>
      <c r="C510">
        <v>649163</v>
      </c>
      <c r="D510">
        <v>2026061218</v>
      </c>
      <c r="E510" t="s">
        <v>790</v>
      </c>
      <c r="F510" t="s">
        <v>789</v>
      </c>
      <c r="G510" t="s">
        <v>50</v>
      </c>
      <c r="H510" t="s">
        <v>141</v>
      </c>
      <c r="I510" t="s">
        <v>106</v>
      </c>
      <c r="J510" t="s">
        <v>146</v>
      </c>
      <c r="K510">
        <v>796984</v>
      </c>
      <c r="L510" t="s">
        <v>221</v>
      </c>
      <c r="M510" t="s">
        <v>62</v>
      </c>
      <c r="N510" t="s">
        <v>56</v>
      </c>
      <c r="O510" s="1">
        <v>45641</v>
      </c>
      <c r="P510" s="1">
        <v>45945</v>
      </c>
      <c r="Q510" s="2">
        <v>37.130000000000003</v>
      </c>
      <c r="R510">
        <v>1</v>
      </c>
      <c r="S510" t="s">
        <v>57</v>
      </c>
      <c r="T510" t="s">
        <v>58</v>
      </c>
      <c r="U510" s="4">
        <v>0.65</v>
      </c>
      <c r="V510" s="2">
        <v>0</v>
      </c>
      <c r="W510">
        <v>0</v>
      </c>
      <c r="X510" t="s">
        <v>70</v>
      </c>
      <c r="Y510" t="s">
        <v>60</v>
      </c>
      <c r="Z510">
        <v>0</v>
      </c>
      <c r="AA510" s="2">
        <v>0</v>
      </c>
      <c r="AB510" s="2">
        <v>0</v>
      </c>
      <c r="AC510" s="4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24.13</v>
      </c>
      <c r="AM510" s="2">
        <v>24.13</v>
      </c>
      <c r="AN510" s="2">
        <v>0</v>
      </c>
      <c r="AO510" s="2">
        <v>0</v>
      </c>
      <c r="AP510" s="2">
        <v>0</v>
      </c>
    </row>
    <row r="511" spans="1:42" x14ac:dyDescent="0.25">
      <c r="A511" s="1">
        <v>45915</v>
      </c>
      <c r="B511" t="s">
        <v>47</v>
      </c>
      <c r="C511">
        <v>649163</v>
      </c>
      <c r="D511">
        <v>2026111642</v>
      </c>
      <c r="E511" t="s">
        <v>1012</v>
      </c>
      <c r="F511" t="s">
        <v>1011</v>
      </c>
      <c r="G511" t="s">
        <v>50</v>
      </c>
      <c r="H511" t="s">
        <v>141</v>
      </c>
      <c r="I511" t="s">
        <v>106</v>
      </c>
      <c r="J511" t="s">
        <v>146</v>
      </c>
      <c r="K511">
        <v>796984</v>
      </c>
      <c r="L511" t="s">
        <v>221</v>
      </c>
      <c r="M511" t="s">
        <v>62</v>
      </c>
      <c r="N511" t="s">
        <v>56</v>
      </c>
      <c r="O511" s="1">
        <v>45641</v>
      </c>
      <c r="P511" s="1">
        <v>45945</v>
      </c>
      <c r="Q511" s="2">
        <v>58.48</v>
      </c>
      <c r="R511">
        <v>1</v>
      </c>
      <c r="S511" t="s">
        <v>57</v>
      </c>
      <c r="T511" t="s">
        <v>58</v>
      </c>
      <c r="U511" s="4">
        <v>0.65</v>
      </c>
      <c r="V511" s="2">
        <v>0</v>
      </c>
      <c r="W511">
        <v>0</v>
      </c>
      <c r="X511" t="s">
        <v>70</v>
      </c>
      <c r="Y511" t="s">
        <v>60</v>
      </c>
      <c r="Z511">
        <v>0</v>
      </c>
      <c r="AA511" s="2">
        <v>0</v>
      </c>
      <c r="AB511" s="2">
        <v>0</v>
      </c>
      <c r="AC511" s="4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38.01</v>
      </c>
      <c r="AM511" s="2">
        <v>38.01</v>
      </c>
      <c r="AN511" s="2">
        <v>0</v>
      </c>
      <c r="AO511" s="2">
        <v>0</v>
      </c>
      <c r="AP511" s="2">
        <v>0</v>
      </c>
    </row>
    <row r="512" spans="1:42" x14ac:dyDescent="0.25">
      <c r="A512" s="1">
        <v>45915</v>
      </c>
      <c r="B512" t="s">
        <v>47</v>
      </c>
      <c r="C512">
        <v>649163</v>
      </c>
      <c r="D512">
        <v>2026180758</v>
      </c>
      <c r="E512" t="s">
        <v>1005</v>
      </c>
      <c r="F512" t="s">
        <v>1004</v>
      </c>
      <c r="G512" t="s">
        <v>50</v>
      </c>
      <c r="H512" t="s">
        <v>141</v>
      </c>
      <c r="I512" t="s">
        <v>106</v>
      </c>
      <c r="J512" t="s">
        <v>146</v>
      </c>
      <c r="K512">
        <v>816021</v>
      </c>
      <c r="L512" t="s">
        <v>142</v>
      </c>
      <c r="M512" t="s">
        <v>143</v>
      </c>
      <c r="N512" t="s">
        <v>56</v>
      </c>
      <c r="O512" s="1">
        <v>45641</v>
      </c>
      <c r="P512" s="1">
        <v>45945</v>
      </c>
      <c r="Q512" s="2">
        <v>18.7</v>
      </c>
      <c r="R512">
        <v>1</v>
      </c>
      <c r="S512" t="s">
        <v>57</v>
      </c>
      <c r="T512" t="s">
        <v>58</v>
      </c>
      <c r="U512" s="4">
        <v>0.65</v>
      </c>
      <c r="V512" s="2">
        <v>0</v>
      </c>
      <c r="W512">
        <v>0</v>
      </c>
      <c r="X512" t="s">
        <v>70</v>
      </c>
      <c r="Y512" t="s">
        <v>60</v>
      </c>
      <c r="Z512">
        <v>0</v>
      </c>
      <c r="AA512" s="2">
        <v>0</v>
      </c>
      <c r="AB512" s="2">
        <v>0</v>
      </c>
      <c r="AC512" s="4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12.16</v>
      </c>
      <c r="AM512" s="2">
        <v>12.16</v>
      </c>
      <c r="AN512" s="2">
        <v>0</v>
      </c>
      <c r="AO512" s="2">
        <v>0</v>
      </c>
      <c r="AP512" s="2">
        <v>0</v>
      </c>
    </row>
    <row r="513" spans="1:42" x14ac:dyDescent="0.25">
      <c r="A513" s="1">
        <v>45915</v>
      </c>
      <c r="B513" t="s">
        <v>47</v>
      </c>
      <c r="C513">
        <v>649163</v>
      </c>
      <c r="D513">
        <v>2026184418</v>
      </c>
      <c r="E513" t="s">
        <v>1003</v>
      </c>
      <c r="F513" t="s">
        <v>394</v>
      </c>
      <c r="G513" t="s">
        <v>50</v>
      </c>
      <c r="H513" t="s">
        <v>141</v>
      </c>
      <c r="I513" t="s">
        <v>106</v>
      </c>
      <c r="J513" t="s">
        <v>146</v>
      </c>
      <c r="K513">
        <v>816021</v>
      </c>
      <c r="L513" t="s">
        <v>142</v>
      </c>
      <c r="M513" t="s">
        <v>143</v>
      </c>
      <c r="N513" t="s">
        <v>56</v>
      </c>
      <c r="O513" s="1">
        <v>45641</v>
      </c>
      <c r="P513" s="1">
        <v>45945</v>
      </c>
      <c r="Q513" s="2">
        <v>45.51</v>
      </c>
      <c r="R513">
        <v>1</v>
      </c>
      <c r="S513" t="s">
        <v>57</v>
      </c>
      <c r="T513" t="s">
        <v>58</v>
      </c>
      <c r="U513" s="4">
        <v>0.65</v>
      </c>
      <c r="V513" s="2">
        <v>0</v>
      </c>
      <c r="W513">
        <v>0</v>
      </c>
      <c r="X513" t="s">
        <v>70</v>
      </c>
      <c r="Y513" t="s">
        <v>60</v>
      </c>
      <c r="Z513">
        <v>0</v>
      </c>
      <c r="AA513" s="2">
        <v>0</v>
      </c>
      <c r="AB513" s="2">
        <v>0</v>
      </c>
      <c r="AC513" s="4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29.58</v>
      </c>
      <c r="AM513" s="2">
        <v>29.58</v>
      </c>
      <c r="AN513" s="2">
        <v>0</v>
      </c>
      <c r="AO513" s="2">
        <v>0</v>
      </c>
      <c r="AP513" s="2">
        <v>0</v>
      </c>
    </row>
    <row r="514" spans="1:42" x14ac:dyDescent="0.25">
      <c r="A514" s="1">
        <v>45915</v>
      </c>
      <c r="B514" t="s">
        <v>47</v>
      </c>
      <c r="C514">
        <v>649163</v>
      </c>
      <c r="D514">
        <v>2026206373</v>
      </c>
      <c r="E514" t="s">
        <v>998</v>
      </c>
      <c r="F514" t="s">
        <v>997</v>
      </c>
      <c r="G514" t="s">
        <v>50</v>
      </c>
      <c r="H514" t="s">
        <v>115</v>
      </c>
      <c r="I514" t="s">
        <v>106</v>
      </c>
      <c r="J514" t="s">
        <v>116</v>
      </c>
      <c r="K514">
        <v>651818</v>
      </c>
      <c r="L514" t="s">
        <v>108</v>
      </c>
      <c r="M514" t="s">
        <v>109</v>
      </c>
      <c r="N514" t="s">
        <v>56</v>
      </c>
      <c r="O514" s="1">
        <v>45644</v>
      </c>
      <c r="P514" s="1">
        <v>45948</v>
      </c>
      <c r="Q514" s="2">
        <v>97.8</v>
      </c>
      <c r="R514">
        <v>1</v>
      </c>
      <c r="S514" t="s">
        <v>57</v>
      </c>
      <c r="T514" t="s">
        <v>58</v>
      </c>
      <c r="U514" s="4">
        <v>0.75</v>
      </c>
      <c r="V514" s="2">
        <v>0</v>
      </c>
      <c r="W514">
        <v>0</v>
      </c>
      <c r="X514" t="s">
        <v>70</v>
      </c>
      <c r="Y514" t="s">
        <v>60</v>
      </c>
      <c r="Z514">
        <v>0</v>
      </c>
      <c r="AA514" s="2">
        <v>0</v>
      </c>
      <c r="AB514" s="2">
        <v>0</v>
      </c>
      <c r="AC514" s="4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73.349999999999994</v>
      </c>
      <c r="AM514" s="2">
        <v>73.349999999999994</v>
      </c>
      <c r="AN514" s="2">
        <v>0</v>
      </c>
      <c r="AO514" s="2">
        <v>0</v>
      </c>
      <c r="AP514" s="2">
        <v>0</v>
      </c>
    </row>
    <row r="515" spans="1:42" x14ac:dyDescent="0.25">
      <c r="A515" s="1">
        <v>45915</v>
      </c>
      <c r="B515" t="s">
        <v>47</v>
      </c>
      <c r="C515">
        <v>649163</v>
      </c>
      <c r="D515">
        <v>2026526003</v>
      </c>
      <c r="E515" t="s">
        <v>1067</v>
      </c>
      <c r="F515" t="s">
        <v>1066</v>
      </c>
      <c r="G515" t="s">
        <v>50</v>
      </c>
      <c r="H515" t="s">
        <v>134</v>
      </c>
      <c r="I515" t="s">
        <v>106</v>
      </c>
      <c r="J515" t="s">
        <v>116</v>
      </c>
      <c r="K515">
        <v>651818</v>
      </c>
      <c r="L515" t="s">
        <v>108</v>
      </c>
      <c r="M515" t="s">
        <v>109</v>
      </c>
      <c r="N515" t="s">
        <v>56</v>
      </c>
      <c r="O515" s="1">
        <v>45695</v>
      </c>
      <c r="P515" s="1">
        <v>45937</v>
      </c>
      <c r="Q515" s="2">
        <v>-67.099999999999994</v>
      </c>
      <c r="R515">
        <v>1</v>
      </c>
      <c r="S515" t="s">
        <v>57</v>
      </c>
      <c r="T515" t="s">
        <v>58</v>
      </c>
      <c r="U515" s="4">
        <v>0.75</v>
      </c>
      <c r="V515" s="2">
        <v>0</v>
      </c>
      <c r="W515">
        <v>-1</v>
      </c>
      <c r="X515" t="s">
        <v>70</v>
      </c>
      <c r="Y515" t="s">
        <v>60</v>
      </c>
      <c r="Z515">
        <v>0</v>
      </c>
      <c r="AA515" s="2">
        <v>0</v>
      </c>
      <c r="AB515" s="2">
        <v>0</v>
      </c>
      <c r="AC515" s="4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-50.32</v>
      </c>
      <c r="AM515" s="2">
        <v>-50.32</v>
      </c>
      <c r="AN515" s="2">
        <v>0</v>
      </c>
      <c r="AO515" s="2">
        <v>0</v>
      </c>
      <c r="AP515" s="2">
        <v>0</v>
      </c>
    </row>
    <row r="516" spans="1:42" x14ac:dyDescent="0.25">
      <c r="A516" s="1">
        <v>45915</v>
      </c>
      <c r="B516" t="s">
        <v>47</v>
      </c>
      <c r="C516">
        <v>649163</v>
      </c>
      <c r="D516">
        <v>2026581911</v>
      </c>
      <c r="E516" t="s">
        <v>990</v>
      </c>
      <c r="F516" t="s">
        <v>286</v>
      </c>
      <c r="G516" t="s">
        <v>50</v>
      </c>
      <c r="H516" t="s">
        <v>115</v>
      </c>
      <c r="I516" t="s">
        <v>106</v>
      </c>
      <c r="J516" t="s">
        <v>107</v>
      </c>
      <c r="K516">
        <v>767312</v>
      </c>
      <c r="L516" t="s">
        <v>122</v>
      </c>
      <c r="M516" t="s">
        <v>123</v>
      </c>
      <c r="N516" t="s">
        <v>56</v>
      </c>
      <c r="O516" s="1">
        <v>45672</v>
      </c>
      <c r="P516" s="1">
        <v>45945</v>
      </c>
      <c r="Q516" s="2">
        <v>76.959999999999994</v>
      </c>
      <c r="R516">
        <v>1</v>
      </c>
      <c r="S516" t="s">
        <v>57</v>
      </c>
      <c r="T516" t="s">
        <v>58</v>
      </c>
      <c r="U516" s="4">
        <v>0.9</v>
      </c>
      <c r="V516" s="2">
        <v>0</v>
      </c>
      <c r="W516">
        <v>0</v>
      </c>
      <c r="X516" t="s">
        <v>70</v>
      </c>
      <c r="Y516" t="s">
        <v>60</v>
      </c>
      <c r="Z516">
        <v>0</v>
      </c>
      <c r="AA516" s="2">
        <v>0</v>
      </c>
      <c r="AB516" s="2">
        <v>0</v>
      </c>
      <c r="AC516" s="4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69.260000000000005</v>
      </c>
      <c r="AM516" s="2">
        <v>69.260000000000005</v>
      </c>
      <c r="AN516" s="2">
        <v>0</v>
      </c>
      <c r="AO516" s="2">
        <v>0</v>
      </c>
      <c r="AP516" s="2">
        <v>0</v>
      </c>
    </row>
    <row r="517" spans="1:42" x14ac:dyDescent="0.25">
      <c r="A517" s="1">
        <v>45915</v>
      </c>
      <c r="B517" t="s">
        <v>47</v>
      </c>
      <c r="C517">
        <v>649163</v>
      </c>
      <c r="D517">
        <v>2026617754</v>
      </c>
      <c r="E517" t="s">
        <v>990</v>
      </c>
      <c r="F517" t="s">
        <v>123</v>
      </c>
      <c r="G517" t="s">
        <v>50</v>
      </c>
      <c r="H517" t="s">
        <v>115</v>
      </c>
      <c r="I517" t="s">
        <v>106</v>
      </c>
      <c r="J517" t="s">
        <v>107</v>
      </c>
      <c r="K517">
        <v>767312</v>
      </c>
      <c r="L517" t="s">
        <v>122</v>
      </c>
      <c r="M517" t="s">
        <v>123</v>
      </c>
      <c r="N517" t="s">
        <v>56</v>
      </c>
      <c r="O517" s="1">
        <v>45673</v>
      </c>
      <c r="P517" s="1">
        <v>45946</v>
      </c>
      <c r="Q517" s="2">
        <v>72.290000000000006</v>
      </c>
      <c r="R517">
        <v>1</v>
      </c>
      <c r="S517" t="s">
        <v>57</v>
      </c>
      <c r="T517" t="s">
        <v>58</v>
      </c>
      <c r="U517" s="4">
        <v>0.9</v>
      </c>
      <c r="V517" s="2">
        <v>0</v>
      </c>
      <c r="W517">
        <v>0</v>
      </c>
      <c r="X517" t="s">
        <v>70</v>
      </c>
      <c r="Y517" t="s">
        <v>60</v>
      </c>
      <c r="Z517">
        <v>0</v>
      </c>
      <c r="AA517" s="2">
        <v>0</v>
      </c>
      <c r="AB517" s="2">
        <v>0</v>
      </c>
      <c r="AC517" s="4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65.06</v>
      </c>
      <c r="AM517" s="2">
        <v>65.06</v>
      </c>
      <c r="AN517" s="2">
        <v>0</v>
      </c>
      <c r="AO517" s="2">
        <v>0</v>
      </c>
      <c r="AP517" s="2">
        <v>0</v>
      </c>
    </row>
    <row r="518" spans="1:42" x14ac:dyDescent="0.25">
      <c r="A518" s="1">
        <v>45915</v>
      </c>
      <c r="B518" t="s">
        <v>47</v>
      </c>
      <c r="C518">
        <v>649163</v>
      </c>
      <c r="D518">
        <v>2027115500</v>
      </c>
      <c r="E518" t="s">
        <v>987</v>
      </c>
      <c r="F518" t="s">
        <v>986</v>
      </c>
      <c r="G518" t="s">
        <v>50</v>
      </c>
      <c r="H518" t="s">
        <v>93</v>
      </c>
      <c r="I518" t="s">
        <v>106</v>
      </c>
      <c r="J518" t="s">
        <v>107</v>
      </c>
      <c r="K518">
        <v>768887</v>
      </c>
      <c r="L518" t="s">
        <v>282</v>
      </c>
      <c r="M518" t="s">
        <v>283</v>
      </c>
      <c r="N518" t="s">
        <v>56</v>
      </c>
      <c r="O518" s="1">
        <v>45703</v>
      </c>
      <c r="P518" s="1">
        <v>45945</v>
      </c>
      <c r="Q518" s="2">
        <v>13.92</v>
      </c>
      <c r="R518">
        <v>1</v>
      </c>
      <c r="S518" t="s">
        <v>57</v>
      </c>
      <c r="T518" t="s">
        <v>58</v>
      </c>
      <c r="U518" s="4">
        <v>0.9</v>
      </c>
      <c r="V518" s="2">
        <v>0</v>
      </c>
      <c r="W518">
        <v>0</v>
      </c>
      <c r="X518" t="s">
        <v>70</v>
      </c>
      <c r="Y518" t="s">
        <v>60</v>
      </c>
      <c r="Z518">
        <v>0</v>
      </c>
      <c r="AA518" s="2">
        <v>0</v>
      </c>
      <c r="AB518" s="2">
        <v>0</v>
      </c>
      <c r="AC518" s="4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12.53</v>
      </c>
      <c r="AM518" s="2">
        <v>12.53</v>
      </c>
      <c r="AN518" s="2">
        <v>0</v>
      </c>
      <c r="AO518" s="2">
        <v>0</v>
      </c>
      <c r="AP518" s="2">
        <v>0</v>
      </c>
    </row>
    <row r="519" spans="1:42" x14ac:dyDescent="0.25">
      <c r="A519" s="1">
        <v>45915</v>
      </c>
      <c r="B519" t="s">
        <v>47</v>
      </c>
      <c r="C519">
        <v>649163</v>
      </c>
      <c r="D519">
        <v>2027176337</v>
      </c>
      <c r="E519" t="s">
        <v>259</v>
      </c>
      <c r="F519" t="s">
        <v>594</v>
      </c>
      <c r="G519" t="s">
        <v>50</v>
      </c>
      <c r="H519" t="s">
        <v>93</v>
      </c>
      <c r="I519" t="s">
        <v>106</v>
      </c>
      <c r="J519" t="s">
        <v>116</v>
      </c>
      <c r="K519">
        <v>820873</v>
      </c>
      <c r="L519" t="s">
        <v>262</v>
      </c>
      <c r="M519" t="s">
        <v>263</v>
      </c>
      <c r="N519" t="s">
        <v>56</v>
      </c>
      <c r="O519" s="1">
        <v>45707</v>
      </c>
      <c r="P519" s="1">
        <v>45949</v>
      </c>
      <c r="Q519" s="2">
        <v>114.3</v>
      </c>
      <c r="R519">
        <v>1</v>
      </c>
      <c r="S519" t="s">
        <v>57</v>
      </c>
      <c r="T519" t="s">
        <v>58</v>
      </c>
      <c r="U519" s="4">
        <v>0.75</v>
      </c>
      <c r="V519" s="2">
        <v>0</v>
      </c>
      <c r="W519">
        <v>0</v>
      </c>
      <c r="X519" t="s">
        <v>70</v>
      </c>
      <c r="Y519" t="s">
        <v>60</v>
      </c>
      <c r="Z519">
        <v>0</v>
      </c>
      <c r="AA519" s="2">
        <v>0</v>
      </c>
      <c r="AB519" s="2">
        <v>0</v>
      </c>
      <c r="AC519" s="4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85.72</v>
      </c>
      <c r="AM519" s="2">
        <v>85.72</v>
      </c>
      <c r="AN519" s="2">
        <v>0</v>
      </c>
      <c r="AO519" s="2">
        <v>0</v>
      </c>
      <c r="AP519" s="2">
        <v>0</v>
      </c>
    </row>
    <row r="520" spans="1:42" x14ac:dyDescent="0.25">
      <c r="A520" s="1">
        <v>45915</v>
      </c>
      <c r="B520" t="s">
        <v>47</v>
      </c>
      <c r="C520">
        <v>649163</v>
      </c>
      <c r="D520">
        <v>2027855574</v>
      </c>
      <c r="E520" t="s">
        <v>977</v>
      </c>
      <c r="F520" t="s">
        <v>538</v>
      </c>
      <c r="G520" t="s">
        <v>50</v>
      </c>
      <c r="H520" t="s">
        <v>183</v>
      </c>
      <c r="I520" t="s">
        <v>106</v>
      </c>
      <c r="J520" t="s">
        <v>116</v>
      </c>
      <c r="K520">
        <v>651818</v>
      </c>
      <c r="L520" t="s">
        <v>108</v>
      </c>
      <c r="M520" t="s">
        <v>109</v>
      </c>
      <c r="N520" t="s">
        <v>56</v>
      </c>
      <c r="O520" s="1">
        <v>45734</v>
      </c>
      <c r="P520" s="1">
        <v>45948</v>
      </c>
      <c r="Q520" s="2">
        <v>75.8</v>
      </c>
      <c r="R520">
        <v>1</v>
      </c>
      <c r="S520" t="s">
        <v>57</v>
      </c>
      <c r="T520" t="s">
        <v>58</v>
      </c>
      <c r="U520" s="4">
        <v>0.75</v>
      </c>
      <c r="V520" s="2">
        <v>0</v>
      </c>
      <c r="W520">
        <v>0</v>
      </c>
      <c r="X520" t="s">
        <v>70</v>
      </c>
      <c r="Y520" t="s">
        <v>60</v>
      </c>
      <c r="Z520">
        <v>0</v>
      </c>
      <c r="AA520" s="2">
        <v>0</v>
      </c>
      <c r="AB520" s="2">
        <v>0</v>
      </c>
      <c r="AC520" s="4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56.85</v>
      </c>
      <c r="AM520" s="2">
        <v>56.85</v>
      </c>
      <c r="AN520" s="2">
        <v>0</v>
      </c>
      <c r="AO520" s="2">
        <v>0</v>
      </c>
      <c r="AP520" s="2">
        <v>0</v>
      </c>
    </row>
    <row r="521" spans="1:42" x14ac:dyDescent="0.25">
      <c r="A521" s="1">
        <v>45915</v>
      </c>
      <c r="B521" t="s">
        <v>47</v>
      </c>
      <c r="C521">
        <v>649163</v>
      </c>
      <c r="D521">
        <v>2027895298</v>
      </c>
      <c r="E521" t="s">
        <v>976</v>
      </c>
      <c r="F521" t="s">
        <v>975</v>
      </c>
      <c r="G521" t="s">
        <v>50</v>
      </c>
      <c r="H521" t="s">
        <v>93</v>
      </c>
      <c r="I521" t="s">
        <v>106</v>
      </c>
      <c r="J521" t="s">
        <v>116</v>
      </c>
      <c r="K521">
        <v>820873</v>
      </c>
      <c r="L521" t="s">
        <v>262</v>
      </c>
      <c r="M521" t="s">
        <v>263</v>
      </c>
      <c r="N521" t="s">
        <v>56</v>
      </c>
      <c r="O521" s="1">
        <v>45735</v>
      </c>
      <c r="P521" s="1">
        <v>45949</v>
      </c>
      <c r="Q521" s="2">
        <v>166.25</v>
      </c>
      <c r="R521">
        <v>1</v>
      </c>
      <c r="S521" t="s">
        <v>57</v>
      </c>
      <c r="T521" t="s">
        <v>58</v>
      </c>
      <c r="U521" s="4">
        <v>0.75</v>
      </c>
      <c r="V521" s="2">
        <v>0</v>
      </c>
      <c r="W521">
        <v>0</v>
      </c>
      <c r="X521" t="s">
        <v>70</v>
      </c>
      <c r="Y521" t="s">
        <v>60</v>
      </c>
      <c r="Z521">
        <v>0</v>
      </c>
      <c r="AA521" s="2">
        <v>0</v>
      </c>
      <c r="AB521" s="2">
        <v>0</v>
      </c>
      <c r="AC521" s="4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124.69</v>
      </c>
      <c r="AM521" s="2">
        <v>124.69</v>
      </c>
      <c r="AN521" s="2">
        <v>0</v>
      </c>
      <c r="AO521" s="2">
        <v>0</v>
      </c>
      <c r="AP521" s="2">
        <v>0</v>
      </c>
    </row>
    <row r="522" spans="1:42" x14ac:dyDescent="0.25">
      <c r="A522" s="1">
        <v>45915</v>
      </c>
      <c r="B522" t="s">
        <v>47</v>
      </c>
      <c r="C522">
        <v>649163</v>
      </c>
      <c r="D522">
        <v>2028048547</v>
      </c>
      <c r="E522" t="s">
        <v>974</v>
      </c>
      <c r="F522" t="s">
        <v>281</v>
      </c>
      <c r="G522" t="s">
        <v>50</v>
      </c>
      <c r="H522" t="s">
        <v>115</v>
      </c>
      <c r="I522" t="s">
        <v>106</v>
      </c>
      <c r="J522" t="s">
        <v>107</v>
      </c>
      <c r="K522">
        <v>753748</v>
      </c>
      <c r="L522" t="s">
        <v>130</v>
      </c>
      <c r="M522" t="s">
        <v>131</v>
      </c>
      <c r="N522" t="s">
        <v>56</v>
      </c>
      <c r="O522" s="1">
        <v>45748</v>
      </c>
      <c r="P522" s="1">
        <v>45931</v>
      </c>
      <c r="Q522" s="2">
        <v>326</v>
      </c>
      <c r="R522">
        <v>1</v>
      </c>
      <c r="S522" t="s">
        <v>57</v>
      </c>
      <c r="T522" t="s">
        <v>58</v>
      </c>
      <c r="U522" s="4">
        <v>0.9</v>
      </c>
      <c r="V522" s="2">
        <v>0</v>
      </c>
      <c r="W522">
        <v>0</v>
      </c>
      <c r="X522" t="s">
        <v>70</v>
      </c>
      <c r="Y522" t="s">
        <v>60</v>
      </c>
      <c r="Z522">
        <v>0</v>
      </c>
      <c r="AA522" s="2">
        <v>0</v>
      </c>
      <c r="AB522" s="2">
        <v>0</v>
      </c>
      <c r="AC522" s="4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293.39999999999998</v>
      </c>
      <c r="AM522" s="2">
        <v>293.39999999999998</v>
      </c>
      <c r="AN522" s="2">
        <v>0</v>
      </c>
      <c r="AO522" s="2">
        <v>0</v>
      </c>
      <c r="AP522" s="2">
        <v>0</v>
      </c>
    </row>
    <row r="523" spans="1:42" x14ac:dyDescent="0.25">
      <c r="A523" s="1">
        <v>45915</v>
      </c>
      <c r="B523" t="s">
        <v>47</v>
      </c>
      <c r="C523">
        <v>649163</v>
      </c>
      <c r="D523">
        <v>2028219139</v>
      </c>
      <c r="E523" t="s">
        <v>973</v>
      </c>
      <c r="F523" t="s">
        <v>277</v>
      </c>
      <c r="G523" t="s">
        <v>50</v>
      </c>
      <c r="H523" t="s">
        <v>115</v>
      </c>
      <c r="I523" t="s">
        <v>106</v>
      </c>
      <c r="J523" t="s">
        <v>107</v>
      </c>
      <c r="K523">
        <v>753748</v>
      </c>
      <c r="L523" t="s">
        <v>130</v>
      </c>
      <c r="M523" t="s">
        <v>131</v>
      </c>
      <c r="N523" t="s">
        <v>56</v>
      </c>
      <c r="O523" s="1">
        <v>45790</v>
      </c>
      <c r="P523" s="1">
        <v>45943</v>
      </c>
      <c r="Q523" s="2">
        <v>234.5</v>
      </c>
      <c r="R523">
        <v>1</v>
      </c>
      <c r="S523" t="s">
        <v>57</v>
      </c>
      <c r="T523" t="s">
        <v>58</v>
      </c>
      <c r="U523" s="4">
        <v>0.9</v>
      </c>
      <c r="V523" s="2">
        <v>0</v>
      </c>
      <c r="W523">
        <v>0</v>
      </c>
      <c r="X523" t="s">
        <v>70</v>
      </c>
      <c r="Y523" t="s">
        <v>60</v>
      </c>
      <c r="Z523">
        <v>0</v>
      </c>
      <c r="AA523" s="2">
        <v>0</v>
      </c>
      <c r="AB523" s="2">
        <v>0</v>
      </c>
      <c r="AC523" s="4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211.05</v>
      </c>
      <c r="AM523" s="2">
        <v>211.05</v>
      </c>
      <c r="AN523" s="2">
        <v>0</v>
      </c>
      <c r="AO523" s="2">
        <v>0</v>
      </c>
      <c r="AP523" s="2">
        <v>0</v>
      </c>
    </row>
    <row r="524" spans="1:42" x14ac:dyDescent="0.25">
      <c r="A524" s="1">
        <v>45915</v>
      </c>
      <c r="B524" t="s">
        <v>47</v>
      </c>
      <c r="C524">
        <v>649163</v>
      </c>
      <c r="D524">
        <v>2028303459</v>
      </c>
      <c r="E524" t="s">
        <v>154</v>
      </c>
      <c r="F524" t="s">
        <v>1065</v>
      </c>
      <c r="G524" t="s">
        <v>50</v>
      </c>
      <c r="H524" t="s">
        <v>83</v>
      </c>
      <c r="I524" t="s">
        <v>106</v>
      </c>
      <c r="J524" t="s">
        <v>116</v>
      </c>
      <c r="K524">
        <v>651818</v>
      </c>
      <c r="L524" t="s">
        <v>108</v>
      </c>
      <c r="M524" t="s">
        <v>109</v>
      </c>
      <c r="N524" t="s">
        <v>56</v>
      </c>
      <c r="O524" s="1">
        <v>45762</v>
      </c>
      <c r="P524" s="1">
        <v>45945</v>
      </c>
      <c r="Q524" s="2">
        <v>132.5</v>
      </c>
      <c r="R524">
        <v>1</v>
      </c>
      <c r="S524" t="s">
        <v>57</v>
      </c>
      <c r="T524" t="s">
        <v>58</v>
      </c>
      <c r="U524" s="4">
        <v>0.75</v>
      </c>
      <c r="V524" s="2">
        <v>0</v>
      </c>
      <c r="W524">
        <v>0</v>
      </c>
      <c r="X524" t="s">
        <v>70</v>
      </c>
      <c r="Y524" t="s">
        <v>60</v>
      </c>
      <c r="Z524">
        <v>0</v>
      </c>
      <c r="AA524" s="2">
        <v>0</v>
      </c>
      <c r="AB524" s="2">
        <v>0</v>
      </c>
      <c r="AC524" s="4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99.38</v>
      </c>
      <c r="AM524" s="2">
        <v>99.38</v>
      </c>
      <c r="AN524" s="2">
        <v>0</v>
      </c>
      <c r="AO524" s="2">
        <v>0</v>
      </c>
      <c r="AP524" s="2">
        <v>0</v>
      </c>
    </row>
    <row r="525" spans="1:42" x14ac:dyDescent="0.25">
      <c r="A525" s="1">
        <v>45915</v>
      </c>
      <c r="B525" t="s">
        <v>47</v>
      </c>
      <c r="C525">
        <v>649163</v>
      </c>
      <c r="D525">
        <v>2028379894</v>
      </c>
      <c r="E525" t="s">
        <v>871</v>
      </c>
      <c r="F525" t="s">
        <v>870</v>
      </c>
      <c r="G525" t="s">
        <v>50</v>
      </c>
      <c r="H525" t="s">
        <v>115</v>
      </c>
      <c r="I525" t="s">
        <v>106</v>
      </c>
      <c r="J525" t="s">
        <v>116</v>
      </c>
      <c r="K525">
        <v>822865</v>
      </c>
      <c r="L525" t="s">
        <v>158</v>
      </c>
      <c r="M525" t="s">
        <v>159</v>
      </c>
      <c r="N525" t="s">
        <v>56</v>
      </c>
      <c r="O525" s="1">
        <v>45760</v>
      </c>
      <c r="P525" s="1">
        <v>45943</v>
      </c>
      <c r="Q525" s="2">
        <v>81.099999999999994</v>
      </c>
      <c r="R525">
        <v>1</v>
      </c>
      <c r="S525" t="s">
        <v>57</v>
      </c>
      <c r="T525" t="s">
        <v>58</v>
      </c>
      <c r="U525" s="4">
        <v>0.75</v>
      </c>
      <c r="V525" s="2">
        <v>0</v>
      </c>
      <c r="W525">
        <v>0</v>
      </c>
      <c r="X525" t="s">
        <v>70</v>
      </c>
      <c r="Y525" t="s">
        <v>60</v>
      </c>
      <c r="Z525">
        <v>0</v>
      </c>
      <c r="AA525" s="2">
        <v>0</v>
      </c>
      <c r="AB525" s="2">
        <v>0</v>
      </c>
      <c r="AC525" s="4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60.82</v>
      </c>
      <c r="AM525" s="2">
        <v>60.82</v>
      </c>
      <c r="AN525" s="2">
        <v>0</v>
      </c>
      <c r="AO525" s="2">
        <v>0</v>
      </c>
      <c r="AP525" s="2">
        <v>0</v>
      </c>
    </row>
    <row r="526" spans="1:42" x14ac:dyDescent="0.25">
      <c r="A526" s="1">
        <v>45915</v>
      </c>
      <c r="B526" t="s">
        <v>47</v>
      </c>
      <c r="C526">
        <v>649163</v>
      </c>
      <c r="D526">
        <v>2028470694</v>
      </c>
      <c r="E526" t="s">
        <v>972</v>
      </c>
      <c r="F526" t="s">
        <v>485</v>
      </c>
      <c r="G526" t="s">
        <v>50</v>
      </c>
      <c r="H526" t="s">
        <v>121</v>
      </c>
      <c r="I526" t="s">
        <v>106</v>
      </c>
      <c r="J526" t="s">
        <v>116</v>
      </c>
      <c r="K526">
        <v>813184</v>
      </c>
      <c r="L526" t="s">
        <v>194</v>
      </c>
      <c r="M526" t="s">
        <v>195</v>
      </c>
      <c r="N526" t="s">
        <v>56</v>
      </c>
      <c r="O526" s="1">
        <v>45765</v>
      </c>
      <c r="P526" s="1">
        <v>45948</v>
      </c>
      <c r="Q526" s="2">
        <v>60.28</v>
      </c>
      <c r="R526">
        <v>1</v>
      </c>
      <c r="S526" t="s">
        <v>57</v>
      </c>
      <c r="T526" t="s">
        <v>58</v>
      </c>
      <c r="U526" s="4">
        <v>0.75</v>
      </c>
      <c r="V526" s="2">
        <v>0</v>
      </c>
      <c r="W526">
        <v>0</v>
      </c>
      <c r="X526" t="s">
        <v>70</v>
      </c>
      <c r="Y526" t="s">
        <v>60</v>
      </c>
      <c r="Z526">
        <v>0</v>
      </c>
      <c r="AA526" s="2">
        <v>0</v>
      </c>
      <c r="AB526" s="2">
        <v>0</v>
      </c>
      <c r="AC526" s="4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45.21</v>
      </c>
      <c r="AM526" s="2">
        <v>45.21</v>
      </c>
      <c r="AN526" s="2">
        <v>0</v>
      </c>
      <c r="AO526" s="2">
        <v>0</v>
      </c>
      <c r="AP526" s="2">
        <v>0</v>
      </c>
    </row>
    <row r="527" spans="1:42" x14ac:dyDescent="0.25">
      <c r="A527" s="1">
        <v>45915</v>
      </c>
      <c r="B527" t="s">
        <v>47</v>
      </c>
      <c r="C527">
        <v>649163</v>
      </c>
      <c r="D527">
        <v>2028840700</v>
      </c>
      <c r="E527" t="s">
        <v>622</v>
      </c>
      <c r="F527" t="s">
        <v>163</v>
      </c>
      <c r="G527" t="s">
        <v>50</v>
      </c>
      <c r="H527" t="s">
        <v>151</v>
      </c>
      <c r="I527" t="s">
        <v>106</v>
      </c>
      <c r="J527" t="s">
        <v>184</v>
      </c>
      <c r="K527">
        <v>673059</v>
      </c>
      <c r="L527" t="s">
        <v>152</v>
      </c>
      <c r="M527" t="s">
        <v>153</v>
      </c>
      <c r="N527" t="s">
        <v>230</v>
      </c>
      <c r="O527" s="1">
        <v>45809</v>
      </c>
      <c r="P527" s="1">
        <v>45931</v>
      </c>
      <c r="Q527" s="2">
        <v>-6.51</v>
      </c>
      <c r="R527">
        <v>1</v>
      </c>
      <c r="S527" t="s">
        <v>57</v>
      </c>
      <c r="T527" t="s">
        <v>58</v>
      </c>
      <c r="U527" s="4">
        <v>0.75</v>
      </c>
      <c r="V527" s="2">
        <v>0</v>
      </c>
      <c r="W527">
        <v>-1</v>
      </c>
      <c r="X527" t="s">
        <v>70</v>
      </c>
      <c r="Y527" t="s">
        <v>60</v>
      </c>
      <c r="Z527">
        <v>0</v>
      </c>
      <c r="AA527" s="2">
        <v>0</v>
      </c>
      <c r="AB527" s="2">
        <v>0</v>
      </c>
      <c r="AC527" s="4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-4.88</v>
      </c>
      <c r="AM527" s="2">
        <v>-4.88</v>
      </c>
      <c r="AN527" s="2">
        <v>0</v>
      </c>
      <c r="AO527" s="2">
        <v>0</v>
      </c>
      <c r="AP527" s="2">
        <v>0</v>
      </c>
    </row>
    <row r="528" spans="1:42" x14ac:dyDescent="0.25">
      <c r="A528" s="1">
        <v>45915</v>
      </c>
      <c r="B528" t="s">
        <v>47</v>
      </c>
      <c r="C528">
        <v>649163</v>
      </c>
      <c r="D528">
        <v>2028935096</v>
      </c>
      <c r="E528" t="s">
        <v>958</v>
      </c>
      <c r="F528" t="s">
        <v>957</v>
      </c>
      <c r="G528" t="s">
        <v>50</v>
      </c>
      <c r="H528" t="s">
        <v>151</v>
      </c>
      <c r="I528" t="s">
        <v>106</v>
      </c>
      <c r="J528" t="s">
        <v>184</v>
      </c>
      <c r="K528">
        <v>821015</v>
      </c>
      <c r="L528" t="s">
        <v>89</v>
      </c>
      <c r="M528" t="s">
        <v>90</v>
      </c>
      <c r="N528" t="s">
        <v>56</v>
      </c>
      <c r="O528" s="1">
        <v>45792</v>
      </c>
      <c r="P528" s="1">
        <v>45945</v>
      </c>
      <c r="Q528" s="2">
        <v>50.98</v>
      </c>
      <c r="R528">
        <v>1</v>
      </c>
      <c r="S528" t="s">
        <v>57</v>
      </c>
      <c r="T528" t="s">
        <v>58</v>
      </c>
      <c r="U528" s="4">
        <v>0.75</v>
      </c>
      <c r="V528" s="2">
        <v>0</v>
      </c>
      <c r="W528">
        <v>0</v>
      </c>
      <c r="X528" t="s">
        <v>70</v>
      </c>
      <c r="Y528" t="s">
        <v>60</v>
      </c>
      <c r="Z528">
        <v>0</v>
      </c>
      <c r="AA528" s="2">
        <v>0</v>
      </c>
      <c r="AB528" s="2">
        <v>0</v>
      </c>
      <c r="AC528" s="4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38.24</v>
      </c>
      <c r="AM528" s="2">
        <v>38.24</v>
      </c>
      <c r="AN528" s="2">
        <v>0</v>
      </c>
      <c r="AO528" s="2">
        <v>0</v>
      </c>
      <c r="AP528" s="2">
        <v>0</v>
      </c>
    </row>
    <row r="529" spans="1:42" x14ac:dyDescent="0.25">
      <c r="A529" s="1">
        <v>45915</v>
      </c>
      <c r="B529" t="s">
        <v>47</v>
      </c>
      <c r="C529">
        <v>649163</v>
      </c>
      <c r="D529">
        <v>2028941656</v>
      </c>
      <c r="E529" t="s">
        <v>547</v>
      </c>
      <c r="F529" t="s">
        <v>855</v>
      </c>
      <c r="G529" t="s">
        <v>50</v>
      </c>
      <c r="H529" t="s">
        <v>121</v>
      </c>
      <c r="I529" t="s">
        <v>106</v>
      </c>
      <c r="J529" t="s">
        <v>107</v>
      </c>
      <c r="K529">
        <v>822723</v>
      </c>
      <c r="L529" t="s">
        <v>828</v>
      </c>
      <c r="M529" t="s">
        <v>827</v>
      </c>
      <c r="N529" t="s">
        <v>56</v>
      </c>
      <c r="O529" s="1">
        <v>45792</v>
      </c>
      <c r="P529" s="1">
        <v>45945</v>
      </c>
      <c r="Q529" s="2">
        <v>143.63</v>
      </c>
      <c r="R529">
        <v>1</v>
      </c>
      <c r="S529" t="s">
        <v>57</v>
      </c>
      <c r="T529" t="s">
        <v>58</v>
      </c>
      <c r="U529" s="4">
        <v>0.9</v>
      </c>
      <c r="V529" s="2">
        <v>0</v>
      </c>
      <c r="W529">
        <v>0</v>
      </c>
      <c r="X529" t="s">
        <v>70</v>
      </c>
      <c r="Y529" t="s">
        <v>60</v>
      </c>
      <c r="Z529">
        <v>0</v>
      </c>
      <c r="AA529" s="2">
        <v>0</v>
      </c>
      <c r="AB529" s="2">
        <v>0</v>
      </c>
      <c r="AC529" s="4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129.27000000000001</v>
      </c>
      <c r="AM529" s="2">
        <v>129.27000000000001</v>
      </c>
      <c r="AN529" s="2">
        <v>0</v>
      </c>
      <c r="AO529" s="2">
        <v>0</v>
      </c>
      <c r="AP529" s="2">
        <v>0</v>
      </c>
    </row>
    <row r="530" spans="1:42" x14ac:dyDescent="0.25">
      <c r="A530" s="1">
        <v>45915</v>
      </c>
      <c r="B530" t="s">
        <v>47</v>
      </c>
      <c r="C530">
        <v>649163</v>
      </c>
      <c r="D530">
        <v>2028958358</v>
      </c>
      <c r="E530" t="s">
        <v>777</v>
      </c>
      <c r="F530" t="s">
        <v>349</v>
      </c>
      <c r="G530" t="s">
        <v>50</v>
      </c>
      <c r="H530" t="s">
        <v>93</v>
      </c>
      <c r="I530" t="s">
        <v>106</v>
      </c>
      <c r="J530" t="s">
        <v>107</v>
      </c>
      <c r="K530">
        <v>673059</v>
      </c>
      <c r="L530" t="s">
        <v>152</v>
      </c>
      <c r="M530" t="s">
        <v>153</v>
      </c>
      <c r="N530" t="s">
        <v>56</v>
      </c>
      <c r="O530" s="1">
        <v>45793</v>
      </c>
      <c r="P530" s="1">
        <v>45946</v>
      </c>
      <c r="Q530" s="2">
        <v>50.96</v>
      </c>
      <c r="R530">
        <v>1</v>
      </c>
      <c r="S530" t="s">
        <v>57</v>
      </c>
      <c r="T530" t="s">
        <v>58</v>
      </c>
      <c r="U530" s="4">
        <v>0.9</v>
      </c>
      <c r="V530" s="2">
        <v>0</v>
      </c>
      <c r="W530">
        <v>0</v>
      </c>
      <c r="X530" t="s">
        <v>70</v>
      </c>
      <c r="Y530" t="s">
        <v>60</v>
      </c>
      <c r="Z530">
        <v>0</v>
      </c>
      <c r="AA530" s="2">
        <v>0</v>
      </c>
      <c r="AB530" s="2">
        <v>0</v>
      </c>
      <c r="AC530" s="4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45.86</v>
      </c>
      <c r="AM530" s="2">
        <v>45.86</v>
      </c>
      <c r="AN530" s="2">
        <v>0</v>
      </c>
      <c r="AO530" s="2">
        <v>0</v>
      </c>
      <c r="AP530" s="2">
        <v>0</v>
      </c>
    </row>
    <row r="531" spans="1:42" x14ac:dyDescent="0.25">
      <c r="A531" s="1">
        <v>45915</v>
      </c>
      <c r="B531" t="s">
        <v>47</v>
      </c>
      <c r="C531">
        <v>649163</v>
      </c>
      <c r="D531">
        <v>2028965775</v>
      </c>
      <c r="E531" t="s">
        <v>137</v>
      </c>
      <c r="F531" t="s">
        <v>773</v>
      </c>
      <c r="G531" t="s">
        <v>50</v>
      </c>
      <c r="H531" t="s">
        <v>93</v>
      </c>
      <c r="I531" t="s">
        <v>106</v>
      </c>
      <c r="J531" t="s">
        <v>184</v>
      </c>
      <c r="K531">
        <v>792847</v>
      </c>
      <c r="L531" t="s">
        <v>137</v>
      </c>
      <c r="M531" t="s">
        <v>138</v>
      </c>
      <c r="N531" t="s">
        <v>56</v>
      </c>
      <c r="O531" s="1">
        <v>45793</v>
      </c>
      <c r="P531" s="1">
        <v>45946</v>
      </c>
      <c r="Q531" s="2">
        <v>19.3</v>
      </c>
      <c r="R531">
        <v>1</v>
      </c>
      <c r="S531" t="s">
        <v>57</v>
      </c>
      <c r="T531" t="s">
        <v>58</v>
      </c>
      <c r="U531" s="4">
        <v>0.75</v>
      </c>
      <c r="V531" s="2">
        <v>0</v>
      </c>
      <c r="W531">
        <v>0</v>
      </c>
      <c r="X531" t="s">
        <v>70</v>
      </c>
      <c r="Y531" t="s">
        <v>60</v>
      </c>
      <c r="Z531">
        <v>0</v>
      </c>
      <c r="AA531" s="2">
        <v>0</v>
      </c>
      <c r="AB531" s="2">
        <v>0</v>
      </c>
      <c r="AC531" s="4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14.48</v>
      </c>
      <c r="AM531" s="2">
        <v>14.48</v>
      </c>
      <c r="AN531" s="2">
        <v>0</v>
      </c>
      <c r="AO531" s="2">
        <v>0</v>
      </c>
      <c r="AP531" s="2">
        <v>0</v>
      </c>
    </row>
    <row r="532" spans="1:42" x14ac:dyDescent="0.25">
      <c r="A532" s="1">
        <v>45915</v>
      </c>
      <c r="B532" t="s">
        <v>47</v>
      </c>
      <c r="C532">
        <v>649163</v>
      </c>
      <c r="D532">
        <v>2028965806</v>
      </c>
      <c r="E532" t="s">
        <v>137</v>
      </c>
      <c r="F532" t="s">
        <v>714</v>
      </c>
      <c r="G532" t="s">
        <v>50</v>
      </c>
      <c r="H532" t="s">
        <v>204</v>
      </c>
      <c r="I532" t="s">
        <v>106</v>
      </c>
      <c r="J532" t="s">
        <v>184</v>
      </c>
      <c r="K532">
        <v>792847</v>
      </c>
      <c r="L532" t="s">
        <v>137</v>
      </c>
      <c r="M532" t="s">
        <v>138</v>
      </c>
      <c r="N532" t="s">
        <v>56</v>
      </c>
      <c r="O532" s="1">
        <v>45793</v>
      </c>
      <c r="P532" s="1">
        <v>45946</v>
      </c>
      <c r="Q532" s="2">
        <v>73.42</v>
      </c>
      <c r="R532">
        <v>1</v>
      </c>
      <c r="S532" t="s">
        <v>57</v>
      </c>
      <c r="T532" t="s">
        <v>58</v>
      </c>
      <c r="U532" s="4">
        <v>0.75</v>
      </c>
      <c r="V532" s="2">
        <v>0</v>
      </c>
      <c r="W532">
        <v>0</v>
      </c>
      <c r="X532" t="s">
        <v>70</v>
      </c>
      <c r="Y532" t="s">
        <v>60</v>
      </c>
      <c r="Z532">
        <v>0</v>
      </c>
      <c r="AA532" s="2">
        <v>0</v>
      </c>
      <c r="AB532" s="2">
        <v>0</v>
      </c>
      <c r="AC532" s="4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55.06</v>
      </c>
      <c r="AM532" s="2">
        <v>55.06</v>
      </c>
      <c r="AN532" s="2">
        <v>0</v>
      </c>
      <c r="AO532" s="2">
        <v>0</v>
      </c>
      <c r="AP532" s="2">
        <v>0</v>
      </c>
    </row>
    <row r="533" spans="1:42" x14ac:dyDescent="0.25">
      <c r="A533" s="1">
        <v>45915</v>
      </c>
      <c r="B533" t="s">
        <v>47</v>
      </c>
      <c r="C533">
        <v>649163</v>
      </c>
      <c r="D533">
        <v>2029067255</v>
      </c>
      <c r="E533" t="s">
        <v>620</v>
      </c>
      <c r="F533" t="s">
        <v>619</v>
      </c>
      <c r="G533" t="s">
        <v>50</v>
      </c>
      <c r="H533" t="s">
        <v>141</v>
      </c>
      <c r="I533" t="s">
        <v>106</v>
      </c>
      <c r="J533" t="s">
        <v>146</v>
      </c>
      <c r="K533">
        <v>816021</v>
      </c>
      <c r="L533" t="s">
        <v>142</v>
      </c>
      <c r="M533" t="s">
        <v>143</v>
      </c>
      <c r="N533" t="s">
        <v>230</v>
      </c>
      <c r="O533" s="1">
        <v>45809</v>
      </c>
      <c r="P533" s="1">
        <v>45931</v>
      </c>
      <c r="Q533" s="2">
        <v>-17.350000000000001</v>
      </c>
      <c r="R533">
        <v>1</v>
      </c>
      <c r="S533" t="s">
        <v>57</v>
      </c>
      <c r="T533" t="s">
        <v>58</v>
      </c>
      <c r="U533" s="4">
        <v>0.65</v>
      </c>
      <c r="V533" s="2">
        <v>0</v>
      </c>
      <c r="W533">
        <v>-1</v>
      </c>
      <c r="X533" t="s">
        <v>70</v>
      </c>
      <c r="Y533" t="s">
        <v>60</v>
      </c>
      <c r="Z533">
        <v>0</v>
      </c>
      <c r="AA533" s="2">
        <v>0</v>
      </c>
      <c r="AB533" s="2">
        <v>0</v>
      </c>
      <c r="AC533" s="4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-11.28</v>
      </c>
      <c r="AM533" s="2">
        <v>-11.28</v>
      </c>
      <c r="AN533" s="2">
        <v>0</v>
      </c>
      <c r="AO533" s="2">
        <v>0</v>
      </c>
      <c r="AP533" s="2">
        <v>0</v>
      </c>
    </row>
    <row r="534" spans="1:42" x14ac:dyDescent="0.25">
      <c r="A534" s="1">
        <v>45915</v>
      </c>
      <c r="B534" t="s">
        <v>47</v>
      </c>
      <c r="C534">
        <v>649163</v>
      </c>
      <c r="D534">
        <v>2029185271</v>
      </c>
      <c r="E534" t="s">
        <v>940</v>
      </c>
      <c r="F534" t="s">
        <v>939</v>
      </c>
      <c r="G534" t="s">
        <v>50</v>
      </c>
      <c r="H534" t="s">
        <v>402</v>
      </c>
      <c r="I534" t="s">
        <v>106</v>
      </c>
      <c r="J534" t="s">
        <v>184</v>
      </c>
      <c r="K534">
        <v>673059</v>
      </c>
      <c r="L534" t="s">
        <v>152</v>
      </c>
      <c r="M534" t="s">
        <v>153</v>
      </c>
      <c r="N534" t="s">
        <v>56</v>
      </c>
      <c r="O534" s="1">
        <v>45825</v>
      </c>
      <c r="P534" s="1">
        <v>45947</v>
      </c>
      <c r="Q534" s="2">
        <v>66.03</v>
      </c>
      <c r="R534">
        <v>1</v>
      </c>
      <c r="S534" t="s">
        <v>57</v>
      </c>
      <c r="T534" t="s">
        <v>58</v>
      </c>
      <c r="U534" s="4">
        <v>0.75</v>
      </c>
      <c r="V534" s="2">
        <v>0</v>
      </c>
      <c r="W534">
        <v>0</v>
      </c>
      <c r="X534" t="s">
        <v>70</v>
      </c>
      <c r="Y534" t="s">
        <v>60</v>
      </c>
      <c r="Z534">
        <v>0</v>
      </c>
      <c r="AA534" s="2">
        <v>0</v>
      </c>
      <c r="AB534" s="2">
        <v>0</v>
      </c>
      <c r="AC534" s="4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49.52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</row>
    <row r="535" spans="1:42" x14ac:dyDescent="0.25">
      <c r="A535" s="1">
        <v>45915</v>
      </c>
      <c r="B535" t="s">
        <v>47</v>
      </c>
      <c r="C535">
        <v>649163</v>
      </c>
      <c r="D535">
        <v>2029502358</v>
      </c>
      <c r="E535" t="s">
        <v>152</v>
      </c>
      <c r="F535" t="s">
        <v>153</v>
      </c>
      <c r="G535" t="s">
        <v>50</v>
      </c>
      <c r="H535" t="s">
        <v>93</v>
      </c>
      <c r="I535" t="s">
        <v>106</v>
      </c>
      <c r="J535" t="s">
        <v>184</v>
      </c>
      <c r="K535">
        <v>673059</v>
      </c>
      <c r="L535" t="s">
        <v>152</v>
      </c>
      <c r="M535" t="s">
        <v>153</v>
      </c>
      <c r="N535" t="s">
        <v>56</v>
      </c>
      <c r="O535" s="1">
        <v>45826</v>
      </c>
      <c r="P535" s="1">
        <v>45948</v>
      </c>
      <c r="Q535" s="2">
        <v>35.380000000000003</v>
      </c>
      <c r="R535">
        <v>1</v>
      </c>
      <c r="S535" t="s">
        <v>57</v>
      </c>
      <c r="T535" t="s">
        <v>58</v>
      </c>
      <c r="U535" s="4">
        <v>0.75</v>
      </c>
      <c r="V535" s="2">
        <v>0</v>
      </c>
      <c r="W535">
        <v>0</v>
      </c>
      <c r="X535" t="s">
        <v>70</v>
      </c>
      <c r="Y535" t="s">
        <v>60</v>
      </c>
      <c r="Z535">
        <v>0</v>
      </c>
      <c r="AA535" s="2">
        <v>0</v>
      </c>
      <c r="AB535" s="2">
        <v>0</v>
      </c>
      <c r="AC535" s="4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26.54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</row>
    <row r="536" spans="1:42" x14ac:dyDescent="0.25">
      <c r="A536" s="1">
        <v>45915</v>
      </c>
      <c r="B536" t="s">
        <v>47</v>
      </c>
      <c r="C536">
        <v>649163</v>
      </c>
      <c r="D536">
        <v>2029528276</v>
      </c>
      <c r="E536" t="s">
        <v>840</v>
      </c>
      <c r="F536" t="s">
        <v>789</v>
      </c>
      <c r="G536" t="s">
        <v>50</v>
      </c>
      <c r="H536" t="s">
        <v>115</v>
      </c>
      <c r="I536" t="s">
        <v>106</v>
      </c>
      <c r="J536" t="s">
        <v>107</v>
      </c>
      <c r="K536">
        <v>822865</v>
      </c>
      <c r="L536" t="s">
        <v>158</v>
      </c>
      <c r="M536" t="s">
        <v>159</v>
      </c>
      <c r="N536" t="s">
        <v>56</v>
      </c>
      <c r="O536" s="1">
        <v>45827</v>
      </c>
      <c r="P536" s="1">
        <v>45949</v>
      </c>
      <c r="Q536" s="2">
        <v>47.65</v>
      </c>
      <c r="R536">
        <v>1</v>
      </c>
      <c r="S536" t="s">
        <v>57</v>
      </c>
      <c r="T536" t="s">
        <v>58</v>
      </c>
      <c r="U536" s="4">
        <v>0.9</v>
      </c>
      <c r="V536" s="2">
        <v>0</v>
      </c>
      <c r="W536">
        <v>0</v>
      </c>
      <c r="X536" t="s">
        <v>70</v>
      </c>
      <c r="Y536" t="s">
        <v>60</v>
      </c>
      <c r="Z536">
        <v>0</v>
      </c>
      <c r="AA536" s="2">
        <v>0</v>
      </c>
      <c r="AB536" s="2">
        <v>0</v>
      </c>
      <c r="AC536" s="4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42.88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</row>
    <row r="537" spans="1:42" x14ac:dyDescent="0.25">
      <c r="A537" s="1">
        <v>45915</v>
      </c>
      <c r="B537" t="s">
        <v>47</v>
      </c>
      <c r="C537">
        <v>649163</v>
      </c>
      <c r="D537">
        <v>2029878253</v>
      </c>
      <c r="E537" t="s">
        <v>924</v>
      </c>
      <c r="F537" t="s">
        <v>171</v>
      </c>
      <c r="G537" t="s">
        <v>50</v>
      </c>
      <c r="H537" t="s">
        <v>93</v>
      </c>
      <c r="I537" t="s">
        <v>106</v>
      </c>
      <c r="J537" t="s">
        <v>184</v>
      </c>
      <c r="K537">
        <v>824076</v>
      </c>
      <c r="L537" t="s">
        <v>834</v>
      </c>
      <c r="M537" t="s">
        <v>833</v>
      </c>
      <c r="N537" t="s">
        <v>56</v>
      </c>
      <c r="O537" s="1">
        <v>45853</v>
      </c>
      <c r="P537" s="1">
        <v>45945</v>
      </c>
      <c r="Q537" s="2">
        <v>15.97</v>
      </c>
      <c r="R537">
        <v>1</v>
      </c>
      <c r="S537" t="s">
        <v>57</v>
      </c>
      <c r="T537" t="s">
        <v>58</v>
      </c>
      <c r="U537" s="4">
        <v>0.75</v>
      </c>
      <c r="V537" s="2">
        <v>0</v>
      </c>
      <c r="W537">
        <v>0</v>
      </c>
      <c r="X537" t="s">
        <v>70</v>
      </c>
      <c r="Y537" t="s">
        <v>60</v>
      </c>
      <c r="Z537">
        <v>0</v>
      </c>
      <c r="AA537" s="2">
        <v>0</v>
      </c>
      <c r="AB537" s="2">
        <v>0</v>
      </c>
      <c r="AC537" s="4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11.98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</row>
    <row r="538" spans="1:42" x14ac:dyDescent="0.25">
      <c r="A538" s="1">
        <v>45915</v>
      </c>
      <c r="B538" t="s">
        <v>47</v>
      </c>
      <c r="C538">
        <v>649163</v>
      </c>
      <c r="D538">
        <v>2029894138</v>
      </c>
      <c r="E538" t="s">
        <v>923</v>
      </c>
      <c r="F538" t="s">
        <v>74</v>
      </c>
      <c r="G538" t="s">
        <v>50</v>
      </c>
      <c r="H538" t="s">
        <v>157</v>
      </c>
      <c r="I538" t="s">
        <v>106</v>
      </c>
      <c r="J538" t="s">
        <v>184</v>
      </c>
      <c r="K538">
        <v>673059</v>
      </c>
      <c r="L538" t="s">
        <v>152</v>
      </c>
      <c r="M538" t="s">
        <v>153</v>
      </c>
      <c r="N538" t="s">
        <v>56</v>
      </c>
      <c r="O538" s="1">
        <v>45852</v>
      </c>
      <c r="P538" s="1">
        <v>45944</v>
      </c>
      <c r="Q538" s="2">
        <v>80.8</v>
      </c>
      <c r="R538">
        <v>1</v>
      </c>
      <c r="S538" t="s">
        <v>57</v>
      </c>
      <c r="T538" t="s">
        <v>58</v>
      </c>
      <c r="U538" s="4">
        <v>0.75</v>
      </c>
      <c r="V538" s="2">
        <v>0</v>
      </c>
      <c r="W538">
        <v>0</v>
      </c>
      <c r="X538" t="s">
        <v>70</v>
      </c>
      <c r="Y538" t="s">
        <v>60</v>
      </c>
      <c r="Z538">
        <v>0</v>
      </c>
      <c r="AA538" s="2">
        <v>0</v>
      </c>
      <c r="AB538" s="2">
        <v>0</v>
      </c>
      <c r="AC538" s="4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60.6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</row>
    <row r="539" spans="1:42" x14ac:dyDescent="0.25">
      <c r="A539" s="1">
        <v>45915</v>
      </c>
      <c r="B539" t="s">
        <v>47</v>
      </c>
      <c r="C539">
        <v>649163</v>
      </c>
      <c r="D539">
        <v>2029910877</v>
      </c>
      <c r="E539" t="s">
        <v>202</v>
      </c>
      <c r="F539" t="s">
        <v>203</v>
      </c>
      <c r="G539" t="s">
        <v>50</v>
      </c>
      <c r="H539" t="s">
        <v>204</v>
      </c>
      <c r="I539" t="s">
        <v>106</v>
      </c>
      <c r="J539" t="s">
        <v>116</v>
      </c>
      <c r="K539">
        <v>792847</v>
      </c>
      <c r="L539" t="s">
        <v>137</v>
      </c>
      <c r="M539" t="s">
        <v>138</v>
      </c>
      <c r="N539" t="s">
        <v>56</v>
      </c>
      <c r="O539" s="1">
        <v>45850</v>
      </c>
      <c r="P539" s="1">
        <v>45942</v>
      </c>
      <c r="Q539" s="2">
        <v>-150.47999999999999</v>
      </c>
      <c r="R539">
        <v>1</v>
      </c>
      <c r="S539" t="s">
        <v>57</v>
      </c>
      <c r="T539" t="s">
        <v>58</v>
      </c>
      <c r="U539" s="4">
        <v>0.75</v>
      </c>
      <c r="V539" s="2">
        <v>0</v>
      </c>
      <c r="W539">
        <v>-1</v>
      </c>
      <c r="X539" t="s">
        <v>70</v>
      </c>
      <c r="Y539" t="s">
        <v>60</v>
      </c>
      <c r="Z539">
        <v>0</v>
      </c>
      <c r="AA539" s="2">
        <v>0</v>
      </c>
      <c r="AB539" s="2">
        <v>0</v>
      </c>
      <c r="AC539" s="4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-112.86</v>
      </c>
      <c r="AM539" s="2">
        <v>-112.86</v>
      </c>
      <c r="AN539" s="2">
        <v>0</v>
      </c>
      <c r="AO539" s="2">
        <v>0</v>
      </c>
      <c r="AP539" s="2">
        <v>0</v>
      </c>
    </row>
    <row r="540" spans="1:42" x14ac:dyDescent="0.25">
      <c r="A540" s="1">
        <v>45915</v>
      </c>
      <c r="B540" t="s">
        <v>47</v>
      </c>
      <c r="C540">
        <v>649163</v>
      </c>
      <c r="D540">
        <v>2029938124</v>
      </c>
      <c r="E540" t="s">
        <v>837</v>
      </c>
      <c r="F540" t="s">
        <v>836</v>
      </c>
      <c r="G540" t="s">
        <v>50</v>
      </c>
      <c r="H540" t="s">
        <v>512</v>
      </c>
      <c r="I540" t="s">
        <v>106</v>
      </c>
      <c r="J540" t="s">
        <v>107</v>
      </c>
      <c r="K540">
        <v>767312</v>
      </c>
      <c r="L540" t="s">
        <v>122</v>
      </c>
      <c r="M540" t="s">
        <v>123</v>
      </c>
      <c r="N540" t="s">
        <v>56</v>
      </c>
      <c r="O540" s="1">
        <v>45853</v>
      </c>
      <c r="P540" s="1">
        <v>45945</v>
      </c>
      <c r="Q540" s="2">
        <v>50.87</v>
      </c>
      <c r="R540">
        <v>1</v>
      </c>
      <c r="S540" t="s">
        <v>57</v>
      </c>
      <c r="T540" t="s">
        <v>58</v>
      </c>
      <c r="U540" s="4">
        <v>0.9</v>
      </c>
      <c r="V540" s="2">
        <v>0</v>
      </c>
      <c r="W540">
        <v>0</v>
      </c>
      <c r="X540" t="s">
        <v>70</v>
      </c>
      <c r="Y540" t="s">
        <v>60</v>
      </c>
      <c r="Z540">
        <v>0</v>
      </c>
      <c r="AA540" s="2">
        <v>0</v>
      </c>
      <c r="AB540" s="2">
        <v>0</v>
      </c>
      <c r="AC540" s="4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45.78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</row>
    <row r="541" spans="1:42" x14ac:dyDescent="0.25">
      <c r="A541" s="1">
        <v>45915</v>
      </c>
      <c r="B541" t="s">
        <v>47</v>
      </c>
      <c r="C541">
        <v>649163</v>
      </c>
      <c r="D541">
        <v>2029951925</v>
      </c>
      <c r="E541" t="s">
        <v>164</v>
      </c>
      <c r="F541" t="s">
        <v>835</v>
      </c>
      <c r="G541" t="s">
        <v>50</v>
      </c>
      <c r="H541" t="s">
        <v>93</v>
      </c>
      <c r="I541" t="s">
        <v>106</v>
      </c>
      <c r="J541" t="s">
        <v>116</v>
      </c>
      <c r="K541">
        <v>824076</v>
      </c>
      <c r="L541" t="s">
        <v>834</v>
      </c>
      <c r="M541" t="s">
        <v>833</v>
      </c>
      <c r="N541" t="s">
        <v>56</v>
      </c>
      <c r="O541" s="1">
        <v>45853</v>
      </c>
      <c r="P541" s="1">
        <v>45945</v>
      </c>
      <c r="Q541" s="2">
        <v>19.25</v>
      </c>
      <c r="R541">
        <v>1</v>
      </c>
      <c r="S541" t="s">
        <v>57</v>
      </c>
      <c r="T541" t="s">
        <v>58</v>
      </c>
      <c r="U541" s="4">
        <v>0.75</v>
      </c>
      <c r="V541" s="2">
        <v>0</v>
      </c>
      <c r="W541">
        <v>0</v>
      </c>
      <c r="X541" t="s">
        <v>70</v>
      </c>
      <c r="Y541" t="s">
        <v>60</v>
      </c>
      <c r="Z541">
        <v>0</v>
      </c>
      <c r="AA541" s="2">
        <v>0</v>
      </c>
      <c r="AB541" s="2">
        <v>0</v>
      </c>
      <c r="AC541" s="4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14.44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</row>
    <row r="542" spans="1:42" x14ac:dyDescent="0.25">
      <c r="A542" s="1">
        <v>45915</v>
      </c>
      <c r="B542" t="s">
        <v>47</v>
      </c>
      <c r="C542">
        <v>649163</v>
      </c>
      <c r="D542">
        <v>2029955373</v>
      </c>
      <c r="E542" t="s">
        <v>774</v>
      </c>
      <c r="F542" t="s">
        <v>773</v>
      </c>
      <c r="G542" t="s">
        <v>50</v>
      </c>
      <c r="H542" t="s">
        <v>141</v>
      </c>
      <c r="I542" t="s">
        <v>106</v>
      </c>
      <c r="J542" t="s">
        <v>146</v>
      </c>
      <c r="K542">
        <v>824082</v>
      </c>
      <c r="L542" t="s">
        <v>624</v>
      </c>
      <c r="M542" t="s">
        <v>623</v>
      </c>
      <c r="N542" t="s">
        <v>56</v>
      </c>
      <c r="O542" s="1">
        <v>45853</v>
      </c>
      <c r="P542" s="1">
        <v>45945</v>
      </c>
      <c r="Q542" s="2">
        <v>29.98</v>
      </c>
      <c r="R542">
        <v>1</v>
      </c>
      <c r="S542" t="s">
        <v>57</v>
      </c>
      <c r="T542" t="s">
        <v>58</v>
      </c>
      <c r="U542" s="4">
        <v>0.65</v>
      </c>
      <c r="V542" s="2">
        <v>0</v>
      </c>
      <c r="W542">
        <v>0</v>
      </c>
      <c r="X542" t="s">
        <v>70</v>
      </c>
      <c r="Y542" t="s">
        <v>60</v>
      </c>
      <c r="Z542">
        <v>0</v>
      </c>
      <c r="AA542" s="2">
        <v>0</v>
      </c>
      <c r="AB542" s="2">
        <v>0</v>
      </c>
      <c r="AC542" s="4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19.489999999999998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</row>
    <row r="543" spans="1:42" x14ac:dyDescent="0.25">
      <c r="A543" s="1">
        <v>45915</v>
      </c>
      <c r="B543" t="s">
        <v>47</v>
      </c>
      <c r="C543">
        <v>649163</v>
      </c>
      <c r="D543">
        <v>2029967975</v>
      </c>
      <c r="E543" t="s">
        <v>910</v>
      </c>
      <c r="F543" t="s">
        <v>909</v>
      </c>
      <c r="G543" t="s">
        <v>50</v>
      </c>
      <c r="H543" t="s">
        <v>214</v>
      </c>
      <c r="I543" t="s">
        <v>106</v>
      </c>
      <c r="J543" t="s">
        <v>107</v>
      </c>
      <c r="K543">
        <v>823068</v>
      </c>
      <c r="L543" t="s">
        <v>215</v>
      </c>
      <c r="M543" t="s">
        <v>216</v>
      </c>
      <c r="N543" t="s">
        <v>56</v>
      </c>
      <c r="O543" s="1">
        <v>45854</v>
      </c>
      <c r="P543" s="1">
        <v>45946</v>
      </c>
      <c r="Q543" s="2">
        <v>107.63</v>
      </c>
      <c r="R543">
        <v>1</v>
      </c>
      <c r="S543" t="s">
        <v>57</v>
      </c>
      <c r="T543" t="s">
        <v>58</v>
      </c>
      <c r="U543" s="4">
        <v>0.9</v>
      </c>
      <c r="V543" s="2">
        <v>0</v>
      </c>
      <c r="W543">
        <v>0</v>
      </c>
      <c r="X543" t="s">
        <v>70</v>
      </c>
      <c r="Y543" t="s">
        <v>60</v>
      </c>
      <c r="Z543">
        <v>0</v>
      </c>
      <c r="AA543" s="2">
        <v>0</v>
      </c>
      <c r="AB543" s="2">
        <v>0</v>
      </c>
      <c r="AC543" s="4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96.87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</row>
    <row r="544" spans="1:42" x14ac:dyDescent="0.25">
      <c r="A544" s="1">
        <v>45915</v>
      </c>
      <c r="B544" t="s">
        <v>47</v>
      </c>
      <c r="C544">
        <v>649163</v>
      </c>
      <c r="D544">
        <v>2029969605</v>
      </c>
      <c r="E544" t="s">
        <v>831</v>
      </c>
      <c r="F544" t="s">
        <v>830</v>
      </c>
      <c r="G544" t="s">
        <v>50</v>
      </c>
      <c r="H544" t="s">
        <v>141</v>
      </c>
      <c r="I544" t="s">
        <v>106</v>
      </c>
      <c r="J544" t="s">
        <v>184</v>
      </c>
      <c r="K544">
        <v>816021</v>
      </c>
      <c r="L544" t="s">
        <v>142</v>
      </c>
      <c r="M544" t="s">
        <v>143</v>
      </c>
      <c r="N544" t="s">
        <v>56</v>
      </c>
      <c r="O544" s="1">
        <v>45854</v>
      </c>
      <c r="P544" s="1">
        <v>45946</v>
      </c>
      <c r="Q544" s="2">
        <v>52.84</v>
      </c>
      <c r="R544">
        <v>1</v>
      </c>
      <c r="S544" t="s">
        <v>57</v>
      </c>
      <c r="T544" t="s">
        <v>58</v>
      </c>
      <c r="U544" s="4">
        <v>0.75</v>
      </c>
      <c r="V544" s="2">
        <v>0</v>
      </c>
      <c r="W544">
        <v>0</v>
      </c>
      <c r="X544" t="s">
        <v>70</v>
      </c>
      <c r="Y544" t="s">
        <v>60</v>
      </c>
      <c r="Z544">
        <v>0</v>
      </c>
      <c r="AA544" s="2">
        <v>0</v>
      </c>
      <c r="AB544" s="2">
        <v>0</v>
      </c>
      <c r="AC544" s="4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39.630000000000003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</row>
    <row r="545" spans="1:42" x14ac:dyDescent="0.25">
      <c r="A545" s="1">
        <v>45915</v>
      </c>
      <c r="B545" t="s">
        <v>47</v>
      </c>
      <c r="C545">
        <v>649163</v>
      </c>
      <c r="D545">
        <v>2030008352</v>
      </c>
      <c r="E545" t="s">
        <v>905</v>
      </c>
      <c r="F545" t="s">
        <v>554</v>
      </c>
      <c r="G545" t="s">
        <v>50</v>
      </c>
      <c r="H545" t="s">
        <v>188</v>
      </c>
      <c r="I545" t="s">
        <v>106</v>
      </c>
      <c r="J545" t="s">
        <v>184</v>
      </c>
      <c r="K545">
        <v>673059</v>
      </c>
      <c r="L545" t="s">
        <v>152</v>
      </c>
      <c r="M545" t="s">
        <v>153</v>
      </c>
      <c r="N545" t="s">
        <v>56</v>
      </c>
      <c r="O545" s="1">
        <v>45856</v>
      </c>
      <c r="P545" s="1">
        <v>45948</v>
      </c>
      <c r="Q545" s="2">
        <v>66.73</v>
      </c>
      <c r="R545">
        <v>1</v>
      </c>
      <c r="S545" t="s">
        <v>57</v>
      </c>
      <c r="T545" t="s">
        <v>58</v>
      </c>
      <c r="U545" s="4">
        <v>0.75</v>
      </c>
      <c r="V545" s="2">
        <v>0</v>
      </c>
      <c r="W545">
        <v>0</v>
      </c>
      <c r="X545" t="s">
        <v>70</v>
      </c>
      <c r="Y545" t="s">
        <v>60</v>
      </c>
      <c r="Z545">
        <v>0</v>
      </c>
      <c r="AA545" s="2">
        <v>0</v>
      </c>
      <c r="AB545" s="2">
        <v>0</v>
      </c>
      <c r="AC545" s="4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50.05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</row>
    <row r="546" spans="1:42" x14ac:dyDescent="0.25">
      <c r="A546" s="1">
        <v>45915</v>
      </c>
      <c r="B546" t="s">
        <v>47</v>
      </c>
      <c r="C546">
        <v>649163</v>
      </c>
      <c r="D546">
        <v>2030135277</v>
      </c>
      <c r="E546" t="s">
        <v>225</v>
      </c>
      <c r="F546" t="s">
        <v>444</v>
      </c>
      <c r="G546" t="s">
        <v>50</v>
      </c>
      <c r="H546" t="s">
        <v>141</v>
      </c>
      <c r="I546" t="s">
        <v>106</v>
      </c>
      <c r="J546" t="s">
        <v>107</v>
      </c>
      <c r="K546">
        <v>756418</v>
      </c>
      <c r="L546" t="s">
        <v>257</v>
      </c>
      <c r="M546" t="s">
        <v>258</v>
      </c>
      <c r="N546" t="s">
        <v>56</v>
      </c>
      <c r="O546" s="1">
        <v>45863</v>
      </c>
      <c r="P546" s="1">
        <v>45925</v>
      </c>
      <c r="Q546" s="2">
        <v>178.17</v>
      </c>
      <c r="R546">
        <v>1</v>
      </c>
      <c r="S546" t="s">
        <v>57</v>
      </c>
      <c r="T546" t="s">
        <v>58</v>
      </c>
      <c r="U546" s="4">
        <v>0.9</v>
      </c>
      <c r="V546" s="2">
        <v>0</v>
      </c>
      <c r="W546">
        <v>0</v>
      </c>
      <c r="X546" t="s">
        <v>70</v>
      </c>
      <c r="Y546" t="s">
        <v>60</v>
      </c>
      <c r="Z546">
        <v>0</v>
      </c>
      <c r="AA546" s="2">
        <v>0</v>
      </c>
      <c r="AB546" s="2">
        <v>0</v>
      </c>
      <c r="AC546" s="4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160.35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</row>
    <row r="547" spans="1:42" x14ac:dyDescent="0.25">
      <c r="A547" s="1">
        <v>45915</v>
      </c>
      <c r="B547" t="s">
        <v>47</v>
      </c>
      <c r="C547">
        <v>649163</v>
      </c>
      <c r="D547">
        <v>2030313518</v>
      </c>
      <c r="E547" t="s">
        <v>898</v>
      </c>
      <c r="F547" t="s">
        <v>897</v>
      </c>
      <c r="G547" t="s">
        <v>50</v>
      </c>
      <c r="H547" t="s">
        <v>214</v>
      </c>
      <c r="I547" t="s">
        <v>106</v>
      </c>
      <c r="J547" t="s">
        <v>107</v>
      </c>
      <c r="K547">
        <v>823068</v>
      </c>
      <c r="L547" t="s">
        <v>215</v>
      </c>
      <c r="M547" t="s">
        <v>216</v>
      </c>
      <c r="N547" t="s">
        <v>56</v>
      </c>
      <c r="O547" s="1">
        <v>45884</v>
      </c>
      <c r="P547" s="1">
        <v>45945</v>
      </c>
      <c r="Q547" s="2">
        <v>20.059999999999999</v>
      </c>
      <c r="R547">
        <v>1</v>
      </c>
      <c r="S547" t="s">
        <v>57</v>
      </c>
      <c r="T547" t="s">
        <v>58</v>
      </c>
      <c r="U547" s="4">
        <v>0.9</v>
      </c>
      <c r="V547" s="2">
        <v>0</v>
      </c>
      <c r="W547">
        <v>0</v>
      </c>
      <c r="X547" t="s">
        <v>70</v>
      </c>
      <c r="Y547" t="s">
        <v>60</v>
      </c>
      <c r="Z547">
        <v>0</v>
      </c>
      <c r="AA547" s="2">
        <v>0</v>
      </c>
      <c r="AB547" s="2">
        <v>0</v>
      </c>
      <c r="AC547" s="4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18.05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</row>
    <row r="548" spans="1:42" x14ac:dyDescent="0.25">
      <c r="A548" s="1">
        <v>45915</v>
      </c>
      <c r="B548" t="s">
        <v>47</v>
      </c>
      <c r="C548">
        <v>649163</v>
      </c>
      <c r="D548">
        <v>2030341226</v>
      </c>
      <c r="E548" t="s">
        <v>720</v>
      </c>
      <c r="F548" t="s">
        <v>719</v>
      </c>
      <c r="G548" t="s">
        <v>50</v>
      </c>
      <c r="H548" t="s">
        <v>544</v>
      </c>
      <c r="I548" t="s">
        <v>106</v>
      </c>
      <c r="J548" t="s">
        <v>107</v>
      </c>
      <c r="K548">
        <v>767312</v>
      </c>
      <c r="L548" t="s">
        <v>122</v>
      </c>
      <c r="M548" t="s">
        <v>123</v>
      </c>
      <c r="N548" t="s">
        <v>56</v>
      </c>
      <c r="O548" s="1">
        <v>45879</v>
      </c>
      <c r="P548" s="1">
        <v>45940</v>
      </c>
      <c r="Q548" s="2">
        <v>26.88</v>
      </c>
      <c r="R548">
        <v>1</v>
      </c>
      <c r="S548" t="s">
        <v>57</v>
      </c>
      <c r="T548" t="s">
        <v>58</v>
      </c>
      <c r="U548" s="4">
        <v>0.9</v>
      </c>
      <c r="V548" s="2">
        <v>0</v>
      </c>
      <c r="W548">
        <v>0</v>
      </c>
      <c r="X548" t="s">
        <v>70</v>
      </c>
      <c r="Y548" t="s">
        <v>60</v>
      </c>
      <c r="Z548">
        <v>0</v>
      </c>
      <c r="AA548" s="2">
        <v>0</v>
      </c>
      <c r="AB548" s="2">
        <v>0</v>
      </c>
      <c r="AC548" s="4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24.19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</row>
    <row r="549" spans="1:42" x14ac:dyDescent="0.25">
      <c r="A549" s="1">
        <v>45915</v>
      </c>
      <c r="B549" t="s">
        <v>47</v>
      </c>
      <c r="C549">
        <v>649163</v>
      </c>
      <c r="D549">
        <v>2030450006</v>
      </c>
      <c r="E549" t="s">
        <v>713</v>
      </c>
      <c r="F549" t="s">
        <v>712</v>
      </c>
      <c r="G549" t="s">
        <v>50</v>
      </c>
      <c r="H549" t="s">
        <v>214</v>
      </c>
      <c r="I549" t="s">
        <v>106</v>
      </c>
      <c r="J549" t="s">
        <v>107</v>
      </c>
      <c r="K549">
        <v>823068</v>
      </c>
      <c r="L549" t="s">
        <v>215</v>
      </c>
      <c r="M549" t="s">
        <v>216</v>
      </c>
      <c r="N549" t="s">
        <v>56</v>
      </c>
      <c r="O549" s="1">
        <v>45888</v>
      </c>
      <c r="P549" s="1">
        <v>45949</v>
      </c>
      <c r="Q549" s="2">
        <v>30.8</v>
      </c>
      <c r="R549">
        <v>1</v>
      </c>
      <c r="S549" t="s">
        <v>57</v>
      </c>
      <c r="T549" t="s">
        <v>58</v>
      </c>
      <c r="U549" s="4">
        <v>0.9</v>
      </c>
      <c r="V549" s="2">
        <v>0</v>
      </c>
      <c r="W549">
        <v>0</v>
      </c>
      <c r="X549" t="s">
        <v>70</v>
      </c>
      <c r="Y549" t="s">
        <v>60</v>
      </c>
      <c r="Z549">
        <v>0</v>
      </c>
      <c r="AA549" s="2">
        <v>0</v>
      </c>
      <c r="AB549" s="2">
        <v>0</v>
      </c>
      <c r="AC549" s="4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27.72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</row>
    <row r="550" spans="1:42" x14ac:dyDescent="0.25">
      <c r="A550" s="1">
        <v>45915</v>
      </c>
      <c r="B550" t="s">
        <v>47</v>
      </c>
      <c r="C550">
        <v>649163</v>
      </c>
      <c r="D550">
        <v>2030454169</v>
      </c>
      <c r="E550" t="s">
        <v>711</v>
      </c>
      <c r="F550" t="s">
        <v>123</v>
      </c>
      <c r="G550" t="s">
        <v>50</v>
      </c>
      <c r="H550" t="s">
        <v>214</v>
      </c>
      <c r="I550" t="s">
        <v>106</v>
      </c>
      <c r="J550" t="s">
        <v>107</v>
      </c>
      <c r="K550">
        <v>823068</v>
      </c>
      <c r="L550" t="s">
        <v>215</v>
      </c>
      <c r="M550" t="s">
        <v>216</v>
      </c>
      <c r="N550" t="s">
        <v>56</v>
      </c>
      <c r="O550" s="1">
        <v>45883</v>
      </c>
      <c r="P550" s="1">
        <v>45944</v>
      </c>
      <c r="Q550" s="2">
        <v>92.5</v>
      </c>
      <c r="R550">
        <v>1</v>
      </c>
      <c r="S550" t="s">
        <v>57</v>
      </c>
      <c r="T550" t="s">
        <v>58</v>
      </c>
      <c r="U550" s="4">
        <v>0.9</v>
      </c>
      <c r="V550" s="2">
        <v>0</v>
      </c>
      <c r="W550">
        <v>0</v>
      </c>
      <c r="X550" t="s">
        <v>70</v>
      </c>
      <c r="Y550" t="s">
        <v>60</v>
      </c>
      <c r="Z550">
        <v>0</v>
      </c>
      <c r="AA550" s="2">
        <v>0</v>
      </c>
      <c r="AB550" s="2">
        <v>0</v>
      </c>
      <c r="AC550" s="4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83.25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</row>
    <row r="551" spans="1:42" x14ac:dyDescent="0.25">
      <c r="A551" s="1">
        <v>45915</v>
      </c>
      <c r="B551" t="s">
        <v>47</v>
      </c>
      <c r="C551">
        <v>649163</v>
      </c>
      <c r="D551">
        <v>2030455582</v>
      </c>
      <c r="E551" t="s">
        <v>710</v>
      </c>
      <c r="F551" t="s">
        <v>398</v>
      </c>
      <c r="G551" t="s">
        <v>50</v>
      </c>
      <c r="H551" t="s">
        <v>141</v>
      </c>
      <c r="I551" t="s">
        <v>106</v>
      </c>
      <c r="J551" t="s">
        <v>146</v>
      </c>
      <c r="K551">
        <v>816021</v>
      </c>
      <c r="L551" t="s">
        <v>142</v>
      </c>
      <c r="M551" t="s">
        <v>143</v>
      </c>
      <c r="N551" t="s">
        <v>56</v>
      </c>
      <c r="O551" s="1">
        <v>45882</v>
      </c>
      <c r="P551" s="1">
        <v>45943</v>
      </c>
      <c r="Q551" s="2">
        <v>29.88</v>
      </c>
      <c r="R551">
        <v>1</v>
      </c>
      <c r="S551" t="s">
        <v>57</v>
      </c>
      <c r="T551" t="s">
        <v>58</v>
      </c>
      <c r="U551" s="4">
        <v>0.65</v>
      </c>
      <c r="V551" s="2">
        <v>0</v>
      </c>
      <c r="W551">
        <v>0</v>
      </c>
      <c r="X551" t="s">
        <v>70</v>
      </c>
      <c r="Y551" t="s">
        <v>60</v>
      </c>
      <c r="Z551">
        <v>0</v>
      </c>
      <c r="AA551" s="2">
        <v>0</v>
      </c>
      <c r="AB551" s="2">
        <v>0</v>
      </c>
      <c r="AC551" s="4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19.420000000000002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</row>
    <row r="552" spans="1:42" x14ac:dyDescent="0.25">
      <c r="A552" s="1">
        <v>45915</v>
      </c>
      <c r="B552" t="s">
        <v>47</v>
      </c>
      <c r="C552">
        <v>649163</v>
      </c>
      <c r="D552">
        <v>2030463473</v>
      </c>
      <c r="E552" t="s">
        <v>228</v>
      </c>
      <c r="F552" t="s">
        <v>229</v>
      </c>
      <c r="G552" t="s">
        <v>50</v>
      </c>
      <c r="H552" t="s">
        <v>214</v>
      </c>
      <c r="I552" t="s">
        <v>106</v>
      </c>
      <c r="J552" t="s">
        <v>107</v>
      </c>
      <c r="K552">
        <v>823068</v>
      </c>
      <c r="L552" t="s">
        <v>215</v>
      </c>
      <c r="M552" t="s">
        <v>216</v>
      </c>
      <c r="N552" t="s">
        <v>56</v>
      </c>
      <c r="O552" s="1">
        <v>45885</v>
      </c>
      <c r="P552" s="1">
        <v>45946</v>
      </c>
      <c r="Q552" s="2">
        <v>149.66999999999999</v>
      </c>
      <c r="R552">
        <v>1</v>
      </c>
      <c r="S552" t="s">
        <v>57</v>
      </c>
      <c r="T552" t="s">
        <v>58</v>
      </c>
      <c r="U552" s="4">
        <v>0.9</v>
      </c>
      <c r="V552" s="2">
        <v>0</v>
      </c>
      <c r="W552">
        <v>0</v>
      </c>
      <c r="X552" t="s">
        <v>70</v>
      </c>
      <c r="Y552" t="s">
        <v>60</v>
      </c>
      <c r="Z552">
        <v>0</v>
      </c>
      <c r="AA552" s="2">
        <v>0</v>
      </c>
      <c r="AB552" s="2">
        <v>0</v>
      </c>
      <c r="AC552" s="4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134.69999999999999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</row>
    <row r="553" spans="1:42" x14ac:dyDescent="0.25">
      <c r="A553" s="1">
        <v>45915</v>
      </c>
      <c r="B553" t="s">
        <v>47</v>
      </c>
      <c r="C553">
        <v>649163</v>
      </c>
      <c r="D553">
        <v>2030474901</v>
      </c>
      <c r="E553" t="s">
        <v>1064</v>
      </c>
      <c r="F553" t="s">
        <v>1063</v>
      </c>
      <c r="G553" t="s">
        <v>50</v>
      </c>
      <c r="H553" t="s">
        <v>115</v>
      </c>
      <c r="I553" t="s">
        <v>106</v>
      </c>
      <c r="J553" t="s">
        <v>107</v>
      </c>
      <c r="K553">
        <v>767312</v>
      </c>
      <c r="L553" t="s">
        <v>122</v>
      </c>
      <c r="M553" t="s">
        <v>123</v>
      </c>
      <c r="N553" t="s">
        <v>56</v>
      </c>
      <c r="O553" s="1">
        <v>45883</v>
      </c>
      <c r="P553" s="1">
        <v>45944</v>
      </c>
      <c r="Q553" s="2">
        <v>104.71</v>
      </c>
      <c r="R553">
        <v>1</v>
      </c>
      <c r="S553" t="s">
        <v>57</v>
      </c>
      <c r="T553" t="s">
        <v>58</v>
      </c>
      <c r="U553" s="4">
        <v>0.9</v>
      </c>
      <c r="V553" s="2">
        <v>0</v>
      </c>
      <c r="W553">
        <v>0</v>
      </c>
      <c r="X553" t="s">
        <v>70</v>
      </c>
      <c r="Y553" t="s">
        <v>60</v>
      </c>
      <c r="Z553">
        <v>0</v>
      </c>
      <c r="AA553" s="2">
        <v>0</v>
      </c>
      <c r="AB553" s="2">
        <v>0</v>
      </c>
      <c r="AC553" s="4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94.24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</row>
    <row r="554" spans="1:42" x14ac:dyDescent="0.25">
      <c r="A554" s="1">
        <v>45915</v>
      </c>
      <c r="B554" t="s">
        <v>47</v>
      </c>
      <c r="C554">
        <v>649163</v>
      </c>
      <c r="D554">
        <v>2030488872</v>
      </c>
      <c r="E554" t="s">
        <v>699</v>
      </c>
      <c r="F554" t="s">
        <v>698</v>
      </c>
      <c r="G554" t="s">
        <v>50</v>
      </c>
      <c r="H554" t="s">
        <v>214</v>
      </c>
      <c r="I554" t="s">
        <v>106</v>
      </c>
      <c r="J554" t="s">
        <v>107</v>
      </c>
      <c r="K554">
        <v>823068</v>
      </c>
      <c r="L554" t="s">
        <v>215</v>
      </c>
      <c r="M554" t="s">
        <v>216</v>
      </c>
      <c r="N554" t="s">
        <v>56</v>
      </c>
      <c r="O554" s="1">
        <v>45884</v>
      </c>
      <c r="P554" s="1">
        <v>45945</v>
      </c>
      <c r="Q554" s="2">
        <v>46.94</v>
      </c>
      <c r="R554">
        <v>1</v>
      </c>
      <c r="S554" t="s">
        <v>57</v>
      </c>
      <c r="T554" t="s">
        <v>58</v>
      </c>
      <c r="U554" s="4">
        <v>0.9</v>
      </c>
      <c r="V554" s="2">
        <v>0</v>
      </c>
      <c r="W554">
        <v>0</v>
      </c>
      <c r="X554" t="s">
        <v>70</v>
      </c>
      <c r="Y554" t="s">
        <v>60</v>
      </c>
      <c r="Z554">
        <v>0</v>
      </c>
      <c r="AA554" s="2">
        <v>0</v>
      </c>
      <c r="AB554" s="2">
        <v>0</v>
      </c>
      <c r="AC554" s="4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42.25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</row>
    <row r="555" spans="1:42" x14ac:dyDescent="0.25">
      <c r="A555" s="1">
        <v>45915</v>
      </c>
      <c r="B555" t="s">
        <v>47</v>
      </c>
      <c r="C555">
        <v>649163</v>
      </c>
      <c r="D555">
        <v>2030501934</v>
      </c>
      <c r="E555" t="s">
        <v>697</v>
      </c>
      <c r="F555" t="s">
        <v>277</v>
      </c>
      <c r="G555" t="s">
        <v>50</v>
      </c>
      <c r="H555" t="s">
        <v>214</v>
      </c>
      <c r="I555" t="s">
        <v>106</v>
      </c>
      <c r="J555" t="s">
        <v>107</v>
      </c>
      <c r="K555">
        <v>652037</v>
      </c>
      <c r="L555" t="s">
        <v>309</v>
      </c>
      <c r="M555" t="s">
        <v>303</v>
      </c>
      <c r="N555" t="s">
        <v>56</v>
      </c>
      <c r="O555" s="1">
        <v>45884</v>
      </c>
      <c r="P555" s="1">
        <v>45945</v>
      </c>
      <c r="Q555" s="2">
        <v>77.959999999999994</v>
      </c>
      <c r="R555">
        <v>1</v>
      </c>
      <c r="S555" t="s">
        <v>57</v>
      </c>
      <c r="T555" t="s">
        <v>58</v>
      </c>
      <c r="U555" s="4">
        <v>0.9</v>
      </c>
      <c r="V555" s="2">
        <v>0</v>
      </c>
      <c r="W555">
        <v>0</v>
      </c>
      <c r="X555" t="s">
        <v>70</v>
      </c>
      <c r="Y555" t="s">
        <v>60</v>
      </c>
      <c r="Z555">
        <v>0</v>
      </c>
      <c r="AA555" s="2">
        <v>0</v>
      </c>
      <c r="AB555" s="2">
        <v>0</v>
      </c>
      <c r="AC555" s="4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70.16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</row>
    <row r="556" spans="1:42" x14ac:dyDescent="0.25">
      <c r="A556" s="1">
        <v>45915</v>
      </c>
      <c r="B556" t="s">
        <v>47</v>
      </c>
      <c r="C556">
        <v>649163</v>
      </c>
      <c r="D556">
        <v>2030574907</v>
      </c>
      <c r="E556" t="s">
        <v>609</v>
      </c>
      <c r="F556" t="s">
        <v>608</v>
      </c>
      <c r="G556" t="s">
        <v>50</v>
      </c>
      <c r="H556" t="s">
        <v>188</v>
      </c>
      <c r="I556" t="s">
        <v>106</v>
      </c>
      <c r="J556" t="s">
        <v>184</v>
      </c>
      <c r="K556">
        <v>669316</v>
      </c>
      <c r="L556" t="s">
        <v>420</v>
      </c>
      <c r="M556" t="s">
        <v>421</v>
      </c>
      <c r="N556" t="s">
        <v>230</v>
      </c>
      <c r="O556" s="1">
        <v>45901</v>
      </c>
      <c r="P556" s="1">
        <v>45931</v>
      </c>
      <c r="Q556" s="2">
        <v>-70.12</v>
      </c>
      <c r="R556">
        <v>1</v>
      </c>
      <c r="S556" t="s">
        <v>57</v>
      </c>
      <c r="T556" t="s">
        <v>58</v>
      </c>
      <c r="U556" s="4">
        <v>0.75</v>
      </c>
      <c r="V556" s="2">
        <v>0</v>
      </c>
      <c r="W556">
        <v>-1</v>
      </c>
      <c r="X556" t="s">
        <v>70</v>
      </c>
      <c r="Y556" t="s">
        <v>60</v>
      </c>
      <c r="Z556">
        <v>0</v>
      </c>
      <c r="AA556" s="2">
        <v>0</v>
      </c>
      <c r="AB556" s="2">
        <v>0</v>
      </c>
      <c r="AC556" s="4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-52.59</v>
      </c>
      <c r="AM556" s="2">
        <v>-52.59</v>
      </c>
      <c r="AN556" s="2">
        <v>0</v>
      </c>
      <c r="AO556" s="2">
        <v>0</v>
      </c>
      <c r="AP556" s="2">
        <v>0</v>
      </c>
    </row>
    <row r="557" spans="1:42" x14ac:dyDescent="0.25">
      <c r="A557" s="1">
        <v>45915</v>
      </c>
      <c r="B557" t="s">
        <v>47</v>
      </c>
      <c r="C557">
        <v>649163</v>
      </c>
      <c r="D557">
        <v>2030868834</v>
      </c>
      <c r="E557" t="s">
        <v>234</v>
      </c>
      <c r="F557" t="s">
        <v>109</v>
      </c>
      <c r="G557" t="s">
        <v>50</v>
      </c>
      <c r="H557" t="s">
        <v>134</v>
      </c>
      <c r="I557" t="s">
        <v>106</v>
      </c>
      <c r="J557" t="s">
        <v>107</v>
      </c>
      <c r="K557">
        <v>651818</v>
      </c>
      <c r="L557" t="s">
        <v>108</v>
      </c>
      <c r="M557" t="s">
        <v>109</v>
      </c>
      <c r="N557" t="s">
        <v>230</v>
      </c>
      <c r="O557" s="1">
        <v>45906</v>
      </c>
      <c r="P557" s="1">
        <v>45936</v>
      </c>
      <c r="Q557" s="2">
        <v>-242.05</v>
      </c>
      <c r="R557">
        <v>1</v>
      </c>
      <c r="S557" t="s">
        <v>57</v>
      </c>
      <c r="T557" t="s">
        <v>58</v>
      </c>
      <c r="U557" s="4">
        <v>0.9</v>
      </c>
      <c r="V557" s="2">
        <v>0</v>
      </c>
      <c r="W557">
        <v>-1</v>
      </c>
      <c r="X557" t="s">
        <v>70</v>
      </c>
      <c r="Y557" t="s">
        <v>60</v>
      </c>
      <c r="Z557">
        <v>0</v>
      </c>
      <c r="AA557" s="2">
        <v>0</v>
      </c>
      <c r="AB557" s="2">
        <v>0</v>
      </c>
      <c r="AC557" s="4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-217.84</v>
      </c>
      <c r="AM557" s="2">
        <v>-217.84</v>
      </c>
      <c r="AN557" s="2">
        <v>0</v>
      </c>
      <c r="AO557" s="2">
        <v>0</v>
      </c>
      <c r="AP557" s="2">
        <v>0</v>
      </c>
    </row>
    <row r="558" spans="1:42" x14ac:dyDescent="0.25">
      <c r="A558" s="1">
        <v>45915</v>
      </c>
      <c r="B558" t="s">
        <v>47</v>
      </c>
      <c r="C558">
        <v>649163</v>
      </c>
      <c r="D558">
        <v>2023867556</v>
      </c>
      <c r="E558" t="s">
        <v>109</v>
      </c>
      <c r="F558" t="s">
        <v>807</v>
      </c>
      <c r="G558" t="s">
        <v>50</v>
      </c>
      <c r="H558" t="s">
        <v>51</v>
      </c>
      <c r="I558" t="s">
        <v>243</v>
      </c>
      <c r="J558" t="s">
        <v>249</v>
      </c>
      <c r="K558">
        <v>650218</v>
      </c>
      <c r="L558" t="s">
        <v>73</v>
      </c>
      <c r="M558" t="s">
        <v>74</v>
      </c>
      <c r="N558" t="s">
        <v>56</v>
      </c>
      <c r="O558" s="1">
        <v>45483</v>
      </c>
      <c r="P558" s="1">
        <v>45940</v>
      </c>
      <c r="Q558" s="2">
        <v>15</v>
      </c>
      <c r="R558">
        <v>1</v>
      </c>
      <c r="S558" t="s">
        <v>57</v>
      </c>
      <c r="T558" t="s">
        <v>58</v>
      </c>
      <c r="U558" s="4">
        <v>0.1</v>
      </c>
      <c r="V558" s="2">
        <v>0</v>
      </c>
      <c r="W558">
        <v>0</v>
      </c>
      <c r="X558" t="s">
        <v>59</v>
      </c>
      <c r="Y558" t="s">
        <v>60</v>
      </c>
      <c r="Z558">
        <v>0</v>
      </c>
      <c r="AA558" s="2">
        <v>0</v>
      </c>
      <c r="AB558" s="2">
        <v>0</v>
      </c>
      <c r="AC558" s="4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1.5</v>
      </c>
      <c r="AM558" s="2">
        <v>1.5</v>
      </c>
      <c r="AN558" s="2">
        <v>0</v>
      </c>
      <c r="AO558" s="2">
        <v>0</v>
      </c>
      <c r="AP558" s="2">
        <v>0</v>
      </c>
    </row>
    <row r="559" spans="1:42" x14ac:dyDescent="0.25">
      <c r="A559" s="1">
        <v>45915</v>
      </c>
      <c r="B559" t="s">
        <v>47</v>
      </c>
      <c r="C559">
        <v>649163</v>
      </c>
      <c r="D559">
        <v>2023913074</v>
      </c>
      <c r="E559" t="s">
        <v>655</v>
      </c>
      <c r="F559" t="s">
        <v>280</v>
      </c>
      <c r="G559" t="s">
        <v>50</v>
      </c>
      <c r="H559" t="s">
        <v>63</v>
      </c>
      <c r="I559" t="s">
        <v>243</v>
      </c>
      <c r="J559" t="s">
        <v>252</v>
      </c>
      <c r="K559">
        <v>673059</v>
      </c>
      <c r="L559" t="s">
        <v>152</v>
      </c>
      <c r="M559" t="s">
        <v>153</v>
      </c>
      <c r="N559" t="s">
        <v>56</v>
      </c>
      <c r="O559" s="1">
        <v>45643</v>
      </c>
      <c r="P559" s="1">
        <v>45947</v>
      </c>
      <c r="Q559" s="2">
        <v>15</v>
      </c>
      <c r="R559">
        <v>1</v>
      </c>
      <c r="S559" t="s">
        <v>57</v>
      </c>
      <c r="T559" t="s">
        <v>58</v>
      </c>
      <c r="U559" s="4">
        <v>0.19</v>
      </c>
      <c r="V559" s="2">
        <v>0</v>
      </c>
      <c r="W559">
        <v>0</v>
      </c>
      <c r="X559" t="s">
        <v>70</v>
      </c>
      <c r="Y559" t="s">
        <v>60</v>
      </c>
      <c r="Z559">
        <v>0</v>
      </c>
      <c r="AA559" s="2">
        <v>0</v>
      </c>
      <c r="AB559" s="2">
        <v>0</v>
      </c>
      <c r="AC559" s="4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2.85</v>
      </c>
      <c r="AM559" s="2">
        <v>2.85</v>
      </c>
      <c r="AN559" s="2">
        <v>0</v>
      </c>
      <c r="AO559" s="2">
        <v>0</v>
      </c>
      <c r="AP559" s="2">
        <v>0</v>
      </c>
    </row>
    <row r="560" spans="1:42" x14ac:dyDescent="0.25">
      <c r="A560" s="1">
        <v>45915</v>
      </c>
      <c r="B560" t="s">
        <v>47</v>
      </c>
      <c r="C560">
        <v>649163</v>
      </c>
      <c r="D560">
        <v>2024372430</v>
      </c>
      <c r="E560" t="s">
        <v>654</v>
      </c>
      <c r="F560" t="s">
        <v>653</v>
      </c>
      <c r="G560" t="s">
        <v>50</v>
      </c>
      <c r="H560" t="s">
        <v>652</v>
      </c>
      <c r="I560" t="s">
        <v>243</v>
      </c>
      <c r="J560" t="s">
        <v>244</v>
      </c>
      <c r="K560">
        <v>669316</v>
      </c>
      <c r="L560" t="s">
        <v>420</v>
      </c>
      <c r="M560" t="s">
        <v>421</v>
      </c>
      <c r="N560" t="s">
        <v>56</v>
      </c>
      <c r="O560" s="1">
        <v>45518</v>
      </c>
      <c r="P560" s="1">
        <v>45944</v>
      </c>
      <c r="Q560" s="2">
        <v>15</v>
      </c>
      <c r="R560">
        <v>1</v>
      </c>
      <c r="S560" t="s">
        <v>57</v>
      </c>
      <c r="T560" t="s">
        <v>58</v>
      </c>
      <c r="U560" s="4">
        <v>0.28999999999999998</v>
      </c>
      <c r="V560" s="2">
        <v>0</v>
      </c>
      <c r="W560">
        <v>0</v>
      </c>
      <c r="X560" t="s">
        <v>59</v>
      </c>
      <c r="Y560" t="s">
        <v>60</v>
      </c>
      <c r="Z560">
        <v>0</v>
      </c>
      <c r="AA560" s="2">
        <v>0</v>
      </c>
      <c r="AB560" s="2">
        <v>0</v>
      </c>
      <c r="AC560" s="4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4.3499999999999996</v>
      </c>
      <c r="AM560" s="2">
        <v>4.3499999999999996</v>
      </c>
      <c r="AN560" s="2">
        <v>0</v>
      </c>
      <c r="AO560" s="2">
        <v>0</v>
      </c>
      <c r="AP560" s="2">
        <v>0</v>
      </c>
    </row>
    <row r="561" spans="1:42" x14ac:dyDescent="0.25">
      <c r="A561" s="1">
        <v>45915</v>
      </c>
      <c r="B561" t="s">
        <v>47</v>
      </c>
      <c r="C561">
        <v>649163</v>
      </c>
      <c r="D561">
        <v>2024403626</v>
      </c>
      <c r="E561" t="s">
        <v>583</v>
      </c>
      <c r="F561" t="s">
        <v>805</v>
      </c>
      <c r="G561" t="s">
        <v>50</v>
      </c>
      <c r="H561" t="s">
        <v>83</v>
      </c>
      <c r="I561" t="s">
        <v>243</v>
      </c>
      <c r="J561" t="s">
        <v>249</v>
      </c>
      <c r="K561">
        <v>751867</v>
      </c>
      <c r="L561" t="s">
        <v>84</v>
      </c>
      <c r="M561" t="s">
        <v>85</v>
      </c>
      <c r="N561" t="s">
        <v>56</v>
      </c>
      <c r="O561" s="1">
        <v>45520</v>
      </c>
      <c r="P561" s="1">
        <v>45946</v>
      </c>
      <c r="Q561" s="2">
        <v>15</v>
      </c>
      <c r="R561">
        <v>1</v>
      </c>
      <c r="S561" t="s">
        <v>57</v>
      </c>
      <c r="T561" t="s">
        <v>58</v>
      </c>
      <c r="U561" s="4">
        <v>0.1</v>
      </c>
      <c r="V561" s="2">
        <v>0</v>
      </c>
      <c r="W561">
        <v>0</v>
      </c>
      <c r="X561" t="s">
        <v>59</v>
      </c>
      <c r="Y561" t="s">
        <v>60</v>
      </c>
      <c r="Z561">
        <v>0</v>
      </c>
      <c r="AA561" s="2">
        <v>0</v>
      </c>
      <c r="AB561" s="2">
        <v>0</v>
      </c>
      <c r="AC561" s="4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1.5</v>
      </c>
      <c r="AM561" s="2">
        <v>1.5</v>
      </c>
      <c r="AN561" s="2">
        <v>0</v>
      </c>
      <c r="AO561" s="2">
        <v>0</v>
      </c>
      <c r="AP561" s="2">
        <v>0</v>
      </c>
    </row>
    <row r="562" spans="1:42" x14ac:dyDescent="0.25">
      <c r="A562" s="1">
        <v>45915</v>
      </c>
      <c r="B562" t="s">
        <v>47</v>
      </c>
      <c r="C562">
        <v>649163</v>
      </c>
      <c r="D562">
        <v>2024853076</v>
      </c>
      <c r="E562" t="s">
        <v>733</v>
      </c>
      <c r="F562" t="s">
        <v>732</v>
      </c>
      <c r="G562" t="s">
        <v>50</v>
      </c>
      <c r="H562" t="s">
        <v>151</v>
      </c>
      <c r="I562" t="s">
        <v>243</v>
      </c>
      <c r="J562" t="s">
        <v>249</v>
      </c>
      <c r="K562">
        <v>650218</v>
      </c>
      <c r="L562" t="s">
        <v>73</v>
      </c>
      <c r="M562" t="s">
        <v>74</v>
      </c>
      <c r="N562" t="s">
        <v>56</v>
      </c>
      <c r="O562" s="1">
        <v>45550</v>
      </c>
      <c r="P562" s="1">
        <v>45945</v>
      </c>
      <c r="Q562" s="2">
        <v>15</v>
      </c>
      <c r="R562">
        <v>1</v>
      </c>
      <c r="S562" t="s">
        <v>57</v>
      </c>
      <c r="T562" t="s">
        <v>58</v>
      </c>
      <c r="U562" s="4">
        <v>0.1</v>
      </c>
      <c r="V562" s="2">
        <v>0</v>
      </c>
      <c r="W562">
        <v>0</v>
      </c>
      <c r="X562" t="s">
        <v>59</v>
      </c>
      <c r="Y562" t="s">
        <v>60</v>
      </c>
      <c r="Z562">
        <v>0</v>
      </c>
      <c r="AA562" s="2">
        <v>0</v>
      </c>
      <c r="AB562" s="2">
        <v>0</v>
      </c>
      <c r="AC562" s="4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1.5</v>
      </c>
      <c r="AM562" s="2">
        <v>1.5</v>
      </c>
      <c r="AN562" s="2">
        <v>0</v>
      </c>
      <c r="AO562" s="2">
        <v>0</v>
      </c>
      <c r="AP562" s="2">
        <v>0</v>
      </c>
    </row>
    <row r="563" spans="1:42" x14ac:dyDescent="0.25">
      <c r="A563" s="1">
        <v>45915</v>
      </c>
      <c r="B563" t="s">
        <v>47</v>
      </c>
      <c r="C563">
        <v>649163</v>
      </c>
      <c r="D563">
        <v>2025737165</v>
      </c>
      <c r="E563" t="s">
        <v>798</v>
      </c>
      <c r="F563" t="s">
        <v>339</v>
      </c>
      <c r="G563" t="s">
        <v>50</v>
      </c>
      <c r="H563" t="s">
        <v>63</v>
      </c>
      <c r="I563" t="s">
        <v>243</v>
      </c>
      <c r="J563" t="s">
        <v>249</v>
      </c>
      <c r="K563">
        <v>650218</v>
      </c>
      <c r="L563" t="s">
        <v>73</v>
      </c>
      <c r="M563" t="s">
        <v>74</v>
      </c>
      <c r="N563" t="s">
        <v>56</v>
      </c>
      <c r="O563" s="1">
        <v>45609</v>
      </c>
      <c r="P563" s="1">
        <v>45943</v>
      </c>
      <c r="Q563" s="2">
        <v>15</v>
      </c>
      <c r="R563">
        <v>1</v>
      </c>
      <c r="S563" t="s">
        <v>57</v>
      </c>
      <c r="T563" t="s">
        <v>58</v>
      </c>
      <c r="U563" s="4">
        <v>0.38</v>
      </c>
      <c r="V563" s="2">
        <v>0</v>
      </c>
      <c r="W563">
        <v>0</v>
      </c>
      <c r="X563" t="s">
        <v>70</v>
      </c>
      <c r="Y563" t="s">
        <v>60</v>
      </c>
      <c r="Z563">
        <v>0</v>
      </c>
      <c r="AA563" s="2">
        <v>0</v>
      </c>
      <c r="AB563" s="2">
        <v>0</v>
      </c>
      <c r="AC563" s="4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5.7</v>
      </c>
      <c r="AM563" s="2">
        <v>5.7</v>
      </c>
      <c r="AN563" s="2">
        <v>0</v>
      </c>
      <c r="AO563" s="2">
        <v>0</v>
      </c>
      <c r="AP563" s="2">
        <v>0</v>
      </c>
    </row>
    <row r="564" spans="1:42" x14ac:dyDescent="0.25">
      <c r="A564" s="1">
        <v>45915</v>
      </c>
      <c r="B564" t="s">
        <v>47</v>
      </c>
      <c r="C564">
        <v>649163</v>
      </c>
      <c r="D564">
        <v>2026213329</v>
      </c>
      <c r="E564" t="s">
        <v>788</v>
      </c>
      <c r="F564" t="s">
        <v>787</v>
      </c>
      <c r="G564" t="s">
        <v>50</v>
      </c>
      <c r="H564" t="s">
        <v>151</v>
      </c>
      <c r="I564" t="s">
        <v>243</v>
      </c>
      <c r="J564" t="s">
        <v>249</v>
      </c>
      <c r="K564">
        <v>756418</v>
      </c>
      <c r="L564" t="s">
        <v>257</v>
      </c>
      <c r="M564" t="s">
        <v>258</v>
      </c>
      <c r="N564" t="s">
        <v>56</v>
      </c>
      <c r="O564" s="1">
        <v>45644</v>
      </c>
      <c r="P564" s="1">
        <v>45948</v>
      </c>
      <c r="Q564" s="2">
        <v>15</v>
      </c>
      <c r="R564">
        <v>1</v>
      </c>
      <c r="S564" t="s">
        <v>57</v>
      </c>
      <c r="T564" t="s">
        <v>58</v>
      </c>
      <c r="U564" s="4">
        <v>0.38</v>
      </c>
      <c r="V564" s="2">
        <v>0</v>
      </c>
      <c r="W564">
        <v>0</v>
      </c>
      <c r="X564" t="s">
        <v>70</v>
      </c>
      <c r="Y564" t="s">
        <v>60</v>
      </c>
      <c r="Z564">
        <v>0</v>
      </c>
      <c r="AA564" s="2">
        <v>0</v>
      </c>
      <c r="AB564" s="2">
        <v>0</v>
      </c>
      <c r="AC564" s="4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5.7</v>
      </c>
      <c r="AM564" s="2">
        <v>5.7</v>
      </c>
      <c r="AN564" s="2">
        <v>0</v>
      </c>
      <c r="AO564" s="2">
        <v>0</v>
      </c>
      <c r="AP564" s="2">
        <v>0</v>
      </c>
    </row>
    <row r="565" spans="1:42" x14ac:dyDescent="0.25">
      <c r="A565" s="1">
        <v>45915</v>
      </c>
      <c r="B565" t="s">
        <v>47</v>
      </c>
      <c r="C565">
        <v>649163</v>
      </c>
      <c r="D565">
        <v>2026586623</v>
      </c>
      <c r="E565" t="s">
        <v>786</v>
      </c>
      <c r="F565" t="s">
        <v>337</v>
      </c>
      <c r="G565" t="s">
        <v>50</v>
      </c>
      <c r="H565" t="s">
        <v>408</v>
      </c>
      <c r="I565" t="s">
        <v>243</v>
      </c>
      <c r="J565" t="s">
        <v>249</v>
      </c>
      <c r="K565">
        <v>756418</v>
      </c>
      <c r="L565" t="s">
        <v>257</v>
      </c>
      <c r="M565" t="s">
        <v>258</v>
      </c>
      <c r="N565" t="s">
        <v>56</v>
      </c>
      <c r="O565" s="1">
        <v>45672</v>
      </c>
      <c r="P565" s="1">
        <v>45945</v>
      </c>
      <c r="Q565" s="2">
        <v>15</v>
      </c>
      <c r="R565">
        <v>1</v>
      </c>
      <c r="S565" t="s">
        <v>57</v>
      </c>
      <c r="T565" t="s">
        <v>58</v>
      </c>
      <c r="U565" s="4">
        <v>0.38</v>
      </c>
      <c r="V565" s="2">
        <v>0</v>
      </c>
      <c r="W565">
        <v>0</v>
      </c>
      <c r="X565" t="s">
        <v>70</v>
      </c>
      <c r="Y565" t="s">
        <v>60</v>
      </c>
      <c r="Z565">
        <v>0</v>
      </c>
      <c r="AA565" s="2">
        <v>0</v>
      </c>
      <c r="AB565" s="2">
        <v>0</v>
      </c>
      <c r="AC565" s="4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5.7</v>
      </c>
      <c r="AM565" s="2">
        <v>5.7</v>
      </c>
      <c r="AN565" s="2">
        <v>0</v>
      </c>
      <c r="AO565" s="2">
        <v>0</v>
      </c>
      <c r="AP565" s="2">
        <v>0</v>
      </c>
    </row>
    <row r="566" spans="1:42" x14ac:dyDescent="0.25">
      <c r="A566" s="1">
        <v>45915</v>
      </c>
      <c r="B566" t="s">
        <v>47</v>
      </c>
      <c r="C566">
        <v>649163</v>
      </c>
      <c r="D566">
        <v>2027080634</v>
      </c>
      <c r="E566" t="s">
        <v>435</v>
      </c>
      <c r="F566" t="s">
        <v>1058</v>
      </c>
      <c r="G566" t="s">
        <v>50</v>
      </c>
      <c r="H566" t="s">
        <v>437</v>
      </c>
      <c r="I566" t="s">
        <v>243</v>
      </c>
      <c r="J566" t="s">
        <v>244</v>
      </c>
      <c r="K566">
        <v>824062</v>
      </c>
      <c r="L566" t="s">
        <v>200</v>
      </c>
      <c r="M566" t="s">
        <v>201</v>
      </c>
      <c r="N566" t="s">
        <v>56</v>
      </c>
      <c r="O566" s="1">
        <v>45701</v>
      </c>
      <c r="P566" s="1">
        <v>45943</v>
      </c>
      <c r="Q566" s="2">
        <v>15</v>
      </c>
      <c r="R566">
        <v>1</v>
      </c>
      <c r="S566" t="s">
        <v>57</v>
      </c>
      <c r="T566" t="s">
        <v>58</v>
      </c>
      <c r="U566" s="4">
        <v>0.28999999999999998</v>
      </c>
      <c r="V566" s="2">
        <v>0</v>
      </c>
      <c r="W566">
        <v>0</v>
      </c>
      <c r="X566" t="s">
        <v>70</v>
      </c>
      <c r="Y566" t="s">
        <v>60</v>
      </c>
      <c r="Z566">
        <v>0</v>
      </c>
      <c r="AA566" s="2">
        <v>0</v>
      </c>
      <c r="AB566" s="2">
        <v>0</v>
      </c>
      <c r="AC566" s="4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4.3499999999999996</v>
      </c>
      <c r="AM566" s="2">
        <v>4.3499999999999996</v>
      </c>
      <c r="AN566" s="2">
        <v>0</v>
      </c>
      <c r="AO566" s="2">
        <v>0</v>
      </c>
      <c r="AP566" s="2">
        <v>0</v>
      </c>
    </row>
    <row r="567" spans="1:42" x14ac:dyDescent="0.25">
      <c r="A567" s="1">
        <v>45915</v>
      </c>
      <c r="B567" t="s">
        <v>47</v>
      </c>
      <c r="C567">
        <v>649163</v>
      </c>
      <c r="D567">
        <v>2027849976</v>
      </c>
      <c r="E567" t="s">
        <v>783</v>
      </c>
      <c r="F567" t="s">
        <v>65</v>
      </c>
      <c r="G567" t="s">
        <v>50</v>
      </c>
      <c r="H567" t="s">
        <v>255</v>
      </c>
      <c r="I567" t="s">
        <v>243</v>
      </c>
      <c r="J567" t="s">
        <v>249</v>
      </c>
      <c r="K567">
        <v>650218</v>
      </c>
      <c r="L567" t="s">
        <v>73</v>
      </c>
      <c r="M567" t="s">
        <v>74</v>
      </c>
      <c r="N567" t="s">
        <v>56</v>
      </c>
      <c r="O567" s="1">
        <v>45733</v>
      </c>
      <c r="P567" s="1">
        <v>45947</v>
      </c>
      <c r="Q567" s="2">
        <v>15</v>
      </c>
      <c r="R567">
        <v>1</v>
      </c>
      <c r="S567" t="s">
        <v>57</v>
      </c>
      <c r="T567" t="s">
        <v>58</v>
      </c>
      <c r="U567" s="4">
        <v>0.38</v>
      </c>
      <c r="V567" s="2">
        <v>0</v>
      </c>
      <c r="W567">
        <v>0</v>
      </c>
      <c r="X567" t="s">
        <v>70</v>
      </c>
      <c r="Y567" t="s">
        <v>60</v>
      </c>
      <c r="Z567">
        <v>0</v>
      </c>
      <c r="AA567" s="2">
        <v>0</v>
      </c>
      <c r="AB567" s="2">
        <v>0</v>
      </c>
      <c r="AC567" s="4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5.7</v>
      </c>
      <c r="AM567" s="2">
        <v>5.7</v>
      </c>
      <c r="AN567" s="2">
        <v>0</v>
      </c>
      <c r="AO567" s="2">
        <v>0</v>
      </c>
      <c r="AP567" s="2">
        <v>0</v>
      </c>
    </row>
    <row r="568" spans="1:42" x14ac:dyDescent="0.25">
      <c r="A568" s="1">
        <v>45915</v>
      </c>
      <c r="B568" t="s">
        <v>47</v>
      </c>
      <c r="C568">
        <v>649163</v>
      </c>
      <c r="D568">
        <v>2028437289</v>
      </c>
      <c r="E568" t="s">
        <v>1057</v>
      </c>
      <c r="F568" t="s">
        <v>1056</v>
      </c>
      <c r="G568" t="s">
        <v>50</v>
      </c>
      <c r="H568" t="s">
        <v>188</v>
      </c>
      <c r="I568" t="s">
        <v>243</v>
      </c>
      <c r="J568" t="s">
        <v>244</v>
      </c>
      <c r="K568">
        <v>673059</v>
      </c>
      <c r="L568" t="s">
        <v>152</v>
      </c>
      <c r="M568" t="s">
        <v>153</v>
      </c>
      <c r="N568" t="s">
        <v>56</v>
      </c>
      <c r="O568" s="1">
        <v>45764</v>
      </c>
      <c r="P568" s="1">
        <v>45947</v>
      </c>
      <c r="Q568" s="2">
        <v>15</v>
      </c>
      <c r="R568">
        <v>1</v>
      </c>
      <c r="S568" t="s">
        <v>57</v>
      </c>
      <c r="T568" t="s">
        <v>58</v>
      </c>
      <c r="U568" s="4">
        <v>0.28999999999999998</v>
      </c>
      <c r="V568" s="2">
        <v>0</v>
      </c>
      <c r="W568">
        <v>0</v>
      </c>
      <c r="X568" t="s">
        <v>70</v>
      </c>
      <c r="Y568" t="s">
        <v>60</v>
      </c>
      <c r="Z568">
        <v>0</v>
      </c>
      <c r="AA568" s="2">
        <v>0</v>
      </c>
      <c r="AB568" s="2">
        <v>0</v>
      </c>
      <c r="AC568" s="4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4.3499999999999996</v>
      </c>
      <c r="AM568" s="2">
        <v>4.3499999999999996</v>
      </c>
      <c r="AN568" s="2">
        <v>0</v>
      </c>
      <c r="AO568" s="2">
        <v>0</v>
      </c>
      <c r="AP568" s="2">
        <v>0</v>
      </c>
    </row>
    <row r="569" spans="1:42" x14ac:dyDescent="0.25">
      <c r="A569" s="1">
        <v>45915</v>
      </c>
      <c r="B569" t="s">
        <v>47</v>
      </c>
      <c r="C569">
        <v>649163</v>
      </c>
      <c r="D569">
        <v>2028565358</v>
      </c>
      <c r="E569" t="s">
        <v>317</v>
      </c>
      <c r="F569" t="s">
        <v>778</v>
      </c>
      <c r="G569" t="s">
        <v>50</v>
      </c>
      <c r="H569" t="s">
        <v>151</v>
      </c>
      <c r="I569" t="s">
        <v>243</v>
      </c>
      <c r="J569" t="s">
        <v>249</v>
      </c>
      <c r="K569">
        <v>650218</v>
      </c>
      <c r="L569" t="s">
        <v>73</v>
      </c>
      <c r="M569" t="s">
        <v>74</v>
      </c>
      <c r="N569" t="s">
        <v>56</v>
      </c>
      <c r="O569" s="1">
        <v>45777</v>
      </c>
      <c r="P569" s="1">
        <v>45930</v>
      </c>
      <c r="Q569" s="2">
        <v>15</v>
      </c>
      <c r="R569">
        <v>1</v>
      </c>
      <c r="S569" t="s">
        <v>57</v>
      </c>
      <c r="T569" t="s">
        <v>58</v>
      </c>
      <c r="U569" s="4">
        <v>0.38</v>
      </c>
      <c r="V569" s="2">
        <v>0</v>
      </c>
      <c r="W569">
        <v>0</v>
      </c>
      <c r="X569" t="s">
        <v>70</v>
      </c>
      <c r="Y569" t="s">
        <v>60</v>
      </c>
      <c r="Z569">
        <v>0</v>
      </c>
      <c r="AA569" s="2">
        <v>0</v>
      </c>
      <c r="AB569" s="2">
        <v>0</v>
      </c>
      <c r="AC569" s="4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5.7</v>
      </c>
      <c r="AM569" s="2">
        <v>5.7</v>
      </c>
      <c r="AN569" s="2">
        <v>0</v>
      </c>
      <c r="AO569" s="2">
        <v>0</v>
      </c>
      <c r="AP569" s="2">
        <v>0</v>
      </c>
    </row>
    <row r="570" spans="1:42" x14ac:dyDescent="0.25">
      <c r="A570" s="1">
        <v>45915</v>
      </c>
      <c r="B570" t="s">
        <v>47</v>
      </c>
      <c r="C570">
        <v>649163</v>
      </c>
      <c r="D570">
        <v>2028958359</v>
      </c>
      <c r="E570" t="s">
        <v>777</v>
      </c>
      <c r="F570" t="s">
        <v>349</v>
      </c>
      <c r="G570" t="s">
        <v>50</v>
      </c>
      <c r="H570" t="s">
        <v>93</v>
      </c>
      <c r="I570" t="s">
        <v>243</v>
      </c>
      <c r="J570" t="s">
        <v>269</v>
      </c>
      <c r="K570">
        <v>673059</v>
      </c>
      <c r="L570" t="s">
        <v>152</v>
      </c>
      <c r="M570" t="s">
        <v>153</v>
      </c>
      <c r="N570" t="s">
        <v>56</v>
      </c>
      <c r="O570" s="1">
        <v>45793</v>
      </c>
      <c r="P570" s="1">
        <v>45946</v>
      </c>
      <c r="Q570" s="2">
        <v>15</v>
      </c>
      <c r="R570">
        <v>1</v>
      </c>
      <c r="S570" t="s">
        <v>57</v>
      </c>
      <c r="T570" t="s">
        <v>58</v>
      </c>
      <c r="U570" s="4">
        <v>0.19</v>
      </c>
      <c r="V570" s="2">
        <v>0</v>
      </c>
      <c r="W570">
        <v>0</v>
      </c>
      <c r="X570" t="s">
        <v>70</v>
      </c>
      <c r="Y570" t="s">
        <v>60</v>
      </c>
      <c r="Z570">
        <v>0</v>
      </c>
      <c r="AA570" s="2">
        <v>0</v>
      </c>
      <c r="AB570" s="2">
        <v>0</v>
      </c>
      <c r="AC570" s="4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2.85</v>
      </c>
      <c r="AM570" s="2">
        <v>2.85</v>
      </c>
      <c r="AN570" s="2">
        <v>0</v>
      </c>
      <c r="AO570" s="2">
        <v>0</v>
      </c>
      <c r="AP570" s="2">
        <v>0</v>
      </c>
    </row>
    <row r="571" spans="1:42" x14ac:dyDescent="0.25">
      <c r="A571" s="1">
        <v>45915</v>
      </c>
      <c r="B571" t="s">
        <v>47</v>
      </c>
      <c r="C571">
        <v>649163</v>
      </c>
      <c r="D571">
        <v>2029058325</v>
      </c>
      <c r="E571" t="s">
        <v>944</v>
      </c>
      <c r="F571" t="s">
        <v>943</v>
      </c>
      <c r="G571" t="s">
        <v>50</v>
      </c>
      <c r="H571" t="s">
        <v>180</v>
      </c>
      <c r="I571" t="s">
        <v>243</v>
      </c>
      <c r="J571" t="s">
        <v>298</v>
      </c>
      <c r="K571">
        <v>823350</v>
      </c>
      <c r="L571" t="s">
        <v>79</v>
      </c>
      <c r="M571" t="s">
        <v>80</v>
      </c>
      <c r="N571" t="s">
        <v>56</v>
      </c>
      <c r="O571" s="1">
        <v>45796</v>
      </c>
      <c r="P571" s="1">
        <v>45949</v>
      </c>
      <c r="Q571" s="2">
        <v>15</v>
      </c>
      <c r="R571">
        <v>1</v>
      </c>
      <c r="S571" t="s">
        <v>57</v>
      </c>
      <c r="T571" t="s">
        <v>58</v>
      </c>
      <c r="U571" s="4">
        <v>0.19</v>
      </c>
      <c r="V571" s="2">
        <v>0</v>
      </c>
      <c r="W571">
        <v>0</v>
      </c>
      <c r="X571" t="s">
        <v>70</v>
      </c>
      <c r="Y571" t="s">
        <v>60</v>
      </c>
      <c r="Z571">
        <v>0</v>
      </c>
      <c r="AA571" s="2">
        <v>0</v>
      </c>
      <c r="AB571" s="2">
        <v>0</v>
      </c>
      <c r="AC571" s="4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2.85</v>
      </c>
      <c r="AM571" s="2">
        <v>2.85</v>
      </c>
      <c r="AN571" s="2">
        <v>0</v>
      </c>
      <c r="AO571" s="2">
        <v>0</v>
      </c>
      <c r="AP571" s="2">
        <v>0</v>
      </c>
    </row>
    <row r="572" spans="1:42" x14ac:dyDescent="0.25">
      <c r="A572" s="1">
        <v>45915</v>
      </c>
      <c r="B572" t="s">
        <v>47</v>
      </c>
      <c r="C572">
        <v>649163</v>
      </c>
      <c r="D572">
        <v>2029486077</v>
      </c>
      <c r="E572" t="s">
        <v>776</v>
      </c>
      <c r="F572" t="s">
        <v>775</v>
      </c>
      <c r="G572" t="s">
        <v>50</v>
      </c>
      <c r="H572" t="s">
        <v>93</v>
      </c>
      <c r="I572" t="s">
        <v>243</v>
      </c>
      <c r="J572" t="s">
        <v>261</v>
      </c>
      <c r="K572">
        <v>824062</v>
      </c>
      <c r="L572" t="s">
        <v>200</v>
      </c>
      <c r="M572" t="s">
        <v>201</v>
      </c>
      <c r="N572" t="s">
        <v>56</v>
      </c>
      <c r="O572" s="1">
        <v>45825</v>
      </c>
      <c r="P572" s="1">
        <v>45947</v>
      </c>
      <c r="Q572" s="2">
        <v>15</v>
      </c>
      <c r="R572">
        <v>1</v>
      </c>
      <c r="S572" t="s">
        <v>57</v>
      </c>
      <c r="T572" t="s">
        <v>58</v>
      </c>
      <c r="U572" s="4">
        <v>0.38</v>
      </c>
      <c r="V572" s="2">
        <v>0</v>
      </c>
      <c r="W572">
        <v>0</v>
      </c>
      <c r="X572" t="s">
        <v>70</v>
      </c>
      <c r="Y572" t="s">
        <v>60</v>
      </c>
      <c r="Z572">
        <v>0</v>
      </c>
      <c r="AA572" s="2">
        <v>0</v>
      </c>
      <c r="AB572" s="2">
        <v>0</v>
      </c>
      <c r="AC572" s="4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5.7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</row>
    <row r="573" spans="1:42" x14ac:dyDescent="0.25">
      <c r="A573" s="1">
        <v>45915</v>
      </c>
      <c r="B573" t="s">
        <v>47</v>
      </c>
      <c r="C573">
        <v>649163</v>
      </c>
      <c r="D573">
        <v>2029995395</v>
      </c>
      <c r="E573" t="s">
        <v>651</v>
      </c>
      <c r="F573" t="s">
        <v>179</v>
      </c>
      <c r="G573" t="s">
        <v>50</v>
      </c>
      <c r="H573" t="s">
        <v>151</v>
      </c>
      <c r="I573" t="s">
        <v>243</v>
      </c>
      <c r="J573" t="s">
        <v>244</v>
      </c>
      <c r="K573">
        <v>877182</v>
      </c>
      <c r="L573" t="s">
        <v>650</v>
      </c>
      <c r="M573" t="s">
        <v>649</v>
      </c>
      <c r="N573" t="s">
        <v>56</v>
      </c>
      <c r="O573" s="1">
        <v>45855</v>
      </c>
      <c r="P573" s="1">
        <v>45947</v>
      </c>
      <c r="Q573" s="2">
        <v>15</v>
      </c>
      <c r="R573">
        <v>1</v>
      </c>
      <c r="S573" t="s">
        <v>57</v>
      </c>
      <c r="T573" t="s">
        <v>58</v>
      </c>
      <c r="U573" s="4">
        <v>0.28999999999999998</v>
      </c>
      <c r="V573" s="2">
        <v>0</v>
      </c>
      <c r="W573">
        <v>0</v>
      </c>
      <c r="X573" t="s">
        <v>70</v>
      </c>
      <c r="Y573" t="s">
        <v>60</v>
      </c>
      <c r="Z573">
        <v>0</v>
      </c>
      <c r="AA573" s="2">
        <v>0</v>
      </c>
      <c r="AB573" s="2">
        <v>0</v>
      </c>
      <c r="AC573" s="4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4.3499999999999996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</row>
    <row r="574" spans="1:42" x14ac:dyDescent="0.25">
      <c r="A574" s="1">
        <v>45915</v>
      </c>
      <c r="B574" t="s">
        <v>47</v>
      </c>
      <c r="C574">
        <v>649163</v>
      </c>
      <c r="D574">
        <v>2030006366</v>
      </c>
      <c r="E574" t="s">
        <v>154</v>
      </c>
      <c r="F574" t="s">
        <v>772</v>
      </c>
      <c r="G574" t="s">
        <v>50</v>
      </c>
      <c r="H574" t="s">
        <v>93</v>
      </c>
      <c r="I574" t="s">
        <v>243</v>
      </c>
      <c r="J574" t="s">
        <v>261</v>
      </c>
      <c r="K574">
        <v>856163</v>
      </c>
      <c r="L574" t="s">
        <v>79</v>
      </c>
      <c r="M574" t="s">
        <v>279</v>
      </c>
      <c r="N574" t="s">
        <v>56</v>
      </c>
      <c r="O574" s="1">
        <v>45856</v>
      </c>
      <c r="P574" s="1">
        <v>45948</v>
      </c>
      <c r="Q574" s="2">
        <v>15</v>
      </c>
      <c r="R574">
        <v>1</v>
      </c>
      <c r="S574" t="s">
        <v>57</v>
      </c>
      <c r="T574" t="s">
        <v>58</v>
      </c>
      <c r="U574" s="4">
        <v>0.38</v>
      </c>
      <c r="V574" s="2">
        <v>0</v>
      </c>
      <c r="W574">
        <v>0</v>
      </c>
      <c r="X574" t="s">
        <v>70</v>
      </c>
      <c r="Y574" t="s">
        <v>60</v>
      </c>
      <c r="Z574">
        <v>0</v>
      </c>
      <c r="AA574" s="2">
        <v>0</v>
      </c>
      <c r="AB574" s="2">
        <v>0</v>
      </c>
      <c r="AC574" s="4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5.7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</row>
    <row r="575" spans="1:42" x14ac:dyDescent="0.25">
      <c r="A575" s="1">
        <v>45915</v>
      </c>
      <c r="B575" t="s">
        <v>47</v>
      </c>
      <c r="C575">
        <v>649163</v>
      </c>
      <c r="D575">
        <v>2030023419</v>
      </c>
      <c r="E575" t="s">
        <v>771</v>
      </c>
      <c r="F575" t="s">
        <v>770</v>
      </c>
      <c r="G575" t="s">
        <v>50</v>
      </c>
      <c r="H575" t="s">
        <v>93</v>
      </c>
      <c r="I575" t="s">
        <v>243</v>
      </c>
      <c r="J575" t="s">
        <v>269</v>
      </c>
      <c r="K575">
        <v>856163</v>
      </c>
      <c r="L575" t="s">
        <v>79</v>
      </c>
      <c r="M575" t="s">
        <v>279</v>
      </c>
      <c r="N575" t="s">
        <v>56</v>
      </c>
      <c r="O575" s="1">
        <v>45857</v>
      </c>
      <c r="P575" s="1">
        <v>45949</v>
      </c>
      <c r="Q575" s="2">
        <v>15</v>
      </c>
      <c r="R575">
        <v>1</v>
      </c>
      <c r="S575" t="s">
        <v>57</v>
      </c>
      <c r="T575" t="s">
        <v>58</v>
      </c>
      <c r="U575" s="4">
        <v>0.19</v>
      </c>
      <c r="V575" s="2">
        <v>0</v>
      </c>
      <c r="W575">
        <v>0</v>
      </c>
      <c r="X575" t="s">
        <v>70</v>
      </c>
      <c r="Y575" t="s">
        <v>60</v>
      </c>
      <c r="Z575">
        <v>0</v>
      </c>
      <c r="AA575" s="2">
        <v>0</v>
      </c>
      <c r="AB575" s="2">
        <v>0</v>
      </c>
      <c r="AC575" s="4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2.85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</row>
    <row r="576" spans="1:42" x14ac:dyDescent="0.25">
      <c r="A576" s="1">
        <v>45915</v>
      </c>
      <c r="B576" t="s">
        <v>47</v>
      </c>
      <c r="C576">
        <v>649163</v>
      </c>
      <c r="D576">
        <v>2030028580</v>
      </c>
      <c r="E576" t="s">
        <v>769</v>
      </c>
      <c r="F576" t="s">
        <v>321</v>
      </c>
      <c r="G576" t="s">
        <v>50</v>
      </c>
      <c r="H576" t="s">
        <v>93</v>
      </c>
      <c r="I576" t="s">
        <v>243</v>
      </c>
      <c r="J576" t="s">
        <v>261</v>
      </c>
      <c r="K576">
        <v>768887</v>
      </c>
      <c r="L576" t="s">
        <v>282</v>
      </c>
      <c r="M576" t="s">
        <v>283</v>
      </c>
      <c r="N576" t="s">
        <v>56</v>
      </c>
      <c r="O576" s="1">
        <v>45857</v>
      </c>
      <c r="P576" s="1">
        <v>45949</v>
      </c>
      <c r="Q576" s="2">
        <v>15</v>
      </c>
      <c r="R576">
        <v>1</v>
      </c>
      <c r="S576" t="s">
        <v>57</v>
      </c>
      <c r="T576" t="s">
        <v>58</v>
      </c>
      <c r="U576" s="4">
        <v>0.38</v>
      </c>
      <c r="V576" s="2">
        <v>0</v>
      </c>
      <c r="W576">
        <v>0</v>
      </c>
      <c r="X576" t="s">
        <v>70</v>
      </c>
      <c r="Y576" t="s">
        <v>60</v>
      </c>
      <c r="Z576">
        <v>0</v>
      </c>
      <c r="AA576" s="2">
        <v>0</v>
      </c>
      <c r="AB576" s="2">
        <v>0</v>
      </c>
      <c r="AC576" s="4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5.7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</row>
    <row r="577" spans="1:42" x14ac:dyDescent="0.25">
      <c r="A577" s="1">
        <v>45915</v>
      </c>
      <c r="B577" t="s">
        <v>47</v>
      </c>
      <c r="C577">
        <v>649163</v>
      </c>
      <c r="D577">
        <v>2030485608</v>
      </c>
      <c r="E577" t="s">
        <v>703</v>
      </c>
      <c r="F577" t="s">
        <v>702</v>
      </c>
      <c r="G577" t="s">
        <v>50</v>
      </c>
      <c r="H577" t="s">
        <v>157</v>
      </c>
      <c r="I577" t="s">
        <v>243</v>
      </c>
      <c r="J577" t="s">
        <v>244</v>
      </c>
      <c r="K577">
        <v>839913</v>
      </c>
      <c r="L577" t="s">
        <v>701</v>
      </c>
      <c r="M577" t="s">
        <v>700</v>
      </c>
      <c r="N577" t="s">
        <v>56</v>
      </c>
      <c r="O577" s="1">
        <v>45883</v>
      </c>
      <c r="P577" s="1">
        <v>45944</v>
      </c>
      <c r="Q577" s="2">
        <v>15</v>
      </c>
      <c r="R577">
        <v>1</v>
      </c>
      <c r="S577" t="s">
        <v>57</v>
      </c>
      <c r="T577" t="s">
        <v>58</v>
      </c>
      <c r="U577" s="4">
        <v>0.28999999999999998</v>
      </c>
      <c r="V577" s="2">
        <v>0</v>
      </c>
      <c r="W577">
        <v>0</v>
      </c>
      <c r="X577" t="s">
        <v>70</v>
      </c>
      <c r="Y577" t="s">
        <v>60</v>
      </c>
      <c r="Z577">
        <v>0</v>
      </c>
      <c r="AA577" s="2">
        <v>0</v>
      </c>
      <c r="AB577" s="2">
        <v>0</v>
      </c>
      <c r="AC577" s="4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4.3499999999999996</v>
      </c>
      <c r="AM577" s="2">
        <v>4.3499999999999996</v>
      </c>
      <c r="AN577" s="2">
        <v>0</v>
      </c>
      <c r="AO577" s="2">
        <v>0</v>
      </c>
      <c r="AP577" s="2">
        <v>0</v>
      </c>
    </row>
    <row r="578" spans="1:42" x14ac:dyDescent="0.25">
      <c r="A578" s="1">
        <v>45915</v>
      </c>
      <c r="B578" t="s">
        <v>47</v>
      </c>
      <c r="C578">
        <v>649163</v>
      </c>
      <c r="D578">
        <v>2030495950</v>
      </c>
      <c r="E578" t="s">
        <v>284</v>
      </c>
      <c r="F578" t="s">
        <v>285</v>
      </c>
      <c r="G578" t="s">
        <v>50</v>
      </c>
      <c r="H578" t="s">
        <v>93</v>
      </c>
      <c r="I578" t="s">
        <v>243</v>
      </c>
      <c r="J578" t="s">
        <v>261</v>
      </c>
      <c r="K578">
        <v>768887</v>
      </c>
      <c r="L578" t="s">
        <v>282</v>
      </c>
      <c r="M578" t="s">
        <v>283</v>
      </c>
      <c r="N578" t="s">
        <v>56</v>
      </c>
      <c r="O578" s="1">
        <v>45884</v>
      </c>
      <c r="P578" s="1">
        <v>45945</v>
      </c>
      <c r="Q578" s="2">
        <v>15</v>
      </c>
      <c r="R578">
        <v>1</v>
      </c>
      <c r="S578" t="s">
        <v>57</v>
      </c>
      <c r="T578" t="s">
        <v>58</v>
      </c>
      <c r="U578" s="4">
        <v>0.38</v>
      </c>
      <c r="V578" s="2">
        <v>0</v>
      </c>
      <c r="W578">
        <v>0</v>
      </c>
      <c r="X578" t="s">
        <v>70</v>
      </c>
      <c r="Y578" t="s">
        <v>60</v>
      </c>
      <c r="Z578">
        <v>0</v>
      </c>
      <c r="AA578" s="2">
        <v>0</v>
      </c>
      <c r="AB578" s="2">
        <v>0</v>
      </c>
      <c r="AC578" s="4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5.7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</row>
    <row r="579" spans="1:42" x14ac:dyDescent="0.25">
      <c r="A579" s="1">
        <v>45915</v>
      </c>
      <c r="B579" t="s">
        <v>47</v>
      </c>
      <c r="C579">
        <v>649163</v>
      </c>
      <c r="D579">
        <v>2030558289</v>
      </c>
      <c r="E579" t="s">
        <v>378</v>
      </c>
      <c r="F579" t="s">
        <v>117</v>
      </c>
      <c r="G579" t="s">
        <v>50</v>
      </c>
      <c r="H579" t="s">
        <v>157</v>
      </c>
      <c r="I579" t="s">
        <v>243</v>
      </c>
      <c r="J579" t="s">
        <v>261</v>
      </c>
      <c r="K579">
        <v>650218</v>
      </c>
      <c r="L579" t="s">
        <v>73</v>
      </c>
      <c r="M579" t="s">
        <v>74</v>
      </c>
      <c r="N579" t="s">
        <v>56</v>
      </c>
      <c r="O579" s="1">
        <v>45888</v>
      </c>
      <c r="P579" s="1">
        <v>45949</v>
      </c>
      <c r="Q579" s="2">
        <v>15</v>
      </c>
      <c r="R579">
        <v>1</v>
      </c>
      <c r="S579" t="s">
        <v>57</v>
      </c>
      <c r="T579" t="s">
        <v>58</v>
      </c>
      <c r="U579" s="4">
        <v>0.38</v>
      </c>
      <c r="V579" s="2">
        <v>0</v>
      </c>
      <c r="W579">
        <v>0</v>
      </c>
      <c r="X579" t="s">
        <v>70</v>
      </c>
      <c r="Y579" t="s">
        <v>60</v>
      </c>
      <c r="Z579">
        <v>0</v>
      </c>
      <c r="AA579" s="2">
        <v>0</v>
      </c>
      <c r="AB579" s="2">
        <v>0</v>
      </c>
      <c r="AC579" s="4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5.7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</row>
    <row r="580" spans="1:42" x14ac:dyDescent="0.25">
      <c r="A580" s="1">
        <v>45915</v>
      </c>
      <c r="B580" t="s">
        <v>47</v>
      </c>
      <c r="C580">
        <v>649163</v>
      </c>
      <c r="D580">
        <v>2016549422</v>
      </c>
      <c r="E580" t="s">
        <v>1053</v>
      </c>
      <c r="F580" t="s">
        <v>398</v>
      </c>
      <c r="G580" t="s">
        <v>50</v>
      </c>
      <c r="H580" t="s">
        <v>51</v>
      </c>
      <c r="I580" t="s">
        <v>306</v>
      </c>
      <c r="J580" t="s">
        <v>307</v>
      </c>
      <c r="K580">
        <v>650794</v>
      </c>
      <c r="L580" t="s">
        <v>309</v>
      </c>
      <c r="M580" t="s">
        <v>310</v>
      </c>
      <c r="N580" t="s">
        <v>56</v>
      </c>
      <c r="O580" s="1">
        <v>44849</v>
      </c>
      <c r="P580" s="1">
        <v>45945</v>
      </c>
      <c r="Q580" s="2">
        <v>149.46</v>
      </c>
      <c r="R580">
        <v>1</v>
      </c>
      <c r="S580" t="s">
        <v>57</v>
      </c>
      <c r="T580" t="s">
        <v>58</v>
      </c>
      <c r="U580" s="4">
        <v>0.06</v>
      </c>
      <c r="V580" s="2">
        <v>0</v>
      </c>
      <c r="W580">
        <v>0</v>
      </c>
      <c r="X580" t="s">
        <v>59</v>
      </c>
      <c r="Y580" t="s">
        <v>60</v>
      </c>
      <c r="Z580">
        <v>0</v>
      </c>
      <c r="AA580" s="2">
        <v>0</v>
      </c>
      <c r="AB580" s="2">
        <v>0</v>
      </c>
      <c r="AC580" s="4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8.9700000000000006</v>
      </c>
      <c r="AM580" s="2">
        <v>8.9700000000000006</v>
      </c>
      <c r="AN580" s="2">
        <v>0</v>
      </c>
      <c r="AO580" s="2">
        <v>0</v>
      </c>
      <c r="AP580" s="2">
        <v>0</v>
      </c>
    </row>
    <row r="581" spans="1:42" x14ac:dyDescent="0.25">
      <c r="A581" s="1">
        <v>45915</v>
      </c>
      <c r="B581" t="s">
        <v>47</v>
      </c>
      <c r="C581">
        <v>649163</v>
      </c>
      <c r="D581">
        <v>2017069747</v>
      </c>
      <c r="E581" t="s">
        <v>1052</v>
      </c>
      <c r="F581" t="s">
        <v>49</v>
      </c>
      <c r="G581" t="s">
        <v>50</v>
      </c>
      <c r="H581" t="s">
        <v>51</v>
      </c>
      <c r="I581" t="s">
        <v>306</v>
      </c>
      <c r="J581" t="s">
        <v>307</v>
      </c>
      <c r="K581">
        <v>650794</v>
      </c>
      <c r="L581" t="s">
        <v>309</v>
      </c>
      <c r="M581" t="s">
        <v>310</v>
      </c>
      <c r="N581" t="s">
        <v>56</v>
      </c>
      <c r="O581" s="1">
        <v>44909</v>
      </c>
      <c r="P581" s="1">
        <v>45944</v>
      </c>
      <c r="Q581" s="2">
        <v>36.65</v>
      </c>
      <c r="R581">
        <v>1</v>
      </c>
      <c r="S581" t="s">
        <v>57</v>
      </c>
      <c r="T581" t="s">
        <v>58</v>
      </c>
      <c r="U581" s="4">
        <v>0.06</v>
      </c>
      <c r="V581" s="2">
        <v>0</v>
      </c>
      <c r="W581">
        <v>0</v>
      </c>
      <c r="X581" t="s">
        <v>59</v>
      </c>
      <c r="Y581" t="s">
        <v>60</v>
      </c>
      <c r="Z581">
        <v>0</v>
      </c>
      <c r="AA581" s="2">
        <v>0</v>
      </c>
      <c r="AB581" s="2">
        <v>0</v>
      </c>
      <c r="AC581" s="4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2.2000000000000002</v>
      </c>
      <c r="AM581" s="2">
        <v>2.2000000000000002</v>
      </c>
      <c r="AN581" s="2">
        <v>0</v>
      </c>
      <c r="AO581" s="2">
        <v>0</v>
      </c>
      <c r="AP581" s="2">
        <v>0</v>
      </c>
    </row>
    <row r="582" spans="1:42" x14ac:dyDescent="0.25">
      <c r="A582" s="1">
        <v>45915</v>
      </c>
      <c r="B582" t="s">
        <v>47</v>
      </c>
      <c r="C582">
        <v>649163</v>
      </c>
      <c r="D582">
        <v>2017105567</v>
      </c>
      <c r="E582" t="s">
        <v>1051</v>
      </c>
      <c r="F582" t="s">
        <v>1050</v>
      </c>
      <c r="G582" t="s">
        <v>50</v>
      </c>
      <c r="H582" t="s">
        <v>51</v>
      </c>
      <c r="I582" t="s">
        <v>306</v>
      </c>
      <c r="J582" t="s">
        <v>307</v>
      </c>
      <c r="K582">
        <v>649247</v>
      </c>
      <c r="L582" t="s">
        <v>68</v>
      </c>
      <c r="M582" t="s">
        <v>69</v>
      </c>
      <c r="N582" t="s">
        <v>56</v>
      </c>
      <c r="O582" s="1">
        <v>44911</v>
      </c>
      <c r="P582" s="1">
        <v>45946</v>
      </c>
      <c r="Q582" s="2">
        <v>101.58</v>
      </c>
      <c r="R582">
        <v>1</v>
      </c>
      <c r="S582" t="s">
        <v>57</v>
      </c>
      <c r="T582" t="s">
        <v>58</v>
      </c>
      <c r="U582" s="4">
        <v>0.06</v>
      </c>
      <c r="V582" s="2">
        <v>0</v>
      </c>
      <c r="W582">
        <v>0</v>
      </c>
      <c r="X582" t="s">
        <v>59</v>
      </c>
      <c r="Y582" t="s">
        <v>60</v>
      </c>
      <c r="Z582">
        <v>0</v>
      </c>
      <c r="AA582" s="2">
        <v>0</v>
      </c>
      <c r="AB582" s="2">
        <v>0</v>
      </c>
      <c r="AC582" s="4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6.09</v>
      </c>
      <c r="AM582" s="2">
        <v>6.09</v>
      </c>
      <c r="AN582" s="2">
        <v>0</v>
      </c>
      <c r="AO582" s="2">
        <v>0</v>
      </c>
      <c r="AP582" s="2">
        <v>0</v>
      </c>
    </row>
    <row r="583" spans="1:42" x14ac:dyDescent="0.25">
      <c r="A583" s="1">
        <v>45915</v>
      </c>
      <c r="B583" t="s">
        <v>47</v>
      </c>
      <c r="C583">
        <v>649163</v>
      </c>
      <c r="D583">
        <v>2017683726</v>
      </c>
      <c r="E583" t="s">
        <v>755</v>
      </c>
      <c r="F583" t="s">
        <v>754</v>
      </c>
      <c r="G583" t="s">
        <v>50</v>
      </c>
      <c r="H583" t="s">
        <v>151</v>
      </c>
      <c r="I583" t="s">
        <v>306</v>
      </c>
      <c r="J583" t="s">
        <v>307</v>
      </c>
      <c r="K583">
        <v>649793</v>
      </c>
      <c r="L583" t="s">
        <v>152</v>
      </c>
      <c r="M583" t="s">
        <v>446</v>
      </c>
      <c r="N583" t="s">
        <v>56</v>
      </c>
      <c r="O583" s="1">
        <v>44974</v>
      </c>
      <c r="P583" s="1">
        <v>45947</v>
      </c>
      <c r="Q583" s="2">
        <v>31.88</v>
      </c>
      <c r="R583">
        <v>1</v>
      </c>
      <c r="S583" t="s">
        <v>57</v>
      </c>
      <c r="T583" t="s">
        <v>58</v>
      </c>
      <c r="U583" s="4">
        <v>0.06</v>
      </c>
      <c r="V583" s="2">
        <v>0</v>
      </c>
      <c r="W583">
        <v>0</v>
      </c>
      <c r="X583" t="s">
        <v>59</v>
      </c>
      <c r="Y583" t="s">
        <v>60</v>
      </c>
      <c r="Z583">
        <v>0</v>
      </c>
      <c r="AA583" s="2">
        <v>0</v>
      </c>
      <c r="AB583" s="2">
        <v>0</v>
      </c>
      <c r="AC583" s="4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1.91</v>
      </c>
      <c r="AM583" s="2">
        <v>1.91</v>
      </c>
      <c r="AN583" s="2">
        <v>0</v>
      </c>
      <c r="AO583" s="2">
        <v>0</v>
      </c>
      <c r="AP583" s="2">
        <v>0</v>
      </c>
    </row>
    <row r="584" spans="1:42" x14ac:dyDescent="0.25">
      <c r="A584" s="1">
        <v>45915</v>
      </c>
      <c r="B584" t="s">
        <v>47</v>
      </c>
      <c r="C584">
        <v>649163</v>
      </c>
      <c r="D584">
        <v>2019352254</v>
      </c>
      <c r="E584" t="s">
        <v>1049</v>
      </c>
      <c r="F584" t="s">
        <v>1048</v>
      </c>
      <c r="G584" t="s">
        <v>50</v>
      </c>
      <c r="H584" t="s">
        <v>51</v>
      </c>
      <c r="I584" t="s">
        <v>306</v>
      </c>
      <c r="J584" t="s">
        <v>307</v>
      </c>
      <c r="K584">
        <v>649247</v>
      </c>
      <c r="L584" t="s">
        <v>68</v>
      </c>
      <c r="M584" t="s">
        <v>69</v>
      </c>
      <c r="N584" t="s">
        <v>56</v>
      </c>
      <c r="O584" s="1">
        <v>45120</v>
      </c>
      <c r="P584" s="1">
        <v>45943</v>
      </c>
      <c r="Q584" s="2">
        <v>49.98</v>
      </c>
      <c r="R584">
        <v>1</v>
      </c>
      <c r="S584" t="s">
        <v>57</v>
      </c>
      <c r="T584" t="s">
        <v>58</v>
      </c>
      <c r="U584" s="4">
        <v>0.06</v>
      </c>
      <c r="V584" s="2">
        <v>0</v>
      </c>
      <c r="W584">
        <v>0</v>
      </c>
      <c r="X584" t="s">
        <v>59</v>
      </c>
      <c r="Y584" t="s">
        <v>60</v>
      </c>
      <c r="Z584">
        <v>0</v>
      </c>
      <c r="AA584" s="2">
        <v>0</v>
      </c>
      <c r="AB584" s="2">
        <v>0</v>
      </c>
      <c r="AC584" s="4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3</v>
      </c>
      <c r="AM584" s="2">
        <v>3</v>
      </c>
      <c r="AN584" s="2">
        <v>0</v>
      </c>
      <c r="AO584" s="2">
        <v>0</v>
      </c>
      <c r="AP584" s="2">
        <v>0</v>
      </c>
    </row>
    <row r="585" spans="1:42" x14ac:dyDescent="0.25">
      <c r="A585" s="1">
        <v>45915</v>
      </c>
      <c r="B585" t="s">
        <v>47</v>
      </c>
      <c r="C585">
        <v>649163</v>
      </c>
      <c r="D585">
        <v>2019766639</v>
      </c>
      <c r="E585" t="s">
        <v>1047</v>
      </c>
      <c r="F585" t="s">
        <v>92</v>
      </c>
      <c r="G585" t="s">
        <v>50</v>
      </c>
      <c r="H585" t="s">
        <v>93</v>
      </c>
      <c r="I585" t="s">
        <v>306</v>
      </c>
      <c r="J585" t="s">
        <v>307</v>
      </c>
      <c r="K585">
        <v>673059</v>
      </c>
      <c r="L585" t="s">
        <v>152</v>
      </c>
      <c r="M585" t="s">
        <v>153</v>
      </c>
      <c r="N585" t="s">
        <v>56</v>
      </c>
      <c r="O585" s="1">
        <v>45157</v>
      </c>
      <c r="P585" s="1">
        <v>45949</v>
      </c>
      <c r="Q585" s="2">
        <v>72.77</v>
      </c>
      <c r="R585">
        <v>1</v>
      </c>
      <c r="S585" t="s">
        <v>57</v>
      </c>
      <c r="T585" t="s">
        <v>58</v>
      </c>
      <c r="U585" s="4">
        <v>0.06</v>
      </c>
      <c r="V585" s="2">
        <v>0</v>
      </c>
      <c r="W585">
        <v>0</v>
      </c>
      <c r="X585" t="s">
        <v>59</v>
      </c>
      <c r="Y585" t="s">
        <v>60</v>
      </c>
      <c r="Z585">
        <v>0</v>
      </c>
      <c r="AA585" s="2">
        <v>0</v>
      </c>
      <c r="AB585" s="2">
        <v>0</v>
      </c>
      <c r="AC585" s="4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4.37</v>
      </c>
      <c r="AM585" s="2">
        <v>4.37</v>
      </c>
      <c r="AN585" s="2">
        <v>0</v>
      </c>
      <c r="AO585" s="2">
        <v>0</v>
      </c>
      <c r="AP585" s="2">
        <v>0</v>
      </c>
    </row>
    <row r="586" spans="1:42" x14ac:dyDescent="0.25">
      <c r="A586" s="1">
        <v>45915</v>
      </c>
      <c r="B586" t="s">
        <v>47</v>
      </c>
      <c r="C586">
        <v>649163</v>
      </c>
      <c r="D586">
        <v>2020037859</v>
      </c>
      <c r="E586" t="s">
        <v>1046</v>
      </c>
      <c r="F586" t="s">
        <v>49</v>
      </c>
      <c r="G586" t="s">
        <v>50</v>
      </c>
      <c r="H586" t="s">
        <v>51</v>
      </c>
      <c r="I586" t="s">
        <v>306</v>
      </c>
      <c r="J586" t="s">
        <v>307</v>
      </c>
      <c r="K586">
        <v>702406</v>
      </c>
      <c r="L586" t="s">
        <v>54</v>
      </c>
      <c r="M586" t="s">
        <v>55</v>
      </c>
      <c r="N586" t="s">
        <v>56</v>
      </c>
      <c r="O586" s="1">
        <v>45182</v>
      </c>
      <c r="P586" s="1">
        <v>45943</v>
      </c>
      <c r="Q586" s="2">
        <v>151.88</v>
      </c>
      <c r="R586">
        <v>1</v>
      </c>
      <c r="S586" t="s">
        <v>57</v>
      </c>
      <c r="T586" t="s">
        <v>58</v>
      </c>
      <c r="U586" s="4">
        <v>0.06</v>
      </c>
      <c r="V586" s="2">
        <v>0</v>
      </c>
      <c r="W586">
        <v>0</v>
      </c>
      <c r="X586" t="s">
        <v>59</v>
      </c>
      <c r="Y586" t="s">
        <v>60</v>
      </c>
      <c r="Z586">
        <v>0</v>
      </c>
      <c r="AA586" s="2">
        <v>0</v>
      </c>
      <c r="AB586" s="2">
        <v>0</v>
      </c>
      <c r="AC586" s="4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9.11</v>
      </c>
      <c r="AM586" s="2">
        <v>9.11</v>
      </c>
      <c r="AN586" s="2">
        <v>0</v>
      </c>
      <c r="AO586" s="2">
        <v>0</v>
      </c>
      <c r="AP586" s="2">
        <v>0</v>
      </c>
    </row>
    <row r="587" spans="1:42" x14ac:dyDescent="0.25">
      <c r="A587" s="1">
        <v>45915</v>
      </c>
      <c r="B587" t="s">
        <v>47</v>
      </c>
      <c r="C587">
        <v>649163</v>
      </c>
      <c r="D587">
        <v>2020039861</v>
      </c>
      <c r="E587" t="s">
        <v>613</v>
      </c>
      <c r="F587" t="s">
        <v>1045</v>
      </c>
      <c r="G587" t="s">
        <v>50</v>
      </c>
      <c r="H587" t="s">
        <v>93</v>
      </c>
      <c r="I587" t="s">
        <v>306</v>
      </c>
      <c r="J587" t="s">
        <v>307</v>
      </c>
      <c r="K587">
        <v>673059</v>
      </c>
      <c r="L587" t="s">
        <v>152</v>
      </c>
      <c r="M587" t="s">
        <v>153</v>
      </c>
      <c r="N587" t="s">
        <v>56</v>
      </c>
      <c r="O587" s="1">
        <v>45182</v>
      </c>
      <c r="P587" s="1">
        <v>45943</v>
      </c>
      <c r="Q587" s="2">
        <v>53.57</v>
      </c>
      <c r="R587">
        <v>1</v>
      </c>
      <c r="S587" t="s">
        <v>57</v>
      </c>
      <c r="T587" t="s">
        <v>58</v>
      </c>
      <c r="U587" s="4">
        <v>0.06</v>
      </c>
      <c r="V587" s="2">
        <v>0</v>
      </c>
      <c r="W587">
        <v>0</v>
      </c>
      <c r="X587" t="s">
        <v>59</v>
      </c>
      <c r="Y587" t="s">
        <v>60</v>
      </c>
      <c r="Z587">
        <v>0</v>
      </c>
      <c r="AA587" s="2">
        <v>0</v>
      </c>
      <c r="AB587" s="2">
        <v>0</v>
      </c>
      <c r="AC587" s="4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3.21</v>
      </c>
      <c r="AM587" s="2">
        <v>3.21</v>
      </c>
      <c r="AN587" s="2">
        <v>0</v>
      </c>
      <c r="AO587" s="2">
        <v>0</v>
      </c>
      <c r="AP587" s="2">
        <v>0</v>
      </c>
    </row>
    <row r="588" spans="1:42" x14ac:dyDescent="0.25">
      <c r="A588" s="1">
        <v>45915</v>
      </c>
      <c r="B588" t="s">
        <v>47</v>
      </c>
      <c r="C588">
        <v>649163</v>
      </c>
      <c r="D588">
        <v>2020776384</v>
      </c>
      <c r="E588" t="s">
        <v>1044</v>
      </c>
      <c r="F588" t="s">
        <v>1043</v>
      </c>
      <c r="G588" t="s">
        <v>50</v>
      </c>
      <c r="H588" t="s">
        <v>51</v>
      </c>
      <c r="I588" t="s">
        <v>306</v>
      </c>
      <c r="J588" t="s">
        <v>307</v>
      </c>
      <c r="K588">
        <v>702406</v>
      </c>
      <c r="L588" t="s">
        <v>54</v>
      </c>
      <c r="M588" t="s">
        <v>55</v>
      </c>
      <c r="N588" t="s">
        <v>56</v>
      </c>
      <c r="O588" s="1">
        <v>45244</v>
      </c>
      <c r="P588" s="1">
        <v>45944</v>
      </c>
      <c r="Q588" s="2">
        <v>119.58</v>
      </c>
      <c r="R588">
        <v>1</v>
      </c>
      <c r="S588" t="s">
        <v>57</v>
      </c>
      <c r="T588" t="s">
        <v>58</v>
      </c>
      <c r="U588" s="4">
        <v>0.06</v>
      </c>
      <c r="V588" s="2">
        <v>0</v>
      </c>
      <c r="W588">
        <v>0</v>
      </c>
      <c r="X588" t="s">
        <v>59</v>
      </c>
      <c r="Y588" t="s">
        <v>60</v>
      </c>
      <c r="Z588">
        <v>0</v>
      </c>
      <c r="AA588" s="2">
        <v>0</v>
      </c>
      <c r="AB588" s="2">
        <v>0</v>
      </c>
      <c r="AC588" s="4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7.17</v>
      </c>
      <c r="AM588" s="2">
        <v>7.17</v>
      </c>
      <c r="AN588" s="2">
        <v>0</v>
      </c>
      <c r="AO588" s="2">
        <v>0</v>
      </c>
      <c r="AP588" s="2">
        <v>0</v>
      </c>
    </row>
    <row r="589" spans="1:42" x14ac:dyDescent="0.25">
      <c r="A589" s="1">
        <v>45915</v>
      </c>
      <c r="B589" t="s">
        <v>47</v>
      </c>
      <c r="C589">
        <v>649163</v>
      </c>
      <c r="D589">
        <v>2021470237</v>
      </c>
      <c r="E589" t="s">
        <v>1042</v>
      </c>
      <c r="F589" t="s">
        <v>153</v>
      </c>
      <c r="G589" t="s">
        <v>50</v>
      </c>
      <c r="H589" t="s">
        <v>51</v>
      </c>
      <c r="I589" t="s">
        <v>306</v>
      </c>
      <c r="J589" t="s">
        <v>307</v>
      </c>
      <c r="K589">
        <v>728134</v>
      </c>
      <c r="L589" t="s">
        <v>322</v>
      </c>
      <c r="M589" t="s">
        <v>323</v>
      </c>
      <c r="N589" t="s">
        <v>56</v>
      </c>
      <c r="O589" s="1">
        <v>45310</v>
      </c>
      <c r="P589" s="1">
        <v>45949</v>
      </c>
      <c r="Q589" s="2">
        <v>60.89</v>
      </c>
      <c r="R589">
        <v>1</v>
      </c>
      <c r="S589" t="s">
        <v>57</v>
      </c>
      <c r="T589" t="s">
        <v>58</v>
      </c>
      <c r="U589" s="4">
        <v>0.06</v>
      </c>
      <c r="V589" s="2">
        <v>0</v>
      </c>
      <c r="W589">
        <v>0</v>
      </c>
      <c r="X589" t="s">
        <v>59</v>
      </c>
      <c r="Y589" t="s">
        <v>60</v>
      </c>
      <c r="Z589">
        <v>0</v>
      </c>
      <c r="AA589" s="2">
        <v>0</v>
      </c>
      <c r="AB589" s="2">
        <v>0</v>
      </c>
      <c r="AC589" s="4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3.65</v>
      </c>
      <c r="AM589" s="2">
        <v>3.65</v>
      </c>
      <c r="AN589" s="2">
        <v>0</v>
      </c>
      <c r="AO589" s="2">
        <v>0</v>
      </c>
      <c r="AP589" s="2">
        <v>0</v>
      </c>
    </row>
    <row r="590" spans="1:42" x14ac:dyDescent="0.25">
      <c r="A590" s="1">
        <v>45915</v>
      </c>
      <c r="B590" t="s">
        <v>47</v>
      </c>
      <c r="C590">
        <v>649163</v>
      </c>
      <c r="D590">
        <v>2022254781</v>
      </c>
      <c r="E590" t="s">
        <v>740</v>
      </c>
      <c r="F590" t="s">
        <v>145</v>
      </c>
      <c r="G590" t="s">
        <v>50</v>
      </c>
      <c r="H590" t="s">
        <v>151</v>
      </c>
      <c r="I590" t="s">
        <v>306</v>
      </c>
      <c r="J590" t="s">
        <v>307</v>
      </c>
      <c r="K590">
        <v>673059</v>
      </c>
      <c r="L590" t="s">
        <v>152</v>
      </c>
      <c r="M590" t="s">
        <v>153</v>
      </c>
      <c r="N590" t="s">
        <v>56</v>
      </c>
      <c r="O590" s="1">
        <v>45364</v>
      </c>
      <c r="P590" s="1">
        <v>45943</v>
      </c>
      <c r="Q590" s="2">
        <v>136.49</v>
      </c>
      <c r="R590">
        <v>1</v>
      </c>
      <c r="S590" t="s">
        <v>57</v>
      </c>
      <c r="T590" t="s">
        <v>58</v>
      </c>
      <c r="U590" s="4">
        <v>0.06</v>
      </c>
      <c r="V590" s="2">
        <v>0</v>
      </c>
      <c r="W590">
        <v>0</v>
      </c>
      <c r="X590" t="s">
        <v>59</v>
      </c>
      <c r="Y590" t="s">
        <v>60</v>
      </c>
      <c r="Z590">
        <v>0</v>
      </c>
      <c r="AA590" s="2">
        <v>0</v>
      </c>
      <c r="AB590" s="2">
        <v>0</v>
      </c>
      <c r="AC590" s="4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8.19</v>
      </c>
      <c r="AM590" s="2">
        <v>8.19</v>
      </c>
      <c r="AN590" s="2">
        <v>0</v>
      </c>
      <c r="AO590" s="2">
        <v>0</v>
      </c>
      <c r="AP590" s="2">
        <v>0</v>
      </c>
    </row>
    <row r="591" spans="1:42" x14ac:dyDescent="0.25">
      <c r="A591" s="1">
        <v>45915</v>
      </c>
      <c r="B591" t="s">
        <v>47</v>
      </c>
      <c r="C591">
        <v>649163</v>
      </c>
      <c r="D591">
        <v>2022747854</v>
      </c>
      <c r="E591" t="s">
        <v>816</v>
      </c>
      <c r="F591" t="s">
        <v>344</v>
      </c>
      <c r="G591" t="s">
        <v>50</v>
      </c>
      <c r="H591" t="s">
        <v>51</v>
      </c>
      <c r="I591" t="s">
        <v>306</v>
      </c>
      <c r="J591" t="s">
        <v>307</v>
      </c>
      <c r="K591">
        <v>751867</v>
      </c>
      <c r="L591" t="s">
        <v>84</v>
      </c>
      <c r="M591" t="s">
        <v>85</v>
      </c>
      <c r="N591" t="s">
        <v>56</v>
      </c>
      <c r="O591" s="1">
        <v>45413</v>
      </c>
      <c r="P591" s="1">
        <v>45931</v>
      </c>
      <c r="Q591" s="2">
        <v>36.11</v>
      </c>
      <c r="R591">
        <v>1</v>
      </c>
      <c r="S591" t="s">
        <v>57</v>
      </c>
      <c r="T591" t="s">
        <v>58</v>
      </c>
      <c r="U591" s="4">
        <v>0.06</v>
      </c>
      <c r="V591" s="2">
        <v>0</v>
      </c>
      <c r="W591">
        <v>0</v>
      </c>
      <c r="X591" t="s">
        <v>59</v>
      </c>
      <c r="Y591" t="s">
        <v>60</v>
      </c>
      <c r="Z591">
        <v>0</v>
      </c>
      <c r="AA591" s="2">
        <v>0</v>
      </c>
      <c r="AB591" s="2">
        <v>0</v>
      </c>
      <c r="AC591" s="4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2.17</v>
      </c>
      <c r="AM591" s="2">
        <v>2.17</v>
      </c>
      <c r="AN591" s="2">
        <v>0</v>
      </c>
      <c r="AO591" s="2">
        <v>0</v>
      </c>
      <c r="AP591" s="2">
        <v>0</v>
      </c>
    </row>
    <row r="592" spans="1:42" x14ac:dyDescent="0.25">
      <c r="A592" s="1">
        <v>45915</v>
      </c>
      <c r="B592" t="s">
        <v>47</v>
      </c>
      <c r="C592">
        <v>649163</v>
      </c>
      <c r="D592">
        <v>2023051089</v>
      </c>
      <c r="E592" t="s">
        <v>813</v>
      </c>
      <c r="F592" t="s">
        <v>251</v>
      </c>
      <c r="G592" t="s">
        <v>50</v>
      </c>
      <c r="H592" t="s">
        <v>51</v>
      </c>
      <c r="I592" t="s">
        <v>306</v>
      </c>
      <c r="J592" t="s">
        <v>307</v>
      </c>
      <c r="K592">
        <v>751867</v>
      </c>
      <c r="L592" t="s">
        <v>84</v>
      </c>
      <c r="M592" t="s">
        <v>85</v>
      </c>
      <c r="N592" t="s">
        <v>56</v>
      </c>
      <c r="O592" s="1">
        <v>45422</v>
      </c>
      <c r="P592" s="1">
        <v>45940</v>
      </c>
      <c r="Q592" s="2">
        <v>24.88</v>
      </c>
      <c r="R592">
        <v>1</v>
      </c>
      <c r="S592" t="s">
        <v>57</v>
      </c>
      <c r="T592" t="s">
        <v>58</v>
      </c>
      <c r="U592" s="4">
        <v>0.06</v>
      </c>
      <c r="V592" s="2">
        <v>0</v>
      </c>
      <c r="W592">
        <v>0</v>
      </c>
      <c r="X592" t="s">
        <v>59</v>
      </c>
      <c r="Y592" t="s">
        <v>60</v>
      </c>
      <c r="Z592">
        <v>0</v>
      </c>
      <c r="AA592" s="2">
        <v>0</v>
      </c>
      <c r="AB592" s="2">
        <v>0</v>
      </c>
      <c r="AC592" s="4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1.49</v>
      </c>
      <c r="AM592" s="2">
        <v>1.49</v>
      </c>
      <c r="AN592" s="2">
        <v>0</v>
      </c>
      <c r="AO592" s="2">
        <v>0</v>
      </c>
      <c r="AP592" s="2">
        <v>0</v>
      </c>
    </row>
    <row r="593" spans="1:42" x14ac:dyDescent="0.25">
      <c r="A593" s="1">
        <v>45915</v>
      </c>
      <c r="B593" t="s">
        <v>47</v>
      </c>
      <c r="C593">
        <v>649163</v>
      </c>
      <c r="D593">
        <v>2023245977</v>
      </c>
      <c r="E593" t="s">
        <v>812</v>
      </c>
      <c r="F593" t="s">
        <v>811</v>
      </c>
      <c r="G593" t="s">
        <v>50</v>
      </c>
      <c r="H593" t="s">
        <v>51</v>
      </c>
      <c r="I593" t="s">
        <v>306</v>
      </c>
      <c r="J593" t="s">
        <v>307</v>
      </c>
      <c r="K593">
        <v>650218</v>
      </c>
      <c r="L593" t="s">
        <v>73</v>
      </c>
      <c r="M593" t="s">
        <v>74</v>
      </c>
      <c r="N593" t="s">
        <v>56</v>
      </c>
      <c r="O593" s="1">
        <v>45444</v>
      </c>
      <c r="P593" s="1">
        <v>45931</v>
      </c>
      <c r="Q593" s="2">
        <v>24.88</v>
      </c>
      <c r="R593">
        <v>1</v>
      </c>
      <c r="S593" t="s">
        <v>57</v>
      </c>
      <c r="T593" t="s">
        <v>58</v>
      </c>
      <c r="U593" s="4">
        <v>0.06</v>
      </c>
      <c r="V593" s="2">
        <v>0</v>
      </c>
      <c r="W593">
        <v>0</v>
      </c>
      <c r="X593" t="s">
        <v>59</v>
      </c>
      <c r="Y593" t="s">
        <v>60</v>
      </c>
      <c r="Z593">
        <v>0</v>
      </c>
      <c r="AA593" s="2">
        <v>0</v>
      </c>
      <c r="AB593" s="2">
        <v>0</v>
      </c>
      <c r="AC593" s="4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1.49</v>
      </c>
      <c r="AM593" s="2">
        <v>1.49</v>
      </c>
      <c r="AN593" s="2">
        <v>0</v>
      </c>
      <c r="AO593" s="2">
        <v>0</v>
      </c>
      <c r="AP593" s="2">
        <v>0</v>
      </c>
    </row>
    <row r="594" spans="1:42" x14ac:dyDescent="0.25">
      <c r="A594" s="1">
        <v>45915</v>
      </c>
      <c r="B594" t="s">
        <v>47</v>
      </c>
      <c r="C594">
        <v>649163</v>
      </c>
      <c r="D594">
        <v>2023316630</v>
      </c>
      <c r="E594" t="s">
        <v>1041</v>
      </c>
      <c r="F594" t="s">
        <v>82</v>
      </c>
      <c r="G594" t="s">
        <v>50</v>
      </c>
      <c r="H594" t="s">
        <v>180</v>
      </c>
      <c r="I594" t="s">
        <v>306</v>
      </c>
      <c r="J594" t="s">
        <v>307</v>
      </c>
      <c r="K594">
        <v>673059</v>
      </c>
      <c r="L594" t="s">
        <v>152</v>
      </c>
      <c r="M594" t="s">
        <v>153</v>
      </c>
      <c r="N594" t="s">
        <v>56</v>
      </c>
      <c r="O594" s="1">
        <v>45461</v>
      </c>
      <c r="P594" s="1">
        <v>45948</v>
      </c>
      <c r="Q594" s="2">
        <v>50.33</v>
      </c>
      <c r="R594">
        <v>1</v>
      </c>
      <c r="S594" t="s">
        <v>57</v>
      </c>
      <c r="T594" t="s">
        <v>58</v>
      </c>
      <c r="U594" s="4">
        <v>0.06</v>
      </c>
      <c r="V594" s="2">
        <v>0</v>
      </c>
      <c r="W594">
        <v>0</v>
      </c>
      <c r="X594" t="s">
        <v>59</v>
      </c>
      <c r="Y594" t="s">
        <v>60</v>
      </c>
      <c r="Z594">
        <v>0</v>
      </c>
      <c r="AA594" s="2">
        <v>0</v>
      </c>
      <c r="AB594" s="2">
        <v>0</v>
      </c>
      <c r="AC594" s="4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3.02</v>
      </c>
      <c r="AM594" s="2">
        <v>3.02</v>
      </c>
      <c r="AN594" s="2">
        <v>0</v>
      </c>
      <c r="AO594" s="2">
        <v>0</v>
      </c>
      <c r="AP594" s="2">
        <v>0</v>
      </c>
    </row>
    <row r="595" spans="1:42" x14ac:dyDescent="0.25">
      <c r="A595" s="1">
        <v>45915</v>
      </c>
      <c r="B595" t="s">
        <v>47</v>
      </c>
      <c r="C595">
        <v>649163</v>
      </c>
      <c r="D595">
        <v>2023499226</v>
      </c>
      <c r="E595" t="s">
        <v>810</v>
      </c>
      <c r="F595" t="s">
        <v>205</v>
      </c>
      <c r="G595" t="s">
        <v>50</v>
      </c>
      <c r="H595" t="s">
        <v>83</v>
      </c>
      <c r="I595" t="s">
        <v>306</v>
      </c>
      <c r="J595" t="s">
        <v>307</v>
      </c>
      <c r="K595">
        <v>751867</v>
      </c>
      <c r="L595" t="s">
        <v>84</v>
      </c>
      <c r="M595" t="s">
        <v>85</v>
      </c>
      <c r="N595" t="s">
        <v>56</v>
      </c>
      <c r="O595" s="1">
        <v>45456</v>
      </c>
      <c r="P595" s="1">
        <v>45943</v>
      </c>
      <c r="Q595" s="2">
        <v>33.479999999999997</v>
      </c>
      <c r="R595">
        <v>1</v>
      </c>
      <c r="S595" t="s">
        <v>57</v>
      </c>
      <c r="T595" t="s">
        <v>58</v>
      </c>
      <c r="U595" s="4">
        <v>0.06</v>
      </c>
      <c r="V595" s="2">
        <v>0</v>
      </c>
      <c r="W595">
        <v>0</v>
      </c>
      <c r="X595" t="s">
        <v>59</v>
      </c>
      <c r="Y595" t="s">
        <v>60</v>
      </c>
      <c r="Z595">
        <v>0</v>
      </c>
      <c r="AA595" s="2">
        <v>0</v>
      </c>
      <c r="AB595" s="2">
        <v>0</v>
      </c>
      <c r="AC595" s="4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2.0099999999999998</v>
      </c>
      <c r="AM595" s="2">
        <v>2.0099999999999998</v>
      </c>
      <c r="AN595" s="2">
        <v>0</v>
      </c>
      <c r="AO595" s="2">
        <v>0</v>
      </c>
      <c r="AP595" s="2">
        <v>0</v>
      </c>
    </row>
    <row r="596" spans="1:42" x14ac:dyDescent="0.25">
      <c r="A596" s="1">
        <v>45915</v>
      </c>
      <c r="B596" t="s">
        <v>47</v>
      </c>
      <c r="C596">
        <v>649163</v>
      </c>
      <c r="D596">
        <v>2024356430</v>
      </c>
      <c r="E596" t="s">
        <v>736</v>
      </c>
      <c r="F596" t="s">
        <v>187</v>
      </c>
      <c r="G596" t="s">
        <v>50</v>
      </c>
      <c r="H596" t="s">
        <v>93</v>
      </c>
      <c r="I596" t="s">
        <v>306</v>
      </c>
      <c r="J596" t="s">
        <v>307</v>
      </c>
      <c r="K596">
        <v>767312</v>
      </c>
      <c r="L596" t="s">
        <v>122</v>
      </c>
      <c r="M596" t="s">
        <v>123</v>
      </c>
      <c r="N596" t="s">
        <v>56</v>
      </c>
      <c r="O596" s="1">
        <v>45517</v>
      </c>
      <c r="P596" s="1">
        <v>45943</v>
      </c>
      <c r="Q596" s="2">
        <v>27.22</v>
      </c>
      <c r="R596">
        <v>1</v>
      </c>
      <c r="S596" t="s">
        <v>57</v>
      </c>
      <c r="T596" t="s">
        <v>58</v>
      </c>
      <c r="U596" s="4">
        <v>0.06</v>
      </c>
      <c r="V596" s="2">
        <v>0</v>
      </c>
      <c r="W596">
        <v>0</v>
      </c>
      <c r="X596" t="s">
        <v>59</v>
      </c>
      <c r="Y596" t="s">
        <v>60</v>
      </c>
      <c r="Z596">
        <v>0</v>
      </c>
      <c r="AA596" s="2">
        <v>0</v>
      </c>
      <c r="AB596" s="2">
        <v>0</v>
      </c>
      <c r="AC596" s="4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1.63</v>
      </c>
      <c r="AM596" s="2">
        <v>1.63</v>
      </c>
      <c r="AN596" s="2">
        <v>0</v>
      </c>
      <c r="AO596" s="2">
        <v>0</v>
      </c>
      <c r="AP596" s="2">
        <v>0</v>
      </c>
    </row>
    <row r="597" spans="1:42" x14ac:dyDescent="0.25">
      <c r="A597" s="1">
        <v>45915</v>
      </c>
      <c r="B597" t="s">
        <v>47</v>
      </c>
      <c r="C597">
        <v>649163</v>
      </c>
      <c r="D597">
        <v>2024834571</v>
      </c>
      <c r="E597" t="s">
        <v>734</v>
      </c>
      <c r="F597" t="s">
        <v>409</v>
      </c>
      <c r="G597" t="s">
        <v>50</v>
      </c>
      <c r="H597" t="s">
        <v>405</v>
      </c>
      <c r="I597" t="s">
        <v>306</v>
      </c>
      <c r="J597" t="s">
        <v>307</v>
      </c>
      <c r="K597">
        <v>767312</v>
      </c>
      <c r="L597" t="s">
        <v>122</v>
      </c>
      <c r="M597" t="s">
        <v>123</v>
      </c>
      <c r="N597" t="s">
        <v>56</v>
      </c>
      <c r="O597" s="1">
        <v>45549</v>
      </c>
      <c r="P597" s="1">
        <v>45944</v>
      </c>
      <c r="Q597" s="2">
        <v>75.599999999999994</v>
      </c>
      <c r="R597">
        <v>1</v>
      </c>
      <c r="S597" t="s">
        <v>57</v>
      </c>
      <c r="T597" t="s">
        <v>58</v>
      </c>
      <c r="U597" s="4">
        <v>0.06</v>
      </c>
      <c r="V597" s="2">
        <v>0</v>
      </c>
      <c r="W597">
        <v>0</v>
      </c>
      <c r="X597" t="s">
        <v>59</v>
      </c>
      <c r="Y597" t="s">
        <v>60</v>
      </c>
      <c r="Z597">
        <v>0</v>
      </c>
      <c r="AA597" s="2">
        <v>0</v>
      </c>
      <c r="AB597" s="2">
        <v>0</v>
      </c>
      <c r="AC597" s="4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4.54</v>
      </c>
      <c r="AM597" s="2">
        <v>4.54</v>
      </c>
      <c r="AN597" s="2">
        <v>0</v>
      </c>
      <c r="AO597" s="2">
        <v>0</v>
      </c>
      <c r="AP597" s="2">
        <v>0</v>
      </c>
    </row>
    <row r="598" spans="1:42" x14ac:dyDescent="0.25">
      <c r="A598" s="1">
        <v>45915</v>
      </c>
      <c r="B598" t="s">
        <v>47</v>
      </c>
      <c r="C598">
        <v>649163</v>
      </c>
      <c r="D598">
        <v>2024853073</v>
      </c>
      <c r="E598" t="s">
        <v>733</v>
      </c>
      <c r="F598" t="s">
        <v>732</v>
      </c>
      <c r="G598" t="s">
        <v>50</v>
      </c>
      <c r="H598" t="s">
        <v>151</v>
      </c>
      <c r="I598" t="s">
        <v>306</v>
      </c>
      <c r="J598" t="s">
        <v>307</v>
      </c>
      <c r="K598">
        <v>650218</v>
      </c>
      <c r="L598" t="s">
        <v>73</v>
      </c>
      <c r="M598" t="s">
        <v>74</v>
      </c>
      <c r="N598" t="s">
        <v>56</v>
      </c>
      <c r="O598" s="1">
        <v>45550</v>
      </c>
      <c r="P598" s="1">
        <v>45945</v>
      </c>
      <c r="Q598" s="2">
        <v>56.53</v>
      </c>
      <c r="R598">
        <v>1</v>
      </c>
      <c r="S598" t="s">
        <v>57</v>
      </c>
      <c r="T598" t="s">
        <v>58</v>
      </c>
      <c r="U598" s="4">
        <v>0.06</v>
      </c>
      <c r="V598" s="2">
        <v>0</v>
      </c>
      <c r="W598">
        <v>0</v>
      </c>
      <c r="X598" t="s">
        <v>59</v>
      </c>
      <c r="Y598" t="s">
        <v>60</v>
      </c>
      <c r="Z598">
        <v>0</v>
      </c>
      <c r="AA598" s="2">
        <v>0</v>
      </c>
      <c r="AB598" s="2">
        <v>0</v>
      </c>
      <c r="AC598" s="4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3.39</v>
      </c>
      <c r="AM598" s="2">
        <v>3.39</v>
      </c>
      <c r="AN598" s="2">
        <v>0</v>
      </c>
      <c r="AO598" s="2">
        <v>0</v>
      </c>
      <c r="AP598" s="2">
        <v>0</v>
      </c>
    </row>
    <row r="599" spans="1:42" x14ac:dyDescent="0.25">
      <c r="A599" s="1">
        <v>45915</v>
      </c>
      <c r="B599" t="s">
        <v>47</v>
      </c>
      <c r="C599">
        <v>649163</v>
      </c>
      <c r="D599">
        <v>2024865456</v>
      </c>
      <c r="E599" t="s">
        <v>1040</v>
      </c>
      <c r="F599" t="s">
        <v>277</v>
      </c>
      <c r="G599" t="s">
        <v>50</v>
      </c>
      <c r="H599" t="s">
        <v>112</v>
      </c>
      <c r="I599" t="s">
        <v>306</v>
      </c>
      <c r="J599" t="s">
        <v>307</v>
      </c>
      <c r="K599">
        <v>767312</v>
      </c>
      <c r="L599" t="s">
        <v>122</v>
      </c>
      <c r="M599" t="s">
        <v>123</v>
      </c>
      <c r="N599" t="s">
        <v>56</v>
      </c>
      <c r="O599" s="1">
        <v>45549</v>
      </c>
      <c r="P599" s="1">
        <v>45944</v>
      </c>
      <c r="Q599" s="2">
        <v>27.67</v>
      </c>
      <c r="R599">
        <v>1</v>
      </c>
      <c r="S599" t="s">
        <v>57</v>
      </c>
      <c r="T599" t="s">
        <v>58</v>
      </c>
      <c r="U599" s="4">
        <v>0.06</v>
      </c>
      <c r="V599" s="2">
        <v>0</v>
      </c>
      <c r="W599">
        <v>0</v>
      </c>
      <c r="X599" t="s">
        <v>59</v>
      </c>
      <c r="Y599" t="s">
        <v>60</v>
      </c>
      <c r="Z599">
        <v>0</v>
      </c>
      <c r="AA599" s="2">
        <v>0</v>
      </c>
      <c r="AB599" s="2">
        <v>0</v>
      </c>
      <c r="AC599" s="4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1.66</v>
      </c>
      <c r="AM599" s="2">
        <v>1.66</v>
      </c>
      <c r="AN599" s="2">
        <v>0</v>
      </c>
      <c r="AO599" s="2">
        <v>0</v>
      </c>
      <c r="AP599" s="2">
        <v>0</v>
      </c>
    </row>
    <row r="600" spans="1:42" x14ac:dyDescent="0.25">
      <c r="A600" s="1">
        <v>45915</v>
      </c>
      <c r="B600" t="s">
        <v>47</v>
      </c>
      <c r="C600">
        <v>649163</v>
      </c>
      <c r="D600">
        <v>2025154617</v>
      </c>
      <c r="E600" t="s">
        <v>345</v>
      </c>
      <c r="F600" t="s">
        <v>346</v>
      </c>
      <c r="G600" t="s">
        <v>50</v>
      </c>
      <c r="H600" t="s">
        <v>115</v>
      </c>
      <c r="I600" t="s">
        <v>306</v>
      </c>
      <c r="J600" t="s">
        <v>307</v>
      </c>
      <c r="K600">
        <v>767312</v>
      </c>
      <c r="L600" t="s">
        <v>122</v>
      </c>
      <c r="M600" t="s">
        <v>123</v>
      </c>
      <c r="N600" t="s">
        <v>56</v>
      </c>
      <c r="O600" s="1">
        <v>45581</v>
      </c>
      <c r="P600" s="1">
        <v>45946</v>
      </c>
      <c r="Q600" s="2">
        <v>27.52</v>
      </c>
      <c r="R600">
        <v>1</v>
      </c>
      <c r="S600" t="s">
        <v>57</v>
      </c>
      <c r="T600" t="s">
        <v>58</v>
      </c>
      <c r="U600" s="3">
        <v>0.375</v>
      </c>
      <c r="V600" s="2">
        <v>0</v>
      </c>
      <c r="W600">
        <v>0</v>
      </c>
      <c r="X600" t="s">
        <v>70</v>
      </c>
      <c r="Y600" t="s">
        <v>60</v>
      </c>
      <c r="Z600">
        <v>0</v>
      </c>
      <c r="AA600" s="2">
        <v>0</v>
      </c>
      <c r="AB600" s="2">
        <v>0</v>
      </c>
      <c r="AC600" s="4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10.32</v>
      </c>
      <c r="AM600" s="2">
        <v>10.32</v>
      </c>
      <c r="AN600" s="2">
        <v>0</v>
      </c>
      <c r="AO600" s="2">
        <v>0</v>
      </c>
      <c r="AP600" s="2">
        <v>0</v>
      </c>
    </row>
    <row r="601" spans="1:42" x14ac:dyDescent="0.25">
      <c r="A601" s="1">
        <v>45915</v>
      </c>
      <c r="B601" t="s">
        <v>47</v>
      </c>
      <c r="C601">
        <v>649163</v>
      </c>
      <c r="D601">
        <v>2025254889</v>
      </c>
      <c r="E601" t="s">
        <v>1027</v>
      </c>
      <c r="F601" t="s">
        <v>1026</v>
      </c>
      <c r="G601" t="s">
        <v>50</v>
      </c>
      <c r="H601" t="s">
        <v>400</v>
      </c>
      <c r="I601" t="s">
        <v>306</v>
      </c>
      <c r="J601" t="s">
        <v>307</v>
      </c>
      <c r="K601">
        <v>767312</v>
      </c>
      <c r="L601" t="s">
        <v>122</v>
      </c>
      <c r="M601" t="s">
        <v>123</v>
      </c>
      <c r="N601" t="s">
        <v>56</v>
      </c>
      <c r="O601" s="1">
        <v>45576</v>
      </c>
      <c r="P601" s="1">
        <v>45941</v>
      </c>
      <c r="Q601" s="2">
        <v>23.54</v>
      </c>
      <c r="R601">
        <v>1</v>
      </c>
      <c r="S601" t="s">
        <v>57</v>
      </c>
      <c r="T601" t="s">
        <v>58</v>
      </c>
      <c r="U601" s="3">
        <v>0.375</v>
      </c>
      <c r="V601" s="2">
        <v>0</v>
      </c>
      <c r="W601">
        <v>0</v>
      </c>
      <c r="X601" t="s">
        <v>70</v>
      </c>
      <c r="Y601" t="s">
        <v>60</v>
      </c>
      <c r="Z601">
        <v>0</v>
      </c>
      <c r="AA601" s="2">
        <v>0</v>
      </c>
      <c r="AB601" s="2">
        <v>0</v>
      </c>
      <c r="AC601" s="4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8.83</v>
      </c>
      <c r="AM601" s="2">
        <v>8.83</v>
      </c>
      <c r="AN601" s="2">
        <v>0</v>
      </c>
      <c r="AO601" s="2">
        <v>0</v>
      </c>
      <c r="AP601" s="2">
        <v>0</v>
      </c>
    </row>
    <row r="602" spans="1:42" x14ac:dyDescent="0.25">
      <c r="A602" s="1">
        <v>45915</v>
      </c>
      <c r="B602" t="s">
        <v>47</v>
      </c>
      <c r="C602">
        <v>649163</v>
      </c>
      <c r="D602">
        <v>2025305259</v>
      </c>
      <c r="E602" t="s">
        <v>1025</v>
      </c>
      <c r="F602" t="s">
        <v>630</v>
      </c>
      <c r="G602" t="s">
        <v>50</v>
      </c>
      <c r="H602" t="s">
        <v>93</v>
      </c>
      <c r="I602" t="s">
        <v>306</v>
      </c>
      <c r="J602" t="s">
        <v>307</v>
      </c>
      <c r="K602">
        <v>766747</v>
      </c>
      <c r="L602" t="s">
        <v>352</v>
      </c>
      <c r="M602" t="s">
        <v>49</v>
      </c>
      <c r="N602" t="s">
        <v>56</v>
      </c>
      <c r="O602" s="1">
        <v>45602</v>
      </c>
      <c r="P602" s="1">
        <v>45936</v>
      </c>
      <c r="Q602" s="2">
        <v>-7.93</v>
      </c>
      <c r="R602">
        <v>1</v>
      </c>
      <c r="S602" t="s">
        <v>57</v>
      </c>
      <c r="T602" t="s">
        <v>58</v>
      </c>
      <c r="U602" s="3">
        <v>0.375</v>
      </c>
      <c r="V602" s="2">
        <v>0</v>
      </c>
      <c r="W602">
        <v>-1</v>
      </c>
      <c r="X602" t="s">
        <v>70</v>
      </c>
      <c r="Y602" t="s">
        <v>60</v>
      </c>
      <c r="Z602">
        <v>0</v>
      </c>
      <c r="AA602" s="2">
        <v>0</v>
      </c>
      <c r="AB602" s="2">
        <v>0</v>
      </c>
      <c r="AC602" s="4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-2.97</v>
      </c>
      <c r="AM602" s="2">
        <v>-2.97</v>
      </c>
      <c r="AN602" s="2">
        <v>0</v>
      </c>
      <c r="AO602" s="2">
        <v>0</v>
      </c>
      <c r="AP602" s="2">
        <v>0</v>
      </c>
    </row>
    <row r="603" spans="1:42" x14ac:dyDescent="0.25">
      <c r="A603" s="1">
        <v>45915</v>
      </c>
      <c r="B603" t="s">
        <v>47</v>
      </c>
      <c r="C603">
        <v>649163</v>
      </c>
      <c r="D603">
        <v>2025316508</v>
      </c>
      <c r="E603" t="s">
        <v>1024</v>
      </c>
      <c r="F603" t="s">
        <v>163</v>
      </c>
      <c r="G603" t="s">
        <v>50</v>
      </c>
      <c r="H603" t="s">
        <v>157</v>
      </c>
      <c r="I603" t="s">
        <v>306</v>
      </c>
      <c r="J603" t="s">
        <v>307</v>
      </c>
      <c r="K603">
        <v>767312</v>
      </c>
      <c r="L603" t="s">
        <v>122</v>
      </c>
      <c r="M603" t="s">
        <v>123</v>
      </c>
      <c r="N603" t="s">
        <v>56</v>
      </c>
      <c r="O603" s="1">
        <v>45580</v>
      </c>
      <c r="P603" s="1">
        <v>45945</v>
      </c>
      <c r="Q603" s="2">
        <v>14.84</v>
      </c>
      <c r="R603">
        <v>1</v>
      </c>
      <c r="S603" t="s">
        <v>57</v>
      </c>
      <c r="T603" t="s">
        <v>58</v>
      </c>
      <c r="U603" s="3">
        <v>0.375</v>
      </c>
      <c r="V603" s="2">
        <v>0</v>
      </c>
      <c r="W603">
        <v>0</v>
      </c>
      <c r="X603" t="s">
        <v>70</v>
      </c>
      <c r="Y603" t="s">
        <v>60</v>
      </c>
      <c r="Z603">
        <v>0</v>
      </c>
      <c r="AA603" s="2">
        <v>0</v>
      </c>
      <c r="AB603" s="2">
        <v>0</v>
      </c>
      <c r="AC603" s="4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5.56</v>
      </c>
      <c r="AM603" s="2">
        <v>5.56</v>
      </c>
      <c r="AN603" s="2">
        <v>0</v>
      </c>
      <c r="AO603" s="2">
        <v>0</v>
      </c>
      <c r="AP603" s="2">
        <v>0</v>
      </c>
    </row>
    <row r="604" spans="1:42" x14ac:dyDescent="0.25">
      <c r="A604" s="1">
        <v>45915</v>
      </c>
      <c r="B604" t="s">
        <v>47</v>
      </c>
      <c r="C604">
        <v>649163</v>
      </c>
      <c r="D604">
        <v>2025358290</v>
      </c>
      <c r="E604" t="s">
        <v>1039</v>
      </c>
      <c r="F604" t="s">
        <v>444</v>
      </c>
      <c r="G604" t="s">
        <v>50</v>
      </c>
      <c r="H604" t="s">
        <v>51</v>
      </c>
      <c r="I604" t="s">
        <v>306</v>
      </c>
      <c r="J604" t="s">
        <v>307</v>
      </c>
      <c r="K604">
        <v>649247</v>
      </c>
      <c r="L604" t="s">
        <v>68</v>
      </c>
      <c r="M604" t="s">
        <v>69</v>
      </c>
      <c r="N604" t="s">
        <v>56</v>
      </c>
      <c r="O604" s="1">
        <v>45583</v>
      </c>
      <c r="P604" s="1">
        <v>45948</v>
      </c>
      <c r="Q604" s="2">
        <v>39.979999999999997</v>
      </c>
      <c r="R604">
        <v>1</v>
      </c>
      <c r="S604" t="s">
        <v>57</v>
      </c>
      <c r="T604" t="s">
        <v>58</v>
      </c>
      <c r="U604" s="3">
        <v>0.375</v>
      </c>
      <c r="V604" s="2">
        <v>0</v>
      </c>
      <c r="W604">
        <v>0</v>
      </c>
      <c r="X604" t="s">
        <v>70</v>
      </c>
      <c r="Y604" t="s">
        <v>60</v>
      </c>
      <c r="Z604">
        <v>0</v>
      </c>
      <c r="AA604" s="2">
        <v>0</v>
      </c>
      <c r="AB604" s="2">
        <v>0</v>
      </c>
      <c r="AC604" s="4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14.99</v>
      </c>
      <c r="AM604" s="2">
        <v>14.99</v>
      </c>
      <c r="AN604" s="2">
        <v>0</v>
      </c>
      <c r="AO604" s="2">
        <v>0</v>
      </c>
      <c r="AP604" s="2">
        <v>0</v>
      </c>
    </row>
    <row r="605" spans="1:42" x14ac:dyDescent="0.25">
      <c r="A605" s="1">
        <v>45915</v>
      </c>
      <c r="B605" t="s">
        <v>47</v>
      </c>
      <c r="C605">
        <v>649163</v>
      </c>
      <c r="D605">
        <v>2025738648</v>
      </c>
      <c r="E605" t="s">
        <v>1038</v>
      </c>
      <c r="F605" t="s">
        <v>1037</v>
      </c>
      <c r="G605" t="s">
        <v>50</v>
      </c>
      <c r="H605" t="s">
        <v>405</v>
      </c>
      <c r="I605" t="s">
        <v>306</v>
      </c>
      <c r="J605" t="s">
        <v>307</v>
      </c>
      <c r="K605">
        <v>767312</v>
      </c>
      <c r="L605" t="s">
        <v>122</v>
      </c>
      <c r="M605" t="s">
        <v>123</v>
      </c>
      <c r="N605" t="s">
        <v>56</v>
      </c>
      <c r="O605" s="1">
        <v>45609</v>
      </c>
      <c r="P605" s="1">
        <v>45943</v>
      </c>
      <c r="Q605" s="2">
        <v>18.66</v>
      </c>
      <c r="R605">
        <v>1</v>
      </c>
      <c r="S605" t="s">
        <v>57</v>
      </c>
      <c r="T605" t="s">
        <v>58</v>
      </c>
      <c r="U605" s="3">
        <v>0.375</v>
      </c>
      <c r="V605" s="2">
        <v>0</v>
      </c>
      <c r="W605">
        <v>0</v>
      </c>
      <c r="X605" t="s">
        <v>70</v>
      </c>
      <c r="Y605" t="s">
        <v>60</v>
      </c>
      <c r="Z605">
        <v>0</v>
      </c>
      <c r="AA605" s="2">
        <v>0</v>
      </c>
      <c r="AB605" s="2">
        <v>0</v>
      </c>
      <c r="AC605" s="4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7</v>
      </c>
      <c r="AM605" s="2">
        <v>7</v>
      </c>
      <c r="AN605" s="2">
        <v>0</v>
      </c>
      <c r="AO605" s="2">
        <v>0</v>
      </c>
      <c r="AP605" s="2">
        <v>0</v>
      </c>
    </row>
    <row r="606" spans="1:42" x14ac:dyDescent="0.25">
      <c r="A606" s="1">
        <v>45915</v>
      </c>
      <c r="B606" t="s">
        <v>47</v>
      </c>
      <c r="C606">
        <v>649163</v>
      </c>
      <c r="D606">
        <v>2025785646</v>
      </c>
      <c r="E606" t="s">
        <v>1016</v>
      </c>
      <c r="F606" t="s">
        <v>1015</v>
      </c>
      <c r="G606" t="s">
        <v>50</v>
      </c>
      <c r="H606" t="s">
        <v>151</v>
      </c>
      <c r="I606" t="s">
        <v>306</v>
      </c>
      <c r="J606" t="s">
        <v>307</v>
      </c>
      <c r="K606">
        <v>673059</v>
      </c>
      <c r="L606" t="s">
        <v>152</v>
      </c>
      <c r="M606" t="s">
        <v>153</v>
      </c>
      <c r="N606" t="s">
        <v>56</v>
      </c>
      <c r="O606" s="1">
        <v>45612</v>
      </c>
      <c r="P606" s="1">
        <v>45946</v>
      </c>
      <c r="Q606" s="2">
        <v>89.37</v>
      </c>
      <c r="R606">
        <v>1</v>
      </c>
      <c r="S606" t="s">
        <v>57</v>
      </c>
      <c r="T606" t="s">
        <v>58</v>
      </c>
      <c r="U606" s="3">
        <v>0.375</v>
      </c>
      <c r="V606" s="2">
        <v>0</v>
      </c>
      <c r="W606">
        <v>0</v>
      </c>
      <c r="X606" t="s">
        <v>70</v>
      </c>
      <c r="Y606" t="s">
        <v>60</v>
      </c>
      <c r="Z606">
        <v>0</v>
      </c>
      <c r="AA606" s="2">
        <v>0</v>
      </c>
      <c r="AB606" s="2">
        <v>0</v>
      </c>
      <c r="AC606" s="4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33.51</v>
      </c>
      <c r="AM606" s="2">
        <v>33.51</v>
      </c>
      <c r="AN606" s="2">
        <v>0</v>
      </c>
      <c r="AO606" s="2">
        <v>0</v>
      </c>
      <c r="AP606" s="2">
        <v>0</v>
      </c>
    </row>
    <row r="607" spans="1:42" x14ac:dyDescent="0.25">
      <c r="A607" s="1">
        <v>45915</v>
      </c>
      <c r="B607" t="s">
        <v>47</v>
      </c>
      <c r="C607">
        <v>649163</v>
      </c>
      <c r="D607">
        <v>2025850687</v>
      </c>
      <c r="E607" t="s">
        <v>556</v>
      </c>
      <c r="F607" t="s">
        <v>791</v>
      </c>
      <c r="G607" t="s">
        <v>50</v>
      </c>
      <c r="H607" t="s">
        <v>193</v>
      </c>
      <c r="I607" t="s">
        <v>306</v>
      </c>
      <c r="J607" t="s">
        <v>307</v>
      </c>
      <c r="K607">
        <v>673059</v>
      </c>
      <c r="L607" t="s">
        <v>152</v>
      </c>
      <c r="M607" t="s">
        <v>153</v>
      </c>
      <c r="N607" t="s">
        <v>56</v>
      </c>
      <c r="O607" s="1">
        <v>45658</v>
      </c>
      <c r="P607" s="1">
        <v>45931</v>
      </c>
      <c r="Q607" s="2">
        <v>63.34</v>
      </c>
      <c r="R607">
        <v>1</v>
      </c>
      <c r="S607" t="s">
        <v>57</v>
      </c>
      <c r="T607" t="s">
        <v>58</v>
      </c>
      <c r="U607" s="3">
        <v>0.375</v>
      </c>
      <c r="V607" s="2">
        <v>0</v>
      </c>
      <c r="W607">
        <v>0</v>
      </c>
      <c r="X607" t="s">
        <v>70</v>
      </c>
      <c r="Y607" t="s">
        <v>60</v>
      </c>
      <c r="Z607">
        <v>0</v>
      </c>
      <c r="AA607" s="2">
        <v>0</v>
      </c>
      <c r="AB607" s="2">
        <v>0</v>
      </c>
      <c r="AC607" s="4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23.75</v>
      </c>
      <c r="AM607" s="2">
        <v>23.75</v>
      </c>
      <c r="AN607" s="2">
        <v>0</v>
      </c>
      <c r="AO607" s="2">
        <v>0</v>
      </c>
      <c r="AP607" s="2">
        <v>0</v>
      </c>
    </row>
    <row r="608" spans="1:42" x14ac:dyDescent="0.25">
      <c r="A608" s="1">
        <v>45915</v>
      </c>
      <c r="B608" t="s">
        <v>47</v>
      </c>
      <c r="C608">
        <v>649163</v>
      </c>
      <c r="D608">
        <v>2026111643</v>
      </c>
      <c r="E608" t="s">
        <v>1012</v>
      </c>
      <c r="F608" t="s">
        <v>1011</v>
      </c>
      <c r="G608" t="s">
        <v>50</v>
      </c>
      <c r="H608" t="s">
        <v>141</v>
      </c>
      <c r="I608" t="s">
        <v>306</v>
      </c>
      <c r="J608" t="s">
        <v>307</v>
      </c>
      <c r="K608">
        <v>796984</v>
      </c>
      <c r="L608" t="s">
        <v>221</v>
      </c>
      <c r="M608" t="s">
        <v>62</v>
      </c>
      <c r="N608" t="s">
        <v>56</v>
      </c>
      <c r="O608" s="1">
        <v>45641</v>
      </c>
      <c r="P608" s="1">
        <v>45945</v>
      </c>
      <c r="Q608" s="2">
        <v>105.78</v>
      </c>
      <c r="R608">
        <v>1</v>
      </c>
      <c r="S608" t="s">
        <v>57</v>
      </c>
      <c r="T608" t="s">
        <v>58</v>
      </c>
      <c r="U608" s="3">
        <v>0.375</v>
      </c>
      <c r="V608" s="2">
        <v>0</v>
      </c>
      <c r="W608">
        <v>0</v>
      </c>
      <c r="X608" t="s">
        <v>70</v>
      </c>
      <c r="Y608" t="s">
        <v>60</v>
      </c>
      <c r="Z608">
        <v>0</v>
      </c>
      <c r="AA608" s="2">
        <v>0</v>
      </c>
      <c r="AB608" s="2">
        <v>0</v>
      </c>
      <c r="AC608" s="4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39.67</v>
      </c>
      <c r="AM608" s="2">
        <v>39.67</v>
      </c>
      <c r="AN608" s="2">
        <v>0</v>
      </c>
      <c r="AO608" s="2">
        <v>0</v>
      </c>
      <c r="AP608" s="2">
        <v>0</v>
      </c>
    </row>
    <row r="609" spans="1:42" x14ac:dyDescent="0.25">
      <c r="A609" s="1">
        <v>45915</v>
      </c>
      <c r="B609" t="s">
        <v>47</v>
      </c>
      <c r="C609">
        <v>649163</v>
      </c>
      <c r="D609">
        <v>2026114177</v>
      </c>
      <c r="E609" t="s">
        <v>1010</v>
      </c>
      <c r="F609" t="s">
        <v>49</v>
      </c>
      <c r="G609" t="s">
        <v>50</v>
      </c>
      <c r="H609" t="s">
        <v>115</v>
      </c>
      <c r="I609" t="s">
        <v>306</v>
      </c>
      <c r="J609" t="s">
        <v>307</v>
      </c>
      <c r="K609">
        <v>792847</v>
      </c>
      <c r="L609" t="s">
        <v>137</v>
      </c>
      <c r="M609" t="s">
        <v>138</v>
      </c>
      <c r="N609" t="s">
        <v>56</v>
      </c>
      <c r="O609" s="1">
        <v>45638</v>
      </c>
      <c r="P609" s="1">
        <v>45942</v>
      </c>
      <c r="Q609" s="2">
        <v>40.909999999999997</v>
      </c>
      <c r="R609">
        <v>1</v>
      </c>
      <c r="S609" t="s">
        <v>57</v>
      </c>
      <c r="T609" t="s">
        <v>58</v>
      </c>
      <c r="U609" s="3">
        <v>0.375</v>
      </c>
      <c r="V609" s="2">
        <v>0</v>
      </c>
      <c r="W609">
        <v>0</v>
      </c>
      <c r="X609" t="s">
        <v>70</v>
      </c>
      <c r="Y609" t="s">
        <v>60</v>
      </c>
      <c r="Z609">
        <v>0</v>
      </c>
      <c r="AA609" s="2">
        <v>0</v>
      </c>
      <c r="AB609" s="2">
        <v>0</v>
      </c>
      <c r="AC609" s="4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15.34</v>
      </c>
      <c r="AM609" s="2">
        <v>15.34</v>
      </c>
      <c r="AN609" s="2">
        <v>0</v>
      </c>
      <c r="AO609" s="2">
        <v>0</v>
      </c>
      <c r="AP609" s="2">
        <v>0</v>
      </c>
    </row>
    <row r="610" spans="1:42" x14ac:dyDescent="0.25">
      <c r="A610" s="1">
        <v>45915</v>
      </c>
      <c r="B610" t="s">
        <v>47</v>
      </c>
      <c r="C610">
        <v>649163</v>
      </c>
      <c r="D610">
        <v>2026141665</v>
      </c>
      <c r="E610" t="s">
        <v>1036</v>
      </c>
      <c r="F610" t="s">
        <v>1035</v>
      </c>
      <c r="G610" t="s">
        <v>50</v>
      </c>
      <c r="H610" t="s">
        <v>93</v>
      </c>
      <c r="I610" t="s">
        <v>306</v>
      </c>
      <c r="J610" t="s">
        <v>307</v>
      </c>
      <c r="K610">
        <v>651818</v>
      </c>
      <c r="L610" t="s">
        <v>108</v>
      </c>
      <c r="M610" t="s">
        <v>109</v>
      </c>
      <c r="N610" t="s">
        <v>56</v>
      </c>
      <c r="O610" s="1">
        <v>45641</v>
      </c>
      <c r="P610" s="1">
        <v>45945</v>
      </c>
      <c r="Q610" s="2">
        <v>101.87</v>
      </c>
      <c r="R610">
        <v>1</v>
      </c>
      <c r="S610" t="s">
        <v>57</v>
      </c>
      <c r="T610" t="s">
        <v>58</v>
      </c>
      <c r="U610" s="3">
        <v>0.375</v>
      </c>
      <c r="V610" s="2">
        <v>0</v>
      </c>
      <c r="W610">
        <v>0</v>
      </c>
      <c r="X610" t="s">
        <v>70</v>
      </c>
      <c r="Y610" t="s">
        <v>60</v>
      </c>
      <c r="Z610">
        <v>0</v>
      </c>
      <c r="AA610" s="2">
        <v>0</v>
      </c>
      <c r="AB610" s="2">
        <v>0</v>
      </c>
      <c r="AC610" s="4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38.200000000000003</v>
      </c>
      <c r="AM610" s="2">
        <v>38.200000000000003</v>
      </c>
      <c r="AN610" s="2">
        <v>0</v>
      </c>
      <c r="AO610" s="2">
        <v>0</v>
      </c>
      <c r="AP610" s="2">
        <v>0</v>
      </c>
    </row>
    <row r="611" spans="1:42" x14ac:dyDescent="0.25">
      <c r="A611" s="1">
        <v>45915</v>
      </c>
      <c r="B611" t="s">
        <v>47</v>
      </c>
      <c r="C611">
        <v>649163</v>
      </c>
      <c r="D611">
        <v>2026146921</v>
      </c>
      <c r="E611" t="s">
        <v>621</v>
      </c>
      <c r="F611" t="s">
        <v>1034</v>
      </c>
      <c r="G611" t="s">
        <v>50</v>
      </c>
      <c r="H611" t="s">
        <v>51</v>
      </c>
      <c r="I611" t="s">
        <v>306</v>
      </c>
      <c r="J611" t="s">
        <v>307</v>
      </c>
      <c r="K611">
        <v>728134</v>
      </c>
      <c r="L611" t="s">
        <v>322</v>
      </c>
      <c r="M611" t="s">
        <v>323</v>
      </c>
      <c r="N611" t="s">
        <v>56</v>
      </c>
      <c r="O611" s="1">
        <v>45639</v>
      </c>
      <c r="P611" s="1">
        <v>45943</v>
      </c>
      <c r="Q611" s="2">
        <v>39.979999999999997</v>
      </c>
      <c r="R611">
        <v>1</v>
      </c>
      <c r="S611" t="s">
        <v>57</v>
      </c>
      <c r="T611" t="s">
        <v>58</v>
      </c>
      <c r="U611" s="3">
        <v>0.375</v>
      </c>
      <c r="V611" s="2">
        <v>0</v>
      </c>
      <c r="W611">
        <v>0</v>
      </c>
      <c r="X611" t="s">
        <v>70</v>
      </c>
      <c r="Y611" t="s">
        <v>60</v>
      </c>
      <c r="Z611">
        <v>0</v>
      </c>
      <c r="AA611" s="2">
        <v>0</v>
      </c>
      <c r="AB611" s="2">
        <v>0</v>
      </c>
      <c r="AC611" s="4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14.99</v>
      </c>
      <c r="AM611" s="2">
        <v>14.99</v>
      </c>
      <c r="AN611" s="2">
        <v>0</v>
      </c>
      <c r="AO611" s="2">
        <v>0</v>
      </c>
      <c r="AP611" s="2">
        <v>0</v>
      </c>
    </row>
    <row r="612" spans="1:42" x14ac:dyDescent="0.25">
      <c r="A612" s="1">
        <v>45915</v>
      </c>
      <c r="B612" t="s">
        <v>47</v>
      </c>
      <c r="C612">
        <v>649163</v>
      </c>
      <c r="D612">
        <v>2026186217</v>
      </c>
      <c r="E612" t="s">
        <v>1002</v>
      </c>
      <c r="F612" t="s">
        <v>1001</v>
      </c>
      <c r="G612" t="s">
        <v>50</v>
      </c>
      <c r="H612" t="s">
        <v>121</v>
      </c>
      <c r="I612" t="s">
        <v>306</v>
      </c>
      <c r="J612" t="s">
        <v>307</v>
      </c>
      <c r="K612">
        <v>767312</v>
      </c>
      <c r="L612" t="s">
        <v>122</v>
      </c>
      <c r="M612" t="s">
        <v>123</v>
      </c>
      <c r="N612" t="s">
        <v>56</v>
      </c>
      <c r="O612" s="1">
        <v>45641</v>
      </c>
      <c r="P612" s="1">
        <v>45945</v>
      </c>
      <c r="Q612" s="2">
        <v>26.74</v>
      </c>
      <c r="R612">
        <v>1</v>
      </c>
      <c r="S612" t="s">
        <v>57</v>
      </c>
      <c r="T612" t="s">
        <v>58</v>
      </c>
      <c r="U612" s="3">
        <v>0.375</v>
      </c>
      <c r="V612" s="2">
        <v>0</v>
      </c>
      <c r="W612">
        <v>0</v>
      </c>
      <c r="X612" t="s">
        <v>70</v>
      </c>
      <c r="Y612" t="s">
        <v>60</v>
      </c>
      <c r="Z612">
        <v>0</v>
      </c>
      <c r="AA612" s="2">
        <v>0</v>
      </c>
      <c r="AB612" s="2">
        <v>0</v>
      </c>
      <c r="AC612" s="4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10.029999999999999</v>
      </c>
      <c r="AM612" s="2">
        <v>10.029999999999999</v>
      </c>
      <c r="AN612" s="2">
        <v>0</v>
      </c>
      <c r="AO612" s="2">
        <v>0</v>
      </c>
      <c r="AP612" s="2">
        <v>0</v>
      </c>
    </row>
    <row r="613" spans="1:42" x14ac:dyDescent="0.25">
      <c r="A613" s="1">
        <v>45915</v>
      </c>
      <c r="B613" t="s">
        <v>47</v>
      </c>
      <c r="C613">
        <v>649163</v>
      </c>
      <c r="D613">
        <v>2026213326</v>
      </c>
      <c r="E613" t="s">
        <v>788</v>
      </c>
      <c r="F613" t="s">
        <v>787</v>
      </c>
      <c r="G613" t="s">
        <v>50</v>
      </c>
      <c r="H613" t="s">
        <v>151</v>
      </c>
      <c r="I613" t="s">
        <v>306</v>
      </c>
      <c r="J613" t="s">
        <v>307</v>
      </c>
      <c r="K613">
        <v>756418</v>
      </c>
      <c r="L613" t="s">
        <v>257</v>
      </c>
      <c r="M613" t="s">
        <v>258</v>
      </c>
      <c r="N613" t="s">
        <v>56</v>
      </c>
      <c r="O613" s="1">
        <v>45644</v>
      </c>
      <c r="P613" s="1">
        <v>45948</v>
      </c>
      <c r="Q613" s="2">
        <v>87.5</v>
      </c>
      <c r="R613">
        <v>1</v>
      </c>
      <c r="S613" t="s">
        <v>57</v>
      </c>
      <c r="T613" t="s">
        <v>58</v>
      </c>
      <c r="U613" s="3">
        <v>0.375</v>
      </c>
      <c r="V613" s="2">
        <v>0</v>
      </c>
      <c r="W613">
        <v>0</v>
      </c>
      <c r="X613" t="s">
        <v>70</v>
      </c>
      <c r="Y613" t="s">
        <v>60</v>
      </c>
      <c r="Z613">
        <v>0</v>
      </c>
      <c r="AA613" s="2">
        <v>0</v>
      </c>
      <c r="AB613" s="2">
        <v>0</v>
      </c>
      <c r="AC613" s="4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32.81</v>
      </c>
      <c r="AM613" s="2">
        <v>32.81</v>
      </c>
      <c r="AN613" s="2">
        <v>0</v>
      </c>
      <c r="AO613" s="2">
        <v>0</v>
      </c>
      <c r="AP613" s="2">
        <v>0</v>
      </c>
    </row>
    <row r="614" spans="1:42" x14ac:dyDescent="0.25">
      <c r="A614" s="1">
        <v>45915</v>
      </c>
      <c r="B614" t="s">
        <v>47</v>
      </c>
      <c r="C614">
        <v>649163</v>
      </c>
      <c r="D614">
        <v>2026213887</v>
      </c>
      <c r="E614" t="s">
        <v>1033</v>
      </c>
      <c r="F614" t="s">
        <v>349</v>
      </c>
      <c r="G614" t="s">
        <v>50</v>
      </c>
      <c r="H614" t="s">
        <v>51</v>
      </c>
      <c r="I614" t="s">
        <v>306</v>
      </c>
      <c r="J614" t="s">
        <v>307</v>
      </c>
      <c r="K614">
        <v>751867</v>
      </c>
      <c r="L614" t="s">
        <v>84</v>
      </c>
      <c r="M614" t="s">
        <v>85</v>
      </c>
      <c r="N614" t="s">
        <v>56</v>
      </c>
      <c r="O614" s="1">
        <v>45644</v>
      </c>
      <c r="P614" s="1">
        <v>45948</v>
      </c>
      <c r="Q614" s="2">
        <v>39.979999999999997</v>
      </c>
      <c r="R614">
        <v>1</v>
      </c>
      <c r="S614" t="s">
        <v>57</v>
      </c>
      <c r="T614" t="s">
        <v>58</v>
      </c>
      <c r="U614" s="3">
        <v>0.375</v>
      </c>
      <c r="V614" s="2">
        <v>0</v>
      </c>
      <c r="W614">
        <v>0</v>
      </c>
      <c r="X614" t="s">
        <v>70</v>
      </c>
      <c r="Y614" t="s">
        <v>60</v>
      </c>
      <c r="Z614">
        <v>0</v>
      </c>
      <c r="AA614" s="2">
        <v>0</v>
      </c>
      <c r="AB614" s="2">
        <v>0</v>
      </c>
      <c r="AC614" s="4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14.99</v>
      </c>
      <c r="AM614" s="2">
        <v>14.99</v>
      </c>
      <c r="AN614" s="2">
        <v>0</v>
      </c>
      <c r="AO614" s="2">
        <v>0</v>
      </c>
      <c r="AP614" s="2">
        <v>0</v>
      </c>
    </row>
    <row r="615" spans="1:42" x14ac:dyDescent="0.25">
      <c r="A615" s="1">
        <v>45915</v>
      </c>
      <c r="B615" t="s">
        <v>47</v>
      </c>
      <c r="C615">
        <v>649163</v>
      </c>
      <c r="D615">
        <v>2026581909</v>
      </c>
      <c r="E615" t="s">
        <v>990</v>
      </c>
      <c r="F615" t="s">
        <v>286</v>
      </c>
      <c r="G615" t="s">
        <v>50</v>
      </c>
      <c r="H615" t="s">
        <v>115</v>
      </c>
      <c r="I615" t="s">
        <v>306</v>
      </c>
      <c r="J615" t="s">
        <v>307</v>
      </c>
      <c r="K615">
        <v>767312</v>
      </c>
      <c r="L615" t="s">
        <v>122</v>
      </c>
      <c r="M615" t="s">
        <v>123</v>
      </c>
      <c r="N615" t="s">
        <v>56</v>
      </c>
      <c r="O615" s="1">
        <v>45672</v>
      </c>
      <c r="P615" s="1">
        <v>45945</v>
      </c>
      <c r="Q615" s="2">
        <v>126.89</v>
      </c>
      <c r="R615">
        <v>1</v>
      </c>
      <c r="S615" t="s">
        <v>57</v>
      </c>
      <c r="T615" t="s">
        <v>58</v>
      </c>
      <c r="U615" s="3">
        <v>0.375</v>
      </c>
      <c r="V615" s="2">
        <v>0</v>
      </c>
      <c r="W615">
        <v>0</v>
      </c>
      <c r="X615" t="s">
        <v>70</v>
      </c>
      <c r="Y615" t="s">
        <v>60</v>
      </c>
      <c r="Z615">
        <v>0</v>
      </c>
      <c r="AA615" s="2">
        <v>0</v>
      </c>
      <c r="AB615" s="2">
        <v>0</v>
      </c>
      <c r="AC615" s="4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47.58</v>
      </c>
      <c r="AM615" s="2">
        <v>47.58</v>
      </c>
      <c r="AN615" s="2">
        <v>0</v>
      </c>
      <c r="AO615" s="2">
        <v>0</v>
      </c>
      <c r="AP615" s="2">
        <v>0</v>
      </c>
    </row>
    <row r="616" spans="1:42" x14ac:dyDescent="0.25">
      <c r="A616" s="1">
        <v>45915</v>
      </c>
      <c r="B616" t="s">
        <v>47</v>
      </c>
      <c r="C616">
        <v>649163</v>
      </c>
      <c r="D616">
        <v>2026585511</v>
      </c>
      <c r="E616" t="s">
        <v>1032</v>
      </c>
      <c r="F616" t="s">
        <v>265</v>
      </c>
      <c r="G616" t="s">
        <v>50</v>
      </c>
      <c r="H616" t="s">
        <v>51</v>
      </c>
      <c r="I616" t="s">
        <v>306</v>
      </c>
      <c r="J616" t="s">
        <v>307</v>
      </c>
      <c r="K616">
        <v>728134</v>
      </c>
      <c r="L616" t="s">
        <v>322</v>
      </c>
      <c r="M616" t="s">
        <v>323</v>
      </c>
      <c r="N616" t="s">
        <v>56</v>
      </c>
      <c r="O616" s="1">
        <v>45672</v>
      </c>
      <c r="P616" s="1">
        <v>45945</v>
      </c>
      <c r="Q616" s="2">
        <v>149.46</v>
      </c>
      <c r="R616">
        <v>1</v>
      </c>
      <c r="S616" t="s">
        <v>57</v>
      </c>
      <c r="T616" t="s">
        <v>58</v>
      </c>
      <c r="U616" s="3">
        <v>0.375</v>
      </c>
      <c r="V616" s="2">
        <v>0</v>
      </c>
      <c r="W616">
        <v>0</v>
      </c>
      <c r="X616" t="s">
        <v>70</v>
      </c>
      <c r="Y616" t="s">
        <v>60</v>
      </c>
      <c r="Z616">
        <v>0</v>
      </c>
      <c r="AA616" s="2">
        <v>0</v>
      </c>
      <c r="AB616" s="2">
        <v>0</v>
      </c>
      <c r="AC616" s="4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56.05</v>
      </c>
      <c r="AM616" s="2">
        <v>56.05</v>
      </c>
      <c r="AN616" s="2">
        <v>0</v>
      </c>
      <c r="AO616" s="2">
        <v>0</v>
      </c>
      <c r="AP616" s="2">
        <v>0</v>
      </c>
    </row>
    <row r="617" spans="1:42" x14ac:dyDescent="0.25">
      <c r="A617" s="1">
        <v>45915</v>
      </c>
      <c r="B617" t="s">
        <v>47</v>
      </c>
      <c r="C617">
        <v>649163</v>
      </c>
      <c r="D617">
        <v>2025167144</v>
      </c>
      <c r="E617" t="s">
        <v>1031</v>
      </c>
      <c r="F617" t="s">
        <v>1030</v>
      </c>
      <c r="G617" t="s">
        <v>50</v>
      </c>
      <c r="H617" t="s">
        <v>115</v>
      </c>
      <c r="I617" t="s">
        <v>441</v>
      </c>
      <c r="J617" t="s">
        <v>445</v>
      </c>
      <c r="K617">
        <v>767312</v>
      </c>
      <c r="L617" t="s">
        <v>122</v>
      </c>
      <c r="M617" t="s">
        <v>123</v>
      </c>
      <c r="N617" t="s">
        <v>56</v>
      </c>
      <c r="O617" s="1">
        <v>45581</v>
      </c>
      <c r="P617" s="1">
        <v>45946</v>
      </c>
      <c r="Q617" s="2">
        <v>68.61</v>
      </c>
      <c r="R617">
        <v>1</v>
      </c>
      <c r="S617" t="s">
        <v>57</v>
      </c>
      <c r="T617" t="s">
        <v>58</v>
      </c>
      <c r="U617" s="4">
        <v>0.7</v>
      </c>
      <c r="V617" s="2">
        <v>0</v>
      </c>
      <c r="W617">
        <v>0</v>
      </c>
      <c r="X617" t="s">
        <v>70</v>
      </c>
      <c r="Y617" t="s">
        <v>60</v>
      </c>
      <c r="Z617">
        <v>0</v>
      </c>
      <c r="AA617" s="2">
        <v>0</v>
      </c>
      <c r="AB617" s="2">
        <v>0</v>
      </c>
      <c r="AC617" s="4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48.03</v>
      </c>
      <c r="AM617" s="2">
        <v>48.03</v>
      </c>
      <c r="AN617" s="2">
        <v>0</v>
      </c>
      <c r="AO617" s="2">
        <v>0</v>
      </c>
      <c r="AP617" s="2">
        <v>0</v>
      </c>
    </row>
    <row r="618" spans="1:42" x14ac:dyDescent="0.25">
      <c r="A618" s="1">
        <v>45915</v>
      </c>
      <c r="B618" t="s">
        <v>47</v>
      </c>
      <c r="C618">
        <v>649163</v>
      </c>
      <c r="D618">
        <v>2025167151</v>
      </c>
      <c r="E618" t="s">
        <v>1029</v>
      </c>
      <c r="F618" t="s">
        <v>1028</v>
      </c>
      <c r="G618" t="s">
        <v>50</v>
      </c>
      <c r="H618" t="s">
        <v>115</v>
      </c>
      <c r="I618" t="s">
        <v>441</v>
      </c>
      <c r="J618" t="s">
        <v>445</v>
      </c>
      <c r="K618">
        <v>767312</v>
      </c>
      <c r="L618" t="s">
        <v>122</v>
      </c>
      <c r="M618" t="s">
        <v>123</v>
      </c>
      <c r="N618" t="s">
        <v>56</v>
      </c>
      <c r="O618" s="1">
        <v>45581</v>
      </c>
      <c r="P618" s="1">
        <v>45946</v>
      </c>
      <c r="Q618" s="2">
        <v>109.36</v>
      </c>
      <c r="R618">
        <v>1</v>
      </c>
      <c r="S618" t="s">
        <v>57</v>
      </c>
      <c r="T618" t="s">
        <v>58</v>
      </c>
      <c r="U618" s="4">
        <v>0.7</v>
      </c>
      <c r="V618" s="2">
        <v>0</v>
      </c>
      <c r="W618">
        <v>0</v>
      </c>
      <c r="X618" t="s">
        <v>70</v>
      </c>
      <c r="Y618" t="s">
        <v>60</v>
      </c>
      <c r="Z618">
        <v>0</v>
      </c>
      <c r="AA618" s="2">
        <v>0</v>
      </c>
      <c r="AB618" s="2">
        <v>0</v>
      </c>
      <c r="AC618" s="4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76.55</v>
      </c>
      <c r="AM618" s="2">
        <v>76.55</v>
      </c>
      <c r="AN618" s="2">
        <v>0</v>
      </c>
      <c r="AO618" s="2">
        <v>0</v>
      </c>
      <c r="AP618" s="2">
        <v>0</v>
      </c>
    </row>
    <row r="619" spans="1:42" x14ac:dyDescent="0.25">
      <c r="A619" s="1">
        <v>45915</v>
      </c>
      <c r="B619" t="s">
        <v>47</v>
      </c>
      <c r="C619">
        <v>649163</v>
      </c>
      <c r="D619">
        <v>2025254890</v>
      </c>
      <c r="E619" t="s">
        <v>1027</v>
      </c>
      <c r="F619" t="s">
        <v>1026</v>
      </c>
      <c r="G619" t="s">
        <v>50</v>
      </c>
      <c r="H619" t="s">
        <v>400</v>
      </c>
      <c r="I619" t="s">
        <v>441</v>
      </c>
      <c r="J619" t="s">
        <v>445</v>
      </c>
      <c r="K619">
        <v>767312</v>
      </c>
      <c r="L619" t="s">
        <v>122</v>
      </c>
      <c r="M619" t="s">
        <v>123</v>
      </c>
      <c r="N619" t="s">
        <v>56</v>
      </c>
      <c r="O619" s="1">
        <v>45576</v>
      </c>
      <c r="P619" s="1">
        <v>45941</v>
      </c>
      <c r="Q619" s="2">
        <v>35.04</v>
      </c>
      <c r="R619">
        <v>1</v>
      </c>
      <c r="S619" t="s">
        <v>57</v>
      </c>
      <c r="T619" t="s">
        <v>58</v>
      </c>
      <c r="U619" s="4">
        <v>0.7</v>
      </c>
      <c r="V619" s="2">
        <v>0</v>
      </c>
      <c r="W619">
        <v>0</v>
      </c>
      <c r="X619" t="s">
        <v>70</v>
      </c>
      <c r="Y619" t="s">
        <v>60</v>
      </c>
      <c r="Z619">
        <v>0</v>
      </c>
      <c r="AA619" s="2">
        <v>0</v>
      </c>
      <c r="AB619" s="2">
        <v>0</v>
      </c>
      <c r="AC619" s="4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24.53</v>
      </c>
      <c r="AM619" s="2">
        <v>24.53</v>
      </c>
      <c r="AN619" s="2">
        <v>0</v>
      </c>
      <c r="AO619" s="2">
        <v>0</v>
      </c>
      <c r="AP619" s="2">
        <v>0</v>
      </c>
    </row>
    <row r="620" spans="1:42" x14ac:dyDescent="0.25">
      <c r="A620" s="1">
        <v>45915</v>
      </c>
      <c r="B620" t="s">
        <v>47</v>
      </c>
      <c r="C620">
        <v>649163</v>
      </c>
      <c r="D620">
        <v>2025254891</v>
      </c>
      <c r="E620" t="s">
        <v>1027</v>
      </c>
      <c r="F620" t="s">
        <v>1026</v>
      </c>
      <c r="G620" t="s">
        <v>50</v>
      </c>
      <c r="H620" t="s">
        <v>400</v>
      </c>
      <c r="I620" t="s">
        <v>441</v>
      </c>
      <c r="J620" t="s">
        <v>442</v>
      </c>
      <c r="K620">
        <v>767312</v>
      </c>
      <c r="L620" t="s">
        <v>122</v>
      </c>
      <c r="M620" t="s">
        <v>123</v>
      </c>
      <c r="N620" t="s">
        <v>56</v>
      </c>
      <c r="O620" s="1">
        <v>45576</v>
      </c>
      <c r="P620" s="1">
        <v>45941</v>
      </c>
      <c r="Q620" s="2">
        <v>19.28</v>
      </c>
      <c r="R620">
        <v>1</v>
      </c>
      <c r="S620" t="s">
        <v>57</v>
      </c>
      <c r="T620" t="s">
        <v>58</v>
      </c>
      <c r="U620" s="4">
        <v>0.9</v>
      </c>
      <c r="V620" s="2">
        <v>0</v>
      </c>
      <c r="W620">
        <v>0</v>
      </c>
      <c r="X620" t="s">
        <v>70</v>
      </c>
      <c r="Y620" t="s">
        <v>60</v>
      </c>
      <c r="Z620">
        <v>0</v>
      </c>
      <c r="AA620" s="2">
        <v>0</v>
      </c>
      <c r="AB620" s="2">
        <v>0</v>
      </c>
      <c r="AC620" s="4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17.350000000000001</v>
      </c>
      <c r="AM620" s="2">
        <v>17.350000000000001</v>
      </c>
      <c r="AN620" s="2">
        <v>0</v>
      </c>
      <c r="AO620" s="2">
        <v>0</v>
      </c>
      <c r="AP620" s="2">
        <v>0</v>
      </c>
    </row>
    <row r="621" spans="1:42" x14ac:dyDescent="0.25">
      <c r="A621" s="1">
        <v>45915</v>
      </c>
      <c r="B621" t="s">
        <v>47</v>
      </c>
      <c r="C621">
        <v>649163</v>
      </c>
      <c r="D621">
        <v>2025305258</v>
      </c>
      <c r="E621" t="s">
        <v>1025</v>
      </c>
      <c r="F621" t="s">
        <v>630</v>
      </c>
      <c r="G621" t="s">
        <v>50</v>
      </c>
      <c r="H621" t="s">
        <v>93</v>
      </c>
      <c r="I621" t="s">
        <v>441</v>
      </c>
      <c r="J621" t="s">
        <v>445</v>
      </c>
      <c r="K621">
        <v>766747</v>
      </c>
      <c r="L621" t="s">
        <v>352</v>
      </c>
      <c r="M621" t="s">
        <v>49</v>
      </c>
      <c r="N621" t="s">
        <v>56</v>
      </c>
      <c r="O621" s="1">
        <v>45602</v>
      </c>
      <c r="P621" s="1">
        <v>45936</v>
      </c>
      <c r="Q621" s="2">
        <v>-12.13</v>
      </c>
      <c r="R621">
        <v>1</v>
      </c>
      <c r="S621" t="s">
        <v>57</v>
      </c>
      <c r="T621" t="s">
        <v>58</v>
      </c>
      <c r="U621" s="4">
        <v>0.7</v>
      </c>
      <c r="V621" s="2">
        <v>0</v>
      </c>
      <c r="W621">
        <v>-1</v>
      </c>
      <c r="X621" t="s">
        <v>70</v>
      </c>
      <c r="Y621" t="s">
        <v>60</v>
      </c>
      <c r="Z621">
        <v>0</v>
      </c>
      <c r="AA621" s="2">
        <v>0</v>
      </c>
      <c r="AB621" s="2">
        <v>0</v>
      </c>
      <c r="AC621" s="4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-8.49</v>
      </c>
      <c r="AM621" s="2">
        <v>-8.49</v>
      </c>
      <c r="AN621" s="2">
        <v>0</v>
      </c>
      <c r="AO621" s="2">
        <v>0</v>
      </c>
      <c r="AP621" s="2">
        <v>0</v>
      </c>
    </row>
    <row r="622" spans="1:42" x14ac:dyDescent="0.25">
      <c r="A622" s="1">
        <v>45915</v>
      </c>
      <c r="B622" t="s">
        <v>47</v>
      </c>
      <c r="C622">
        <v>649163</v>
      </c>
      <c r="D622">
        <v>2025316509</v>
      </c>
      <c r="E622" t="s">
        <v>1024</v>
      </c>
      <c r="F622" t="s">
        <v>163</v>
      </c>
      <c r="G622" t="s">
        <v>50</v>
      </c>
      <c r="H622" t="s">
        <v>157</v>
      </c>
      <c r="I622" t="s">
        <v>441</v>
      </c>
      <c r="J622" t="s">
        <v>445</v>
      </c>
      <c r="K622">
        <v>767312</v>
      </c>
      <c r="L622" t="s">
        <v>122</v>
      </c>
      <c r="M622" t="s">
        <v>123</v>
      </c>
      <c r="N622" t="s">
        <v>56</v>
      </c>
      <c r="O622" s="1">
        <v>45580</v>
      </c>
      <c r="P622" s="1">
        <v>45945</v>
      </c>
      <c r="Q622" s="2">
        <v>46.36</v>
      </c>
      <c r="R622">
        <v>1</v>
      </c>
      <c r="S622" t="s">
        <v>57</v>
      </c>
      <c r="T622" t="s">
        <v>58</v>
      </c>
      <c r="U622" s="4">
        <v>0.7</v>
      </c>
      <c r="V622" s="2">
        <v>0</v>
      </c>
      <c r="W622">
        <v>0</v>
      </c>
      <c r="X622" t="s">
        <v>70</v>
      </c>
      <c r="Y622" t="s">
        <v>60</v>
      </c>
      <c r="Z622">
        <v>0</v>
      </c>
      <c r="AA622" s="2">
        <v>0</v>
      </c>
      <c r="AB622" s="2">
        <v>0</v>
      </c>
      <c r="AC622" s="4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32.450000000000003</v>
      </c>
      <c r="AM622" s="2">
        <v>32.450000000000003</v>
      </c>
      <c r="AN622" s="2">
        <v>0</v>
      </c>
      <c r="AO622" s="2">
        <v>0</v>
      </c>
      <c r="AP622" s="2">
        <v>0</v>
      </c>
    </row>
    <row r="623" spans="1:42" x14ac:dyDescent="0.25">
      <c r="A623" s="1">
        <v>45915</v>
      </c>
      <c r="B623" t="s">
        <v>47</v>
      </c>
      <c r="C623">
        <v>649163</v>
      </c>
      <c r="D623">
        <v>2025324175</v>
      </c>
      <c r="E623" t="s">
        <v>156</v>
      </c>
      <c r="F623" t="s">
        <v>1023</v>
      </c>
      <c r="G623" t="s">
        <v>50</v>
      </c>
      <c r="H623" t="s">
        <v>180</v>
      </c>
      <c r="I623" t="s">
        <v>441</v>
      </c>
      <c r="J623" t="s">
        <v>442</v>
      </c>
      <c r="K623">
        <v>767312</v>
      </c>
      <c r="L623" t="s">
        <v>122</v>
      </c>
      <c r="M623" t="s">
        <v>123</v>
      </c>
      <c r="N623" t="s">
        <v>56</v>
      </c>
      <c r="O623" s="1">
        <v>45584</v>
      </c>
      <c r="P623" s="1">
        <v>45949</v>
      </c>
      <c r="Q623" s="2">
        <v>99.25</v>
      </c>
      <c r="R623">
        <v>1</v>
      </c>
      <c r="S623" t="s">
        <v>57</v>
      </c>
      <c r="T623" t="s">
        <v>58</v>
      </c>
      <c r="U623" s="4">
        <v>0.9</v>
      </c>
      <c r="V623" s="2">
        <v>0</v>
      </c>
      <c r="W623">
        <v>0</v>
      </c>
      <c r="X623" t="s">
        <v>70</v>
      </c>
      <c r="Y623" t="s">
        <v>60</v>
      </c>
      <c r="Z623">
        <v>0</v>
      </c>
      <c r="AA623" s="2">
        <v>0</v>
      </c>
      <c r="AB623" s="2">
        <v>0</v>
      </c>
      <c r="AC623" s="4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89.32</v>
      </c>
      <c r="AM623" s="2">
        <v>89.32</v>
      </c>
      <c r="AN623" s="2">
        <v>0</v>
      </c>
      <c r="AO623" s="2">
        <v>0</v>
      </c>
      <c r="AP623" s="2">
        <v>0</v>
      </c>
    </row>
    <row r="624" spans="1:42" x14ac:dyDescent="0.25">
      <c r="A624" s="1">
        <v>45915</v>
      </c>
      <c r="B624" t="s">
        <v>47</v>
      </c>
      <c r="C624">
        <v>649163</v>
      </c>
      <c r="D624">
        <v>2025621632</v>
      </c>
      <c r="E624" t="s">
        <v>1022</v>
      </c>
      <c r="F624" t="s">
        <v>1021</v>
      </c>
      <c r="G624" t="s">
        <v>50</v>
      </c>
      <c r="H624" t="s">
        <v>93</v>
      </c>
      <c r="I624" t="s">
        <v>441</v>
      </c>
      <c r="J624" t="s">
        <v>445</v>
      </c>
      <c r="K624">
        <v>760902</v>
      </c>
      <c r="L624" t="s">
        <v>488</v>
      </c>
      <c r="M624" t="s">
        <v>489</v>
      </c>
      <c r="N624" t="s">
        <v>56</v>
      </c>
      <c r="O624" s="1">
        <v>45611</v>
      </c>
      <c r="P624" s="1">
        <v>45945</v>
      </c>
      <c r="Q624" s="2">
        <v>34</v>
      </c>
      <c r="R624">
        <v>1</v>
      </c>
      <c r="S624" t="s">
        <v>57</v>
      </c>
      <c r="T624" t="s">
        <v>58</v>
      </c>
      <c r="U624" s="4">
        <v>0.7</v>
      </c>
      <c r="V624" s="2">
        <v>0</v>
      </c>
      <c r="W624">
        <v>0</v>
      </c>
      <c r="X624" t="s">
        <v>70</v>
      </c>
      <c r="Y624" t="s">
        <v>60</v>
      </c>
      <c r="Z624">
        <v>0</v>
      </c>
      <c r="AA624" s="2">
        <v>0</v>
      </c>
      <c r="AB624" s="2">
        <v>0</v>
      </c>
      <c r="AC624" s="4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23.8</v>
      </c>
      <c r="AM624" s="2">
        <v>23.8</v>
      </c>
      <c r="AN624" s="2">
        <v>0</v>
      </c>
      <c r="AO624" s="2">
        <v>0</v>
      </c>
      <c r="AP624" s="2">
        <v>0</v>
      </c>
    </row>
    <row r="625" spans="1:42" x14ac:dyDescent="0.25">
      <c r="A625" s="1">
        <v>45915</v>
      </c>
      <c r="B625" t="s">
        <v>47</v>
      </c>
      <c r="C625">
        <v>649163</v>
      </c>
      <c r="D625">
        <v>2025744022</v>
      </c>
      <c r="E625" t="s">
        <v>1020</v>
      </c>
      <c r="F625" t="s">
        <v>1019</v>
      </c>
      <c r="G625" t="s">
        <v>50</v>
      </c>
      <c r="H625" t="s">
        <v>93</v>
      </c>
      <c r="I625" t="s">
        <v>441</v>
      </c>
      <c r="J625" t="s">
        <v>445</v>
      </c>
      <c r="K625">
        <v>806645</v>
      </c>
      <c r="L625" t="s">
        <v>382</v>
      </c>
      <c r="M625" t="s">
        <v>366</v>
      </c>
      <c r="N625" t="s">
        <v>56</v>
      </c>
      <c r="O625" s="1">
        <v>45609</v>
      </c>
      <c r="P625" s="1">
        <v>45943</v>
      </c>
      <c r="Q625" s="2">
        <v>118</v>
      </c>
      <c r="R625">
        <v>1</v>
      </c>
      <c r="S625" t="s">
        <v>57</v>
      </c>
      <c r="T625" t="s">
        <v>58</v>
      </c>
      <c r="U625" s="4">
        <v>0.7</v>
      </c>
      <c r="V625" s="2">
        <v>0</v>
      </c>
      <c r="W625">
        <v>0</v>
      </c>
      <c r="X625" t="s">
        <v>70</v>
      </c>
      <c r="Y625" t="s">
        <v>60</v>
      </c>
      <c r="Z625">
        <v>0</v>
      </c>
      <c r="AA625" s="2">
        <v>0</v>
      </c>
      <c r="AB625" s="2">
        <v>0</v>
      </c>
      <c r="AC625" s="4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82.6</v>
      </c>
      <c r="AM625" s="2">
        <v>82.6</v>
      </c>
      <c r="AN625" s="2">
        <v>0</v>
      </c>
      <c r="AO625" s="2">
        <v>0</v>
      </c>
      <c r="AP625" s="2">
        <v>0</v>
      </c>
    </row>
    <row r="626" spans="1:42" x14ac:dyDescent="0.25">
      <c r="A626" s="1">
        <v>45915</v>
      </c>
      <c r="B626" t="s">
        <v>47</v>
      </c>
      <c r="C626">
        <v>649163</v>
      </c>
      <c r="D626">
        <v>2025747992</v>
      </c>
      <c r="E626" t="s">
        <v>1018</v>
      </c>
      <c r="F626" t="s">
        <v>238</v>
      </c>
      <c r="G626" t="s">
        <v>50</v>
      </c>
      <c r="H626" t="s">
        <v>93</v>
      </c>
      <c r="I626" t="s">
        <v>441</v>
      </c>
      <c r="J626" t="s">
        <v>445</v>
      </c>
      <c r="K626">
        <v>651818</v>
      </c>
      <c r="L626" t="s">
        <v>108</v>
      </c>
      <c r="M626" t="s">
        <v>109</v>
      </c>
      <c r="N626" t="s">
        <v>230</v>
      </c>
      <c r="O626" s="1">
        <v>45664</v>
      </c>
      <c r="P626" s="1">
        <v>45937</v>
      </c>
      <c r="Q626" s="2">
        <v>-126.03</v>
      </c>
      <c r="R626">
        <v>1</v>
      </c>
      <c r="S626" t="s">
        <v>57</v>
      </c>
      <c r="T626" t="s">
        <v>58</v>
      </c>
      <c r="U626" s="4">
        <v>0.7</v>
      </c>
      <c r="V626" s="2">
        <v>0</v>
      </c>
      <c r="W626">
        <v>-1</v>
      </c>
      <c r="X626" t="s">
        <v>70</v>
      </c>
      <c r="Y626" t="s">
        <v>60</v>
      </c>
      <c r="Z626">
        <v>0</v>
      </c>
      <c r="AA626" s="2">
        <v>0</v>
      </c>
      <c r="AB626" s="2">
        <v>0</v>
      </c>
      <c r="AC626" s="4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-88.22</v>
      </c>
      <c r="AM626" s="2">
        <v>-88.22</v>
      </c>
      <c r="AN626" s="2">
        <v>0</v>
      </c>
      <c r="AO626" s="2">
        <v>0</v>
      </c>
      <c r="AP626" s="2">
        <v>0</v>
      </c>
    </row>
    <row r="627" spans="1:42" x14ac:dyDescent="0.25">
      <c r="A627" s="1">
        <v>45915</v>
      </c>
      <c r="B627" t="s">
        <v>47</v>
      </c>
      <c r="C627">
        <v>649163</v>
      </c>
      <c r="D627">
        <v>2025783063</v>
      </c>
      <c r="E627" t="s">
        <v>883</v>
      </c>
      <c r="F627" t="s">
        <v>1017</v>
      </c>
      <c r="G627" t="s">
        <v>50</v>
      </c>
      <c r="H627" t="s">
        <v>400</v>
      </c>
      <c r="I627" t="s">
        <v>441</v>
      </c>
      <c r="J627" t="s">
        <v>442</v>
      </c>
      <c r="K627">
        <v>767312</v>
      </c>
      <c r="L627" t="s">
        <v>122</v>
      </c>
      <c r="M627" t="s">
        <v>123</v>
      </c>
      <c r="N627" t="s">
        <v>56</v>
      </c>
      <c r="O627" s="1">
        <v>45612</v>
      </c>
      <c r="P627" s="1">
        <v>45946</v>
      </c>
      <c r="Q627" s="2">
        <v>58.17</v>
      </c>
      <c r="R627">
        <v>1</v>
      </c>
      <c r="S627" t="s">
        <v>57</v>
      </c>
      <c r="T627" t="s">
        <v>58</v>
      </c>
      <c r="U627" s="4">
        <v>0.9</v>
      </c>
      <c r="V627" s="2">
        <v>0</v>
      </c>
      <c r="W627">
        <v>0</v>
      </c>
      <c r="X627" t="s">
        <v>70</v>
      </c>
      <c r="Y627" t="s">
        <v>60</v>
      </c>
      <c r="Z627">
        <v>0</v>
      </c>
      <c r="AA627" s="2">
        <v>0</v>
      </c>
      <c r="AB627" s="2">
        <v>0</v>
      </c>
      <c r="AC627" s="4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52.35</v>
      </c>
      <c r="AM627" s="2">
        <v>52.35</v>
      </c>
      <c r="AN627" s="2">
        <v>0</v>
      </c>
      <c r="AO627" s="2">
        <v>0</v>
      </c>
      <c r="AP627" s="2">
        <v>0</v>
      </c>
    </row>
    <row r="628" spans="1:42" x14ac:dyDescent="0.25">
      <c r="A628" s="1">
        <v>45915</v>
      </c>
      <c r="B628" t="s">
        <v>47</v>
      </c>
      <c r="C628">
        <v>649163</v>
      </c>
      <c r="D628">
        <v>2025783978</v>
      </c>
      <c r="E628" t="s">
        <v>883</v>
      </c>
      <c r="F628" t="s">
        <v>882</v>
      </c>
      <c r="G628" t="s">
        <v>50</v>
      </c>
      <c r="H628" t="s">
        <v>400</v>
      </c>
      <c r="I628" t="s">
        <v>441</v>
      </c>
      <c r="J628" t="s">
        <v>442</v>
      </c>
      <c r="K628">
        <v>767312</v>
      </c>
      <c r="L628" t="s">
        <v>122</v>
      </c>
      <c r="M628" t="s">
        <v>123</v>
      </c>
      <c r="N628" t="s">
        <v>56</v>
      </c>
      <c r="O628" s="1">
        <v>45612</v>
      </c>
      <c r="P628" s="1">
        <v>45946</v>
      </c>
      <c r="Q628" s="2">
        <v>16.63</v>
      </c>
      <c r="R628">
        <v>1</v>
      </c>
      <c r="S628" t="s">
        <v>57</v>
      </c>
      <c r="T628" t="s">
        <v>58</v>
      </c>
      <c r="U628" s="4">
        <v>0.9</v>
      </c>
      <c r="V628" s="2">
        <v>0</v>
      </c>
      <c r="W628">
        <v>0</v>
      </c>
      <c r="X628" t="s">
        <v>70</v>
      </c>
      <c r="Y628" t="s">
        <v>60</v>
      </c>
      <c r="Z628">
        <v>0</v>
      </c>
      <c r="AA628" s="2">
        <v>0</v>
      </c>
      <c r="AB628" s="2">
        <v>0</v>
      </c>
      <c r="AC628" s="4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14.97</v>
      </c>
      <c r="AM628" s="2">
        <v>14.97</v>
      </c>
      <c r="AN628" s="2">
        <v>0</v>
      </c>
      <c r="AO628" s="2">
        <v>0</v>
      </c>
      <c r="AP628" s="2">
        <v>0</v>
      </c>
    </row>
    <row r="629" spans="1:42" x14ac:dyDescent="0.25">
      <c r="A629" s="1">
        <v>45915</v>
      </c>
      <c r="B629" t="s">
        <v>47</v>
      </c>
      <c r="D629">
        <v>2025785647</v>
      </c>
      <c r="E629" t="s">
        <v>1016</v>
      </c>
      <c r="F629" t="s">
        <v>1015</v>
      </c>
      <c r="G629" t="s">
        <v>50</v>
      </c>
      <c r="H629" t="s">
        <v>151</v>
      </c>
      <c r="I629" t="s">
        <v>441</v>
      </c>
      <c r="J629" t="s">
        <v>545</v>
      </c>
      <c r="L629" t="s">
        <v>152</v>
      </c>
      <c r="M629" t="s">
        <v>153</v>
      </c>
      <c r="N629" t="s">
        <v>56</v>
      </c>
      <c r="O629" s="1">
        <v>45612</v>
      </c>
      <c r="P629" s="1">
        <v>45946</v>
      </c>
      <c r="Q629" s="2">
        <v>51.46</v>
      </c>
      <c r="R629">
        <v>1</v>
      </c>
      <c r="S629" t="s">
        <v>57</v>
      </c>
      <c r="T629" t="s">
        <v>58</v>
      </c>
      <c r="U629" s="4">
        <v>0.7</v>
      </c>
      <c r="V629" s="2">
        <v>0</v>
      </c>
      <c r="W629">
        <v>0</v>
      </c>
      <c r="X629" t="s">
        <v>70</v>
      </c>
      <c r="Y629" t="s">
        <v>60</v>
      </c>
      <c r="Z629">
        <v>0</v>
      </c>
      <c r="AA629" s="2">
        <v>0</v>
      </c>
      <c r="AB629" s="2">
        <v>0</v>
      </c>
      <c r="AC629" s="4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36.020000000000003</v>
      </c>
      <c r="AM629" s="2">
        <v>36.020000000000003</v>
      </c>
      <c r="AN629" s="2">
        <v>0</v>
      </c>
      <c r="AO629" s="2">
        <v>0</v>
      </c>
      <c r="AP629" s="2">
        <v>0</v>
      </c>
    </row>
    <row r="630" spans="1:42" x14ac:dyDescent="0.25">
      <c r="A630" s="1">
        <v>45915</v>
      </c>
      <c r="B630" t="s">
        <v>47</v>
      </c>
      <c r="C630">
        <v>649163</v>
      </c>
      <c r="D630">
        <v>2025803057</v>
      </c>
      <c r="E630" t="s">
        <v>1014</v>
      </c>
      <c r="F630" t="s">
        <v>1013</v>
      </c>
      <c r="G630" t="s">
        <v>50</v>
      </c>
      <c r="H630" t="s">
        <v>93</v>
      </c>
      <c r="I630" t="s">
        <v>441</v>
      </c>
      <c r="J630" t="s">
        <v>445</v>
      </c>
      <c r="K630">
        <v>806645</v>
      </c>
      <c r="L630" t="s">
        <v>382</v>
      </c>
      <c r="M630" t="s">
        <v>366</v>
      </c>
      <c r="N630" t="s">
        <v>56</v>
      </c>
      <c r="O630" s="1">
        <v>45613</v>
      </c>
      <c r="P630" s="1">
        <v>45947</v>
      </c>
      <c r="Q630" s="2">
        <v>41.29</v>
      </c>
      <c r="R630">
        <v>1</v>
      </c>
      <c r="S630" t="s">
        <v>57</v>
      </c>
      <c r="T630" t="s">
        <v>58</v>
      </c>
      <c r="U630" s="4">
        <v>0.7</v>
      </c>
      <c r="V630" s="2">
        <v>0</v>
      </c>
      <c r="W630">
        <v>0</v>
      </c>
      <c r="X630" t="s">
        <v>70</v>
      </c>
      <c r="Y630" t="s">
        <v>60</v>
      </c>
      <c r="Z630">
        <v>0</v>
      </c>
      <c r="AA630" s="2">
        <v>0</v>
      </c>
      <c r="AB630" s="2">
        <v>0</v>
      </c>
      <c r="AC630" s="4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28.9</v>
      </c>
      <c r="AM630" s="2">
        <v>28.9</v>
      </c>
      <c r="AN630" s="2">
        <v>0</v>
      </c>
      <c r="AO630" s="2">
        <v>0</v>
      </c>
      <c r="AP630" s="2">
        <v>0</v>
      </c>
    </row>
    <row r="631" spans="1:42" x14ac:dyDescent="0.25">
      <c r="A631" s="1">
        <v>45915</v>
      </c>
      <c r="B631" t="s">
        <v>47</v>
      </c>
      <c r="C631">
        <v>649163</v>
      </c>
      <c r="D631">
        <v>2025820173</v>
      </c>
      <c r="E631" t="s">
        <v>793</v>
      </c>
      <c r="F631" t="s">
        <v>792</v>
      </c>
      <c r="G631" t="s">
        <v>50</v>
      </c>
      <c r="H631" t="s">
        <v>141</v>
      </c>
      <c r="I631" t="s">
        <v>441</v>
      </c>
      <c r="J631" t="s">
        <v>445</v>
      </c>
      <c r="K631">
        <v>796984</v>
      </c>
      <c r="L631" t="s">
        <v>221</v>
      </c>
      <c r="M631" t="s">
        <v>62</v>
      </c>
      <c r="N631" t="s">
        <v>56</v>
      </c>
      <c r="O631" s="1">
        <v>45615</v>
      </c>
      <c r="P631" s="1">
        <v>45949</v>
      </c>
      <c r="Q631" s="2">
        <v>9.6999999999999993</v>
      </c>
      <c r="R631">
        <v>1</v>
      </c>
      <c r="S631" t="s">
        <v>57</v>
      </c>
      <c r="T631" t="s">
        <v>58</v>
      </c>
      <c r="U631" s="4">
        <v>0.7</v>
      </c>
      <c r="V631" s="2">
        <v>0</v>
      </c>
      <c r="W631">
        <v>0</v>
      </c>
      <c r="X631" t="s">
        <v>70</v>
      </c>
      <c r="Y631" t="s">
        <v>60</v>
      </c>
      <c r="Z631">
        <v>0</v>
      </c>
      <c r="AA631" s="2">
        <v>0</v>
      </c>
      <c r="AB631" s="2">
        <v>0</v>
      </c>
      <c r="AC631" s="4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6.79</v>
      </c>
      <c r="AM631" s="2">
        <v>6.79</v>
      </c>
      <c r="AN631" s="2">
        <v>0</v>
      </c>
      <c r="AO631" s="2">
        <v>0</v>
      </c>
      <c r="AP631" s="2">
        <v>0</v>
      </c>
    </row>
    <row r="632" spans="1:42" x14ac:dyDescent="0.25">
      <c r="A632" s="1">
        <v>45915</v>
      </c>
      <c r="B632" t="s">
        <v>47</v>
      </c>
      <c r="C632">
        <v>649163</v>
      </c>
      <c r="D632">
        <v>2025850683</v>
      </c>
      <c r="E632" t="s">
        <v>556</v>
      </c>
      <c r="F632" t="s">
        <v>791</v>
      </c>
      <c r="G632" t="s">
        <v>50</v>
      </c>
      <c r="H632" t="s">
        <v>193</v>
      </c>
      <c r="I632" t="s">
        <v>441</v>
      </c>
      <c r="J632" t="s">
        <v>445</v>
      </c>
      <c r="K632">
        <v>673059</v>
      </c>
      <c r="L632" t="s">
        <v>152</v>
      </c>
      <c r="M632" t="s">
        <v>153</v>
      </c>
      <c r="N632" t="s">
        <v>56</v>
      </c>
      <c r="O632" s="1">
        <v>45658</v>
      </c>
      <c r="P632" s="1">
        <v>45931</v>
      </c>
      <c r="Q632" s="2">
        <v>35.04</v>
      </c>
      <c r="R632">
        <v>1</v>
      </c>
      <c r="S632" t="s">
        <v>57</v>
      </c>
      <c r="T632" t="s">
        <v>58</v>
      </c>
      <c r="U632" s="4">
        <v>0.7</v>
      </c>
      <c r="V632" s="2">
        <v>0</v>
      </c>
      <c r="W632">
        <v>0</v>
      </c>
      <c r="X632" t="s">
        <v>70</v>
      </c>
      <c r="Y632" t="s">
        <v>60</v>
      </c>
      <c r="Z632">
        <v>0</v>
      </c>
      <c r="AA632" s="2">
        <v>0</v>
      </c>
      <c r="AB632" s="2">
        <v>0</v>
      </c>
      <c r="AC632" s="4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24.53</v>
      </c>
      <c r="AM632" s="2">
        <v>24.53</v>
      </c>
      <c r="AN632" s="2">
        <v>0</v>
      </c>
      <c r="AO632" s="2">
        <v>0</v>
      </c>
      <c r="AP632" s="2">
        <v>0</v>
      </c>
    </row>
    <row r="633" spans="1:42" x14ac:dyDescent="0.25">
      <c r="A633" s="1">
        <v>45915</v>
      </c>
      <c r="B633" t="s">
        <v>47</v>
      </c>
      <c r="D633">
        <v>2025850684</v>
      </c>
      <c r="E633" t="s">
        <v>556</v>
      </c>
      <c r="F633" t="s">
        <v>791</v>
      </c>
      <c r="G633" t="s">
        <v>50</v>
      </c>
      <c r="H633" t="s">
        <v>193</v>
      </c>
      <c r="I633" t="s">
        <v>441</v>
      </c>
      <c r="J633" t="s">
        <v>545</v>
      </c>
      <c r="L633" t="s">
        <v>152</v>
      </c>
      <c r="M633" t="s">
        <v>153</v>
      </c>
      <c r="N633" t="s">
        <v>56</v>
      </c>
      <c r="O633" s="1">
        <v>45658</v>
      </c>
      <c r="P633" s="1">
        <v>45931</v>
      </c>
      <c r="Q633" s="2">
        <v>25.73</v>
      </c>
      <c r="R633">
        <v>1</v>
      </c>
      <c r="S633" t="s">
        <v>57</v>
      </c>
      <c r="T633" t="s">
        <v>58</v>
      </c>
      <c r="U633" s="4">
        <v>0.7</v>
      </c>
      <c r="V633" s="2">
        <v>0</v>
      </c>
      <c r="W633">
        <v>0</v>
      </c>
      <c r="X633" t="s">
        <v>70</v>
      </c>
      <c r="Y633" t="s">
        <v>60</v>
      </c>
      <c r="Z633">
        <v>0</v>
      </c>
      <c r="AA633" s="2">
        <v>0</v>
      </c>
      <c r="AB633" s="2">
        <v>0</v>
      </c>
      <c r="AC633" s="4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18.010000000000002</v>
      </c>
      <c r="AM633" s="2">
        <v>18.010000000000002</v>
      </c>
      <c r="AN633" s="2">
        <v>0</v>
      </c>
      <c r="AO633" s="2">
        <v>0</v>
      </c>
      <c r="AP633" s="2">
        <v>0</v>
      </c>
    </row>
    <row r="634" spans="1:42" x14ac:dyDescent="0.25">
      <c r="A634" s="1">
        <v>45915</v>
      </c>
      <c r="B634" t="s">
        <v>47</v>
      </c>
      <c r="C634">
        <v>649163</v>
      </c>
      <c r="D634">
        <v>2026061217</v>
      </c>
      <c r="E634" t="s">
        <v>790</v>
      </c>
      <c r="F634" t="s">
        <v>789</v>
      </c>
      <c r="G634" t="s">
        <v>50</v>
      </c>
      <c r="H634" t="s">
        <v>141</v>
      </c>
      <c r="I634" t="s">
        <v>441</v>
      </c>
      <c r="J634" t="s">
        <v>445</v>
      </c>
      <c r="K634">
        <v>796984</v>
      </c>
      <c r="L634" t="s">
        <v>221</v>
      </c>
      <c r="M634" t="s">
        <v>62</v>
      </c>
      <c r="N634" t="s">
        <v>56</v>
      </c>
      <c r="O634" s="1">
        <v>45641</v>
      </c>
      <c r="P634" s="1">
        <v>45945</v>
      </c>
      <c r="Q634" s="2">
        <v>7.89</v>
      </c>
      <c r="R634">
        <v>1</v>
      </c>
      <c r="S634" t="s">
        <v>57</v>
      </c>
      <c r="T634" t="s">
        <v>58</v>
      </c>
      <c r="U634" s="4">
        <v>0.7</v>
      </c>
      <c r="V634" s="2">
        <v>0</v>
      </c>
      <c r="W634">
        <v>0</v>
      </c>
      <c r="X634" t="s">
        <v>70</v>
      </c>
      <c r="Y634" t="s">
        <v>60</v>
      </c>
      <c r="Z634">
        <v>0</v>
      </c>
      <c r="AA634" s="2">
        <v>0</v>
      </c>
      <c r="AB634" s="2">
        <v>0</v>
      </c>
      <c r="AC634" s="4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5.52</v>
      </c>
      <c r="AM634" s="2">
        <v>5.52</v>
      </c>
      <c r="AN634" s="2">
        <v>0</v>
      </c>
      <c r="AO634" s="2">
        <v>0</v>
      </c>
      <c r="AP634" s="2">
        <v>0</v>
      </c>
    </row>
    <row r="635" spans="1:42" x14ac:dyDescent="0.25">
      <c r="A635" s="1">
        <v>45915</v>
      </c>
      <c r="B635" t="s">
        <v>47</v>
      </c>
      <c r="C635">
        <v>649163</v>
      </c>
      <c r="D635">
        <v>2026111641</v>
      </c>
      <c r="E635" t="s">
        <v>1012</v>
      </c>
      <c r="F635" t="s">
        <v>1011</v>
      </c>
      <c r="G635" t="s">
        <v>50</v>
      </c>
      <c r="H635" t="s">
        <v>141</v>
      </c>
      <c r="I635" t="s">
        <v>441</v>
      </c>
      <c r="J635" t="s">
        <v>445</v>
      </c>
      <c r="K635">
        <v>796984</v>
      </c>
      <c r="L635" t="s">
        <v>221</v>
      </c>
      <c r="M635" t="s">
        <v>62</v>
      </c>
      <c r="N635" t="s">
        <v>56</v>
      </c>
      <c r="O635" s="1">
        <v>45641</v>
      </c>
      <c r="P635" s="1">
        <v>45945</v>
      </c>
      <c r="Q635" s="2">
        <v>27.38</v>
      </c>
      <c r="R635">
        <v>1</v>
      </c>
      <c r="S635" t="s">
        <v>57</v>
      </c>
      <c r="T635" t="s">
        <v>58</v>
      </c>
      <c r="U635" s="4">
        <v>0.7</v>
      </c>
      <c r="V635" s="2">
        <v>0</v>
      </c>
      <c r="W635">
        <v>0</v>
      </c>
      <c r="X635" t="s">
        <v>70</v>
      </c>
      <c r="Y635" t="s">
        <v>60</v>
      </c>
      <c r="Z635">
        <v>0</v>
      </c>
      <c r="AA635" s="2">
        <v>0</v>
      </c>
      <c r="AB635" s="2">
        <v>0</v>
      </c>
      <c r="AC635" s="4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19.170000000000002</v>
      </c>
      <c r="AM635" s="2">
        <v>19.170000000000002</v>
      </c>
      <c r="AN635" s="2">
        <v>0</v>
      </c>
      <c r="AO635" s="2">
        <v>0</v>
      </c>
      <c r="AP635" s="2">
        <v>0</v>
      </c>
    </row>
    <row r="636" spans="1:42" x14ac:dyDescent="0.25">
      <c r="A636" s="1">
        <v>45915</v>
      </c>
      <c r="B636" t="s">
        <v>47</v>
      </c>
      <c r="C636">
        <v>649163</v>
      </c>
      <c r="D636">
        <v>2026114178</v>
      </c>
      <c r="E636" t="s">
        <v>1010</v>
      </c>
      <c r="F636" t="s">
        <v>49</v>
      </c>
      <c r="G636" t="s">
        <v>50</v>
      </c>
      <c r="H636" t="s">
        <v>115</v>
      </c>
      <c r="I636" t="s">
        <v>441</v>
      </c>
      <c r="J636" t="s">
        <v>445</v>
      </c>
      <c r="K636">
        <v>792847</v>
      </c>
      <c r="L636" t="s">
        <v>137</v>
      </c>
      <c r="M636" t="s">
        <v>138</v>
      </c>
      <c r="N636" t="s">
        <v>56</v>
      </c>
      <c r="O636" s="1">
        <v>45638</v>
      </c>
      <c r="P636" s="1">
        <v>45942</v>
      </c>
      <c r="Q636" s="2">
        <v>13</v>
      </c>
      <c r="R636">
        <v>1</v>
      </c>
      <c r="S636" t="s">
        <v>57</v>
      </c>
      <c r="T636" t="s">
        <v>58</v>
      </c>
      <c r="U636" s="4">
        <v>0.7</v>
      </c>
      <c r="V636" s="2">
        <v>0</v>
      </c>
      <c r="W636">
        <v>0</v>
      </c>
      <c r="X636" t="s">
        <v>70</v>
      </c>
      <c r="Y636" t="s">
        <v>60</v>
      </c>
      <c r="Z636">
        <v>0</v>
      </c>
      <c r="AA636" s="2">
        <v>0</v>
      </c>
      <c r="AB636" s="2">
        <v>0</v>
      </c>
      <c r="AC636" s="4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9.1</v>
      </c>
      <c r="AM636" s="2">
        <v>9.1</v>
      </c>
      <c r="AN636" s="2">
        <v>0</v>
      </c>
      <c r="AO636" s="2">
        <v>0</v>
      </c>
      <c r="AP636" s="2">
        <v>0</v>
      </c>
    </row>
    <row r="637" spans="1:42" x14ac:dyDescent="0.25">
      <c r="A637" s="1">
        <v>45915</v>
      </c>
      <c r="B637" t="s">
        <v>47</v>
      </c>
      <c r="C637">
        <v>649163</v>
      </c>
      <c r="D637">
        <v>2026153889</v>
      </c>
      <c r="E637" t="s">
        <v>1009</v>
      </c>
      <c r="F637" t="s">
        <v>1008</v>
      </c>
      <c r="G637" t="s">
        <v>50</v>
      </c>
      <c r="H637" t="s">
        <v>183</v>
      </c>
      <c r="I637" t="s">
        <v>441</v>
      </c>
      <c r="J637" t="s">
        <v>445</v>
      </c>
      <c r="K637">
        <v>651818</v>
      </c>
      <c r="L637" t="s">
        <v>108</v>
      </c>
      <c r="M637" t="s">
        <v>109</v>
      </c>
      <c r="N637" t="s">
        <v>56</v>
      </c>
      <c r="O637" s="1">
        <v>45664</v>
      </c>
      <c r="P637" s="1">
        <v>45937</v>
      </c>
      <c r="Q637" s="2">
        <v>60.76</v>
      </c>
      <c r="R637">
        <v>1</v>
      </c>
      <c r="S637" t="s">
        <v>57</v>
      </c>
      <c r="T637" t="s">
        <v>58</v>
      </c>
      <c r="U637" s="4">
        <v>0.7</v>
      </c>
      <c r="V637" s="2">
        <v>0</v>
      </c>
      <c r="W637">
        <v>0</v>
      </c>
      <c r="X637" t="s">
        <v>70</v>
      </c>
      <c r="Y637" t="s">
        <v>60</v>
      </c>
      <c r="Z637">
        <v>0</v>
      </c>
      <c r="AA637" s="2">
        <v>0</v>
      </c>
      <c r="AB637" s="2">
        <v>0</v>
      </c>
      <c r="AC637" s="4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42.53</v>
      </c>
      <c r="AM637" s="2">
        <v>42.53</v>
      </c>
      <c r="AN637" s="2">
        <v>0</v>
      </c>
      <c r="AO637" s="2">
        <v>0</v>
      </c>
      <c r="AP637" s="2">
        <v>0</v>
      </c>
    </row>
    <row r="638" spans="1:42" x14ac:dyDescent="0.25">
      <c r="A638" s="1">
        <v>45915</v>
      </c>
      <c r="B638" t="s">
        <v>47</v>
      </c>
      <c r="C638">
        <v>649163</v>
      </c>
      <c r="D638">
        <v>2026179999</v>
      </c>
      <c r="E638" t="s">
        <v>1007</v>
      </c>
      <c r="F638" t="s">
        <v>1006</v>
      </c>
      <c r="G638" t="s">
        <v>50</v>
      </c>
      <c r="H638" t="s">
        <v>93</v>
      </c>
      <c r="I638" t="s">
        <v>441</v>
      </c>
      <c r="J638" t="s">
        <v>445</v>
      </c>
      <c r="K638">
        <v>812656</v>
      </c>
      <c r="L638" t="s">
        <v>338</v>
      </c>
      <c r="M638" t="s">
        <v>377</v>
      </c>
      <c r="N638" t="s">
        <v>56</v>
      </c>
      <c r="O638" s="1">
        <v>45641</v>
      </c>
      <c r="P638" s="1">
        <v>45945</v>
      </c>
      <c r="Q638" s="2">
        <v>31.6</v>
      </c>
      <c r="R638">
        <v>1</v>
      </c>
      <c r="S638" t="s">
        <v>57</v>
      </c>
      <c r="T638" t="s">
        <v>58</v>
      </c>
      <c r="U638" s="4">
        <v>0.7</v>
      </c>
      <c r="V638" s="2">
        <v>0</v>
      </c>
      <c r="W638">
        <v>0</v>
      </c>
      <c r="X638" t="s">
        <v>70</v>
      </c>
      <c r="Y638" t="s">
        <v>60</v>
      </c>
      <c r="Z638">
        <v>0</v>
      </c>
      <c r="AA638" s="2">
        <v>0</v>
      </c>
      <c r="AB638" s="2">
        <v>0</v>
      </c>
      <c r="AC638" s="4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22.12</v>
      </c>
      <c r="AM638" s="2">
        <v>22.12</v>
      </c>
      <c r="AN638" s="2">
        <v>0</v>
      </c>
      <c r="AO638" s="2">
        <v>0</v>
      </c>
      <c r="AP638" s="2">
        <v>0</v>
      </c>
    </row>
    <row r="639" spans="1:42" x14ac:dyDescent="0.25">
      <c r="A639" s="1">
        <v>45915</v>
      </c>
      <c r="B639" t="s">
        <v>47</v>
      </c>
      <c r="C639">
        <v>649163</v>
      </c>
      <c r="D639">
        <v>2026180757</v>
      </c>
      <c r="E639" t="s">
        <v>1005</v>
      </c>
      <c r="F639" t="s">
        <v>1004</v>
      </c>
      <c r="G639" t="s">
        <v>50</v>
      </c>
      <c r="H639" t="s">
        <v>141</v>
      </c>
      <c r="I639" t="s">
        <v>441</v>
      </c>
      <c r="J639" t="s">
        <v>445</v>
      </c>
      <c r="K639">
        <v>816021</v>
      </c>
      <c r="L639" t="s">
        <v>142</v>
      </c>
      <c r="M639" t="s">
        <v>143</v>
      </c>
      <c r="N639" t="s">
        <v>56</v>
      </c>
      <c r="O639" s="1">
        <v>45641</v>
      </c>
      <c r="P639" s="1">
        <v>45945</v>
      </c>
      <c r="Q639" s="2">
        <v>9.1</v>
      </c>
      <c r="R639">
        <v>1</v>
      </c>
      <c r="S639" t="s">
        <v>57</v>
      </c>
      <c r="T639" t="s">
        <v>58</v>
      </c>
      <c r="U639" s="4">
        <v>0.7</v>
      </c>
      <c r="V639" s="2">
        <v>0</v>
      </c>
      <c r="W639">
        <v>0</v>
      </c>
      <c r="X639" t="s">
        <v>70</v>
      </c>
      <c r="Y639" t="s">
        <v>60</v>
      </c>
      <c r="Z639">
        <v>0</v>
      </c>
      <c r="AA639" s="2">
        <v>0</v>
      </c>
      <c r="AB639" s="2">
        <v>0</v>
      </c>
      <c r="AC639" s="4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6.37</v>
      </c>
      <c r="AM639" s="2">
        <v>6.37</v>
      </c>
      <c r="AN639" s="2">
        <v>0</v>
      </c>
      <c r="AO639" s="2">
        <v>0</v>
      </c>
      <c r="AP639" s="2">
        <v>0</v>
      </c>
    </row>
    <row r="640" spans="1:42" x14ac:dyDescent="0.25">
      <c r="A640" s="1">
        <v>45915</v>
      </c>
      <c r="B640" t="s">
        <v>47</v>
      </c>
      <c r="C640">
        <v>649163</v>
      </c>
      <c r="D640">
        <v>2026184417</v>
      </c>
      <c r="E640" t="s">
        <v>1003</v>
      </c>
      <c r="F640" t="s">
        <v>394</v>
      </c>
      <c r="G640" t="s">
        <v>50</v>
      </c>
      <c r="H640" t="s">
        <v>141</v>
      </c>
      <c r="I640" t="s">
        <v>441</v>
      </c>
      <c r="J640" t="s">
        <v>445</v>
      </c>
      <c r="K640">
        <v>816021</v>
      </c>
      <c r="L640" t="s">
        <v>142</v>
      </c>
      <c r="M640" t="s">
        <v>143</v>
      </c>
      <c r="N640" t="s">
        <v>56</v>
      </c>
      <c r="O640" s="1">
        <v>45641</v>
      </c>
      <c r="P640" s="1">
        <v>45945</v>
      </c>
      <c r="Q640" s="2">
        <v>9.1</v>
      </c>
      <c r="R640">
        <v>1</v>
      </c>
      <c r="S640" t="s">
        <v>57</v>
      </c>
      <c r="T640" t="s">
        <v>58</v>
      </c>
      <c r="U640" s="4">
        <v>0.7</v>
      </c>
      <c r="V640" s="2">
        <v>0</v>
      </c>
      <c r="W640">
        <v>0</v>
      </c>
      <c r="X640" t="s">
        <v>70</v>
      </c>
      <c r="Y640" t="s">
        <v>60</v>
      </c>
      <c r="Z640">
        <v>0</v>
      </c>
      <c r="AA640" s="2">
        <v>0</v>
      </c>
      <c r="AB640" s="2">
        <v>0</v>
      </c>
      <c r="AC640" s="4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6.37</v>
      </c>
      <c r="AM640" s="2">
        <v>6.37</v>
      </c>
      <c r="AN640" s="2">
        <v>0</v>
      </c>
      <c r="AO640" s="2">
        <v>0</v>
      </c>
      <c r="AP640" s="2">
        <v>0</v>
      </c>
    </row>
    <row r="641" spans="1:42" x14ac:dyDescent="0.25">
      <c r="A641" s="1">
        <v>45915</v>
      </c>
      <c r="B641" t="s">
        <v>47</v>
      </c>
      <c r="C641">
        <v>649163</v>
      </c>
      <c r="D641">
        <v>2026186218</v>
      </c>
      <c r="E641" t="s">
        <v>1002</v>
      </c>
      <c r="F641" t="s">
        <v>1001</v>
      </c>
      <c r="G641" t="s">
        <v>50</v>
      </c>
      <c r="H641" t="s">
        <v>121</v>
      </c>
      <c r="I641" t="s">
        <v>441</v>
      </c>
      <c r="J641" t="s">
        <v>445</v>
      </c>
      <c r="K641">
        <v>767312</v>
      </c>
      <c r="L641" t="s">
        <v>122</v>
      </c>
      <c r="M641" t="s">
        <v>123</v>
      </c>
      <c r="N641" t="s">
        <v>56</v>
      </c>
      <c r="O641" s="1">
        <v>45641</v>
      </c>
      <c r="P641" s="1">
        <v>45945</v>
      </c>
      <c r="Q641" s="2">
        <v>94.38</v>
      </c>
      <c r="R641">
        <v>1</v>
      </c>
      <c r="S641" t="s">
        <v>57</v>
      </c>
      <c r="T641" t="s">
        <v>58</v>
      </c>
      <c r="U641" s="4">
        <v>0.7</v>
      </c>
      <c r="V641" s="2">
        <v>0</v>
      </c>
      <c r="W641">
        <v>0</v>
      </c>
      <c r="X641" t="s">
        <v>70</v>
      </c>
      <c r="Y641" t="s">
        <v>60</v>
      </c>
      <c r="Z641">
        <v>0</v>
      </c>
      <c r="AA641" s="2">
        <v>0</v>
      </c>
      <c r="AB641" s="2">
        <v>0</v>
      </c>
      <c r="AC641" s="4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66.069999999999993</v>
      </c>
      <c r="AM641" s="2">
        <v>66.069999999999993</v>
      </c>
      <c r="AN641" s="2">
        <v>0</v>
      </c>
      <c r="AO641" s="2">
        <v>0</v>
      </c>
      <c r="AP641" s="2">
        <v>0</v>
      </c>
    </row>
    <row r="642" spans="1:42" x14ac:dyDescent="0.25">
      <c r="A642" s="1">
        <v>45915</v>
      </c>
      <c r="B642" t="s">
        <v>47</v>
      </c>
      <c r="C642">
        <v>649163</v>
      </c>
      <c r="D642">
        <v>2026189547</v>
      </c>
      <c r="E642" t="s">
        <v>1000</v>
      </c>
      <c r="F642" t="s">
        <v>999</v>
      </c>
      <c r="G642" t="s">
        <v>50</v>
      </c>
      <c r="H642" t="s">
        <v>93</v>
      </c>
      <c r="I642" t="s">
        <v>441</v>
      </c>
      <c r="J642" t="s">
        <v>445</v>
      </c>
      <c r="K642">
        <v>807212</v>
      </c>
      <c r="L642" t="s">
        <v>467</v>
      </c>
      <c r="M642" t="s">
        <v>468</v>
      </c>
      <c r="N642" t="s">
        <v>56</v>
      </c>
      <c r="O642" s="1">
        <v>45642</v>
      </c>
      <c r="P642" s="1">
        <v>45946</v>
      </c>
      <c r="Q642" s="2">
        <v>19</v>
      </c>
      <c r="R642">
        <v>1</v>
      </c>
      <c r="S642" t="s">
        <v>57</v>
      </c>
      <c r="T642" t="s">
        <v>58</v>
      </c>
      <c r="U642" s="4">
        <v>0.7</v>
      </c>
      <c r="V642" s="2">
        <v>0</v>
      </c>
      <c r="W642">
        <v>0</v>
      </c>
      <c r="X642" t="s">
        <v>70</v>
      </c>
      <c r="Y642" t="s">
        <v>60</v>
      </c>
      <c r="Z642">
        <v>0</v>
      </c>
      <c r="AA642" s="2">
        <v>0</v>
      </c>
      <c r="AB642" s="2">
        <v>0</v>
      </c>
      <c r="AC642" s="4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13.3</v>
      </c>
      <c r="AM642" s="2">
        <v>13.3</v>
      </c>
      <c r="AN642" s="2">
        <v>0</v>
      </c>
      <c r="AO642" s="2">
        <v>0</v>
      </c>
      <c r="AP642" s="2">
        <v>0</v>
      </c>
    </row>
    <row r="643" spans="1:42" x14ac:dyDescent="0.25">
      <c r="A643" s="1">
        <v>45915</v>
      </c>
      <c r="B643" t="s">
        <v>47</v>
      </c>
      <c r="C643">
        <v>649163</v>
      </c>
      <c r="D643">
        <v>2026206372</v>
      </c>
      <c r="E643" t="s">
        <v>998</v>
      </c>
      <c r="F643" t="s">
        <v>997</v>
      </c>
      <c r="G643" t="s">
        <v>50</v>
      </c>
      <c r="H643" t="s">
        <v>115</v>
      </c>
      <c r="I643" t="s">
        <v>441</v>
      </c>
      <c r="J643" t="s">
        <v>442</v>
      </c>
      <c r="K643">
        <v>651818</v>
      </c>
      <c r="L643" t="s">
        <v>108</v>
      </c>
      <c r="M643" t="s">
        <v>109</v>
      </c>
      <c r="N643" t="s">
        <v>56</v>
      </c>
      <c r="O643" s="1">
        <v>45644</v>
      </c>
      <c r="P643" s="1">
        <v>45948</v>
      </c>
      <c r="Q643" s="2">
        <v>74</v>
      </c>
      <c r="R643">
        <v>1</v>
      </c>
      <c r="S643" t="s">
        <v>57</v>
      </c>
      <c r="T643" t="s">
        <v>58</v>
      </c>
      <c r="U643" s="4">
        <v>0.9</v>
      </c>
      <c r="V643" s="2">
        <v>0</v>
      </c>
      <c r="W643">
        <v>0</v>
      </c>
      <c r="X643" t="s">
        <v>70</v>
      </c>
      <c r="Y643" t="s">
        <v>60</v>
      </c>
      <c r="Z643">
        <v>0</v>
      </c>
      <c r="AA643" s="2">
        <v>0</v>
      </c>
      <c r="AB643" s="2">
        <v>0</v>
      </c>
      <c r="AC643" s="4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66.599999999999994</v>
      </c>
      <c r="AM643" s="2">
        <v>66.599999999999994</v>
      </c>
      <c r="AN643" s="2">
        <v>0</v>
      </c>
      <c r="AO643" s="2">
        <v>0</v>
      </c>
      <c r="AP643" s="2">
        <v>0</v>
      </c>
    </row>
    <row r="644" spans="1:42" x14ac:dyDescent="0.25">
      <c r="A644" s="1">
        <v>45915</v>
      </c>
      <c r="B644" t="s">
        <v>47</v>
      </c>
      <c r="C644">
        <v>649163</v>
      </c>
      <c r="D644">
        <v>2026206771</v>
      </c>
      <c r="E644" t="s">
        <v>996</v>
      </c>
      <c r="F644" t="s">
        <v>583</v>
      </c>
      <c r="G644" t="s">
        <v>50</v>
      </c>
      <c r="H644" t="s">
        <v>115</v>
      </c>
      <c r="I644" t="s">
        <v>441</v>
      </c>
      <c r="J644" t="s">
        <v>442</v>
      </c>
      <c r="K644">
        <v>767312</v>
      </c>
      <c r="L644" t="s">
        <v>122</v>
      </c>
      <c r="M644" t="s">
        <v>123</v>
      </c>
      <c r="N644" t="s">
        <v>56</v>
      </c>
      <c r="O644" s="1">
        <v>45645</v>
      </c>
      <c r="P644" s="1">
        <v>45949</v>
      </c>
      <c r="Q644" s="2">
        <v>51.78</v>
      </c>
      <c r="R644">
        <v>1</v>
      </c>
      <c r="S644" t="s">
        <v>57</v>
      </c>
      <c r="T644" t="s">
        <v>58</v>
      </c>
      <c r="U644" s="4">
        <v>0.9</v>
      </c>
      <c r="V644" s="2">
        <v>0</v>
      </c>
      <c r="W644">
        <v>0</v>
      </c>
      <c r="X644" t="s">
        <v>70</v>
      </c>
      <c r="Y644" t="s">
        <v>60</v>
      </c>
      <c r="Z644">
        <v>0</v>
      </c>
      <c r="AA644" s="2">
        <v>0</v>
      </c>
      <c r="AB644" s="2">
        <v>0</v>
      </c>
      <c r="AC644" s="4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46.6</v>
      </c>
      <c r="AM644" s="2">
        <v>46.6</v>
      </c>
      <c r="AN644" s="2">
        <v>0</v>
      </c>
      <c r="AO644" s="2">
        <v>0</v>
      </c>
      <c r="AP644" s="2">
        <v>0</v>
      </c>
    </row>
    <row r="645" spans="1:42" x14ac:dyDescent="0.25">
      <c r="A645" s="1">
        <v>45915</v>
      </c>
      <c r="B645" t="s">
        <v>47</v>
      </c>
      <c r="C645">
        <v>649163</v>
      </c>
      <c r="D645">
        <v>2026213328</v>
      </c>
      <c r="E645" t="s">
        <v>788</v>
      </c>
      <c r="F645" t="s">
        <v>787</v>
      </c>
      <c r="G645" t="s">
        <v>50</v>
      </c>
      <c r="H645" t="s">
        <v>151</v>
      </c>
      <c r="I645" t="s">
        <v>441</v>
      </c>
      <c r="J645" t="s">
        <v>445</v>
      </c>
      <c r="K645">
        <v>756418</v>
      </c>
      <c r="L645" t="s">
        <v>257</v>
      </c>
      <c r="M645" t="s">
        <v>258</v>
      </c>
      <c r="N645" t="s">
        <v>56</v>
      </c>
      <c r="O645" s="1">
        <v>45644</v>
      </c>
      <c r="P645" s="1">
        <v>45948</v>
      </c>
      <c r="Q645" s="2">
        <v>91.96</v>
      </c>
      <c r="R645">
        <v>1</v>
      </c>
      <c r="S645" t="s">
        <v>57</v>
      </c>
      <c r="T645" t="s">
        <v>58</v>
      </c>
      <c r="U645" s="4">
        <v>0.7</v>
      </c>
      <c r="V645" s="2">
        <v>0</v>
      </c>
      <c r="W645">
        <v>0</v>
      </c>
      <c r="X645" t="s">
        <v>70</v>
      </c>
      <c r="Y645" t="s">
        <v>60</v>
      </c>
      <c r="Z645">
        <v>0</v>
      </c>
      <c r="AA645" s="2">
        <v>0</v>
      </c>
      <c r="AB645" s="2">
        <v>0</v>
      </c>
      <c r="AC645" s="4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64.37</v>
      </c>
      <c r="AM645" s="2">
        <v>64.37</v>
      </c>
      <c r="AN645" s="2">
        <v>0</v>
      </c>
      <c r="AO645" s="2">
        <v>0</v>
      </c>
      <c r="AP645" s="2">
        <v>0</v>
      </c>
    </row>
    <row r="646" spans="1:42" x14ac:dyDescent="0.25">
      <c r="A646" s="1">
        <v>45915</v>
      </c>
      <c r="B646" t="s">
        <v>47</v>
      </c>
      <c r="C646">
        <v>649163</v>
      </c>
      <c r="D646">
        <v>2026219525</v>
      </c>
      <c r="E646" t="s">
        <v>156</v>
      </c>
      <c r="F646" t="s">
        <v>995</v>
      </c>
      <c r="G646" t="s">
        <v>50</v>
      </c>
      <c r="H646" t="s">
        <v>83</v>
      </c>
      <c r="I646" t="s">
        <v>441</v>
      </c>
      <c r="J646" t="s">
        <v>442</v>
      </c>
      <c r="K646">
        <v>651818</v>
      </c>
      <c r="L646" t="s">
        <v>108</v>
      </c>
      <c r="M646" t="s">
        <v>109</v>
      </c>
      <c r="N646" t="s">
        <v>56</v>
      </c>
      <c r="O646" s="1">
        <v>45669</v>
      </c>
      <c r="P646" s="1">
        <v>45942</v>
      </c>
      <c r="Q646" s="2">
        <v>79.5</v>
      </c>
      <c r="R646">
        <v>1</v>
      </c>
      <c r="S646" t="s">
        <v>57</v>
      </c>
      <c r="T646" t="s">
        <v>58</v>
      </c>
      <c r="U646" s="4">
        <v>0.9</v>
      </c>
      <c r="V646" s="2">
        <v>0</v>
      </c>
      <c r="W646">
        <v>0</v>
      </c>
      <c r="X646" t="s">
        <v>70</v>
      </c>
      <c r="Y646" t="s">
        <v>60</v>
      </c>
      <c r="Z646">
        <v>0</v>
      </c>
      <c r="AA646" s="2">
        <v>0</v>
      </c>
      <c r="AB646" s="2">
        <v>0</v>
      </c>
      <c r="AC646" s="4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71.55</v>
      </c>
      <c r="AM646" s="2">
        <v>71.55</v>
      </c>
      <c r="AN646" s="2">
        <v>0</v>
      </c>
      <c r="AO646" s="2">
        <v>0</v>
      </c>
      <c r="AP646" s="2">
        <v>0</v>
      </c>
    </row>
    <row r="647" spans="1:42" x14ac:dyDescent="0.25">
      <c r="A647" s="1">
        <v>45915</v>
      </c>
      <c r="B647" t="s">
        <v>47</v>
      </c>
      <c r="C647">
        <v>649163</v>
      </c>
      <c r="D647">
        <v>2026561983</v>
      </c>
      <c r="E647" t="s">
        <v>994</v>
      </c>
      <c r="F647" t="s">
        <v>993</v>
      </c>
      <c r="G647" t="s">
        <v>50</v>
      </c>
      <c r="H647" t="s">
        <v>93</v>
      </c>
      <c r="I647" t="s">
        <v>441</v>
      </c>
      <c r="J647" t="s">
        <v>445</v>
      </c>
      <c r="K647">
        <v>792847</v>
      </c>
      <c r="L647" t="s">
        <v>137</v>
      </c>
      <c r="M647" t="s">
        <v>138</v>
      </c>
      <c r="N647" t="s">
        <v>56</v>
      </c>
      <c r="O647" s="1">
        <v>45672</v>
      </c>
      <c r="P647" s="1">
        <v>45945</v>
      </c>
      <c r="Q647" s="2">
        <v>49.8</v>
      </c>
      <c r="R647">
        <v>1</v>
      </c>
      <c r="S647" t="s">
        <v>57</v>
      </c>
      <c r="T647" t="s">
        <v>58</v>
      </c>
      <c r="U647" s="4">
        <v>0.7</v>
      </c>
      <c r="V647" s="2">
        <v>0</v>
      </c>
      <c r="W647">
        <v>0</v>
      </c>
      <c r="X647" t="s">
        <v>70</v>
      </c>
      <c r="Y647" t="s">
        <v>60</v>
      </c>
      <c r="Z647">
        <v>0</v>
      </c>
      <c r="AA647" s="2">
        <v>0</v>
      </c>
      <c r="AB647" s="2">
        <v>0</v>
      </c>
      <c r="AC647" s="4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34.86</v>
      </c>
      <c r="AM647" s="2">
        <v>34.86</v>
      </c>
      <c r="AN647" s="2">
        <v>0</v>
      </c>
      <c r="AO647" s="2">
        <v>0</v>
      </c>
      <c r="AP647" s="2">
        <v>0</v>
      </c>
    </row>
    <row r="648" spans="1:42" x14ac:dyDescent="0.25">
      <c r="A648" s="1">
        <v>45915</v>
      </c>
      <c r="B648" t="s">
        <v>47</v>
      </c>
      <c r="C648">
        <v>649163</v>
      </c>
      <c r="D648">
        <v>2026568865</v>
      </c>
      <c r="E648" t="s">
        <v>231</v>
      </c>
      <c r="F648" t="s">
        <v>992</v>
      </c>
      <c r="G648" t="s">
        <v>50</v>
      </c>
      <c r="H648" t="s">
        <v>157</v>
      </c>
      <c r="I648" t="s">
        <v>441</v>
      </c>
      <c r="J648" t="s">
        <v>445</v>
      </c>
      <c r="K648">
        <v>756418</v>
      </c>
      <c r="L648" t="s">
        <v>257</v>
      </c>
      <c r="M648" t="s">
        <v>258</v>
      </c>
      <c r="N648" t="s">
        <v>56</v>
      </c>
      <c r="O648" s="1">
        <v>45671</v>
      </c>
      <c r="P648" s="1">
        <v>45944</v>
      </c>
      <c r="Q648" s="2">
        <v>45.97</v>
      </c>
      <c r="R648">
        <v>1</v>
      </c>
      <c r="S648" t="s">
        <v>57</v>
      </c>
      <c r="T648" t="s">
        <v>58</v>
      </c>
      <c r="U648" s="4">
        <v>0.7</v>
      </c>
      <c r="V648" s="2">
        <v>0</v>
      </c>
      <c r="W648">
        <v>0</v>
      </c>
      <c r="X648" t="s">
        <v>70</v>
      </c>
      <c r="Y648" t="s">
        <v>60</v>
      </c>
      <c r="Z648">
        <v>0</v>
      </c>
      <c r="AA648" s="2">
        <v>0</v>
      </c>
      <c r="AB648" s="2">
        <v>0</v>
      </c>
      <c r="AC648" s="4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32.18</v>
      </c>
      <c r="AM648" s="2">
        <v>32.18</v>
      </c>
      <c r="AN648" s="2">
        <v>0</v>
      </c>
      <c r="AO648" s="2">
        <v>0</v>
      </c>
      <c r="AP648" s="2">
        <v>0</v>
      </c>
    </row>
    <row r="649" spans="1:42" x14ac:dyDescent="0.25">
      <c r="A649" s="1">
        <v>45915</v>
      </c>
      <c r="B649" t="s">
        <v>47</v>
      </c>
      <c r="C649">
        <v>649163</v>
      </c>
      <c r="D649">
        <v>2026572545</v>
      </c>
      <c r="E649" t="s">
        <v>629</v>
      </c>
      <c r="F649" t="s">
        <v>628</v>
      </c>
      <c r="G649" t="s">
        <v>50</v>
      </c>
      <c r="H649" t="s">
        <v>93</v>
      </c>
      <c r="I649" t="s">
        <v>441</v>
      </c>
      <c r="J649" t="s">
        <v>445</v>
      </c>
      <c r="K649">
        <v>764123</v>
      </c>
      <c r="L649" t="s">
        <v>629</v>
      </c>
      <c r="M649" t="s">
        <v>628</v>
      </c>
      <c r="N649" t="s">
        <v>56</v>
      </c>
      <c r="O649" s="1">
        <v>45671</v>
      </c>
      <c r="P649" s="1">
        <v>45944</v>
      </c>
      <c r="Q649" s="2">
        <v>26.5</v>
      </c>
      <c r="R649">
        <v>1</v>
      </c>
      <c r="S649" t="s">
        <v>57</v>
      </c>
      <c r="T649" t="s">
        <v>58</v>
      </c>
      <c r="U649" s="4">
        <v>0.7</v>
      </c>
      <c r="V649" s="2">
        <v>0</v>
      </c>
      <c r="W649">
        <v>0</v>
      </c>
      <c r="X649" t="s">
        <v>70</v>
      </c>
      <c r="Y649" t="s">
        <v>60</v>
      </c>
      <c r="Z649">
        <v>0</v>
      </c>
      <c r="AA649" s="2">
        <v>0</v>
      </c>
      <c r="AB649" s="2">
        <v>0</v>
      </c>
      <c r="AC649" s="4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18.55</v>
      </c>
      <c r="AM649" s="2">
        <v>18.55</v>
      </c>
      <c r="AN649" s="2">
        <v>0</v>
      </c>
      <c r="AO649" s="2">
        <v>0</v>
      </c>
      <c r="AP649" s="2">
        <v>0</v>
      </c>
    </row>
    <row r="650" spans="1:42" x14ac:dyDescent="0.25">
      <c r="A650" s="1">
        <v>45915</v>
      </c>
      <c r="B650" t="s">
        <v>47</v>
      </c>
      <c r="C650">
        <v>649163</v>
      </c>
      <c r="D650">
        <v>2026581910</v>
      </c>
      <c r="E650" t="s">
        <v>990</v>
      </c>
      <c r="F650" t="s">
        <v>286</v>
      </c>
      <c r="G650" t="s">
        <v>50</v>
      </c>
      <c r="H650" t="s">
        <v>115</v>
      </c>
      <c r="I650" t="s">
        <v>441</v>
      </c>
      <c r="J650" t="s">
        <v>445</v>
      </c>
      <c r="K650">
        <v>767312</v>
      </c>
      <c r="L650" t="s">
        <v>122</v>
      </c>
      <c r="M650" t="s">
        <v>123</v>
      </c>
      <c r="N650" t="s">
        <v>56</v>
      </c>
      <c r="O650" s="1">
        <v>45672</v>
      </c>
      <c r="P650" s="1">
        <v>45945</v>
      </c>
      <c r="Q650" s="2">
        <v>198.42</v>
      </c>
      <c r="R650">
        <v>1</v>
      </c>
      <c r="S650" t="s">
        <v>57</v>
      </c>
      <c r="T650" t="s">
        <v>58</v>
      </c>
      <c r="U650" s="4">
        <v>0.7</v>
      </c>
      <c r="V650" s="2">
        <v>0</v>
      </c>
      <c r="W650">
        <v>0</v>
      </c>
      <c r="X650" t="s">
        <v>70</v>
      </c>
      <c r="Y650" t="s">
        <v>60</v>
      </c>
      <c r="Z650">
        <v>0</v>
      </c>
      <c r="AA650" s="2">
        <v>0</v>
      </c>
      <c r="AB650" s="2">
        <v>0</v>
      </c>
      <c r="AC650" s="4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138.88999999999999</v>
      </c>
      <c r="AM650" s="2">
        <v>138.88999999999999</v>
      </c>
      <c r="AN650" s="2">
        <v>0</v>
      </c>
      <c r="AO650" s="2">
        <v>0</v>
      </c>
      <c r="AP650" s="2">
        <v>0</v>
      </c>
    </row>
    <row r="651" spans="1:42" x14ac:dyDescent="0.25">
      <c r="A651" s="1">
        <v>45915</v>
      </c>
      <c r="B651" t="s">
        <v>47</v>
      </c>
      <c r="C651">
        <v>649163</v>
      </c>
      <c r="D651">
        <v>2026586620</v>
      </c>
      <c r="E651" t="s">
        <v>786</v>
      </c>
      <c r="F651" t="s">
        <v>337</v>
      </c>
      <c r="G651" t="s">
        <v>50</v>
      </c>
      <c r="H651" t="s">
        <v>408</v>
      </c>
      <c r="I651" t="s">
        <v>441</v>
      </c>
      <c r="J651" t="s">
        <v>445</v>
      </c>
      <c r="K651">
        <v>756418</v>
      </c>
      <c r="L651" t="s">
        <v>257</v>
      </c>
      <c r="M651" t="s">
        <v>258</v>
      </c>
      <c r="N651" t="s">
        <v>56</v>
      </c>
      <c r="O651" s="1">
        <v>45672</v>
      </c>
      <c r="P651" s="1">
        <v>45945</v>
      </c>
      <c r="Q651" s="2">
        <v>15.29</v>
      </c>
      <c r="R651">
        <v>1</v>
      </c>
      <c r="S651" t="s">
        <v>57</v>
      </c>
      <c r="T651" t="s">
        <v>58</v>
      </c>
      <c r="U651" s="4">
        <v>0.7</v>
      </c>
      <c r="V651" s="2">
        <v>0</v>
      </c>
      <c r="W651">
        <v>0</v>
      </c>
      <c r="X651" t="s">
        <v>70</v>
      </c>
      <c r="Y651" t="s">
        <v>60</v>
      </c>
      <c r="Z651">
        <v>0</v>
      </c>
      <c r="AA651" s="2">
        <v>0</v>
      </c>
      <c r="AB651" s="2">
        <v>0</v>
      </c>
      <c r="AC651" s="4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10.7</v>
      </c>
      <c r="AM651" s="2">
        <v>10.7</v>
      </c>
      <c r="AN651" s="2">
        <v>0</v>
      </c>
      <c r="AO651" s="2">
        <v>0</v>
      </c>
      <c r="AP651" s="2">
        <v>0</v>
      </c>
    </row>
    <row r="652" spans="1:42" x14ac:dyDescent="0.25">
      <c r="A652" s="1">
        <v>45915</v>
      </c>
      <c r="B652" t="s">
        <v>47</v>
      </c>
      <c r="D652">
        <v>2026586621</v>
      </c>
      <c r="E652" t="s">
        <v>786</v>
      </c>
      <c r="F652" t="s">
        <v>337</v>
      </c>
      <c r="G652" t="s">
        <v>50</v>
      </c>
      <c r="H652" t="s">
        <v>408</v>
      </c>
      <c r="I652" t="s">
        <v>441</v>
      </c>
      <c r="J652" t="s">
        <v>545</v>
      </c>
      <c r="L652" t="s">
        <v>257</v>
      </c>
      <c r="M652" t="s">
        <v>258</v>
      </c>
      <c r="N652" t="s">
        <v>56</v>
      </c>
      <c r="O652" s="1">
        <v>45672</v>
      </c>
      <c r="P652" s="1">
        <v>45945</v>
      </c>
      <c r="Q652" s="2">
        <v>25.73</v>
      </c>
      <c r="R652">
        <v>1</v>
      </c>
      <c r="S652" t="s">
        <v>57</v>
      </c>
      <c r="T652" t="s">
        <v>58</v>
      </c>
      <c r="U652" s="4">
        <v>0.7</v>
      </c>
      <c r="V652" s="2">
        <v>0</v>
      </c>
      <c r="W652">
        <v>0</v>
      </c>
      <c r="X652" t="s">
        <v>70</v>
      </c>
      <c r="Y652" t="s">
        <v>60</v>
      </c>
      <c r="Z652">
        <v>0</v>
      </c>
      <c r="AA652" s="2">
        <v>0</v>
      </c>
      <c r="AB652" s="2">
        <v>0</v>
      </c>
      <c r="AC652" s="4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18.010000000000002</v>
      </c>
      <c r="AM652" s="2">
        <v>18.010000000000002</v>
      </c>
      <c r="AN652" s="2">
        <v>0</v>
      </c>
      <c r="AO652" s="2">
        <v>0</v>
      </c>
      <c r="AP652" s="2">
        <v>0</v>
      </c>
    </row>
    <row r="653" spans="1:42" x14ac:dyDescent="0.25">
      <c r="A653" s="1">
        <v>45915</v>
      </c>
      <c r="B653" t="s">
        <v>47</v>
      </c>
      <c r="C653">
        <v>649163</v>
      </c>
      <c r="D653">
        <v>2026607947</v>
      </c>
      <c r="E653" t="s">
        <v>895</v>
      </c>
      <c r="F653" t="s">
        <v>131</v>
      </c>
      <c r="G653" t="s">
        <v>50</v>
      </c>
      <c r="H653" t="s">
        <v>151</v>
      </c>
      <c r="I653" t="s">
        <v>441</v>
      </c>
      <c r="J653" t="s">
        <v>445</v>
      </c>
      <c r="K653">
        <v>767312</v>
      </c>
      <c r="L653" t="s">
        <v>122</v>
      </c>
      <c r="M653" t="s">
        <v>123</v>
      </c>
      <c r="N653" t="s">
        <v>56</v>
      </c>
      <c r="O653" s="1">
        <v>45673</v>
      </c>
      <c r="P653" s="1">
        <v>45946</v>
      </c>
      <c r="Q653" s="2">
        <v>29.79</v>
      </c>
      <c r="R653">
        <v>1</v>
      </c>
      <c r="S653" t="s">
        <v>57</v>
      </c>
      <c r="T653" t="s">
        <v>58</v>
      </c>
      <c r="U653" s="4">
        <v>0.7</v>
      </c>
      <c r="V653" s="2">
        <v>0</v>
      </c>
      <c r="W653">
        <v>0</v>
      </c>
      <c r="X653" t="s">
        <v>70</v>
      </c>
      <c r="Y653" t="s">
        <v>60</v>
      </c>
      <c r="Z653">
        <v>0</v>
      </c>
      <c r="AA653" s="2">
        <v>0</v>
      </c>
      <c r="AB653" s="2">
        <v>0</v>
      </c>
      <c r="AC653" s="4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20.85</v>
      </c>
      <c r="AM653" s="2">
        <v>20.85</v>
      </c>
      <c r="AN653" s="2">
        <v>0</v>
      </c>
      <c r="AO653" s="2">
        <v>0</v>
      </c>
      <c r="AP653" s="2">
        <v>0</v>
      </c>
    </row>
    <row r="654" spans="1:42" x14ac:dyDescent="0.25">
      <c r="A654" s="1">
        <v>45915</v>
      </c>
      <c r="B654" t="s">
        <v>47</v>
      </c>
      <c r="C654">
        <v>649163</v>
      </c>
      <c r="D654">
        <v>2026608909</v>
      </c>
      <c r="E654" t="s">
        <v>991</v>
      </c>
      <c r="F654" t="s">
        <v>337</v>
      </c>
      <c r="G654" t="s">
        <v>50</v>
      </c>
      <c r="H654" t="s">
        <v>93</v>
      </c>
      <c r="I654" t="s">
        <v>441</v>
      </c>
      <c r="J654" t="s">
        <v>445</v>
      </c>
      <c r="K654">
        <v>792847</v>
      </c>
      <c r="L654" t="s">
        <v>137</v>
      </c>
      <c r="M654" t="s">
        <v>138</v>
      </c>
      <c r="N654" t="s">
        <v>56</v>
      </c>
      <c r="O654" s="1">
        <v>45673</v>
      </c>
      <c r="P654" s="1">
        <v>45946</v>
      </c>
      <c r="Q654" s="2">
        <v>58.24</v>
      </c>
      <c r="R654">
        <v>1</v>
      </c>
      <c r="S654" t="s">
        <v>57</v>
      </c>
      <c r="T654" t="s">
        <v>58</v>
      </c>
      <c r="U654" s="4">
        <v>0.7</v>
      </c>
      <c r="V654" s="2">
        <v>0</v>
      </c>
      <c r="W654">
        <v>0</v>
      </c>
      <c r="X654" t="s">
        <v>70</v>
      </c>
      <c r="Y654" t="s">
        <v>60</v>
      </c>
      <c r="Z654">
        <v>0</v>
      </c>
      <c r="AA654" s="2">
        <v>0</v>
      </c>
      <c r="AB654" s="2">
        <v>0</v>
      </c>
      <c r="AC654" s="4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40.770000000000003</v>
      </c>
      <c r="AM654" s="2">
        <v>40.770000000000003</v>
      </c>
      <c r="AN654" s="2">
        <v>0</v>
      </c>
      <c r="AO654" s="2">
        <v>0</v>
      </c>
      <c r="AP654" s="2">
        <v>0</v>
      </c>
    </row>
    <row r="655" spans="1:42" x14ac:dyDescent="0.25">
      <c r="A655" s="1">
        <v>45915</v>
      </c>
      <c r="B655" t="s">
        <v>47</v>
      </c>
      <c r="C655">
        <v>649163</v>
      </c>
      <c r="D655">
        <v>2026617755</v>
      </c>
      <c r="E655" t="s">
        <v>990</v>
      </c>
      <c r="F655" t="s">
        <v>123</v>
      </c>
      <c r="G655" t="s">
        <v>50</v>
      </c>
      <c r="H655" t="s">
        <v>115</v>
      </c>
      <c r="I655" t="s">
        <v>441</v>
      </c>
      <c r="J655" t="s">
        <v>445</v>
      </c>
      <c r="K655">
        <v>767312</v>
      </c>
      <c r="L655" t="s">
        <v>122</v>
      </c>
      <c r="M655" t="s">
        <v>123</v>
      </c>
      <c r="N655" t="s">
        <v>56</v>
      </c>
      <c r="O655" s="1">
        <v>45673</v>
      </c>
      <c r="P655" s="1">
        <v>45946</v>
      </c>
      <c r="Q655" s="2">
        <v>198.42</v>
      </c>
      <c r="R655">
        <v>1</v>
      </c>
      <c r="S655" t="s">
        <v>57</v>
      </c>
      <c r="T655" t="s">
        <v>58</v>
      </c>
      <c r="U655" s="4">
        <v>0.7</v>
      </c>
      <c r="V655" s="2">
        <v>0</v>
      </c>
      <c r="W655">
        <v>0</v>
      </c>
      <c r="X655" t="s">
        <v>70</v>
      </c>
      <c r="Y655" t="s">
        <v>60</v>
      </c>
      <c r="Z655">
        <v>0</v>
      </c>
      <c r="AA655" s="2">
        <v>0</v>
      </c>
      <c r="AB655" s="2">
        <v>0</v>
      </c>
      <c r="AC655" s="4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138.88999999999999</v>
      </c>
      <c r="AM655" s="2">
        <v>138.88999999999999</v>
      </c>
      <c r="AN655" s="2">
        <v>0</v>
      </c>
      <c r="AO655" s="2">
        <v>0</v>
      </c>
      <c r="AP655" s="2">
        <v>0</v>
      </c>
    </row>
    <row r="656" spans="1:42" x14ac:dyDescent="0.25">
      <c r="A656" s="1">
        <v>45915</v>
      </c>
      <c r="B656" t="s">
        <v>47</v>
      </c>
      <c r="C656">
        <v>649163</v>
      </c>
      <c r="D656">
        <v>2026618369</v>
      </c>
      <c r="E656" t="s">
        <v>893</v>
      </c>
      <c r="F656" t="s">
        <v>480</v>
      </c>
      <c r="G656" t="s">
        <v>50</v>
      </c>
      <c r="H656" t="s">
        <v>93</v>
      </c>
      <c r="I656" t="s">
        <v>441</v>
      </c>
      <c r="J656" t="s">
        <v>445</v>
      </c>
      <c r="K656">
        <v>792847</v>
      </c>
      <c r="L656" t="s">
        <v>137</v>
      </c>
      <c r="M656" t="s">
        <v>138</v>
      </c>
      <c r="N656" t="s">
        <v>56</v>
      </c>
      <c r="O656" s="1">
        <v>45673</v>
      </c>
      <c r="P656" s="1">
        <v>45946</v>
      </c>
      <c r="Q656" s="2">
        <v>52</v>
      </c>
      <c r="R656">
        <v>1</v>
      </c>
      <c r="S656" t="s">
        <v>57</v>
      </c>
      <c r="T656" t="s">
        <v>58</v>
      </c>
      <c r="U656" s="4">
        <v>0.7</v>
      </c>
      <c r="V656" s="2">
        <v>0</v>
      </c>
      <c r="W656">
        <v>0</v>
      </c>
      <c r="X656" t="s">
        <v>70</v>
      </c>
      <c r="Y656" t="s">
        <v>60</v>
      </c>
      <c r="Z656">
        <v>0</v>
      </c>
      <c r="AA656" s="2">
        <v>0</v>
      </c>
      <c r="AB656" s="2">
        <v>0</v>
      </c>
      <c r="AC656" s="4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36.4</v>
      </c>
      <c r="AM656" s="2">
        <v>36.4</v>
      </c>
      <c r="AN656" s="2">
        <v>0</v>
      </c>
      <c r="AO656" s="2">
        <v>0</v>
      </c>
      <c r="AP656" s="2">
        <v>0</v>
      </c>
    </row>
    <row r="657" spans="1:42" x14ac:dyDescent="0.25">
      <c r="A657" s="1">
        <v>45915</v>
      </c>
      <c r="B657" t="s">
        <v>47</v>
      </c>
      <c r="C657">
        <v>649163</v>
      </c>
      <c r="D657">
        <v>2026625854</v>
      </c>
      <c r="E657" t="s">
        <v>234</v>
      </c>
      <c r="F657" t="s">
        <v>892</v>
      </c>
      <c r="G657" t="s">
        <v>50</v>
      </c>
      <c r="H657" t="s">
        <v>405</v>
      </c>
      <c r="I657" t="s">
        <v>441</v>
      </c>
      <c r="J657" t="s">
        <v>445</v>
      </c>
      <c r="K657">
        <v>767312</v>
      </c>
      <c r="L657" t="s">
        <v>122</v>
      </c>
      <c r="M657" t="s">
        <v>123</v>
      </c>
      <c r="N657" t="s">
        <v>56</v>
      </c>
      <c r="O657" s="1">
        <v>45674</v>
      </c>
      <c r="P657" s="1">
        <v>45947</v>
      </c>
      <c r="Q657" s="2">
        <v>114</v>
      </c>
      <c r="R657">
        <v>1</v>
      </c>
      <c r="S657" t="s">
        <v>57</v>
      </c>
      <c r="T657" t="s">
        <v>58</v>
      </c>
      <c r="U657" s="4">
        <v>0.7</v>
      </c>
      <c r="V657" s="2">
        <v>0</v>
      </c>
      <c r="W657">
        <v>0</v>
      </c>
      <c r="X657" t="s">
        <v>70</v>
      </c>
      <c r="Y657" t="s">
        <v>60</v>
      </c>
      <c r="Z657">
        <v>0</v>
      </c>
      <c r="AA657" s="2">
        <v>0</v>
      </c>
      <c r="AB657" s="2">
        <v>0</v>
      </c>
      <c r="AC657" s="4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79.8</v>
      </c>
      <c r="AM657" s="2">
        <v>79.8</v>
      </c>
      <c r="AN657" s="2">
        <v>0</v>
      </c>
      <c r="AO657" s="2">
        <v>0</v>
      </c>
      <c r="AP657" s="2">
        <v>0</v>
      </c>
    </row>
    <row r="658" spans="1:42" x14ac:dyDescent="0.25">
      <c r="A658" s="1">
        <v>45915</v>
      </c>
      <c r="B658" t="s">
        <v>47</v>
      </c>
      <c r="C658">
        <v>649163</v>
      </c>
      <c r="D658">
        <v>2026659432</v>
      </c>
      <c r="E658" t="s">
        <v>989</v>
      </c>
      <c r="F658" t="s">
        <v>988</v>
      </c>
      <c r="G658" t="s">
        <v>50</v>
      </c>
      <c r="H658" t="s">
        <v>93</v>
      </c>
      <c r="I658" t="s">
        <v>441</v>
      </c>
      <c r="J658" t="s">
        <v>445</v>
      </c>
      <c r="K658">
        <v>813184</v>
      </c>
      <c r="L658" t="s">
        <v>194</v>
      </c>
      <c r="M658" t="s">
        <v>195</v>
      </c>
      <c r="N658" t="s">
        <v>56</v>
      </c>
      <c r="O658" s="1">
        <v>45675</v>
      </c>
      <c r="P658" s="1">
        <v>45948</v>
      </c>
      <c r="Q658" s="2">
        <v>355.56</v>
      </c>
      <c r="R658">
        <v>1</v>
      </c>
      <c r="S658" t="s">
        <v>57</v>
      </c>
      <c r="T658" t="s">
        <v>58</v>
      </c>
      <c r="U658" s="4">
        <v>0.7</v>
      </c>
      <c r="V658" s="2">
        <v>0</v>
      </c>
      <c r="W658">
        <v>0</v>
      </c>
      <c r="X658" t="s">
        <v>70</v>
      </c>
      <c r="Y658" t="s">
        <v>60</v>
      </c>
      <c r="Z658">
        <v>0</v>
      </c>
      <c r="AA658" s="2">
        <v>0</v>
      </c>
      <c r="AB658" s="2">
        <v>0</v>
      </c>
      <c r="AC658" s="4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248.89</v>
      </c>
      <c r="AM658" s="2">
        <v>248.89</v>
      </c>
      <c r="AN658" s="2">
        <v>0</v>
      </c>
      <c r="AO658" s="2">
        <v>0</v>
      </c>
      <c r="AP658" s="2">
        <v>0</v>
      </c>
    </row>
    <row r="659" spans="1:42" x14ac:dyDescent="0.25">
      <c r="A659" s="1">
        <v>45915</v>
      </c>
      <c r="B659" t="s">
        <v>47</v>
      </c>
      <c r="C659">
        <v>649163</v>
      </c>
      <c r="D659">
        <v>2027012191</v>
      </c>
      <c r="E659" t="s">
        <v>891</v>
      </c>
      <c r="F659" t="s">
        <v>890</v>
      </c>
      <c r="G659" t="s">
        <v>50</v>
      </c>
      <c r="H659" t="s">
        <v>405</v>
      </c>
      <c r="I659" t="s">
        <v>441</v>
      </c>
      <c r="J659" t="s">
        <v>442</v>
      </c>
      <c r="K659">
        <v>767312</v>
      </c>
      <c r="L659" t="s">
        <v>122</v>
      </c>
      <c r="M659" t="s">
        <v>123</v>
      </c>
      <c r="N659" t="s">
        <v>56</v>
      </c>
      <c r="O659" s="1">
        <v>45696</v>
      </c>
      <c r="P659" s="1">
        <v>45938</v>
      </c>
      <c r="Q659" s="2">
        <v>-50.18</v>
      </c>
      <c r="R659">
        <v>1</v>
      </c>
      <c r="S659" t="s">
        <v>57</v>
      </c>
      <c r="T659" t="s">
        <v>58</v>
      </c>
      <c r="U659" s="4">
        <v>0.9</v>
      </c>
      <c r="V659" s="2">
        <v>0</v>
      </c>
      <c r="W659">
        <v>-1</v>
      </c>
      <c r="X659" t="s">
        <v>70</v>
      </c>
      <c r="Y659" t="s">
        <v>60</v>
      </c>
      <c r="Z659">
        <v>0</v>
      </c>
      <c r="AA659" s="2">
        <v>0</v>
      </c>
      <c r="AB659" s="2">
        <v>0</v>
      </c>
      <c r="AC659" s="4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-45.16</v>
      </c>
      <c r="AM659" s="2">
        <v>-45.16</v>
      </c>
      <c r="AN659" s="2">
        <v>0</v>
      </c>
      <c r="AO659" s="2">
        <v>0</v>
      </c>
      <c r="AP659" s="2">
        <v>0</v>
      </c>
    </row>
    <row r="660" spans="1:42" x14ac:dyDescent="0.25">
      <c r="A660" s="1">
        <v>45915</v>
      </c>
      <c r="B660" t="s">
        <v>47</v>
      </c>
      <c r="C660">
        <v>649163</v>
      </c>
      <c r="D660">
        <v>2027072202</v>
      </c>
      <c r="E660" t="s">
        <v>889</v>
      </c>
      <c r="F660" t="s">
        <v>67</v>
      </c>
      <c r="G660" t="s">
        <v>50</v>
      </c>
      <c r="H660" t="s">
        <v>141</v>
      </c>
      <c r="I660" t="s">
        <v>441</v>
      </c>
      <c r="J660" t="s">
        <v>445</v>
      </c>
      <c r="K660">
        <v>816021</v>
      </c>
      <c r="L660" t="s">
        <v>142</v>
      </c>
      <c r="M660" t="s">
        <v>143</v>
      </c>
      <c r="N660" t="s">
        <v>56</v>
      </c>
      <c r="O660" s="1">
        <v>45703</v>
      </c>
      <c r="P660" s="1">
        <v>45945</v>
      </c>
      <c r="Q660" s="2">
        <v>18.2</v>
      </c>
      <c r="R660">
        <v>1</v>
      </c>
      <c r="S660" t="s">
        <v>57</v>
      </c>
      <c r="T660" t="s">
        <v>58</v>
      </c>
      <c r="U660" s="4">
        <v>0.7</v>
      </c>
      <c r="V660" s="2">
        <v>0</v>
      </c>
      <c r="W660">
        <v>0</v>
      </c>
      <c r="X660" t="s">
        <v>70</v>
      </c>
      <c r="Y660" t="s">
        <v>60</v>
      </c>
      <c r="Z660">
        <v>0</v>
      </c>
      <c r="AA660" s="2">
        <v>0</v>
      </c>
      <c r="AB660" s="2">
        <v>0</v>
      </c>
      <c r="AC660" s="4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12.74</v>
      </c>
      <c r="AM660" s="2">
        <v>12.74</v>
      </c>
      <c r="AN660" s="2">
        <v>0</v>
      </c>
      <c r="AO660" s="2">
        <v>0</v>
      </c>
      <c r="AP660" s="2">
        <v>0</v>
      </c>
    </row>
    <row r="661" spans="1:42" x14ac:dyDescent="0.25">
      <c r="A661" s="1">
        <v>45915</v>
      </c>
      <c r="B661" t="s">
        <v>47</v>
      </c>
      <c r="C661">
        <v>649163</v>
      </c>
      <c r="D661">
        <v>2027106748</v>
      </c>
      <c r="E661" t="s">
        <v>887</v>
      </c>
      <c r="F661" t="s">
        <v>258</v>
      </c>
      <c r="G661" t="s">
        <v>50</v>
      </c>
      <c r="H661" t="s">
        <v>93</v>
      </c>
      <c r="I661" t="s">
        <v>441</v>
      </c>
      <c r="J661" t="s">
        <v>445</v>
      </c>
      <c r="K661">
        <v>792847</v>
      </c>
      <c r="L661" t="s">
        <v>137</v>
      </c>
      <c r="M661" t="s">
        <v>138</v>
      </c>
      <c r="N661" t="s">
        <v>56</v>
      </c>
      <c r="O661" s="1">
        <v>45703</v>
      </c>
      <c r="P661" s="1">
        <v>45945</v>
      </c>
      <c r="Q661" s="2">
        <v>11.5</v>
      </c>
      <c r="R661">
        <v>1</v>
      </c>
      <c r="S661" t="s">
        <v>57</v>
      </c>
      <c r="T661" t="s">
        <v>58</v>
      </c>
      <c r="U661" s="4">
        <v>0.7</v>
      </c>
      <c r="V661" s="2">
        <v>0</v>
      </c>
      <c r="W661">
        <v>0</v>
      </c>
      <c r="X661" t="s">
        <v>70</v>
      </c>
      <c r="Y661" t="s">
        <v>60</v>
      </c>
      <c r="Z661">
        <v>0</v>
      </c>
      <c r="AA661" s="2">
        <v>0</v>
      </c>
      <c r="AB661" s="2">
        <v>0</v>
      </c>
      <c r="AC661" s="4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8.0500000000000007</v>
      </c>
      <c r="AM661" s="2">
        <v>8.0500000000000007</v>
      </c>
      <c r="AN661" s="2">
        <v>0</v>
      </c>
      <c r="AO661" s="2">
        <v>0</v>
      </c>
      <c r="AP661" s="2">
        <v>0</v>
      </c>
    </row>
    <row r="662" spans="1:42" x14ac:dyDescent="0.25">
      <c r="A662" s="1">
        <v>45915</v>
      </c>
      <c r="B662" t="s">
        <v>47</v>
      </c>
      <c r="C662">
        <v>649163</v>
      </c>
      <c r="D662">
        <v>2027115501</v>
      </c>
      <c r="E662" t="s">
        <v>987</v>
      </c>
      <c r="F662" t="s">
        <v>986</v>
      </c>
      <c r="G662" t="s">
        <v>50</v>
      </c>
      <c r="H662" t="s">
        <v>93</v>
      </c>
      <c r="I662" t="s">
        <v>441</v>
      </c>
      <c r="J662" t="s">
        <v>445</v>
      </c>
      <c r="K662">
        <v>768887</v>
      </c>
      <c r="L662" t="s">
        <v>282</v>
      </c>
      <c r="M662" t="s">
        <v>283</v>
      </c>
      <c r="N662" t="s">
        <v>56</v>
      </c>
      <c r="O662" s="1">
        <v>45703</v>
      </c>
      <c r="P662" s="1">
        <v>45945</v>
      </c>
      <c r="Q662" s="2">
        <v>41.44</v>
      </c>
      <c r="R662">
        <v>1</v>
      </c>
      <c r="S662" t="s">
        <v>57</v>
      </c>
      <c r="T662" t="s">
        <v>58</v>
      </c>
      <c r="U662" s="4">
        <v>0.7</v>
      </c>
      <c r="V662" s="2">
        <v>0</v>
      </c>
      <c r="W662">
        <v>0</v>
      </c>
      <c r="X662" t="s">
        <v>70</v>
      </c>
      <c r="Y662" t="s">
        <v>60</v>
      </c>
      <c r="Z662">
        <v>0</v>
      </c>
      <c r="AA662" s="2">
        <v>0</v>
      </c>
      <c r="AB662" s="2">
        <v>0</v>
      </c>
      <c r="AC662" s="4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29.01</v>
      </c>
      <c r="AM662" s="2">
        <v>29.01</v>
      </c>
      <c r="AN662" s="2">
        <v>0</v>
      </c>
      <c r="AO662" s="2">
        <v>0</v>
      </c>
      <c r="AP662" s="2">
        <v>0</v>
      </c>
    </row>
    <row r="663" spans="1:42" x14ac:dyDescent="0.25">
      <c r="A663" s="1">
        <v>45915</v>
      </c>
      <c r="B663" t="s">
        <v>47</v>
      </c>
      <c r="C663">
        <v>649163</v>
      </c>
      <c r="D663">
        <v>2027164318</v>
      </c>
      <c r="E663" t="s">
        <v>885</v>
      </c>
      <c r="F663" t="s">
        <v>884</v>
      </c>
      <c r="G663" t="s">
        <v>50</v>
      </c>
      <c r="H663" t="s">
        <v>93</v>
      </c>
      <c r="I663" t="s">
        <v>441</v>
      </c>
      <c r="J663" t="s">
        <v>445</v>
      </c>
      <c r="K663">
        <v>792847</v>
      </c>
      <c r="L663" t="s">
        <v>137</v>
      </c>
      <c r="M663" t="s">
        <v>138</v>
      </c>
      <c r="N663" t="s">
        <v>56</v>
      </c>
      <c r="O663" s="1">
        <v>45706</v>
      </c>
      <c r="P663" s="1">
        <v>45948</v>
      </c>
      <c r="Q663" s="2">
        <v>46.46</v>
      </c>
      <c r="R663">
        <v>1</v>
      </c>
      <c r="S663" t="s">
        <v>57</v>
      </c>
      <c r="T663" t="s">
        <v>58</v>
      </c>
      <c r="U663" s="4">
        <v>0.7</v>
      </c>
      <c r="V663" s="2">
        <v>0</v>
      </c>
      <c r="W663">
        <v>0</v>
      </c>
      <c r="X663" t="s">
        <v>70</v>
      </c>
      <c r="Y663" t="s">
        <v>60</v>
      </c>
      <c r="Z663">
        <v>0</v>
      </c>
      <c r="AA663" s="2">
        <v>0</v>
      </c>
      <c r="AB663" s="2">
        <v>0</v>
      </c>
      <c r="AC663" s="4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32.520000000000003</v>
      </c>
      <c r="AM663" s="2">
        <v>32.520000000000003</v>
      </c>
      <c r="AN663" s="2">
        <v>0</v>
      </c>
      <c r="AO663" s="2">
        <v>0</v>
      </c>
      <c r="AP663" s="2">
        <v>0</v>
      </c>
    </row>
    <row r="664" spans="1:42" x14ac:dyDescent="0.25">
      <c r="A664" s="1">
        <v>45915</v>
      </c>
      <c r="B664" t="s">
        <v>47</v>
      </c>
      <c r="C664">
        <v>649163</v>
      </c>
      <c r="D664">
        <v>2027167305</v>
      </c>
      <c r="E664" t="s">
        <v>985</v>
      </c>
      <c r="F664" t="s">
        <v>984</v>
      </c>
      <c r="G664" t="s">
        <v>50</v>
      </c>
      <c r="H664" t="s">
        <v>93</v>
      </c>
      <c r="I664" t="s">
        <v>441</v>
      </c>
      <c r="J664" t="s">
        <v>445</v>
      </c>
      <c r="K664">
        <v>807212</v>
      </c>
      <c r="L664" t="s">
        <v>467</v>
      </c>
      <c r="M664" t="s">
        <v>468</v>
      </c>
      <c r="N664" t="s">
        <v>56</v>
      </c>
      <c r="O664" s="1">
        <v>45706</v>
      </c>
      <c r="P664" s="1">
        <v>45948</v>
      </c>
      <c r="Q664" s="2">
        <v>35.700000000000003</v>
      </c>
      <c r="R664">
        <v>1</v>
      </c>
      <c r="S664" t="s">
        <v>57</v>
      </c>
      <c r="T664" t="s">
        <v>58</v>
      </c>
      <c r="U664" s="4">
        <v>0.7</v>
      </c>
      <c r="V664" s="2">
        <v>0</v>
      </c>
      <c r="W664">
        <v>0</v>
      </c>
      <c r="X664" t="s">
        <v>70</v>
      </c>
      <c r="Y664" t="s">
        <v>60</v>
      </c>
      <c r="Z664">
        <v>0</v>
      </c>
      <c r="AA664" s="2">
        <v>0</v>
      </c>
      <c r="AB664" s="2">
        <v>0</v>
      </c>
      <c r="AC664" s="4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24.99</v>
      </c>
      <c r="AM664" s="2">
        <v>24.99</v>
      </c>
      <c r="AN664" s="2">
        <v>0</v>
      </c>
      <c r="AO664" s="2">
        <v>0</v>
      </c>
      <c r="AP664" s="2">
        <v>0</v>
      </c>
    </row>
    <row r="665" spans="1:42" x14ac:dyDescent="0.25">
      <c r="A665" s="1">
        <v>45915</v>
      </c>
      <c r="B665" t="s">
        <v>47</v>
      </c>
      <c r="C665">
        <v>649163</v>
      </c>
      <c r="D665">
        <v>2027167981</v>
      </c>
      <c r="E665" t="s">
        <v>983</v>
      </c>
      <c r="F665" t="s">
        <v>982</v>
      </c>
      <c r="G665" t="s">
        <v>50</v>
      </c>
      <c r="H665" t="s">
        <v>93</v>
      </c>
      <c r="I665" t="s">
        <v>441</v>
      </c>
      <c r="J665" t="s">
        <v>445</v>
      </c>
      <c r="K665">
        <v>812656</v>
      </c>
      <c r="L665" t="s">
        <v>338</v>
      </c>
      <c r="M665" t="s">
        <v>377</v>
      </c>
      <c r="N665" t="s">
        <v>56</v>
      </c>
      <c r="O665" s="1">
        <v>45706</v>
      </c>
      <c r="P665" s="1">
        <v>45948</v>
      </c>
      <c r="Q665" s="2">
        <v>80.16</v>
      </c>
      <c r="R665">
        <v>1</v>
      </c>
      <c r="S665" t="s">
        <v>57</v>
      </c>
      <c r="T665" t="s">
        <v>58</v>
      </c>
      <c r="U665" s="4">
        <v>0.7</v>
      </c>
      <c r="V665" s="2">
        <v>0</v>
      </c>
      <c r="W665">
        <v>0</v>
      </c>
      <c r="X665" t="s">
        <v>70</v>
      </c>
      <c r="Y665" t="s">
        <v>60</v>
      </c>
      <c r="Z665">
        <v>0</v>
      </c>
      <c r="AA665" s="2">
        <v>0</v>
      </c>
      <c r="AB665" s="2">
        <v>0</v>
      </c>
      <c r="AC665" s="4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56.11</v>
      </c>
      <c r="AM665" s="2">
        <v>56.11</v>
      </c>
      <c r="AN665" s="2">
        <v>0</v>
      </c>
      <c r="AO665" s="2">
        <v>0</v>
      </c>
      <c r="AP665" s="2">
        <v>0</v>
      </c>
    </row>
    <row r="666" spans="1:42" x14ac:dyDescent="0.25">
      <c r="A666" s="1">
        <v>45915</v>
      </c>
      <c r="B666" t="s">
        <v>47</v>
      </c>
      <c r="C666">
        <v>649163</v>
      </c>
      <c r="D666">
        <v>2027182069</v>
      </c>
      <c r="E666" t="s">
        <v>883</v>
      </c>
      <c r="F666" t="s">
        <v>981</v>
      </c>
      <c r="G666" t="s">
        <v>50</v>
      </c>
      <c r="H666" t="s">
        <v>400</v>
      </c>
      <c r="I666" t="s">
        <v>441</v>
      </c>
      <c r="J666" t="s">
        <v>442</v>
      </c>
      <c r="K666">
        <v>767312</v>
      </c>
      <c r="L666" t="s">
        <v>122</v>
      </c>
      <c r="M666" t="s">
        <v>123</v>
      </c>
      <c r="N666" t="s">
        <v>56</v>
      </c>
      <c r="O666" s="1">
        <v>45707</v>
      </c>
      <c r="P666" s="1">
        <v>45949</v>
      </c>
      <c r="Q666" s="2">
        <v>42.42</v>
      </c>
      <c r="R666">
        <v>1</v>
      </c>
      <c r="S666" t="s">
        <v>57</v>
      </c>
      <c r="T666" t="s">
        <v>58</v>
      </c>
      <c r="U666" s="4">
        <v>0.9</v>
      </c>
      <c r="V666" s="2">
        <v>0</v>
      </c>
      <c r="W666">
        <v>0</v>
      </c>
      <c r="X666" t="s">
        <v>70</v>
      </c>
      <c r="Y666" t="s">
        <v>60</v>
      </c>
      <c r="Z666">
        <v>0</v>
      </c>
      <c r="AA666" s="2">
        <v>0</v>
      </c>
      <c r="AB666" s="2">
        <v>0</v>
      </c>
      <c r="AC666" s="4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38.18</v>
      </c>
      <c r="AM666" s="2">
        <v>38.18</v>
      </c>
      <c r="AN666" s="2">
        <v>0</v>
      </c>
      <c r="AO666" s="2">
        <v>0</v>
      </c>
      <c r="AP666" s="2">
        <v>0</v>
      </c>
    </row>
    <row r="667" spans="1:42" x14ac:dyDescent="0.25">
      <c r="A667" s="1">
        <v>45915</v>
      </c>
      <c r="B667" t="s">
        <v>47</v>
      </c>
      <c r="C667">
        <v>649163</v>
      </c>
      <c r="D667">
        <v>2027301089</v>
      </c>
      <c r="E667" t="s">
        <v>980</v>
      </c>
      <c r="F667" t="s">
        <v>870</v>
      </c>
      <c r="G667" t="s">
        <v>50</v>
      </c>
      <c r="H667" t="s">
        <v>93</v>
      </c>
      <c r="I667" t="s">
        <v>441</v>
      </c>
      <c r="J667" t="s">
        <v>445</v>
      </c>
      <c r="K667">
        <v>813184</v>
      </c>
      <c r="L667" t="s">
        <v>194</v>
      </c>
      <c r="M667" t="s">
        <v>195</v>
      </c>
      <c r="N667" t="s">
        <v>230</v>
      </c>
      <c r="O667" s="1">
        <v>45713</v>
      </c>
      <c r="P667" s="1">
        <v>45925</v>
      </c>
      <c r="Q667" s="2">
        <v>-5.94</v>
      </c>
      <c r="R667">
        <v>1</v>
      </c>
      <c r="S667" t="s">
        <v>57</v>
      </c>
      <c r="T667" t="s">
        <v>58</v>
      </c>
      <c r="U667" s="4">
        <v>0.7</v>
      </c>
      <c r="V667" s="2">
        <v>0</v>
      </c>
      <c r="W667">
        <v>-1</v>
      </c>
      <c r="X667" t="s">
        <v>70</v>
      </c>
      <c r="Y667" t="s">
        <v>60</v>
      </c>
      <c r="Z667">
        <v>0</v>
      </c>
      <c r="AA667" s="2">
        <v>0</v>
      </c>
      <c r="AB667" s="2">
        <v>0</v>
      </c>
      <c r="AC667" s="4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-4.16</v>
      </c>
      <c r="AM667" s="2">
        <v>-4.16</v>
      </c>
      <c r="AN667" s="2">
        <v>0</v>
      </c>
      <c r="AO667" s="2">
        <v>0</v>
      </c>
      <c r="AP667" s="2">
        <v>0</v>
      </c>
    </row>
    <row r="668" spans="1:42" x14ac:dyDescent="0.25">
      <c r="A668" s="1">
        <v>45915</v>
      </c>
      <c r="B668" t="s">
        <v>47</v>
      </c>
      <c r="C668">
        <v>649163</v>
      </c>
      <c r="D668">
        <v>2027573958</v>
      </c>
      <c r="E668" t="s">
        <v>881</v>
      </c>
      <c r="F668" t="s">
        <v>616</v>
      </c>
      <c r="G668" t="s">
        <v>50</v>
      </c>
      <c r="H668" t="s">
        <v>157</v>
      </c>
      <c r="I668" t="s">
        <v>441</v>
      </c>
      <c r="J668" t="s">
        <v>445</v>
      </c>
      <c r="K668">
        <v>673059</v>
      </c>
      <c r="L668" t="s">
        <v>152</v>
      </c>
      <c r="M668" t="s">
        <v>153</v>
      </c>
      <c r="N668" t="s">
        <v>56</v>
      </c>
      <c r="O668" s="1">
        <v>45757</v>
      </c>
      <c r="P668" s="1">
        <v>45940</v>
      </c>
      <c r="Q668" s="2">
        <v>130.27000000000001</v>
      </c>
      <c r="R668">
        <v>1</v>
      </c>
      <c r="S668" t="s">
        <v>57</v>
      </c>
      <c r="T668" t="s">
        <v>58</v>
      </c>
      <c r="U668" s="4">
        <v>0.7</v>
      </c>
      <c r="V668" s="2">
        <v>0</v>
      </c>
      <c r="W668">
        <v>0</v>
      </c>
      <c r="X668" t="s">
        <v>70</v>
      </c>
      <c r="Y668" t="s">
        <v>60</v>
      </c>
      <c r="Z668">
        <v>0</v>
      </c>
      <c r="AA668" s="2">
        <v>0</v>
      </c>
      <c r="AB668" s="2">
        <v>0</v>
      </c>
      <c r="AC668" s="4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91.19</v>
      </c>
      <c r="AM668" s="2">
        <v>91.19</v>
      </c>
      <c r="AN668" s="2">
        <v>0</v>
      </c>
      <c r="AO668" s="2">
        <v>0</v>
      </c>
      <c r="AP668" s="2">
        <v>0</v>
      </c>
    </row>
    <row r="669" spans="1:42" x14ac:dyDescent="0.25">
      <c r="A669" s="1">
        <v>45915</v>
      </c>
      <c r="B669" t="s">
        <v>47</v>
      </c>
      <c r="C669">
        <v>649163</v>
      </c>
      <c r="D669">
        <v>2027712307</v>
      </c>
      <c r="E669" t="s">
        <v>625</v>
      </c>
      <c r="F669" t="s">
        <v>979</v>
      </c>
      <c r="G669" t="s">
        <v>50</v>
      </c>
      <c r="H669" t="s">
        <v>93</v>
      </c>
      <c r="I669" t="s">
        <v>441</v>
      </c>
      <c r="J669" t="s">
        <v>442</v>
      </c>
      <c r="K669">
        <v>651818</v>
      </c>
      <c r="L669" t="s">
        <v>108</v>
      </c>
      <c r="M669" t="s">
        <v>109</v>
      </c>
      <c r="N669" t="s">
        <v>56</v>
      </c>
      <c r="O669" s="1">
        <v>45727</v>
      </c>
      <c r="P669" s="1">
        <v>45941</v>
      </c>
      <c r="Q669" s="2">
        <v>-123.44</v>
      </c>
      <c r="R669">
        <v>1</v>
      </c>
      <c r="S669" t="s">
        <v>57</v>
      </c>
      <c r="T669" t="s">
        <v>58</v>
      </c>
      <c r="U669" s="4">
        <v>0.9</v>
      </c>
      <c r="V669" s="2">
        <v>0</v>
      </c>
      <c r="W669">
        <v>-1</v>
      </c>
      <c r="X669" t="s">
        <v>70</v>
      </c>
      <c r="Y669" t="s">
        <v>60</v>
      </c>
      <c r="Z669">
        <v>0</v>
      </c>
      <c r="AA669" s="2">
        <v>0</v>
      </c>
      <c r="AB669" s="2">
        <v>0</v>
      </c>
      <c r="AC669" s="4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-111.1</v>
      </c>
      <c r="AM669" s="2">
        <v>-111.1</v>
      </c>
      <c r="AN669" s="2">
        <v>0</v>
      </c>
      <c r="AO669" s="2">
        <v>0</v>
      </c>
      <c r="AP669" s="2">
        <v>0</v>
      </c>
    </row>
    <row r="670" spans="1:42" x14ac:dyDescent="0.25">
      <c r="A670" s="1">
        <v>45915</v>
      </c>
      <c r="B670" t="s">
        <v>47</v>
      </c>
      <c r="C670">
        <v>649163</v>
      </c>
      <c r="D670">
        <v>2027767677</v>
      </c>
      <c r="E670" t="s">
        <v>880</v>
      </c>
      <c r="F670" t="s">
        <v>114</v>
      </c>
      <c r="G670" t="s">
        <v>50</v>
      </c>
      <c r="H670" t="s">
        <v>121</v>
      </c>
      <c r="I670" t="s">
        <v>441</v>
      </c>
      <c r="J670" t="s">
        <v>445</v>
      </c>
      <c r="K670">
        <v>764123</v>
      </c>
      <c r="L670" t="s">
        <v>629</v>
      </c>
      <c r="M670" t="s">
        <v>628</v>
      </c>
      <c r="N670" t="s">
        <v>56</v>
      </c>
      <c r="O670" s="1">
        <v>45729</v>
      </c>
      <c r="P670" s="1">
        <v>45943</v>
      </c>
      <c r="Q670" s="2">
        <v>56.55</v>
      </c>
      <c r="R670">
        <v>1</v>
      </c>
      <c r="S670" t="s">
        <v>57</v>
      </c>
      <c r="T670" t="s">
        <v>58</v>
      </c>
      <c r="U670" s="4">
        <v>0.7</v>
      </c>
      <c r="V670" s="2">
        <v>0</v>
      </c>
      <c r="W670">
        <v>0</v>
      </c>
      <c r="X670" t="s">
        <v>70</v>
      </c>
      <c r="Y670" t="s">
        <v>60</v>
      </c>
      <c r="Z670">
        <v>0</v>
      </c>
      <c r="AA670" s="2">
        <v>0</v>
      </c>
      <c r="AB670" s="2">
        <v>0</v>
      </c>
      <c r="AC670" s="4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39.58</v>
      </c>
      <c r="AM670" s="2">
        <v>39.58</v>
      </c>
      <c r="AN670" s="2">
        <v>0</v>
      </c>
      <c r="AO670" s="2">
        <v>0</v>
      </c>
      <c r="AP670" s="2">
        <v>0</v>
      </c>
    </row>
    <row r="671" spans="1:42" x14ac:dyDescent="0.25">
      <c r="A671" s="1">
        <v>45915</v>
      </c>
      <c r="B671" t="s">
        <v>47</v>
      </c>
      <c r="C671">
        <v>649163</v>
      </c>
      <c r="D671">
        <v>2027825905</v>
      </c>
      <c r="E671" t="s">
        <v>684</v>
      </c>
      <c r="F671" t="s">
        <v>978</v>
      </c>
      <c r="G671" t="s">
        <v>50</v>
      </c>
      <c r="H671" t="s">
        <v>151</v>
      </c>
      <c r="I671" t="s">
        <v>441</v>
      </c>
      <c r="J671" t="s">
        <v>445</v>
      </c>
      <c r="K671">
        <v>673059</v>
      </c>
      <c r="L671" t="s">
        <v>152</v>
      </c>
      <c r="M671" t="s">
        <v>153</v>
      </c>
      <c r="N671" t="s">
        <v>56</v>
      </c>
      <c r="O671" s="1">
        <v>45731</v>
      </c>
      <c r="P671" s="1">
        <v>45945</v>
      </c>
      <c r="Q671" s="2">
        <v>18.350000000000001</v>
      </c>
      <c r="R671">
        <v>1</v>
      </c>
      <c r="S671" t="s">
        <v>57</v>
      </c>
      <c r="T671" t="s">
        <v>58</v>
      </c>
      <c r="U671" s="4">
        <v>0.7</v>
      </c>
      <c r="V671" s="2">
        <v>0</v>
      </c>
      <c r="W671">
        <v>0</v>
      </c>
      <c r="X671" t="s">
        <v>70</v>
      </c>
      <c r="Y671" t="s">
        <v>60</v>
      </c>
      <c r="Z671">
        <v>0</v>
      </c>
      <c r="AA671" s="2">
        <v>0</v>
      </c>
      <c r="AB671" s="2">
        <v>0</v>
      </c>
      <c r="AC671" s="4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12.84</v>
      </c>
      <c r="AM671" s="2">
        <v>12.84</v>
      </c>
      <c r="AN671" s="2">
        <v>0</v>
      </c>
      <c r="AO671" s="2">
        <v>0</v>
      </c>
      <c r="AP671" s="2">
        <v>0</v>
      </c>
    </row>
    <row r="672" spans="1:42" x14ac:dyDescent="0.25">
      <c r="A672" s="1">
        <v>45915</v>
      </c>
      <c r="B672" t="s">
        <v>47</v>
      </c>
      <c r="D672">
        <v>2027825906</v>
      </c>
      <c r="E672" t="s">
        <v>684</v>
      </c>
      <c r="F672" t="s">
        <v>978</v>
      </c>
      <c r="G672" t="s">
        <v>50</v>
      </c>
      <c r="H672" t="s">
        <v>151</v>
      </c>
      <c r="I672" t="s">
        <v>441</v>
      </c>
      <c r="J672" t="s">
        <v>545</v>
      </c>
      <c r="L672" t="s">
        <v>152</v>
      </c>
      <c r="M672" t="s">
        <v>153</v>
      </c>
      <c r="N672" t="s">
        <v>56</v>
      </c>
      <c r="O672" s="1">
        <v>45731</v>
      </c>
      <c r="P672" s="1">
        <v>45945</v>
      </c>
      <c r="Q672" s="2">
        <v>25.73</v>
      </c>
      <c r="R672">
        <v>1</v>
      </c>
      <c r="S672" t="s">
        <v>57</v>
      </c>
      <c r="T672" t="s">
        <v>58</v>
      </c>
      <c r="U672" s="4">
        <v>0.7</v>
      </c>
      <c r="V672" s="2">
        <v>0</v>
      </c>
      <c r="W672">
        <v>0</v>
      </c>
      <c r="X672" t="s">
        <v>70</v>
      </c>
      <c r="Y672" t="s">
        <v>60</v>
      </c>
      <c r="Z672">
        <v>0</v>
      </c>
      <c r="AA672" s="2">
        <v>0</v>
      </c>
      <c r="AB672" s="2">
        <v>0</v>
      </c>
      <c r="AC672" s="4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18.010000000000002</v>
      </c>
      <c r="AM672" s="2">
        <v>18.010000000000002</v>
      </c>
      <c r="AN672" s="2">
        <v>0</v>
      </c>
      <c r="AO672" s="2">
        <v>0</v>
      </c>
      <c r="AP672" s="2">
        <v>0</v>
      </c>
    </row>
    <row r="673" spans="1:42" x14ac:dyDescent="0.25">
      <c r="A673" s="1">
        <v>45915</v>
      </c>
      <c r="B673" t="s">
        <v>47</v>
      </c>
      <c r="C673">
        <v>649163</v>
      </c>
      <c r="D673">
        <v>2027849974</v>
      </c>
      <c r="E673" t="s">
        <v>783</v>
      </c>
      <c r="F673" t="s">
        <v>65</v>
      </c>
      <c r="G673" t="s">
        <v>50</v>
      </c>
      <c r="H673" t="s">
        <v>255</v>
      </c>
      <c r="I673" t="s">
        <v>441</v>
      </c>
      <c r="J673" t="s">
        <v>445</v>
      </c>
      <c r="K673">
        <v>650218</v>
      </c>
      <c r="L673" t="s">
        <v>73</v>
      </c>
      <c r="M673" t="s">
        <v>74</v>
      </c>
      <c r="N673" t="s">
        <v>56</v>
      </c>
      <c r="O673" s="1">
        <v>45733</v>
      </c>
      <c r="P673" s="1">
        <v>45947</v>
      </c>
      <c r="Q673" s="2">
        <v>50.96</v>
      </c>
      <c r="R673">
        <v>1</v>
      </c>
      <c r="S673" t="s">
        <v>57</v>
      </c>
      <c r="T673" t="s">
        <v>58</v>
      </c>
      <c r="U673" s="4">
        <v>0.7</v>
      </c>
      <c r="V673" s="2">
        <v>0</v>
      </c>
      <c r="W673">
        <v>0</v>
      </c>
      <c r="X673" t="s">
        <v>70</v>
      </c>
      <c r="Y673" t="s">
        <v>60</v>
      </c>
      <c r="Z673">
        <v>0</v>
      </c>
      <c r="AA673" s="2">
        <v>0</v>
      </c>
      <c r="AB673" s="2">
        <v>0</v>
      </c>
      <c r="AC673" s="4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35.67</v>
      </c>
      <c r="AM673" s="2">
        <v>35.67</v>
      </c>
      <c r="AN673" s="2">
        <v>0</v>
      </c>
      <c r="AO673" s="2">
        <v>0</v>
      </c>
      <c r="AP673" s="2">
        <v>0</v>
      </c>
    </row>
    <row r="674" spans="1:42" x14ac:dyDescent="0.25">
      <c r="A674" s="1">
        <v>45915</v>
      </c>
      <c r="B674" t="s">
        <v>47</v>
      </c>
      <c r="C674">
        <v>649163</v>
      </c>
      <c r="D674">
        <v>2027854740</v>
      </c>
      <c r="E674" t="s">
        <v>782</v>
      </c>
      <c r="F674" t="s">
        <v>781</v>
      </c>
      <c r="G674" t="s">
        <v>50</v>
      </c>
      <c r="H674" t="s">
        <v>77</v>
      </c>
      <c r="I674" t="s">
        <v>441</v>
      </c>
      <c r="J674" t="s">
        <v>442</v>
      </c>
      <c r="K674">
        <v>673059</v>
      </c>
      <c r="L674" t="s">
        <v>152</v>
      </c>
      <c r="M674" t="s">
        <v>153</v>
      </c>
      <c r="N674" t="s">
        <v>56</v>
      </c>
      <c r="O674" s="1">
        <v>45734</v>
      </c>
      <c r="P674" s="1">
        <v>45948</v>
      </c>
      <c r="Q674" s="2">
        <v>51.63</v>
      </c>
      <c r="R674">
        <v>1</v>
      </c>
      <c r="S674" t="s">
        <v>57</v>
      </c>
      <c r="T674" t="s">
        <v>58</v>
      </c>
      <c r="U674" s="4">
        <v>0.9</v>
      </c>
      <c r="V674" s="2">
        <v>0</v>
      </c>
      <c r="W674">
        <v>0</v>
      </c>
      <c r="X674" t="s">
        <v>70</v>
      </c>
      <c r="Y674" t="s">
        <v>60</v>
      </c>
      <c r="Z674">
        <v>0</v>
      </c>
      <c r="AA674" s="2">
        <v>0</v>
      </c>
      <c r="AB674" s="2">
        <v>0</v>
      </c>
      <c r="AC674" s="4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46.47</v>
      </c>
      <c r="AM674" s="2">
        <v>46.47</v>
      </c>
      <c r="AN674" s="2">
        <v>0</v>
      </c>
      <c r="AO674" s="2">
        <v>0</v>
      </c>
      <c r="AP674" s="2">
        <v>0</v>
      </c>
    </row>
    <row r="675" spans="1:42" x14ac:dyDescent="0.25">
      <c r="A675" s="1">
        <v>45915</v>
      </c>
      <c r="B675" t="s">
        <v>47</v>
      </c>
      <c r="C675">
        <v>649163</v>
      </c>
      <c r="D675">
        <v>2027855573</v>
      </c>
      <c r="E675" t="s">
        <v>977</v>
      </c>
      <c r="F675" t="s">
        <v>538</v>
      </c>
      <c r="G675" t="s">
        <v>50</v>
      </c>
      <c r="H675" t="s">
        <v>183</v>
      </c>
      <c r="I675" t="s">
        <v>441</v>
      </c>
      <c r="J675" t="s">
        <v>445</v>
      </c>
      <c r="K675">
        <v>651818</v>
      </c>
      <c r="L675" t="s">
        <v>108</v>
      </c>
      <c r="M675" t="s">
        <v>109</v>
      </c>
      <c r="N675" t="s">
        <v>56</v>
      </c>
      <c r="O675" s="1">
        <v>45734</v>
      </c>
      <c r="P675" s="1">
        <v>45948</v>
      </c>
      <c r="Q675" s="2">
        <v>79.84</v>
      </c>
      <c r="R675">
        <v>1</v>
      </c>
      <c r="S675" t="s">
        <v>57</v>
      </c>
      <c r="T675" t="s">
        <v>58</v>
      </c>
      <c r="U675" s="4">
        <v>0.7</v>
      </c>
      <c r="V675" s="2">
        <v>0</v>
      </c>
      <c r="W675">
        <v>0</v>
      </c>
      <c r="X675" t="s">
        <v>70</v>
      </c>
      <c r="Y675" t="s">
        <v>60</v>
      </c>
      <c r="Z675">
        <v>0</v>
      </c>
      <c r="AA675" s="2">
        <v>0</v>
      </c>
      <c r="AB675" s="2">
        <v>0</v>
      </c>
      <c r="AC675" s="4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55.89</v>
      </c>
      <c r="AM675" s="2">
        <v>55.89</v>
      </c>
      <c r="AN675" s="2">
        <v>0</v>
      </c>
      <c r="AO675" s="2">
        <v>0</v>
      </c>
      <c r="AP675" s="2">
        <v>0</v>
      </c>
    </row>
    <row r="676" spans="1:42" x14ac:dyDescent="0.25">
      <c r="A676" s="1">
        <v>45915</v>
      </c>
      <c r="B676" t="s">
        <v>47</v>
      </c>
      <c r="C676">
        <v>649163</v>
      </c>
      <c r="D676">
        <v>2027869112</v>
      </c>
      <c r="E676" t="s">
        <v>878</v>
      </c>
      <c r="F676" t="s">
        <v>877</v>
      </c>
      <c r="G676" t="s">
        <v>50</v>
      </c>
      <c r="H676" t="s">
        <v>266</v>
      </c>
      <c r="I676" t="s">
        <v>441</v>
      </c>
      <c r="J676" t="s">
        <v>442</v>
      </c>
      <c r="K676">
        <v>673059</v>
      </c>
      <c r="L676" t="s">
        <v>152</v>
      </c>
      <c r="M676" t="s">
        <v>153</v>
      </c>
      <c r="N676" t="s">
        <v>56</v>
      </c>
      <c r="O676" s="1">
        <v>45734</v>
      </c>
      <c r="P676" s="1">
        <v>45948</v>
      </c>
      <c r="Q676" s="2">
        <v>9.8000000000000007</v>
      </c>
      <c r="R676">
        <v>1</v>
      </c>
      <c r="S676" t="s">
        <v>57</v>
      </c>
      <c r="T676" t="s">
        <v>58</v>
      </c>
      <c r="U676" s="4">
        <v>0.9</v>
      </c>
      <c r="V676" s="2">
        <v>0</v>
      </c>
      <c r="W676">
        <v>0</v>
      </c>
      <c r="X676" t="s">
        <v>70</v>
      </c>
      <c r="Y676" t="s">
        <v>60</v>
      </c>
      <c r="Z676">
        <v>0</v>
      </c>
      <c r="AA676" s="2">
        <v>0</v>
      </c>
      <c r="AB676" s="2">
        <v>0</v>
      </c>
      <c r="AC676" s="4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8.82</v>
      </c>
      <c r="AM676" s="2">
        <v>8.82</v>
      </c>
      <c r="AN676" s="2">
        <v>0</v>
      </c>
      <c r="AO676" s="2">
        <v>0</v>
      </c>
      <c r="AP676" s="2">
        <v>0</v>
      </c>
    </row>
    <row r="677" spans="1:42" x14ac:dyDescent="0.25">
      <c r="A677" s="1">
        <v>45915</v>
      </c>
      <c r="B677" t="s">
        <v>47</v>
      </c>
      <c r="C677">
        <v>649163</v>
      </c>
      <c r="D677">
        <v>2027895299</v>
      </c>
      <c r="E677" t="s">
        <v>976</v>
      </c>
      <c r="F677" t="s">
        <v>975</v>
      </c>
      <c r="G677" t="s">
        <v>50</v>
      </c>
      <c r="H677" t="s">
        <v>93</v>
      </c>
      <c r="I677" t="s">
        <v>441</v>
      </c>
      <c r="J677" t="s">
        <v>445</v>
      </c>
      <c r="K677">
        <v>820873</v>
      </c>
      <c r="L677" t="s">
        <v>262</v>
      </c>
      <c r="M677" t="s">
        <v>263</v>
      </c>
      <c r="N677" t="s">
        <v>56</v>
      </c>
      <c r="O677" s="1">
        <v>45735</v>
      </c>
      <c r="P677" s="1">
        <v>45949</v>
      </c>
      <c r="Q677" s="2">
        <v>62.75</v>
      </c>
      <c r="R677">
        <v>1</v>
      </c>
      <c r="S677" t="s">
        <v>57</v>
      </c>
      <c r="T677" t="s">
        <v>58</v>
      </c>
      <c r="U677" s="4">
        <v>0.7</v>
      </c>
      <c r="V677" s="2">
        <v>0</v>
      </c>
      <c r="W677">
        <v>0</v>
      </c>
      <c r="X677" t="s">
        <v>70</v>
      </c>
      <c r="Y677" t="s">
        <v>60</v>
      </c>
      <c r="Z677">
        <v>0</v>
      </c>
      <c r="AA677" s="2">
        <v>0</v>
      </c>
      <c r="AB677" s="2">
        <v>0</v>
      </c>
      <c r="AC677" s="4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43.92</v>
      </c>
      <c r="AM677" s="2">
        <v>43.92</v>
      </c>
      <c r="AN677" s="2">
        <v>0</v>
      </c>
      <c r="AO677" s="2">
        <v>0</v>
      </c>
      <c r="AP677" s="2">
        <v>0</v>
      </c>
    </row>
    <row r="678" spans="1:42" x14ac:dyDescent="0.25">
      <c r="A678" s="1">
        <v>45915</v>
      </c>
      <c r="B678" t="s">
        <v>47</v>
      </c>
      <c r="C678">
        <v>649163</v>
      </c>
      <c r="D678">
        <v>2028048548</v>
      </c>
      <c r="E678" t="s">
        <v>974</v>
      </c>
      <c r="F678" t="s">
        <v>281</v>
      </c>
      <c r="G678" t="s">
        <v>50</v>
      </c>
      <c r="H678" t="s">
        <v>115</v>
      </c>
      <c r="I678" t="s">
        <v>441</v>
      </c>
      <c r="J678" t="s">
        <v>445</v>
      </c>
      <c r="K678">
        <v>753748</v>
      </c>
      <c r="L678" t="s">
        <v>130</v>
      </c>
      <c r="M678" t="s">
        <v>131</v>
      </c>
      <c r="N678" t="s">
        <v>56</v>
      </c>
      <c r="O678" s="1">
        <v>45748</v>
      </c>
      <c r="P678" s="1">
        <v>45931</v>
      </c>
      <c r="Q678" s="2">
        <v>377.72</v>
      </c>
      <c r="R678">
        <v>1</v>
      </c>
      <c r="S678" t="s">
        <v>57</v>
      </c>
      <c r="T678" t="s">
        <v>58</v>
      </c>
      <c r="U678" s="4">
        <v>0.7</v>
      </c>
      <c r="V678" s="2">
        <v>0</v>
      </c>
      <c r="W678">
        <v>0</v>
      </c>
      <c r="X678" t="s">
        <v>70</v>
      </c>
      <c r="Y678" t="s">
        <v>60</v>
      </c>
      <c r="Z678">
        <v>0</v>
      </c>
      <c r="AA678" s="2">
        <v>0</v>
      </c>
      <c r="AB678" s="2">
        <v>0</v>
      </c>
      <c r="AC678" s="4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264.39999999999998</v>
      </c>
      <c r="AM678" s="2">
        <v>264.39999999999998</v>
      </c>
      <c r="AN678" s="2">
        <v>0</v>
      </c>
      <c r="AO678" s="2">
        <v>0</v>
      </c>
      <c r="AP678" s="2">
        <v>0</v>
      </c>
    </row>
    <row r="679" spans="1:42" x14ac:dyDescent="0.25">
      <c r="A679" s="1">
        <v>45915</v>
      </c>
      <c r="B679" t="s">
        <v>47</v>
      </c>
      <c r="C679">
        <v>649163</v>
      </c>
      <c r="D679">
        <v>2028135305</v>
      </c>
      <c r="E679" t="s">
        <v>153</v>
      </c>
      <c r="F679" t="s">
        <v>830</v>
      </c>
      <c r="G679" t="s">
        <v>50</v>
      </c>
      <c r="H679" t="s">
        <v>112</v>
      </c>
      <c r="I679" t="s">
        <v>441</v>
      </c>
      <c r="J679" t="s">
        <v>445</v>
      </c>
      <c r="K679">
        <v>767312</v>
      </c>
      <c r="L679" t="s">
        <v>122</v>
      </c>
      <c r="M679" t="s">
        <v>123</v>
      </c>
      <c r="N679" t="s">
        <v>56</v>
      </c>
      <c r="O679" s="1">
        <v>45748</v>
      </c>
      <c r="P679" s="1">
        <v>45931</v>
      </c>
      <c r="Q679" s="2">
        <v>17.64</v>
      </c>
      <c r="R679">
        <v>1</v>
      </c>
      <c r="S679" t="s">
        <v>57</v>
      </c>
      <c r="T679" t="s">
        <v>58</v>
      </c>
      <c r="U679" s="4">
        <v>0.7</v>
      </c>
      <c r="V679" s="2">
        <v>0</v>
      </c>
      <c r="W679">
        <v>0</v>
      </c>
      <c r="X679" t="s">
        <v>70</v>
      </c>
      <c r="Y679" t="s">
        <v>60</v>
      </c>
      <c r="Z679">
        <v>0</v>
      </c>
      <c r="AA679" s="2">
        <v>0</v>
      </c>
      <c r="AB679" s="2">
        <v>0</v>
      </c>
      <c r="AC679" s="4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12.35</v>
      </c>
      <c r="AM679" s="2">
        <v>12.35</v>
      </c>
      <c r="AN679" s="2">
        <v>0</v>
      </c>
      <c r="AO679" s="2">
        <v>0</v>
      </c>
      <c r="AP679" s="2">
        <v>0</v>
      </c>
    </row>
    <row r="680" spans="1:42" x14ac:dyDescent="0.25">
      <c r="A680" s="1">
        <v>45915</v>
      </c>
      <c r="B680" t="s">
        <v>47</v>
      </c>
      <c r="C680">
        <v>649163</v>
      </c>
      <c r="D680">
        <v>2028135306</v>
      </c>
      <c r="E680" t="s">
        <v>153</v>
      </c>
      <c r="F680" t="s">
        <v>830</v>
      </c>
      <c r="G680" t="s">
        <v>50</v>
      </c>
      <c r="H680" t="s">
        <v>112</v>
      </c>
      <c r="I680" t="s">
        <v>441</v>
      </c>
      <c r="J680" t="s">
        <v>442</v>
      </c>
      <c r="K680">
        <v>767312</v>
      </c>
      <c r="L680" t="s">
        <v>122</v>
      </c>
      <c r="M680" t="s">
        <v>123</v>
      </c>
      <c r="N680" t="s">
        <v>56</v>
      </c>
      <c r="O680" s="1">
        <v>45748</v>
      </c>
      <c r="P680" s="1">
        <v>45931</v>
      </c>
      <c r="Q680" s="2">
        <v>43.81</v>
      </c>
      <c r="R680">
        <v>1</v>
      </c>
      <c r="S680" t="s">
        <v>57</v>
      </c>
      <c r="T680" t="s">
        <v>58</v>
      </c>
      <c r="U680" s="4">
        <v>0.9</v>
      </c>
      <c r="V680" s="2">
        <v>0</v>
      </c>
      <c r="W680">
        <v>0</v>
      </c>
      <c r="X680" t="s">
        <v>70</v>
      </c>
      <c r="Y680" t="s">
        <v>60</v>
      </c>
      <c r="Z680">
        <v>0</v>
      </c>
      <c r="AA680" s="2">
        <v>0</v>
      </c>
      <c r="AB680" s="2">
        <v>0</v>
      </c>
      <c r="AC680" s="4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39.43</v>
      </c>
      <c r="AM680" s="2">
        <v>39.43</v>
      </c>
      <c r="AN680" s="2">
        <v>0</v>
      </c>
      <c r="AO680" s="2">
        <v>0</v>
      </c>
      <c r="AP680" s="2">
        <v>0</v>
      </c>
    </row>
    <row r="681" spans="1:42" x14ac:dyDescent="0.25">
      <c r="A681" s="1">
        <v>45915</v>
      </c>
      <c r="B681" t="s">
        <v>47</v>
      </c>
      <c r="C681">
        <v>649163</v>
      </c>
      <c r="D681">
        <v>2028219140</v>
      </c>
      <c r="E681" t="s">
        <v>973</v>
      </c>
      <c r="F681" t="s">
        <v>277</v>
      </c>
      <c r="G681" t="s">
        <v>50</v>
      </c>
      <c r="H681" t="s">
        <v>115</v>
      </c>
      <c r="I681" t="s">
        <v>441</v>
      </c>
      <c r="J681" t="s">
        <v>445</v>
      </c>
      <c r="K681">
        <v>753748</v>
      </c>
      <c r="L681" t="s">
        <v>130</v>
      </c>
      <c r="M681" t="s">
        <v>131</v>
      </c>
      <c r="N681" t="s">
        <v>56</v>
      </c>
      <c r="O681" s="1">
        <v>45790</v>
      </c>
      <c r="P681" s="1">
        <v>45943</v>
      </c>
      <c r="Q681" s="2">
        <v>109.9</v>
      </c>
      <c r="R681">
        <v>1</v>
      </c>
      <c r="S681" t="s">
        <v>57</v>
      </c>
      <c r="T681" t="s">
        <v>58</v>
      </c>
      <c r="U681" s="4">
        <v>0.7</v>
      </c>
      <c r="V681" s="2">
        <v>0</v>
      </c>
      <c r="W681">
        <v>0</v>
      </c>
      <c r="X681" t="s">
        <v>70</v>
      </c>
      <c r="Y681" t="s">
        <v>60</v>
      </c>
      <c r="Z681">
        <v>0</v>
      </c>
      <c r="AA681" s="2">
        <v>0</v>
      </c>
      <c r="AB681" s="2">
        <v>0</v>
      </c>
      <c r="AC681" s="4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76.930000000000007</v>
      </c>
      <c r="AM681" s="2">
        <v>76.930000000000007</v>
      </c>
      <c r="AN681" s="2">
        <v>0</v>
      </c>
      <c r="AO681" s="2">
        <v>0</v>
      </c>
      <c r="AP681" s="2">
        <v>0</v>
      </c>
    </row>
    <row r="682" spans="1:42" x14ac:dyDescent="0.25">
      <c r="A682" s="1">
        <v>45915</v>
      </c>
      <c r="B682" t="s">
        <v>47</v>
      </c>
      <c r="C682">
        <v>649163</v>
      </c>
      <c r="D682">
        <v>2028286378</v>
      </c>
      <c r="E682" t="s">
        <v>875</v>
      </c>
      <c r="F682" t="s">
        <v>874</v>
      </c>
      <c r="G682" t="s">
        <v>50</v>
      </c>
      <c r="H682" t="s">
        <v>93</v>
      </c>
      <c r="I682" t="s">
        <v>441</v>
      </c>
      <c r="J682" t="s">
        <v>445</v>
      </c>
      <c r="K682">
        <v>812994</v>
      </c>
      <c r="L682" t="s">
        <v>294</v>
      </c>
      <c r="M682" t="s">
        <v>295</v>
      </c>
      <c r="N682" t="s">
        <v>230</v>
      </c>
      <c r="O682" s="1">
        <v>45755</v>
      </c>
      <c r="P682" s="1">
        <v>45938</v>
      </c>
      <c r="Q682" s="2">
        <v>-97.26</v>
      </c>
      <c r="R682">
        <v>1</v>
      </c>
      <c r="S682" t="s">
        <v>57</v>
      </c>
      <c r="T682" t="s">
        <v>58</v>
      </c>
      <c r="U682" s="4">
        <v>0.7</v>
      </c>
      <c r="V682" s="2">
        <v>0</v>
      </c>
      <c r="W682">
        <v>-1</v>
      </c>
      <c r="X682" t="s">
        <v>70</v>
      </c>
      <c r="Y682" t="s">
        <v>60</v>
      </c>
      <c r="Z682">
        <v>0</v>
      </c>
      <c r="AA682" s="2">
        <v>0</v>
      </c>
      <c r="AB682" s="2">
        <v>0</v>
      </c>
      <c r="AC682" s="4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-68.08</v>
      </c>
      <c r="AM682" s="2">
        <v>-68.08</v>
      </c>
      <c r="AN682" s="2">
        <v>0</v>
      </c>
      <c r="AO682" s="2">
        <v>0</v>
      </c>
      <c r="AP682" s="2">
        <v>0</v>
      </c>
    </row>
    <row r="683" spans="1:42" x14ac:dyDescent="0.25">
      <c r="A683" s="1">
        <v>45915</v>
      </c>
      <c r="B683" t="s">
        <v>47</v>
      </c>
      <c r="C683">
        <v>649163</v>
      </c>
      <c r="D683">
        <v>2028286378</v>
      </c>
      <c r="E683" t="s">
        <v>875</v>
      </c>
      <c r="F683" t="s">
        <v>874</v>
      </c>
      <c r="G683" t="s">
        <v>50</v>
      </c>
      <c r="H683" t="s">
        <v>93</v>
      </c>
      <c r="I683" t="s">
        <v>441</v>
      </c>
      <c r="J683" t="s">
        <v>445</v>
      </c>
      <c r="K683">
        <v>812994</v>
      </c>
      <c r="L683" t="s">
        <v>294</v>
      </c>
      <c r="M683" t="s">
        <v>295</v>
      </c>
      <c r="N683" t="s">
        <v>230</v>
      </c>
      <c r="O683" s="1">
        <v>45755</v>
      </c>
      <c r="P683" s="1">
        <v>45938</v>
      </c>
      <c r="Q683" s="2">
        <v>-97.26</v>
      </c>
      <c r="R683">
        <v>1</v>
      </c>
      <c r="S683" t="s">
        <v>57</v>
      </c>
      <c r="T683" t="s">
        <v>58</v>
      </c>
      <c r="U683" s="4">
        <v>0.7</v>
      </c>
      <c r="V683" s="2">
        <v>0</v>
      </c>
      <c r="W683">
        <v>-1</v>
      </c>
      <c r="X683" t="s">
        <v>70</v>
      </c>
      <c r="Y683" t="s">
        <v>60</v>
      </c>
      <c r="Z683">
        <v>0</v>
      </c>
      <c r="AA683" s="2">
        <v>0</v>
      </c>
      <c r="AB683" s="2">
        <v>0</v>
      </c>
      <c r="AC683" s="4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-68.08</v>
      </c>
      <c r="AM683" s="2">
        <v>-68.08</v>
      </c>
      <c r="AN683" s="2">
        <v>0</v>
      </c>
      <c r="AO683" s="2">
        <v>0</v>
      </c>
      <c r="AP683" s="2">
        <v>0</v>
      </c>
    </row>
    <row r="684" spans="1:42" x14ac:dyDescent="0.25">
      <c r="A684" s="1">
        <v>45915</v>
      </c>
      <c r="B684" t="s">
        <v>47</v>
      </c>
      <c r="C684">
        <v>649163</v>
      </c>
      <c r="D684">
        <v>2028329765</v>
      </c>
      <c r="E684" t="s">
        <v>873</v>
      </c>
      <c r="F684" t="s">
        <v>379</v>
      </c>
      <c r="G684" t="s">
        <v>50</v>
      </c>
      <c r="H684" t="s">
        <v>93</v>
      </c>
      <c r="I684" t="s">
        <v>441</v>
      </c>
      <c r="J684" t="s">
        <v>445</v>
      </c>
      <c r="K684">
        <v>824076</v>
      </c>
      <c r="L684" t="s">
        <v>834</v>
      </c>
      <c r="M684" t="s">
        <v>833</v>
      </c>
      <c r="N684" t="s">
        <v>56</v>
      </c>
      <c r="O684" s="1">
        <v>45762</v>
      </c>
      <c r="P684" s="1">
        <v>45945</v>
      </c>
      <c r="Q684" s="2">
        <v>11.5</v>
      </c>
      <c r="R684">
        <v>1</v>
      </c>
      <c r="S684" t="s">
        <v>57</v>
      </c>
      <c r="T684" t="s">
        <v>58</v>
      </c>
      <c r="U684" s="4">
        <v>0.7</v>
      </c>
      <c r="V684" s="2">
        <v>0</v>
      </c>
      <c r="W684">
        <v>0</v>
      </c>
      <c r="X684" t="s">
        <v>70</v>
      </c>
      <c r="Y684" t="s">
        <v>60</v>
      </c>
      <c r="Z684">
        <v>0</v>
      </c>
      <c r="AA684" s="2">
        <v>0</v>
      </c>
      <c r="AB684" s="2">
        <v>0</v>
      </c>
      <c r="AC684" s="4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8.0500000000000007</v>
      </c>
      <c r="AM684" s="2">
        <v>8.0500000000000007</v>
      </c>
      <c r="AN684" s="2">
        <v>0</v>
      </c>
      <c r="AO684" s="2">
        <v>0</v>
      </c>
      <c r="AP684" s="2">
        <v>0</v>
      </c>
    </row>
    <row r="685" spans="1:42" x14ac:dyDescent="0.25">
      <c r="A685" s="1">
        <v>45915</v>
      </c>
      <c r="B685" t="s">
        <v>47</v>
      </c>
      <c r="C685">
        <v>649163</v>
      </c>
      <c r="D685">
        <v>2028338805</v>
      </c>
      <c r="E685" t="s">
        <v>872</v>
      </c>
      <c r="F685" t="s">
        <v>349</v>
      </c>
      <c r="G685" t="s">
        <v>50</v>
      </c>
      <c r="H685" t="s">
        <v>402</v>
      </c>
      <c r="I685" t="s">
        <v>441</v>
      </c>
      <c r="J685" t="s">
        <v>445</v>
      </c>
      <c r="K685">
        <v>673059</v>
      </c>
      <c r="L685" t="s">
        <v>152</v>
      </c>
      <c r="M685" t="s">
        <v>153</v>
      </c>
      <c r="N685" t="s">
        <v>56</v>
      </c>
      <c r="O685" s="1">
        <v>45778</v>
      </c>
      <c r="P685" s="1">
        <v>45931</v>
      </c>
      <c r="Q685" s="2">
        <v>99</v>
      </c>
      <c r="R685">
        <v>1</v>
      </c>
      <c r="S685" t="s">
        <v>57</v>
      </c>
      <c r="T685" t="s">
        <v>58</v>
      </c>
      <c r="U685" s="4">
        <v>0.7</v>
      </c>
      <c r="V685" s="2">
        <v>0</v>
      </c>
      <c r="W685">
        <v>0</v>
      </c>
      <c r="X685" t="s">
        <v>70</v>
      </c>
      <c r="Y685" t="s">
        <v>60</v>
      </c>
      <c r="Z685">
        <v>0</v>
      </c>
      <c r="AA685" s="2">
        <v>0</v>
      </c>
      <c r="AB685" s="2">
        <v>0</v>
      </c>
      <c r="AC685" s="4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69.3</v>
      </c>
      <c r="AM685" s="2">
        <v>69.3</v>
      </c>
      <c r="AN685" s="2">
        <v>0</v>
      </c>
      <c r="AO685" s="2">
        <v>0</v>
      </c>
      <c r="AP685" s="2">
        <v>0</v>
      </c>
    </row>
    <row r="686" spans="1:42" x14ac:dyDescent="0.25">
      <c r="A686" s="1">
        <v>45915</v>
      </c>
      <c r="B686" t="s">
        <v>47</v>
      </c>
      <c r="C686">
        <v>649163</v>
      </c>
      <c r="D686">
        <v>2028338806</v>
      </c>
      <c r="E686" t="s">
        <v>872</v>
      </c>
      <c r="F686" t="s">
        <v>349</v>
      </c>
      <c r="G686" t="s">
        <v>50</v>
      </c>
      <c r="H686" t="s">
        <v>402</v>
      </c>
      <c r="I686" t="s">
        <v>441</v>
      </c>
      <c r="J686" t="s">
        <v>545</v>
      </c>
      <c r="K686">
        <v>673059</v>
      </c>
      <c r="L686" t="s">
        <v>152</v>
      </c>
      <c r="M686" t="s">
        <v>153</v>
      </c>
      <c r="N686" t="s">
        <v>56</v>
      </c>
      <c r="O686" s="1">
        <v>45778</v>
      </c>
      <c r="P686" s="1">
        <v>45931</v>
      </c>
      <c r="Q686" s="2">
        <v>25.73</v>
      </c>
      <c r="R686">
        <v>1</v>
      </c>
      <c r="S686" t="s">
        <v>57</v>
      </c>
      <c r="T686" t="s">
        <v>58</v>
      </c>
      <c r="U686" s="4">
        <v>0.7</v>
      </c>
      <c r="V686" s="2">
        <v>0</v>
      </c>
      <c r="W686">
        <v>0</v>
      </c>
      <c r="X686" t="s">
        <v>70</v>
      </c>
      <c r="Y686" t="s">
        <v>60</v>
      </c>
      <c r="Z686">
        <v>0</v>
      </c>
      <c r="AA686" s="2">
        <v>0</v>
      </c>
      <c r="AB686" s="2">
        <v>0</v>
      </c>
      <c r="AC686" s="4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18.010000000000002</v>
      </c>
      <c r="AM686" s="2">
        <v>18.010000000000002</v>
      </c>
      <c r="AN686" s="2">
        <v>0</v>
      </c>
      <c r="AO686" s="2">
        <v>0</v>
      </c>
      <c r="AP686" s="2">
        <v>0</v>
      </c>
    </row>
    <row r="687" spans="1:42" x14ac:dyDescent="0.25">
      <c r="A687" s="1">
        <v>45915</v>
      </c>
      <c r="B687" t="s">
        <v>47</v>
      </c>
      <c r="C687">
        <v>649163</v>
      </c>
      <c r="D687">
        <v>2028379892</v>
      </c>
      <c r="E687" t="s">
        <v>871</v>
      </c>
      <c r="F687" t="s">
        <v>870</v>
      </c>
      <c r="G687" t="s">
        <v>50</v>
      </c>
      <c r="H687" t="s">
        <v>115</v>
      </c>
      <c r="I687" t="s">
        <v>441</v>
      </c>
      <c r="J687" t="s">
        <v>445</v>
      </c>
      <c r="K687">
        <v>822865</v>
      </c>
      <c r="L687" t="s">
        <v>158</v>
      </c>
      <c r="M687" t="s">
        <v>159</v>
      </c>
      <c r="N687" t="s">
        <v>56</v>
      </c>
      <c r="O687" s="1">
        <v>45760</v>
      </c>
      <c r="P687" s="1">
        <v>45943</v>
      </c>
      <c r="Q687" s="2">
        <v>129.22</v>
      </c>
      <c r="R687">
        <v>1</v>
      </c>
      <c r="S687" t="s">
        <v>57</v>
      </c>
      <c r="T687" t="s">
        <v>58</v>
      </c>
      <c r="U687" s="4">
        <v>0.7</v>
      </c>
      <c r="V687" s="2">
        <v>0</v>
      </c>
      <c r="W687">
        <v>0</v>
      </c>
      <c r="X687" t="s">
        <v>70</v>
      </c>
      <c r="Y687" t="s">
        <v>60</v>
      </c>
      <c r="Z687">
        <v>0</v>
      </c>
      <c r="AA687" s="2">
        <v>0</v>
      </c>
      <c r="AB687" s="2">
        <v>0</v>
      </c>
      <c r="AC687" s="4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90.45</v>
      </c>
      <c r="AM687" s="2">
        <v>90.45</v>
      </c>
      <c r="AN687" s="2">
        <v>0</v>
      </c>
      <c r="AO687" s="2">
        <v>0</v>
      </c>
      <c r="AP687" s="2">
        <v>0</v>
      </c>
    </row>
    <row r="688" spans="1:42" x14ac:dyDescent="0.25">
      <c r="A688" s="1">
        <v>45915</v>
      </c>
      <c r="B688" t="s">
        <v>47</v>
      </c>
      <c r="C688">
        <v>649163</v>
      </c>
      <c r="D688">
        <v>2028402355</v>
      </c>
      <c r="E688" t="s">
        <v>371</v>
      </c>
      <c r="F688" t="s">
        <v>372</v>
      </c>
      <c r="G688" t="s">
        <v>50</v>
      </c>
      <c r="H688" t="s">
        <v>93</v>
      </c>
      <c r="I688" t="s">
        <v>441</v>
      </c>
      <c r="J688" t="s">
        <v>445</v>
      </c>
      <c r="K688">
        <v>768887</v>
      </c>
      <c r="L688" t="s">
        <v>282</v>
      </c>
      <c r="M688" t="s">
        <v>283</v>
      </c>
      <c r="N688" t="s">
        <v>56</v>
      </c>
      <c r="O688" s="1">
        <v>45762</v>
      </c>
      <c r="P688" s="1">
        <v>45945</v>
      </c>
      <c r="Q688" s="2">
        <v>105.02</v>
      </c>
      <c r="R688">
        <v>1</v>
      </c>
      <c r="S688" t="s">
        <v>57</v>
      </c>
      <c r="T688" t="s">
        <v>58</v>
      </c>
      <c r="U688" s="4">
        <v>0.7</v>
      </c>
      <c r="V688" s="2">
        <v>0</v>
      </c>
      <c r="W688">
        <v>0</v>
      </c>
      <c r="X688" t="s">
        <v>70</v>
      </c>
      <c r="Y688" t="s">
        <v>60</v>
      </c>
      <c r="Z688">
        <v>0</v>
      </c>
      <c r="AA688" s="2">
        <v>0</v>
      </c>
      <c r="AB688" s="2">
        <v>0</v>
      </c>
      <c r="AC688" s="4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73.510000000000005</v>
      </c>
      <c r="AM688" s="2">
        <v>73.510000000000005</v>
      </c>
      <c r="AN688" s="2">
        <v>0</v>
      </c>
      <c r="AO688" s="2">
        <v>0</v>
      </c>
      <c r="AP688" s="2">
        <v>0</v>
      </c>
    </row>
    <row r="689" spans="1:42" x14ac:dyDescent="0.25">
      <c r="A689" s="1">
        <v>45915</v>
      </c>
      <c r="B689" t="s">
        <v>47</v>
      </c>
      <c r="C689">
        <v>649163</v>
      </c>
      <c r="D689">
        <v>2028470693</v>
      </c>
      <c r="E689" t="s">
        <v>972</v>
      </c>
      <c r="F689" t="s">
        <v>485</v>
      </c>
      <c r="G689" t="s">
        <v>50</v>
      </c>
      <c r="H689" t="s">
        <v>121</v>
      </c>
      <c r="I689" t="s">
        <v>441</v>
      </c>
      <c r="J689" t="s">
        <v>445</v>
      </c>
      <c r="K689">
        <v>813184</v>
      </c>
      <c r="L689" t="s">
        <v>194</v>
      </c>
      <c r="M689" t="s">
        <v>195</v>
      </c>
      <c r="N689" t="s">
        <v>56</v>
      </c>
      <c r="O689" s="1">
        <v>45765</v>
      </c>
      <c r="P689" s="1">
        <v>45948</v>
      </c>
      <c r="Q689" s="2">
        <v>159.16999999999999</v>
      </c>
      <c r="R689">
        <v>1</v>
      </c>
      <c r="S689" t="s">
        <v>57</v>
      </c>
      <c r="T689" t="s">
        <v>58</v>
      </c>
      <c r="U689" s="4">
        <v>0.7</v>
      </c>
      <c r="V689" s="2">
        <v>0</v>
      </c>
      <c r="W689">
        <v>0</v>
      </c>
      <c r="X689" t="s">
        <v>70</v>
      </c>
      <c r="Y689" t="s">
        <v>60</v>
      </c>
      <c r="Z689">
        <v>0</v>
      </c>
      <c r="AA689" s="2">
        <v>0</v>
      </c>
      <c r="AB689" s="2">
        <v>0</v>
      </c>
      <c r="AC689" s="4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111.42</v>
      </c>
      <c r="AM689" s="2">
        <v>111.42</v>
      </c>
      <c r="AN689" s="2">
        <v>0</v>
      </c>
      <c r="AO689" s="2">
        <v>0</v>
      </c>
      <c r="AP689" s="2">
        <v>0</v>
      </c>
    </row>
    <row r="690" spans="1:42" x14ac:dyDescent="0.25">
      <c r="A690" s="1">
        <v>45915</v>
      </c>
      <c r="B690" t="s">
        <v>47</v>
      </c>
      <c r="C690">
        <v>649163</v>
      </c>
      <c r="D690">
        <v>2028471502</v>
      </c>
      <c r="E690" t="s">
        <v>971</v>
      </c>
      <c r="F690" t="s">
        <v>970</v>
      </c>
      <c r="G690" t="s">
        <v>50</v>
      </c>
      <c r="H690" t="s">
        <v>121</v>
      </c>
      <c r="I690" t="s">
        <v>441</v>
      </c>
      <c r="J690" t="s">
        <v>445</v>
      </c>
      <c r="K690">
        <v>813184</v>
      </c>
      <c r="L690" t="s">
        <v>194</v>
      </c>
      <c r="M690" t="s">
        <v>195</v>
      </c>
      <c r="N690" t="s">
        <v>56</v>
      </c>
      <c r="O690" s="1">
        <v>45765</v>
      </c>
      <c r="P690" s="1">
        <v>45948</v>
      </c>
      <c r="Q690" s="2">
        <v>41.98</v>
      </c>
      <c r="R690">
        <v>1</v>
      </c>
      <c r="S690" t="s">
        <v>57</v>
      </c>
      <c r="T690" t="s">
        <v>58</v>
      </c>
      <c r="U690" s="4">
        <v>0.7</v>
      </c>
      <c r="V690" s="2">
        <v>0</v>
      </c>
      <c r="W690">
        <v>0</v>
      </c>
      <c r="X690" t="s">
        <v>70</v>
      </c>
      <c r="Y690" t="s">
        <v>60</v>
      </c>
      <c r="Z690">
        <v>0</v>
      </c>
      <c r="AA690" s="2">
        <v>0</v>
      </c>
      <c r="AB690" s="2">
        <v>0</v>
      </c>
      <c r="AC690" s="4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29.39</v>
      </c>
      <c r="AM690" s="2">
        <v>29.39</v>
      </c>
      <c r="AN690" s="2">
        <v>0</v>
      </c>
      <c r="AO690" s="2">
        <v>0</v>
      </c>
      <c r="AP690" s="2">
        <v>0</v>
      </c>
    </row>
    <row r="691" spans="1:42" x14ac:dyDescent="0.25">
      <c r="A691" s="1">
        <v>45915</v>
      </c>
      <c r="B691" t="s">
        <v>47</v>
      </c>
      <c r="C691">
        <v>649163</v>
      </c>
      <c r="D691">
        <v>2028471687</v>
      </c>
      <c r="E691" t="s">
        <v>259</v>
      </c>
      <c r="F691" t="s">
        <v>594</v>
      </c>
      <c r="G691" t="s">
        <v>50</v>
      </c>
      <c r="H691" t="s">
        <v>93</v>
      </c>
      <c r="I691" t="s">
        <v>441</v>
      </c>
      <c r="J691" t="s">
        <v>445</v>
      </c>
      <c r="K691">
        <v>820873</v>
      </c>
      <c r="L691" t="s">
        <v>262</v>
      </c>
      <c r="M691" t="s">
        <v>263</v>
      </c>
      <c r="N691" t="s">
        <v>56</v>
      </c>
      <c r="O691" s="1">
        <v>45765</v>
      </c>
      <c r="P691" s="1">
        <v>45948</v>
      </c>
      <c r="Q691" s="2">
        <v>51</v>
      </c>
      <c r="R691">
        <v>1</v>
      </c>
      <c r="S691" t="s">
        <v>57</v>
      </c>
      <c r="T691" t="s">
        <v>58</v>
      </c>
      <c r="U691" s="4">
        <v>0.7</v>
      </c>
      <c r="V691" s="2">
        <v>0</v>
      </c>
      <c r="W691">
        <v>0</v>
      </c>
      <c r="X691" t="s">
        <v>70</v>
      </c>
      <c r="Y691" t="s">
        <v>60</v>
      </c>
      <c r="Z691">
        <v>0</v>
      </c>
      <c r="AA691" s="2">
        <v>0</v>
      </c>
      <c r="AB691" s="2">
        <v>0</v>
      </c>
      <c r="AC691" s="4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35.700000000000003</v>
      </c>
      <c r="AM691" s="2">
        <v>35.700000000000003</v>
      </c>
      <c r="AN691" s="2">
        <v>0</v>
      </c>
      <c r="AO691" s="2">
        <v>0</v>
      </c>
      <c r="AP691" s="2">
        <v>0</v>
      </c>
    </row>
    <row r="692" spans="1:42" x14ac:dyDescent="0.25">
      <c r="A692" s="1">
        <v>45915</v>
      </c>
      <c r="B692" t="s">
        <v>47</v>
      </c>
      <c r="D692">
        <v>2028488145</v>
      </c>
      <c r="E692" t="s">
        <v>780</v>
      </c>
      <c r="F692" t="s">
        <v>779</v>
      </c>
      <c r="G692" t="s">
        <v>50</v>
      </c>
      <c r="H692" t="s">
        <v>51</v>
      </c>
      <c r="I692" t="s">
        <v>441</v>
      </c>
      <c r="J692" t="s">
        <v>545</v>
      </c>
      <c r="L692" t="s">
        <v>84</v>
      </c>
      <c r="M692" t="s">
        <v>85</v>
      </c>
      <c r="N692" t="s">
        <v>56</v>
      </c>
      <c r="O692" s="1">
        <v>45766</v>
      </c>
      <c r="P692" s="1">
        <v>45949</v>
      </c>
      <c r="Q692" s="2">
        <v>51.46</v>
      </c>
      <c r="R692">
        <v>1</v>
      </c>
      <c r="S692" t="s">
        <v>57</v>
      </c>
      <c r="T692" t="s">
        <v>58</v>
      </c>
      <c r="U692" s="4">
        <v>0.7</v>
      </c>
      <c r="V692" s="2">
        <v>0</v>
      </c>
      <c r="W692">
        <v>0</v>
      </c>
      <c r="X692" t="s">
        <v>70</v>
      </c>
      <c r="Y692" t="s">
        <v>60</v>
      </c>
      <c r="Z692">
        <v>0</v>
      </c>
      <c r="AA692" s="2">
        <v>0</v>
      </c>
      <c r="AB692" s="2">
        <v>0</v>
      </c>
      <c r="AC692" s="4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36.020000000000003</v>
      </c>
      <c r="AM692" s="2">
        <v>36.020000000000003</v>
      </c>
      <c r="AN692" s="2">
        <v>0</v>
      </c>
      <c r="AO692" s="2">
        <v>0</v>
      </c>
      <c r="AP692" s="2">
        <v>0</v>
      </c>
    </row>
    <row r="693" spans="1:42" x14ac:dyDescent="0.25">
      <c r="A693" s="1">
        <v>45915</v>
      </c>
      <c r="B693" t="s">
        <v>47</v>
      </c>
      <c r="C693">
        <v>649163</v>
      </c>
      <c r="D693">
        <v>2028565355</v>
      </c>
      <c r="E693" t="s">
        <v>317</v>
      </c>
      <c r="F693" t="s">
        <v>778</v>
      </c>
      <c r="G693" t="s">
        <v>50</v>
      </c>
      <c r="H693" t="s">
        <v>151</v>
      </c>
      <c r="I693" t="s">
        <v>441</v>
      </c>
      <c r="J693" t="s">
        <v>445</v>
      </c>
      <c r="K693">
        <v>650218</v>
      </c>
      <c r="L693" t="s">
        <v>73</v>
      </c>
      <c r="M693" t="s">
        <v>74</v>
      </c>
      <c r="N693" t="s">
        <v>56</v>
      </c>
      <c r="O693" s="1">
        <v>45777</v>
      </c>
      <c r="P693" s="1">
        <v>45930</v>
      </c>
      <c r="Q693" s="2">
        <v>30.16</v>
      </c>
      <c r="R693">
        <v>1</v>
      </c>
      <c r="S693" t="s">
        <v>57</v>
      </c>
      <c r="T693" t="s">
        <v>58</v>
      </c>
      <c r="U693" s="4">
        <v>0.7</v>
      </c>
      <c r="V693" s="2">
        <v>0</v>
      </c>
      <c r="W693">
        <v>0</v>
      </c>
      <c r="X693" t="s">
        <v>70</v>
      </c>
      <c r="Y693" t="s">
        <v>60</v>
      </c>
      <c r="Z693">
        <v>0</v>
      </c>
      <c r="AA693" s="2">
        <v>0</v>
      </c>
      <c r="AB693" s="2">
        <v>0</v>
      </c>
      <c r="AC693" s="4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21.11</v>
      </c>
      <c r="AM693" s="2">
        <v>21.11</v>
      </c>
      <c r="AN693" s="2">
        <v>0</v>
      </c>
      <c r="AO693" s="2">
        <v>0</v>
      </c>
      <c r="AP693" s="2">
        <v>0</v>
      </c>
    </row>
    <row r="694" spans="1:42" x14ac:dyDescent="0.25">
      <c r="A694" s="1">
        <v>45915</v>
      </c>
      <c r="B694" t="s">
        <v>47</v>
      </c>
      <c r="C694">
        <v>649163</v>
      </c>
      <c r="D694">
        <v>2028615204</v>
      </c>
      <c r="E694" t="s">
        <v>861</v>
      </c>
      <c r="F694" t="s">
        <v>293</v>
      </c>
      <c r="G694" t="s">
        <v>50</v>
      </c>
      <c r="H694" t="s">
        <v>115</v>
      </c>
      <c r="I694" t="s">
        <v>441</v>
      </c>
      <c r="J694" t="s">
        <v>445</v>
      </c>
      <c r="K694">
        <v>822733</v>
      </c>
      <c r="L694" t="s">
        <v>860</v>
      </c>
      <c r="M694" t="s">
        <v>859</v>
      </c>
      <c r="N694" t="s">
        <v>56</v>
      </c>
      <c r="O694" s="1">
        <v>45784</v>
      </c>
      <c r="P694" s="1">
        <v>45937</v>
      </c>
      <c r="Q694" s="2">
        <v>-150.66</v>
      </c>
      <c r="R694">
        <v>1</v>
      </c>
      <c r="S694" t="s">
        <v>57</v>
      </c>
      <c r="T694" t="s">
        <v>58</v>
      </c>
      <c r="U694" s="4">
        <v>0.7</v>
      </c>
      <c r="V694" s="2">
        <v>0</v>
      </c>
      <c r="W694">
        <v>-1</v>
      </c>
      <c r="X694" t="s">
        <v>70</v>
      </c>
      <c r="Y694" t="s">
        <v>60</v>
      </c>
      <c r="Z694">
        <v>0</v>
      </c>
      <c r="AA694" s="2">
        <v>0</v>
      </c>
      <c r="AB694" s="2">
        <v>0</v>
      </c>
      <c r="AC694" s="4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-105.46</v>
      </c>
      <c r="AM694" s="2">
        <v>-105.46</v>
      </c>
      <c r="AN694" s="2">
        <v>0</v>
      </c>
      <c r="AO694" s="2">
        <v>0</v>
      </c>
      <c r="AP694" s="2">
        <v>0</v>
      </c>
    </row>
    <row r="695" spans="1:42" x14ac:dyDescent="0.25">
      <c r="A695" s="1">
        <v>45915</v>
      </c>
      <c r="B695" t="s">
        <v>47</v>
      </c>
      <c r="C695">
        <v>649163</v>
      </c>
      <c r="D695">
        <v>2028615205</v>
      </c>
      <c r="E695" t="s">
        <v>861</v>
      </c>
      <c r="F695" t="s">
        <v>293</v>
      </c>
      <c r="G695" t="s">
        <v>50</v>
      </c>
      <c r="H695" t="s">
        <v>115</v>
      </c>
      <c r="I695" t="s">
        <v>441</v>
      </c>
      <c r="J695" t="s">
        <v>442</v>
      </c>
      <c r="K695">
        <v>822733</v>
      </c>
      <c r="L695" t="s">
        <v>860</v>
      </c>
      <c r="M695" t="s">
        <v>859</v>
      </c>
      <c r="N695" t="s">
        <v>56</v>
      </c>
      <c r="O695" s="1">
        <v>45784</v>
      </c>
      <c r="P695" s="1">
        <v>45937</v>
      </c>
      <c r="Q695" s="2">
        <v>-42.42</v>
      </c>
      <c r="R695">
        <v>1</v>
      </c>
      <c r="S695" t="s">
        <v>57</v>
      </c>
      <c r="T695" t="s">
        <v>58</v>
      </c>
      <c r="U695" s="4">
        <v>0.9</v>
      </c>
      <c r="V695" s="2">
        <v>0</v>
      </c>
      <c r="W695">
        <v>-1</v>
      </c>
      <c r="X695" t="s">
        <v>70</v>
      </c>
      <c r="Y695" t="s">
        <v>60</v>
      </c>
      <c r="Z695">
        <v>0</v>
      </c>
      <c r="AA695" s="2">
        <v>0</v>
      </c>
      <c r="AB695" s="2">
        <v>0</v>
      </c>
      <c r="AC695" s="4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-38.18</v>
      </c>
      <c r="AM695" s="2">
        <v>-38.18</v>
      </c>
      <c r="AN695" s="2">
        <v>0</v>
      </c>
      <c r="AO695" s="2">
        <v>0</v>
      </c>
      <c r="AP695" s="2">
        <v>0</v>
      </c>
    </row>
    <row r="696" spans="1:42" x14ac:dyDescent="0.25">
      <c r="A696" s="1">
        <v>45915</v>
      </c>
      <c r="B696" t="s">
        <v>47</v>
      </c>
      <c r="C696">
        <v>649163</v>
      </c>
      <c r="D696">
        <v>2028782159</v>
      </c>
      <c r="E696" t="s">
        <v>969</v>
      </c>
      <c r="F696" t="s">
        <v>968</v>
      </c>
      <c r="G696" t="s">
        <v>50</v>
      </c>
      <c r="H696" t="s">
        <v>115</v>
      </c>
      <c r="I696" t="s">
        <v>441</v>
      </c>
      <c r="J696" t="s">
        <v>445</v>
      </c>
      <c r="K696">
        <v>822733</v>
      </c>
      <c r="L696" t="s">
        <v>860</v>
      </c>
      <c r="M696" t="s">
        <v>859</v>
      </c>
      <c r="N696" t="s">
        <v>56</v>
      </c>
      <c r="O696" s="1">
        <v>45792</v>
      </c>
      <c r="P696" s="1">
        <v>45945</v>
      </c>
      <c r="Q696" s="2">
        <v>48.76</v>
      </c>
      <c r="R696">
        <v>1</v>
      </c>
      <c r="S696" t="s">
        <v>57</v>
      </c>
      <c r="T696" t="s">
        <v>58</v>
      </c>
      <c r="U696" s="4">
        <v>0.7</v>
      </c>
      <c r="V696" s="2">
        <v>0</v>
      </c>
      <c r="W696">
        <v>0</v>
      </c>
      <c r="X696" t="s">
        <v>70</v>
      </c>
      <c r="Y696" t="s">
        <v>60</v>
      </c>
      <c r="Z696">
        <v>0</v>
      </c>
      <c r="AA696" s="2">
        <v>0</v>
      </c>
      <c r="AB696" s="2">
        <v>0</v>
      </c>
      <c r="AC696" s="4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34.130000000000003</v>
      </c>
      <c r="AM696" s="2">
        <v>34.130000000000003</v>
      </c>
      <c r="AN696" s="2">
        <v>0</v>
      </c>
      <c r="AO696" s="2">
        <v>0</v>
      </c>
      <c r="AP696" s="2">
        <v>0</v>
      </c>
    </row>
    <row r="697" spans="1:42" x14ac:dyDescent="0.25">
      <c r="A697" s="1">
        <v>45915</v>
      </c>
      <c r="B697" t="s">
        <v>47</v>
      </c>
      <c r="C697">
        <v>649163</v>
      </c>
      <c r="D697">
        <v>2028784372</v>
      </c>
      <c r="E697" t="s">
        <v>858</v>
      </c>
      <c r="F697" t="s">
        <v>857</v>
      </c>
      <c r="G697" t="s">
        <v>50</v>
      </c>
      <c r="H697" t="s">
        <v>93</v>
      </c>
      <c r="I697" t="s">
        <v>441</v>
      </c>
      <c r="J697" t="s">
        <v>442</v>
      </c>
      <c r="K697">
        <v>840313</v>
      </c>
      <c r="L697" t="s">
        <v>273</v>
      </c>
      <c r="M697" t="s">
        <v>274</v>
      </c>
      <c r="N697" t="s">
        <v>56</v>
      </c>
      <c r="O697" s="1">
        <v>45792</v>
      </c>
      <c r="P697" s="1">
        <v>45945</v>
      </c>
      <c r="Q697" s="2">
        <v>9.5299999999999994</v>
      </c>
      <c r="R697">
        <v>1</v>
      </c>
      <c r="S697" t="s">
        <v>57</v>
      </c>
      <c r="T697" t="s">
        <v>58</v>
      </c>
      <c r="U697" s="4">
        <v>0.9</v>
      </c>
      <c r="V697" s="2">
        <v>0</v>
      </c>
      <c r="W697">
        <v>0</v>
      </c>
      <c r="X697" t="s">
        <v>70</v>
      </c>
      <c r="Y697" t="s">
        <v>60</v>
      </c>
      <c r="Z697">
        <v>0</v>
      </c>
      <c r="AA697" s="2">
        <v>0</v>
      </c>
      <c r="AB697" s="2">
        <v>0</v>
      </c>
      <c r="AC697" s="4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8.58</v>
      </c>
      <c r="AM697" s="2">
        <v>8.58</v>
      </c>
      <c r="AN697" s="2">
        <v>0</v>
      </c>
      <c r="AO697" s="2">
        <v>0</v>
      </c>
      <c r="AP697" s="2">
        <v>0</v>
      </c>
    </row>
    <row r="698" spans="1:42" x14ac:dyDescent="0.25">
      <c r="A698" s="1">
        <v>45915</v>
      </c>
      <c r="B698" t="s">
        <v>47</v>
      </c>
      <c r="C698">
        <v>649163</v>
      </c>
      <c r="D698">
        <v>2028840698</v>
      </c>
      <c r="E698" t="s">
        <v>622</v>
      </c>
      <c r="F698" t="s">
        <v>163</v>
      </c>
      <c r="G698" t="s">
        <v>50</v>
      </c>
      <c r="H698" t="s">
        <v>151</v>
      </c>
      <c r="I698" t="s">
        <v>441</v>
      </c>
      <c r="J698" t="s">
        <v>445</v>
      </c>
      <c r="K698">
        <v>673059</v>
      </c>
      <c r="L698" t="s">
        <v>152</v>
      </c>
      <c r="M698" t="s">
        <v>153</v>
      </c>
      <c r="N698" t="s">
        <v>230</v>
      </c>
      <c r="O698" s="1">
        <v>45809</v>
      </c>
      <c r="P698" s="1">
        <v>45931</v>
      </c>
      <c r="Q698" s="2">
        <v>-19.86</v>
      </c>
      <c r="R698">
        <v>1</v>
      </c>
      <c r="S698" t="s">
        <v>57</v>
      </c>
      <c r="T698" t="s">
        <v>58</v>
      </c>
      <c r="U698" s="4">
        <v>0.7</v>
      </c>
      <c r="V698" s="2">
        <v>0</v>
      </c>
      <c r="W698">
        <v>-1</v>
      </c>
      <c r="X698" t="s">
        <v>70</v>
      </c>
      <c r="Y698" t="s">
        <v>60</v>
      </c>
      <c r="Z698">
        <v>0</v>
      </c>
      <c r="AA698" s="2">
        <v>0</v>
      </c>
      <c r="AB698" s="2">
        <v>0</v>
      </c>
      <c r="AC698" s="4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-13.9</v>
      </c>
      <c r="AM698" s="2">
        <v>-13.9</v>
      </c>
      <c r="AN698" s="2">
        <v>0</v>
      </c>
      <c r="AO698" s="2">
        <v>0</v>
      </c>
      <c r="AP698" s="2">
        <v>0</v>
      </c>
    </row>
    <row r="699" spans="1:42" x14ac:dyDescent="0.25">
      <c r="A699" s="1">
        <v>45915</v>
      </c>
      <c r="B699" t="s">
        <v>47</v>
      </c>
      <c r="C699">
        <v>649163</v>
      </c>
      <c r="D699">
        <v>2028840699</v>
      </c>
      <c r="E699" t="s">
        <v>622</v>
      </c>
      <c r="F699" t="s">
        <v>163</v>
      </c>
      <c r="G699" t="s">
        <v>50</v>
      </c>
      <c r="H699" t="s">
        <v>151</v>
      </c>
      <c r="I699" t="s">
        <v>441</v>
      </c>
      <c r="J699" t="s">
        <v>545</v>
      </c>
      <c r="K699">
        <v>673059</v>
      </c>
      <c r="L699" t="s">
        <v>152</v>
      </c>
      <c r="M699" t="s">
        <v>153</v>
      </c>
      <c r="N699" t="s">
        <v>230</v>
      </c>
      <c r="O699" s="1">
        <v>45809</v>
      </c>
      <c r="P699" s="1">
        <v>45931</v>
      </c>
      <c r="Q699" s="2">
        <v>-17.149999999999999</v>
      </c>
      <c r="R699">
        <v>1</v>
      </c>
      <c r="S699" t="s">
        <v>57</v>
      </c>
      <c r="T699" t="s">
        <v>58</v>
      </c>
      <c r="U699" s="4">
        <v>0.7</v>
      </c>
      <c r="V699" s="2">
        <v>0</v>
      </c>
      <c r="W699">
        <v>-1</v>
      </c>
      <c r="X699" t="s">
        <v>70</v>
      </c>
      <c r="Y699" t="s">
        <v>60</v>
      </c>
      <c r="Z699">
        <v>0</v>
      </c>
      <c r="AA699" s="2">
        <v>0</v>
      </c>
      <c r="AB699" s="2">
        <v>0</v>
      </c>
      <c r="AC699" s="4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-12</v>
      </c>
      <c r="AM699" s="2">
        <v>-12</v>
      </c>
      <c r="AN699" s="2">
        <v>0</v>
      </c>
      <c r="AO699" s="2">
        <v>0</v>
      </c>
      <c r="AP699" s="2">
        <v>0</v>
      </c>
    </row>
    <row r="700" spans="1:42" x14ac:dyDescent="0.25">
      <c r="A700" s="1">
        <v>45915</v>
      </c>
      <c r="B700" t="s">
        <v>47</v>
      </c>
      <c r="C700">
        <v>649163</v>
      </c>
      <c r="D700">
        <v>2028881458</v>
      </c>
      <c r="E700" t="s">
        <v>850</v>
      </c>
      <c r="F700" t="s">
        <v>967</v>
      </c>
      <c r="G700" t="s">
        <v>50</v>
      </c>
      <c r="H700" t="s">
        <v>93</v>
      </c>
      <c r="I700" t="s">
        <v>441</v>
      </c>
      <c r="J700" t="s">
        <v>445</v>
      </c>
      <c r="K700">
        <v>812656</v>
      </c>
      <c r="L700" t="s">
        <v>338</v>
      </c>
      <c r="M700" t="s">
        <v>377</v>
      </c>
      <c r="N700" t="s">
        <v>56</v>
      </c>
      <c r="O700" s="1">
        <v>45793</v>
      </c>
      <c r="P700" s="1">
        <v>45946</v>
      </c>
      <c r="Q700" s="2">
        <v>27.19</v>
      </c>
      <c r="R700">
        <v>1</v>
      </c>
      <c r="S700" t="s">
        <v>57</v>
      </c>
      <c r="T700" t="s">
        <v>58</v>
      </c>
      <c r="U700" s="4">
        <v>0.7</v>
      </c>
      <c r="V700" s="2">
        <v>0</v>
      </c>
      <c r="W700">
        <v>0</v>
      </c>
      <c r="X700" t="s">
        <v>70</v>
      </c>
      <c r="Y700" t="s">
        <v>60</v>
      </c>
      <c r="Z700">
        <v>0</v>
      </c>
      <c r="AA700" s="2">
        <v>0</v>
      </c>
      <c r="AB700" s="2">
        <v>0</v>
      </c>
      <c r="AC700" s="4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19.03</v>
      </c>
      <c r="AM700" s="2">
        <v>19.03</v>
      </c>
      <c r="AN700" s="2">
        <v>0</v>
      </c>
      <c r="AO700" s="2">
        <v>0</v>
      </c>
      <c r="AP700" s="2">
        <v>0</v>
      </c>
    </row>
    <row r="701" spans="1:42" x14ac:dyDescent="0.25">
      <c r="A701" s="1">
        <v>45915</v>
      </c>
      <c r="B701" t="s">
        <v>47</v>
      </c>
      <c r="C701">
        <v>649163</v>
      </c>
      <c r="D701">
        <v>2028890707</v>
      </c>
      <c r="E701" t="s">
        <v>966</v>
      </c>
      <c r="F701" t="s">
        <v>965</v>
      </c>
      <c r="G701" t="s">
        <v>50</v>
      </c>
      <c r="H701" t="s">
        <v>93</v>
      </c>
      <c r="I701" t="s">
        <v>441</v>
      </c>
      <c r="J701" t="s">
        <v>445</v>
      </c>
      <c r="K701">
        <v>807212</v>
      </c>
      <c r="L701" t="s">
        <v>467</v>
      </c>
      <c r="M701" t="s">
        <v>468</v>
      </c>
      <c r="N701" t="s">
        <v>56</v>
      </c>
      <c r="O701" s="1">
        <v>45790</v>
      </c>
      <c r="P701" s="1">
        <v>45943</v>
      </c>
      <c r="Q701" s="2">
        <v>95.68</v>
      </c>
      <c r="R701">
        <v>1</v>
      </c>
      <c r="S701" t="s">
        <v>57</v>
      </c>
      <c r="T701" t="s">
        <v>58</v>
      </c>
      <c r="U701" s="4">
        <v>0.7</v>
      </c>
      <c r="V701" s="2">
        <v>0</v>
      </c>
      <c r="W701">
        <v>0</v>
      </c>
      <c r="X701" t="s">
        <v>70</v>
      </c>
      <c r="Y701" t="s">
        <v>60</v>
      </c>
      <c r="Z701">
        <v>0</v>
      </c>
      <c r="AA701" s="2">
        <v>0</v>
      </c>
      <c r="AB701" s="2">
        <v>0</v>
      </c>
      <c r="AC701" s="4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66.98</v>
      </c>
      <c r="AM701" s="2">
        <v>66.98</v>
      </c>
      <c r="AN701" s="2">
        <v>0</v>
      </c>
      <c r="AO701" s="2">
        <v>0</v>
      </c>
      <c r="AP701" s="2">
        <v>0</v>
      </c>
    </row>
    <row r="702" spans="1:42" x14ac:dyDescent="0.25">
      <c r="A702" s="1">
        <v>45915</v>
      </c>
      <c r="B702" t="s">
        <v>47</v>
      </c>
      <c r="C702">
        <v>649163</v>
      </c>
      <c r="D702">
        <v>2028890708</v>
      </c>
      <c r="E702" t="s">
        <v>966</v>
      </c>
      <c r="F702" t="s">
        <v>965</v>
      </c>
      <c r="G702" t="s">
        <v>50</v>
      </c>
      <c r="H702" t="s">
        <v>93</v>
      </c>
      <c r="I702" t="s">
        <v>441</v>
      </c>
      <c r="J702" t="s">
        <v>442</v>
      </c>
      <c r="K702">
        <v>807212</v>
      </c>
      <c r="L702" t="s">
        <v>467</v>
      </c>
      <c r="M702" t="s">
        <v>468</v>
      </c>
      <c r="N702" t="s">
        <v>56</v>
      </c>
      <c r="O702" s="1">
        <v>45790</v>
      </c>
      <c r="P702" s="1">
        <v>45943</v>
      </c>
      <c r="Q702" s="2">
        <v>23.05</v>
      </c>
      <c r="R702">
        <v>1</v>
      </c>
      <c r="S702" t="s">
        <v>57</v>
      </c>
      <c r="T702" t="s">
        <v>58</v>
      </c>
      <c r="U702" s="4">
        <v>0.9</v>
      </c>
      <c r="V702" s="2">
        <v>0</v>
      </c>
      <c r="W702">
        <v>0</v>
      </c>
      <c r="X702" t="s">
        <v>70</v>
      </c>
      <c r="Y702" t="s">
        <v>60</v>
      </c>
      <c r="Z702">
        <v>0</v>
      </c>
      <c r="AA702" s="2">
        <v>0</v>
      </c>
      <c r="AB702" s="2">
        <v>0</v>
      </c>
      <c r="AC702" s="4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20.74</v>
      </c>
      <c r="AM702" s="2">
        <v>20.74</v>
      </c>
      <c r="AN702" s="2">
        <v>0</v>
      </c>
      <c r="AO702" s="2">
        <v>0</v>
      </c>
      <c r="AP702" s="2">
        <v>0</v>
      </c>
    </row>
    <row r="703" spans="1:42" x14ac:dyDescent="0.25">
      <c r="A703" s="1">
        <v>45915</v>
      </c>
      <c r="B703" t="s">
        <v>47</v>
      </c>
      <c r="C703">
        <v>649163</v>
      </c>
      <c r="D703">
        <v>2028912654</v>
      </c>
      <c r="E703" t="s">
        <v>964</v>
      </c>
      <c r="F703" t="s">
        <v>796</v>
      </c>
      <c r="G703" t="s">
        <v>50</v>
      </c>
      <c r="H703" t="s">
        <v>115</v>
      </c>
      <c r="I703" t="s">
        <v>441</v>
      </c>
      <c r="J703" t="s">
        <v>445</v>
      </c>
      <c r="K703">
        <v>823350</v>
      </c>
      <c r="L703" t="s">
        <v>79</v>
      </c>
      <c r="M703" t="s">
        <v>80</v>
      </c>
      <c r="N703" t="s">
        <v>56</v>
      </c>
      <c r="O703" s="1">
        <v>45791</v>
      </c>
      <c r="P703" s="1">
        <v>45944</v>
      </c>
      <c r="Q703" s="2">
        <v>150.66</v>
      </c>
      <c r="R703">
        <v>1</v>
      </c>
      <c r="S703" t="s">
        <v>57</v>
      </c>
      <c r="T703" t="s">
        <v>58</v>
      </c>
      <c r="U703" s="4">
        <v>0.7</v>
      </c>
      <c r="V703" s="2">
        <v>0</v>
      </c>
      <c r="W703">
        <v>0</v>
      </c>
      <c r="X703" t="s">
        <v>70</v>
      </c>
      <c r="Y703" t="s">
        <v>60</v>
      </c>
      <c r="Z703">
        <v>0</v>
      </c>
      <c r="AA703" s="2">
        <v>0</v>
      </c>
      <c r="AB703" s="2">
        <v>0</v>
      </c>
      <c r="AC703" s="4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105.46</v>
      </c>
      <c r="AM703" s="2">
        <v>105.46</v>
      </c>
      <c r="AN703" s="2">
        <v>0</v>
      </c>
      <c r="AO703" s="2">
        <v>0</v>
      </c>
      <c r="AP703" s="2">
        <v>0</v>
      </c>
    </row>
    <row r="704" spans="1:42" x14ac:dyDescent="0.25">
      <c r="A704" s="1">
        <v>45915</v>
      </c>
      <c r="B704" t="s">
        <v>47</v>
      </c>
      <c r="C704">
        <v>649163</v>
      </c>
      <c r="D704">
        <v>2028917635</v>
      </c>
      <c r="E704" t="s">
        <v>493</v>
      </c>
      <c r="F704" t="s">
        <v>494</v>
      </c>
      <c r="G704" t="s">
        <v>50</v>
      </c>
      <c r="H704" t="s">
        <v>93</v>
      </c>
      <c r="I704" t="s">
        <v>441</v>
      </c>
      <c r="J704" t="s">
        <v>451</v>
      </c>
      <c r="K704">
        <v>807212</v>
      </c>
      <c r="L704" t="s">
        <v>467</v>
      </c>
      <c r="M704" t="s">
        <v>468</v>
      </c>
      <c r="N704" t="s">
        <v>56</v>
      </c>
      <c r="O704" s="1">
        <v>45791</v>
      </c>
      <c r="P704" s="1">
        <v>45944</v>
      </c>
      <c r="Q704" s="2">
        <v>30.09</v>
      </c>
      <c r="R704">
        <v>1</v>
      </c>
      <c r="S704" t="s">
        <v>57</v>
      </c>
      <c r="T704" t="s">
        <v>58</v>
      </c>
      <c r="U704" s="4">
        <v>0.42</v>
      </c>
      <c r="V704" s="2">
        <v>0</v>
      </c>
      <c r="W704">
        <v>0</v>
      </c>
      <c r="X704" t="s">
        <v>70</v>
      </c>
      <c r="Y704" t="s">
        <v>60</v>
      </c>
      <c r="Z704">
        <v>0</v>
      </c>
      <c r="AA704" s="2">
        <v>0</v>
      </c>
      <c r="AB704" s="2">
        <v>0</v>
      </c>
      <c r="AC704" s="4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12.64</v>
      </c>
      <c r="AM704" s="2">
        <v>12.64</v>
      </c>
      <c r="AN704" s="2">
        <v>0</v>
      </c>
      <c r="AO704" s="2">
        <v>0</v>
      </c>
      <c r="AP704" s="2">
        <v>0</v>
      </c>
    </row>
    <row r="705" spans="1:42" x14ac:dyDescent="0.25">
      <c r="A705" s="1">
        <v>45915</v>
      </c>
      <c r="B705" t="s">
        <v>47</v>
      </c>
      <c r="C705">
        <v>649163</v>
      </c>
      <c r="D705">
        <v>2028917636</v>
      </c>
      <c r="E705" t="s">
        <v>493</v>
      </c>
      <c r="F705" t="s">
        <v>494</v>
      </c>
      <c r="G705" t="s">
        <v>50</v>
      </c>
      <c r="H705" t="s">
        <v>93</v>
      </c>
      <c r="I705" t="s">
        <v>441</v>
      </c>
      <c r="J705" t="s">
        <v>445</v>
      </c>
      <c r="K705">
        <v>807212</v>
      </c>
      <c r="L705" t="s">
        <v>467</v>
      </c>
      <c r="M705" t="s">
        <v>468</v>
      </c>
      <c r="N705" t="s">
        <v>56</v>
      </c>
      <c r="O705" s="1">
        <v>45791</v>
      </c>
      <c r="P705" s="1">
        <v>45944</v>
      </c>
      <c r="Q705" s="2">
        <v>59.4</v>
      </c>
      <c r="R705">
        <v>1</v>
      </c>
      <c r="S705" t="s">
        <v>57</v>
      </c>
      <c r="T705" t="s">
        <v>58</v>
      </c>
      <c r="U705" s="4">
        <v>0.7</v>
      </c>
      <c r="V705" s="2">
        <v>0</v>
      </c>
      <c r="W705">
        <v>0</v>
      </c>
      <c r="X705" t="s">
        <v>70</v>
      </c>
      <c r="Y705" t="s">
        <v>60</v>
      </c>
      <c r="Z705">
        <v>0</v>
      </c>
      <c r="AA705" s="2">
        <v>0</v>
      </c>
      <c r="AB705" s="2">
        <v>0</v>
      </c>
      <c r="AC705" s="4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41.58</v>
      </c>
      <c r="AM705" s="2">
        <v>41.58</v>
      </c>
      <c r="AN705" s="2">
        <v>0</v>
      </c>
      <c r="AO705" s="2">
        <v>0</v>
      </c>
      <c r="AP705" s="2">
        <v>0</v>
      </c>
    </row>
    <row r="706" spans="1:42" x14ac:dyDescent="0.25">
      <c r="A706" s="1">
        <v>45915</v>
      </c>
      <c r="B706" t="s">
        <v>47</v>
      </c>
      <c r="C706">
        <v>649163</v>
      </c>
      <c r="D706">
        <v>2028917836</v>
      </c>
      <c r="E706" t="s">
        <v>495</v>
      </c>
      <c r="F706" t="s">
        <v>496</v>
      </c>
      <c r="G706" t="s">
        <v>50</v>
      </c>
      <c r="H706" t="s">
        <v>214</v>
      </c>
      <c r="I706" t="s">
        <v>441</v>
      </c>
      <c r="J706" t="s">
        <v>442</v>
      </c>
      <c r="K706">
        <v>823068</v>
      </c>
      <c r="L706" t="s">
        <v>215</v>
      </c>
      <c r="M706" t="s">
        <v>216</v>
      </c>
      <c r="N706" t="s">
        <v>56</v>
      </c>
      <c r="O706" s="1">
        <v>45795</v>
      </c>
      <c r="P706" s="1">
        <v>45948</v>
      </c>
      <c r="Q706" s="2">
        <v>127.63</v>
      </c>
      <c r="R706">
        <v>1</v>
      </c>
      <c r="S706" t="s">
        <v>57</v>
      </c>
      <c r="T706" t="s">
        <v>58</v>
      </c>
      <c r="U706" s="4">
        <v>0.9</v>
      </c>
      <c r="V706" s="2">
        <v>0</v>
      </c>
      <c r="W706">
        <v>0</v>
      </c>
      <c r="X706" t="s">
        <v>70</v>
      </c>
      <c r="Y706" t="s">
        <v>60</v>
      </c>
      <c r="Z706">
        <v>0</v>
      </c>
      <c r="AA706" s="2">
        <v>0</v>
      </c>
      <c r="AB706" s="2">
        <v>0</v>
      </c>
      <c r="AC706" s="4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114.87</v>
      </c>
      <c r="AM706" s="2">
        <v>114.87</v>
      </c>
      <c r="AN706" s="2">
        <v>0</v>
      </c>
      <c r="AO706" s="2">
        <v>0</v>
      </c>
      <c r="AP706" s="2">
        <v>0</v>
      </c>
    </row>
    <row r="707" spans="1:42" x14ac:dyDescent="0.25">
      <c r="A707" s="1">
        <v>45915</v>
      </c>
      <c r="B707" t="s">
        <v>47</v>
      </c>
      <c r="C707">
        <v>649163</v>
      </c>
      <c r="D707">
        <v>2028918191</v>
      </c>
      <c r="E707" t="s">
        <v>495</v>
      </c>
      <c r="F707" t="s">
        <v>497</v>
      </c>
      <c r="G707" t="s">
        <v>50</v>
      </c>
      <c r="H707" t="s">
        <v>214</v>
      </c>
      <c r="I707" t="s">
        <v>441</v>
      </c>
      <c r="J707" t="s">
        <v>442</v>
      </c>
      <c r="K707">
        <v>823068</v>
      </c>
      <c r="L707" t="s">
        <v>215</v>
      </c>
      <c r="M707" t="s">
        <v>216</v>
      </c>
      <c r="N707" t="s">
        <v>56</v>
      </c>
      <c r="O707" s="1">
        <v>45795</v>
      </c>
      <c r="P707" s="1">
        <v>45948</v>
      </c>
      <c r="Q707" s="2">
        <v>15.67</v>
      </c>
      <c r="R707">
        <v>1</v>
      </c>
      <c r="S707" t="s">
        <v>57</v>
      </c>
      <c r="T707" t="s">
        <v>58</v>
      </c>
      <c r="U707" s="4">
        <v>0.9</v>
      </c>
      <c r="V707" s="2">
        <v>0</v>
      </c>
      <c r="W707">
        <v>0</v>
      </c>
      <c r="X707" t="s">
        <v>70</v>
      </c>
      <c r="Y707" t="s">
        <v>60</v>
      </c>
      <c r="Z707">
        <v>0</v>
      </c>
      <c r="AA707" s="2">
        <v>0</v>
      </c>
      <c r="AB707" s="2">
        <v>0</v>
      </c>
      <c r="AC707" s="4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14.1</v>
      </c>
      <c r="AM707" s="2">
        <v>14.1</v>
      </c>
      <c r="AN707" s="2">
        <v>0</v>
      </c>
      <c r="AO707" s="2">
        <v>0</v>
      </c>
      <c r="AP707" s="2">
        <v>0</v>
      </c>
    </row>
    <row r="708" spans="1:42" x14ac:dyDescent="0.25">
      <c r="A708" s="1">
        <v>45915</v>
      </c>
      <c r="B708" t="s">
        <v>47</v>
      </c>
      <c r="C708">
        <v>649163</v>
      </c>
      <c r="D708">
        <v>2028918531</v>
      </c>
      <c r="E708" t="s">
        <v>498</v>
      </c>
      <c r="F708" t="s">
        <v>499</v>
      </c>
      <c r="G708" t="s">
        <v>50</v>
      </c>
      <c r="H708" t="s">
        <v>214</v>
      </c>
      <c r="I708" t="s">
        <v>441</v>
      </c>
      <c r="J708" t="s">
        <v>442</v>
      </c>
      <c r="K708">
        <v>823068</v>
      </c>
      <c r="L708" t="s">
        <v>215</v>
      </c>
      <c r="M708" t="s">
        <v>216</v>
      </c>
      <c r="N708" t="s">
        <v>56</v>
      </c>
      <c r="O708" s="1">
        <v>45795</v>
      </c>
      <c r="P708" s="1">
        <v>45948</v>
      </c>
      <c r="Q708" s="2">
        <v>12.92</v>
      </c>
      <c r="R708">
        <v>1</v>
      </c>
      <c r="S708" t="s">
        <v>57</v>
      </c>
      <c r="T708" t="s">
        <v>58</v>
      </c>
      <c r="U708" s="4">
        <v>0.9</v>
      </c>
      <c r="V708" s="2">
        <v>0</v>
      </c>
      <c r="W708">
        <v>0</v>
      </c>
      <c r="X708" t="s">
        <v>70</v>
      </c>
      <c r="Y708" t="s">
        <v>60</v>
      </c>
      <c r="Z708">
        <v>0</v>
      </c>
      <c r="AA708" s="2">
        <v>0</v>
      </c>
      <c r="AB708" s="2">
        <v>0</v>
      </c>
      <c r="AC708" s="4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11.63</v>
      </c>
      <c r="AM708" s="2">
        <v>11.63</v>
      </c>
      <c r="AN708" s="2">
        <v>0</v>
      </c>
      <c r="AO708" s="2">
        <v>0</v>
      </c>
      <c r="AP708" s="2">
        <v>0</v>
      </c>
    </row>
    <row r="709" spans="1:42" x14ac:dyDescent="0.25">
      <c r="A709" s="1">
        <v>45915</v>
      </c>
      <c r="B709" t="s">
        <v>47</v>
      </c>
      <c r="C709">
        <v>649163</v>
      </c>
      <c r="D709">
        <v>2028919767</v>
      </c>
      <c r="E709" t="s">
        <v>963</v>
      </c>
      <c r="F709" t="s">
        <v>962</v>
      </c>
      <c r="G709" t="s">
        <v>50</v>
      </c>
      <c r="H709" t="s">
        <v>93</v>
      </c>
      <c r="I709" t="s">
        <v>441</v>
      </c>
      <c r="J709" t="s">
        <v>445</v>
      </c>
      <c r="K709">
        <v>807212</v>
      </c>
      <c r="L709" t="s">
        <v>467</v>
      </c>
      <c r="M709" t="s">
        <v>468</v>
      </c>
      <c r="N709" t="s">
        <v>56</v>
      </c>
      <c r="O709" s="1">
        <v>45791</v>
      </c>
      <c r="P709" s="1">
        <v>45944</v>
      </c>
      <c r="Q709" s="2">
        <v>61.26</v>
      </c>
      <c r="R709">
        <v>1</v>
      </c>
      <c r="S709" t="s">
        <v>57</v>
      </c>
      <c r="T709" t="s">
        <v>58</v>
      </c>
      <c r="U709" s="4">
        <v>0.7</v>
      </c>
      <c r="V709" s="2">
        <v>0</v>
      </c>
      <c r="W709">
        <v>0</v>
      </c>
      <c r="X709" t="s">
        <v>70</v>
      </c>
      <c r="Y709" t="s">
        <v>60</v>
      </c>
      <c r="Z709">
        <v>0</v>
      </c>
      <c r="AA709" s="2">
        <v>0</v>
      </c>
      <c r="AB709" s="2">
        <v>0</v>
      </c>
      <c r="AC709" s="4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42.88</v>
      </c>
      <c r="AM709" s="2">
        <v>42.88</v>
      </c>
      <c r="AN709" s="2">
        <v>0</v>
      </c>
      <c r="AO709" s="2">
        <v>0</v>
      </c>
      <c r="AP709" s="2">
        <v>0</v>
      </c>
    </row>
    <row r="710" spans="1:42" x14ac:dyDescent="0.25">
      <c r="A710" s="1">
        <v>45915</v>
      </c>
      <c r="B710" t="s">
        <v>47</v>
      </c>
      <c r="C710">
        <v>649163</v>
      </c>
      <c r="D710">
        <v>2028919768</v>
      </c>
      <c r="E710" t="s">
        <v>963</v>
      </c>
      <c r="F710" t="s">
        <v>962</v>
      </c>
      <c r="G710" t="s">
        <v>50</v>
      </c>
      <c r="H710" t="s">
        <v>93</v>
      </c>
      <c r="I710" t="s">
        <v>441</v>
      </c>
      <c r="J710" t="s">
        <v>442</v>
      </c>
      <c r="K710">
        <v>807212</v>
      </c>
      <c r="L710" t="s">
        <v>467</v>
      </c>
      <c r="M710" t="s">
        <v>468</v>
      </c>
      <c r="N710" t="s">
        <v>56</v>
      </c>
      <c r="O710" s="1">
        <v>45791</v>
      </c>
      <c r="P710" s="1">
        <v>45944</v>
      </c>
      <c r="Q710" s="2">
        <v>17.38</v>
      </c>
      <c r="R710">
        <v>1</v>
      </c>
      <c r="S710" t="s">
        <v>57</v>
      </c>
      <c r="T710" t="s">
        <v>58</v>
      </c>
      <c r="U710" s="4">
        <v>0.9</v>
      </c>
      <c r="V710" s="2">
        <v>0</v>
      </c>
      <c r="W710">
        <v>0</v>
      </c>
      <c r="X710" t="s">
        <v>70</v>
      </c>
      <c r="Y710" t="s">
        <v>60</v>
      </c>
      <c r="Z710">
        <v>0</v>
      </c>
      <c r="AA710" s="2">
        <v>0</v>
      </c>
      <c r="AB710" s="2">
        <v>0</v>
      </c>
      <c r="AC710" s="4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15.64</v>
      </c>
      <c r="AM710" s="2">
        <v>15.64</v>
      </c>
      <c r="AN710" s="2">
        <v>0</v>
      </c>
      <c r="AO710" s="2">
        <v>0</v>
      </c>
      <c r="AP710" s="2">
        <v>0</v>
      </c>
    </row>
    <row r="711" spans="1:42" x14ac:dyDescent="0.25">
      <c r="A711" s="1">
        <v>45915</v>
      </c>
      <c r="B711" t="s">
        <v>47</v>
      </c>
      <c r="C711">
        <v>649163</v>
      </c>
      <c r="D711">
        <v>2028930864</v>
      </c>
      <c r="E711" t="s">
        <v>961</v>
      </c>
      <c r="F711" t="s">
        <v>960</v>
      </c>
      <c r="G711" t="s">
        <v>50</v>
      </c>
      <c r="H711" t="s">
        <v>121</v>
      </c>
      <c r="I711" t="s">
        <v>441</v>
      </c>
      <c r="J711" t="s">
        <v>445</v>
      </c>
      <c r="K711">
        <v>813184</v>
      </c>
      <c r="L711" t="s">
        <v>194</v>
      </c>
      <c r="M711" t="s">
        <v>195</v>
      </c>
      <c r="N711" t="s">
        <v>56</v>
      </c>
      <c r="O711" s="1">
        <v>45793</v>
      </c>
      <c r="P711" s="1">
        <v>45946</v>
      </c>
      <c r="Q711" s="2">
        <v>107.87</v>
      </c>
      <c r="R711">
        <v>1</v>
      </c>
      <c r="S711" t="s">
        <v>57</v>
      </c>
      <c r="T711" t="s">
        <v>58</v>
      </c>
      <c r="U711" s="4">
        <v>0.7</v>
      </c>
      <c r="V711" s="2">
        <v>0</v>
      </c>
      <c r="W711">
        <v>0</v>
      </c>
      <c r="X711" t="s">
        <v>70</v>
      </c>
      <c r="Y711" t="s">
        <v>60</v>
      </c>
      <c r="Z711">
        <v>0</v>
      </c>
      <c r="AA711" s="2">
        <v>0</v>
      </c>
      <c r="AB711" s="2">
        <v>0</v>
      </c>
      <c r="AC711" s="4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75.510000000000005</v>
      </c>
      <c r="AM711" s="2">
        <v>75.510000000000005</v>
      </c>
      <c r="AN711" s="2">
        <v>0</v>
      </c>
      <c r="AO711" s="2">
        <v>0</v>
      </c>
      <c r="AP711" s="2">
        <v>0</v>
      </c>
    </row>
    <row r="712" spans="1:42" x14ac:dyDescent="0.25">
      <c r="A712" s="1">
        <v>45915</v>
      </c>
      <c r="B712" t="s">
        <v>47</v>
      </c>
      <c r="C712">
        <v>649163</v>
      </c>
      <c r="D712">
        <v>2028931111</v>
      </c>
      <c r="E712" t="s">
        <v>959</v>
      </c>
      <c r="F712" t="s">
        <v>374</v>
      </c>
      <c r="G712" t="s">
        <v>50</v>
      </c>
      <c r="H712" t="s">
        <v>121</v>
      </c>
      <c r="I712" t="s">
        <v>441</v>
      </c>
      <c r="J712" t="s">
        <v>445</v>
      </c>
      <c r="K712">
        <v>813184</v>
      </c>
      <c r="L712" t="s">
        <v>194</v>
      </c>
      <c r="M712" t="s">
        <v>195</v>
      </c>
      <c r="N712" t="s">
        <v>56</v>
      </c>
      <c r="O712" s="1">
        <v>45793</v>
      </c>
      <c r="P712" s="1">
        <v>45946</v>
      </c>
      <c r="Q712" s="2">
        <v>107.87</v>
      </c>
      <c r="R712">
        <v>1</v>
      </c>
      <c r="S712" t="s">
        <v>57</v>
      </c>
      <c r="T712" t="s">
        <v>58</v>
      </c>
      <c r="U712" s="4">
        <v>0.7</v>
      </c>
      <c r="V712" s="2">
        <v>0</v>
      </c>
      <c r="W712">
        <v>0</v>
      </c>
      <c r="X712" t="s">
        <v>70</v>
      </c>
      <c r="Y712" t="s">
        <v>60</v>
      </c>
      <c r="Z712">
        <v>0</v>
      </c>
      <c r="AA712" s="2">
        <v>0</v>
      </c>
      <c r="AB712" s="2">
        <v>0</v>
      </c>
      <c r="AC712" s="4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75.510000000000005</v>
      </c>
      <c r="AM712" s="2">
        <v>75.510000000000005</v>
      </c>
      <c r="AN712" s="2">
        <v>0</v>
      </c>
      <c r="AO712" s="2">
        <v>0</v>
      </c>
      <c r="AP712" s="2">
        <v>0</v>
      </c>
    </row>
    <row r="713" spans="1:42" x14ac:dyDescent="0.25">
      <c r="A713" s="1">
        <v>45915</v>
      </c>
      <c r="B713" t="s">
        <v>47</v>
      </c>
      <c r="C713">
        <v>649163</v>
      </c>
      <c r="D713">
        <v>2028935095</v>
      </c>
      <c r="E713" t="s">
        <v>958</v>
      </c>
      <c r="F713" t="s">
        <v>957</v>
      </c>
      <c r="G713" t="s">
        <v>50</v>
      </c>
      <c r="H713" t="s">
        <v>151</v>
      </c>
      <c r="I713" t="s">
        <v>441</v>
      </c>
      <c r="J713" t="s">
        <v>445</v>
      </c>
      <c r="K713">
        <v>821015</v>
      </c>
      <c r="L713" t="s">
        <v>89</v>
      </c>
      <c r="M713" t="s">
        <v>90</v>
      </c>
      <c r="N713" t="s">
        <v>56</v>
      </c>
      <c r="O713" s="1">
        <v>45792</v>
      </c>
      <c r="P713" s="1">
        <v>45945</v>
      </c>
      <c r="Q713" s="2">
        <v>10.71</v>
      </c>
      <c r="R713">
        <v>1</v>
      </c>
      <c r="S713" t="s">
        <v>57</v>
      </c>
      <c r="T713" t="s">
        <v>58</v>
      </c>
      <c r="U713" s="4">
        <v>0.7</v>
      </c>
      <c r="V713" s="2">
        <v>0</v>
      </c>
      <c r="W713">
        <v>0</v>
      </c>
      <c r="X713" t="s">
        <v>70</v>
      </c>
      <c r="Y713" t="s">
        <v>60</v>
      </c>
      <c r="Z713">
        <v>0</v>
      </c>
      <c r="AA713" s="2">
        <v>0</v>
      </c>
      <c r="AB713" s="2">
        <v>0</v>
      </c>
      <c r="AC713" s="4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7.5</v>
      </c>
      <c r="AM713" s="2">
        <v>7.5</v>
      </c>
      <c r="AN713" s="2">
        <v>0</v>
      </c>
      <c r="AO713" s="2">
        <v>0</v>
      </c>
      <c r="AP713" s="2">
        <v>0</v>
      </c>
    </row>
    <row r="714" spans="1:42" x14ac:dyDescent="0.25">
      <c r="A714" s="1">
        <v>45915</v>
      </c>
      <c r="B714" t="s">
        <v>47</v>
      </c>
      <c r="C714">
        <v>649163</v>
      </c>
      <c r="D714">
        <v>2028937037</v>
      </c>
      <c r="E714" t="s">
        <v>956</v>
      </c>
      <c r="F714" t="s">
        <v>955</v>
      </c>
      <c r="G714" t="s">
        <v>50</v>
      </c>
      <c r="H714" t="s">
        <v>121</v>
      </c>
      <c r="I714" t="s">
        <v>441</v>
      </c>
      <c r="J714" t="s">
        <v>445</v>
      </c>
      <c r="K714">
        <v>813184</v>
      </c>
      <c r="L714" t="s">
        <v>194</v>
      </c>
      <c r="M714" t="s">
        <v>195</v>
      </c>
      <c r="N714" t="s">
        <v>56</v>
      </c>
      <c r="O714" s="1">
        <v>45793</v>
      </c>
      <c r="P714" s="1">
        <v>45946</v>
      </c>
      <c r="Q714" s="2">
        <v>107.87</v>
      </c>
      <c r="R714">
        <v>1</v>
      </c>
      <c r="S714" t="s">
        <v>57</v>
      </c>
      <c r="T714" t="s">
        <v>58</v>
      </c>
      <c r="U714" s="4">
        <v>0.7</v>
      </c>
      <c r="V714" s="2">
        <v>0</v>
      </c>
      <c r="W714">
        <v>0</v>
      </c>
      <c r="X714" t="s">
        <v>70</v>
      </c>
      <c r="Y714" t="s">
        <v>60</v>
      </c>
      <c r="Z714">
        <v>0</v>
      </c>
      <c r="AA714" s="2">
        <v>0</v>
      </c>
      <c r="AB714" s="2">
        <v>0</v>
      </c>
      <c r="AC714" s="4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75.510000000000005</v>
      </c>
      <c r="AM714" s="2">
        <v>75.510000000000005</v>
      </c>
      <c r="AN714" s="2">
        <v>0</v>
      </c>
      <c r="AO714" s="2">
        <v>0</v>
      </c>
      <c r="AP714" s="2">
        <v>0</v>
      </c>
    </row>
    <row r="715" spans="1:42" x14ac:dyDescent="0.25">
      <c r="A715" s="1">
        <v>45915</v>
      </c>
      <c r="B715" t="s">
        <v>47</v>
      </c>
      <c r="C715">
        <v>649163</v>
      </c>
      <c r="D715">
        <v>2028937325</v>
      </c>
      <c r="E715" t="s">
        <v>954</v>
      </c>
      <c r="F715" t="s">
        <v>953</v>
      </c>
      <c r="G715" t="s">
        <v>50</v>
      </c>
      <c r="H715" t="s">
        <v>115</v>
      </c>
      <c r="I715" t="s">
        <v>441</v>
      </c>
      <c r="J715" t="s">
        <v>445</v>
      </c>
      <c r="K715">
        <v>856163</v>
      </c>
      <c r="L715" t="s">
        <v>79</v>
      </c>
      <c r="M715" t="s">
        <v>279</v>
      </c>
      <c r="N715" t="s">
        <v>56</v>
      </c>
      <c r="O715" s="1">
        <v>45792</v>
      </c>
      <c r="P715" s="1">
        <v>45945</v>
      </c>
      <c r="Q715" s="2">
        <v>163.43</v>
      </c>
      <c r="R715">
        <v>1</v>
      </c>
      <c r="S715" t="s">
        <v>57</v>
      </c>
      <c r="T715" t="s">
        <v>58</v>
      </c>
      <c r="U715" s="4">
        <v>0.7</v>
      </c>
      <c r="V715" s="2">
        <v>0</v>
      </c>
      <c r="W715">
        <v>0</v>
      </c>
      <c r="X715" t="s">
        <v>70</v>
      </c>
      <c r="Y715" t="s">
        <v>60</v>
      </c>
      <c r="Z715">
        <v>0</v>
      </c>
      <c r="AA715" s="2">
        <v>0</v>
      </c>
      <c r="AB715" s="2">
        <v>0</v>
      </c>
      <c r="AC715" s="4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114.4</v>
      </c>
      <c r="AM715" s="2">
        <v>114.4</v>
      </c>
      <c r="AN715" s="2">
        <v>0</v>
      </c>
      <c r="AO715" s="2">
        <v>0</v>
      </c>
      <c r="AP715" s="2">
        <v>0</v>
      </c>
    </row>
    <row r="716" spans="1:42" x14ac:dyDescent="0.25">
      <c r="A716" s="1">
        <v>45915</v>
      </c>
      <c r="B716" t="s">
        <v>47</v>
      </c>
      <c r="C716">
        <v>649163</v>
      </c>
      <c r="D716">
        <v>2028941657</v>
      </c>
      <c r="E716" t="s">
        <v>547</v>
      </c>
      <c r="F716" t="s">
        <v>855</v>
      </c>
      <c r="G716" t="s">
        <v>50</v>
      </c>
      <c r="H716" t="s">
        <v>121</v>
      </c>
      <c r="I716" t="s">
        <v>441</v>
      </c>
      <c r="J716" t="s">
        <v>445</v>
      </c>
      <c r="K716">
        <v>822723</v>
      </c>
      <c r="L716" t="s">
        <v>828</v>
      </c>
      <c r="M716" t="s">
        <v>827</v>
      </c>
      <c r="N716" t="s">
        <v>56</v>
      </c>
      <c r="O716" s="1">
        <v>45792</v>
      </c>
      <c r="P716" s="1">
        <v>45945</v>
      </c>
      <c r="Q716" s="2">
        <v>134.86000000000001</v>
      </c>
      <c r="R716">
        <v>1</v>
      </c>
      <c r="S716" t="s">
        <v>57</v>
      </c>
      <c r="T716" t="s">
        <v>58</v>
      </c>
      <c r="U716" s="4">
        <v>0.7</v>
      </c>
      <c r="V716" s="2">
        <v>0</v>
      </c>
      <c r="W716">
        <v>0</v>
      </c>
      <c r="X716" t="s">
        <v>70</v>
      </c>
      <c r="Y716" t="s">
        <v>60</v>
      </c>
      <c r="Z716">
        <v>0</v>
      </c>
      <c r="AA716" s="2">
        <v>0</v>
      </c>
      <c r="AB716" s="2">
        <v>0</v>
      </c>
      <c r="AC716" s="4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94.4</v>
      </c>
      <c r="AM716" s="2">
        <v>94.4</v>
      </c>
      <c r="AN716" s="2">
        <v>0</v>
      </c>
      <c r="AO716" s="2">
        <v>0</v>
      </c>
      <c r="AP716" s="2">
        <v>0</v>
      </c>
    </row>
    <row r="717" spans="1:42" x14ac:dyDescent="0.25">
      <c r="A717" s="1">
        <v>45915</v>
      </c>
      <c r="B717" t="s">
        <v>47</v>
      </c>
      <c r="C717">
        <v>649163</v>
      </c>
      <c r="D717">
        <v>2028942144</v>
      </c>
      <c r="E717" t="s">
        <v>952</v>
      </c>
      <c r="F717" t="s">
        <v>951</v>
      </c>
      <c r="G717" t="s">
        <v>50</v>
      </c>
      <c r="H717" t="s">
        <v>405</v>
      </c>
      <c r="I717" t="s">
        <v>441</v>
      </c>
      <c r="J717" t="s">
        <v>445</v>
      </c>
      <c r="K717">
        <v>820140</v>
      </c>
      <c r="L717" t="s">
        <v>406</v>
      </c>
      <c r="M717" t="s">
        <v>95</v>
      </c>
      <c r="N717" t="s">
        <v>56</v>
      </c>
      <c r="O717" s="1">
        <v>45792</v>
      </c>
      <c r="P717" s="1">
        <v>45945</v>
      </c>
      <c r="Q717" s="2">
        <v>31.6</v>
      </c>
      <c r="R717">
        <v>1</v>
      </c>
      <c r="S717" t="s">
        <v>57</v>
      </c>
      <c r="T717" t="s">
        <v>58</v>
      </c>
      <c r="U717" s="4">
        <v>0.3</v>
      </c>
      <c r="V717" s="2">
        <v>0</v>
      </c>
      <c r="W717">
        <v>0</v>
      </c>
      <c r="X717" t="s">
        <v>70</v>
      </c>
      <c r="Y717" t="s">
        <v>60</v>
      </c>
      <c r="Z717">
        <v>0</v>
      </c>
      <c r="AA717" s="2">
        <v>0</v>
      </c>
      <c r="AB717" s="2">
        <v>0</v>
      </c>
      <c r="AC717" s="4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9.48</v>
      </c>
      <c r="AM717" s="2">
        <v>9.48</v>
      </c>
      <c r="AN717" s="2">
        <v>0</v>
      </c>
      <c r="AO717" s="2">
        <v>0</v>
      </c>
      <c r="AP717" s="2">
        <v>0</v>
      </c>
    </row>
    <row r="718" spans="1:42" x14ac:dyDescent="0.25">
      <c r="A718" s="1">
        <v>45915</v>
      </c>
      <c r="B718" t="s">
        <v>47</v>
      </c>
      <c r="C718">
        <v>649163</v>
      </c>
      <c r="D718">
        <v>2028946855</v>
      </c>
      <c r="E718" t="s">
        <v>950</v>
      </c>
      <c r="F718" t="s">
        <v>949</v>
      </c>
      <c r="G718" t="s">
        <v>50</v>
      </c>
      <c r="H718" t="s">
        <v>121</v>
      </c>
      <c r="I718" t="s">
        <v>441</v>
      </c>
      <c r="J718" t="s">
        <v>445</v>
      </c>
      <c r="K718">
        <v>813184</v>
      </c>
      <c r="L718" t="s">
        <v>194</v>
      </c>
      <c r="M718" t="s">
        <v>195</v>
      </c>
      <c r="N718" t="s">
        <v>56</v>
      </c>
      <c r="O718" s="1">
        <v>45793</v>
      </c>
      <c r="P718" s="1">
        <v>45946</v>
      </c>
      <c r="Q718" s="2">
        <v>19</v>
      </c>
      <c r="R718">
        <v>1</v>
      </c>
      <c r="S718" t="s">
        <v>57</v>
      </c>
      <c r="T718" t="s">
        <v>58</v>
      </c>
      <c r="U718" s="4">
        <v>0.7</v>
      </c>
      <c r="V718" s="2">
        <v>0</v>
      </c>
      <c r="W718">
        <v>0</v>
      </c>
      <c r="X718" t="s">
        <v>70</v>
      </c>
      <c r="Y718" t="s">
        <v>60</v>
      </c>
      <c r="Z718">
        <v>0</v>
      </c>
      <c r="AA718" s="2">
        <v>0</v>
      </c>
      <c r="AB718" s="2">
        <v>0</v>
      </c>
      <c r="AC718" s="4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13.3</v>
      </c>
      <c r="AM718" s="2">
        <v>13.3</v>
      </c>
      <c r="AN718" s="2">
        <v>0</v>
      </c>
      <c r="AO718" s="2">
        <v>0</v>
      </c>
      <c r="AP718" s="2">
        <v>0</v>
      </c>
    </row>
    <row r="719" spans="1:42" x14ac:dyDescent="0.25">
      <c r="A719" s="1">
        <v>45915</v>
      </c>
      <c r="B719" t="s">
        <v>47</v>
      </c>
      <c r="C719">
        <v>649163</v>
      </c>
      <c r="D719">
        <v>2028958357</v>
      </c>
      <c r="E719" t="s">
        <v>777</v>
      </c>
      <c r="F719" t="s">
        <v>349</v>
      </c>
      <c r="G719" t="s">
        <v>50</v>
      </c>
      <c r="H719" t="s">
        <v>93</v>
      </c>
      <c r="I719" t="s">
        <v>441</v>
      </c>
      <c r="J719" t="s">
        <v>445</v>
      </c>
      <c r="K719">
        <v>673059</v>
      </c>
      <c r="L719" t="s">
        <v>152</v>
      </c>
      <c r="M719" t="s">
        <v>153</v>
      </c>
      <c r="N719" t="s">
        <v>56</v>
      </c>
      <c r="O719" s="1">
        <v>45793</v>
      </c>
      <c r="P719" s="1">
        <v>45946</v>
      </c>
      <c r="Q719" s="2">
        <v>118.33</v>
      </c>
      <c r="R719">
        <v>1</v>
      </c>
      <c r="S719" t="s">
        <v>57</v>
      </c>
      <c r="T719" t="s">
        <v>58</v>
      </c>
      <c r="U719" s="4">
        <v>0.7</v>
      </c>
      <c r="V719" s="2">
        <v>0</v>
      </c>
      <c r="W719">
        <v>0</v>
      </c>
      <c r="X719" t="s">
        <v>70</v>
      </c>
      <c r="Y719" t="s">
        <v>60</v>
      </c>
      <c r="Z719">
        <v>0</v>
      </c>
      <c r="AA719" s="2">
        <v>0</v>
      </c>
      <c r="AB719" s="2">
        <v>0</v>
      </c>
      <c r="AC719" s="4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82.83</v>
      </c>
      <c r="AM719" s="2">
        <v>82.83</v>
      </c>
      <c r="AN719" s="2">
        <v>0</v>
      </c>
      <c r="AO719" s="2">
        <v>0</v>
      </c>
      <c r="AP719" s="2">
        <v>0</v>
      </c>
    </row>
    <row r="720" spans="1:42" x14ac:dyDescent="0.25">
      <c r="A720" s="1">
        <v>45915</v>
      </c>
      <c r="B720" t="s">
        <v>47</v>
      </c>
      <c r="C720">
        <v>649163</v>
      </c>
      <c r="D720">
        <v>2028962513</v>
      </c>
      <c r="E720" t="s">
        <v>948</v>
      </c>
      <c r="F720" t="s">
        <v>260</v>
      </c>
      <c r="G720" t="s">
        <v>50</v>
      </c>
      <c r="H720" t="s">
        <v>151</v>
      </c>
      <c r="I720" t="s">
        <v>441</v>
      </c>
      <c r="J720" t="s">
        <v>445</v>
      </c>
      <c r="K720">
        <v>806645</v>
      </c>
      <c r="L720" t="s">
        <v>382</v>
      </c>
      <c r="M720" t="s">
        <v>366</v>
      </c>
      <c r="N720" t="s">
        <v>56</v>
      </c>
      <c r="O720" s="1">
        <v>45793</v>
      </c>
      <c r="P720" s="1">
        <v>45946</v>
      </c>
      <c r="Q720" s="2">
        <v>21.14</v>
      </c>
      <c r="R720">
        <v>1</v>
      </c>
      <c r="S720" t="s">
        <v>57</v>
      </c>
      <c r="T720" t="s">
        <v>58</v>
      </c>
      <c r="U720" s="4">
        <v>0.7</v>
      </c>
      <c r="V720" s="2">
        <v>0</v>
      </c>
      <c r="W720">
        <v>0</v>
      </c>
      <c r="X720" t="s">
        <v>70</v>
      </c>
      <c r="Y720" t="s">
        <v>60</v>
      </c>
      <c r="Z720">
        <v>0</v>
      </c>
      <c r="AA720" s="2">
        <v>0</v>
      </c>
      <c r="AB720" s="2">
        <v>0</v>
      </c>
      <c r="AC720" s="4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14.8</v>
      </c>
      <c r="AM720" s="2">
        <v>14.8</v>
      </c>
      <c r="AN720" s="2">
        <v>0</v>
      </c>
      <c r="AO720" s="2">
        <v>0</v>
      </c>
      <c r="AP720" s="2">
        <v>0</v>
      </c>
    </row>
    <row r="721" spans="1:42" x14ac:dyDescent="0.25">
      <c r="A721" s="1">
        <v>45915</v>
      </c>
      <c r="B721" t="s">
        <v>47</v>
      </c>
      <c r="C721">
        <v>649163</v>
      </c>
      <c r="D721">
        <v>2028963797</v>
      </c>
      <c r="E721" t="s">
        <v>851</v>
      </c>
      <c r="F721" t="s">
        <v>850</v>
      </c>
      <c r="G721" t="s">
        <v>50</v>
      </c>
      <c r="H721" t="s">
        <v>93</v>
      </c>
      <c r="I721" t="s">
        <v>441</v>
      </c>
      <c r="J721" t="s">
        <v>445</v>
      </c>
      <c r="K721">
        <v>806645</v>
      </c>
      <c r="L721" t="s">
        <v>382</v>
      </c>
      <c r="M721" t="s">
        <v>366</v>
      </c>
      <c r="N721" t="s">
        <v>56</v>
      </c>
      <c r="O721" s="1">
        <v>45793</v>
      </c>
      <c r="P721" s="1">
        <v>45946</v>
      </c>
      <c r="Q721" s="2">
        <v>11.5</v>
      </c>
      <c r="R721">
        <v>1</v>
      </c>
      <c r="S721" t="s">
        <v>57</v>
      </c>
      <c r="T721" t="s">
        <v>58</v>
      </c>
      <c r="U721" s="4">
        <v>0.7</v>
      </c>
      <c r="V721" s="2">
        <v>0</v>
      </c>
      <c r="W721">
        <v>0</v>
      </c>
      <c r="X721" t="s">
        <v>70</v>
      </c>
      <c r="Y721" t="s">
        <v>60</v>
      </c>
      <c r="Z721">
        <v>0</v>
      </c>
      <c r="AA721" s="2">
        <v>0</v>
      </c>
      <c r="AB721" s="2">
        <v>0</v>
      </c>
      <c r="AC721" s="4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8.0500000000000007</v>
      </c>
      <c r="AM721" s="2">
        <v>8.0500000000000007</v>
      </c>
      <c r="AN721" s="2">
        <v>0</v>
      </c>
      <c r="AO721" s="2">
        <v>0</v>
      </c>
      <c r="AP721" s="2">
        <v>0</v>
      </c>
    </row>
    <row r="722" spans="1:42" x14ac:dyDescent="0.25">
      <c r="A722" s="1">
        <v>45915</v>
      </c>
      <c r="B722" t="s">
        <v>47</v>
      </c>
      <c r="C722">
        <v>649163</v>
      </c>
      <c r="D722">
        <v>2028965776</v>
      </c>
      <c r="E722" t="s">
        <v>137</v>
      </c>
      <c r="F722" t="s">
        <v>773</v>
      </c>
      <c r="G722" t="s">
        <v>50</v>
      </c>
      <c r="H722" t="s">
        <v>93</v>
      </c>
      <c r="I722" t="s">
        <v>441</v>
      </c>
      <c r="J722" t="s">
        <v>445</v>
      </c>
      <c r="K722">
        <v>792847</v>
      </c>
      <c r="L722" t="s">
        <v>137</v>
      </c>
      <c r="M722" t="s">
        <v>138</v>
      </c>
      <c r="N722" t="s">
        <v>56</v>
      </c>
      <c r="O722" s="1">
        <v>45793</v>
      </c>
      <c r="P722" s="1">
        <v>45946</v>
      </c>
      <c r="Q722" s="2">
        <v>58.24</v>
      </c>
      <c r="R722">
        <v>1</v>
      </c>
      <c r="S722" t="s">
        <v>57</v>
      </c>
      <c r="T722" t="s">
        <v>58</v>
      </c>
      <c r="U722" s="4">
        <v>0.7</v>
      </c>
      <c r="V722" s="2">
        <v>0</v>
      </c>
      <c r="W722">
        <v>0</v>
      </c>
      <c r="X722" t="s">
        <v>70</v>
      </c>
      <c r="Y722" t="s">
        <v>60</v>
      </c>
      <c r="Z722">
        <v>0</v>
      </c>
      <c r="AA722" s="2">
        <v>0</v>
      </c>
      <c r="AB722" s="2">
        <v>0</v>
      </c>
      <c r="AC722" s="4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40.770000000000003</v>
      </c>
      <c r="AM722" s="2">
        <v>40.770000000000003</v>
      </c>
      <c r="AN722" s="2">
        <v>0</v>
      </c>
      <c r="AO722" s="2">
        <v>0</v>
      </c>
      <c r="AP722" s="2">
        <v>0</v>
      </c>
    </row>
    <row r="723" spans="1:42" x14ac:dyDescent="0.25">
      <c r="A723" s="1">
        <v>45915</v>
      </c>
      <c r="B723" t="s">
        <v>47</v>
      </c>
      <c r="C723">
        <v>649163</v>
      </c>
      <c r="D723">
        <v>2028965822</v>
      </c>
      <c r="E723" t="s">
        <v>947</v>
      </c>
      <c r="F723" t="s">
        <v>946</v>
      </c>
      <c r="G723" t="s">
        <v>50</v>
      </c>
      <c r="H723" t="s">
        <v>204</v>
      </c>
      <c r="I723" t="s">
        <v>441</v>
      </c>
      <c r="J723" t="s">
        <v>445</v>
      </c>
      <c r="K723">
        <v>792847</v>
      </c>
      <c r="L723" t="s">
        <v>137</v>
      </c>
      <c r="M723" t="s">
        <v>138</v>
      </c>
      <c r="N723" t="s">
        <v>56</v>
      </c>
      <c r="O723" s="1">
        <v>45793</v>
      </c>
      <c r="P723" s="1">
        <v>45946</v>
      </c>
      <c r="Q723" s="2">
        <v>34</v>
      </c>
      <c r="R723">
        <v>1</v>
      </c>
      <c r="S723" t="s">
        <v>57</v>
      </c>
      <c r="T723" t="s">
        <v>58</v>
      </c>
      <c r="U723" s="4">
        <v>0.7</v>
      </c>
      <c r="V723" s="2">
        <v>0</v>
      </c>
      <c r="W723">
        <v>0</v>
      </c>
      <c r="X723" t="s">
        <v>70</v>
      </c>
      <c r="Y723" t="s">
        <v>60</v>
      </c>
      <c r="Z723">
        <v>0</v>
      </c>
      <c r="AA723" s="2">
        <v>0</v>
      </c>
      <c r="AB723" s="2">
        <v>0</v>
      </c>
      <c r="AC723" s="4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23.8</v>
      </c>
      <c r="AM723" s="2">
        <v>23.8</v>
      </c>
      <c r="AN723" s="2">
        <v>0</v>
      </c>
      <c r="AO723" s="2">
        <v>0</v>
      </c>
      <c r="AP723" s="2">
        <v>0</v>
      </c>
    </row>
    <row r="724" spans="1:42" x14ac:dyDescent="0.25">
      <c r="A724" s="1">
        <v>45915</v>
      </c>
      <c r="B724" t="s">
        <v>47</v>
      </c>
      <c r="C724">
        <v>649163</v>
      </c>
      <c r="D724">
        <v>2028977072</v>
      </c>
      <c r="E724" t="s">
        <v>849</v>
      </c>
      <c r="F724" t="s">
        <v>848</v>
      </c>
      <c r="G724" t="s">
        <v>50</v>
      </c>
      <c r="H724" t="s">
        <v>157</v>
      </c>
      <c r="I724" t="s">
        <v>441</v>
      </c>
      <c r="J724" t="s">
        <v>445</v>
      </c>
      <c r="K724">
        <v>822865</v>
      </c>
      <c r="L724" t="s">
        <v>158</v>
      </c>
      <c r="M724" t="s">
        <v>159</v>
      </c>
      <c r="N724" t="s">
        <v>56</v>
      </c>
      <c r="O724" s="1">
        <v>45794</v>
      </c>
      <c r="P724" s="1">
        <v>45947</v>
      </c>
      <c r="Q724" s="2">
        <v>50.6</v>
      </c>
      <c r="R724">
        <v>1</v>
      </c>
      <c r="S724" t="s">
        <v>57</v>
      </c>
      <c r="T724" t="s">
        <v>58</v>
      </c>
      <c r="U724" s="4">
        <v>0.7</v>
      </c>
      <c r="V724" s="2">
        <v>0</v>
      </c>
      <c r="W724">
        <v>0</v>
      </c>
      <c r="X724" t="s">
        <v>70</v>
      </c>
      <c r="Y724" t="s">
        <v>60</v>
      </c>
      <c r="Z724">
        <v>0</v>
      </c>
      <c r="AA724" s="2">
        <v>0</v>
      </c>
      <c r="AB724" s="2">
        <v>0</v>
      </c>
      <c r="AC724" s="4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35.42</v>
      </c>
      <c r="AM724" s="2">
        <v>35.42</v>
      </c>
      <c r="AN724" s="2">
        <v>0</v>
      </c>
      <c r="AO724" s="2">
        <v>0</v>
      </c>
      <c r="AP724" s="2">
        <v>0</v>
      </c>
    </row>
    <row r="725" spans="1:42" x14ac:dyDescent="0.25">
      <c r="A725" s="1">
        <v>45915</v>
      </c>
      <c r="B725" t="s">
        <v>47</v>
      </c>
      <c r="C725">
        <v>649163</v>
      </c>
      <c r="D725">
        <v>2028993380</v>
      </c>
      <c r="E725" t="s">
        <v>503</v>
      </c>
      <c r="F725" t="s">
        <v>945</v>
      </c>
      <c r="G725" t="s">
        <v>50</v>
      </c>
      <c r="H725" t="s">
        <v>93</v>
      </c>
      <c r="I725" t="s">
        <v>441</v>
      </c>
      <c r="J725" t="s">
        <v>442</v>
      </c>
      <c r="K725">
        <v>807212</v>
      </c>
      <c r="L725" t="s">
        <v>467</v>
      </c>
      <c r="M725" t="s">
        <v>468</v>
      </c>
      <c r="N725" t="s">
        <v>56</v>
      </c>
      <c r="O725" s="1">
        <v>45795</v>
      </c>
      <c r="P725" s="1">
        <v>45948</v>
      </c>
      <c r="Q725" s="2">
        <v>33.93</v>
      </c>
      <c r="R725">
        <v>1</v>
      </c>
      <c r="S725" t="s">
        <v>57</v>
      </c>
      <c r="T725" t="s">
        <v>58</v>
      </c>
      <c r="U725" s="4">
        <v>0.9</v>
      </c>
      <c r="V725" s="2">
        <v>0</v>
      </c>
      <c r="W725">
        <v>0</v>
      </c>
      <c r="X725" t="s">
        <v>70</v>
      </c>
      <c r="Y725" t="s">
        <v>60</v>
      </c>
      <c r="Z725">
        <v>0</v>
      </c>
      <c r="AA725" s="2">
        <v>0</v>
      </c>
      <c r="AB725" s="2">
        <v>0</v>
      </c>
      <c r="AC725" s="4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30.54</v>
      </c>
      <c r="AM725" s="2">
        <v>30.54</v>
      </c>
      <c r="AN725" s="2">
        <v>0</v>
      </c>
      <c r="AO725" s="2">
        <v>0</v>
      </c>
      <c r="AP725" s="2">
        <v>0</v>
      </c>
    </row>
    <row r="726" spans="1:42" x14ac:dyDescent="0.25">
      <c r="A726" s="1">
        <v>45915</v>
      </c>
      <c r="B726" t="s">
        <v>47</v>
      </c>
      <c r="C726">
        <v>649163</v>
      </c>
      <c r="D726">
        <v>2028995188</v>
      </c>
      <c r="E726" t="s">
        <v>844</v>
      </c>
      <c r="F726" t="s">
        <v>843</v>
      </c>
      <c r="G726" t="s">
        <v>50</v>
      </c>
      <c r="H726" t="s">
        <v>93</v>
      </c>
      <c r="I726" t="s">
        <v>441</v>
      </c>
      <c r="J726" t="s">
        <v>445</v>
      </c>
      <c r="K726">
        <v>812656</v>
      </c>
      <c r="L726" t="s">
        <v>338</v>
      </c>
      <c r="M726" t="s">
        <v>377</v>
      </c>
      <c r="N726" t="s">
        <v>56</v>
      </c>
      <c r="O726" s="1">
        <v>45795</v>
      </c>
      <c r="P726" s="1">
        <v>45948</v>
      </c>
      <c r="Q726" s="2">
        <v>27.5</v>
      </c>
      <c r="R726">
        <v>1</v>
      </c>
      <c r="S726" t="s">
        <v>57</v>
      </c>
      <c r="T726" t="s">
        <v>58</v>
      </c>
      <c r="U726" s="4">
        <v>0.7</v>
      </c>
      <c r="V726" s="2">
        <v>0</v>
      </c>
      <c r="W726">
        <v>0</v>
      </c>
      <c r="X726" t="s">
        <v>70</v>
      </c>
      <c r="Y726" t="s">
        <v>60</v>
      </c>
      <c r="Z726">
        <v>0</v>
      </c>
      <c r="AA726" s="2">
        <v>0</v>
      </c>
      <c r="AB726" s="2">
        <v>0</v>
      </c>
      <c r="AC726" s="4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19.25</v>
      </c>
      <c r="AM726" s="2">
        <v>19.25</v>
      </c>
      <c r="AN726" s="2">
        <v>0</v>
      </c>
      <c r="AO726" s="2">
        <v>0</v>
      </c>
      <c r="AP726" s="2">
        <v>0</v>
      </c>
    </row>
    <row r="727" spans="1:42" x14ac:dyDescent="0.25">
      <c r="A727" s="1">
        <v>45915</v>
      </c>
      <c r="B727" t="s">
        <v>47</v>
      </c>
      <c r="C727">
        <v>649163</v>
      </c>
      <c r="D727">
        <v>2029056123</v>
      </c>
      <c r="E727" t="s">
        <v>324</v>
      </c>
      <c r="F727" t="s">
        <v>842</v>
      </c>
      <c r="G727" t="s">
        <v>50</v>
      </c>
      <c r="H727" t="s">
        <v>115</v>
      </c>
      <c r="I727" t="s">
        <v>441</v>
      </c>
      <c r="J727" t="s">
        <v>445</v>
      </c>
      <c r="K727">
        <v>792847</v>
      </c>
      <c r="L727" t="s">
        <v>137</v>
      </c>
      <c r="M727" t="s">
        <v>138</v>
      </c>
      <c r="N727" t="s">
        <v>56</v>
      </c>
      <c r="O727" s="1">
        <v>45799</v>
      </c>
      <c r="P727" s="1">
        <v>45922</v>
      </c>
      <c r="Q727" s="2">
        <v>83</v>
      </c>
      <c r="R727">
        <v>1</v>
      </c>
      <c r="S727" t="s">
        <v>57</v>
      </c>
      <c r="T727" t="s">
        <v>58</v>
      </c>
      <c r="U727" s="4">
        <v>0.7</v>
      </c>
      <c r="V727" s="2">
        <v>0</v>
      </c>
      <c r="W727">
        <v>0</v>
      </c>
      <c r="X727" t="s">
        <v>70</v>
      </c>
      <c r="Y727" t="s">
        <v>60</v>
      </c>
      <c r="Z727">
        <v>0</v>
      </c>
      <c r="AA727" s="2">
        <v>0</v>
      </c>
      <c r="AB727" s="2">
        <v>0</v>
      </c>
      <c r="AC727" s="4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58.1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</row>
    <row r="728" spans="1:42" x14ac:dyDescent="0.25">
      <c r="A728" s="1">
        <v>45915</v>
      </c>
      <c r="B728" t="s">
        <v>47</v>
      </c>
      <c r="C728">
        <v>649163</v>
      </c>
      <c r="D728">
        <v>2029058324</v>
      </c>
      <c r="E728" t="s">
        <v>944</v>
      </c>
      <c r="F728" t="s">
        <v>943</v>
      </c>
      <c r="G728" t="s">
        <v>50</v>
      </c>
      <c r="H728" t="s">
        <v>180</v>
      </c>
      <c r="I728" t="s">
        <v>441</v>
      </c>
      <c r="J728" t="s">
        <v>445</v>
      </c>
      <c r="K728">
        <v>823350</v>
      </c>
      <c r="L728" t="s">
        <v>79</v>
      </c>
      <c r="M728" t="s">
        <v>80</v>
      </c>
      <c r="N728" t="s">
        <v>56</v>
      </c>
      <c r="O728" s="1">
        <v>45796</v>
      </c>
      <c r="P728" s="1">
        <v>45949</v>
      </c>
      <c r="Q728" s="2">
        <v>43.92</v>
      </c>
      <c r="R728">
        <v>1</v>
      </c>
      <c r="S728" t="s">
        <v>57</v>
      </c>
      <c r="T728" t="s">
        <v>58</v>
      </c>
      <c r="U728" s="4">
        <v>0.7</v>
      </c>
      <c r="V728" s="2">
        <v>0</v>
      </c>
      <c r="W728">
        <v>0</v>
      </c>
      <c r="X728" t="s">
        <v>70</v>
      </c>
      <c r="Y728" t="s">
        <v>60</v>
      </c>
      <c r="Z728">
        <v>0</v>
      </c>
      <c r="AA728" s="2">
        <v>0</v>
      </c>
      <c r="AB728" s="2">
        <v>0</v>
      </c>
      <c r="AC728" s="4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30.74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</row>
    <row r="729" spans="1:42" x14ac:dyDescent="0.25">
      <c r="A729" s="1">
        <v>45915</v>
      </c>
      <c r="B729" t="s">
        <v>47</v>
      </c>
      <c r="C729">
        <v>649163</v>
      </c>
      <c r="D729">
        <v>2029067254</v>
      </c>
      <c r="E729" t="s">
        <v>620</v>
      </c>
      <c r="F729" t="s">
        <v>619</v>
      </c>
      <c r="G729" t="s">
        <v>50</v>
      </c>
      <c r="H729" t="s">
        <v>141</v>
      </c>
      <c r="I729" t="s">
        <v>441</v>
      </c>
      <c r="J729" t="s">
        <v>445</v>
      </c>
      <c r="K729">
        <v>816021</v>
      </c>
      <c r="L729" t="s">
        <v>142</v>
      </c>
      <c r="M729" t="s">
        <v>143</v>
      </c>
      <c r="N729" t="s">
        <v>230</v>
      </c>
      <c r="O729" s="1">
        <v>45809</v>
      </c>
      <c r="P729" s="1">
        <v>45931</v>
      </c>
      <c r="Q729" s="2">
        <v>-13.64</v>
      </c>
      <c r="R729">
        <v>1</v>
      </c>
      <c r="S729" t="s">
        <v>57</v>
      </c>
      <c r="T729" t="s">
        <v>58</v>
      </c>
      <c r="U729" s="4">
        <v>0.7</v>
      </c>
      <c r="V729" s="2">
        <v>0</v>
      </c>
      <c r="W729">
        <v>-1</v>
      </c>
      <c r="X729" t="s">
        <v>70</v>
      </c>
      <c r="Y729" t="s">
        <v>60</v>
      </c>
      <c r="Z729">
        <v>0</v>
      </c>
      <c r="AA729" s="2">
        <v>0</v>
      </c>
      <c r="AB729" s="2">
        <v>0</v>
      </c>
      <c r="AC729" s="4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-9.5500000000000007</v>
      </c>
      <c r="AM729" s="2">
        <v>-9.5500000000000007</v>
      </c>
      <c r="AN729" s="2">
        <v>0</v>
      </c>
      <c r="AO729" s="2">
        <v>0</v>
      </c>
      <c r="AP729" s="2">
        <v>0</v>
      </c>
    </row>
    <row r="730" spans="1:42" x14ac:dyDescent="0.25">
      <c r="A730" s="1">
        <v>45915</v>
      </c>
      <c r="B730" t="s">
        <v>47</v>
      </c>
      <c r="C730">
        <v>649163</v>
      </c>
      <c r="D730">
        <v>2029174126</v>
      </c>
      <c r="E730" t="s">
        <v>942</v>
      </c>
      <c r="F730" t="s">
        <v>941</v>
      </c>
      <c r="G730" t="s">
        <v>50</v>
      </c>
      <c r="H730" t="s">
        <v>214</v>
      </c>
      <c r="I730" t="s">
        <v>441</v>
      </c>
      <c r="J730" t="s">
        <v>442</v>
      </c>
      <c r="K730">
        <v>652037</v>
      </c>
      <c r="L730" t="s">
        <v>309</v>
      </c>
      <c r="M730" t="s">
        <v>303</v>
      </c>
      <c r="N730" t="s">
        <v>56</v>
      </c>
      <c r="O730" s="1">
        <v>45809</v>
      </c>
      <c r="P730" s="1">
        <v>45962</v>
      </c>
      <c r="Q730" s="2">
        <v>41.88</v>
      </c>
      <c r="R730">
        <v>1</v>
      </c>
      <c r="S730" t="s">
        <v>57</v>
      </c>
      <c r="T730" t="s">
        <v>58</v>
      </c>
      <c r="U730" s="4">
        <v>0.9</v>
      </c>
      <c r="V730" s="2">
        <v>0</v>
      </c>
      <c r="W730">
        <v>0</v>
      </c>
      <c r="X730" t="s">
        <v>70</v>
      </c>
      <c r="Y730" t="s">
        <v>60</v>
      </c>
      <c r="Z730">
        <v>0</v>
      </c>
      <c r="AA730" s="2">
        <v>0</v>
      </c>
      <c r="AB730" s="2">
        <v>0</v>
      </c>
      <c r="AC730" s="4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37.69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</row>
    <row r="731" spans="1:42" x14ac:dyDescent="0.25">
      <c r="A731" s="1">
        <v>45915</v>
      </c>
      <c r="B731" t="s">
        <v>47</v>
      </c>
      <c r="C731">
        <v>649163</v>
      </c>
      <c r="D731">
        <v>2029185272</v>
      </c>
      <c r="E731" t="s">
        <v>940</v>
      </c>
      <c r="F731" t="s">
        <v>939</v>
      </c>
      <c r="G731" t="s">
        <v>50</v>
      </c>
      <c r="H731" t="s">
        <v>402</v>
      </c>
      <c r="I731" t="s">
        <v>441</v>
      </c>
      <c r="J731" t="s">
        <v>445</v>
      </c>
      <c r="K731">
        <v>673059</v>
      </c>
      <c r="L731" t="s">
        <v>152</v>
      </c>
      <c r="M731" t="s">
        <v>153</v>
      </c>
      <c r="N731" t="s">
        <v>56</v>
      </c>
      <c r="O731" s="1">
        <v>45825</v>
      </c>
      <c r="P731" s="1">
        <v>45947</v>
      </c>
      <c r="Q731" s="2">
        <v>10.82</v>
      </c>
      <c r="R731">
        <v>1</v>
      </c>
      <c r="S731" t="s">
        <v>57</v>
      </c>
      <c r="T731" t="s">
        <v>58</v>
      </c>
      <c r="U731" s="4">
        <v>0.7</v>
      </c>
      <c r="V731" s="2">
        <v>0</v>
      </c>
      <c r="W731">
        <v>0</v>
      </c>
      <c r="X731" t="s">
        <v>70</v>
      </c>
      <c r="Y731" t="s">
        <v>60</v>
      </c>
      <c r="Z731">
        <v>0</v>
      </c>
      <c r="AA731" s="2">
        <v>0</v>
      </c>
      <c r="AB731" s="2">
        <v>0</v>
      </c>
      <c r="AC731" s="4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7.57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</row>
    <row r="732" spans="1:42" x14ac:dyDescent="0.25">
      <c r="A732" s="1">
        <v>45915</v>
      </c>
      <c r="B732" t="s">
        <v>47</v>
      </c>
      <c r="C732">
        <v>649163</v>
      </c>
      <c r="D732">
        <v>2029292529</v>
      </c>
      <c r="E732" t="s">
        <v>938</v>
      </c>
      <c r="F732" t="s">
        <v>937</v>
      </c>
      <c r="G732" t="s">
        <v>50</v>
      </c>
      <c r="H732" t="s">
        <v>512</v>
      </c>
      <c r="I732" t="s">
        <v>441</v>
      </c>
      <c r="J732" t="s">
        <v>445</v>
      </c>
      <c r="K732">
        <v>673059</v>
      </c>
      <c r="L732" t="s">
        <v>152</v>
      </c>
      <c r="M732" t="s">
        <v>153</v>
      </c>
      <c r="N732" t="s">
        <v>56</v>
      </c>
      <c r="O732" s="1">
        <v>45821</v>
      </c>
      <c r="P732" s="1">
        <v>45943</v>
      </c>
      <c r="Q732" s="2">
        <v>94.38</v>
      </c>
      <c r="R732">
        <v>1</v>
      </c>
      <c r="S732" t="s">
        <v>57</v>
      </c>
      <c r="T732" t="s">
        <v>58</v>
      </c>
      <c r="U732" s="4">
        <v>0.7</v>
      </c>
      <c r="V732" s="2">
        <v>0</v>
      </c>
      <c r="W732">
        <v>0</v>
      </c>
      <c r="X732" t="s">
        <v>70</v>
      </c>
      <c r="Y732" t="s">
        <v>60</v>
      </c>
      <c r="Z732">
        <v>0</v>
      </c>
      <c r="AA732" s="2">
        <v>0</v>
      </c>
      <c r="AB732" s="2">
        <v>0</v>
      </c>
      <c r="AC732" s="4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66.069999999999993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</row>
    <row r="733" spans="1:42" x14ac:dyDescent="0.25">
      <c r="A733" s="1">
        <v>45915</v>
      </c>
      <c r="B733" t="s">
        <v>47</v>
      </c>
      <c r="C733">
        <v>649163</v>
      </c>
      <c r="D733">
        <v>2029402295</v>
      </c>
      <c r="E733" t="s">
        <v>936</v>
      </c>
      <c r="F733" t="s">
        <v>935</v>
      </c>
      <c r="G733" t="s">
        <v>50</v>
      </c>
      <c r="H733" t="s">
        <v>93</v>
      </c>
      <c r="I733" t="s">
        <v>441</v>
      </c>
      <c r="J733" t="s">
        <v>445</v>
      </c>
      <c r="K733">
        <v>843573</v>
      </c>
      <c r="L733" t="s">
        <v>534</v>
      </c>
      <c r="M733" t="s">
        <v>535</v>
      </c>
      <c r="N733" t="s">
        <v>56</v>
      </c>
      <c r="O733" s="1">
        <v>45821</v>
      </c>
      <c r="P733" s="1">
        <v>45943</v>
      </c>
      <c r="Q733" s="2">
        <v>42.38</v>
      </c>
      <c r="R733">
        <v>1</v>
      </c>
      <c r="S733" t="s">
        <v>57</v>
      </c>
      <c r="T733" t="s">
        <v>58</v>
      </c>
      <c r="U733" s="4">
        <v>0.7</v>
      </c>
      <c r="V733" s="2">
        <v>0</v>
      </c>
      <c r="W733">
        <v>0</v>
      </c>
      <c r="X733" t="s">
        <v>70</v>
      </c>
      <c r="Y733" t="s">
        <v>60</v>
      </c>
      <c r="Z733">
        <v>0</v>
      </c>
      <c r="AA733" s="2">
        <v>0</v>
      </c>
      <c r="AB733" s="2">
        <v>0</v>
      </c>
      <c r="AC733" s="4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29.67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</row>
    <row r="734" spans="1:42" x14ac:dyDescent="0.25">
      <c r="A734" s="1">
        <v>45915</v>
      </c>
      <c r="B734" t="s">
        <v>47</v>
      </c>
      <c r="C734">
        <v>649163</v>
      </c>
      <c r="D734">
        <v>2029410874</v>
      </c>
      <c r="E734" t="s">
        <v>934</v>
      </c>
      <c r="F734" t="s">
        <v>933</v>
      </c>
      <c r="G734" t="s">
        <v>50</v>
      </c>
      <c r="H734" t="s">
        <v>115</v>
      </c>
      <c r="I734" t="s">
        <v>441</v>
      </c>
      <c r="J734" t="s">
        <v>445</v>
      </c>
      <c r="K734">
        <v>822733</v>
      </c>
      <c r="L734" t="s">
        <v>860</v>
      </c>
      <c r="M734" t="s">
        <v>859</v>
      </c>
      <c r="N734" t="s">
        <v>56</v>
      </c>
      <c r="O734" s="1">
        <v>45821</v>
      </c>
      <c r="P734" s="1">
        <v>45943</v>
      </c>
      <c r="Q734" s="2">
        <v>48.76</v>
      </c>
      <c r="R734">
        <v>1</v>
      </c>
      <c r="S734" t="s">
        <v>57</v>
      </c>
      <c r="T734" t="s">
        <v>58</v>
      </c>
      <c r="U734" s="4">
        <v>0.7</v>
      </c>
      <c r="V734" s="2">
        <v>0</v>
      </c>
      <c r="W734">
        <v>0</v>
      </c>
      <c r="X734" t="s">
        <v>70</v>
      </c>
      <c r="Y734" t="s">
        <v>60</v>
      </c>
      <c r="Z734">
        <v>0</v>
      </c>
      <c r="AA734" s="2">
        <v>0</v>
      </c>
      <c r="AB734" s="2">
        <v>0</v>
      </c>
      <c r="AC734" s="4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34.130000000000003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</row>
    <row r="735" spans="1:42" x14ac:dyDescent="0.25">
      <c r="A735" s="1">
        <v>45915</v>
      </c>
      <c r="B735" t="s">
        <v>47</v>
      </c>
      <c r="C735">
        <v>649163</v>
      </c>
      <c r="D735">
        <v>2029432398</v>
      </c>
      <c r="E735" t="s">
        <v>932</v>
      </c>
      <c r="F735" t="s">
        <v>931</v>
      </c>
      <c r="G735" t="s">
        <v>50</v>
      </c>
      <c r="H735" t="s">
        <v>93</v>
      </c>
      <c r="I735" t="s">
        <v>441</v>
      </c>
      <c r="J735" t="s">
        <v>445</v>
      </c>
      <c r="K735">
        <v>807212</v>
      </c>
      <c r="L735" t="s">
        <v>467</v>
      </c>
      <c r="M735" t="s">
        <v>468</v>
      </c>
      <c r="N735" t="s">
        <v>56</v>
      </c>
      <c r="O735" s="1">
        <v>45821</v>
      </c>
      <c r="P735" s="1">
        <v>45943</v>
      </c>
      <c r="Q735" s="2">
        <v>19</v>
      </c>
      <c r="R735">
        <v>1</v>
      </c>
      <c r="S735" t="s">
        <v>57</v>
      </c>
      <c r="T735" t="s">
        <v>58</v>
      </c>
      <c r="U735" s="4">
        <v>0.7</v>
      </c>
      <c r="V735" s="2">
        <v>0</v>
      </c>
      <c r="W735">
        <v>0</v>
      </c>
      <c r="X735" t="s">
        <v>70</v>
      </c>
      <c r="Y735" t="s">
        <v>60</v>
      </c>
      <c r="Z735">
        <v>0</v>
      </c>
      <c r="AA735" s="2">
        <v>0</v>
      </c>
      <c r="AB735" s="2">
        <v>0</v>
      </c>
      <c r="AC735" s="4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13.3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</row>
    <row r="736" spans="1:42" x14ac:dyDescent="0.25">
      <c r="A736" s="1">
        <v>45915</v>
      </c>
      <c r="B736" t="s">
        <v>47</v>
      </c>
      <c r="C736">
        <v>649163</v>
      </c>
      <c r="D736">
        <v>2029434655</v>
      </c>
      <c r="E736" t="s">
        <v>930</v>
      </c>
      <c r="F736" t="s">
        <v>760</v>
      </c>
      <c r="G736" t="s">
        <v>50</v>
      </c>
      <c r="H736" t="s">
        <v>151</v>
      </c>
      <c r="I736" t="s">
        <v>441</v>
      </c>
      <c r="J736" t="s">
        <v>445</v>
      </c>
      <c r="K736">
        <v>812782</v>
      </c>
      <c r="L736" t="s">
        <v>170</v>
      </c>
      <c r="M736" t="s">
        <v>171</v>
      </c>
      <c r="N736" t="s">
        <v>56</v>
      </c>
      <c r="O736" s="1">
        <v>45821</v>
      </c>
      <c r="P736" s="1">
        <v>45943</v>
      </c>
      <c r="Q736" s="2">
        <v>83.79</v>
      </c>
      <c r="R736">
        <v>1</v>
      </c>
      <c r="S736" t="s">
        <v>57</v>
      </c>
      <c r="T736" t="s">
        <v>58</v>
      </c>
      <c r="U736" s="4">
        <v>0.7</v>
      </c>
      <c r="V736" s="2">
        <v>0</v>
      </c>
      <c r="W736">
        <v>0</v>
      </c>
      <c r="X736" t="s">
        <v>70</v>
      </c>
      <c r="Y736" t="s">
        <v>60</v>
      </c>
      <c r="Z736">
        <v>0</v>
      </c>
      <c r="AA736" s="2">
        <v>0</v>
      </c>
      <c r="AB736" s="2">
        <v>0</v>
      </c>
      <c r="AC736" s="4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58.65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</row>
    <row r="737" spans="1:42" x14ac:dyDescent="0.25">
      <c r="A737" s="1">
        <v>45915</v>
      </c>
      <c r="B737" t="s">
        <v>47</v>
      </c>
      <c r="C737">
        <v>649163</v>
      </c>
      <c r="D737">
        <v>2029481266</v>
      </c>
      <c r="E737" t="s">
        <v>841</v>
      </c>
      <c r="F737" t="s">
        <v>354</v>
      </c>
      <c r="G737" t="s">
        <v>50</v>
      </c>
      <c r="H737" t="s">
        <v>180</v>
      </c>
      <c r="I737" t="s">
        <v>441</v>
      </c>
      <c r="J737" t="s">
        <v>445</v>
      </c>
      <c r="K737">
        <v>877790</v>
      </c>
      <c r="L737" t="s">
        <v>299</v>
      </c>
      <c r="M737" t="s">
        <v>300</v>
      </c>
      <c r="N737" t="s">
        <v>56</v>
      </c>
      <c r="O737" s="1">
        <v>45825</v>
      </c>
      <c r="P737" s="1">
        <v>45947</v>
      </c>
      <c r="Q737" s="2">
        <v>3.52</v>
      </c>
      <c r="R737">
        <v>1</v>
      </c>
      <c r="S737" t="s">
        <v>57</v>
      </c>
      <c r="T737" t="s">
        <v>58</v>
      </c>
      <c r="U737" s="4">
        <v>0.7</v>
      </c>
      <c r="V737" s="2">
        <v>0</v>
      </c>
      <c r="W737">
        <v>0</v>
      </c>
      <c r="X737" t="s">
        <v>70</v>
      </c>
      <c r="Y737" t="s">
        <v>60</v>
      </c>
      <c r="Z737">
        <v>0</v>
      </c>
      <c r="AA737" s="2">
        <v>0</v>
      </c>
      <c r="AB737" s="2">
        <v>0</v>
      </c>
      <c r="AC737" s="4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2.46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</row>
    <row r="738" spans="1:42" x14ac:dyDescent="0.25">
      <c r="A738" s="1">
        <v>45915</v>
      </c>
      <c r="B738" t="s">
        <v>47</v>
      </c>
      <c r="C738">
        <v>649163</v>
      </c>
      <c r="D738">
        <v>2029486074</v>
      </c>
      <c r="E738" t="s">
        <v>776</v>
      </c>
      <c r="F738" t="s">
        <v>775</v>
      </c>
      <c r="G738" t="s">
        <v>50</v>
      </c>
      <c r="H738" t="s">
        <v>93</v>
      </c>
      <c r="I738" t="s">
        <v>441</v>
      </c>
      <c r="J738" t="s">
        <v>445</v>
      </c>
      <c r="K738">
        <v>824062</v>
      </c>
      <c r="L738" t="s">
        <v>200</v>
      </c>
      <c r="M738" t="s">
        <v>201</v>
      </c>
      <c r="N738" t="s">
        <v>56</v>
      </c>
      <c r="O738" s="1">
        <v>45825</v>
      </c>
      <c r="P738" s="1">
        <v>45947</v>
      </c>
      <c r="Q738" s="2">
        <v>34.68</v>
      </c>
      <c r="R738">
        <v>1</v>
      </c>
      <c r="S738" t="s">
        <v>57</v>
      </c>
      <c r="T738" t="s">
        <v>58</v>
      </c>
      <c r="U738" s="4">
        <v>0.7</v>
      </c>
      <c r="V738" s="2">
        <v>0</v>
      </c>
      <c r="W738">
        <v>0</v>
      </c>
      <c r="X738" t="s">
        <v>70</v>
      </c>
      <c r="Y738" t="s">
        <v>60</v>
      </c>
      <c r="Z738">
        <v>0</v>
      </c>
      <c r="AA738" s="2">
        <v>0</v>
      </c>
      <c r="AB738" s="2">
        <v>0</v>
      </c>
      <c r="AC738" s="4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24.28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</row>
    <row r="739" spans="1:42" x14ac:dyDescent="0.25">
      <c r="A739" s="1">
        <v>45915</v>
      </c>
      <c r="B739" t="s">
        <v>47</v>
      </c>
      <c r="C739">
        <v>649163</v>
      </c>
      <c r="D739">
        <v>2029488849</v>
      </c>
      <c r="E739" t="s">
        <v>929</v>
      </c>
      <c r="F739" t="s">
        <v>928</v>
      </c>
      <c r="G739" t="s">
        <v>50</v>
      </c>
      <c r="H739" t="s">
        <v>93</v>
      </c>
      <c r="I739" t="s">
        <v>441</v>
      </c>
      <c r="J739" t="s">
        <v>442</v>
      </c>
      <c r="K739">
        <v>807212</v>
      </c>
      <c r="L739" t="s">
        <v>467</v>
      </c>
      <c r="M739" t="s">
        <v>468</v>
      </c>
      <c r="N739" t="s">
        <v>56</v>
      </c>
      <c r="O739" s="1">
        <v>45825</v>
      </c>
      <c r="P739" s="1">
        <v>45947</v>
      </c>
      <c r="Q739" s="2">
        <v>21.6</v>
      </c>
      <c r="R739">
        <v>1</v>
      </c>
      <c r="S739" t="s">
        <v>57</v>
      </c>
      <c r="T739" t="s">
        <v>58</v>
      </c>
      <c r="U739" s="4">
        <v>0.9</v>
      </c>
      <c r="V739" s="2">
        <v>0</v>
      </c>
      <c r="W739">
        <v>0</v>
      </c>
      <c r="X739" t="s">
        <v>70</v>
      </c>
      <c r="Y739" t="s">
        <v>60</v>
      </c>
      <c r="Z739">
        <v>0</v>
      </c>
      <c r="AA739" s="2">
        <v>0</v>
      </c>
      <c r="AB739" s="2">
        <v>0</v>
      </c>
      <c r="AC739" s="4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19.440000000000001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</row>
    <row r="740" spans="1:42" x14ac:dyDescent="0.25">
      <c r="A740" s="1">
        <v>45915</v>
      </c>
      <c r="B740" t="s">
        <v>47</v>
      </c>
      <c r="C740">
        <v>649163</v>
      </c>
      <c r="D740">
        <v>2029511428</v>
      </c>
      <c r="E740" t="s">
        <v>170</v>
      </c>
      <c r="F740" t="s">
        <v>65</v>
      </c>
      <c r="G740" t="s">
        <v>50</v>
      </c>
      <c r="H740" t="s">
        <v>93</v>
      </c>
      <c r="I740" t="s">
        <v>441</v>
      </c>
      <c r="J740" t="s">
        <v>445</v>
      </c>
      <c r="K740">
        <v>823350</v>
      </c>
      <c r="L740" t="s">
        <v>79</v>
      </c>
      <c r="M740" t="s">
        <v>80</v>
      </c>
      <c r="N740" t="s">
        <v>56</v>
      </c>
      <c r="O740" s="1">
        <v>45826</v>
      </c>
      <c r="P740" s="1">
        <v>45948</v>
      </c>
      <c r="Q740" s="2">
        <v>11.5</v>
      </c>
      <c r="R740">
        <v>1</v>
      </c>
      <c r="S740" t="s">
        <v>57</v>
      </c>
      <c r="T740" t="s">
        <v>58</v>
      </c>
      <c r="U740" s="4">
        <v>0.7</v>
      </c>
      <c r="V740" s="2">
        <v>0</v>
      </c>
      <c r="W740">
        <v>0</v>
      </c>
      <c r="X740" t="s">
        <v>70</v>
      </c>
      <c r="Y740" t="s">
        <v>60</v>
      </c>
      <c r="Z740">
        <v>0</v>
      </c>
      <c r="AA740" s="2">
        <v>0</v>
      </c>
      <c r="AB740" s="2">
        <v>0</v>
      </c>
      <c r="AC740" s="4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8.0500000000000007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</row>
    <row r="741" spans="1:42" x14ac:dyDescent="0.25">
      <c r="A741" s="1">
        <v>45915</v>
      </c>
      <c r="B741" t="s">
        <v>47</v>
      </c>
      <c r="C741">
        <v>649163</v>
      </c>
      <c r="D741">
        <v>2029528275</v>
      </c>
      <c r="E741" t="s">
        <v>840</v>
      </c>
      <c r="F741" t="s">
        <v>789</v>
      </c>
      <c r="G741" t="s">
        <v>50</v>
      </c>
      <c r="H741" t="s">
        <v>115</v>
      </c>
      <c r="I741" t="s">
        <v>441</v>
      </c>
      <c r="J741" t="s">
        <v>445</v>
      </c>
      <c r="K741">
        <v>822865</v>
      </c>
      <c r="L741" t="s">
        <v>158</v>
      </c>
      <c r="M741" t="s">
        <v>159</v>
      </c>
      <c r="N741" t="s">
        <v>56</v>
      </c>
      <c r="O741" s="1">
        <v>45827</v>
      </c>
      <c r="P741" s="1">
        <v>45949</v>
      </c>
      <c r="Q741" s="2">
        <v>83</v>
      </c>
      <c r="R741">
        <v>1</v>
      </c>
      <c r="S741" t="s">
        <v>57</v>
      </c>
      <c r="T741" t="s">
        <v>58</v>
      </c>
      <c r="U741" s="4">
        <v>0.7</v>
      </c>
      <c r="V741" s="2">
        <v>0</v>
      </c>
      <c r="W741">
        <v>0</v>
      </c>
      <c r="X741" t="s">
        <v>70</v>
      </c>
      <c r="Y741" t="s">
        <v>60</v>
      </c>
      <c r="Z741">
        <v>0</v>
      </c>
      <c r="AA741" s="2">
        <v>0</v>
      </c>
      <c r="AB741" s="2">
        <v>0</v>
      </c>
      <c r="AC741" s="4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58.1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</row>
    <row r="742" spans="1:42" x14ac:dyDescent="0.25">
      <c r="A742" s="1">
        <v>45915</v>
      </c>
      <c r="B742" t="s">
        <v>47</v>
      </c>
      <c r="D742">
        <v>2029737099</v>
      </c>
      <c r="E742" t="s">
        <v>927</v>
      </c>
      <c r="F742" t="s">
        <v>630</v>
      </c>
      <c r="G742" t="s">
        <v>50</v>
      </c>
      <c r="H742" t="s">
        <v>214</v>
      </c>
      <c r="I742" t="s">
        <v>441</v>
      </c>
      <c r="J742" t="s">
        <v>545</v>
      </c>
      <c r="L742" t="s">
        <v>215</v>
      </c>
      <c r="M742" t="s">
        <v>216</v>
      </c>
      <c r="N742" t="s">
        <v>56</v>
      </c>
      <c r="O742" s="1">
        <v>45856</v>
      </c>
      <c r="P742" s="1">
        <v>45948</v>
      </c>
      <c r="Q742" s="2">
        <v>24.61</v>
      </c>
      <c r="R742">
        <v>1</v>
      </c>
      <c r="S742" t="s">
        <v>57</v>
      </c>
      <c r="T742" t="s">
        <v>58</v>
      </c>
      <c r="U742" s="4">
        <v>0.7</v>
      </c>
      <c r="V742" s="2">
        <v>0</v>
      </c>
      <c r="W742">
        <v>0</v>
      </c>
      <c r="X742" t="s">
        <v>70</v>
      </c>
      <c r="Y742" t="s">
        <v>60</v>
      </c>
      <c r="Z742">
        <v>0</v>
      </c>
      <c r="AA742" s="2">
        <v>0</v>
      </c>
      <c r="AB742" s="2">
        <v>0</v>
      </c>
      <c r="AC742" s="4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17.23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</row>
    <row r="743" spans="1:42" x14ac:dyDescent="0.25">
      <c r="A743" s="1">
        <v>45915</v>
      </c>
      <c r="B743" t="s">
        <v>47</v>
      </c>
      <c r="C743">
        <v>649163</v>
      </c>
      <c r="D743">
        <v>2029737100</v>
      </c>
      <c r="E743" t="s">
        <v>927</v>
      </c>
      <c r="F743" t="s">
        <v>630</v>
      </c>
      <c r="G743" t="s">
        <v>50</v>
      </c>
      <c r="H743" t="s">
        <v>214</v>
      </c>
      <c r="I743" t="s">
        <v>441</v>
      </c>
      <c r="J743" t="s">
        <v>442</v>
      </c>
      <c r="K743">
        <v>823068</v>
      </c>
      <c r="L743" t="s">
        <v>215</v>
      </c>
      <c r="M743" t="s">
        <v>216</v>
      </c>
      <c r="N743" t="s">
        <v>56</v>
      </c>
      <c r="O743" s="1">
        <v>45856</v>
      </c>
      <c r="P743" s="1">
        <v>45948</v>
      </c>
      <c r="Q743" s="2">
        <v>51.78</v>
      </c>
      <c r="R743">
        <v>1</v>
      </c>
      <c r="S743" t="s">
        <v>57</v>
      </c>
      <c r="T743" t="s">
        <v>58</v>
      </c>
      <c r="U743" s="4">
        <v>0.9</v>
      </c>
      <c r="V743" s="2">
        <v>0</v>
      </c>
      <c r="W743">
        <v>0</v>
      </c>
      <c r="X743" t="s">
        <v>70</v>
      </c>
      <c r="Y743" t="s">
        <v>60</v>
      </c>
      <c r="Z743">
        <v>0</v>
      </c>
      <c r="AA743" s="2">
        <v>0</v>
      </c>
      <c r="AB743" s="2">
        <v>0</v>
      </c>
      <c r="AC743" s="4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46.6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</row>
    <row r="744" spans="1:42" x14ac:dyDescent="0.25">
      <c r="A744" s="1">
        <v>45915</v>
      </c>
      <c r="B744" t="s">
        <v>47</v>
      </c>
      <c r="C744">
        <v>649163</v>
      </c>
      <c r="D744">
        <v>2029852609</v>
      </c>
      <c r="E744" t="s">
        <v>345</v>
      </c>
      <c r="F744" t="s">
        <v>926</v>
      </c>
      <c r="G744" t="s">
        <v>50</v>
      </c>
      <c r="H744" t="s">
        <v>157</v>
      </c>
      <c r="I744" t="s">
        <v>441</v>
      </c>
      <c r="J744" t="s">
        <v>445</v>
      </c>
      <c r="K744">
        <v>767312</v>
      </c>
      <c r="L744" t="s">
        <v>122</v>
      </c>
      <c r="M744" t="s">
        <v>123</v>
      </c>
      <c r="N744" t="s">
        <v>56</v>
      </c>
      <c r="O744" s="1">
        <v>45857</v>
      </c>
      <c r="P744" s="1">
        <v>45949</v>
      </c>
      <c r="Q744" s="2">
        <v>179.96</v>
      </c>
      <c r="R744">
        <v>1</v>
      </c>
      <c r="S744" t="s">
        <v>57</v>
      </c>
      <c r="T744" t="s">
        <v>58</v>
      </c>
      <c r="U744" s="4">
        <v>0.7</v>
      </c>
      <c r="V744" s="2">
        <v>0</v>
      </c>
      <c r="W744">
        <v>0</v>
      </c>
      <c r="X744" t="s">
        <v>70</v>
      </c>
      <c r="Y744" t="s">
        <v>60</v>
      </c>
      <c r="Z744">
        <v>0</v>
      </c>
      <c r="AA744" s="2">
        <v>0</v>
      </c>
      <c r="AB744" s="2">
        <v>0</v>
      </c>
      <c r="AC744" s="4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125.97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</row>
    <row r="745" spans="1:42" x14ac:dyDescent="0.25">
      <c r="A745" s="1">
        <v>45915</v>
      </c>
      <c r="B745" t="s">
        <v>47</v>
      </c>
      <c r="C745">
        <v>649163</v>
      </c>
      <c r="D745">
        <v>2029872568</v>
      </c>
      <c r="E745" t="s">
        <v>925</v>
      </c>
      <c r="F745" t="s">
        <v>364</v>
      </c>
      <c r="G745" t="s">
        <v>50</v>
      </c>
      <c r="H745" t="s">
        <v>93</v>
      </c>
      <c r="I745" t="s">
        <v>441</v>
      </c>
      <c r="J745" t="s">
        <v>445</v>
      </c>
      <c r="K745">
        <v>812994</v>
      </c>
      <c r="L745" t="s">
        <v>294</v>
      </c>
      <c r="M745" t="s">
        <v>295</v>
      </c>
      <c r="N745" t="s">
        <v>56</v>
      </c>
      <c r="O745" s="1">
        <v>45848</v>
      </c>
      <c r="P745" s="1">
        <v>45940</v>
      </c>
      <c r="Q745" s="2">
        <v>60</v>
      </c>
      <c r="R745">
        <v>1</v>
      </c>
      <c r="S745" t="s">
        <v>57</v>
      </c>
      <c r="T745" t="s">
        <v>58</v>
      </c>
      <c r="U745" s="4">
        <v>0.7</v>
      </c>
      <c r="V745" s="2">
        <v>0</v>
      </c>
      <c r="W745">
        <v>0</v>
      </c>
      <c r="X745" t="s">
        <v>70</v>
      </c>
      <c r="Y745" t="s">
        <v>60</v>
      </c>
      <c r="Z745">
        <v>0</v>
      </c>
      <c r="AA745" s="2">
        <v>0</v>
      </c>
      <c r="AB745" s="2">
        <v>0</v>
      </c>
      <c r="AC745" s="4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42</v>
      </c>
      <c r="AM745" s="2">
        <v>42</v>
      </c>
      <c r="AN745" s="2">
        <v>0</v>
      </c>
      <c r="AO745" s="2">
        <v>0</v>
      </c>
      <c r="AP745" s="2">
        <v>0</v>
      </c>
    </row>
    <row r="746" spans="1:42" x14ac:dyDescent="0.25">
      <c r="A746" s="1">
        <v>45915</v>
      </c>
      <c r="B746" t="s">
        <v>47</v>
      </c>
      <c r="C746">
        <v>649163</v>
      </c>
      <c r="D746">
        <v>2029878252</v>
      </c>
      <c r="E746" t="s">
        <v>924</v>
      </c>
      <c r="F746" t="s">
        <v>171</v>
      </c>
      <c r="G746" t="s">
        <v>50</v>
      </c>
      <c r="H746" t="s">
        <v>93</v>
      </c>
      <c r="I746" t="s">
        <v>441</v>
      </c>
      <c r="J746" t="s">
        <v>445</v>
      </c>
      <c r="K746">
        <v>824076</v>
      </c>
      <c r="L746" t="s">
        <v>834</v>
      </c>
      <c r="M746" t="s">
        <v>833</v>
      </c>
      <c r="N746" t="s">
        <v>56</v>
      </c>
      <c r="O746" s="1">
        <v>45853</v>
      </c>
      <c r="P746" s="1">
        <v>45945</v>
      </c>
      <c r="Q746" s="2">
        <v>39.25</v>
      </c>
      <c r="R746">
        <v>1</v>
      </c>
      <c r="S746" t="s">
        <v>57</v>
      </c>
      <c r="T746" t="s">
        <v>58</v>
      </c>
      <c r="U746" s="4">
        <v>0.7</v>
      </c>
      <c r="V746" s="2">
        <v>0</v>
      </c>
      <c r="W746">
        <v>0</v>
      </c>
      <c r="X746" t="s">
        <v>70</v>
      </c>
      <c r="Y746" t="s">
        <v>60</v>
      </c>
      <c r="Z746">
        <v>0</v>
      </c>
      <c r="AA746" s="2">
        <v>0</v>
      </c>
      <c r="AB746" s="2">
        <v>0</v>
      </c>
      <c r="AC746" s="4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27.48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</row>
    <row r="747" spans="1:42" x14ac:dyDescent="0.25">
      <c r="A747" s="1">
        <v>45915</v>
      </c>
      <c r="B747" t="s">
        <v>47</v>
      </c>
      <c r="C747">
        <v>649163</v>
      </c>
      <c r="D747">
        <v>2029880668</v>
      </c>
      <c r="E747" t="s">
        <v>839</v>
      </c>
      <c r="F747" t="s">
        <v>838</v>
      </c>
      <c r="G747" t="s">
        <v>50</v>
      </c>
      <c r="H747" t="s">
        <v>93</v>
      </c>
      <c r="I747" t="s">
        <v>441</v>
      </c>
      <c r="J747" t="s">
        <v>445</v>
      </c>
      <c r="K747">
        <v>840313</v>
      </c>
      <c r="L747" t="s">
        <v>273</v>
      </c>
      <c r="M747" t="s">
        <v>274</v>
      </c>
      <c r="N747" t="s">
        <v>56</v>
      </c>
      <c r="O747" s="1">
        <v>45848</v>
      </c>
      <c r="P747" s="1">
        <v>45940</v>
      </c>
      <c r="Q747" s="2">
        <v>56.5</v>
      </c>
      <c r="R747">
        <v>1</v>
      </c>
      <c r="S747" t="s">
        <v>57</v>
      </c>
      <c r="T747" t="s">
        <v>58</v>
      </c>
      <c r="U747" s="4">
        <v>0.7</v>
      </c>
      <c r="V747" s="2">
        <v>0</v>
      </c>
      <c r="W747">
        <v>0</v>
      </c>
      <c r="X747" t="s">
        <v>70</v>
      </c>
      <c r="Y747" t="s">
        <v>60</v>
      </c>
      <c r="Z747">
        <v>0</v>
      </c>
      <c r="AA747" s="2">
        <v>0</v>
      </c>
      <c r="AB747" s="2">
        <v>0</v>
      </c>
      <c r="AC747" s="4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39.549999999999997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</row>
    <row r="748" spans="1:42" x14ac:dyDescent="0.25">
      <c r="A748" s="1">
        <v>45915</v>
      </c>
      <c r="B748" t="s">
        <v>47</v>
      </c>
      <c r="C748">
        <v>649163</v>
      </c>
      <c r="D748">
        <v>2029894139</v>
      </c>
      <c r="E748" t="s">
        <v>923</v>
      </c>
      <c r="F748" t="s">
        <v>74</v>
      </c>
      <c r="G748" t="s">
        <v>50</v>
      </c>
      <c r="H748" t="s">
        <v>157</v>
      </c>
      <c r="I748" t="s">
        <v>441</v>
      </c>
      <c r="J748" t="s">
        <v>445</v>
      </c>
      <c r="K748">
        <v>673059</v>
      </c>
      <c r="L748" t="s">
        <v>152</v>
      </c>
      <c r="M748" t="s">
        <v>153</v>
      </c>
      <c r="N748" t="s">
        <v>56</v>
      </c>
      <c r="O748" s="1">
        <v>45852</v>
      </c>
      <c r="P748" s="1">
        <v>45944</v>
      </c>
      <c r="Q748" s="2">
        <v>198.4</v>
      </c>
      <c r="R748">
        <v>1</v>
      </c>
      <c r="S748" t="s">
        <v>57</v>
      </c>
      <c r="T748" t="s">
        <v>58</v>
      </c>
      <c r="U748" s="4">
        <v>0.7</v>
      </c>
      <c r="V748" s="2">
        <v>0</v>
      </c>
      <c r="W748">
        <v>0</v>
      </c>
      <c r="X748" t="s">
        <v>70</v>
      </c>
      <c r="Y748" t="s">
        <v>60</v>
      </c>
      <c r="Z748">
        <v>0</v>
      </c>
      <c r="AA748" s="2">
        <v>0</v>
      </c>
      <c r="AB748" s="2">
        <v>0</v>
      </c>
      <c r="AC748" s="4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138.88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</row>
    <row r="749" spans="1:42" x14ac:dyDescent="0.25">
      <c r="A749" s="1">
        <v>45915</v>
      </c>
      <c r="B749" t="s">
        <v>47</v>
      </c>
      <c r="D749">
        <v>2029894140</v>
      </c>
      <c r="E749" t="s">
        <v>923</v>
      </c>
      <c r="F749" t="s">
        <v>74</v>
      </c>
      <c r="G749" t="s">
        <v>50</v>
      </c>
      <c r="H749" t="s">
        <v>157</v>
      </c>
      <c r="I749" t="s">
        <v>441</v>
      </c>
      <c r="J749" t="s">
        <v>545</v>
      </c>
      <c r="L749" t="s">
        <v>152</v>
      </c>
      <c r="M749" t="s">
        <v>153</v>
      </c>
      <c r="N749" t="s">
        <v>56</v>
      </c>
      <c r="O749" s="1">
        <v>45852</v>
      </c>
      <c r="P749" s="1">
        <v>45944</v>
      </c>
      <c r="Q749" s="2">
        <v>23.39</v>
      </c>
      <c r="R749">
        <v>1</v>
      </c>
      <c r="S749" t="s">
        <v>57</v>
      </c>
      <c r="T749" t="s">
        <v>58</v>
      </c>
      <c r="U749" s="4">
        <v>0.7</v>
      </c>
      <c r="V749" s="2">
        <v>0</v>
      </c>
      <c r="W749">
        <v>0</v>
      </c>
      <c r="X749" t="s">
        <v>70</v>
      </c>
      <c r="Y749" t="s">
        <v>60</v>
      </c>
      <c r="Z749">
        <v>0</v>
      </c>
      <c r="AA749" s="2">
        <v>0</v>
      </c>
      <c r="AB749" s="2">
        <v>0</v>
      </c>
      <c r="AC749" s="4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16.37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</row>
    <row r="750" spans="1:42" x14ac:dyDescent="0.25">
      <c r="A750" s="1">
        <v>45915</v>
      </c>
      <c r="B750" t="s">
        <v>47</v>
      </c>
      <c r="C750">
        <v>649163</v>
      </c>
      <c r="D750">
        <v>2029910878</v>
      </c>
      <c r="E750" t="s">
        <v>202</v>
      </c>
      <c r="F750" t="s">
        <v>203</v>
      </c>
      <c r="G750" t="s">
        <v>50</v>
      </c>
      <c r="H750" t="s">
        <v>204</v>
      </c>
      <c r="I750" t="s">
        <v>441</v>
      </c>
      <c r="J750" t="s">
        <v>445</v>
      </c>
      <c r="K750">
        <v>792847</v>
      </c>
      <c r="L750" t="s">
        <v>137</v>
      </c>
      <c r="M750" t="s">
        <v>138</v>
      </c>
      <c r="N750" t="s">
        <v>56</v>
      </c>
      <c r="O750" s="1">
        <v>45850</v>
      </c>
      <c r="P750" s="1">
        <v>45942</v>
      </c>
      <c r="Q750" s="2">
        <v>-175.37</v>
      </c>
      <c r="R750">
        <v>1</v>
      </c>
      <c r="S750" t="s">
        <v>57</v>
      </c>
      <c r="T750" t="s">
        <v>58</v>
      </c>
      <c r="U750" s="4">
        <v>0.7</v>
      </c>
      <c r="V750" s="2">
        <v>0</v>
      </c>
      <c r="W750">
        <v>-1</v>
      </c>
      <c r="X750" t="s">
        <v>70</v>
      </c>
      <c r="Y750" t="s">
        <v>60</v>
      </c>
      <c r="Z750">
        <v>0</v>
      </c>
      <c r="AA750" s="2">
        <v>0</v>
      </c>
      <c r="AB750" s="2">
        <v>0</v>
      </c>
      <c r="AC750" s="4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-122.76</v>
      </c>
      <c r="AM750" s="2">
        <v>-122.76</v>
      </c>
      <c r="AN750" s="2">
        <v>0</v>
      </c>
      <c r="AO750" s="2">
        <v>0</v>
      </c>
      <c r="AP750" s="2">
        <v>0</v>
      </c>
    </row>
    <row r="751" spans="1:42" x14ac:dyDescent="0.25">
      <c r="A751" s="1">
        <v>45915</v>
      </c>
      <c r="B751" t="s">
        <v>47</v>
      </c>
      <c r="C751">
        <v>649163</v>
      </c>
      <c r="D751">
        <v>2029935514</v>
      </c>
      <c r="E751" t="s">
        <v>922</v>
      </c>
      <c r="F751" t="s">
        <v>921</v>
      </c>
      <c r="G751" t="s">
        <v>50</v>
      </c>
      <c r="H751" t="s">
        <v>121</v>
      </c>
      <c r="I751" t="s">
        <v>441</v>
      </c>
      <c r="J751" t="s">
        <v>445</v>
      </c>
      <c r="K751">
        <v>822723</v>
      </c>
      <c r="L751" t="s">
        <v>828</v>
      </c>
      <c r="M751" t="s">
        <v>827</v>
      </c>
      <c r="N751" t="s">
        <v>56</v>
      </c>
      <c r="O751" s="1">
        <v>45853</v>
      </c>
      <c r="P751" s="1">
        <v>45945</v>
      </c>
      <c r="Q751" s="2">
        <v>155.81</v>
      </c>
      <c r="R751">
        <v>1</v>
      </c>
      <c r="S751" t="s">
        <v>57</v>
      </c>
      <c r="T751" t="s">
        <v>58</v>
      </c>
      <c r="U751" s="4">
        <v>0.7</v>
      </c>
      <c r="V751" s="2">
        <v>0</v>
      </c>
      <c r="W751">
        <v>0</v>
      </c>
      <c r="X751" t="s">
        <v>70</v>
      </c>
      <c r="Y751" t="s">
        <v>60</v>
      </c>
      <c r="Z751">
        <v>0</v>
      </c>
      <c r="AA751" s="2">
        <v>0</v>
      </c>
      <c r="AB751" s="2">
        <v>0</v>
      </c>
      <c r="AC751" s="4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109.07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</row>
    <row r="752" spans="1:42" x14ac:dyDescent="0.25">
      <c r="A752" s="1">
        <v>45915</v>
      </c>
      <c r="B752" t="s">
        <v>47</v>
      </c>
      <c r="C752">
        <v>649163</v>
      </c>
      <c r="D752">
        <v>2029938123</v>
      </c>
      <c r="E752" t="s">
        <v>837</v>
      </c>
      <c r="F752" t="s">
        <v>836</v>
      </c>
      <c r="G752" t="s">
        <v>50</v>
      </c>
      <c r="H752" t="s">
        <v>512</v>
      </c>
      <c r="I752" t="s">
        <v>441</v>
      </c>
      <c r="J752" t="s">
        <v>445</v>
      </c>
      <c r="K752">
        <v>767312</v>
      </c>
      <c r="L752" t="s">
        <v>122</v>
      </c>
      <c r="M752" t="s">
        <v>123</v>
      </c>
      <c r="N752" t="s">
        <v>56</v>
      </c>
      <c r="O752" s="1">
        <v>45853</v>
      </c>
      <c r="P752" s="1">
        <v>45945</v>
      </c>
      <c r="Q752" s="2">
        <v>75.900000000000006</v>
      </c>
      <c r="R752">
        <v>1</v>
      </c>
      <c r="S752" t="s">
        <v>57</v>
      </c>
      <c r="T752" t="s">
        <v>58</v>
      </c>
      <c r="U752" s="4">
        <v>0.7</v>
      </c>
      <c r="V752" s="2">
        <v>0</v>
      </c>
      <c r="W752">
        <v>0</v>
      </c>
      <c r="X752" t="s">
        <v>70</v>
      </c>
      <c r="Y752" t="s">
        <v>60</v>
      </c>
      <c r="Z752">
        <v>0</v>
      </c>
      <c r="AA752" s="2">
        <v>0</v>
      </c>
      <c r="AB752" s="2">
        <v>0</v>
      </c>
      <c r="AC752" s="4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53.13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</row>
    <row r="753" spans="1:42" x14ac:dyDescent="0.25">
      <c r="A753" s="1">
        <v>45915</v>
      </c>
      <c r="B753" t="s">
        <v>47</v>
      </c>
      <c r="C753">
        <v>649163</v>
      </c>
      <c r="D753">
        <v>2029949953</v>
      </c>
      <c r="E753" t="s">
        <v>920</v>
      </c>
      <c r="F753" t="s">
        <v>49</v>
      </c>
      <c r="G753" t="s">
        <v>50</v>
      </c>
      <c r="H753" t="s">
        <v>151</v>
      </c>
      <c r="I753" t="s">
        <v>441</v>
      </c>
      <c r="J753" t="s">
        <v>445</v>
      </c>
      <c r="K753">
        <v>813184</v>
      </c>
      <c r="L753" t="s">
        <v>194</v>
      </c>
      <c r="M753" t="s">
        <v>195</v>
      </c>
      <c r="N753" t="s">
        <v>56</v>
      </c>
      <c r="O753" s="1">
        <v>45853</v>
      </c>
      <c r="P753" s="1">
        <v>45945</v>
      </c>
      <c r="Q753" s="2">
        <v>31.1</v>
      </c>
      <c r="R753">
        <v>1</v>
      </c>
      <c r="S753" t="s">
        <v>57</v>
      </c>
      <c r="T753" t="s">
        <v>58</v>
      </c>
      <c r="U753" s="4">
        <v>0.7</v>
      </c>
      <c r="V753" s="2">
        <v>0</v>
      </c>
      <c r="W753">
        <v>0</v>
      </c>
      <c r="X753" t="s">
        <v>70</v>
      </c>
      <c r="Y753" t="s">
        <v>60</v>
      </c>
      <c r="Z753">
        <v>0</v>
      </c>
      <c r="AA753" s="2">
        <v>0</v>
      </c>
      <c r="AB753" s="2">
        <v>0</v>
      </c>
      <c r="AC753" s="4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21.77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</row>
    <row r="754" spans="1:42" x14ac:dyDescent="0.25">
      <c r="A754" s="1">
        <v>45915</v>
      </c>
      <c r="B754" t="s">
        <v>47</v>
      </c>
      <c r="C754">
        <v>649163</v>
      </c>
      <c r="D754">
        <v>2029951220</v>
      </c>
      <c r="E754" t="s">
        <v>919</v>
      </c>
      <c r="F754" t="s">
        <v>918</v>
      </c>
      <c r="G754" t="s">
        <v>50</v>
      </c>
      <c r="H754" t="s">
        <v>512</v>
      </c>
      <c r="I754" t="s">
        <v>441</v>
      </c>
      <c r="J754" t="s">
        <v>445</v>
      </c>
      <c r="K754">
        <v>673059</v>
      </c>
      <c r="L754" t="s">
        <v>152</v>
      </c>
      <c r="M754" t="s">
        <v>153</v>
      </c>
      <c r="N754" t="s">
        <v>56</v>
      </c>
      <c r="O754" s="1">
        <v>45853</v>
      </c>
      <c r="P754" s="1">
        <v>45945</v>
      </c>
      <c r="Q754" s="2">
        <v>125.48</v>
      </c>
      <c r="R754">
        <v>1</v>
      </c>
      <c r="S754" t="s">
        <v>57</v>
      </c>
      <c r="T754" t="s">
        <v>58</v>
      </c>
      <c r="U754" s="4">
        <v>0.7</v>
      </c>
      <c r="V754" s="2">
        <v>0</v>
      </c>
      <c r="W754">
        <v>0</v>
      </c>
      <c r="X754" t="s">
        <v>70</v>
      </c>
      <c r="Y754" t="s">
        <v>60</v>
      </c>
      <c r="Z754">
        <v>0</v>
      </c>
      <c r="AA754" s="2">
        <v>0</v>
      </c>
      <c r="AB754" s="2">
        <v>0</v>
      </c>
      <c r="AC754" s="4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87.84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</row>
    <row r="755" spans="1:42" x14ac:dyDescent="0.25">
      <c r="A755" s="1">
        <v>45915</v>
      </c>
      <c r="B755" t="s">
        <v>47</v>
      </c>
      <c r="C755">
        <v>649163</v>
      </c>
      <c r="D755">
        <v>2029951924</v>
      </c>
      <c r="E755" t="s">
        <v>164</v>
      </c>
      <c r="F755" t="s">
        <v>835</v>
      </c>
      <c r="G755" t="s">
        <v>50</v>
      </c>
      <c r="H755" t="s">
        <v>93</v>
      </c>
      <c r="I755" t="s">
        <v>441</v>
      </c>
      <c r="J755" t="s">
        <v>445</v>
      </c>
      <c r="K755">
        <v>824076</v>
      </c>
      <c r="L755" t="s">
        <v>834</v>
      </c>
      <c r="M755" t="s">
        <v>833</v>
      </c>
      <c r="N755" t="s">
        <v>56</v>
      </c>
      <c r="O755" s="1">
        <v>45853</v>
      </c>
      <c r="P755" s="1">
        <v>45945</v>
      </c>
      <c r="Q755" s="2">
        <v>41.5</v>
      </c>
      <c r="R755">
        <v>1</v>
      </c>
      <c r="S755" t="s">
        <v>57</v>
      </c>
      <c r="T755" t="s">
        <v>58</v>
      </c>
      <c r="U755" s="4">
        <v>0.7</v>
      </c>
      <c r="V755" s="2">
        <v>0</v>
      </c>
      <c r="W755">
        <v>0</v>
      </c>
      <c r="X755" t="s">
        <v>70</v>
      </c>
      <c r="Y755" t="s">
        <v>60</v>
      </c>
      <c r="Z755">
        <v>0</v>
      </c>
      <c r="AA755" s="2">
        <v>0</v>
      </c>
      <c r="AB755" s="2">
        <v>0</v>
      </c>
      <c r="AC755" s="4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29.05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</row>
    <row r="756" spans="1:42" x14ac:dyDescent="0.25">
      <c r="A756" s="1">
        <v>45915</v>
      </c>
      <c r="B756" t="s">
        <v>47</v>
      </c>
      <c r="C756">
        <v>649163</v>
      </c>
      <c r="D756">
        <v>2029955372</v>
      </c>
      <c r="E756" t="s">
        <v>774</v>
      </c>
      <c r="F756" t="s">
        <v>773</v>
      </c>
      <c r="G756" t="s">
        <v>50</v>
      </c>
      <c r="H756" t="s">
        <v>141</v>
      </c>
      <c r="I756" t="s">
        <v>441</v>
      </c>
      <c r="J756" t="s">
        <v>445</v>
      </c>
      <c r="K756">
        <v>824082</v>
      </c>
      <c r="L756" t="s">
        <v>624</v>
      </c>
      <c r="M756" t="s">
        <v>623</v>
      </c>
      <c r="N756" t="s">
        <v>56</v>
      </c>
      <c r="O756" s="1">
        <v>45853</v>
      </c>
      <c r="P756" s="1">
        <v>45945</v>
      </c>
      <c r="Q756" s="2">
        <v>9.6999999999999993</v>
      </c>
      <c r="R756">
        <v>1</v>
      </c>
      <c r="S756" t="s">
        <v>57</v>
      </c>
      <c r="T756" t="s">
        <v>58</v>
      </c>
      <c r="U756" s="4">
        <v>0.7</v>
      </c>
      <c r="V756" s="2">
        <v>0</v>
      </c>
      <c r="W756">
        <v>0</v>
      </c>
      <c r="X756" t="s">
        <v>70</v>
      </c>
      <c r="Y756" t="s">
        <v>60</v>
      </c>
      <c r="Z756">
        <v>0</v>
      </c>
      <c r="AA756" s="2">
        <v>0</v>
      </c>
      <c r="AB756" s="2">
        <v>0</v>
      </c>
      <c r="AC756" s="4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6.79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</row>
    <row r="757" spans="1:42" x14ac:dyDescent="0.25">
      <c r="A757" s="1">
        <v>45915</v>
      </c>
      <c r="B757" t="s">
        <v>47</v>
      </c>
      <c r="C757">
        <v>649163</v>
      </c>
      <c r="D757">
        <v>2029956855</v>
      </c>
      <c r="E757" t="s">
        <v>917</v>
      </c>
      <c r="F757" t="s">
        <v>916</v>
      </c>
      <c r="G757" t="s">
        <v>50</v>
      </c>
      <c r="H757" t="s">
        <v>93</v>
      </c>
      <c r="I757" t="s">
        <v>441</v>
      </c>
      <c r="J757" t="s">
        <v>445</v>
      </c>
      <c r="K757">
        <v>839554</v>
      </c>
      <c r="L757" t="s">
        <v>525</v>
      </c>
      <c r="M757" t="s">
        <v>526</v>
      </c>
      <c r="N757" t="s">
        <v>56</v>
      </c>
      <c r="O757" s="1">
        <v>45883</v>
      </c>
      <c r="P757" s="1">
        <v>45944</v>
      </c>
      <c r="Q757" s="2">
        <v>11.5</v>
      </c>
      <c r="R757">
        <v>1</v>
      </c>
      <c r="S757" t="s">
        <v>57</v>
      </c>
      <c r="T757" t="s">
        <v>58</v>
      </c>
      <c r="U757" s="4">
        <v>0.7</v>
      </c>
      <c r="V757" s="2">
        <v>0</v>
      </c>
      <c r="W757">
        <v>0</v>
      </c>
      <c r="X757" t="s">
        <v>70</v>
      </c>
      <c r="Y757" t="s">
        <v>60</v>
      </c>
      <c r="Z757">
        <v>0</v>
      </c>
      <c r="AA757" s="2">
        <v>0</v>
      </c>
      <c r="AB757" s="2">
        <v>0</v>
      </c>
      <c r="AC757" s="4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8.0500000000000007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</row>
    <row r="758" spans="1:42" x14ac:dyDescent="0.25">
      <c r="A758" s="1">
        <v>45915</v>
      </c>
      <c r="B758" t="s">
        <v>47</v>
      </c>
      <c r="C758">
        <v>649163</v>
      </c>
      <c r="D758">
        <v>2029957806</v>
      </c>
      <c r="E758" t="s">
        <v>361</v>
      </c>
      <c r="F758" t="s">
        <v>832</v>
      </c>
      <c r="G758" t="s">
        <v>50</v>
      </c>
      <c r="H758" t="s">
        <v>180</v>
      </c>
      <c r="I758" t="s">
        <v>441</v>
      </c>
      <c r="J758" t="s">
        <v>445</v>
      </c>
      <c r="K758">
        <v>877790</v>
      </c>
      <c r="L758" t="s">
        <v>299</v>
      </c>
      <c r="M758" t="s">
        <v>300</v>
      </c>
      <c r="N758" t="s">
        <v>56</v>
      </c>
      <c r="O758" s="1">
        <v>45854</v>
      </c>
      <c r="P758" s="1">
        <v>45946</v>
      </c>
      <c r="Q758" s="2">
        <v>12.4</v>
      </c>
      <c r="R758">
        <v>1</v>
      </c>
      <c r="S758" t="s">
        <v>57</v>
      </c>
      <c r="T758" t="s">
        <v>58</v>
      </c>
      <c r="U758" s="4">
        <v>0.7</v>
      </c>
      <c r="V758" s="2">
        <v>0</v>
      </c>
      <c r="W758">
        <v>0</v>
      </c>
      <c r="X758" t="s">
        <v>70</v>
      </c>
      <c r="Y758" t="s">
        <v>60</v>
      </c>
      <c r="Z758">
        <v>0</v>
      </c>
      <c r="AA758" s="2">
        <v>0</v>
      </c>
      <c r="AB758" s="2">
        <v>0</v>
      </c>
      <c r="AC758" s="4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8.68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</row>
    <row r="759" spans="1:42" x14ac:dyDescent="0.25">
      <c r="A759" s="1">
        <v>45915</v>
      </c>
      <c r="B759" t="s">
        <v>47</v>
      </c>
      <c r="C759">
        <v>649163</v>
      </c>
      <c r="D759">
        <v>2029958122</v>
      </c>
      <c r="E759" t="s">
        <v>915</v>
      </c>
      <c r="F759" t="s">
        <v>914</v>
      </c>
      <c r="G759" t="s">
        <v>50</v>
      </c>
      <c r="H759" t="s">
        <v>93</v>
      </c>
      <c r="I759" t="s">
        <v>441</v>
      </c>
      <c r="J759" t="s">
        <v>445</v>
      </c>
      <c r="K759">
        <v>839554</v>
      </c>
      <c r="L759" t="s">
        <v>525</v>
      </c>
      <c r="M759" t="s">
        <v>526</v>
      </c>
      <c r="N759" t="s">
        <v>56</v>
      </c>
      <c r="O759" s="1">
        <v>45853</v>
      </c>
      <c r="P759" s="1">
        <v>45945</v>
      </c>
      <c r="Q759" s="2">
        <v>69.25</v>
      </c>
      <c r="R759">
        <v>1</v>
      </c>
      <c r="S759" t="s">
        <v>57</v>
      </c>
      <c r="T759" t="s">
        <v>58</v>
      </c>
      <c r="U759" s="4">
        <v>0.7</v>
      </c>
      <c r="V759" s="2">
        <v>0</v>
      </c>
      <c r="W759">
        <v>0</v>
      </c>
      <c r="X759" t="s">
        <v>70</v>
      </c>
      <c r="Y759" t="s">
        <v>60</v>
      </c>
      <c r="Z759">
        <v>0</v>
      </c>
      <c r="AA759" s="2">
        <v>0</v>
      </c>
      <c r="AB759" s="2">
        <v>0</v>
      </c>
      <c r="AC759" s="4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48.48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</row>
    <row r="760" spans="1:42" x14ac:dyDescent="0.25">
      <c r="A760" s="1">
        <v>45915</v>
      </c>
      <c r="B760" t="s">
        <v>47</v>
      </c>
      <c r="C760">
        <v>649163</v>
      </c>
      <c r="D760">
        <v>2029958337</v>
      </c>
      <c r="E760" t="s">
        <v>876</v>
      </c>
      <c r="F760" t="s">
        <v>913</v>
      </c>
      <c r="G760" t="s">
        <v>50</v>
      </c>
      <c r="H760" t="s">
        <v>93</v>
      </c>
      <c r="I760" t="s">
        <v>441</v>
      </c>
      <c r="J760" t="s">
        <v>445</v>
      </c>
      <c r="K760">
        <v>839554</v>
      </c>
      <c r="L760" t="s">
        <v>525</v>
      </c>
      <c r="M760" t="s">
        <v>526</v>
      </c>
      <c r="N760" t="s">
        <v>56</v>
      </c>
      <c r="O760" s="1">
        <v>45853</v>
      </c>
      <c r="P760" s="1">
        <v>45945</v>
      </c>
      <c r="Q760" s="2">
        <v>56.5</v>
      </c>
      <c r="R760">
        <v>1</v>
      </c>
      <c r="S760" t="s">
        <v>57</v>
      </c>
      <c r="T760" t="s">
        <v>58</v>
      </c>
      <c r="U760" s="4">
        <v>0.7</v>
      </c>
      <c r="V760" s="2">
        <v>0</v>
      </c>
      <c r="W760">
        <v>0</v>
      </c>
      <c r="X760" t="s">
        <v>70</v>
      </c>
      <c r="Y760" t="s">
        <v>60</v>
      </c>
      <c r="Z760">
        <v>0</v>
      </c>
      <c r="AA760" s="2">
        <v>0</v>
      </c>
      <c r="AB760" s="2">
        <v>0</v>
      </c>
      <c r="AC760" s="4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39.549999999999997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</row>
    <row r="761" spans="1:42" x14ac:dyDescent="0.25">
      <c r="A761" s="1">
        <v>45915</v>
      </c>
      <c r="B761" t="s">
        <v>47</v>
      </c>
      <c r="C761">
        <v>649163</v>
      </c>
      <c r="D761">
        <v>2029963379</v>
      </c>
      <c r="E761" t="s">
        <v>912</v>
      </c>
      <c r="F761" t="s">
        <v>911</v>
      </c>
      <c r="G761" t="s">
        <v>50</v>
      </c>
      <c r="H761" t="s">
        <v>93</v>
      </c>
      <c r="I761" t="s">
        <v>441</v>
      </c>
      <c r="J761" t="s">
        <v>445</v>
      </c>
      <c r="K761">
        <v>807212</v>
      </c>
      <c r="L761" t="s">
        <v>467</v>
      </c>
      <c r="M761" t="s">
        <v>468</v>
      </c>
      <c r="N761" t="s">
        <v>56</v>
      </c>
      <c r="O761" s="1">
        <v>45854</v>
      </c>
      <c r="P761" s="1">
        <v>45946</v>
      </c>
      <c r="Q761" s="2">
        <v>20.56</v>
      </c>
      <c r="R761">
        <v>1</v>
      </c>
      <c r="S761" t="s">
        <v>57</v>
      </c>
      <c r="T761" t="s">
        <v>58</v>
      </c>
      <c r="U761" s="4">
        <v>0.7</v>
      </c>
      <c r="V761" s="2">
        <v>0</v>
      </c>
      <c r="W761">
        <v>0</v>
      </c>
      <c r="X761" t="s">
        <v>70</v>
      </c>
      <c r="Y761" t="s">
        <v>60</v>
      </c>
      <c r="Z761">
        <v>0</v>
      </c>
      <c r="AA761" s="2">
        <v>0</v>
      </c>
      <c r="AB761" s="2">
        <v>0</v>
      </c>
      <c r="AC761" s="4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14.39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</row>
    <row r="762" spans="1:42" x14ac:dyDescent="0.25">
      <c r="A762" s="1">
        <v>45915</v>
      </c>
      <c r="B762" t="s">
        <v>47</v>
      </c>
      <c r="C762">
        <v>649163</v>
      </c>
      <c r="D762">
        <v>2029967973</v>
      </c>
      <c r="E762" t="s">
        <v>910</v>
      </c>
      <c r="F762" t="s">
        <v>909</v>
      </c>
      <c r="G762" t="s">
        <v>50</v>
      </c>
      <c r="H762" t="s">
        <v>214</v>
      </c>
      <c r="I762" t="s">
        <v>441</v>
      </c>
      <c r="J762" t="s">
        <v>451</v>
      </c>
      <c r="K762">
        <v>823068</v>
      </c>
      <c r="L762" t="s">
        <v>215</v>
      </c>
      <c r="M762" t="s">
        <v>216</v>
      </c>
      <c r="N762" t="s">
        <v>56</v>
      </c>
      <c r="O762" s="1">
        <v>45854</v>
      </c>
      <c r="P762" s="1">
        <v>45946</v>
      </c>
      <c r="Q762" s="2">
        <v>32.81</v>
      </c>
      <c r="R762">
        <v>1</v>
      </c>
      <c r="S762" t="s">
        <v>57</v>
      </c>
      <c r="T762" t="s">
        <v>58</v>
      </c>
      <c r="U762" s="4">
        <v>0.42</v>
      </c>
      <c r="V762" s="2">
        <v>0</v>
      </c>
      <c r="W762">
        <v>0</v>
      </c>
      <c r="X762" t="s">
        <v>70</v>
      </c>
      <c r="Y762" t="s">
        <v>60</v>
      </c>
      <c r="Z762">
        <v>0</v>
      </c>
      <c r="AA762" s="2">
        <v>0</v>
      </c>
      <c r="AB762" s="2">
        <v>0</v>
      </c>
      <c r="AC762" s="4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13.78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</row>
    <row r="763" spans="1:42" x14ac:dyDescent="0.25">
      <c r="A763" s="1">
        <v>45915</v>
      </c>
      <c r="B763" t="s">
        <v>47</v>
      </c>
      <c r="D763">
        <v>2029967974</v>
      </c>
      <c r="E763" t="s">
        <v>910</v>
      </c>
      <c r="F763" t="s">
        <v>909</v>
      </c>
      <c r="G763" t="s">
        <v>50</v>
      </c>
      <c r="H763" t="s">
        <v>214</v>
      </c>
      <c r="I763" t="s">
        <v>441</v>
      </c>
      <c r="J763" t="s">
        <v>545</v>
      </c>
      <c r="L763" t="s">
        <v>215</v>
      </c>
      <c r="M763" t="s">
        <v>216</v>
      </c>
      <c r="N763" t="s">
        <v>56</v>
      </c>
      <c r="O763" s="1">
        <v>45854</v>
      </c>
      <c r="P763" s="1">
        <v>45946</v>
      </c>
      <c r="Q763" s="2">
        <v>24.61</v>
      </c>
      <c r="R763">
        <v>1</v>
      </c>
      <c r="S763" t="s">
        <v>57</v>
      </c>
      <c r="T763" t="s">
        <v>58</v>
      </c>
      <c r="U763" s="4">
        <v>0.7</v>
      </c>
      <c r="V763" s="2">
        <v>0</v>
      </c>
      <c r="W763">
        <v>0</v>
      </c>
      <c r="X763" t="s">
        <v>70</v>
      </c>
      <c r="Y763" t="s">
        <v>60</v>
      </c>
      <c r="Z763">
        <v>0</v>
      </c>
      <c r="AA763" s="2">
        <v>0</v>
      </c>
      <c r="AB763" s="2">
        <v>0</v>
      </c>
      <c r="AC763" s="4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17.23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</row>
    <row r="764" spans="1:42" x14ac:dyDescent="0.25">
      <c r="A764" s="1">
        <v>45915</v>
      </c>
      <c r="B764" t="s">
        <v>47</v>
      </c>
      <c r="C764">
        <v>649163</v>
      </c>
      <c r="D764">
        <v>2029968822</v>
      </c>
      <c r="E764" t="s">
        <v>123</v>
      </c>
      <c r="F764" t="s">
        <v>109</v>
      </c>
      <c r="G764" t="s">
        <v>50</v>
      </c>
      <c r="H764" t="s">
        <v>93</v>
      </c>
      <c r="I764" t="s">
        <v>441</v>
      </c>
      <c r="J764" t="s">
        <v>451</v>
      </c>
      <c r="K764">
        <v>814033</v>
      </c>
      <c r="L764" t="s">
        <v>595</v>
      </c>
      <c r="M764" t="s">
        <v>596</v>
      </c>
      <c r="N764" t="s">
        <v>56</v>
      </c>
      <c r="O764" s="1">
        <v>45854</v>
      </c>
      <c r="P764" s="1">
        <v>45946</v>
      </c>
      <c r="Q764" s="2">
        <v>25.08</v>
      </c>
      <c r="R764">
        <v>1</v>
      </c>
      <c r="S764" t="s">
        <v>57</v>
      </c>
      <c r="T764" t="s">
        <v>58</v>
      </c>
      <c r="U764" s="4">
        <v>0.42</v>
      </c>
      <c r="V764" s="2">
        <v>0</v>
      </c>
      <c r="W764">
        <v>0</v>
      </c>
      <c r="X764" t="s">
        <v>70</v>
      </c>
      <c r="Y764" t="s">
        <v>60</v>
      </c>
      <c r="Z764">
        <v>0</v>
      </c>
      <c r="AA764" s="2">
        <v>0</v>
      </c>
      <c r="AB764" s="2">
        <v>0</v>
      </c>
      <c r="AC764" s="4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10.53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</row>
    <row r="765" spans="1:42" x14ac:dyDescent="0.25">
      <c r="A765" s="1">
        <v>45915</v>
      </c>
      <c r="B765" t="s">
        <v>47</v>
      </c>
      <c r="C765">
        <v>649163</v>
      </c>
      <c r="D765">
        <v>2029968823</v>
      </c>
      <c r="E765" t="s">
        <v>123</v>
      </c>
      <c r="F765" t="s">
        <v>109</v>
      </c>
      <c r="G765" t="s">
        <v>50</v>
      </c>
      <c r="H765" t="s">
        <v>93</v>
      </c>
      <c r="I765" t="s">
        <v>441</v>
      </c>
      <c r="J765" t="s">
        <v>445</v>
      </c>
      <c r="K765">
        <v>814033</v>
      </c>
      <c r="L765" t="s">
        <v>595</v>
      </c>
      <c r="M765" t="s">
        <v>596</v>
      </c>
      <c r="N765" t="s">
        <v>56</v>
      </c>
      <c r="O765" s="1">
        <v>45854</v>
      </c>
      <c r="P765" s="1">
        <v>45946</v>
      </c>
      <c r="Q765" s="2">
        <v>62.8</v>
      </c>
      <c r="R765">
        <v>1</v>
      </c>
      <c r="S765" t="s">
        <v>57</v>
      </c>
      <c r="T765" t="s">
        <v>58</v>
      </c>
      <c r="U765" s="4">
        <v>0.7</v>
      </c>
      <c r="V765" s="2">
        <v>0</v>
      </c>
      <c r="W765">
        <v>0</v>
      </c>
      <c r="X765" t="s">
        <v>70</v>
      </c>
      <c r="Y765" t="s">
        <v>60</v>
      </c>
      <c r="Z765">
        <v>0</v>
      </c>
      <c r="AA765" s="2">
        <v>0</v>
      </c>
      <c r="AB765" s="2">
        <v>0</v>
      </c>
      <c r="AC765" s="4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43.96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</row>
    <row r="766" spans="1:42" x14ac:dyDescent="0.25">
      <c r="A766" s="1">
        <v>45915</v>
      </c>
      <c r="B766" t="s">
        <v>47</v>
      </c>
      <c r="C766">
        <v>649163</v>
      </c>
      <c r="D766">
        <v>2029969604</v>
      </c>
      <c r="E766" t="s">
        <v>831</v>
      </c>
      <c r="F766" t="s">
        <v>830</v>
      </c>
      <c r="G766" t="s">
        <v>50</v>
      </c>
      <c r="H766" t="s">
        <v>141</v>
      </c>
      <c r="I766" t="s">
        <v>441</v>
      </c>
      <c r="J766" t="s">
        <v>445</v>
      </c>
      <c r="K766">
        <v>816021</v>
      </c>
      <c r="L766" t="s">
        <v>142</v>
      </c>
      <c r="M766" t="s">
        <v>143</v>
      </c>
      <c r="N766" t="s">
        <v>56</v>
      </c>
      <c r="O766" s="1">
        <v>45854</v>
      </c>
      <c r="P766" s="1">
        <v>45946</v>
      </c>
      <c r="Q766" s="2">
        <v>9.1</v>
      </c>
      <c r="R766">
        <v>1</v>
      </c>
      <c r="S766" t="s">
        <v>57</v>
      </c>
      <c r="T766" t="s">
        <v>58</v>
      </c>
      <c r="U766" s="4">
        <v>0.7</v>
      </c>
      <c r="V766" s="2">
        <v>0</v>
      </c>
      <c r="W766">
        <v>0</v>
      </c>
      <c r="X766" t="s">
        <v>70</v>
      </c>
      <c r="Y766" t="s">
        <v>60</v>
      </c>
      <c r="Z766">
        <v>0</v>
      </c>
      <c r="AA766" s="2">
        <v>0</v>
      </c>
      <c r="AB766" s="2">
        <v>0</v>
      </c>
      <c r="AC766" s="4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6.37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</row>
    <row r="767" spans="1:42" x14ac:dyDescent="0.25">
      <c r="A767" s="1">
        <v>45915</v>
      </c>
      <c r="B767" t="s">
        <v>47</v>
      </c>
      <c r="C767">
        <v>649163</v>
      </c>
      <c r="D767">
        <v>2029971479</v>
      </c>
      <c r="E767" t="s">
        <v>829</v>
      </c>
      <c r="F767" t="s">
        <v>179</v>
      </c>
      <c r="G767" t="s">
        <v>50</v>
      </c>
      <c r="H767" t="s">
        <v>121</v>
      </c>
      <c r="I767" t="s">
        <v>441</v>
      </c>
      <c r="J767" t="s">
        <v>445</v>
      </c>
      <c r="K767">
        <v>822723</v>
      </c>
      <c r="L767" t="s">
        <v>828</v>
      </c>
      <c r="M767" t="s">
        <v>827</v>
      </c>
      <c r="N767" t="s">
        <v>56</v>
      </c>
      <c r="O767" s="1">
        <v>45854</v>
      </c>
      <c r="P767" s="1">
        <v>45946</v>
      </c>
      <c r="Q767" s="2">
        <v>15.75</v>
      </c>
      <c r="R767">
        <v>1</v>
      </c>
      <c r="S767" t="s">
        <v>57</v>
      </c>
      <c r="T767" t="s">
        <v>58</v>
      </c>
      <c r="U767" s="4">
        <v>0.7</v>
      </c>
      <c r="V767" s="2">
        <v>0</v>
      </c>
      <c r="W767">
        <v>0</v>
      </c>
      <c r="X767" t="s">
        <v>70</v>
      </c>
      <c r="Y767" t="s">
        <v>60</v>
      </c>
      <c r="Z767">
        <v>0</v>
      </c>
      <c r="AA767" s="2">
        <v>0</v>
      </c>
      <c r="AB767" s="2">
        <v>0</v>
      </c>
      <c r="AC767" s="4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11.02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</row>
    <row r="768" spans="1:42" x14ac:dyDescent="0.25">
      <c r="A768" s="1">
        <v>45915</v>
      </c>
      <c r="B768" t="s">
        <v>47</v>
      </c>
      <c r="C768">
        <v>649163</v>
      </c>
      <c r="D768">
        <v>2029973108</v>
      </c>
      <c r="E768" t="s">
        <v>826</v>
      </c>
      <c r="F768" t="s">
        <v>303</v>
      </c>
      <c r="G768" t="s">
        <v>50</v>
      </c>
      <c r="H768" t="s">
        <v>405</v>
      </c>
      <c r="I768" t="s">
        <v>441</v>
      </c>
      <c r="J768" t="s">
        <v>445</v>
      </c>
      <c r="K768">
        <v>820140</v>
      </c>
      <c r="L768" t="s">
        <v>406</v>
      </c>
      <c r="M768" t="s">
        <v>95</v>
      </c>
      <c r="N768" t="s">
        <v>56</v>
      </c>
      <c r="O768" s="1">
        <v>45854</v>
      </c>
      <c r="P768" s="1">
        <v>45946</v>
      </c>
      <c r="Q768" s="2">
        <v>19</v>
      </c>
      <c r="R768">
        <v>1</v>
      </c>
      <c r="S768" t="s">
        <v>57</v>
      </c>
      <c r="T768" t="s">
        <v>58</v>
      </c>
      <c r="U768" s="4">
        <v>0.3</v>
      </c>
      <c r="V768" s="2">
        <v>0</v>
      </c>
      <c r="W768">
        <v>0</v>
      </c>
      <c r="X768" t="s">
        <v>70</v>
      </c>
      <c r="Y768" t="s">
        <v>60</v>
      </c>
      <c r="Z768">
        <v>0</v>
      </c>
      <c r="AA768" s="2">
        <v>0</v>
      </c>
      <c r="AB768" s="2">
        <v>0</v>
      </c>
      <c r="AC768" s="4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5.7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</row>
    <row r="769" spans="1:42" x14ac:dyDescent="0.25">
      <c r="A769" s="1">
        <v>45915</v>
      </c>
      <c r="B769" t="s">
        <v>47</v>
      </c>
      <c r="C769">
        <v>649163</v>
      </c>
      <c r="D769">
        <v>2029973759</v>
      </c>
      <c r="E769" t="s">
        <v>908</v>
      </c>
      <c r="F769" t="s">
        <v>444</v>
      </c>
      <c r="G769" t="s">
        <v>50</v>
      </c>
      <c r="H769" t="s">
        <v>121</v>
      </c>
      <c r="I769" t="s">
        <v>441</v>
      </c>
      <c r="J769" t="s">
        <v>445</v>
      </c>
      <c r="K769">
        <v>812994</v>
      </c>
      <c r="L769" t="s">
        <v>294</v>
      </c>
      <c r="M769" t="s">
        <v>295</v>
      </c>
      <c r="N769" t="s">
        <v>56</v>
      </c>
      <c r="O769" s="1">
        <v>45854</v>
      </c>
      <c r="P769" s="1">
        <v>45946</v>
      </c>
      <c r="Q769" s="2">
        <v>115.98</v>
      </c>
      <c r="R769">
        <v>1</v>
      </c>
      <c r="S769" t="s">
        <v>57</v>
      </c>
      <c r="T769" t="s">
        <v>58</v>
      </c>
      <c r="U769" s="4">
        <v>0.7</v>
      </c>
      <c r="V769" s="2">
        <v>0</v>
      </c>
      <c r="W769">
        <v>0</v>
      </c>
      <c r="X769" t="s">
        <v>70</v>
      </c>
      <c r="Y769" t="s">
        <v>60</v>
      </c>
      <c r="Z769">
        <v>0</v>
      </c>
      <c r="AA769" s="2">
        <v>0</v>
      </c>
      <c r="AB769" s="2">
        <v>0</v>
      </c>
      <c r="AC769" s="4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81.19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</row>
    <row r="770" spans="1:42" x14ac:dyDescent="0.25">
      <c r="A770" s="1">
        <v>45915</v>
      </c>
      <c r="B770" t="s">
        <v>47</v>
      </c>
      <c r="C770">
        <v>649163</v>
      </c>
      <c r="D770">
        <v>2029985852</v>
      </c>
      <c r="E770" t="s">
        <v>825</v>
      </c>
      <c r="F770" t="s">
        <v>283</v>
      </c>
      <c r="G770" t="s">
        <v>50</v>
      </c>
      <c r="H770" t="s">
        <v>93</v>
      </c>
      <c r="I770" t="s">
        <v>441</v>
      </c>
      <c r="J770" t="s">
        <v>445</v>
      </c>
      <c r="K770">
        <v>823350</v>
      </c>
      <c r="L770" t="s">
        <v>79</v>
      </c>
      <c r="M770" t="s">
        <v>80</v>
      </c>
      <c r="N770" t="s">
        <v>56</v>
      </c>
      <c r="O770" s="1">
        <v>45855</v>
      </c>
      <c r="P770" s="1">
        <v>45947</v>
      </c>
      <c r="Q770" s="2">
        <v>15.75</v>
      </c>
      <c r="R770">
        <v>1</v>
      </c>
      <c r="S770" t="s">
        <v>57</v>
      </c>
      <c r="T770" t="s">
        <v>58</v>
      </c>
      <c r="U770" s="4">
        <v>0.7</v>
      </c>
      <c r="V770" s="2">
        <v>0</v>
      </c>
      <c r="W770">
        <v>0</v>
      </c>
      <c r="X770" t="s">
        <v>70</v>
      </c>
      <c r="Y770" t="s">
        <v>60</v>
      </c>
      <c r="Z770">
        <v>0</v>
      </c>
      <c r="AA770" s="2">
        <v>0</v>
      </c>
      <c r="AB770" s="2">
        <v>0</v>
      </c>
      <c r="AC770" s="4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11.02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</row>
    <row r="771" spans="1:42" x14ac:dyDescent="0.25">
      <c r="A771" s="1">
        <v>45915</v>
      </c>
      <c r="B771" t="s">
        <v>47</v>
      </c>
      <c r="C771">
        <v>649163</v>
      </c>
      <c r="D771">
        <v>2029989667</v>
      </c>
      <c r="E771" t="s">
        <v>824</v>
      </c>
      <c r="F771" t="s">
        <v>823</v>
      </c>
      <c r="G771" t="s">
        <v>50</v>
      </c>
      <c r="H771" t="s">
        <v>115</v>
      </c>
      <c r="I771" t="s">
        <v>441</v>
      </c>
      <c r="J771" t="s">
        <v>445</v>
      </c>
      <c r="K771">
        <v>812656</v>
      </c>
      <c r="L771" t="s">
        <v>338</v>
      </c>
      <c r="M771" t="s">
        <v>377</v>
      </c>
      <c r="N771" t="s">
        <v>56</v>
      </c>
      <c r="O771" s="1">
        <v>45855</v>
      </c>
      <c r="P771" s="1">
        <v>45947</v>
      </c>
      <c r="Q771" s="2">
        <v>13</v>
      </c>
      <c r="R771">
        <v>1</v>
      </c>
      <c r="S771" t="s">
        <v>57</v>
      </c>
      <c r="T771" t="s">
        <v>58</v>
      </c>
      <c r="U771" s="4">
        <v>0.7</v>
      </c>
      <c r="V771" s="2">
        <v>0</v>
      </c>
      <c r="W771">
        <v>0</v>
      </c>
      <c r="X771" t="s">
        <v>70</v>
      </c>
      <c r="Y771" t="s">
        <v>60</v>
      </c>
      <c r="Z771">
        <v>0</v>
      </c>
      <c r="AA771" s="2">
        <v>0</v>
      </c>
      <c r="AB771" s="2">
        <v>0</v>
      </c>
      <c r="AC771" s="4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9.1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</row>
    <row r="772" spans="1:42" x14ac:dyDescent="0.25">
      <c r="A772" s="1">
        <v>45915</v>
      </c>
      <c r="B772" t="s">
        <v>47</v>
      </c>
      <c r="C772">
        <v>649163</v>
      </c>
      <c r="D772">
        <v>2029994615</v>
      </c>
      <c r="E772" t="s">
        <v>907</v>
      </c>
      <c r="F772" t="s">
        <v>906</v>
      </c>
      <c r="G772" t="s">
        <v>50</v>
      </c>
      <c r="H772" t="s">
        <v>157</v>
      </c>
      <c r="I772" t="s">
        <v>441</v>
      </c>
      <c r="J772" t="s">
        <v>445</v>
      </c>
      <c r="K772">
        <v>813184</v>
      </c>
      <c r="L772" t="s">
        <v>194</v>
      </c>
      <c r="M772" t="s">
        <v>195</v>
      </c>
      <c r="N772" t="s">
        <v>56</v>
      </c>
      <c r="O772" s="1">
        <v>45855</v>
      </c>
      <c r="P772" s="1">
        <v>45947</v>
      </c>
      <c r="Q772" s="2">
        <v>28.45</v>
      </c>
      <c r="R772">
        <v>1</v>
      </c>
      <c r="S772" t="s">
        <v>57</v>
      </c>
      <c r="T772" t="s">
        <v>58</v>
      </c>
      <c r="U772" s="4">
        <v>0.7</v>
      </c>
      <c r="V772" s="2">
        <v>0</v>
      </c>
      <c r="W772">
        <v>0</v>
      </c>
      <c r="X772" t="s">
        <v>70</v>
      </c>
      <c r="Y772" t="s">
        <v>60</v>
      </c>
      <c r="Z772">
        <v>0</v>
      </c>
      <c r="AA772" s="2">
        <v>0</v>
      </c>
      <c r="AB772" s="2">
        <v>0</v>
      </c>
      <c r="AC772" s="4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19.920000000000002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</row>
    <row r="773" spans="1:42" x14ac:dyDescent="0.25">
      <c r="A773" s="1">
        <v>45915</v>
      </c>
      <c r="B773" t="s">
        <v>47</v>
      </c>
      <c r="D773">
        <v>2029995394</v>
      </c>
      <c r="E773" t="s">
        <v>651</v>
      </c>
      <c r="F773" t="s">
        <v>179</v>
      </c>
      <c r="G773" t="s">
        <v>50</v>
      </c>
      <c r="H773" t="s">
        <v>151</v>
      </c>
      <c r="I773" t="s">
        <v>441</v>
      </c>
      <c r="J773" t="s">
        <v>545</v>
      </c>
      <c r="L773" t="s">
        <v>650</v>
      </c>
      <c r="M773" t="s">
        <v>649</v>
      </c>
      <c r="N773" t="s">
        <v>56</v>
      </c>
      <c r="O773" s="1">
        <v>45855</v>
      </c>
      <c r="P773" s="1">
        <v>45947</v>
      </c>
      <c r="Q773" s="2">
        <v>25.73</v>
      </c>
      <c r="R773">
        <v>1</v>
      </c>
      <c r="S773" t="s">
        <v>57</v>
      </c>
      <c r="T773" t="s">
        <v>58</v>
      </c>
      <c r="U773" s="4">
        <v>0.7</v>
      </c>
      <c r="V773" s="2">
        <v>0</v>
      </c>
      <c r="W773">
        <v>0</v>
      </c>
      <c r="X773" t="s">
        <v>70</v>
      </c>
      <c r="Y773" t="s">
        <v>60</v>
      </c>
      <c r="Z773">
        <v>0</v>
      </c>
      <c r="AA773" s="2">
        <v>0</v>
      </c>
      <c r="AB773" s="2">
        <v>0</v>
      </c>
      <c r="AC773" s="4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18.010000000000002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</row>
    <row r="774" spans="1:42" x14ac:dyDescent="0.25">
      <c r="A774" s="1">
        <v>45915</v>
      </c>
      <c r="B774" t="s">
        <v>47</v>
      </c>
      <c r="C774">
        <v>649163</v>
      </c>
      <c r="D774">
        <v>2030008353</v>
      </c>
      <c r="E774" t="s">
        <v>905</v>
      </c>
      <c r="F774" t="s">
        <v>554</v>
      </c>
      <c r="G774" t="s">
        <v>50</v>
      </c>
      <c r="H774" t="s">
        <v>188</v>
      </c>
      <c r="I774" t="s">
        <v>441</v>
      </c>
      <c r="J774" t="s">
        <v>445</v>
      </c>
      <c r="K774">
        <v>673059</v>
      </c>
      <c r="L774" t="s">
        <v>152</v>
      </c>
      <c r="M774" t="s">
        <v>153</v>
      </c>
      <c r="N774" t="s">
        <v>56</v>
      </c>
      <c r="O774" s="1">
        <v>45856</v>
      </c>
      <c r="P774" s="1">
        <v>45948</v>
      </c>
      <c r="Q774" s="2">
        <v>31.28</v>
      </c>
      <c r="R774">
        <v>1</v>
      </c>
      <c r="S774" t="s">
        <v>57</v>
      </c>
      <c r="T774" t="s">
        <v>58</v>
      </c>
      <c r="U774" s="4">
        <v>0.7</v>
      </c>
      <c r="V774" s="2">
        <v>0</v>
      </c>
      <c r="W774">
        <v>0</v>
      </c>
      <c r="X774" t="s">
        <v>70</v>
      </c>
      <c r="Y774" t="s">
        <v>60</v>
      </c>
      <c r="Z774">
        <v>0</v>
      </c>
      <c r="AA774" s="2">
        <v>0</v>
      </c>
      <c r="AB774" s="2">
        <v>0</v>
      </c>
      <c r="AC774" s="4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21.9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</row>
    <row r="775" spans="1:42" x14ac:dyDescent="0.25">
      <c r="A775" s="1">
        <v>45915</v>
      </c>
      <c r="B775" t="s">
        <v>47</v>
      </c>
      <c r="C775">
        <v>649163</v>
      </c>
      <c r="D775">
        <v>2030016326</v>
      </c>
      <c r="E775" t="s">
        <v>904</v>
      </c>
      <c r="F775" t="s">
        <v>903</v>
      </c>
      <c r="G775" t="s">
        <v>50</v>
      </c>
      <c r="H775" t="s">
        <v>93</v>
      </c>
      <c r="I775" t="s">
        <v>441</v>
      </c>
      <c r="J775" t="s">
        <v>445</v>
      </c>
      <c r="K775">
        <v>807212</v>
      </c>
      <c r="L775" t="s">
        <v>467</v>
      </c>
      <c r="M775" t="s">
        <v>468</v>
      </c>
      <c r="N775" t="s">
        <v>56</v>
      </c>
      <c r="O775" s="1">
        <v>45856</v>
      </c>
      <c r="P775" s="1">
        <v>45948</v>
      </c>
      <c r="Q775" s="2">
        <v>60.25</v>
      </c>
      <c r="R775">
        <v>1</v>
      </c>
      <c r="S775" t="s">
        <v>57</v>
      </c>
      <c r="T775" t="s">
        <v>58</v>
      </c>
      <c r="U775" s="4">
        <v>0.7</v>
      </c>
      <c r="V775" s="2">
        <v>0</v>
      </c>
      <c r="W775">
        <v>0</v>
      </c>
      <c r="X775" t="s">
        <v>70</v>
      </c>
      <c r="Y775" t="s">
        <v>60</v>
      </c>
      <c r="Z775">
        <v>0</v>
      </c>
      <c r="AA775" s="2">
        <v>0</v>
      </c>
      <c r="AB775" s="2">
        <v>0</v>
      </c>
      <c r="AC775" s="4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42.18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</row>
    <row r="776" spans="1:42" x14ac:dyDescent="0.25">
      <c r="A776" s="1">
        <v>45915</v>
      </c>
      <c r="B776" t="s">
        <v>47</v>
      </c>
      <c r="C776">
        <v>649163</v>
      </c>
      <c r="D776">
        <v>2030016857</v>
      </c>
      <c r="E776" t="s">
        <v>467</v>
      </c>
      <c r="F776" t="s">
        <v>468</v>
      </c>
      <c r="G776" t="s">
        <v>50</v>
      </c>
      <c r="H776" t="s">
        <v>93</v>
      </c>
      <c r="I776" t="s">
        <v>441</v>
      </c>
      <c r="J776" t="s">
        <v>445</v>
      </c>
      <c r="K776">
        <v>807212</v>
      </c>
      <c r="L776" t="s">
        <v>467</v>
      </c>
      <c r="M776" t="s">
        <v>468</v>
      </c>
      <c r="N776" t="s">
        <v>56</v>
      </c>
      <c r="O776" s="1">
        <v>45856</v>
      </c>
      <c r="P776" s="1">
        <v>45948</v>
      </c>
      <c r="Q776" s="2">
        <v>51</v>
      </c>
      <c r="R776">
        <v>1</v>
      </c>
      <c r="S776" t="s">
        <v>57</v>
      </c>
      <c r="T776" t="s">
        <v>58</v>
      </c>
      <c r="U776" s="4">
        <v>0.7</v>
      </c>
      <c r="V776" s="2">
        <v>0</v>
      </c>
      <c r="W776">
        <v>0</v>
      </c>
      <c r="X776" t="s">
        <v>70</v>
      </c>
      <c r="Y776" t="s">
        <v>60</v>
      </c>
      <c r="Z776">
        <v>0</v>
      </c>
      <c r="AA776" s="2">
        <v>0</v>
      </c>
      <c r="AB776" s="2">
        <v>0</v>
      </c>
      <c r="AC776" s="4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35.700000000000003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</row>
    <row r="777" spans="1:42" x14ac:dyDescent="0.25">
      <c r="A777" s="1">
        <v>45915</v>
      </c>
      <c r="B777" t="s">
        <v>47</v>
      </c>
      <c r="C777">
        <v>649163</v>
      </c>
      <c r="D777">
        <v>2030017049</v>
      </c>
      <c r="E777" t="s">
        <v>902</v>
      </c>
      <c r="F777" t="s">
        <v>901</v>
      </c>
      <c r="G777" t="s">
        <v>50</v>
      </c>
      <c r="H777" t="s">
        <v>93</v>
      </c>
      <c r="I777" t="s">
        <v>441</v>
      </c>
      <c r="J777" t="s">
        <v>445</v>
      </c>
      <c r="K777">
        <v>807212</v>
      </c>
      <c r="L777" t="s">
        <v>467</v>
      </c>
      <c r="M777" t="s">
        <v>468</v>
      </c>
      <c r="N777" t="s">
        <v>56</v>
      </c>
      <c r="O777" s="1">
        <v>45856</v>
      </c>
      <c r="P777" s="1">
        <v>45948</v>
      </c>
      <c r="Q777" s="2">
        <v>34</v>
      </c>
      <c r="R777">
        <v>1</v>
      </c>
      <c r="S777" t="s">
        <v>57</v>
      </c>
      <c r="T777" t="s">
        <v>58</v>
      </c>
      <c r="U777" s="4">
        <v>0.7</v>
      </c>
      <c r="V777" s="2">
        <v>0</v>
      </c>
      <c r="W777">
        <v>0</v>
      </c>
      <c r="X777" t="s">
        <v>70</v>
      </c>
      <c r="Y777" t="s">
        <v>60</v>
      </c>
      <c r="Z777">
        <v>0</v>
      </c>
      <c r="AA777" s="2">
        <v>0</v>
      </c>
      <c r="AB777" s="2">
        <v>0</v>
      </c>
      <c r="AC777" s="4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23.8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</row>
    <row r="778" spans="1:42" x14ac:dyDescent="0.25">
      <c r="A778" s="1">
        <v>45915</v>
      </c>
      <c r="B778" t="s">
        <v>47</v>
      </c>
      <c r="C778">
        <v>649163</v>
      </c>
      <c r="D778">
        <v>2030017882</v>
      </c>
      <c r="E778" t="s">
        <v>696</v>
      </c>
      <c r="F778" t="s">
        <v>900</v>
      </c>
      <c r="G778" t="s">
        <v>50</v>
      </c>
      <c r="H778" t="s">
        <v>93</v>
      </c>
      <c r="I778" t="s">
        <v>441</v>
      </c>
      <c r="J778" t="s">
        <v>445</v>
      </c>
      <c r="K778">
        <v>839554</v>
      </c>
      <c r="L778" t="s">
        <v>525</v>
      </c>
      <c r="M778" t="s">
        <v>526</v>
      </c>
      <c r="N778" t="s">
        <v>56</v>
      </c>
      <c r="O778" s="1">
        <v>45856</v>
      </c>
      <c r="P778" s="1">
        <v>45948</v>
      </c>
      <c r="Q778" s="2">
        <v>56.5</v>
      </c>
      <c r="R778">
        <v>1</v>
      </c>
      <c r="S778" t="s">
        <v>57</v>
      </c>
      <c r="T778" t="s">
        <v>58</v>
      </c>
      <c r="U778" s="4">
        <v>0.7</v>
      </c>
      <c r="V778" s="2">
        <v>0</v>
      </c>
      <c r="W778">
        <v>0</v>
      </c>
      <c r="X778" t="s">
        <v>70</v>
      </c>
      <c r="Y778" t="s">
        <v>60</v>
      </c>
      <c r="Z778">
        <v>0</v>
      </c>
      <c r="AA778" s="2">
        <v>0</v>
      </c>
      <c r="AB778" s="2">
        <v>0</v>
      </c>
      <c r="AC778" s="4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39.549999999999997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</row>
    <row r="779" spans="1:42" x14ac:dyDescent="0.25">
      <c r="A779" s="1">
        <v>45915</v>
      </c>
      <c r="B779" t="s">
        <v>47</v>
      </c>
      <c r="C779">
        <v>649163</v>
      </c>
      <c r="D779">
        <v>2030023418</v>
      </c>
      <c r="E779" t="s">
        <v>771</v>
      </c>
      <c r="F779" t="s">
        <v>770</v>
      </c>
      <c r="G779" t="s">
        <v>50</v>
      </c>
      <c r="H779" t="s">
        <v>93</v>
      </c>
      <c r="I779" t="s">
        <v>441</v>
      </c>
      <c r="J779" t="s">
        <v>445</v>
      </c>
      <c r="K779">
        <v>856163</v>
      </c>
      <c r="L779" t="s">
        <v>79</v>
      </c>
      <c r="M779" t="s">
        <v>279</v>
      </c>
      <c r="N779" t="s">
        <v>56</v>
      </c>
      <c r="O779" s="1">
        <v>45857</v>
      </c>
      <c r="P779" s="1">
        <v>45949</v>
      </c>
      <c r="Q779" s="2">
        <v>198.36</v>
      </c>
      <c r="R779">
        <v>1</v>
      </c>
      <c r="S779" t="s">
        <v>57</v>
      </c>
      <c r="T779" t="s">
        <v>58</v>
      </c>
      <c r="U779" s="4">
        <v>0.7</v>
      </c>
      <c r="V779" s="2">
        <v>0</v>
      </c>
      <c r="W779">
        <v>0</v>
      </c>
      <c r="X779" t="s">
        <v>70</v>
      </c>
      <c r="Y779" t="s">
        <v>60</v>
      </c>
      <c r="Z779">
        <v>0</v>
      </c>
      <c r="AA779" s="2">
        <v>0</v>
      </c>
      <c r="AB779" s="2">
        <v>0</v>
      </c>
      <c r="AC779" s="4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138.85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</row>
    <row r="780" spans="1:42" x14ac:dyDescent="0.25">
      <c r="A780" s="1">
        <v>45915</v>
      </c>
      <c r="B780" t="s">
        <v>47</v>
      </c>
      <c r="C780">
        <v>649163</v>
      </c>
      <c r="D780">
        <v>2030135275</v>
      </c>
      <c r="E780" t="s">
        <v>225</v>
      </c>
      <c r="F780" t="s">
        <v>444</v>
      </c>
      <c r="G780" t="s">
        <v>50</v>
      </c>
      <c r="H780" t="s">
        <v>141</v>
      </c>
      <c r="I780" t="s">
        <v>441</v>
      </c>
      <c r="J780" t="s">
        <v>445</v>
      </c>
      <c r="K780">
        <v>756418</v>
      </c>
      <c r="L780" t="s">
        <v>257</v>
      </c>
      <c r="M780" t="s">
        <v>258</v>
      </c>
      <c r="N780" t="s">
        <v>56</v>
      </c>
      <c r="O780" s="1">
        <v>45863</v>
      </c>
      <c r="P780" s="1">
        <v>45925</v>
      </c>
      <c r="Q780" s="2">
        <v>19.41</v>
      </c>
      <c r="R780">
        <v>1</v>
      </c>
      <c r="S780" t="s">
        <v>57</v>
      </c>
      <c r="T780" t="s">
        <v>58</v>
      </c>
      <c r="U780" s="4">
        <v>0.7</v>
      </c>
      <c r="V780" s="2">
        <v>0</v>
      </c>
      <c r="W780">
        <v>0</v>
      </c>
      <c r="X780" t="s">
        <v>70</v>
      </c>
      <c r="Y780" t="s">
        <v>60</v>
      </c>
      <c r="Z780">
        <v>0</v>
      </c>
      <c r="AA780" s="2">
        <v>0</v>
      </c>
      <c r="AB780" s="2">
        <v>0</v>
      </c>
      <c r="AC780" s="4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13.59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</row>
    <row r="781" spans="1:42" x14ac:dyDescent="0.25">
      <c r="A781" s="1">
        <v>45915</v>
      </c>
      <c r="B781" t="s">
        <v>47</v>
      </c>
      <c r="C781">
        <v>649163</v>
      </c>
      <c r="D781">
        <v>2030244228</v>
      </c>
      <c r="E781" t="s">
        <v>822</v>
      </c>
      <c r="F781" t="s">
        <v>821</v>
      </c>
      <c r="G781" t="s">
        <v>50</v>
      </c>
      <c r="H781" t="s">
        <v>93</v>
      </c>
      <c r="I781" t="s">
        <v>441</v>
      </c>
      <c r="J781" t="s">
        <v>445</v>
      </c>
      <c r="K781">
        <v>669316</v>
      </c>
      <c r="L781" t="s">
        <v>420</v>
      </c>
      <c r="M781" t="s">
        <v>421</v>
      </c>
      <c r="N781" t="s">
        <v>56</v>
      </c>
      <c r="O781" s="1">
        <v>45870</v>
      </c>
      <c r="P781" s="1">
        <v>45931</v>
      </c>
      <c r="Q781" s="2">
        <v>41.29</v>
      </c>
      <c r="R781">
        <v>1</v>
      </c>
      <c r="S781" t="s">
        <v>57</v>
      </c>
      <c r="T781" t="s">
        <v>58</v>
      </c>
      <c r="U781" s="4">
        <v>0.7</v>
      </c>
      <c r="V781" s="2">
        <v>0</v>
      </c>
      <c r="W781">
        <v>0</v>
      </c>
      <c r="X781" t="s">
        <v>70</v>
      </c>
      <c r="Y781" t="s">
        <v>60</v>
      </c>
      <c r="Z781">
        <v>0</v>
      </c>
      <c r="AA781" s="2">
        <v>0</v>
      </c>
      <c r="AB781" s="2">
        <v>0</v>
      </c>
      <c r="AC781" s="4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28.9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</row>
    <row r="782" spans="1:42" x14ac:dyDescent="0.25">
      <c r="A782" s="1">
        <v>45915</v>
      </c>
      <c r="B782" t="s">
        <v>47</v>
      </c>
      <c r="C782">
        <v>649163</v>
      </c>
      <c r="D782">
        <v>2030244511</v>
      </c>
      <c r="E782" t="s">
        <v>899</v>
      </c>
      <c r="F782" t="s">
        <v>583</v>
      </c>
      <c r="G782" t="s">
        <v>50</v>
      </c>
      <c r="H782" t="s">
        <v>93</v>
      </c>
      <c r="I782" t="s">
        <v>441</v>
      </c>
      <c r="J782" t="s">
        <v>451</v>
      </c>
      <c r="K782">
        <v>789909</v>
      </c>
      <c r="L782" t="s">
        <v>722</v>
      </c>
      <c r="M782" t="s">
        <v>721</v>
      </c>
      <c r="N782" t="s">
        <v>56</v>
      </c>
      <c r="O782" s="1">
        <v>45884</v>
      </c>
      <c r="P782" s="1">
        <v>45945</v>
      </c>
      <c r="Q782" s="2">
        <v>42.5</v>
      </c>
      <c r="R782">
        <v>1</v>
      </c>
      <c r="S782" t="s">
        <v>57</v>
      </c>
      <c r="T782" t="s">
        <v>58</v>
      </c>
      <c r="U782" s="4">
        <v>0.42</v>
      </c>
      <c r="V782" s="2">
        <v>0</v>
      </c>
      <c r="W782">
        <v>0</v>
      </c>
      <c r="X782" t="s">
        <v>70</v>
      </c>
      <c r="Y782" t="s">
        <v>60</v>
      </c>
      <c r="Z782">
        <v>0</v>
      </c>
      <c r="AA782" s="2">
        <v>0</v>
      </c>
      <c r="AB782" s="2">
        <v>0</v>
      </c>
      <c r="AC782" s="4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17.850000000000001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</row>
    <row r="783" spans="1:42" x14ac:dyDescent="0.25">
      <c r="A783" s="1">
        <v>45915</v>
      </c>
      <c r="B783" t="s">
        <v>47</v>
      </c>
      <c r="C783">
        <v>649163</v>
      </c>
      <c r="D783">
        <v>2030313517</v>
      </c>
      <c r="E783" t="s">
        <v>898</v>
      </c>
      <c r="F783" t="s">
        <v>897</v>
      </c>
      <c r="G783" t="s">
        <v>50</v>
      </c>
      <c r="H783" t="s">
        <v>214</v>
      </c>
      <c r="I783" t="s">
        <v>441</v>
      </c>
      <c r="J783" t="s">
        <v>451</v>
      </c>
      <c r="K783">
        <v>823068</v>
      </c>
      <c r="L783" t="s">
        <v>215</v>
      </c>
      <c r="M783" t="s">
        <v>216</v>
      </c>
      <c r="N783" t="s">
        <v>56</v>
      </c>
      <c r="O783" s="1">
        <v>45884</v>
      </c>
      <c r="P783" s="1">
        <v>45945</v>
      </c>
      <c r="Q783" s="2">
        <v>27.8</v>
      </c>
      <c r="R783">
        <v>1</v>
      </c>
      <c r="S783" t="s">
        <v>57</v>
      </c>
      <c r="T783" t="s">
        <v>58</v>
      </c>
      <c r="U783" s="4">
        <v>0.42</v>
      </c>
      <c r="V783" s="2">
        <v>0</v>
      </c>
      <c r="W783">
        <v>0</v>
      </c>
      <c r="X783" t="s">
        <v>70</v>
      </c>
      <c r="Y783" t="s">
        <v>60</v>
      </c>
      <c r="Z783">
        <v>0</v>
      </c>
      <c r="AA783" s="2">
        <v>0</v>
      </c>
      <c r="AB783" s="2">
        <v>0</v>
      </c>
      <c r="AC783" s="4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11.68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</row>
    <row r="784" spans="1:42" x14ac:dyDescent="0.25">
      <c r="A784" s="1">
        <v>45915</v>
      </c>
      <c r="B784" t="s">
        <v>47</v>
      </c>
      <c r="C784">
        <v>649163</v>
      </c>
      <c r="D784">
        <v>2026603256</v>
      </c>
      <c r="E784" t="s">
        <v>896</v>
      </c>
      <c r="F784" t="s">
        <v>145</v>
      </c>
      <c r="G784" t="s">
        <v>50</v>
      </c>
      <c r="H784" t="s">
        <v>51</v>
      </c>
      <c r="I784" t="s">
        <v>306</v>
      </c>
      <c r="J784" t="s">
        <v>307</v>
      </c>
      <c r="K784">
        <v>728134</v>
      </c>
      <c r="L784" t="s">
        <v>322</v>
      </c>
      <c r="M784" t="s">
        <v>323</v>
      </c>
      <c r="N784" t="s">
        <v>56</v>
      </c>
      <c r="O784" s="1">
        <v>45673</v>
      </c>
      <c r="P784" s="1">
        <v>45946</v>
      </c>
      <c r="Q784" s="2">
        <v>49.98</v>
      </c>
      <c r="R784">
        <v>1</v>
      </c>
      <c r="S784" t="s">
        <v>57</v>
      </c>
      <c r="T784" t="s">
        <v>58</v>
      </c>
      <c r="U784" s="3">
        <v>0.375</v>
      </c>
      <c r="V784" s="2">
        <v>0</v>
      </c>
      <c r="W784">
        <v>0</v>
      </c>
      <c r="X784" t="s">
        <v>70</v>
      </c>
      <c r="Y784" t="s">
        <v>60</v>
      </c>
      <c r="Z784">
        <v>0</v>
      </c>
      <c r="AA784" s="2">
        <v>0</v>
      </c>
      <c r="AB784" s="2">
        <v>0</v>
      </c>
      <c r="AC784" s="4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18.739999999999998</v>
      </c>
      <c r="AM784" s="2">
        <v>18.739999999999998</v>
      </c>
      <c r="AN784" s="2">
        <v>0</v>
      </c>
      <c r="AO784" s="2">
        <v>0</v>
      </c>
      <c r="AP784" s="2">
        <v>0</v>
      </c>
    </row>
    <row r="785" spans="1:42" x14ac:dyDescent="0.25">
      <c r="A785" s="1">
        <v>45915</v>
      </c>
      <c r="B785" t="s">
        <v>47</v>
      </c>
      <c r="C785">
        <v>649163</v>
      </c>
      <c r="D785">
        <v>2026607948</v>
      </c>
      <c r="E785" t="s">
        <v>895</v>
      </c>
      <c r="F785" t="s">
        <v>131</v>
      </c>
      <c r="G785" t="s">
        <v>50</v>
      </c>
      <c r="H785" t="s">
        <v>151</v>
      </c>
      <c r="I785" t="s">
        <v>306</v>
      </c>
      <c r="J785" t="s">
        <v>307</v>
      </c>
      <c r="K785">
        <v>767312</v>
      </c>
      <c r="L785" t="s">
        <v>122</v>
      </c>
      <c r="M785" t="s">
        <v>123</v>
      </c>
      <c r="N785" t="s">
        <v>56</v>
      </c>
      <c r="O785" s="1">
        <v>45673</v>
      </c>
      <c r="P785" s="1">
        <v>45946</v>
      </c>
      <c r="Q785" s="2">
        <v>27.97</v>
      </c>
      <c r="R785">
        <v>1</v>
      </c>
      <c r="S785" t="s">
        <v>57</v>
      </c>
      <c r="T785" t="s">
        <v>58</v>
      </c>
      <c r="U785" s="3">
        <v>0.375</v>
      </c>
      <c r="V785" s="2">
        <v>0</v>
      </c>
      <c r="W785">
        <v>0</v>
      </c>
      <c r="X785" t="s">
        <v>70</v>
      </c>
      <c r="Y785" t="s">
        <v>60</v>
      </c>
      <c r="Z785">
        <v>0</v>
      </c>
      <c r="AA785" s="2">
        <v>0</v>
      </c>
      <c r="AB785" s="2">
        <v>0</v>
      </c>
      <c r="AC785" s="4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10.49</v>
      </c>
      <c r="AM785" s="2">
        <v>10.49</v>
      </c>
      <c r="AN785" s="2">
        <v>0</v>
      </c>
      <c r="AO785" s="2">
        <v>0</v>
      </c>
      <c r="AP785" s="2">
        <v>0</v>
      </c>
    </row>
    <row r="786" spans="1:42" x14ac:dyDescent="0.25">
      <c r="A786" s="1">
        <v>45915</v>
      </c>
      <c r="B786" t="s">
        <v>47</v>
      </c>
      <c r="C786">
        <v>649163</v>
      </c>
      <c r="D786">
        <v>2026615682</v>
      </c>
      <c r="E786" t="s">
        <v>894</v>
      </c>
      <c r="F786" t="s">
        <v>153</v>
      </c>
      <c r="G786" t="s">
        <v>50</v>
      </c>
      <c r="H786" t="s">
        <v>405</v>
      </c>
      <c r="I786" t="s">
        <v>306</v>
      </c>
      <c r="J786" t="s">
        <v>307</v>
      </c>
      <c r="K786">
        <v>767312</v>
      </c>
      <c r="L786" t="s">
        <v>122</v>
      </c>
      <c r="M786" t="s">
        <v>123</v>
      </c>
      <c r="N786" t="s">
        <v>56</v>
      </c>
      <c r="O786" s="1">
        <v>45673</v>
      </c>
      <c r="P786" s="1">
        <v>45946</v>
      </c>
      <c r="Q786" s="2">
        <v>29.08</v>
      </c>
      <c r="R786">
        <v>1</v>
      </c>
      <c r="S786" t="s">
        <v>57</v>
      </c>
      <c r="T786" t="s">
        <v>58</v>
      </c>
      <c r="U786" s="3">
        <v>0.375</v>
      </c>
      <c r="V786" s="2">
        <v>0</v>
      </c>
      <c r="W786">
        <v>0</v>
      </c>
      <c r="X786" t="s">
        <v>70</v>
      </c>
      <c r="Y786" t="s">
        <v>60</v>
      </c>
      <c r="Z786">
        <v>0</v>
      </c>
      <c r="AA786" s="2">
        <v>0</v>
      </c>
      <c r="AB786" s="2">
        <v>0</v>
      </c>
      <c r="AC786" s="4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10.9</v>
      </c>
      <c r="AM786" s="2">
        <v>10.9</v>
      </c>
      <c r="AN786" s="2">
        <v>0</v>
      </c>
      <c r="AO786" s="2">
        <v>0</v>
      </c>
      <c r="AP786" s="2">
        <v>0</v>
      </c>
    </row>
    <row r="787" spans="1:42" x14ac:dyDescent="0.25">
      <c r="A787" s="1">
        <v>45915</v>
      </c>
      <c r="B787" t="s">
        <v>47</v>
      </c>
      <c r="C787">
        <v>649163</v>
      </c>
      <c r="D787">
        <v>2026618368</v>
      </c>
      <c r="E787" t="s">
        <v>893</v>
      </c>
      <c r="F787" t="s">
        <v>480</v>
      </c>
      <c r="G787" t="s">
        <v>50</v>
      </c>
      <c r="H787" t="s">
        <v>93</v>
      </c>
      <c r="I787" t="s">
        <v>306</v>
      </c>
      <c r="J787" t="s">
        <v>307</v>
      </c>
      <c r="K787">
        <v>792847</v>
      </c>
      <c r="L787" t="s">
        <v>137</v>
      </c>
      <c r="M787" t="s">
        <v>138</v>
      </c>
      <c r="N787" t="s">
        <v>56</v>
      </c>
      <c r="O787" s="1">
        <v>45673</v>
      </c>
      <c r="P787" s="1">
        <v>45946</v>
      </c>
      <c r="Q787" s="2">
        <v>35.29</v>
      </c>
      <c r="R787">
        <v>1</v>
      </c>
      <c r="S787" t="s">
        <v>57</v>
      </c>
      <c r="T787" t="s">
        <v>58</v>
      </c>
      <c r="U787" s="3">
        <v>0.375</v>
      </c>
      <c r="V787" s="2">
        <v>0</v>
      </c>
      <c r="W787">
        <v>0</v>
      </c>
      <c r="X787" t="s">
        <v>70</v>
      </c>
      <c r="Y787" t="s">
        <v>60</v>
      </c>
      <c r="Z787">
        <v>0</v>
      </c>
      <c r="AA787" s="2">
        <v>0</v>
      </c>
      <c r="AB787" s="2">
        <v>0</v>
      </c>
      <c r="AC787" s="4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13.23</v>
      </c>
      <c r="AM787" s="2">
        <v>13.23</v>
      </c>
      <c r="AN787" s="2">
        <v>0</v>
      </c>
      <c r="AO787" s="2">
        <v>0</v>
      </c>
      <c r="AP787" s="2">
        <v>0</v>
      </c>
    </row>
    <row r="788" spans="1:42" x14ac:dyDescent="0.25">
      <c r="A788" s="1">
        <v>45915</v>
      </c>
      <c r="B788" t="s">
        <v>47</v>
      </c>
      <c r="C788">
        <v>649163</v>
      </c>
      <c r="D788">
        <v>2026625853</v>
      </c>
      <c r="E788" t="s">
        <v>234</v>
      </c>
      <c r="F788" t="s">
        <v>892</v>
      </c>
      <c r="G788" t="s">
        <v>50</v>
      </c>
      <c r="H788" t="s">
        <v>405</v>
      </c>
      <c r="I788" t="s">
        <v>306</v>
      </c>
      <c r="J788" t="s">
        <v>307</v>
      </c>
      <c r="K788">
        <v>767312</v>
      </c>
      <c r="L788" t="s">
        <v>122</v>
      </c>
      <c r="M788" t="s">
        <v>123</v>
      </c>
      <c r="N788" t="s">
        <v>56</v>
      </c>
      <c r="O788" s="1">
        <v>45674</v>
      </c>
      <c r="P788" s="1">
        <v>45947</v>
      </c>
      <c r="Q788" s="2">
        <v>24.71</v>
      </c>
      <c r="R788">
        <v>1</v>
      </c>
      <c r="S788" t="s">
        <v>57</v>
      </c>
      <c r="T788" t="s">
        <v>58</v>
      </c>
      <c r="U788" s="3">
        <v>0.375</v>
      </c>
      <c r="V788" s="2">
        <v>0</v>
      </c>
      <c r="W788">
        <v>0</v>
      </c>
      <c r="X788" t="s">
        <v>70</v>
      </c>
      <c r="Y788" t="s">
        <v>60</v>
      </c>
      <c r="Z788">
        <v>0</v>
      </c>
      <c r="AA788" s="2">
        <v>0</v>
      </c>
      <c r="AB788" s="2">
        <v>0</v>
      </c>
      <c r="AC788" s="4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9.27</v>
      </c>
      <c r="AM788" s="2">
        <v>9.27</v>
      </c>
      <c r="AN788" s="2">
        <v>0</v>
      </c>
      <c r="AO788" s="2">
        <v>0</v>
      </c>
      <c r="AP788" s="2">
        <v>0</v>
      </c>
    </row>
    <row r="789" spans="1:42" x14ac:dyDescent="0.25">
      <c r="A789" s="1">
        <v>45915</v>
      </c>
      <c r="B789" t="s">
        <v>47</v>
      </c>
      <c r="C789">
        <v>649163</v>
      </c>
      <c r="D789">
        <v>2026649714</v>
      </c>
      <c r="E789" t="s">
        <v>282</v>
      </c>
      <c r="F789" t="s">
        <v>283</v>
      </c>
      <c r="G789" t="s">
        <v>50</v>
      </c>
      <c r="H789" t="s">
        <v>93</v>
      </c>
      <c r="I789" t="s">
        <v>306</v>
      </c>
      <c r="J789" t="s">
        <v>307</v>
      </c>
      <c r="K789">
        <v>768887</v>
      </c>
      <c r="L789" t="s">
        <v>282</v>
      </c>
      <c r="M789" t="s">
        <v>283</v>
      </c>
      <c r="N789" t="s">
        <v>56</v>
      </c>
      <c r="O789" s="1">
        <v>45675</v>
      </c>
      <c r="P789" s="1">
        <v>45948</v>
      </c>
      <c r="Q789" s="2">
        <v>57.44</v>
      </c>
      <c r="R789">
        <v>1</v>
      </c>
      <c r="S789" t="s">
        <v>57</v>
      </c>
      <c r="T789" t="s">
        <v>58</v>
      </c>
      <c r="U789" s="3">
        <v>0.375</v>
      </c>
      <c r="V789" s="2">
        <v>0</v>
      </c>
      <c r="W789">
        <v>0</v>
      </c>
      <c r="X789" t="s">
        <v>70</v>
      </c>
      <c r="Y789" t="s">
        <v>60</v>
      </c>
      <c r="Z789">
        <v>0</v>
      </c>
      <c r="AA789" s="2">
        <v>0</v>
      </c>
      <c r="AB789" s="2">
        <v>0</v>
      </c>
      <c r="AC789" s="4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21.54</v>
      </c>
      <c r="AM789" s="2">
        <v>21.54</v>
      </c>
      <c r="AN789" s="2">
        <v>0</v>
      </c>
      <c r="AO789" s="2">
        <v>0</v>
      </c>
      <c r="AP789" s="2">
        <v>0</v>
      </c>
    </row>
    <row r="790" spans="1:42" x14ac:dyDescent="0.25">
      <c r="A790" s="1">
        <v>45915</v>
      </c>
      <c r="B790" t="s">
        <v>47</v>
      </c>
      <c r="C790">
        <v>649163</v>
      </c>
      <c r="D790">
        <v>2027012190</v>
      </c>
      <c r="E790" t="s">
        <v>891</v>
      </c>
      <c r="F790" t="s">
        <v>890</v>
      </c>
      <c r="G790" t="s">
        <v>50</v>
      </c>
      <c r="H790" t="s">
        <v>405</v>
      </c>
      <c r="I790" t="s">
        <v>306</v>
      </c>
      <c r="J790" t="s">
        <v>307</v>
      </c>
      <c r="K790">
        <v>767312</v>
      </c>
      <c r="L790" t="s">
        <v>122</v>
      </c>
      <c r="M790" t="s">
        <v>123</v>
      </c>
      <c r="N790" t="s">
        <v>56</v>
      </c>
      <c r="O790" s="1">
        <v>45696</v>
      </c>
      <c r="P790" s="1">
        <v>45938</v>
      </c>
      <c r="Q790" s="2">
        <v>-51.49</v>
      </c>
      <c r="R790">
        <v>1</v>
      </c>
      <c r="S790" t="s">
        <v>57</v>
      </c>
      <c r="T790" t="s">
        <v>58</v>
      </c>
      <c r="U790" s="3">
        <v>0.375</v>
      </c>
      <c r="V790" s="2">
        <v>0</v>
      </c>
      <c r="W790">
        <v>-1</v>
      </c>
      <c r="X790" t="s">
        <v>70</v>
      </c>
      <c r="Y790" t="s">
        <v>60</v>
      </c>
      <c r="Z790">
        <v>0</v>
      </c>
      <c r="AA790" s="2">
        <v>0</v>
      </c>
      <c r="AB790" s="2">
        <v>0</v>
      </c>
      <c r="AC790" s="4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-19.309999999999999</v>
      </c>
      <c r="AM790" s="2">
        <v>-19.309999999999999</v>
      </c>
      <c r="AN790" s="2">
        <v>0</v>
      </c>
      <c r="AO790" s="2">
        <v>0</v>
      </c>
      <c r="AP790" s="2">
        <v>0</v>
      </c>
    </row>
    <row r="791" spans="1:42" x14ac:dyDescent="0.25">
      <c r="A791" s="1">
        <v>45915</v>
      </c>
      <c r="B791" t="s">
        <v>47</v>
      </c>
      <c r="C791">
        <v>649163</v>
      </c>
      <c r="D791">
        <v>2027072201</v>
      </c>
      <c r="E791" t="s">
        <v>889</v>
      </c>
      <c r="F791" t="s">
        <v>67</v>
      </c>
      <c r="G791" t="s">
        <v>50</v>
      </c>
      <c r="H791" t="s">
        <v>141</v>
      </c>
      <c r="I791" t="s">
        <v>306</v>
      </c>
      <c r="J791" t="s">
        <v>307</v>
      </c>
      <c r="K791">
        <v>816021</v>
      </c>
      <c r="L791" t="s">
        <v>142</v>
      </c>
      <c r="M791" t="s">
        <v>143</v>
      </c>
      <c r="N791" t="s">
        <v>56</v>
      </c>
      <c r="O791" s="1">
        <v>45703</v>
      </c>
      <c r="P791" s="1">
        <v>45945</v>
      </c>
      <c r="Q791" s="2">
        <v>102.21</v>
      </c>
      <c r="R791">
        <v>1</v>
      </c>
      <c r="S791" t="s">
        <v>57</v>
      </c>
      <c r="T791" t="s">
        <v>58</v>
      </c>
      <c r="U791" s="3">
        <v>0.375</v>
      </c>
      <c r="V791" s="2">
        <v>0</v>
      </c>
      <c r="W791">
        <v>0</v>
      </c>
      <c r="X791" t="s">
        <v>70</v>
      </c>
      <c r="Y791" t="s">
        <v>60</v>
      </c>
      <c r="Z791">
        <v>0</v>
      </c>
      <c r="AA791" s="2">
        <v>0</v>
      </c>
      <c r="AB791" s="2">
        <v>0</v>
      </c>
      <c r="AC791" s="4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38.33</v>
      </c>
      <c r="AM791" s="2">
        <v>38.33</v>
      </c>
      <c r="AN791" s="2">
        <v>0</v>
      </c>
      <c r="AO791" s="2">
        <v>0</v>
      </c>
      <c r="AP791" s="2">
        <v>0</v>
      </c>
    </row>
    <row r="792" spans="1:42" x14ac:dyDescent="0.25">
      <c r="A792" s="1">
        <v>45915</v>
      </c>
      <c r="B792" t="s">
        <v>47</v>
      </c>
      <c r="C792">
        <v>649163</v>
      </c>
      <c r="D792">
        <v>2027082733</v>
      </c>
      <c r="E792" t="s">
        <v>888</v>
      </c>
      <c r="F792" t="s">
        <v>803</v>
      </c>
      <c r="G792" t="s">
        <v>50</v>
      </c>
      <c r="H792" t="s">
        <v>93</v>
      </c>
      <c r="I792" t="s">
        <v>306</v>
      </c>
      <c r="J792" t="s">
        <v>307</v>
      </c>
      <c r="K792">
        <v>669316</v>
      </c>
      <c r="L792" t="s">
        <v>420</v>
      </c>
      <c r="M792" t="s">
        <v>421</v>
      </c>
      <c r="N792" t="s">
        <v>56</v>
      </c>
      <c r="O792" s="1">
        <v>45701</v>
      </c>
      <c r="P792" s="1">
        <v>45943</v>
      </c>
      <c r="Q792" s="2">
        <v>61.01</v>
      </c>
      <c r="R792">
        <v>1</v>
      </c>
      <c r="S792" t="s">
        <v>57</v>
      </c>
      <c r="T792" t="s">
        <v>58</v>
      </c>
      <c r="U792" s="3">
        <v>0.375</v>
      </c>
      <c r="V792" s="2">
        <v>0</v>
      </c>
      <c r="W792">
        <v>0</v>
      </c>
      <c r="X792" t="s">
        <v>70</v>
      </c>
      <c r="Y792" t="s">
        <v>60</v>
      </c>
      <c r="Z792">
        <v>0</v>
      </c>
      <c r="AA792" s="2">
        <v>0</v>
      </c>
      <c r="AB792" s="2">
        <v>0</v>
      </c>
      <c r="AC792" s="4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22.88</v>
      </c>
      <c r="AM792" s="2">
        <v>22.88</v>
      </c>
      <c r="AN792" s="2">
        <v>0</v>
      </c>
      <c r="AO792" s="2">
        <v>0</v>
      </c>
      <c r="AP792" s="2">
        <v>0</v>
      </c>
    </row>
    <row r="793" spans="1:42" x14ac:dyDescent="0.25">
      <c r="A793" s="1">
        <v>45915</v>
      </c>
      <c r="B793" t="s">
        <v>47</v>
      </c>
      <c r="C793">
        <v>649163</v>
      </c>
      <c r="D793">
        <v>2027106747</v>
      </c>
      <c r="E793" t="s">
        <v>887</v>
      </c>
      <c r="F793" t="s">
        <v>258</v>
      </c>
      <c r="G793" t="s">
        <v>50</v>
      </c>
      <c r="H793" t="s">
        <v>93</v>
      </c>
      <c r="I793" t="s">
        <v>306</v>
      </c>
      <c r="J793" t="s">
        <v>307</v>
      </c>
      <c r="K793">
        <v>792847</v>
      </c>
      <c r="L793" t="s">
        <v>137</v>
      </c>
      <c r="M793" t="s">
        <v>138</v>
      </c>
      <c r="N793" t="s">
        <v>56</v>
      </c>
      <c r="O793" s="1">
        <v>45703</v>
      </c>
      <c r="P793" s="1">
        <v>45945</v>
      </c>
      <c r="Q793" s="2">
        <v>48.61</v>
      </c>
      <c r="R793">
        <v>1</v>
      </c>
      <c r="S793" t="s">
        <v>57</v>
      </c>
      <c r="T793" t="s">
        <v>58</v>
      </c>
      <c r="U793" s="3">
        <v>0.375</v>
      </c>
      <c r="V793" s="2">
        <v>0</v>
      </c>
      <c r="W793">
        <v>0</v>
      </c>
      <c r="X793" t="s">
        <v>70</v>
      </c>
      <c r="Y793" t="s">
        <v>60</v>
      </c>
      <c r="Z793">
        <v>0</v>
      </c>
      <c r="AA793" s="2">
        <v>0</v>
      </c>
      <c r="AB793" s="2">
        <v>0</v>
      </c>
      <c r="AC793" s="4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18.23</v>
      </c>
      <c r="AM793" s="2">
        <v>18.23</v>
      </c>
      <c r="AN793" s="2">
        <v>0</v>
      </c>
      <c r="AO793" s="2">
        <v>0</v>
      </c>
      <c r="AP793" s="2">
        <v>0</v>
      </c>
    </row>
    <row r="794" spans="1:42" x14ac:dyDescent="0.25">
      <c r="A794" s="1">
        <v>45915</v>
      </c>
      <c r="B794" t="s">
        <v>47</v>
      </c>
      <c r="C794">
        <v>649163</v>
      </c>
      <c r="D794">
        <v>2027111487</v>
      </c>
      <c r="E794" t="s">
        <v>886</v>
      </c>
      <c r="F794" t="s">
        <v>349</v>
      </c>
      <c r="G794" t="s">
        <v>50</v>
      </c>
      <c r="H794" t="s">
        <v>93</v>
      </c>
      <c r="I794" t="s">
        <v>306</v>
      </c>
      <c r="J794" t="s">
        <v>307</v>
      </c>
      <c r="K794">
        <v>840313</v>
      </c>
      <c r="L794" t="s">
        <v>273</v>
      </c>
      <c r="M794" t="s">
        <v>274</v>
      </c>
      <c r="N794" t="s">
        <v>56</v>
      </c>
      <c r="O794" s="1">
        <v>45703</v>
      </c>
      <c r="P794" s="1">
        <v>45945</v>
      </c>
      <c r="Q794" s="2">
        <v>60.94</v>
      </c>
      <c r="R794">
        <v>1</v>
      </c>
      <c r="S794" t="s">
        <v>57</v>
      </c>
      <c r="T794" t="s">
        <v>58</v>
      </c>
      <c r="U794" s="3">
        <v>0.375</v>
      </c>
      <c r="V794" s="2">
        <v>0</v>
      </c>
      <c r="W794">
        <v>0</v>
      </c>
      <c r="X794" t="s">
        <v>70</v>
      </c>
      <c r="Y794" t="s">
        <v>60</v>
      </c>
      <c r="Z794">
        <v>0</v>
      </c>
      <c r="AA794" s="2">
        <v>0</v>
      </c>
      <c r="AB794" s="2">
        <v>0</v>
      </c>
      <c r="AC794" s="4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22.85</v>
      </c>
      <c r="AM794" s="2">
        <v>22.85</v>
      </c>
      <c r="AN794" s="2">
        <v>0</v>
      </c>
      <c r="AO794" s="2">
        <v>0</v>
      </c>
      <c r="AP794" s="2">
        <v>0</v>
      </c>
    </row>
    <row r="795" spans="1:42" x14ac:dyDescent="0.25">
      <c r="A795" s="1">
        <v>45915</v>
      </c>
      <c r="B795" t="s">
        <v>47</v>
      </c>
      <c r="C795">
        <v>649163</v>
      </c>
      <c r="D795">
        <v>2027164319</v>
      </c>
      <c r="E795" t="s">
        <v>885</v>
      </c>
      <c r="F795" t="s">
        <v>884</v>
      </c>
      <c r="G795" t="s">
        <v>50</v>
      </c>
      <c r="H795" t="s">
        <v>93</v>
      </c>
      <c r="I795" t="s">
        <v>306</v>
      </c>
      <c r="J795" t="s">
        <v>307</v>
      </c>
      <c r="K795">
        <v>792847</v>
      </c>
      <c r="L795" t="s">
        <v>137</v>
      </c>
      <c r="M795" t="s">
        <v>138</v>
      </c>
      <c r="N795" t="s">
        <v>56</v>
      </c>
      <c r="O795" s="1">
        <v>45706</v>
      </c>
      <c r="P795" s="1">
        <v>45948</v>
      </c>
      <c r="Q795" s="2">
        <v>64.760000000000005</v>
      </c>
      <c r="R795">
        <v>1</v>
      </c>
      <c r="S795" t="s">
        <v>57</v>
      </c>
      <c r="T795" t="s">
        <v>58</v>
      </c>
      <c r="U795" s="3">
        <v>0.375</v>
      </c>
      <c r="V795" s="2">
        <v>0</v>
      </c>
      <c r="W795">
        <v>0</v>
      </c>
      <c r="X795" t="s">
        <v>70</v>
      </c>
      <c r="Y795" t="s">
        <v>60</v>
      </c>
      <c r="Z795">
        <v>0</v>
      </c>
      <c r="AA795" s="2">
        <v>0</v>
      </c>
      <c r="AB795" s="2">
        <v>0</v>
      </c>
      <c r="AC795" s="4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24.28</v>
      </c>
      <c r="AM795" s="2">
        <v>24.28</v>
      </c>
      <c r="AN795" s="2">
        <v>0</v>
      </c>
      <c r="AO795" s="2">
        <v>0</v>
      </c>
      <c r="AP795" s="2">
        <v>0</v>
      </c>
    </row>
    <row r="796" spans="1:42" x14ac:dyDescent="0.25">
      <c r="A796" s="1">
        <v>45915</v>
      </c>
      <c r="B796" t="s">
        <v>47</v>
      </c>
      <c r="C796">
        <v>649163</v>
      </c>
      <c r="D796">
        <v>2027182058</v>
      </c>
      <c r="E796" t="s">
        <v>883</v>
      </c>
      <c r="F796" t="s">
        <v>882</v>
      </c>
      <c r="G796" t="s">
        <v>50</v>
      </c>
      <c r="H796" t="s">
        <v>400</v>
      </c>
      <c r="I796" t="s">
        <v>306</v>
      </c>
      <c r="J796" t="s">
        <v>307</v>
      </c>
      <c r="K796">
        <v>767312</v>
      </c>
      <c r="L796" t="s">
        <v>122</v>
      </c>
      <c r="M796" t="s">
        <v>123</v>
      </c>
      <c r="N796" t="s">
        <v>56</v>
      </c>
      <c r="O796" s="1">
        <v>45707</v>
      </c>
      <c r="P796" s="1">
        <v>45949</v>
      </c>
      <c r="Q796" s="2">
        <v>36.69</v>
      </c>
      <c r="R796">
        <v>1</v>
      </c>
      <c r="S796" t="s">
        <v>57</v>
      </c>
      <c r="T796" t="s">
        <v>58</v>
      </c>
      <c r="U796" s="3">
        <v>0.375</v>
      </c>
      <c r="V796" s="2">
        <v>0</v>
      </c>
      <c r="W796">
        <v>0</v>
      </c>
      <c r="X796" t="s">
        <v>70</v>
      </c>
      <c r="Y796" t="s">
        <v>60</v>
      </c>
      <c r="Z796">
        <v>0</v>
      </c>
      <c r="AA796" s="2">
        <v>0</v>
      </c>
      <c r="AB796" s="2">
        <v>0</v>
      </c>
      <c r="AC796" s="4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13.76</v>
      </c>
      <c r="AM796" s="2">
        <v>13.76</v>
      </c>
      <c r="AN796" s="2">
        <v>0</v>
      </c>
      <c r="AO796" s="2">
        <v>0</v>
      </c>
      <c r="AP796" s="2">
        <v>0</v>
      </c>
    </row>
    <row r="797" spans="1:42" x14ac:dyDescent="0.25">
      <c r="A797" s="1">
        <v>45915</v>
      </c>
      <c r="B797" t="s">
        <v>47</v>
      </c>
      <c r="C797">
        <v>649163</v>
      </c>
      <c r="D797">
        <v>2027573959</v>
      </c>
      <c r="E797" t="s">
        <v>881</v>
      </c>
      <c r="F797" t="s">
        <v>616</v>
      </c>
      <c r="G797" t="s">
        <v>50</v>
      </c>
      <c r="H797" t="s">
        <v>157</v>
      </c>
      <c r="I797" t="s">
        <v>306</v>
      </c>
      <c r="J797" t="s">
        <v>307</v>
      </c>
      <c r="K797">
        <v>673059</v>
      </c>
      <c r="L797" t="s">
        <v>152</v>
      </c>
      <c r="M797" t="s">
        <v>153</v>
      </c>
      <c r="N797" t="s">
        <v>56</v>
      </c>
      <c r="O797" s="1">
        <v>45757</v>
      </c>
      <c r="P797" s="1">
        <v>45940</v>
      </c>
      <c r="Q797" s="2">
        <v>23.34</v>
      </c>
      <c r="R797">
        <v>1</v>
      </c>
      <c r="S797" t="s">
        <v>57</v>
      </c>
      <c r="T797" t="s">
        <v>58</v>
      </c>
      <c r="U797" s="3">
        <v>0.375</v>
      </c>
      <c r="V797" s="2">
        <v>0</v>
      </c>
      <c r="W797">
        <v>0</v>
      </c>
      <c r="X797" t="s">
        <v>70</v>
      </c>
      <c r="Y797" t="s">
        <v>60</v>
      </c>
      <c r="Z797">
        <v>0</v>
      </c>
      <c r="AA797" s="2">
        <v>0</v>
      </c>
      <c r="AB797" s="2">
        <v>0</v>
      </c>
      <c r="AC797" s="4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8.75</v>
      </c>
      <c r="AM797" s="2">
        <v>8.75</v>
      </c>
      <c r="AN797" s="2">
        <v>0</v>
      </c>
      <c r="AO797" s="2">
        <v>0</v>
      </c>
      <c r="AP797" s="2">
        <v>0</v>
      </c>
    </row>
    <row r="798" spans="1:42" x14ac:dyDescent="0.25">
      <c r="A798" s="1">
        <v>45915</v>
      </c>
      <c r="B798" t="s">
        <v>47</v>
      </c>
      <c r="C798">
        <v>649163</v>
      </c>
      <c r="D798">
        <v>2027767676</v>
      </c>
      <c r="E798" t="s">
        <v>880</v>
      </c>
      <c r="F798" t="s">
        <v>114</v>
      </c>
      <c r="G798" t="s">
        <v>50</v>
      </c>
      <c r="H798" t="s">
        <v>121</v>
      </c>
      <c r="I798" t="s">
        <v>306</v>
      </c>
      <c r="J798" t="s">
        <v>307</v>
      </c>
      <c r="K798">
        <v>764123</v>
      </c>
      <c r="L798" t="s">
        <v>629</v>
      </c>
      <c r="M798" t="s">
        <v>628</v>
      </c>
      <c r="N798" t="s">
        <v>56</v>
      </c>
      <c r="O798" s="1">
        <v>45729</v>
      </c>
      <c r="P798" s="1">
        <v>45943</v>
      </c>
      <c r="Q798" s="2">
        <v>66.650000000000006</v>
      </c>
      <c r="R798">
        <v>1</v>
      </c>
      <c r="S798" t="s">
        <v>57</v>
      </c>
      <c r="T798" t="s">
        <v>58</v>
      </c>
      <c r="U798" s="3">
        <v>0.375</v>
      </c>
      <c r="V798" s="2">
        <v>0</v>
      </c>
      <c r="W798">
        <v>0</v>
      </c>
      <c r="X798" t="s">
        <v>70</v>
      </c>
      <c r="Y798" t="s">
        <v>60</v>
      </c>
      <c r="Z798">
        <v>0</v>
      </c>
      <c r="AA798" s="2">
        <v>0</v>
      </c>
      <c r="AB798" s="2">
        <v>0</v>
      </c>
      <c r="AC798" s="4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24.99</v>
      </c>
      <c r="AM798" s="2">
        <v>24.99</v>
      </c>
      <c r="AN798" s="2">
        <v>0</v>
      </c>
      <c r="AO798" s="2">
        <v>0</v>
      </c>
      <c r="AP798" s="2">
        <v>0</v>
      </c>
    </row>
    <row r="799" spans="1:42" x14ac:dyDescent="0.25">
      <c r="A799" s="1">
        <v>45915</v>
      </c>
      <c r="B799" t="s">
        <v>47</v>
      </c>
      <c r="C799">
        <v>649163</v>
      </c>
      <c r="D799">
        <v>2027849004</v>
      </c>
      <c r="E799" t="s">
        <v>879</v>
      </c>
      <c r="F799" t="s">
        <v>857</v>
      </c>
      <c r="G799" t="s">
        <v>50</v>
      </c>
      <c r="H799" t="s">
        <v>93</v>
      </c>
      <c r="I799" t="s">
        <v>306</v>
      </c>
      <c r="J799" t="s">
        <v>307</v>
      </c>
      <c r="K799">
        <v>856163</v>
      </c>
      <c r="L799" t="s">
        <v>79</v>
      </c>
      <c r="M799" t="s">
        <v>279</v>
      </c>
      <c r="N799" t="s">
        <v>56</v>
      </c>
      <c r="O799" s="1">
        <v>45733</v>
      </c>
      <c r="P799" s="1">
        <v>45947</v>
      </c>
      <c r="Q799" s="2">
        <v>182.73</v>
      </c>
      <c r="R799">
        <v>1</v>
      </c>
      <c r="S799" t="s">
        <v>57</v>
      </c>
      <c r="T799" t="s">
        <v>58</v>
      </c>
      <c r="U799" s="3">
        <v>0.375</v>
      </c>
      <c r="V799" s="2">
        <v>0</v>
      </c>
      <c r="W799">
        <v>0</v>
      </c>
      <c r="X799" t="s">
        <v>70</v>
      </c>
      <c r="Y799" t="s">
        <v>60</v>
      </c>
      <c r="Z799">
        <v>0</v>
      </c>
      <c r="AA799" s="2">
        <v>0</v>
      </c>
      <c r="AB799" s="2">
        <v>0</v>
      </c>
      <c r="AC799" s="4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68.52</v>
      </c>
      <c r="AM799" s="2">
        <v>68.52</v>
      </c>
      <c r="AN799" s="2">
        <v>0</v>
      </c>
      <c r="AO799" s="2">
        <v>0</v>
      </c>
      <c r="AP799" s="2">
        <v>0</v>
      </c>
    </row>
    <row r="800" spans="1:42" x14ac:dyDescent="0.25">
      <c r="A800" s="1">
        <v>45915</v>
      </c>
      <c r="B800" t="s">
        <v>47</v>
      </c>
      <c r="C800">
        <v>649163</v>
      </c>
      <c r="D800">
        <v>2027849975</v>
      </c>
      <c r="E800" t="s">
        <v>783</v>
      </c>
      <c r="F800" t="s">
        <v>65</v>
      </c>
      <c r="G800" t="s">
        <v>50</v>
      </c>
      <c r="H800" t="s">
        <v>255</v>
      </c>
      <c r="I800" t="s">
        <v>306</v>
      </c>
      <c r="J800" t="s">
        <v>307</v>
      </c>
      <c r="K800">
        <v>650218</v>
      </c>
      <c r="L800" t="s">
        <v>73</v>
      </c>
      <c r="M800" t="s">
        <v>74</v>
      </c>
      <c r="N800" t="s">
        <v>56</v>
      </c>
      <c r="O800" s="1">
        <v>45733</v>
      </c>
      <c r="P800" s="1">
        <v>45947</v>
      </c>
      <c r="Q800" s="2">
        <v>102.55</v>
      </c>
      <c r="R800">
        <v>1</v>
      </c>
      <c r="S800" t="s">
        <v>57</v>
      </c>
      <c r="T800" t="s">
        <v>58</v>
      </c>
      <c r="U800" s="3">
        <v>0.375</v>
      </c>
      <c r="V800" s="2">
        <v>0</v>
      </c>
      <c r="W800">
        <v>0</v>
      </c>
      <c r="X800" t="s">
        <v>70</v>
      </c>
      <c r="Y800" t="s">
        <v>60</v>
      </c>
      <c r="Z800">
        <v>0</v>
      </c>
      <c r="AA800" s="2">
        <v>0</v>
      </c>
      <c r="AB800" s="2">
        <v>0</v>
      </c>
      <c r="AC800" s="4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38.46</v>
      </c>
      <c r="AM800" s="2">
        <v>38.46</v>
      </c>
      <c r="AN800" s="2">
        <v>0</v>
      </c>
      <c r="AO800" s="2">
        <v>0</v>
      </c>
      <c r="AP800" s="2">
        <v>0</v>
      </c>
    </row>
    <row r="801" spans="1:42" x14ac:dyDescent="0.25">
      <c r="A801" s="1">
        <v>45915</v>
      </c>
      <c r="B801" t="s">
        <v>47</v>
      </c>
      <c r="C801">
        <v>649163</v>
      </c>
      <c r="D801">
        <v>2027854741</v>
      </c>
      <c r="E801" t="s">
        <v>782</v>
      </c>
      <c r="F801" t="s">
        <v>781</v>
      </c>
      <c r="G801" t="s">
        <v>50</v>
      </c>
      <c r="H801" t="s">
        <v>77</v>
      </c>
      <c r="I801" t="s">
        <v>306</v>
      </c>
      <c r="J801" t="s">
        <v>307</v>
      </c>
      <c r="K801">
        <v>673059</v>
      </c>
      <c r="L801" t="s">
        <v>152</v>
      </c>
      <c r="M801" t="s">
        <v>153</v>
      </c>
      <c r="N801" t="s">
        <v>56</v>
      </c>
      <c r="O801" s="1">
        <v>45734</v>
      </c>
      <c r="P801" s="1">
        <v>45948</v>
      </c>
      <c r="Q801" s="2">
        <v>24.7</v>
      </c>
      <c r="R801">
        <v>1</v>
      </c>
      <c r="S801" t="s">
        <v>57</v>
      </c>
      <c r="T801" t="s">
        <v>58</v>
      </c>
      <c r="U801" s="3">
        <v>0.375</v>
      </c>
      <c r="V801" s="2">
        <v>0</v>
      </c>
      <c r="W801">
        <v>0</v>
      </c>
      <c r="X801" t="s">
        <v>70</v>
      </c>
      <c r="Y801" t="s">
        <v>60</v>
      </c>
      <c r="Z801">
        <v>0</v>
      </c>
      <c r="AA801" s="2">
        <v>0</v>
      </c>
      <c r="AB801" s="2">
        <v>0</v>
      </c>
      <c r="AC801" s="4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9.26</v>
      </c>
      <c r="AM801" s="2">
        <v>9.26</v>
      </c>
      <c r="AN801" s="2">
        <v>0</v>
      </c>
      <c r="AO801" s="2">
        <v>0</v>
      </c>
      <c r="AP801" s="2">
        <v>0</v>
      </c>
    </row>
    <row r="802" spans="1:42" x14ac:dyDescent="0.25">
      <c r="A802" s="1">
        <v>45915</v>
      </c>
      <c r="B802" t="s">
        <v>47</v>
      </c>
      <c r="C802">
        <v>649163</v>
      </c>
      <c r="D802">
        <v>2027869113</v>
      </c>
      <c r="E802" t="s">
        <v>878</v>
      </c>
      <c r="F802" t="s">
        <v>877</v>
      </c>
      <c r="G802" t="s">
        <v>50</v>
      </c>
      <c r="H802" t="s">
        <v>266</v>
      </c>
      <c r="I802" t="s">
        <v>306</v>
      </c>
      <c r="J802" t="s">
        <v>307</v>
      </c>
      <c r="K802">
        <v>673059</v>
      </c>
      <c r="L802" t="s">
        <v>152</v>
      </c>
      <c r="M802" t="s">
        <v>153</v>
      </c>
      <c r="N802" t="s">
        <v>56</v>
      </c>
      <c r="O802" s="1">
        <v>45734</v>
      </c>
      <c r="P802" s="1">
        <v>45948</v>
      </c>
      <c r="Q802" s="2">
        <v>45.77</v>
      </c>
      <c r="R802">
        <v>1</v>
      </c>
      <c r="S802" t="s">
        <v>57</v>
      </c>
      <c r="T802" t="s">
        <v>58</v>
      </c>
      <c r="U802" s="3">
        <v>0.375</v>
      </c>
      <c r="V802" s="2">
        <v>0</v>
      </c>
      <c r="W802">
        <v>0</v>
      </c>
      <c r="X802" t="s">
        <v>70</v>
      </c>
      <c r="Y802" t="s">
        <v>60</v>
      </c>
      <c r="Z802">
        <v>0</v>
      </c>
      <c r="AA802" s="2">
        <v>0</v>
      </c>
      <c r="AB802" s="2">
        <v>0</v>
      </c>
      <c r="AC802" s="4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17.16</v>
      </c>
      <c r="AM802" s="2">
        <v>17.16</v>
      </c>
      <c r="AN802" s="2">
        <v>0</v>
      </c>
      <c r="AO802" s="2">
        <v>0</v>
      </c>
      <c r="AP802" s="2">
        <v>0</v>
      </c>
    </row>
    <row r="803" spans="1:42" x14ac:dyDescent="0.25">
      <c r="A803" s="1">
        <v>45915</v>
      </c>
      <c r="B803" t="s">
        <v>47</v>
      </c>
      <c r="C803">
        <v>649163</v>
      </c>
      <c r="D803">
        <v>2027883494</v>
      </c>
      <c r="E803" t="s">
        <v>317</v>
      </c>
      <c r="F803" t="s">
        <v>876</v>
      </c>
      <c r="G803" t="s">
        <v>50</v>
      </c>
      <c r="H803" t="s">
        <v>51</v>
      </c>
      <c r="I803" t="s">
        <v>306</v>
      </c>
      <c r="J803" t="s">
        <v>307</v>
      </c>
      <c r="K803">
        <v>728134</v>
      </c>
      <c r="L803" t="s">
        <v>322</v>
      </c>
      <c r="M803" t="s">
        <v>323</v>
      </c>
      <c r="N803" t="s">
        <v>56</v>
      </c>
      <c r="O803" s="1">
        <v>45735</v>
      </c>
      <c r="P803" s="1">
        <v>45949</v>
      </c>
      <c r="Q803" s="2">
        <v>49.98</v>
      </c>
      <c r="R803">
        <v>1</v>
      </c>
      <c r="S803" t="s">
        <v>57</v>
      </c>
      <c r="T803" t="s">
        <v>58</v>
      </c>
      <c r="U803" s="3">
        <v>0.375</v>
      </c>
      <c r="V803" s="2">
        <v>0</v>
      </c>
      <c r="W803">
        <v>0</v>
      </c>
      <c r="X803" t="s">
        <v>70</v>
      </c>
      <c r="Y803" t="s">
        <v>60</v>
      </c>
      <c r="Z803">
        <v>0</v>
      </c>
      <c r="AA803" s="2">
        <v>0</v>
      </c>
      <c r="AB803" s="2">
        <v>0</v>
      </c>
      <c r="AC803" s="4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18.739999999999998</v>
      </c>
      <c r="AM803" s="2">
        <v>18.739999999999998</v>
      </c>
      <c r="AN803" s="2">
        <v>0</v>
      </c>
      <c r="AO803" s="2">
        <v>0</v>
      </c>
      <c r="AP803" s="2">
        <v>0</v>
      </c>
    </row>
    <row r="804" spans="1:42" x14ac:dyDescent="0.25">
      <c r="A804" s="1">
        <v>45915</v>
      </c>
      <c r="B804" t="s">
        <v>47</v>
      </c>
      <c r="C804">
        <v>649163</v>
      </c>
      <c r="D804">
        <v>2028286377</v>
      </c>
      <c r="E804" t="s">
        <v>875</v>
      </c>
      <c r="F804" t="s">
        <v>874</v>
      </c>
      <c r="G804" t="s">
        <v>50</v>
      </c>
      <c r="H804" t="s">
        <v>93</v>
      </c>
      <c r="I804" t="s">
        <v>306</v>
      </c>
      <c r="J804" t="s">
        <v>307</v>
      </c>
      <c r="K804">
        <v>812994</v>
      </c>
      <c r="L804" t="s">
        <v>294</v>
      </c>
      <c r="M804" t="s">
        <v>295</v>
      </c>
      <c r="N804" t="s">
        <v>230</v>
      </c>
      <c r="O804" s="1">
        <v>45755</v>
      </c>
      <c r="P804" s="1">
        <v>45938</v>
      </c>
      <c r="Q804" s="2">
        <v>-147.41</v>
      </c>
      <c r="R804">
        <v>1</v>
      </c>
      <c r="S804" t="s">
        <v>57</v>
      </c>
      <c r="T804" t="s">
        <v>58</v>
      </c>
      <c r="U804" s="3">
        <v>0.375</v>
      </c>
      <c r="V804" s="2">
        <v>0</v>
      </c>
      <c r="W804">
        <v>-1</v>
      </c>
      <c r="X804" t="s">
        <v>70</v>
      </c>
      <c r="Y804" t="s">
        <v>60</v>
      </c>
      <c r="Z804">
        <v>0</v>
      </c>
      <c r="AA804" s="2">
        <v>0</v>
      </c>
      <c r="AB804" s="2">
        <v>0</v>
      </c>
      <c r="AC804" s="4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-55.28</v>
      </c>
      <c r="AM804" s="2">
        <v>-55.28</v>
      </c>
      <c r="AN804" s="2">
        <v>0</v>
      </c>
      <c r="AO804" s="2">
        <v>0</v>
      </c>
      <c r="AP804" s="2">
        <v>0</v>
      </c>
    </row>
    <row r="805" spans="1:42" x14ac:dyDescent="0.25">
      <c r="A805" s="1">
        <v>45915</v>
      </c>
      <c r="B805" t="s">
        <v>47</v>
      </c>
      <c r="C805">
        <v>649163</v>
      </c>
      <c r="D805">
        <v>2028286377</v>
      </c>
      <c r="E805" t="s">
        <v>875</v>
      </c>
      <c r="F805" t="s">
        <v>874</v>
      </c>
      <c r="G805" t="s">
        <v>50</v>
      </c>
      <c r="H805" t="s">
        <v>93</v>
      </c>
      <c r="I805" t="s">
        <v>306</v>
      </c>
      <c r="J805" t="s">
        <v>307</v>
      </c>
      <c r="K805">
        <v>812994</v>
      </c>
      <c r="L805" t="s">
        <v>294</v>
      </c>
      <c r="M805" t="s">
        <v>295</v>
      </c>
      <c r="N805" t="s">
        <v>230</v>
      </c>
      <c r="O805" s="1">
        <v>45755</v>
      </c>
      <c r="P805" s="1">
        <v>45938</v>
      </c>
      <c r="Q805" s="2">
        <v>-147.41</v>
      </c>
      <c r="R805">
        <v>1</v>
      </c>
      <c r="S805" t="s">
        <v>57</v>
      </c>
      <c r="T805" t="s">
        <v>58</v>
      </c>
      <c r="U805" s="3">
        <v>0.375</v>
      </c>
      <c r="V805" s="2">
        <v>0</v>
      </c>
      <c r="W805">
        <v>-1</v>
      </c>
      <c r="X805" t="s">
        <v>70</v>
      </c>
      <c r="Y805" t="s">
        <v>60</v>
      </c>
      <c r="Z805">
        <v>0</v>
      </c>
      <c r="AA805" s="2">
        <v>0</v>
      </c>
      <c r="AB805" s="2">
        <v>0</v>
      </c>
      <c r="AC805" s="4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-55.28</v>
      </c>
      <c r="AM805" s="2">
        <v>-55.28</v>
      </c>
      <c r="AN805" s="2">
        <v>0</v>
      </c>
      <c r="AO805" s="2">
        <v>0</v>
      </c>
      <c r="AP805" s="2">
        <v>0</v>
      </c>
    </row>
    <row r="806" spans="1:42" x14ac:dyDescent="0.25">
      <c r="A806" s="1">
        <v>45915</v>
      </c>
      <c r="B806" t="s">
        <v>47</v>
      </c>
      <c r="C806">
        <v>649163</v>
      </c>
      <c r="D806">
        <v>2028329764</v>
      </c>
      <c r="E806" t="s">
        <v>873</v>
      </c>
      <c r="F806" t="s">
        <v>379</v>
      </c>
      <c r="G806" t="s">
        <v>50</v>
      </c>
      <c r="H806" t="s">
        <v>93</v>
      </c>
      <c r="I806" t="s">
        <v>306</v>
      </c>
      <c r="J806" t="s">
        <v>307</v>
      </c>
      <c r="K806">
        <v>824076</v>
      </c>
      <c r="L806" t="s">
        <v>834</v>
      </c>
      <c r="M806" t="s">
        <v>833</v>
      </c>
      <c r="N806" t="s">
        <v>56</v>
      </c>
      <c r="O806" s="1">
        <v>45762</v>
      </c>
      <c r="P806" s="1">
        <v>45945</v>
      </c>
      <c r="Q806" s="2">
        <v>57.19</v>
      </c>
      <c r="R806">
        <v>1</v>
      </c>
      <c r="S806" t="s">
        <v>57</v>
      </c>
      <c r="T806" t="s">
        <v>58</v>
      </c>
      <c r="U806" s="3">
        <v>0.375</v>
      </c>
      <c r="V806" s="2">
        <v>0</v>
      </c>
      <c r="W806">
        <v>0</v>
      </c>
      <c r="X806" t="s">
        <v>70</v>
      </c>
      <c r="Y806" t="s">
        <v>60</v>
      </c>
      <c r="Z806">
        <v>0</v>
      </c>
      <c r="AA806" s="2">
        <v>0</v>
      </c>
      <c r="AB806" s="2">
        <v>0</v>
      </c>
      <c r="AC806" s="4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21.45</v>
      </c>
      <c r="AM806" s="2">
        <v>21.45</v>
      </c>
      <c r="AN806" s="2">
        <v>0</v>
      </c>
      <c r="AO806" s="2">
        <v>0</v>
      </c>
      <c r="AP806" s="2">
        <v>0</v>
      </c>
    </row>
    <row r="807" spans="1:42" x14ac:dyDescent="0.25">
      <c r="A807" s="1">
        <v>45915</v>
      </c>
      <c r="B807" t="s">
        <v>47</v>
      </c>
      <c r="C807">
        <v>649163</v>
      </c>
      <c r="D807">
        <v>2028338807</v>
      </c>
      <c r="E807" t="s">
        <v>872</v>
      </c>
      <c r="F807" t="s">
        <v>349</v>
      </c>
      <c r="G807" t="s">
        <v>50</v>
      </c>
      <c r="H807" t="s">
        <v>402</v>
      </c>
      <c r="I807" t="s">
        <v>306</v>
      </c>
      <c r="J807" t="s">
        <v>307</v>
      </c>
      <c r="K807">
        <v>673059</v>
      </c>
      <c r="L807" t="s">
        <v>152</v>
      </c>
      <c r="M807" t="s">
        <v>153</v>
      </c>
      <c r="N807" t="s">
        <v>56</v>
      </c>
      <c r="O807" s="1">
        <v>45778</v>
      </c>
      <c r="P807" s="1">
        <v>45931</v>
      </c>
      <c r="Q807" s="2">
        <v>60.67</v>
      </c>
      <c r="R807">
        <v>1</v>
      </c>
      <c r="S807" t="s">
        <v>57</v>
      </c>
      <c r="T807" t="s">
        <v>58</v>
      </c>
      <c r="U807" s="3">
        <v>0.375</v>
      </c>
      <c r="V807" s="2">
        <v>0</v>
      </c>
      <c r="W807">
        <v>0</v>
      </c>
      <c r="X807" t="s">
        <v>70</v>
      </c>
      <c r="Y807" t="s">
        <v>60</v>
      </c>
      <c r="Z807">
        <v>0</v>
      </c>
      <c r="AA807" s="2">
        <v>0</v>
      </c>
      <c r="AB807" s="2">
        <v>0</v>
      </c>
      <c r="AC807" s="4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22.75</v>
      </c>
      <c r="AM807" s="2">
        <v>22.75</v>
      </c>
      <c r="AN807" s="2">
        <v>0</v>
      </c>
      <c r="AO807" s="2">
        <v>0</v>
      </c>
      <c r="AP807" s="2">
        <v>0</v>
      </c>
    </row>
    <row r="808" spans="1:42" x14ac:dyDescent="0.25">
      <c r="A808" s="1">
        <v>45915</v>
      </c>
      <c r="B808" t="s">
        <v>47</v>
      </c>
      <c r="C808">
        <v>649163</v>
      </c>
      <c r="D808">
        <v>2028379893</v>
      </c>
      <c r="E808" t="s">
        <v>871</v>
      </c>
      <c r="F808" t="s">
        <v>870</v>
      </c>
      <c r="G808" t="s">
        <v>50</v>
      </c>
      <c r="H808" t="s">
        <v>115</v>
      </c>
      <c r="I808" t="s">
        <v>306</v>
      </c>
      <c r="J808" t="s">
        <v>307</v>
      </c>
      <c r="K808">
        <v>822865</v>
      </c>
      <c r="L808" t="s">
        <v>158</v>
      </c>
      <c r="M808" t="s">
        <v>159</v>
      </c>
      <c r="N808" t="s">
        <v>56</v>
      </c>
      <c r="O808" s="1">
        <v>45760</v>
      </c>
      <c r="P808" s="1">
        <v>45943</v>
      </c>
      <c r="Q808" s="2">
        <v>27.95</v>
      </c>
      <c r="R808">
        <v>1</v>
      </c>
      <c r="S808" t="s">
        <v>57</v>
      </c>
      <c r="T808" t="s">
        <v>58</v>
      </c>
      <c r="U808" s="3">
        <v>0.375</v>
      </c>
      <c r="V808" s="2">
        <v>0</v>
      </c>
      <c r="W808">
        <v>0</v>
      </c>
      <c r="X808" t="s">
        <v>70</v>
      </c>
      <c r="Y808" t="s">
        <v>60</v>
      </c>
      <c r="Z808">
        <v>0</v>
      </c>
      <c r="AA808" s="2">
        <v>0</v>
      </c>
      <c r="AB808" s="2">
        <v>0</v>
      </c>
      <c r="AC808" s="4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10.48</v>
      </c>
      <c r="AM808" s="2">
        <v>10.48</v>
      </c>
      <c r="AN808" s="2">
        <v>0</v>
      </c>
      <c r="AO808" s="2">
        <v>0</v>
      </c>
      <c r="AP808" s="2">
        <v>0</v>
      </c>
    </row>
    <row r="809" spans="1:42" x14ac:dyDescent="0.25">
      <c r="A809" s="1">
        <v>45915</v>
      </c>
      <c r="B809" t="s">
        <v>47</v>
      </c>
      <c r="C809">
        <v>649163</v>
      </c>
      <c r="D809">
        <v>2028402356</v>
      </c>
      <c r="E809" t="s">
        <v>371</v>
      </c>
      <c r="F809" t="s">
        <v>372</v>
      </c>
      <c r="G809" t="s">
        <v>50</v>
      </c>
      <c r="H809" t="s">
        <v>93</v>
      </c>
      <c r="I809" t="s">
        <v>306</v>
      </c>
      <c r="J809" t="s">
        <v>307</v>
      </c>
      <c r="K809">
        <v>768887</v>
      </c>
      <c r="L809" t="s">
        <v>282</v>
      </c>
      <c r="M809" t="s">
        <v>283</v>
      </c>
      <c r="N809" t="s">
        <v>56</v>
      </c>
      <c r="O809" s="1">
        <v>45762</v>
      </c>
      <c r="P809" s="1">
        <v>45945</v>
      </c>
      <c r="Q809" s="2">
        <v>59.51</v>
      </c>
      <c r="R809">
        <v>1</v>
      </c>
      <c r="S809" t="s">
        <v>57</v>
      </c>
      <c r="T809" t="s">
        <v>58</v>
      </c>
      <c r="U809" s="3">
        <v>0.375</v>
      </c>
      <c r="V809" s="2">
        <v>0</v>
      </c>
      <c r="W809">
        <v>0</v>
      </c>
      <c r="X809" t="s">
        <v>70</v>
      </c>
      <c r="Y809" t="s">
        <v>60</v>
      </c>
      <c r="Z809">
        <v>0</v>
      </c>
      <c r="AA809" s="2">
        <v>0</v>
      </c>
      <c r="AB809" s="2">
        <v>0</v>
      </c>
      <c r="AC809" s="4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22.32</v>
      </c>
      <c r="AM809" s="2">
        <v>22.32</v>
      </c>
      <c r="AN809" s="2">
        <v>0</v>
      </c>
      <c r="AO809" s="2">
        <v>0</v>
      </c>
      <c r="AP809" s="2">
        <v>0</v>
      </c>
    </row>
    <row r="810" spans="1:42" x14ac:dyDescent="0.25">
      <c r="A810" s="1">
        <v>45915</v>
      </c>
      <c r="B810" t="s">
        <v>47</v>
      </c>
      <c r="C810">
        <v>649163</v>
      </c>
      <c r="D810">
        <v>2028445565</v>
      </c>
      <c r="E810" t="s">
        <v>869</v>
      </c>
      <c r="F810" t="s">
        <v>556</v>
      </c>
      <c r="G810" t="s">
        <v>50</v>
      </c>
      <c r="H810" t="s">
        <v>93</v>
      </c>
      <c r="I810" t="s">
        <v>306</v>
      </c>
      <c r="J810" t="s">
        <v>307</v>
      </c>
      <c r="K810">
        <v>806645</v>
      </c>
      <c r="L810" t="s">
        <v>382</v>
      </c>
      <c r="M810" t="s">
        <v>366</v>
      </c>
      <c r="N810" t="s">
        <v>56</v>
      </c>
      <c r="O810" s="1">
        <v>45764</v>
      </c>
      <c r="P810" s="1">
        <v>45947</v>
      </c>
      <c r="Q810" s="2">
        <v>32.520000000000003</v>
      </c>
      <c r="R810">
        <v>1</v>
      </c>
      <c r="S810" t="s">
        <v>57</v>
      </c>
      <c r="T810" t="s">
        <v>58</v>
      </c>
      <c r="U810" s="3">
        <v>0.375</v>
      </c>
      <c r="V810" s="2">
        <v>0</v>
      </c>
      <c r="W810">
        <v>0</v>
      </c>
      <c r="X810" t="s">
        <v>70</v>
      </c>
      <c r="Y810" t="s">
        <v>60</v>
      </c>
      <c r="Z810">
        <v>0</v>
      </c>
      <c r="AA810" s="2">
        <v>0</v>
      </c>
      <c r="AB810" s="2">
        <v>0</v>
      </c>
      <c r="AC810" s="4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12.2</v>
      </c>
      <c r="AM810" s="2">
        <v>12.2</v>
      </c>
      <c r="AN810" s="2">
        <v>0</v>
      </c>
      <c r="AO810" s="2">
        <v>0</v>
      </c>
      <c r="AP810" s="2">
        <v>0</v>
      </c>
    </row>
    <row r="811" spans="1:42" x14ac:dyDescent="0.25">
      <c r="A811" s="1">
        <v>45915</v>
      </c>
      <c r="B811" t="s">
        <v>47</v>
      </c>
      <c r="C811">
        <v>649163</v>
      </c>
      <c r="D811">
        <v>2028450758</v>
      </c>
      <c r="E811" t="s">
        <v>868</v>
      </c>
      <c r="F811" t="s">
        <v>867</v>
      </c>
      <c r="G811" t="s">
        <v>50</v>
      </c>
      <c r="H811" t="s">
        <v>93</v>
      </c>
      <c r="I811" t="s">
        <v>306</v>
      </c>
      <c r="J811" t="s">
        <v>307</v>
      </c>
      <c r="K811">
        <v>812782</v>
      </c>
      <c r="L811" t="s">
        <v>170</v>
      </c>
      <c r="M811" t="s">
        <v>171</v>
      </c>
      <c r="N811" t="s">
        <v>56</v>
      </c>
      <c r="O811" s="1">
        <v>45764</v>
      </c>
      <c r="P811" s="1">
        <v>45947</v>
      </c>
      <c r="Q811" s="2">
        <v>51.01</v>
      </c>
      <c r="R811">
        <v>1</v>
      </c>
      <c r="S811" t="s">
        <v>57</v>
      </c>
      <c r="T811" t="s">
        <v>58</v>
      </c>
      <c r="U811" s="3">
        <v>0.375</v>
      </c>
      <c r="V811" s="2">
        <v>0</v>
      </c>
      <c r="W811">
        <v>0</v>
      </c>
      <c r="X811" t="s">
        <v>70</v>
      </c>
      <c r="Y811" t="s">
        <v>60</v>
      </c>
      <c r="Z811">
        <v>0</v>
      </c>
      <c r="AA811" s="2">
        <v>0</v>
      </c>
      <c r="AB811" s="2">
        <v>0</v>
      </c>
      <c r="AC811" s="4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19.13</v>
      </c>
      <c r="AM811" s="2">
        <v>19.13</v>
      </c>
      <c r="AN811" s="2">
        <v>0</v>
      </c>
      <c r="AO811" s="2">
        <v>0</v>
      </c>
      <c r="AP811" s="2">
        <v>0</v>
      </c>
    </row>
    <row r="812" spans="1:42" x14ac:dyDescent="0.25">
      <c r="A812" s="1">
        <v>45915</v>
      </c>
      <c r="B812" t="s">
        <v>47</v>
      </c>
      <c r="C812">
        <v>649163</v>
      </c>
      <c r="D812">
        <v>2028459881</v>
      </c>
      <c r="E812" t="s">
        <v>866</v>
      </c>
      <c r="F812" t="s">
        <v>865</v>
      </c>
      <c r="G812" t="s">
        <v>50</v>
      </c>
      <c r="H812" t="s">
        <v>121</v>
      </c>
      <c r="I812" t="s">
        <v>306</v>
      </c>
      <c r="J812" t="s">
        <v>307</v>
      </c>
      <c r="K812">
        <v>767312</v>
      </c>
      <c r="L812" t="s">
        <v>122</v>
      </c>
      <c r="M812" t="s">
        <v>123</v>
      </c>
      <c r="N812" t="s">
        <v>56</v>
      </c>
      <c r="O812" s="1">
        <v>45765</v>
      </c>
      <c r="P812" s="1">
        <v>45948</v>
      </c>
      <c r="Q812" s="2">
        <v>31.93</v>
      </c>
      <c r="R812">
        <v>1</v>
      </c>
      <c r="S812" t="s">
        <v>57</v>
      </c>
      <c r="T812" t="s">
        <v>58</v>
      </c>
      <c r="U812" s="3">
        <v>0.375</v>
      </c>
      <c r="V812" s="2">
        <v>0</v>
      </c>
      <c r="W812">
        <v>0</v>
      </c>
      <c r="X812" t="s">
        <v>70</v>
      </c>
      <c r="Y812" t="s">
        <v>60</v>
      </c>
      <c r="Z812">
        <v>0</v>
      </c>
      <c r="AA812" s="2">
        <v>0</v>
      </c>
      <c r="AB812" s="2">
        <v>0</v>
      </c>
      <c r="AC812" s="4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11.97</v>
      </c>
      <c r="AM812" s="2">
        <v>11.97</v>
      </c>
      <c r="AN812" s="2">
        <v>0</v>
      </c>
      <c r="AO812" s="2">
        <v>0</v>
      </c>
      <c r="AP812" s="2">
        <v>0</v>
      </c>
    </row>
    <row r="813" spans="1:42" x14ac:dyDescent="0.25">
      <c r="A813" s="1">
        <v>45915</v>
      </c>
      <c r="B813" t="s">
        <v>47</v>
      </c>
      <c r="C813">
        <v>649163</v>
      </c>
      <c r="D813">
        <v>2028485191</v>
      </c>
      <c r="E813" t="s">
        <v>864</v>
      </c>
      <c r="F813" t="s">
        <v>863</v>
      </c>
      <c r="G813" t="s">
        <v>50</v>
      </c>
      <c r="H813" t="s">
        <v>862</v>
      </c>
      <c r="I813" t="s">
        <v>306</v>
      </c>
      <c r="J813" t="s">
        <v>307</v>
      </c>
      <c r="K813">
        <v>751867</v>
      </c>
      <c r="L813" t="s">
        <v>84</v>
      </c>
      <c r="M813" t="s">
        <v>85</v>
      </c>
      <c r="N813" t="s">
        <v>56</v>
      </c>
      <c r="O813" s="1">
        <v>45766</v>
      </c>
      <c r="P813" s="1">
        <v>45949</v>
      </c>
      <c r="Q813" s="2">
        <v>32.549999999999997</v>
      </c>
      <c r="R813">
        <v>1</v>
      </c>
      <c r="S813" t="s">
        <v>57</v>
      </c>
      <c r="T813" t="s">
        <v>58</v>
      </c>
      <c r="U813" s="3">
        <v>0.375</v>
      </c>
      <c r="V813" s="2">
        <v>0</v>
      </c>
      <c r="W813">
        <v>0</v>
      </c>
      <c r="X813" t="s">
        <v>70</v>
      </c>
      <c r="Y813" t="s">
        <v>60</v>
      </c>
      <c r="Z813">
        <v>0</v>
      </c>
      <c r="AA813" s="2">
        <v>0</v>
      </c>
      <c r="AB813" s="2">
        <v>0</v>
      </c>
      <c r="AC813" s="4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12.21</v>
      </c>
      <c r="AM813" s="2">
        <v>12.21</v>
      </c>
      <c r="AN813" s="2">
        <v>0</v>
      </c>
      <c r="AO813" s="2">
        <v>0</v>
      </c>
      <c r="AP813" s="2">
        <v>0</v>
      </c>
    </row>
    <row r="814" spans="1:42" x14ac:dyDescent="0.25">
      <c r="A814" s="1">
        <v>45915</v>
      </c>
      <c r="B814" t="s">
        <v>47</v>
      </c>
      <c r="C814">
        <v>649163</v>
      </c>
      <c r="D814">
        <v>2028565357</v>
      </c>
      <c r="E814" t="s">
        <v>317</v>
      </c>
      <c r="F814" t="s">
        <v>778</v>
      </c>
      <c r="G814" t="s">
        <v>50</v>
      </c>
      <c r="H814" t="s">
        <v>151</v>
      </c>
      <c r="I814" t="s">
        <v>306</v>
      </c>
      <c r="J814" t="s">
        <v>307</v>
      </c>
      <c r="K814">
        <v>650218</v>
      </c>
      <c r="L814" t="s">
        <v>73</v>
      </c>
      <c r="M814" t="s">
        <v>74</v>
      </c>
      <c r="N814" t="s">
        <v>56</v>
      </c>
      <c r="O814" s="1">
        <v>45777</v>
      </c>
      <c r="P814" s="1">
        <v>45930</v>
      </c>
      <c r="Q814" s="2">
        <v>99.89</v>
      </c>
      <c r="R814">
        <v>1</v>
      </c>
      <c r="S814" t="s">
        <v>57</v>
      </c>
      <c r="T814" t="s">
        <v>58</v>
      </c>
      <c r="U814" s="3">
        <v>0.375</v>
      </c>
      <c r="V814" s="2">
        <v>0</v>
      </c>
      <c r="W814">
        <v>0</v>
      </c>
      <c r="X814" t="s">
        <v>70</v>
      </c>
      <c r="Y814" t="s">
        <v>60</v>
      </c>
      <c r="Z814">
        <v>0</v>
      </c>
      <c r="AA814" s="2">
        <v>0</v>
      </c>
      <c r="AB814" s="2">
        <v>0</v>
      </c>
      <c r="AC814" s="4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37.46</v>
      </c>
      <c r="AM814" s="2">
        <v>37.46</v>
      </c>
      <c r="AN814" s="2">
        <v>0</v>
      </c>
      <c r="AO814" s="2">
        <v>0</v>
      </c>
      <c r="AP814" s="2">
        <v>0</v>
      </c>
    </row>
    <row r="815" spans="1:42" x14ac:dyDescent="0.25">
      <c r="A815" s="1">
        <v>45915</v>
      </c>
      <c r="B815" t="s">
        <v>47</v>
      </c>
      <c r="C815">
        <v>649163</v>
      </c>
      <c r="D815">
        <v>2028615203</v>
      </c>
      <c r="E815" t="s">
        <v>861</v>
      </c>
      <c r="F815" t="s">
        <v>293</v>
      </c>
      <c r="G815" t="s">
        <v>50</v>
      </c>
      <c r="H815" t="s">
        <v>115</v>
      </c>
      <c r="I815" t="s">
        <v>306</v>
      </c>
      <c r="J815" t="s">
        <v>307</v>
      </c>
      <c r="K815">
        <v>822733</v>
      </c>
      <c r="L815" t="s">
        <v>860</v>
      </c>
      <c r="M815" t="s">
        <v>859</v>
      </c>
      <c r="N815" t="s">
        <v>56</v>
      </c>
      <c r="O815" s="1">
        <v>45784</v>
      </c>
      <c r="P815" s="1">
        <v>45937</v>
      </c>
      <c r="Q815" s="2">
        <v>-19.45</v>
      </c>
      <c r="R815">
        <v>1</v>
      </c>
      <c r="S815" t="s">
        <v>57</v>
      </c>
      <c r="T815" t="s">
        <v>58</v>
      </c>
      <c r="U815" s="3">
        <v>0.375</v>
      </c>
      <c r="V815" s="2">
        <v>0</v>
      </c>
      <c r="W815">
        <v>-1</v>
      </c>
      <c r="X815" t="s">
        <v>70</v>
      </c>
      <c r="Y815" t="s">
        <v>60</v>
      </c>
      <c r="Z815">
        <v>0</v>
      </c>
      <c r="AA815" s="2">
        <v>0</v>
      </c>
      <c r="AB815" s="2">
        <v>0</v>
      </c>
      <c r="AC815" s="4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-7.29</v>
      </c>
      <c r="AM815" s="2">
        <v>-7.29</v>
      </c>
      <c r="AN815" s="2">
        <v>0</v>
      </c>
      <c r="AO815" s="2">
        <v>0</v>
      </c>
      <c r="AP815" s="2">
        <v>0</v>
      </c>
    </row>
    <row r="816" spans="1:42" x14ac:dyDescent="0.25">
      <c r="A816" s="1">
        <v>45915</v>
      </c>
      <c r="B816" t="s">
        <v>47</v>
      </c>
      <c r="C816">
        <v>649163</v>
      </c>
      <c r="D816">
        <v>2028784373</v>
      </c>
      <c r="E816" t="s">
        <v>858</v>
      </c>
      <c r="F816" t="s">
        <v>857</v>
      </c>
      <c r="G816" t="s">
        <v>50</v>
      </c>
      <c r="H816" t="s">
        <v>93</v>
      </c>
      <c r="I816" t="s">
        <v>306</v>
      </c>
      <c r="J816" t="s">
        <v>307</v>
      </c>
      <c r="K816">
        <v>840313</v>
      </c>
      <c r="L816" t="s">
        <v>273</v>
      </c>
      <c r="M816" t="s">
        <v>274</v>
      </c>
      <c r="N816" t="s">
        <v>56</v>
      </c>
      <c r="O816" s="1">
        <v>45792</v>
      </c>
      <c r="P816" s="1">
        <v>45945</v>
      </c>
      <c r="Q816" s="2">
        <v>57.19</v>
      </c>
      <c r="R816">
        <v>1</v>
      </c>
      <c r="S816" t="s">
        <v>57</v>
      </c>
      <c r="T816" t="s">
        <v>58</v>
      </c>
      <c r="U816" s="3">
        <v>0.375</v>
      </c>
      <c r="V816" s="2">
        <v>0</v>
      </c>
      <c r="W816">
        <v>0</v>
      </c>
      <c r="X816" t="s">
        <v>70</v>
      </c>
      <c r="Y816" t="s">
        <v>60</v>
      </c>
      <c r="Z816">
        <v>0</v>
      </c>
      <c r="AA816" s="2">
        <v>0</v>
      </c>
      <c r="AB816" s="2">
        <v>0</v>
      </c>
      <c r="AC816" s="4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21.45</v>
      </c>
      <c r="AM816" s="2">
        <v>21.45</v>
      </c>
      <c r="AN816" s="2">
        <v>0</v>
      </c>
      <c r="AO816" s="2">
        <v>0</v>
      </c>
      <c r="AP816" s="2">
        <v>0</v>
      </c>
    </row>
    <row r="817" spans="1:42" x14ac:dyDescent="0.25">
      <c r="A817" s="1">
        <v>45915</v>
      </c>
      <c r="B817" t="s">
        <v>47</v>
      </c>
      <c r="C817">
        <v>649163</v>
      </c>
      <c r="D817">
        <v>2028937320</v>
      </c>
      <c r="E817" t="s">
        <v>856</v>
      </c>
      <c r="F817" t="s">
        <v>394</v>
      </c>
      <c r="G817" t="s">
        <v>50</v>
      </c>
      <c r="H817" t="s">
        <v>151</v>
      </c>
      <c r="I817" t="s">
        <v>306</v>
      </c>
      <c r="J817" t="s">
        <v>307</v>
      </c>
      <c r="K817">
        <v>673059</v>
      </c>
      <c r="L817" t="s">
        <v>152</v>
      </c>
      <c r="M817" t="s">
        <v>153</v>
      </c>
      <c r="N817" t="s">
        <v>230</v>
      </c>
      <c r="O817" s="1">
        <v>45839</v>
      </c>
      <c r="P817" s="1">
        <v>45931</v>
      </c>
      <c r="Q817" s="2">
        <v>-55.93</v>
      </c>
      <c r="R817">
        <v>1</v>
      </c>
      <c r="S817" t="s">
        <v>57</v>
      </c>
      <c r="T817" t="s">
        <v>58</v>
      </c>
      <c r="U817" s="3">
        <v>0.375</v>
      </c>
      <c r="V817" s="2">
        <v>0</v>
      </c>
      <c r="W817">
        <v>-1</v>
      </c>
      <c r="X817" t="s">
        <v>70</v>
      </c>
      <c r="Y817" t="s">
        <v>60</v>
      </c>
      <c r="Z817">
        <v>0</v>
      </c>
      <c r="AA817" s="2">
        <v>0</v>
      </c>
      <c r="AB817" s="2">
        <v>0</v>
      </c>
      <c r="AC817" s="4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-20.97</v>
      </c>
      <c r="AM817" s="2">
        <v>-20.97</v>
      </c>
      <c r="AN817" s="2">
        <v>0</v>
      </c>
      <c r="AO817" s="2">
        <v>0</v>
      </c>
      <c r="AP817" s="2">
        <v>0</v>
      </c>
    </row>
    <row r="818" spans="1:42" x14ac:dyDescent="0.25">
      <c r="A818" s="1">
        <v>45915</v>
      </c>
      <c r="B818" t="s">
        <v>47</v>
      </c>
      <c r="C818">
        <v>649163</v>
      </c>
      <c r="D818">
        <v>2028941655</v>
      </c>
      <c r="E818" t="s">
        <v>547</v>
      </c>
      <c r="F818" t="s">
        <v>855</v>
      </c>
      <c r="G818" t="s">
        <v>50</v>
      </c>
      <c r="H818" t="s">
        <v>121</v>
      </c>
      <c r="I818" t="s">
        <v>306</v>
      </c>
      <c r="J818" t="s">
        <v>307</v>
      </c>
      <c r="K818">
        <v>822723</v>
      </c>
      <c r="L818" t="s">
        <v>828</v>
      </c>
      <c r="M818" t="s">
        <v>827</v>
      </c>
      <c r="N818" t="s">
        <v>56</v>
      </c>
      <c r="O818" s="1">
        <v>45792</v>
      </c>
      <c r="P818" s="1">
        <v>45945</v>
      </c>
      <c r="Q818" s="2">
        <v>69.41</v>
      </c>
      <c r="R818">
        <v>1</v>
      </c>
      <c r="S818" t="s">
        <v>57</v>
      </c>
      <c r="T818" t="s">
        <v>58</v>
      </c>
      <c r="U818" s="3">
        <v>0.375</v>
      </c>
      <c r="V818" s="2">
        <v>0</v>
      </c>
      <c r="W818">
        <v>0</v>
      </c>
      <c r="X818" t="s">
        <v>70</v>
      </c>
      <c r="Y818" t="s">
        <v>60</v>
      </c>
      <c r="Z818">
        <v>0</v>
      </c>
      <c r="AA818" s="2">
        <v>0</v>
      </c>
      <c r="AB818" s="2">
        <v>0</v>
      </c>
      <c r="AC818" s="4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26.03</v>
      </c>
      <c r="AM818" s="2">
        <v>26.03</v>
      </c>
      <c r="AN818" s="2">
        <v>0</v>
      </c>
      <c r="AO818" s="2">
        <v>0</v>
      </c>
      <c r="AP818" s="2">
        <v>0</v>
      </c>
    </row>
    <row r="819" spans="1:42" x14ac:dyDescent="0.25">
      <c r="A819" s="1">
        <v>45915</v>
      </c>
      <c r="B819" t="s">
        <v>47</v>
      </c>
      <c r="C819">
        <v>649163</v>
      </c>
      <c r="D819">
        <v>2028942059</v>
      </c>
      <c r="E819" t="s">
        <v>854</v>
      </c>
      <c r="F819" t="s">
        <v>853</v>
      </c>
      <c r="G819" t="s">
        <v>50</v>
      </c>
      <c r="H819" t="s">
        <v>93</v>
      </c>
      <c r="I819" t="s">
        <v>306</v>
      </c>
      <c r="J819" t="s">
        <v>307</v>
      </c>
      <c r="K819">
        <v>807212</v>
      </c>
      <c r="L819" t="s">
        <v>467</v>
      </c>
      <c r="M819" t="s">
        <v>468</v>
      </c>
      <c r="N819" t="s">
        <v>56</v>
      </c>
      <c r="O819" s="1">
        <v>45792</v>
      </c>
      <c r="P819" s="1">
        <v>45945</v>
      </c>
      <c r="Q819" s="2">
        <v>22.52</v>
      </c>
      <c r="R819">
        <v>1</v>
      </c>
      <c r="S819" t="s">
        <v>57</v>
      </c>
      <c r="T819" t="s">
        <v>58</v>
      </c>
      <c r="U819" s="3">
        <v>0.375</v>
      </c>
      <c r="V819" s="2">
        <v>0</v>
      </c>
      <c r="W819">
        <v>0</v>
      </c>
      <c r="X819" t="s">
        <v>70</v>
      </c>
      <c r="Y819" t="s">
        <v>60</v>
      </c>
      <c r="Z819">
        <v>0</v>
      </c>
      <c r="AA819" s="2">
        <v>0</v>
      </c>
      <c r="AB819" s="2">
        <v>0</v>
      </c>
      <c r="AC819" s="4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8.44</v>
      </c>
      <c r="AM819" s="2">
        <v>8.44</v>
      </c>
      <c r="AN819" s="2">
        <v>0</v>
      </c>
      <c r="AO819" s="2">
        <v>0</v>
      </c>
      <c r="AP819" s="2">
        <v>0</v>
      </c>
    </row>
    <row r="820" spans="1:42" x14ac:dyDescent="0.25">
      <c r="A820" s="1">
        <v>45915</v>
      </c>
      <c r="B820" t="s">
        <v>47</v>
      </c>
      <c r="C820">
        <v>649163</v>
      </c>
      <c r="D820">
        <v>2028948018</v>
      </c>
      <c r="E820" t="s">
        <v>852</v>
      </c>
      <c r="F820" t="s">
        <v>277</v>
      </c>
      <c r="G820" t="s">
        <v>50</v>
      </c>
      <c r="H820" t="s">
        <v>93</v>
      </c>
      <c r="I820" t="s">
        <v>306</v>
      </c>
      <c r="J820" t="s">
        <v>307</v>
      </c>
      <c r="K820">
        <v>669316</v>
      </c>
      <c r="L820" t="s">
        <v>420</v>
      </c>
      <c r="M820" t="s">
        <v>421</v>
      </c>
      <c r="N820" t="s">
        <v>56</v>
      </c>
      <c r="O820" s="1">
        <v>45793</v>
      </c>
      <c r="P820" s="1">
        <v>45946</v>
      </c>
      <c r="Q820" s="2">
        <v>182.73</v>
      </c>
      <c r="R820">
        <v>1</v>
      </c>
      <c r="S820" t="s">
        <v>57</v>
      </c>
      <c r="T820" t="s">
        <v>58</v>
      </c>
      <c r="U820" s="3">
        <v>0.375</v>
      </c>
      <c r="V820" s="2">
        <v>0</v>
      </c>
      <c r="W820">
        <v>0</v>
      </c>
      <c r="X820" t="s">
        <v>70</v>
      </c>
      <c r="Y820" t="s">
        <v>60</v>
      </c>
      <c r="Z820">
        <v>0</v>
      </c>
      <c r="AA820" s="2">
        <v>0</v>
      </c>
      <c r="AB820" s="2">
        <v>0</v>
      </c>
      <c r="AC820" s="4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68.52</v>
      </c>
      <c r="AM820" s="2">
        <v>68.52</v>
      </c>
      <c r="AN820" s="2">
        <v>0</v>
      </c>
      <c r="AO820" s="2">
        <v>0</v>
      </c>
      <c r="AP820" s="2">
        <v>0</v>
      </c>
    </row>
    <row r="821" spans="1:42" x14ac:dyDescent="0.25">
      <c r="A821" s="1">
        <v>45915</v>
      </c>
      <c r="B821" t="s">
        <v>47</v>
      </c>
      <c r="C821">
        <v>649163</v>
      </c>
      <c r="D821">
        <v>2028963798</v>
      </c>
      <c r="E821" t="s">
        <v>851</v>
      </c>
      <c r="F821" t="s">
        <v>850</v>
      </c>
      <c r="G821" t="s">
        <v>50</v>
      </c>
      <c r="H821" t="s">
        <v>93</v>
      </c>
      <c r="I821" t="s">
        <v>306</v>
      </c>
      <c r="J821" t="s">
        <v>307</v>
      </c>
      <c r="K821">
        <v>806645</v>
      </c>
      <c r="L821" t="s">
        <v>382</v>
      </c>
      <c r="M821" t="s">
        <v>366</v>
      </c>
      <c r="N821" t="s">
        <v>56</v>
      </c>
      <c r="O821" s="1">
        <v>45793</v>
      </c>
      <c r="P821" s="1">
        <v>45946</v>
      </c>
      <c r="Q821" s="2">
        <v>57.19</v>
      </c>
      <c r="R821">
        <v>1</v>
      </c>
      <c r="S821" t="s">
        <v>57</v>
      </c>
      <c r="T821" t="s">
        <v>58</v>
      </c>
      <c r="U821" s="3">
        <v>0.375</v>
      </c>
      <c r="V821" s="2">
        <v>0</v>
      </c>
      <c r="W821">
        <v>0</v>
      </c>
      <c r="X821" t="s">
        <v>70</v>
      </c>
      <c r="Y821" t="s">
        <v>60</v>
      </c>
      <c r="Z821">
        <v>0</v>
      </c>
      <c r="AA821" s="2">
        <v>0</v>
      </c>
      <c r="AB821" s="2">
        <v>0</v>
      </c>
      <c r="AC821" s="4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21.45</v>
      </c>
      <c r="AM821" s="2">
        <v>21.45</v>
      </c>
      <c r="AN821" s="2">
        <v>0</v>
      </c>
      <c r="AO821" s="2">
        <v>0</v>
      </c>
      <c r="AP821" s="2">
        <v>0</v>
      </c>
    </row>
    <row r="822" spans="1:42" x14ac:dyDescent="0.25">
      <c r="A822" s="1">
        <v>45915</v>
      </c>
      <c r="B822" t="s">
        <v>47</v>
      </c>
      <c r="C822">
        <v>649163</v>
      </c>
      <c r="D822">
        <v>2028977071</v>
      </c>
      <c r="E822" t="s">
        <v>849</v>
      </c>
      <c r="F822" t="s">
        <v>848</v>
      </c>
      <c r="G822" t="s">
        <v>50</v>
      </c>
      <c r="H822" t="s">
        <v>157</v>
      </c>
      <c r="I822" t="s">
        <v>306</v>
      </c>
      <c r="J822" t="s">
        <v>307</v>
      </c>
      <c r="K822">
        <v>822865</v>
      </c>
      <c r="L822" t="s">
        <v>158</v>
      </c>
      <c r="M822" t="s">
        <v>159</v>
      </c>
      <c r="N822" t="s">
        <v>56</v>
      </c>
      <c r="O822" s="1">
        <v>45794</v>
      </c>
      <c r="P822" s="1">
        <v>45947</v>
      </c>
      <c r="Q822" s="2">
        <v>23.34</v>
      </c>
      <c r="R822">
        <v>1</v>
      </c>
      <c r="S822" t="s">
        <v>57</v>
      </c>
      <c r="T822" t="s">
        <v>58</v>
      </c>
      <c r="U822" s="3">
        <v>0.375</v>
      </c>
      <c r="V822" s="2">
        <v>0</v>
      </c>
      <c r="W822">
        <v>0</v>
      </c>
      <c r="X822" t="s">
        <v>70</v>
      </c>
      <c r="Y822" t="s">
        <v>60</v>
      </c>
      <c r="Z822">
        <v>0</v>
      </c>
      <c r="AA822" s="2">
        <v>0</v>
      </c>
      <c r="AB822" s="2">
        <v>0</v>
      </c>
      <c r="AC822" s="4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8.75</v>
      </c>
      <c r="AM822" s="2">
        <v>8.75</v>
      </c>
      <c r="AN822" s="2">
        <v>0</v>
      </c>
      <c r="AO822" s="2">
        <v>0</v>
      </c>
      <c r="AP822" s="2">
        <v>0</v>
      </c>
    </row>
    <row r="823" spans="1:42" x14ac:dyDescent="0.25">
      <c r="A823" s="1">
        <v>45915</v>
      </c>
      <c r="B823" t="s">
        <v>47</v>
      </c>
      <c r="C823">
        <v>649163</v>
      </c>
      <c r="D823">
        <v>2028983174</v>
      </c>
      <c r="E823" t="s">
        <v>847</v>
      </c>
      <c r="F823" t="s">
        <v>846</v>
      </c>
      <c r="G823" t="s">
        <v>50</v>
      </c>
      <c r="H823" t="s">
        <v>405</v>
      </c>
      <c r="I823" t="s">
        <v>306</v>
      </c>
      <c r="J823" t="s">
        <v>307</v>
      </c>
      <c r="K823">
        <v>767312</v>
      </c>
      <c r="L823" t="s">
        <v>122</v>
      </c>
      <c r="M823" t="s">
        <v>123</v>
      </c>
      <c r="N823" t="s">
        <v>56</v>
      </c>
      <c r="O823" s="1">
        <v>45794</v>
      </c>
      <c r="P823" s="1">
        <v>45947</v>
      </c>
      <c r="Q823" s="2">
        <v>29.08</v>
      </c>
      <c r="R823">
        <v>1</v>
      </c>
      <c r="S823" t="s">
        <v>57</v>
      </c>
      <c r="T823" t="s">
        <v>58</v>
      </c>
      <c r="U823" s="3">
        <v>0.375</v>
      </c>
      <c r="V823" s="2">
        <v>0</v>
      </c>
      <c r="W823">
        <v>0</v>
      </c>
      <c r="X823" t="s">
        <v>70</v>
      </c>
      <c r="Y823" t="s">
        <v>60</v>
      </c>
      <c r="Z823">
        <v>0</v>
      </c>
      <c r="AA823" s="2">
        <v>0</v>
      </c>
      <c r="AB823" s="2">
        <v>0</v>
      </c>
      <c r="AC823" s="4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10.9</v>
      </c>
      <c r="AM823" s="2">
        <v>10.9</v>
      </c>
      <c r="AN823" s="2">
        <v>0</v>
      </c>
      <c r="AO823" s="2">
        <v>0</v>
      </c>
      <c r="AP823" s="2">
        <v>0</v>
      </c>
    </row>
    <row r="824" spans="1:42" x14ac:dyDescent="0.25">
      <c r="A824" s="1">
        <v>45915</v>
      </c>
      <c r="B824" t="s">
        <v>47</v>
      </c>
      <c r="C824">
        <v>649163</v>
      </c>
      <c r="D824">
        <v>2028985824</v>
      </c>
      <c r="E824" t="s">
        <v>324</v>
      </c>
      <c r="F824" t="s">
        <v>845</v>
      </c>
      <c r="G824" t="s">
        <v>50</v>
      </c>
      <c r="H824" t="s">
        <v>157</v>
      </c>
      <c r="I824" t="s">
        <v>306</v>
      </c>
      <c r="J824" t="s">
        <v>307</v>
      </c>
      <c r="K824">
        <v>822865</v>
      </c>
      <c r="L824" t="s">
        <v>158</v>
      </c>
      <c r="M824" t="s">
        <v>159</v>
      </c>
      <c r="N824" t="s">
        <v>56</v>
      </c>
      <c r="O824" s="1">
        <v>45794</v>
      </c>
      <c r="P824" s="1">
        <v>45947</v>
      </c>
      <c r="Q824" s="2">
        <v>72.86</v>
      </c>
      <c r="R824">
        <v>1</v>
      </c>
      <c r="S824" t="s">
        <v>57</v>
      </c>
      <c r="T824" t="s">
        <v>58</v>
      </c>
      <c r="U824" s="3">
        <v>0.375</v>
      </c>
      <c r="V824" s="2">
        <v>0</v>
      </c>
      <c r="W824">
        <v>0</v>
      </c>
      <c r="X824" t="s">
        <v>70</v>
      </c>
      <c r="Y824" t="s">
        <v>60</v>
      </c>
      <c r="Z824">
        <v>0</v>
      </c>
      <c r="AA824" s="2">
        <v>0</v>
      </c>
      <c r="AB824" s="2">
        <v>0</v>
      </c>
      <c r="AC824" s="4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27.32</v>
      </c>
      <c r="AM824" s="2">
        <v>27.32</v>
      </c>
      <c r="AN824" s="2">
        <v>0</v>
      </c>
      <c r="AO824" s="2">
        <v>0</v>
      </c>
      <c r="AP824" s="2">
        <v>0</v>
      </c>
    </row>
    <row r="825" spans="1:42" x14ac:dyDescent="0.25">
      <c r="A825" s="1">
        <v>45915</v>
      </c>
      <c r="B825" t="s">
        <v>47</v>
      </c>
      <c r="C825">
        <v>649163</v>
      </c>
      <c r="D825">
        <v>2028995187</v>
      </c>
      <c r="E825" t="s">
        <v>844</v>
      </c>
      <c r="F825" t="s">
        <v>843</v>
      </c>
      <c r="G825" t="s">
        <v>50</v>
      </c>
      <c r="H825" t="s">
        <v>93</v>
      </c>
      <c r="I825" t="s">
        <v>306</v>
      </c>
      <c r="J825" t="s">
        <v>307</v>
      </c>
      <c r="K825">
        <v>812656</v>
      </c>
      <c r="L825" t="s">
        <v>338</v>
      </c>
      <c r="M825" t="s">
        <v>377</v>
      </c>
      <c r="N825" t="s">
        <v>56</v>
      </c>
      <c r="O825" s="1">
        <v>45795</v>
      </c>
      <c r="P825" s="1">
        <v>45948</v>
      </c>
      <c r="Q825" s="2">
        <v>147.41</v>
      </c>
      <c r="R825">
        <v>1</v>
      </c>
      <c r="S825" t="s">
        <v>57</v>
      </c>
      <c r="T825" t="s">
        <v>58</v>
      </c>
      <c r="U825" s="3">
        <v>0.375</v>
      </c>
      <c r="V825" s="2">
        <v>0</v>
      </c>
      <c r="W825">
        <v>0</v>
      </c>
      <c r="X825" t="s">
        <v>70</v>
      </c>
      <c r="Y825" t="s">
        <v>60</v>
      </c>
      <c r="Z825">
        <v>0</v>
      </c>
      <c r="AA825" s="2">
        <v>0</v>
      </c>
      <c r="AB825" s="2">
        <v>0</v>
      </c>
      <c r="AC825" s="4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55.28</v>
      </c>
      <c r="AM825" s="2">
        <v>55.28</v>
      </c>
      <c r="AN825" s="2">
        <v>0</v>
      </c>
      <c r="AO825" s="2">
        <v>0</v>
      </c>
      <c r="AP825" s="2">
        <v>0</v>
      </c>
    </row>
    <row r="826" spans="1:42" x14ac:dyDescent="0.25">
      <c r="A826" s="1">
        <v>45915</v>
      </c>
      <c r="B826" t="s">
        <v>47</v>
      </c>
      <c r="C826">
        <v>649163</v>
      </c>
      <c r="D826">
        <v>2029056124</v>
      </c>
      <c r="E826" t="s">
        <v>324</v>
      </c>
      <c r="F826" t="s">
        <v>842</v>
      </c>
      <c r="G826" t="s">
        <v>50</v>
      </c>
      <c r="H826" t="s">
        <v>115</v>
      </c>
      <c r="I826" t="s">
        <v>306</v>
      </c>
      <c r="J826" t="s">
        <v>307</v>
      </c>
      <c r="K826">
        <v>792847</v>
      </c>
      <c r="L826" t="s">
        <v>137</v>
      </c>
      <c r="M826" t="s">
        <v>138</v>
      </c>
      <c r="N826" t="s">
        <v>56</v>
      </c>
      <c r="O826" s="1">
        <v>45799</v>
      </c>
      <c r="P826" s="1">
        <v>45922</v>
      </c>
      <c r="Q826" s="2">
        <v>68.19</v>
      </c>
      <c r="R826">
        <v>1</v>
      </c>
      <c r="S826" t="s">
        <v>57</v>
      </c>
      <c r="T826" t="s">
        <v>58</v>
      </c>
      <c r="U826" s="3">
        <v>0.375</v>
      </c>
      <c r="V826" s="2">
        <v>0</v>
      </c>
      <c r="W826">
        <v>0</v>
      </c>
      <c r="X826" t="s">
        <v>70</v>
      </c>
      <c r="Y826" t="s">
        <v>60</v>
      </c>
      <c r="Z826">
        <v>0</v>
      </c>
      <c r="AA826" s="2">
        <v>0</v>
      </c>
      <c r="AB826" s="2">
        <v>0</v>
      </c>
      <c r="AC826" s="4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25.57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</row>
    <row r="827" spans="1:42" x14ac:dyDescent="0.25">
      <c r="A827" s="1">
        <v>45915</v>
      </c>
      <c r="B827" t="s">
        <v>47</v>
      </c>
      <c r="C827">
        <v>649163</v>
      </c>
      <c r="D827">
        <v>2029341342</v>
      </c>
      <c r="E827" t="s">
        <v>85</v>
      </c>
      <c r="F827" t="s">
        <v>335</v>
      </c>
      <c r="G827" t="s">
        <v>50</v>
      </c>
      <c r="H827" t="s">
        <v>188</v>
      </c>
      <c r="I827" t="s">
        <v>306</v>
      </c>
      <c r="J827" t="s">
        <v>307</v>
      </c>
      <c r="K827">
        <v>767312</v>
      </c>
      <c r="L827" t="s">
        <v>122</v>
      </c>
      <c r="M827" t="s">
        <v>123</v>
      </c>
      <c r="N827" t="s">
        <v>56</v>
      </c>
      <c r="O827" s="1">
        <v>45821</v>
      </c>
      <c r="P827" s="1">
        <v>45943</v>
      </c>
      <c r="Q827" s="2">
        <v>49.62</v>
      </c>
      <c r="R827">
        <v>1</v>
      </c>
      <c r="S827" t="s">
        <v>57</v>
      </c>
      <c r="T827" t="s">
        <v>58</v>
      </c>
      <c r="U827" s="3">
        <v>0.375</v>
      </c>
      <c r="V827" s="2">
        <v>0</v>
      </c>
      <c r="W827">
        <v>0</v>
      </c>
      <c r="X827" t="s">
        <v>70</v>
      </c>
      <c r="Y827" t="s">
        <v>60</v>
      </c>
      <c r="Z827">
        <v>0</v>
      </c>
      <c r="AA827" s="2">
        <v>0</v>
      </c>
      <c r="AB827" s="2">
        <v>0</v>
      </c>
      <c r="AC827" s="4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18.61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</row>
    <row r="828" spans="1:42" x14ac:dyDescent="0.25">
      <c r="A828" s="1">
        <v>45915</v>
      </c>
      <c r="B828" t="s">
        <v>47</v>
      </c>
      <c r="C828">
        <v>649163</v>
      </c>
      <c r="D828">
        <v>2029368470</v>
      </c>
      <c r="E828" t="s">
        <v>416</v>
      </c>
      <c r="F828" t="s">
        <v>616</v>
      </c>
      <c r="G828" t="s">
        <v>50</v>
      </c>
      <c r="H828" t="s">
        <v>115</v>
      </c>
      <c r="I828" t="s">
        <v>306</v>
      </c>
      <c r="J828" t="s">
        <v>307</v>
      </c>
      <c r="K828">
        <v>822865</v>
      </c>
      <c r="L828" t="s">
        <v>158</v>
      </c>
      <c r="M828" t="s">
        <v>159</v>
      </c>
      <c r="N828" t="s">
        <v>230</v>
      </c>
      <c r="O828" s="1">
        <v>45839</v>
      </c>
      <c r="P828" s="1">
        <v>45931</v>
      </c>
      <c r="Q828" s="2">
        <v>-63.4</v>
      </c>
      <c r="R828">
        <v>1</v>
      </c>
      <c r="S828" t="s">
        <v>57</v>
      </c>
      <c r="T828" t="s">
        <v>58</v>
      </c>
      <c r="U828" s="3">
        <v>0.375</v>
      </c>
      <c r="V828" s="2">
        <v>0</v>
      </c>
      <c r="W828">
        <v>-1</v>
      </c>
      <c r="X828" t="s">
        <v>70</v>
      </c>
      <c r="Y828" t="s">
        <v>60</v>
      </c>
      <c r="Z828">
        <v>0</v>
      </c>
      <c r="AA828" s="2">
        <v>0</v>
      </c>
      <c r="AB828" s="2">
        <v>0</v>
      </c>
      <c r="AC828" s="4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-23.78</v>
      </c>
      <c r="AM828" s="2">
        <v>-23.78</v>
      </c>
      <c r="AN828" s="2">
        <v>0</v>
      </c>
      <c r="AO828" s="2">
        <v>0</v>
      </c>
      <c r="AP828" s="2">
        <v>0</v>
      </c>
    </row>
    <row r="829" spans="1:42" x14ac:dyDescent="0.25">
      <c r="A829" s="1">
        <v>45915</v>
      </c>
      <c r="B829" t="s">
        <v>47</v>
      </c>
      <c r="C829">
        <v>649163</v>
      </c>
      <c r="D829">
        <v>2029368470</v>
      </c>
      <c r="E829" t="s">
        <v>416</v>
      </c>
      <c r="F829" t="s">
        <v>616</v>
      </c>
      <c r="G829" t="s">
        <v>50</v>
      </c>
      <c r="H829" t="s">
        <v>115</v>
      </c>
      <c r="I829" t="s">
        <v>306</v>
      </c>
      <c r="J829" t="s">
        <v>307</v>
      </c>
      <c r="K829">
        <v>822865</v>
      </c>
      <c r="L829" t="s">
        <v>158</v>
      </c>
      <c r="M829" t="s">
        <v>159</v>
      </c>
      <c r="N829" t="s">
        <v>230</v>
      </c>
      <c r="O829" s="1">
        <v>45839</v>
      </c>
      <c r="P829" s="1">
        <v>45931</v>
      </c>
      <c r="Q829" s="2">
        <v>-33.39</v>
      </c>
      <c r="R829">
        <v>1</v>
      </c>
      <c r="S829" t="s">
        <v>57</v>
      </c>
      <c r="T829" t="s">
        <v>58</v>
      </c>
      <c r="U829" s="3">
        <v>0.375</v>
      </c>
      <c r="V829" s="2">
        <v>0</v>
      </c>
      <c r="W829">
        <v>-1</v>
      </c>
      <c r="X829" t="s">
        <v>70</v>
      </c>
      <c r="Y829" t="s">
        <v>60</v>
      </c>
      <c r="Z829">
        <v>0</v>
      </c>
      <c r="AA829" s="2">
        <v>0</v>
      </c>
      <c r="AB829" s="2">
        <v>0</v>
      </c>
      <c r="AC829" s="4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-12.52</v>
      </c>
      <c r="AM829" s="2">
        <v>-12.52</v>
      </c>
      <c r="AN829" s="2">
        <v>0</v>
      </c>
      <c r="AO829" s="2">
        <v>0</v>
      </c>
      <c r="AP829" s="2">
        <v>0</v>
      </c>
    </row>
    <row r="830" spans="1:42" x14ac:dyDescent="0.25">
      <c r="A830" s="1">
        <v>45915</v>
      </c>
      <c r="B830" t="s">
        <v>47</v>
      </c>
      <c r="C830">
        <v>649163</v>
      </c>
      <c r="D830">
        <v>2029481265</v>
      </c>
      <c r="E830" t="s">
        <v>841</v>
      </c>
      <c r="F830" t="s">
        <v>354</v>
      </c>
      <c r="G830" t="s">
        <v>50</v>
      </c>
      <c r="H830" t="s">
        <v>180</v>
      </c>
      <c r="I830" t="s">
        <v>306</v>
      </c>
      <c r="J830" t="s">
        <v>307</v>
      </c>
      <c r="K830">
        <v>877790</v>
      </c>
      <c r="L830" t="s">
        <v>299</v>
      </c>
      <c r="M830" t="s">
        <v>300</v>
      </c>
      <c r="N830" t="s">
        <v>56</v>
      </c>
      <c r="O830" s="1">
        <v>45825</v>
      </c>
      <c r="P830" s="1">
        <v>45947</v>
      </c>
      <c r="Q830" s="2">
        <v>58.15</v>
      </c>
      <c r="R830">
        <v>1</v>
      </c>
      <c r="S830" t="s">
        <v>57</v>
      </c>
      <c r="T830" t="s">
        <v>58</v>
      </c>
      <c r="U830" s="3">
        <v>0.375</v>
      </c>
      <c r="V830" s="2">
        <v>0</v>
      </c>
      <c r="W830">
        <v>0</v>
      </c>
      <c r="X830" t="s">
        <v>70</v>
      </c>
      <c r="Y830" t="s">
        <v>60</v>
      </c>
      <c r="Z830">
        <v>0</v>
      </c>
      <c r="AA830" s="2">
        <v>0</v>
      </c>
      <c r="AB830" s="2">
        <v>0</v>
      </c>
      <c r="AC830" s="4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21.81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</row>
    <row r="831" spans="1:42" x14ac:dyDescent="0.25">
      <c r="A831" s="1">
        <v>45915</v>
      </c>
      <c r="B831" t="s">
        <v>47</v>
      </c>
      <c r="C831">
        <v>649163</v>
      </c>
      <c r="D831">
        <v>2029511427</v>
      </c>
      <c r="E831" t="s">
        <v>170</v>
      </c>
      <c r="F831" t="s">
        <v>65</v>
      </c>
      <c r="G831" t="s">
        <v>50</v>
      </c>
      <c r="H831" t="s">
        <v>93</v>
      </c>
      <c r="I831" t="s">
        <v>306</v>
      </c>
      <c r="J831" t="s">
        <v>307</v>
      </c>
      <c r="K831">
        <v>823350</v>
      </c>
      <c r="L831" t="s">
        <v>79</v>
      </c>
      <c r="M831" t="s">
        <v>80</v>
      </c>
      <c r="N831" t="s">
        <v>56</v>
      </c>
      <c r="O831" s="1">
        <v>45826</v>
      </c>
      <c r="P831" s="1">
        <v>45948</v>
      </c>
      <c r="Q831" s="2">
        <v>57.19</v>
      </c>
      <c r="R831">
        <v>1</v>
      </c>
      <c r="S831" t="s">
        <v>57</v>
      </c>
      <c r="T831" t="s">
        <v>58</v>
      </c>
      <c r="U831" s="3">
        <v>0.375</v>
      </c>
      <c r="V831" s="2">
        <v>0</v>
      </c>
      <c r="W831">
        <v>0</v>
      </c>
      <c r="X831" t="s">
        <v>70</v>
      </c>
      <c r="Y831" t="s">
        <v>60</v>
      </c>
      <c r="Z831">
        <v>0</v>
      </c>
      <c r="AA831" s="2">
        <v>0</v>
      </c>
      <c r="AB831" s="2">
        <v>0</v>
      </c>
      <c r="AC831" s="4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21.45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</row>
    <row r="832" spans="1:42" x14ac:dyDescent="0.25">
      <c r="A832" s="1">
        <v>45915</v>
      </c>
      <c r="B832" t="s">
        <v>47</v>
      </c>
      <c r="C832">
        <v>649163</v>
      </c>
      <c r="D832">
        <v>2029528274</v>
      </c>
      <c r="E832" t="s">
        <v>840</v>
      </c>
      <c r="F832" t="s">
        <v>789</v>
      </c>
      <c r="G832" t="s">
        <v>50</v>
      </c>
      <c r="H832" t="s">
        <v>115</v>
      </c>
      <c r="I832" t="s">
        <v>306</v>
      </c>
      <c r="J832" t="s">
        <v>307</v>
      </c>
      <c r="K832">
        <v>822865</v>
      </c>
      <c r="L832" t="s">
        <v>158</v>
      </c>
      <c r="M832" t="s">
        <v>159</v>
      </c>
      <c r="N832" t="s">
        <v>56</v>
      </c>
      <c r="O832" s="1">
        <v>45827</v>
      </c>
      <c r="P832" s="1">
        <v>45949</v>
      </c>
      <c r="Q832" s="2">
        <v>59.19</v>
      </c>
      <c r="R832">
        <v>1</v>
      </c>
      <c r="S832" t="s">
        <v>57</v>
      </c>
      <c r="T832" t="s">
        <v>58</v>
      </c>
      <c r="U832" s="3">
        <v>0.375</v>
      </c>
      <c r="V832" s="2">
        <v>0</v>
      </c>
      <c r="W832">
        <v>0</v>
      </c>
      <c r="X832" t="s">
        <v>70</v>
      </c>
      <c r="Y832" t="s">
        <v>60</v>
      </c>
      <c r="Z832">
        <v>0</v>
      </c>
      <c r="AA832" s="2">
        <v>0</v>
      </c>
      <c r="AB832" s="2">
        <v>0</v>
      </c>
      <c r="AC832" s="4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22.2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</row>
    <row r="833" spans="1:42" x14ac:dyDescent="0.25">
      <c r="A833" s="1">
        <v>45915</v>
      </c>
      <c r="B833" t="s">
        <v>47</v>
      </c>
      <c r="C833">
        <v>649163</v>
      </c>
      <c r="D833">
        <v>2029880669</v>
      </c>
      <c r="E833" t="s">
        <v>839</v>
      </c>
      <c r="F833" t="s">
        <v>838</v>
      </c>
      <c r="G833" t="s">
        <v>50</v>
      </c>
      <c r="H833" t="s">
        <v>93</v>
      </c>
      <c r="I833" t="s">
        <v>306</v>
      </c>
      <c r="J833" t="s">
        <v>307</v>
      </c>
      <c r="K833">
        <v>840313</v>
      </c>
      <c r="L833" t="s">
        <v>273</v>
      </c>
      <c r="M833" t="s">
        <v>274</v>
      </c>
      <c r="N833" t="s">
        <v>56</v>
      </c>
      <c r="O833" s="1">
        <v>45848</v>
      </c>
      <c r="P833" s="1">
        <v>45940</v>
      </c>
      <c r="Q833" s="2">
        <v>77.48</v>
      </c>
      <c r="R833">
        <v>1</v>
      </c>
      <c r="S833" t="s">
        <v>57</v>
      </c>
      <c r="T833" t="s">
        <v>58</v>
      </c>
      <c r="U833" s="3">
        <v>0.375</v>
      </c>
      <c r="V833" s="2">
        <v>0</v>
      </c>
      <c r="W833">
        <v>0</v>
      </c>
      <c r="X833" t="s">
        <v>70</v>
      </c>
      <c r="Y833" t="s">
        <v>60</v>
      </c>
      <c r="Z833">
        <v>0</v>
      </c>
      <c r="AA833" s="2">
        <v>0</v>
      </c>
      <c r="AB833" s="2">
        <v>0</v>
      </c>
      <c r="AC833" s="4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29.06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</row>
    <row r="834" spans="1:42" x14ac:dyDescent="0.25">
      <c r="A834" s="1">
        <v>45915</v>
      </c>
      <c r="B834" t="s">
        <v>47</v>
      </c>
      <c r="C834">
        <v>649163</v>
      </c>
      <c r="D834">
        <v>2029938125</v>
      </c>
      <c r="E834" t="s">
        <v>837</v>
      </c>
      <c r="F834" t="s">
        <v>836</v>
      </c>
      <c r="G834" t="s">
        <v>50</v>
      </c>
      <c r="H834" t="s">
        <v>512</v>
      </c>
      <c r="I834" t="s">
        <v>306</v>
      </c>
      <c r="J834" t="s">
        <v>307</v>
      </c>
      <c r="K834">
        <v>767312</v>
      </c>
      <c r="L834" t="s">
        <v>122</v>
      </c>
      <c r="M834" t="s">
        <v>123</v>
      </c>
      <c r="N834" t="s">
        <v>56</v>
      </c>
      <c r="O834" s="1">
        <v>45853</v>
      </c>
      <c r="P834" s="1">
        <v>45945</v>
      </c>
      <c r="Q834" s="2">
        <v>110.61</v>
      </c>
      <c r="R834">
        <v>1</v>
      </c>
      <c r="S834" t="s">
        <v>57</v>
      </c>
      <c r="T834" t="s">
        <v>58</v>
      </c>
      <c r="U834" s="3">
        <v>0.375</v>
      </c>
      <c r="V834" s="2">
        <v>0</v>
      </c>
      <c r="W834">
        <v>0</v>
      </c>
      <c r="X834" t="s">
        <v>70</v>
      </c>
      <c r="Y834" t="s">
        <v>60</v>
      </c>
      <c r="Z834">
        <v>0</v>
      </c>
      <c r="AA834" s="2">
        <v>0</v>
      </c>
      <c r="AB834" s="2">
        <v>0</v>
      </c>
      <c r="AC834" s="4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41.48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</row>
    <row r="835" spans="1:42" x14ac:dyDescent="0.25">
      <c r="A835" s="1">
        <v>45915</v>
      </c>
      <c r="B835" t="s">
        <v>47</v>
      </c>
      <c r="C835">
        <v>649163</v>
      </c>
      <c r="D835">
        <v>2029951923</v>
      </c>
      <c r="E835" t="s">
        <v>164</v>
      </c>
      <c r="F835" t="s">
        <v>835</v>
      </c>
      <c r="G835" t="s">
        <v>50</v>
      </c>
      <c r="H835" t="s">
        <v>93</v>
      </c>
      <c r="I835" t="s">
        <v>306</v>
      </c>
      <c r="J835" t="s">
        <v>307</v>
      </c>
      <c r="K835">
        <v>824076</v>
      </c>
      <c r="L835" t="s">
        <v>834</v>
      </c>
      <c r="M835" t="s">
        <v>833</v>
      </c>
      <c r="N835" t="s">
        <v>56</v>
      </c>
      <c r="O835" s="1">
        <v>45853</v>
      </c>
      <c r="P835" s="1">
        <v>45945</v>
      </c>
      <c r="Q835" s="2">
        <v>77.48</v>
      </c>
      <c r="R835">
        <v>1</v>
      </c>
      <c r="S835" t="s">
        <v>57</v>
      </c>
      <c r="T835" t="s">
        <v>58</v>
      </c>
      <c r="U835" s="3">
        <v>0.375</v>
      </c>
      <c r="V835" s="2">
        <v>0</v>
      </c>
      <c r="W835">
        <v>0</v>
      </c>
      <c r="X835" t="s">
        <v>70</v>
      </c>
      <c r="Y835" t="s">
        <v>60</v>
      </c>
      <c r="Z835">
        <v>0</v>
      </c>
      <c r="AA835" s="2">
        <v>0</v>
      </c>
      <c r="AB835" s="2">
        <v>0</v>
      </c>
      <c r="AC835" s="4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29.06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</row>
    <row r="836" spans="1:42" x14ac:dyDescent="0.25">
      <c r="A836" s="1">
        <v>45915</v>
      </c>
      <c r="B836" t="s">
        <v>47</v>
      </c>
      <c r="C836">
        <v>649163</v>
      </c>
      <c r="D836">
        <v>2029955371</v>
      </c>
      <c r="E836" t="s">
        <v>774</v>
      </c>
      <c r="F836" t="s">
        <v>773</v>
      </c>
      <c r="G836" t="s">
        <v>50</v>
      </c>
      <c r="H836" t="s">
        <v>141</v>
      </c>
      <c r="I836" t="s">
        <v>306</v>
      </c>
      <c r="J836" t="s">
        <v>307</v>
      </c>
      <c r="K836">
        <v>824082</v>
      </c>
      <c r="L836" t="s">
        <v>624</v>
      </c>
      <c r="M836" t="s">
        <v>623</v>
      </c>
      <c r="N836" t="s">
        <v>56</v>
      </c>
      <c r="O836" s="1">
        <v>45853</v>
      </c>
      <c r="P836" s="1">
        <v>45945</v>
      </c>
      <c r="Q836" s="2">
        <v>63.62</v>
      </c>
      <c r="R836">
        <v>1</v>
      </c>
      <c r="S836" t="s">
        <v>57</v>
      </c>
      <c r="T836" t="s">
        <v>58</v>
      </c>
      <c r="U836" s="3">
        <v>0.375</v>
      </c>
      <c r="V836" s="2">
        <v>0</v>
      </c>
      <c r="W836">
        <v>0</v>
      </c>
      <c r="X836" t="s">
        <v>70</v>
      </c>
      <c r="Y836" t="s">
        <v>60</v>
      </c>
      <c r="Z836">
        <v>0</v>
      </c>
      <c r="AA836" s="2">
        <v>0</v>
      </c>
      <c r="AB836" s="2">
        <v>0</v>
      </c>
      <c r="AC836" s="4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23.86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</row>
    <row r="837" spans="1:42" x14ac:dyDescent="0.25">
      <c r="A837" s="1">
        <v>45915</v>
      </c>
      <c r="B837" t="s">
        <v>47</v>
      </c>
      <c r="C837">
        <v>649163</v>
      </c>
      <c r="D837">
        <v>2029957805</v>
      </c>
      <c r="E837" t="s">
        <v>361</v>
      </c>
      <c r="F837" t="s">
        <v>832</v>
      </c>
      <c r="G837" t="s">
        <v>50</v>
      </c>
      <c r="H837" t="s">
        <v>180</v>
      </c>
      <c r="I837" t="s">
        <v>306</v>
      </c>
      <c r="J837" t="s">
        <v>307</v>
      </c>
      <c r="K837">
        <v>877790</v>
      </c>
      <c r="L837" t="s">
        <v>299</v>
      </c>
      <c r="M837" t="s">
        <v>300</v>
      </c>
      <c r="N837" t="s">
        <v>56</v>
      </c>
      <c r="O837" s="1">
        <v>45854</v>
      </c>
      <c r="P837" s="1">
        <v>45946</v>
      </c>
      <c r="Q837" s="2">
        <v>58.15</v>
      </c>
      <c r="R837">
        <v>1</v>
      </c>
      <c r="S837" t="s">
        <v>57</v>
      </c>
      <c r="T837" t="s">
        <v>58</v>
      </c>
      <c r="U837" s="3">
        <v>0.375</v>
      </c>
      <c r="V837" s="2">
        <v>0</v>
      </c>
      <c r="W837">
        <v>0</v>
      </c>
      <c r="X837" t="s">
        <v>70</v>
      </c>
      <c r="Y837" t="s">
        <v>60</v>
      </c>
      <c r="Z837">
        <v>0</v>
      </c>
      <c r="AA837" s="2">
        <v>0</v>
      </c>
      <c r="AB837" s="2">
        <v>0</v>
      </c>
      <c r="AC837" s="4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21.81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</row>
    <row r="838" spans="1:42" x14ac:dyDescent="0.25">
      <c r="A838" s="1">
        <v>45915</v>
      </c>
      <c r="B838" t="s">
        <v>47</v>
      </c>
      <c r="C838">
        <v>649163</v>
      </c>
      <c r="D838">
        <v>2029969606</v>
      </c>
      <c r="E838" t="s">
        <v>831</v>
      </c>
      <c r="F838" t="s">
        <v>830</v>
      </c>
      <c r="G838" t="s">
        <v>50</v>
      </c>
      <c r="H838" t="s">
        <v>141</v>
      </c>
      <c r="I838" t="s">
        <v>306</v>
      </c>
      <c r="J838" t="s">
        <v>307</v>
      </c>
      <c r="K838">
        <v>816021</v>
      </c>
      <c r="L838" t="s">
        <v>142</v>
      </c>
      <c r="M838" t="s">
        <v>143</v>
      </c>
      <c r="N838" t="s">
        <v>56</v>
      </c>
      <c r="O838" s="1">
        <v>45854</v>
      </c>
      <c r="P838" s="1">
        <v>45946</v>
      </c>
      <c r="Q838" s="2">
        <v>63.62</v>
      </c>
      <c r="R838">
        <v>1</v>
      </c>
      <c r="S838" t="s">
        <v>57</v>
      </c>
      <c r="T838" t="s">
        <v>58</v>
      </c>
      <c r="U838" s="3">
        <v>0.375</v>
      </c>
      <c r="V838" s="2">
        <v>0</v>
      </c>
      <c r="W838">
        <v>0</v>
      </c>
      <c r="X838" t="s">
        <v>70</v>
      </c>
      <c r="Y838" t="s">
        <v>60</v>
      </c>
      <c r="Z838">
        <v>0</v>
      </c>
      <c r="AA838" s="2">
        <v>0</v>
      </c>
      <c r="AB838" s="2">
        <v>0</v>
      </c>
      <c r="AC838" s="4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23.86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</row>
    <row r="839" spans="1:42" x14ac:dyDescent="0.25">
      <c r="A839" s="1">
        <v>45915</v>
      </c>
      <c r="B839" t="s">
        <v>47</v>
      </c>
      <c r="C839">
        <v>649163</v>
      </c>
      <c r="D839">
        <v>2029971480</v>
      </c>
      <c r="E839" t="s">
        <v>829</v>
      </c>
      <c r="F839" t="s">
        <v>179</v>
      </c>
      <c r="G839" t="s">
        <v>50</v>
      </c>
      <c r="H839" t="s">
        <v>121</v>
      </c>
      <c r="I839" t="s">
        <v>306</v>
      </c>
      <c r="J839" t="s">
        <v>307</v>
      </c>
      <c r="K839">
        <v>822723</v>
      </c>
      <c r="L839" t="s">
        <v>828</v>
      </c>
      <c r="M839" t="s">
        <v>827</v>
      </c>
      <c r="N839" t="s">
        <v>56</v>
      </c>
      <c r="O839" s="1">
        <v>45854</v>
      </c>
      <c r="P839" s="1">
        <v>45946</v>
      </c>
      <c r="Q839" s="2">
        <v>188.04</v>
      </c>
      <c r="R839">
        <v>1</v>
      </c>
      <c r="S839" t="s">
        <v>57</v>
      </c>
      <c r="T839" t="s">
        <v>58</v>
      </c>
      <c r="U839" s="3">
        <v>0.375</v>
      </c>
      <c r="V839" s="2">
        <v>0</v>
      </c>
      <c r="W839">
        <v>0</v>
      </c>
      <c r="X839" t="s">
        <v>70</v>
      </c>
      <c r="Y839" t="s">
        <v>60</v>
      </c>
      <c r="Z839">
        <v>0</v>
      </c>
      <c r="AA839" s="2">
        <v>0</v>
      </c>
      <c r="AB839" s="2">
        <v>0</v>
      </c>
      <c r="AC839" s="4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70.52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</row>
    <row r="840" spans="1:42" x14ac:dyDescent="0.25">
      <c r="A840" s="1">
        <v>45915</v>
      </c>
      <c r="B840" t="s">
        <v>47</v>
      </c>
      <c r="C840">
        <v>649163</v>
      </c>
      <c r="D840">
        <v>2029973107</v>
      </c>
      <c r="E840" t="s">
        <v>826</v>
      </c>
      <c r="F840" t="s">
        <v>303</v>
      </c>
      <c r="G840" t="s">
        <v>50</v>
      </c>
      <c r="H840" t="s">
        <v>405</v>
      </c>
      <c r="I840" t="s">
        <v>306</v>
      </c>
      <c r="J840" t="s">
        <v>307</v>
      </c>
      <c r="K840">
        <v>820140</v>
      </c>
      <c r="L840" t="s">
        <v>406</v>
      </c>
      <c r="M840" t="s">
        <v>95</v>
      </c>
      <c r="N840" t="s">
        <v>56</v>
      </c>
      <c r="O840" s="1">
        <v>45854</v>
      </c>
      <c r="P840" s="1">
        <v>45946</v>
      </c>
      <c r="Q840" s="2">
        <v>44.56</v>
      </c>
      <c r="R840">
        <v>1</v>
      </c>
      <c r="S840" t="s">
        <v>57</v>
      </c>
      <c r="T840" t="s">
        <v>58</v>
      </c>
      <c r="U840" s="3">
        <v>9.5000000000000001E-2</v>
      </c>
      <c r="V840" s="2">
        <v>0</v>
      </c>
      <c r="W840">
        <v>0</v>
      </c>
      <c r="X840" t="s">
        <v>70</v>
      </c>
      <c r="Y840" t="s">
        <v>60</v>
      </c>
      <c r="Z840">
        <v>0</v>
      </c>
      <c r="AA840" s="2">
        <v>0</v>
      </c>
      <c r="AB840" s="2">
        <v>0</v>
      </c>
      <c r="AC840" s="4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4.2300000000000004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</row>
    <row r="841" spans="1:42" x14ac:dyDescent="0.25">
      <c r="A841" s="1">
        <v>45915</v>
      </c>
      <c r="B841" t="s">
        <v>47</v>
      </c>
      <c r="C841">
        <v>649163</v>
      </c>
      <c r="D841">
        <v>2029985851</v>
      </c>
      <c r="E841" t="s">
        <v>825</v>
      </c>
      <c r="F841" t="s">
        <v>283</v>
      </c>
      <c r="G841" t="s">
        <v>50</v>
      </c>
      <c r="H841" t="s">
        <v>93</v>
      </c>
      <c r="I841" t="s">
        <v>306</v>
      </c>
      <c r="J841" t="s">
        <v>307</v>
      </c>
      <c r="K841">
        <v>823350</v>
      </c>
      <c r="L841" t="s">
        <v>79</v>
      </c>
      <c r="M841" t="s">
        <v>80</v>
      </c>
      <c r="N841" t="s">
        <v>56</v>
      </c>
      <c r="O841" s="1">
        <v>45855</v>
      </c>
      <c r="P841" s="1">
        <v>45947</v>
      </c>
      <c r="Q841" s="2">
        <v>149.87</v>
      </c>
      <c r="R841">
        <v>1</v>
      </c>
      <c r="S841" t="s">
        <v>57</v>
      </c>
      <c r="T841" t="s">
        <v>58</v>
      </c>
      <c r="U841" s="3">
        <v>0.375</v>
      </c>
      <c r="V841" s="2">
        <v>0</v>
      </c>
      <c r="W841">
        <v>0</v>
      </c>
      <c r="X841" t="s">
        <v>70</v>
      </c>
      <c r="Y841" t="s">
        <v>60</v>
      </c>
      <c r="Z841">
        <v>0</v>
      </c>
      <c r="AA841" s="2">
        <v>0</v>
      </c>
      <c r="AB841" s="2">
        <v>0</v>
      </c>
      <c r="AC841" s="4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56.2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</row>
    <row r="842" spans="1:42" x14ac:dyDescent="0.25">
      <c r="A842" s="1">
        <v>45915</v>
      </c>
      <c r="B842" t="s">
        <v>47</v>
      </c>
      <c r="C842">
        <v>649163</v>
      </c>
      <c r="D842">
        <v>2029989666</v>
      </c>
      <c r="E842" t="s">
        <v>824</v>
      </c>
      <c r="F842" t="s">
        <v>823</v>
      </c>
      <c r="G842" t="s">
        <v>50</v>
      </c>
      <c r="H842" t="s">
        <v>115</v>
      </c>
      <c r="I842" t="s">
        <v>306</v>
      </c>
      <c r="J842" t="s">
        <v>307</v>
      </c>
      <c r="K842">
        <v>812656</v>
      </c>
      <c r="L842" t="s">
        <v>338</v>
      </c>
      <c r="M842" t="s">
        <v>377</v>
      </c>
      <c r="N842" t="s">
        <v>56</v>
      </c>
      <c r="O842" s="1">
        <v>45855</v>
      </c>
      <c r="P842" s="1">
        <v>45947</v>
      </c>
      <c r="Q842" s="2">
        <v>50.3</v>
      </c>
      <c r="R842">
        <v>1</v>
      </c>
      <c r="S842" t="s">
        <v>57</v>
      </c>
      <c r="T842" t="s">
        <v>58</v>
      </c>
      <c r="U842" s="3">
        <v>0.375</v>
      </c>
      <c r="V842" s="2">
        <v>0</v>
      </c>
      <c r="W842">
        <v>0</v>
      </c>
      <c r="X842" t="s">
        <v>70</v>
      </c>
      <c r="Y842" t="s">
        <v>60</v>
      </c>
      <c r="Z842">
        <v>0</v>
      </c>
      <c r="AA842" s="2">
        <v>0</v>
      </c>
      <c r="AB842" s="2">
        <v>0</v>
      </c>
      <c r="AC842" s="4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18.86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</row>
    <row r="843" spans="1:42" x14ac:dyDescent="0.25">
      <c r="A843" s="1">
        <v>45915</v>
      </c>
      <c r="B843" t="s">
        <v>47</v>
      </c>
      <c r="C843">
        <v>649163</v>
      </c>
      <c r="D843">
        <v>2030244227</v>
      </c>
      <c r="E843" t="s">
        <v>822</v>
      </c>
      <c r="F843" t="s">
        <v>821</v>
      </c>
      <c r="G843" t="s">
        <v>50</v>
      </c>
      <c r="H843" t="s">
        <v>93</v>
      </c>
      <c r="I843" t="s">
        <v>306</v>
      </c>
      <c r="J843" t="s">
        <v>307</v>
      </c>
      <c r="K843">
        <v>669316</v>
      </c>
      <c r="L843" t="s">
        <v>420</v>
      </c>
      <c r="M843" t="s">
        <v>421</v>
      </c>
      <c r="N843" t="s">
        <v>56</v>
      </c>
      <c r="O843" s="1">
        <v>45870</v>
      </c>
      <c r="P843" s="1">
        <v>45931</v>
      </c>
      <c r="Q843" s="2">
        <v>60.48</v>
      </c>
      <c r="R843">
        <v>1</v>
      </c>
      <c r="S843" t="s">
        <v>57</v>
      </c>
      <c r="T843" t="s">
        <v>58</v>
      </c>
      <c r="U843" s="3">
        <v>0.375</v>
      </c>
      <c r="V843" s="2">
        <v>0</v>
      </c>
      <c r="W843">
        <v>0</v>
      </c>
      <c r="X843" t="s">
        <v>70</v>
      </c>
      <c r="Y843" t="s">
        <v>60</v>
      </c>
      <c r="Z843">
        <v>0</v>
      </c>
      <c r="AA843" s="2">
        <v>0</v>
      </c>
      <c r="AB843" s="2">
        <v>0</v>
      </c>
      <c r="AC843" s="4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22.68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</row>
    <row r="844" spans="1:42" x14ac:dyDescent="0.25">
      <c r="A844" s="1">
        <v>45915</v>
      </c>
      <c r="B844" t="s">
        <v>47</v>
      </c>
      <c r="C844">
        <v>649163</v>
      </c>
      <c r="D844">
        <v>2030447484</v>
      </c>
      <c r="E844" t="s">
        <v>715</v>
      </c>
      <c r="F844" t="s">
        <v>714</v>
      </c>
      <c r="G844" t="s">
        <v>50</v>
      </c>
      <c r="H844" t="s">
        <v>151</v>
      </c>
      <c r="I844" t="s">
        <v>306</v>
      </c>
      <c r="J844" t="s">
        <v>307</v>
      </c>
      <c r="K844">
        <v>753748</v>
      </c>
      <c r="L844" t="s">
        <v>130</v>
      </c>
      <c r="M844" t="s">
        <v>131</v>
      </c>
      <c r="N844" t="s">
        <v>56</v>
      </c>
      <c r="O844" s="1">
        <v>45882</v>
      </c>
      <c r="P844" s="1">
        <v>45943</v>
      </c>
      <c r="Q844" s="2">
        <v>73.17</v>
      </c>
      <c r="R844">
        <v>1</v>
      </c>
      <c r="S844" t="s">
        <v>57</v>
      </c>
      <c r="T844" t="s">
        <v>58</v>
      </c>
      <c r="U844" s="3">
        <v>0.375</v>
      </c>
      <c r="V844" s="2">
        <v>0</v>
      </c>
      <c r="W844">
        <v>0</v>
      </c>
      <c r="X844" t="s">
        <v>70</v>
      </c>
      <c r="Y844" t="s">
        <v>60</v>
      </c>
      <c r="Z844">
        <v>0</v>
      </c>
      <c r="AA844" s="2">
        <v>0</v>
      </c>
      <c r="AB844" s="2">
        <v>0</v>
      </c>
      <c r="AC844" s="4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27.44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</row>
    <row r="845" spans="1:42" x14ac:dyDescent="0.25">
      <c r="A845" s="1">
        <v>45915</v>
      </c>
      <c r="B845" t="s">
        <v>47</v>
      </c>
      <c r="C845">
        <v>649163</v>
      </c>
      <c r="D845">
        <v>2030452963</v>
      </c>
      <c r="E845" t="s">
        <v>625</v>
      </c>
      <c r="F845" t="s">
        <v>85</v>
      </c>
      <c r="G845" t="s">
        <v>50</v>
      </c>
      <c r="H845" t="s">
        <v>141</v>
      </c>
      <c r="I845" t="s">
        <v>306</v>
      </c>
      <c r="J845" t="s">
        <v>307</v>
      </c>
      <c r="K845">
        <v>824082</v>
      </c>
      <c r="L845" t="s">
        <v>624</v>
      </c>
      <c r="M845" t="s">
        <v>623</v>
      </c>
      <c r="N845" t="s">
        <v>56</v>
      </c>
      <c r="O845" s="1">
        <v>45882</v>
      </c>
      <c r="P845" s="1">
        <v>45943</v>
      </c>
      <c r="Q845" s="2">
        <v>205.33</v>
      </c>
      <c r="R845">
        <v>1</v>
      </c>
      <c r="S845" t="s">
        <v>57</v>
      </c>
      <c r="T845" t="s">
        <v>58</v>
      </c>
      <c r="U845" s="3">
        <v>0.375</v>
      </c>
      <c r="V845" s="2">
        <v>0</v>
      </c>
      <c r="W845">
        <v>0</v>
      </c>
      <c r="X845" t="s">
        <v>70</v>
      </c>
      <c r="Y845" t="s">
        <v>60</v>
      </c>
      <c r="Z845">
        <v>0</v>
      </c>
      <c r="AA845" s="2">
        <v>0</v>
      </c>
      <c r="AB845" s="2">
        <v>0</v>
      </c>
      <c r="AC845" s="4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77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</row>
    <row r="846" spans="1:42" x14ac:dyDescent="0.25">
      <c r="A846" s="1">
        <v>45915</v>
      </c>
      <c r="B846" t="s">
        <v>47</v>
      </c>
      <c r="C846">
        <v>649163</v>
      </c>
      <c r="D846">
        <v>2030455580</v>
      </c>
      <c r="E846" t="s">
        <v>710</v>
      </c>
      <c r="F846" t="s">
        <v>398</v>
      </c>
      <c r="G846" t="s">
        <v>50</v>
      </c>
      <c r="H846" t="s">
        <v>141</v>
      </c>
      <c r="I846" t="s">
        <v>306</v>
      </c>
      <c r="J846" t="s">
        <v>307</v>
      </c>
      <c r="K846">
        <v>816021</v>
      </c>
      <c r="L846" t="s">
        <v>142</v>
      </c>
      <c r="M846" t="s">
        <v>143</v>
      </c>
      <c r="N846" t="s">
        <v>56</v>
      </c>
      <c r="O846" s="1">
        <v>45882</v>
      </c>
      <c r="P846" s="1">
        <v>45943</v>
      </c>
      <c r="Q846" s="2">
        <v>160.85</v>
      </c>
      <c r="R846">
        <v>1</v>
      </c>
      <c r="S846" t="s">
        <v>57</v>
      </c>
      <c r="T846" t="s">
        <v>58</v>
      </c>
      <c r="U846" s="3">
        <v>0.375</v>
      </c>
      <c r="V846" s="2">
        <v>0</v>
      </c>
      <c r="W846">
        <v>0</v>
      </c>
      <c r="X846" t="s">
        <v>70</v>
      </c>
      <c r="Y846" t="s">
        <v>60</v>
      </c>
      <c r="Z846">
        <v>0</v>
      </c>
      <c r="AA846" s="2">
        <v>0</v>
      </c>
      <c r="AB846" s="2">
        <v>0</v>
      </c>
      <c r="AC846" s="4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60.32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</row>
    <row r="847" spans="1:42" x14ac:dyDescent="0.25">
      <c r="A847" s="1">
        <v>45915</v>
      </c>
      <c r="B847" t="s">
        <v>47</v>
      </c>
      <c r="C847">
        <v>649163</v>
      </c>
      <c r="D847">
        <v>2030469677</v>
      </c>
      <c r="E847" t="s">
        <v>612</v>
      </c>
      <c r="F847" t="s">
        <v>611</v>
      </c>
      <c r="G847" t="s">
        <v>50</v>
      </c>
      <c r="H847" t="s">
        <v>204</v>
      </c>
      <c r="I847" t="s">
        <v>306</v>
      </c>
      <c r="J847" t="s">
        <v>307</v>
      </c>
      <c r="K847">
        <v>751867</v>
      </c>
      <c r="L847" t="s">
        <v>84</v>
      </c>
      <c r="M847" t="s">
        <v>85</v>
      </c>
      <c r="N847" t="s">
        <v>230</v>
      </c>
      <c r="O847" s="1">
        <v>45901</v>
      </c>
      <c r="P847" s="1">
        <v>45931</v>
      </c>
      <c r="Q847" s="2">
        <v>-26.7</v>
      </c>
      <c r="R847">
        <v>1</v>
      </c>
      <c r="S847" t="s">
        <v>57</v>
      </c>
      <c r="T847" t="s">
        <v>58</v>
      </c>
      <c r="U847" s="3">
        <v>0.375</v>
      </c>
      <c r="V847" s="2">
        <v>0</v>
      </c>
      <c r="W847">
        <v>-1</v>
      </c>
      <c r="X847" t="s">
        <v>70</v>
      </c>
      <c r="Y847" t="s">
        <v>60</v>
      </c>
      <c r="Z847">
        <v>0</v>
      </c>
      <c r="AA847" s="2">
        <v>0</v>
      </c>
      <c r="AB847" s="2">
        <v>0</v>
      </c>
      <c r="AC847" s="4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-10.01</v>
      </c>
      <c r="AM847" s="2">
        <v>-10.01</v>
      </c>
      <c r="AN847" s="2">
        <v>0</v>
      </c>
      <c r="AO847" s="2">
        <v>0</v>
      </c>
      <c r="AP847" s="2">
        <v>0</v>
      </c>
    </row>
    <row r="848" spans="1:42" x14ac:dyDescent="0.25">
      <c r="A848" s="1">
        <v>45915</v>
      </c>
      <c r="B848" t="s">
        <v>47</v>
      </c>
      <c r="C848">
        <v>649163</v>
      </c>
      <c r="D848">
        <v>2030479075</v>
      </c>
      <c r="E848" t="s">
        <v>156</v>
      </c>
      <c r="F848" t="s">
        <v>610</v>
      </c>
      <c r="G848" t="s">
        <v>50</v>
      </c>
      <c r="H848" t="s">
        <v>151</v>
      </c>
      <c r="I848" t="s">
        <v>306</v>
      </c>
      <c r="J848" t="s">
        <v>307</v>
      </c>
      <c r="K848">
        <v>822865</v>
      </c>
      <c r="L848" t="s">
        <v>158</v>
      </c>
      <c r="M848" t="s">
        <v>159</v>
      </c>
      <c r="N848" t="s">
        <v>230</v>
      </c>
      <c r="O848" s="1">
        <v>45886</v>
      </c>
      <c r="P848" s="1">
        <v>45917</v>
      </c>
      <c r="Q848" s="2">
        <v>-3.73</v>
      </c>
      <c r="R848">
        <v>1</v>
      </c>
      <c r="S848" t="s">
        <v>57</v>
      </c>
      <c r="T848" t="s">
        <v>58</v>
      </c>
      <c r="U848" s="3">
        <v>0.375</v>
      </c>
      <c r="V848" s="2">
        <v>0</v>
      </c>
      <c r="W848">
        <v>-1</v>
      </c>
      <c r="X848" t="s">
        <v>70</v>
      </c>
      <c r="Y848" t="s">
        <v>60</v>
      </c>
      <c r="Z848">
        <v>0</v>
      </c>
      <c r="AA848" s="2">
        <v>0</v>
      </c>
      <c r="AB848" s="2">
        <v>0</v>
      </c>
      <c r="AC848" s="4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-1.4</v>
      </c>
      <c r="AM848" s="2">
        <v>-1.4</v>
      </c>
      <c r="AN848" s="2">
        <v>0</v>
      </c>
      <c r="AO848" s="2">
        <v>0</v>
      </c>
      <c r="AP848" s="2">
        <v>0</v>
      </c>
    </row>
    <row r="849" spans="1:42" x14ac:dyDescent="0.25">
      <c r="A849" s="1">
        <v>45915</v>
      </c>
      <c r="B849" t="s">
        <v>47</v>
      </c>
      <c r="C849">
        <v>649163</v>
      </c>
      <c r="D849">
        <v>2030574908</v>
      </c>
      <c r="E849" t="s">
        <v>609</v>
      </c>
      <c r="F849" t="s">
        <v>608</v>
      </c>
      <c r="G849" t="s">
        <v>50</v>
      </c>
      <c r="H849" t="s">
        <v>188</v>
      </c>
      <c r="I849" t="s">
        <v>306</v>
      </c>
      <c r="J849" t="s">
        <v>307</v>
      </c>
      <c r="K849">
        <v>669316</v>
      </c>
      <c r="L849" t="s">
        <v>420</v>
      </c>
      <c r="M849" t="s">
        <v>421</v>
      </c>
      <c r="N849" t="s">
        <v>230</v>
      </c>
      <c r="O849" s="1">
        <v>45901</v>
      </c>
      <c r="P849" s="1">
        <v>45931</v>
      </c>
      <c r="Q849" s="2">
        <v>-59.16</v>
      </c>
      <c r="R849">
        <v>1</v>
      </c>
      <c r="S849" t="s">
        <v>57</v>
      </c>
      <c r="T849" t="s">
        <v>58</v>
      </c>
      <c r="U849" s="3">
        <v>0.375</v>
      </c>
      <c r="V849" s="2">
        <v>0</v>
      </c>
      <c r="W849">
        <v>-1</v>
      </c>
      <c r="X849" t="s">
        <v>70</v>
      </c>
      <c r="Y849" t="s">
        <v>60</v>
      </c>
      <c r="Z849">
        <v>0</v>
      </c>
      <c r="AA849" s="2">
        <v>0</v>
      </c>
      <c r="AB849" s="2">
        <v>0</v>
      </c>
      <c r="AC849" s="4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-22.18</v>
      </c>
      <c r="AM849" s="2">
        <v>-22.18</v>
      </c>
      <c r="AN849" s="2">
        <v>0</v>
      </c>
      <c r="AO849" s="2">
        <v>0</v>
      </c>
      <c r="AP849" s="2">
        <v>0</v>
      </c>
    </row>
    <row r="850" spans="1:42" x14ac:dyDescent="0.25">
      <c r="A850" s="1">
        <v>45915</v>
      </c>
      <c r="B850" t="s">
        <v>47</v>
      </c>
      <c r="C850">
        <v>649163</v>
      </c>
      <c r="D850">
        <v>2016841042</v>
      </c>
      <c r="E850" t="s">
        <v>154</v>
      </c>
      <c r="F850" t="s">
        <v>818</v>
      </c>
      <c r="G850" t="s">
        <v>50</v>
      </c>
      <c r="H850" t="s">
        <v>408</v>
      </c>
      <c r="I850" t="s">
        <v>430</v>
      </c>
      <c r="J850" t="s">
        <v>88</v>
      </c>
      <c r="K850">
        <v>652037</v>
      </c>
      <c r="L850" t="s">
        <v>309</v>
      </c>
      <c r="M850" t="s">
        <v>303</v>
      </c>
      <c r="N850" t="s">
        <v>56</v>
      </c>
      <c r="O850" s="1">
        <v>44883</v>
      </c>
      <c r="P850" s="1">
        <v>45948</v>
      </c>
      <c r="Q850" s="2">
        <v>97.79</v>
      </c>
      <c r="R850">
        <v>1</v>
      </c>
      <c r="S850" t="s">
        <v>57</v>
      </c>
      <c r="T850" t="s">
        <v>58</v>
      </c>
      <c r="U850" s="3">
        <v>6.5000000000000002E-2</v>
      </c>
      <c r="V850" s="2">
        <v>0</v>
      </c>
      <c r="W850">
        <v>0</v>
      </c>
      <c r="X850" t="s">
        <v>59</v>
      </c>
      <c r="Y850" t="s">
        <v>60</v>
      </c>
      <c r="Z850">
        <v>0</v>
      </c>
      <c r="AA850" s="2">
        <v>0</v>
      </c>
      <c r="AB850" s="2">
        <v>0</v>
      </c>
      <c r="AC850" s="4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6.36</v>
      </c>
      <c r="AM850" s="2">
        <v>6.36</v>
      </c>
      <c r="AN850" s="2">
        <v>0</v>
      </c>
      <c r="AO850" s="2">
        <v>0</v>
      </c>
      <c r="AP850" s="2">
        <v>0</v>
      </c>
    </row>
    <row r="851" spans="1:42" x14ac:dyDescent="0.25">
      <c r="A851" s="1">
        <v>45915</v>
      </c>
      <c r="B851" t="s">
        <v>47</v>
      </c>
      <c r="C851">
        <v>649163</v>
      </c>
      <c r="D851">
        <v>2022721019</v>
      </c>
      <c r="E851" t="s">
        <v>817</v>
      </c>
      <c r="F851" t="s">
        <v>49</v>
      </c>
      <c r="G851" t="s">
        <v>50</v>
      </c>
      <c r="H851" t="s">
        <v>51</v>
      </c>
      <c r="I851" t="s">
        <v>430</v>
      </c>
      <c r="J851" t="s">
        <v>431</v>
      </c>
      <c r="K851">
        <v>751867</v>
      </c>
      <c r="L851" t="s">
        <v>84</v>
      </c>
      <c r="M851" t="s">
        <v>85</v>
      </c>
      <c r="N851" t="s">
        <v>56</v>
      </c>
      <c r="O851" s="1">
        <v>45413</v>
      </c>
      <c r="P851" s="1">
        <v>45931</v>
      </c>
      <c r="Q851" s="2">
        <v>38.11</v>
      </c>
      <c r="R851">
        <v>1</v>
      </c>
      <c r="S851" t="s">
        <v>57</v>
      </c>
      <c r="T851" t="s">
        <v>58</v>
      </c>
      <c r="U851" s="4">
        <v>0.1</v>
      </c>
      <c r="V851" s="2">
        <v>0</v>
      </c>
      <c r="W851">
        <v>0</v>
      </c>
      <c r="X851" t="s">
        <v>59</v>
      </c>
      <c r="Y851" t="s">
        <v>60</v>
      </c>
      <c r="Z851">
        <v>0</v>
      </c>
      <c r="AA851" s="2">
        <v>0</v>
      </c>
      <c r="AB851" s="2">
        <v>0</v>
      </c>
      <c r="AC851" s="4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3.81</v>
      </c>
      <c r="AM851" s="2">
        <v>3.81</v>
      </c>
      <c r="AN851" s="2">
        <v>0</v>
      </c>
      <c r="AO851" s="2">
        <v>0</v>
      </c>
      <c r="AP851" s="2">
        <v>0</v>
      </c>
    </row>
    <row r="852" spans="1:42" x14ac:dyDescent="0.25">
      <c r="A852" s="1">
        <v>45915</v>
      </c>
      <c r="B852" t="s">
        <v>47</v>
      </c>
      <c r="C852">
        <v>649163</v>
      </c>
      <c r="D852">
        <v>2022747853</v>
      </c>
      <c r="E852" t="s">
        <v>816</v>
      </c>
      <c r="F852" t="s">
        <v>344</v>
      </c>
      <c r="G852" t="s">
        <v>50</v>
      </c>
      <c r="H852" t="s">
        <v>51</v>
      </c>
      <c r="I852" t="s">
        <v>430</v>
      </c>
      <c r="J852" t="s">
        <v>431</v>
      </c>
      <c r="K852">
        <v>751867</v>
      </c>
      <c r="L852" t="s">
        <v>84</v>
      </c>
      <c r="M852" t="s">
        <v>85</v>
      </c>
      <c r="N852" t="s">
        <v>56</v>
      </c>
      <c r="O852" s="1">
        <v>45413</v>
      </c>
      <c r="P852" s="1">
        <v>45931</v>
      </c>
      <c r="Q852" s="2">
        <v>61.39</v>
      </c>
      <c r="R852">
        <v>1</v>
      </c>
      <c r="S852" t="s">
        <v>57</v>
      </c>
      <c r="T852" t="s">
        <v>58</v>
      </c>
      <c r="U852" s="4">
        <v>0.1</v>
      </c>
      <c r="V852" s="2">
        <v>0</v>
      </c>
      <c r="W852">
        <v>0</v>
      </c>
      <c r="X852" t="s">
        <v>59</v>
      </c>
      <c r="Y852" t="s">
        <v>60</v>
      </c>
      <c r="Z852">
        <v>0</v>
      </c>
      <c r="AA852" s="2">
        <v>0</v>
      </c>
      <c r="AB852" s="2">
        <v>0</v>
      </c>
      <c r="AC852" s="4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6.14</v>
      </c>
      <c r="AM852" s="2">
        <v>6.14</v>
      </c>
      <c r="AN852" s="2">
        <v>0</v>
      </c>
      <c r="AO852" s="2">
        <v>0</v>
      </c>
      <c r="AP852" s="2">
        <v>0</v>
      </c>
    </row>
    <row r="853" spans="1:42" x14ac:dyDescent="0.25">
      <c r="A853" s="1">
        <v>45915</v>
      </c>
      <c r="B853" t="s">
        <v>47</v>
      </c>
      <c r="C853">
        <v>649163</v>
      </c>
      <c r="D853">
        <v>2023047686</v>
      </c>
      <c r="E853" t="s">
        <v>815</v>
      </c>
      <c r="F853" t="s">
        <v>814</v>
      </c>
      <c r="G853" t="s">
        <v>50</v>
      </c>
      <c r="H853" t="s">
        <v>51</v>
      </c>
      <c r="I853" t="s">
        <v>430</v>
      </c>
      <c r="J853" t="s">
        <v>431</v>
      </c>
      <c r="K853">
        <v>751867</v>
      </c>
      <c r="L853" t="s">
        <v>84</v>
      </c>
      <c r="M853" t="s">
        <v>85</v>
      </c>
      <c r="N853" t="s">
        <v>56</v>
      </c>
      <c r="O853" s="1">
        <v>45422</v>
      </c>
      <c r="P853" s="1">
        <v>45940</v>
      </c>
      <c r="Q853" s="2">
        <v>77.55</v>
      </c>
      <c r="R853">
        <v>1</v>
      </c>
      <c r="S853" t="s">
        <v>57</v>
      </c>
      <c r="T853" t="s">
        <v>58</v>
      </c>
      <c r="U853" s="4">
        <v>0.1</v>
      </c>
      <c r="V853" s="2">
        <v>0</v>
      </c>
      <c r="W853">
        <v>0</v>
      </c>
      <c r="X853" t="s">
        <v>59</v>
      </c>
      <c r="Y853" t="s">
        <v>60</v>
      </c>
      <c r="Z853">
        <v>0</v>
      </c>
      <c r="AA853" s="2">
        <v>0</v>
      </c>
      <c r="AB853" s="2">
        <v>0</v>
      </c>
      <c r="AC853" s="4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7.76</v>
      </c>
      <c r="AM853" s="2">
        <v>7.76</v>
      </c>
      <c r="AN853" s="2">
        <v>0</v>
      </c>
      <c r="AO853" s="2">
        <v>0</v>
      </c>
      <c r="AP853" s="2">
        <v>0</v>
      </c>
    </row>
    <row r="854" spans="1:42" x14ac:dyDescent="0.25">
      <c r="A854" s="1">
        <v>45915</v>
      </c>
      <c r="B854" t="s">
        <v>47</v>
      </c>
      <c r="C854">
        <v>649163</v>
      </c>
      <c r="D854">
        <v>2030495947</v>
      </c>
      <c r="E854" t="s">
        <v>284</v>
      </c>
      <c r="F854" t="s">
        <v>285</v>
      </c>
      <c r="G854" t="s">
        <v>50</v>
      </c>
      <c r="H854" t="s">
        <v>93</v>
      </c>
      <c r="I854" t="s">
        <v>430</v>
      </c>
      <c r="J854" t="s">
        <v>438</v>
      </c>
      <c r="K854">
        <v>768887</v>
      </c>
      <c r="L854" t="s">
        <v>282</v>
      </c>
      <c r="M854" t="s">
        <v>283</v>
      </c>
      <c r="N854" t="s">
        <v>56</v>
      </c>
      <c r="O854" s="1">
        <v>45884</v>
      </c>
      <c r="P854" s="1">
        <v>45945</v>
      </c>
      <c r="Q854" s="2">
        <v>181.4</v>
      </c>
      <c r="R854">
        <v>1</v>
      </c>
      <c r="S854" t="s">
        <v>57</v>
      </c>
      <c r="T854" t="s">
        <v>58</v>
      </c>
      <c r="U854" s="4">
        <v>0.38</v>
      </c>
      <c r="V854" s="2">
        <v>0</v>
      </c>
      <c r="W854">
        <v>0</v>
      </c>
      <c r="X854" t="s">
        <v>70</v>
      </c>
      <c r="Y854" t="s">
        <v>60</v>
      </c>
      <c r="Z854">
        <v>0</v>
      </c>
      <c r="AA854" s="2">
        <v>0</v>
      </c>
      <c r="AB854" s="2">
        <v>0</v>
      </c>
      <c r="AC854" s="4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68.930000000000007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</row>
    <row r="855" spans="1:42" x14ac:dyDescent="0.25">
      <c r="A855" s="1">
        <v>45915</v>
      </c>
      <c r="B855" t="s">
        <v>47</v>
      </c>
      <c r="C855">
        <v>649163</v>
      </c>
      <c r="D855">
        <v>2023051088</v>
      </c>
      <c r="E855" t="s">
        <v>813</v>
      </c>
      <c r="F855" t="s">
        <v>251</v>
      </c>
      <c r="G855" t="s">
        <v>50</v>
      </c>
      <c r="H855" t="s">
        <v>51</v>
      </c>
      <c r="I855" t="s">
        <v>430</v>
      </c>
      <c r="J855" t="s">
        <v>431</v>
      </c>
      <c r="K855">
        <v>751867</v>
      </c>
      <c r="L855" t="s">
        <v>84</v>
      </c>
      <c r="M855" t="s">
        <v>85</v>
      </c>
      <c r="N855" t="s">
        <v>56</v>
      </c>
      <c r="O855" s="1">
        <v>45422</v>
      </c>
      <c r="P855" s="1">
        <v>45940</v>
      </c>
      <c r="Q855" s="2">
        <v>47.17</v>
      </c>
      <c r="R855">
        <v>1</v>
      </c>
      <c r="S855" t="s">
        <v>57</v>
      </c>
      <c r="T855" t="s">
        <v>58</v>
      </c>
      <c r="U855" s="4">
        <v>0.1</v>
      </c>
      <c r="V855" s="2">
        <v>0</v>
      </c>
      <c r="W855">
        <v>0</v>
      </c>
      <c r="X855" t="s">
        <v>59</v>
      </c>
      <c r="Y855" t="s">
        <v>60</v>
      </c>
      <c r="Z855">
        <v>0</v>
      </c>
      <c r="AA855" s="2">
        <v>0</v>
      </c>
      <c r="AB855" s="2">
        <v>0</v>
      </c>
      <c r="AC855" s="4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4.72</v>
      </c>
      <c r="AM855" s="2">
        <v>4.72</v>
      </c>
      <c r="AN855" s="2">
        <v>0</v>
      </c>
      <c r="AO855" s="2">
        <v>0</v>
      </c>
      <c r="AP855" s="2">
        <v>0</v>
      </c>
    </row>
    <row r="856" spans="1:42" x14ac:dyDescent="0.25">
      <c r="A856" s="1">
        <v>45915</v>
      </c>
      <c r="B856" t="s">
        <v>47</v>
      </c>
      <c r="C856">
        <v>649163</v>
      </c>
      <c r="D856">
        <v>2023245976</v>
      </c>
      <c r="E856" t="s">
        <v>812</v>
      </c>
      <c r="F856" t="s">
        <v>811</v>
      </c>
      <c r="G856" t="s">
        <v>50</v>
      </c>
      <c r="H856" t="s">
        <v>51</v>
      </c>
      <c r="I856" t="s">
        <v>430</v>
      </c>
      <c r="J856" t="s">
        <v>431</v>
      </c>
      <c r="K856">
        <v>650218</v>
      </c>
      <c r="L856" t="s">
        <v>73</v>
      </c>
      <c r="M856" t="s">
        <v>74</v>
      </c>
      <c r="N856" t="s">
        <v>56</v>
      </c>
      <c r="O856" s="1">
        <v>45444</v>
      </c>
      <c r="P856" s="1">
        <v>45931</v>
      </c>
      <c r="Q856" s="2">
        <v>22.77</v>
      </c>
      <c r="R856">
        <v>1</v>
      </c>
      <c r="S856" t="s">
        <v>57</v>
      </c>
      <c r="T856" t="s">
        <v>58</v>
      </c>
      <c r="U856" s="4">
        <v>0.1</v>
      </c>
      <c r="V856" s="2">
        <v>0</v>
      </c>
      <c r="W856">
        <v>0</v>
      </c>
      <c r="X856" t="s">
        <v>59</v>
      </c>
      <c r="Y856" t="s">
        <v>60</v>
      </c>
      <c r="Z856">
        <v>0</v>
      </c>
      <c r="AA856" s="2">
        <v>0</v>
      </c>
      <c r="AB856" s="2">
        <v>0</v>
      </c>
      <c r="AC856" s="4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2.2799999999999998</v>
      </c>
      <c r="AM856" s="2">
        <v>2.2799999999999998</v>
      </c>
      <c r="AN856" s="2">
        <v>0</v>
      </c>
      <c r="AO856" s="2">
        <v>0</v>
      </c>
      <c r="AP856" s="2">
        <v>0</v>
      </c>
    </row>
    <row r="857" spans="1:42" x14ac:dyDescent="0.25">
      <c r="A857" s="1">
        <v>45915</v>
      </c>
      <c r="B857" t="s">
        <v>47</v>
      </c>
      <c r="C857">
        <v>649163</v>
      </c>
      <c r="D857">
        <v>2023499224</v>
      </c>
      <c r="E857" t="s">
        <v>810</v>
      </c>
      <c r="F857" t="s">
        <v>205</v>
      </c>
      <c r="G857" t="s">
        <v>50</v>
      </c>
      <c r="H857" t="s">
        <v>83</v>
      </c>
      <c r="I857" t="s">
        <v>430</v>
      </c>
      <c r="J857" t="s">
        <v>431</v>
      </c>
      <c r="K857">
        <v>751867</v>
      </c>
      <c r="L857" t="s">
        <v>84</v>
      </c>
      <c r="M857" t="s">
        <v>85</v>
      </c>
      <c r="N857" t="s">
        <v>56</v>
      </c>
      <c r="O857" s="1">
        <v>45456</v>
      </c>
      <c r="P857" s="1">
        <v>45943</v>
      </c>
      <c r="Q857" s="2">
        <v>28.12</v>
      </c>
      <c r="R857">
        <v>1</v>
      </c>
      <c r="S857" t="s">
        <v>57</v>
      </c>
      <c r="T857" t="s">
        <v>58</v>
      </c>
      <c r="U857" s="4">
        <v>0.1</v>
      </c>
      <c r="V857" s="2">
        <v>0</v>
      </c>
      <c r="W857">
        <v>0</v>
      </c>
      <c r="X857" t="s">
        <v>59</v>
      </c>
      <c r="Y857" t="s">
        <v>60</v>
      </c>
      <c r="Z857">
        <v>0</v>
      </c>
      <c r="AA857" s="2">
        <v>0</v>
      </c>
      <c r="AB857" s="2">
        <v>0</v>
      </c>
      <c r="AC857" s="4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2.81</v>
      </c>
      <c r="AM857" s="2">
        <v>2.81</v>
      </c>
      <c r="AN857" s="2">
        <v>0</v>
      </c>
      <c r="AO857" s="2">
        <v>0</v>
      </c>
      <c r="AP857" s="2">
        <v>0</v>
      </c>
    </row>
    <row r="858" spans="1:42" x14ac:dyDescent="0.25">
      <c r="A858" s="1">
        <v>45915</v>
      </c>
      <c r="B858" t="s">
        <v>47</v>
      </c>
      <c r="C858">
        <v>649163</v>
      </c>
      <c r="D858">
        <v>2023509943</v>
      </c>
      <c r="E858" t="s">
        <v>809</v>
      </c>
      <c r="F858" t="s">
        <v>690</v>
      </c>
      <c r="G858" t="s">
        <v>50</v>
      </c>
      <c r="H858" t="s">
        <v>51</v>
      </c>
      <c r="I858" t="s">
        <v>430</v>
      </c>
      <c r="J858" t="s">
        <v>431</v>
      </c>
      <c r="K858">
        <v>751867</v>
      </c>
      <c r="L858" t="s">
        <v>84</v>
      </c>
      <c r="M858" t="s">
        <v>85</v>
      </c>
      <c r="N858" t="s">
        <v>56</v>
      </c>
      <c r="O858" s="1">
        <v>45457</v>
      </c>
      <c r="P858" s="1">
        <v>45944</v>
      </c>
      <c r="Q858" s="2">
        <v>55.16</v>
      </c>
      <c r="R858">
        <v>1</v>
      </c>
      <c r="S858" t="s">
        <v>57</v>
      </c>
      <c r="T858" t="s">
        <v>58</v>
      </c>
      <c r="U858" s="4">
        <v>0.1</v>
      </c>
      <c r="V858" s="2">
        <v>0</v>
      </c>
      <c r="W858">
        <v>0</v>
      </c>
      <c r="X858" t="s">
        <v>59</v>
      </c>
      <c r="Y858" t="s">
        <v>60</v>
      </c>
      <c r="Z858">
        <v>0</v>
      </c>
      <c r="AA858" s="2">
        <v>0</v>
      </c>
      <c r="AB858" s="2">
        <v>0</v>
      </c>
      <c r="AC858" s="4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5.52</v>
      </c>
      <c r="AM858" s="2">
        <v>5.52</v>
      </c>
      <c r="AN858" s="2">
        <v>0</v>
      </c>
      <c r="AO858" s="2">
        <v>0</v>
      </c>
      <c r="AP858" s="2">
        <v>0</v>
      </c>
    </row>
    <row r="859" spans="1:42" x14ac:dyDescent="0.25">
      <c r="A859" s="1">
        <v>45915</v>
      </c>
      <c r="B859" t="s">
        <v>47</v>
      </c>
      <c r="C859">
        <v>649163</v>
      </c>
      <c r="D859">
        <v>2023509944</v>
      </c>
      <c r="E859" t="s">
        <v>809</v>
      </c>
      <c r="F859" t="s">
        <v>690</v>
      </c>
      <c r="G859" t="s">
        <v>50</v>
      </c>
      <c r="H859" t="s">
        <v>51</v>
      </c>
      <c r="I859" t="s">
        <v>430</v>
      </c>
      <c r="J859" t="s">
        <v>78</v>
      </c>
      <c r="K859">
        <v>751867</v>
      </c>
      <c r="L859" t="s">
        <v>84</v>
      </c>
      <c r="M859" t="s">
        <v>85</v>
      </c>
      <c r="N859" t="s">
        <v>56</v>
      </c>
      <c r="O859" s="1">
        <v>45457</v>
      </c>
      <c r="P859" s="1">
        <v>45944</v>
      </c>
      <c r="Q859" s="2">
        <v>109.84</v>
      </c>
      <c r="R859">
        <v>1</v>
      </c>
      <c r="S859" t="s">
        <v>57</v>
      </c>
      <c r="T859" t="s">
        <v>58</v>
      </c>
      <c r="U859" s="3">
        <v>6.5000000000000002E-2</v>
      </c>
      <c r="V859" s="2">
        <v>0</v>
      </c>
      <c r="W859">
        <v>0</v>
      </c>
      <c r="X859" t="s">
        <v>59</v>
      </c>
      <c r="Y859" t="s">
        <v>60</v>
      </c>
      <c r="Z859">
        <v>0</v>
      </c>
      <c r="AA859" s="2">
        <v>0</v>
      </c>
      <c r="AB859" s="2">
        <v>0</v>
      </c>
      <c r="AC859" s="4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7.14</v>
      </c>
      <c r="AM859" s="2">
        <v>7.14</v>
      </c>
      <c r="AN859" s="2">
        <v>0</v>
      </c>
      <c r="AO859" s="2">
        <v>0</v>
      </c>
      <c r="AP859" s="2">
        <v>0</v>
      </c>
    </row>
    <row r="860" spans="1:42" x14ac:dyDescent="0.25">
      <c r="A860" s="1">
        <v>45915</v>
      </c>
      <c r="B860" t="s">
        <v>47</v>
      </c>
      <c r="C860">
        <v>649163</v>
      </c>
      <c r="D860">
        <v>2023510923</v>
      </c>
      <c r="E860" t="s">
        <v>808</v>
      </c>
      <c r="F860" t="s">
        <v>145</v>
      </c>
      <c r="G860" t="s">
        <v>50</v>
      </c>
      <c r="H860" t="s">
        <v>51</v>
      </c>
      <c r="I860" t="s">
        <v>430</v>
      </c>
      <c r="J860" t="s">
        <v>431</v>
      </c>
      <c r="K860">
        <v>751867</v>
      </c>
      <c r="L860" t="s">
        <v>84</v>
      </c>
      <c r="M860" t="s">
        <v>85</v>
      </c>
      <c r="N860" t="s">
        <v>56</v>
      </c>
      <c r="O860" s="1">
        <v>45457</v>
      </c>
      <c r="P860" s="1">
        <v>45944</v>
      </c>
      <c r="Q860" s="2">
        <v>55.16</v>
      </c>
      <c r="R860">
        <v>1</v>
      </c>
      <c r="S860" t="s">
        <v>57</v>
      </c>
      <c r="T860" t="s">
        <v>58</v>
      </c>
      <c r="U860" s="4">
        <v>0.1</v>
      </c>
      <c r="V860" s="2">
        <v>0</v>
      </c>
      <c r="W860">
        <v>0</v>
      </c>
      <c r="X860" t="s">
        <v>59</v>
      </c>
      <c r="Y860" t="s">
        <v>60</v>
      </c>
      <c r="Z860">
        <v>0</v>
      </c>
      <c r="AA860" s="2">
        <v>0</v>
      </c>
      <c r="AB860" s="2">
        <v>0</v>
      </c>
      <c r="AC860" s="4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5.52</v>
      </c>
      <c r="AM860" s="2">
        <v>5.52</v>
      </c>
      <c r="AN860" s="2">
        <v>0</v>
      </c>
      <c r="AO860" s="2">
        <v>0</v>
      </c>
      <c r="AP860" s="2">
        <v>0</v>
      </c>
    </row>
    <row r="861" spans="1:42" x14ac:dyDescent="0.25">
      <c r="A861" s="1">
        <v>45915</v>
      </c>
      <c r="B861" t="s">
        <v>47</v>
      </c>
      <c r="C861">
        <v>649163</v>
      </c>
      <c r="D861">
        <v>2023867555</v>
      </c>
      <c r="E861" t="s">
        <v>109</v>
      </c>
      <c r="F861" t="s">
        <v>807</v>
      </c>
      <c r="G861" t="s">
        <v>50</v>
      </c>
      <c r="H861" t="s">
        <v>51</v>
      </c>
      <c r="I861" t="s">
        <v>430</v>
      </c>
      <c r="J861" t="s">
        <v>431</v>
      </c>
      <c r="K861">
        <v>650218</v>
      </c>
      <c r="L861" t="s">
        <v>73</v>
      </c>
      <c r="M861" t="s">
        <v>74</v>
      </c>
      <c r="N861" t="s">
        <v>56</v>
      </c>
      <c r="O861" s="1">
        <v>45483</v>
      </c>
      <c r="P861" s="1">
        <v>45940</v>
      </c>
      <c r="Q861" s="2">
        <v>53.16</v>
      </c>
      <c r="R861">
        <v>1</v>
      </c>
      <c r="S861" t="s">
        <v>57</v>
      </c>
      <c r="T861" t="s">
        <v>58</v>
      </c>
      <c r="U861" s="4">
        <v>0.1</v>
      </c>
      <c r="V861" s="2">
        <v>0</v>
      </c>
      <c r="W861">
        <v>0</v>
      </c>
      <c r="X861" t="s">
        <v>59</v>
      </c>
      <c r="Y861" t="s">
        <v>60</v>
      </c>
      <c r="Z861">
        <v>0</v>
      </c>
      <c r="AA861" s="2">
        <v>0</v>
      </c>
      <c r="AB861" s="2">
        <v>0</v>
      </c>
      <c r="AC861" s="4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5.32</v>
      </c>
      <c r="AM861" s="2">
        <v>5.32</v>
      </c>
      <c r="AN861" s="2">
        <v>0</v>
      </c>
      <c r="AO861" s="2">
        <v>0</v>
      </c>
      <c r="AP861" s="2">
        <v>0</v>
      </c>
    </row>
    <row r="862" spans="1:42" x14ac:dyDescent="0.25">
      <c r="A862" s="1">
        <v>45915</v>
      </c>
      <c r="B862" t="s">
        <v>47</v>
      </c>
      <c r="C862">
        <v>649163</v>
      </c>
      <c r="D862">
        <v>2024382705</v>
      </c>
      <c r="E862" t="s">
        <v>806</v>
      </c>
      <c r="F862" t="s">
        <v>409</v>
      </c>
      <c r="G862" t="s">
        <v>50</v>
      </c>
      <c r="H862" t="s">
        <v>51</v>
      </c>
      <c r="I862" t="s">
        <v>430</v>
      </c>
      <c r="J862" t="s">
        <v>431</v>
      </c>
      <c r="K862">
        <v>650218</v>
      </c>
      <c r="L862" t="s">
        <v>73</v>
      </c>
      <c r="M862" t="s">
        <v>74</v>
      </c>
      <c r="N862" t="s">
        <v>56</v>
      </c>
      <c r="O862" s="1">
        <v>45519</v>
      </c>
      <c r="P862" s="1">
        <v>45945</v>
      </c>
      <c r="Q862" s="2">
        <v>27.15</v>
      </c>
      <c r="R862">
        <v>1</v>
      </c>
      <c r="S862" t="s">
        <v>57</v>
      </c>
      <c r="T862" t="s">
        <v>58</v>
      </c>
      <c r="U862" s="4">
        <v>0.1</v>
      </c>
      <c r="V862" s="2">
        <v>0</v>
      </c>
      <c r="W862">
        <v>0</v>
      </c>
      <c r="X862" t="s">
        <v>59</v>
      </c>
      <c r="Y862" t="s">
        <v>60</v>
      </c>
      <c r="Z862">
        <v>0</v>
      </c>
      <c r="AA862" s="2">
        <v>0</v>
      </c>
      <c r="AB862" s="2">
        <v>0</v>
      </c>
      <c r="AC862" s="4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2.72</v>
      </c>
      <c r="AM862" s="2">
        <v>2.72</v>
      </c>
      <c r="AN862" s="2">
        <v>0</v>
      </c>
      <c r="AO862" s="2">
        <v>0</v>
      </c>
      <c r="AP862" s="2">
        <v>0</v>
      </c>
    </row>
    <row r="863" spans="1:42" x14ac:dyDescent="0.25">
      <c r="A863" s="1">
        <v>45915</v>
      </c>
      <c r="B863" t="s">
        <v>47</v>
      </c>
      <c r="C863">
        <v>649163</v>
      </c>
      <c r="D863">
        <v>2024403625</v>
      </c>
      <c r="E863" t="s">
        <v>583</v>
      </c>
      <c r="F863" t="s">
        <v>805</v>
      </c>
      <c r="G863" t="s">
        <v>50</v>
      </c>
      <c r="H863" t="s">
        <v>83</v>
      </c>
      <c r="I863" t="s">
        <v>430</v>
      </c>
      <c r="J863" t="s">
        <v>431</v>
      </c>
      <c r="K863">
        <v>751867</v>
      </c>
      <c r="L863" t="s">
        <v>84</v>
      </c>
      <c r="M863" t="s">
        <v>85</v>
      </c>
      <c r="N863" t="s">
        <v>56</v>
      </c>
      <c r="O863" s="1">
        <v>45520</v>
      </c>
      <c r="P863" s="1">
        <v>45946</v>
      </c>
      <c r="Q863" s="2">
        <v>17.34</v>
      </c>
      <c r="R863">
        <v>1</v>
      </c>
      <c r="S863" t="s">
        <v>57</v>
      </c>
      <c r="T863" t="s">
        <v>58</v>
      </c>
      <c r="U863" s="4">
        <v>0.1</v>
      </c>
      <c r="V863" s="2">
        <v>0</v>
      </c>
      <c r="W863">
        <v>0</v>
      </c>
      <c r="X863" t="s">
        <v>59</v>
      </c>
      <c r="Y863" t="s">
        <v>60</v>
      </c>
      <c r="Z863">
        <v>0</v>
      </c>
      <c r="AA863" s="2">
        <v>0</v>
      </c>
      <c r="AB863" s="2">
        <v>0</v>
      </c>
      <c r="AC863" s="4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1.73</v>
      </c>
      <c r="AM863" s="2">
        <v>1.73</v>
      </c>
      <c r="AN863" s="2">
        <v>0</v>
      </c>
      <c r="AO863" s="2">
        <v>0</v>
      </c>
      <c r="AP863" s="2">
        <v>0</v>
      </c>
    </row>
    <row r="864" spans="1:42" x14ac:dyDescent="0.25">
      <c r="A864" s="1">
        <v>45915</v>
      </c>
      <c r="B864" t="s">
        <v>47</v>
      </c>
      <c r="C864">
        <v>649163</v>
      </c>
      <c r="D864">
        <v>2024407151</v>
      </c>
      <c r="E864" t="s">
        <v>804</v>
      </c>
      <c r="F864" t="s">
        <v>803</v>
      </c>
      <c r="G864" t="s">
        <v>50</v>
      </c>
      <c r="H864" t="s">
        <v>51</v>
      </c>
      <c r="I864" t="s">
        <v>430</v>
      </c>
      <c r="J864" t="s">
        <v>431</v>
      </c>
      <c r="K864">
        <v>650218</v>
      </c>
      <c r="L864" t="s">
        <v>73</v>
      </c>
      <c r="M864" t="s">
        <v>74</v>
      </c>
      <c r="N864" t="s">
        <v>56</v>
      </c>
      <c r="O864" s="1">
        <v>45520</v>
      </c>
      <c r="P864" s="1">
        <v>45946</v>
      </c>
      <c r="Q864" s="2">
        <v>21.97</v>
      </c>
      <c r="R864">
        <v>1</v>
      </c>
      <c r="S864" t="s">
        <v>57</v>
      </c>
      <c r="T864" t="s">
        <v>58</v>
      </c>
      <c r="U864" s="4">
        <v>0.1</v>
      </c>
      <c r="V864" s="2">
        <v>0</v>
      </c>
      <c r="W864">
        <v>0</v>
      </c>
      <c r="X864" t="s">
        <v>59</v>
      </c>
      <c r="Y864" t="s">
        <v>60</v>
      </c>
      <c r="Z864">
        <v>0</v>
      </c>
      <c r="AA864" s="2">
        <v>0</v>
      </c>
      <c r="AB864" s="2">
        <v>0</v>
      </c>
      <c r="AC864" s="4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2.2000000000000002</v>
      </c>
      <c r="AM864" s="2">
        <v>2.2000000000000002</v>
      </c>
      <c r="AN864" s="2">
        <v>0</v>
      </c>
      <c r="AO864" s="2">
        <v>0</v>
      </c>
      <c r="AP864" s="2">
        <v>0</v>
      </c>
    </row>
    <row r="865" spans="1:42" x14ac:dyDescent="0.25">
      <c r="A865" s="1">
        <v>45915</v>
      </c>
      <c r="B865" t="s">
        <v>47</v>
      </c>
      <c r="C865">
        <v>649163</v>
      </c>
      <c r="D865">
        <v>2024737147</v>
      </c>
      <c r="E865" t="s">
        <v>802</v>
      </c>
      <c r="F865" t="s">
        <v>801</v>
      </c>
      <c r="G865" t="s">
        <v>50</v>
      </c>
      <c r="H865" t="s">
        <v>800</v>
      </c>
      <c r="I865" t="s">
        <v>430</v>
      </c>
      <c r="J865" t="s">
        <v>431</v>
      </c>
      <c r="K865">
        <v>751867</v>
      </c>
      <c r="L865" t="s">
        <v>84</v>
      </c>
      <c r="M865" t="s">
        <v>85</v>
      </c>
      <c r="N865" t="s">
        <v>56</v>
      </c>
      <c r="O865" s="1">
        <v>45541</v>
      </c>
      <c r="P865" s="1">
        <v>45936</v>
      </c>
      <c r="Q865" s="2">
        <v>43.39</v>
      </c>
      <c r="R865">
        <v>1</v>
      </c>
      <c r="S865" t="s">
        <v>57</v>
      </c>
      <c r="T865" t="s">
        <v>58</v>
      </c>
      <c r="U865" s="4">
        <v>0.1</v>
      </c>
      <c r="V865" s="2">
        <v>0</v>
      </c>
      <c r="W865">
        <v>0</v>
      </c>
      <c r="X865" t="s">
        <v>59</v>
      </c>
      <c r="Y865" t="s">
        <v>60</v>
      </c>
      <c r="Z865">
        <v>0</v>
      </c>
      <c r="AA865" s="2">
        <v>0</v>
      </c>
      <c r="AB865" s="2">
        <v>0</v>
      </c>
      <c r="AC865" s="4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4.34</v>
      </c>
      <c r="AM865" s="2">
        <v>4.34</v>
      </c>
      <c r="AN865" s="2">
        <v>0</v>
      </c>
      <c r="AO865" s="2">
        <v>0</v>
      </c>
      <c r="AP865" s="2">
        <v>0</v>
      </c>
    </row>
    <row r="866" spans="1:42" x14ac:dyDescent="0.25">
      <c r="A866" s="1">
        <v>45915</v>
      </c>
      <c r="B866" t="s">
        <v>47</v>
      </c>
      <c r="C866">
        <v>649163</v>
      </c>
      <c r="D866">
        <v>2024853074</v>
      </c>
      <c r="E866" t="s">
        <v>733</v>
      </c>
      <c r="F866" t="s">
        <v>732</v>
      </c>
      <c r="G866" t="s">
        <v>50</v>
      </c>
      <c r="H866" t="s">
        <v>151</v>
      </c>
      <c r="I866" t="s">
        <v>430</v>
      </c>
      <c r="J866" t="s">
        <v>431</v>
      </c>
      <c r="K866">
        <v>650218</v>
      </c>
      <c r="L866" t="s">
        <v>73</v>
      </c>
      <c r="M866" t="s">
        <v>74</v>
      </c>
      <c r="N866" t="s">
        <v>56</v>
      </c>
      <c r="O866" s="1">
        <v>45550</v>
      </c>
      <c r="P866" s="1">
        <v>45945</v>
      </c>
      <c r="Q866" s="2">
        <v>35.06</v>
      </c>
      <c r="R866">
        <v>1</v>
      </c>
      <c r="S866" t="s">
        <v>57</v>
      </c>
      <c r="T866" t="s">
        <v>58</v>
      </c>
      <c r="U866" s="4">
        <v>0.1</v>
      </c>
      <c r="V866" s="2">
        <v>0</v>
      </c>
      <c r="W866">
        <v>0</v>
      </c>
      <c r="X866" t="s">
        <v>59</v>
      </c>
      <c r="Y866" t="s">
        <v>60</v>
      </c>
      <c r="Z866">
        <v>0</v>
      </c>
      <c r="AA866" s="2">
        <v>0</v>
      </c>
      <c r="AB866" s="2">
        <v>0</v>
      </c>
      <c r="AC866" s="4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3.51</v>
      </c>
      <c r="AM866" s="2">
        <v>3.51</v>
      </c>
      <c r="AN866" s="2">
        <v>0</v>
      </c>
      <c r="AO866" s="2">
        <v>0</v>
      </c>
      <c r="AP866" s="2">
        <v>0</v>
      </c>
    </row>
    <row r="867" spans="1:42" x14ac:dyDescent="0.25">
      <c r="A867" s="1">
        <v>45915</v>
      </c>
      <c r="B867" t="s">
        <v>47</v>
      </c>
      <c r="C867">
        <v>649163</v>
      </c>
      <c r="D867">
        <v>2025729949</v>
      </c>
      <c r="E867" t="s">
        <v>799</v>
      </c>
      <c r="F867" t="s">
        <v>62</v>
      </c>
      <c r="G867" t="s">
        <v>50</v>
      </c>
      <c r="H867" t="s">
        <v>51</v>
      </c>
      <c r="I867" t="s">
        <v>430</v>
      </c>
      <c r="J867" t="s">
        <v>431</v>
      </c>
      <c r="K867">
        <v>650218</v>
      </c>
      <c r="L867" t="s">
        <v>73</v>
      </c>
      <c r="M867" t="s">
        <v>74</v>
      </c>
      <c r="N867" t="s">
        <v>56</v>
      </c>
      <c r="O867" s="1">
        <v>45609</v>
      </c>
      <c r="P867" s="1">
        <v>45943</v>
      </c>
      <c r="Q867" s="2">
        <v>53.16</v>
      </c>
      <c r="R867">
        <v>1</v>
      </c>
      <c r="S867" t="s">
        <v>57</v>
      </c>
      <c r="T867" t="s">
        <v>58</v>
      </c>
      <c r="U867" s="4">
        <v>0.38</v>
      </c>
      <c r="V867" s="2">
        <v>0</v>
      </c>
      <c r="W867">
        <v>0</v>
      </c>
      <c r="X867" t="s">
        <v>70</v>
      </c>
      <c r="Y867" t="s">
        <v>60</v>
      </c>
      <c r="Z867">
        <v>0</v>
      </c>
      <c r="AA867" s="2">
        <v>0</v>
      </c>
      <c r="AB867" s="2">
        <v>0</v>
      </c>
      <c r="AC867" s="4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20.2</v>
      </c>
      <c r="AM867" s="2">
        <v>20.2</v>
      </c>
      <c r="AN867" s="2">
        <v>0</v>
      </c>
      <c r="AO867" s="2">
        <v>0</v>
      </c>
      <c r="AP867" s="2">
        <v>0</v>
      </c>
    </row>
    <row r="868" spans="1:42" x14ac:dyDescent="0.25">
      <c r="A868" s="1">
        <v>45915</v>
      </c>
      <c r="B868" t="s">
        <v>47</v>
      </c>
      <c r="C868">
        <v>649163</v>
      </c>
      <c r="D868">
        <v>2025737164</v>
      </c>
      <c r="E868" t="s">
        <v>798</v>
      </c>
      <c r="F868" t="s">
        <v>339</v>
      </c>
      <c r="G868" t="s">
        <v>50</v>
      </c>
      <c r="H868" t="s">
        <v>63</v>
      </c>
      <c r="I868" t="s">
        <v>430</v>
      </c>
      <c r="J868" t="s">
        <v>431</v>
      </c>
      <c r="K868">
        <v>650218</v>
      </c>
      <c r="L868" t="s">
        <v>73</v>
      </c>
      <c r="M868" t="s">
        <v>74</v>
      </c>
      <c r="N868" t="s">
        <v>56</v>
      </c>
      <c r="O868" s="1">
        <v>45609</v>
      </c>
      <c r="P868" s="1">
        <v>45943</v>
      </c>
      <c r="Q868" s="2">
        <v>26.7</v>
      </c>
      <c r="R868">
        <v>1</v>
      </c>
      <c r="S868" t="s">
        <v>57</v>
      </c>
      <c r="T868" t="s">
        <v>58</v>
      </c>
      <c r="U868" s="4">
        <v>0.38</v>
      </c>
      <c r="V868" s="2">
        <v>0</v>
      </c>
      <c r="W868">
        <v>0</v>
      </c>
      <c r="X868" t="s">
        <v>70</v>
      </c>
      <c r="Y868" t="s">
        <v>60</v>
      </c>
      <c r="Z868">
        <v>0</v>
      </c>
      <c r="AA868" s="2">
        <v>0</v>
      </c>
      <c r="AB868" s="2">
        <v>0</v>
      </c>
      <c r="AC868" s="4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10.15</v>
      </c>
      <c r="AM868" s="2">
        <v>10.15</v>
      </c>
      <c r="AN868" s="2">
        <v>0</v>
      </c>
      <c r="AO868" s="2">
        <v>0</v>
      </c>
      <c r="AP868" s="2">
        <v>0</v>
      </c>
    </row>
    <row r="869" spans="1:42" x14ac:dyDescent="0.25">
      <c r="A869" s="1">
        <v>45915</v>
      </c>
      <c r="B869" t="s">
        <v>47</v>
      </c>
      <c r="C869">
        <v>649163</v>
      </c>
      <c r="D869">
        <v>2025756062</v>
      </c>
      <c r="E869" t="s">
        <v>797</v>
      </c>
      <c r="F869" t="s">
        <v>796</v>
      </c>
      <c r="G869" t="s">
        <v>50</v>
      </c>
      <c r="H869" t="s">
        <v>51</v>
      </c>
      <c r="I869" t="s">
        <v>430</v>
      </c>
      <c r="J869" t="s">
        <v>431</v>
      </c>
      <c r="K869">
        <v>650218</v>
      </c>
      <c r="L869" t="s">
        <v>73</v>
      </c>
      <c r="M869" t="s">
        <v>74</v>
      </c>
      <c r="N869" t="s">
        <v>56</v>
      </c>
      <c r="O869" s="1">
        <v>45610</v>
      </c>
      <c r="P869" s="1">
        <v>45944</v>
      </c>
      <c r="Q869" s="2">
        <v>33.51</v>
      </c>
      <c r="R869">
        <v>1</v>
      </c>
      <c r="S869" t="s">
        <v>57</v>
      </c>
      <c r="T869" t="s">
        <v>58</v>
      </c>
      <c r="U869" s="4">
        <v>0.38</v>
      </c>
      <c r="V869" s="2">
        <v>0</v>
      </c>
      <c r="W869">
        <v>0</v>
      </c>
      <c r="X869" t="s">
        <v>70</v>
      </c>
      <c r="Y869" t="s">
        <v>60</v>
      </c>
      <c r="Z869">
        <v>0</v>
      </c>
      <c r="AA869" s="2">
        <v>0</v>
      </c>
      <c r="AB869" s="2">
        <v>0</v>
      </c>
      <c r="AC869" s="4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12.73</v>
      </c>
      <c r="AM869" s="2">
        <v>12.73</v>
      </c>
      <c r="AN869" s="2">
        <v>0</v>
      </c>
      <c r="AO869" s="2">
        <v>0</v>
      </c>
      <c r="AP869" s="2">
        <v>0</v>
      </c>
    </row>
    <row r="870" spans="1:42" x14ac:dyDescent="0.25">
      <c r="A870" s="1">
        <v>45915</v>
      </c>
      <c r="B870" t="s">
        <v>47</v>
      </c>
      <c r="C870">
        <v>649163</v>
      </c>
      <c r="D870">
        <v>2025769233</v>
      </c>
      <c r="E870" t="s">
        <v>795</v>
      </c>
      <c r="F870" t="s">
        <v>794</v>
      </c>
      <c r="G870" t="s">
        <v>50</v>
      </c>
      <c r="H870" t="s">
        <v>51</v>
      </c>
      <c r="I870" t="s">
        <v>430</v>
      </c>
      <c r="J870" t="s">
        <v>78</v>
      </c>
      <c r="K870">
        <v>650218</v>
      </c>
      <c r="L870" t="s">
        <v>73</v>
      </c>
      <c r="M870" t="s">
        <v>74</v>
      </c>
      <c r="N870" t="s">
        <v>56</v>
      </c>
      <c r="O870" s="1">
        <v>45611</v>
      </c>
      <c r="P870" s="1">
        <v>45945</v>
      </c>
      <c r="Q870" s="2">
        <v>56.46</v>
      </c>
      <c r="R870">
        <v>1</v>
      </c>
      <c r="S870" t="s">
        <v>57</v>
      </c>
      <c r="T870" t="s">
        <v>58</v>
      </c>
      <c r="U870" s="4">
        <v>0.6</v>
      </c>
      <c r="V870" s="2">
        <v>0</v>
      </c>
      <c r="W870">
        <v>0</v>
      </c>
      <c r="X870" t="s">
        <v>70</v>
      </c>
      <c r="Y870" t="s">
        <v>60</v>
      </c>
      <c r="Z870">
        <v>0</v>
      </c>
      <c r="AA870" s="2">
        <v>0</v>
      </c>
      <c r="AB870" s="2">
        <v>0</v>
      </c>
      <c r="AC870" s="4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33.880000000000003</v>
      </c>
      <c r="AM870" s="2">
        <v>33.880000000000003</v>
      </c>
      <c r="AN870" s="2">
        <v>0</v>
      </c>
      <c r="AO870" s="2">
        <v>0</v>
      </c>
      <c r="AP870" s="2">
        <v>0</v>
      </c>
    </row>
    <row r="871" spans="1:42" x14ac:dyDescent="0.25">
      <c r="A871" s="1">
        <v>45915</v>
      </c>
      <c r="B871" t="s">
        <v>47</v>
      </c>
      <c r="C871">
        <v>649163</v>
      </c>
      <c r="D871">
        <v>2025769234</v>
      </c>
      <c r="E871" t="s">
        <v>795</v>
      </c>
      <c r="F871" t="s">
        <v>794</v>
      </c>
      <c r="G871" t="s">
        <v>50</v>
      </c>
      <c r="H871" t="s">
        <v>51</v>
      </c>
      <c r="I871" t="s">
        <v>430</v>
      </c>
      <c r="J871" t="s">
        <v>431</v>
      </c>
      <c r="K871">
        <v>650218</v>
      </c>
      <c r="L871" t="s">
        <v>73</v>
      </c>
      <c r="M871" t="s">
        <v>74</v>
      </c>
      <c r="N871" t="s">
        <v>56</v>
      </c>
      <c r="O871" s="1">
        <v>45611</v>
      </c>
      <c r="P871" s="1">
        <v>45945</v>
      </c>
      <c r="Q871" s="2">
        <v>27.15</v>
      </c>
      <c r="R871">
        <v>1</v>
      </c>
      <c r="S871" t="s">
        <v>57</v>
      </c>
      <c r="T871" t="s">
        <v>58</v>
      </c>
      <c r="U871" s="4">
        <v>0.38</v>
      </c>
      <c r="V871" s="2">
        <v>0</v>
      </c>
      <c r="W871">
        <v>0</v>
      </c>
      <c r="X871" t="s">
        <v>70</v>
      </c>
      <c r="Y871" t="s">
        <v>60</v>
      </c>
      <c r="Z871">
        <v>0</v>
      </c>
      <c r="AA871" s="2">
        <v>0</v>
      </c>
      <c r="AB871" s="2">
        <v>0</v>
      </c>
      <c r="AC871" s="4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10.32</v>
      </c>
      <c r="AM871" s="2">
        <v>10.32</v>
      </c>
      <c r="AN871" s="2">
        <v>0</v>
      </c>
      <c r="AO871" s="2">
        <v>0</v>
      </c>
      <c r="AP871" s="2">
        <v>0</v>
      </c>
    </row>
    <row r="872" spans="1:42" x14ac:dyDescent="0.25">
      <c r="A872" s="1">
        <v>45915</v>
      </c>
      <c r="B872" t="s">
        <v>47</v>
      </c>
      <c r="C872">
        <v>649163</v>
      </c>
      <c r="D872">
        <v>2025820172</v>
      </c>
      <c r="E872" t="s">
        <v>793</v>
      </c>
      <c r="F872" t="s">
        <v>792</v>
      </c>
      <c r="G872" t="s">
        <v>50</v>
      </c>
      <c r="H872" t="s">
        <v>141</v>
      </c>
      <c r="I872" t="s">
        <v>430</v>
      </c>
      <c r="J872" t="s">
        <v>431</v>
      </c>
      <c r="K872">
        <v>796984</v>
      </c>
      <c r="L872" t="s">
        <v>221</v>
      </c>
      <c r="M872" t="s">
        <v>62</v>
      </c>
      <c r="N872" t="s">
        <v>56</v>
      </c>
      <c r="O872" s="1">
        <v>45615</v>
      </c>
      <c r="P872" s="1">
        <v>45949</v>
      </c>
      <c r="Q872" s="2">
        <v>26.43</v>
      </c>
      <c r="R872">
        <v>1</v>
      </c>
      <c r="S872" t="s">
        <v>57</v>
      </c>
      <c r="T872" t="s">
        <v>58</v>
      </c>
      <c r="U872" s="4">
        <v>0.38</v>
      </c>
      <c r="V872" s="2">
        <v>0</v>
      </c>
      <c r="W872">
        <v>0</v>
      </c>
      <c r="X872" t="s">
        <v>70</v>
      </c>
      <c r="Y872" t="s">
        <v>60</v>
      </c>
      <c r="Z872">
        <v>0</v>
      </c>
      <c r="AA872" s="2">
        <v>0</v>
      </c>
      <c r="AB872" s="2">
        <v>0</v>
      </c>
      <c r="AC872" s="4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10.039999999999999</v>
      </c>
      <c r="AM872" s="2">
        <v>10.039999999999999</v>
      </c>
      <c r="AN872" s="2">
        <v>0</v>
      </c>
      <c r="AO872" s="2">
        <v>0</v>
      </c>
      <c r="AP872" s="2">
        <v>0</v>
      </c>
    </row>
    <row r="873" spans="1:42" x14ac:dyDescent="0.25">
      <c r="A873" s="1">
        <v>45915</v>
      </c>
      <c r="B873" t="s">
        <v>47</v>
      </c>
      <c r="C873">
        <v>649163</v>
      </c>
      <c r="D873">
        <v>2025850685</v>
      </c>
      <c r="E873" t="s">
        <v>556</v>
      </c>
      <c r="F873" t="s">
        <v>791</v>
      </c>
      <c r="G873" t="s">
        <v>50</v>
      </c>
      <c r="H873" t="s">
        <v>193</v>
      </c>
      <c r="I873" t="s">
        <v>430</v>
      </c>
      <c r="J873" t="s">
        <v>78</v>
      </c>
      <c r="K873">
        <v>673059</v>
      </c>
      <c r="L873" t="s">
        <v>152</v>
      </c>
      <c r="M873" t="s">
        <v>153</v>
      </c>
      <c r="N873" t="s">
        <v>56</v>
      </c>
      <c r="O873" s="1">
        <v>45658</v>
      </c>
      <c r="P873" s="1">
        <v>45931</v>
      </c>
      <c r="Q873" s="2">
        <v>105.84</v>
      </c>
      <c r="R873">
        <v>1</v>
      </c>
      <c r="S873" t="s">
        <v>57</v>
      </c>
      <c r="T873" t="s">
        <v>58</v>
      </c>
      <c r="U873" s="4">
        <v>0.6</v>
      </c>
      <c r="V873" s="2">
        <v>0</v>
      </c>
      <c r="W873">
        <v>0</v>
      </c>
      <c r="X873" t="s">
        <v>70</v>
      </c>
      <c r="Y873" t="s">
        <v>60</v>
      </c>
      <c r="Z873">
        <v>0</v>
      </c>
      <c r="AA873" s="2">
        <v>0</v>
      </c>
      <c r="AB873" s="2">
        <v>0</v>
      </c>
      <c r="AC873" s="4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63.5</v>
      </c>
      <c r="AM873" s="2">
        <v>63.5</v>
      </c>
      <c r="AN873" s="2">
        <v>0</v>
      </c>
      <c r="AO873" s="2">
        <v>0</v>
      </c>
      <c r="AP873" s="2">
        <v>0</v>
      </c>
    </row>
    <row r="874" spans="1:42" x14ac:dyDescent="0.25">
      <c r="A874" s="1">
        <v>45915</v>
      </c>
      <c r="B874" t="s">
        <v>47</v>
      </c>
      <c r="C874">
        <v>649163</v>
      </c>
      <c r="D874">
        <v>2026061219</v>
      </c>
      <c r="E874" t="s">
        <v>790</v>
      </c>
      <c r="F874" t="s">
        <v>789</v>
      </c>
      <c r="G874" t="s">
        <v>50</v>
      </c>
      <c r="H874" t="s">
        <v>141</v>
      </c>
      <c r="I874" t="s">
        <v>430</v>
      </c>
      <c r="J874" t="s">
        <v>431</v>
      </c>
      <c r="K874">
        <v>796984</v>
      </c>
      <c r="L874" t="s">
        <v>221</v>
      </c>
      <c r="M874" t="s">
        <v>62</v>
      </c>
      <c r="N874" t="s">
        <v>56</v>
      </c>
      <c r="O874" s="1">
        <v>45641</v>
      </c>
      <c r="P874" s="1">
        <v>45945</v>
      </c>
      <c r="Q874" s="2">
        <v>33.31</v>
      </c>
      <c r="R874">
        <v>1</v>
      </c>
      <c r="S874" t="s">
        <v>57</v>
      </c>
      <c r="T874" t="s">
        <v>58</v>
      </c>
      <c r="U874" s="4">
        <v>0.38</v>
      </c>
      <c r="V874" s="2">
        <v>0</v>
      </c>
      <c r="W874">
        <v>0</v>
      </c>
      <c r="X874" t="s">
        <v>70</v>
      </c>
      <c r="Y874" t="s">
        <v>60</v>
      </c>
      <c r="Z874">
        <v>0</v>
      </c>
      <c r="AA874" s="2">
        <v>0</v>
      </c>
      <c r="AB874" s="2">
        <v>0</v>
      </c>
      <c r="AC874" s="4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12.66</v>
      </c>
      <c r="AM874" s="2">
        <v>12.66</v>
      </c>
      <c r="AN874" s="2">
        <v>0</v>
      </c>
      <c r="AO874" s="2">
        <v>0</v>
      </c>
      <c r="AP874" s="2">
        <v>0</v>
      </c>
    </row>
    <row r="875" spans="1:42" x14ac:dyDescent="0.25">
      <c r="A875" s="1">
        <v>45915</v>
      </c>
      <c r="B875" t="s">
        <v>47</v>
      </c>
      <c r="C875">
        <v>649163</v>
      </c>
      <c r="D875">
        <v>2026213327</v>
      </c>
      <c r="E875" t="s">
        <v>788</v>
      </c>
      <c r="F875" t="s">
        <v>787</v>
      </c>
      <c r="G875" t="s">
        <v>50</v>
      </c>
      <c r="H875" t="s">
        <v>151</v>
      </c>
      <c r="I875" t="s">
        <v>430</v>
      </c>
      <c r="J875" t="s">
        <v>431</v>
      </c>
      <c r="K875">
        <v>756418</v>
      </c>
      <c r="L875" t="s">
        <v>257</v>
      </c>
      <c r="M875" t="s">
        <v>258</v>
      </c>
      <c r="N875" t="s">
        <v>56</v>
      </c>
      <c r="O875" s="1">
        <v>45644</v>
      </c>
      <c r="P875" s="1">
        <v>45948</v>
      </c>
      <c r="Q875" s="2">
        <v>44.13</v>
      </c>
      <c r="R875">
        <v>1</v>
      </c>
      <c r="S875" t="s">
        <v>57</v>
      </c>
      <c r="T875" t="s">
        <v>58</v>
      </c>
      <c r="U875" s="4">
        <v>0.38</v>
      </c>
      <c r="V875" s="2">
        <v>0</v>
      </c>
      <c r="W875">
        <v>0</v>
      </c>
      <c r="X875" t="s">
        <v>70</v>
      </c>
      <c r="Y875" t="s">
        <v>60</v>
      </c>
      <c r="Z875">
        <v>0</v>
      </c>
      <c r="AA875" s="2">
        <v>0</v>
      </c>
      <c r="AB875" s="2">
        <v>0</v>
      </c>
      <c r="AC875" s="4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16.77</v>
      </c>
      <c r="AM875" s="2">
        <v>16.77</v>
      </c>
      <c r="AN875" s="2">
        <v>0</v>
      </c>
      <c r="AO875" s="2">
        <v>0</v>
      </c>
      <c r="AP875" s="2">
        <v>0</v>
      </c>
    </row>
    <row r="876" spans="1:42" x14ac:dyDescent="0.25">
      <c r="A876" s="1">
        <v>45915</v>
      </c>
      <c r="B876" t="s">
        <v>47</v>
      </c>
      <c r="C876">
        <v>649163</v>
      </c>
      <c r="D876">
        <v>2026586622</v>
      </c>
      <c r="E876" t="s">
        <v>786</v>
      </c>
      <c r="F876" t="s">
        <v>337</v>
      </c>
      <c r="G876" t="s">
        <v>50</v>
      </c>
      <c r="H876" t="s">
        <v>408</v>
      </c>
      <c r="I876" t="s">
        <v>430</v>
      </c>
      <c r="J876" t="s">
        <v>431</v>
      </c>
      <c r="K876">
        <v>756418</v>
      </c>
      <c r="L876" t="s">
        <v>257</v>
      </c>
      <c r="M876" t="s">
        <v>258</v>
      </c>
      <c r="N876" t="s">
        <v>56</v>
      </c>
      <c r="O876" s="1">
        <v>45672</v>
      </c>
      <c r="P876" s="1">
        <v>45945</v>
      </c>
      <c r="Q876" s="2">
        <v>13.38</v>
      </c>
      <c r="R876">
        <v>1</v>
      </c>
      <c r="S876" t="s">
        <v>57</v>
      </c>
      <c r="T876" t="s">
        <v>58</v>
      </c>
      <c r="U876" s="4">
        <v>0.38</v>
      </c>
      <c r="V876" s="2">
        <v>0</v>
      </c>
      <c r="W876">
        <v>0</v>
      </c>
      <c r="X876" t="s">
        <v>70</v>
      </c>
      <c r="Y876" t="s">
        <v>60</v>
      </c>
      <c r="Z876">
        <v>0</v>
      </c>
      <c r="AA876" s="2">
        <v>0</v>
      </c>
      <c r="AB876" s="2">
        <v>0</v>
      </c>
      <c r="AC876" s="4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5.08</v>
      </c>
      <c r="AM876" s="2">
        <v>5.08</v>
      </c>
      <c r="AN876" s="2">
        <v>0</v>
      </c>
      <c r="AO876" s="2">
        <v>0</v>
      </c>
      <c r="AP876" s="2">
        <v>0</v>
      </c>
    </row>
    <row r="877" spans="1:42" x14ac:dyDescent="0.25">
      <c r="A877" s="1">
        <v>45915</v>
      </c>
      <c r="B877" t="s">
        <v>47</v>
      </c>
      <c r="C877">
        <v>649163</v>
      </c>
      <c r="D877">
        <v>2026603199</v>
      </c>
      <c r="E877" t="s">
        <v>785</v>
      </c>
      <c r="F877" t="s">
        <v>784</v>
      </c>
      <c r="G877" t="s">
        <v>50</v>
      </c>
      <c r="H877" t="s">
        <v>51</v>
      </c>
      <c r="I877" t="s">
        <v>430</v>
      </c>
      <c r="J877" t="s">
        <v>431</v>
      </c>
      <c r="K877">
        <v>751867</v>
      </c>
      <c r="L877" t="s">
        <v>84</v>
      </c>
      <c r="M877" t="s">
        <v>85</v>
      </c>
      <c r="N877" t="s">
        <v>56</v>
      </c>
      <c r="O877" s="1">
        <v>45673</v>
      </c>
      <c r="P877" s="1">
        <v>45946</v>
      </c>
      <c r="Q877" s="2">
        <v>33.51</v>
      </c>
      <c r="R877">
        <v>1</v>
      </c>
      <c r="S877" t="s">
        <v>57</v>
      </c>
      <c r="T877" t="s">
        <v>58</v>
      </c>
      <c r="U877" s="4">
        <v>0.38</v>
      </c>
      <c r="V877" s="2">
        <v>0</v>
      </c>
      <c r="W877">
        <v>0</v>
      </c>
      <c r="X877" t="s">
        <v>70</v>
      </c>
      <c r="Y877" t="s">
        <v>60</v>
      </c>
      <c r="Z877">
        <v>0</v>
      </c>
      <c r="AA877" s="2">
        <v>0</v>
      </c>
      <c r="AB877" s="2">
        <v>0</v>
      </c>
      <c r="AC877" s="4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12.73</v>
      </c>
      <c r="AM877" s="2">
        <v>12.73</v>
      </c>
      <c r="AN877" s="2">
        <v>0</v>
      </c>
      <c r="AO877" s="2">
        <v>0</v>
      </c>
      <c r="AP877" s="2">
        <v>0</v>
      </c>
    </row>
    <row r="878" spans="1:42" x14ac:dyDescent="0.25">
      <c r="A878" s="1">
        <v>45915</v>
      </c>
      <c r="B878" t="s">
        <v>47</v>
      </c>
      <c r="C878">
        <v>649163</v>
      </c>
      <c r="D878">
        <v>2027849973</v>
      </c>
      <c r="E878" t="s">
        <v>783</v>
      </c>
      <c r="F878" t="s">
        <v>65</v>
      </c>
      <c r="G878" t="s">
        <v>50</v>
      </c>
      <c r="H878" t="s">
        <v>255</v>
      </c>
      <c r="I878" t="s">
        <v>430</v>
      </c>
      <c r="J878" t="s">
        <v>431</v>
      </c>
      <c r="K878">
        <v>650218</v>
      </c>
      <c r="L878" t="s">
        <v>73</v>
      </c>
      <c r="M878" t="s">
        <v>74</v>
      </c>
      <c r="N878" t="s">
        <v>56</v>
      </c>
      <c r="O878" s="1">
        <v>45733</v>
      </c>
      <c r="P878" s="1">
        <v>45947</v>
      </c>
      <c r="Q878" s="2">
        <v>48.95</v>
      </c>
      <c r="R878">
        <v>1</v>
      </c>
      <c r="S878" t="s">
        <v>57</v>
      </c>
      <c r="T878" t="s">
        <v>58</v>
      </c>
      <c r="U878" s="4">
        <v>0.38</v>
      </c>
      <c r="V878" s="2">
        <v>0</v>
      </c>
      <c r="W878">
        <v>0</v>
      </c>
      <c r="X878" t="s">
        <v>70</v>
      </c>
      <c r="Y878" t="s">
        <v>60</v>
      </c>
      <c r="Z878">
        <v>0</v>
      </c>
      <c r="AA878" s="2">
        <v>0</v>
      </c>
      <c r="AB878" s="2">
        <v>0</v>
      </c>
      <c r="AC878" s="4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18.600000000000001</v>
      </c>
      <c r="AM878" s="2">
        <v>18.600000000000001</v>
      </c>
      <c r="AN878" s="2">
        <v>0</v>
      </c>
      <c r="AO878" s="2">
        <v>0</v>
      </c>
      <c r="AP878" s="2">
        <v>0</v>
      </c>
    </row>
    <row r="879" spans="1:42" x14ac:dyDescent="0.25">
      <c r="A879" s="1">
        <v>45915</v>
      </c>
      <c r="B879" t="s">
        <v>47</v>
      </c>
      <c r="C879">
        <v>649163</v>
      </c>
      <c r="D879">
        <v>2027854738</v>
      </c>
      <c r="E879" t="s">
        <v>782</v>
      </c>
      <c r="F879" t="s">
        <v>781</v>
      </c>
      <c r="G879" t="s">
        <v>50</v>
      </c>
      <c r="H879" t="s">
        <v>77</v>
      </c>
      <c r="I879" t="s">
        <v>430</v>
      </c>
      <c r="J879" t="s">
        <v>438</v>
      </c>
      <c r="K879">
        <v>673059</v>
      </c>
      <c r="L879" t="s">
        <v>152</v>
      </c>
      <c r="M879" t="s">
        <v>153</v>
      </c>
      <c r="N879" t="s">
        <v>56</v>
      </c>
      <c r="O879" s="1">
        <v>45734</v>
      </c>
      <c r="P879" s="1">
        <v>45948</v>
      </c>
      <c r="Q879" s="2">
        <v>217.56</v>
      </c>
      <c r="R879">
        <v>1</v>
      </c>
      <c r="S879" t="s">
        <v>57</v>
      </c>
      <c r="T879" t="s">
        <v>58</v>
      </c>
      <c r="U879" s="4">
        <v>0.38</v>
      </c>
      <c r="V879" s="2">
        <v>0</v>
      </c>
      <c r="W879">
        <v>0</v>
      </c>
      <c r="X879" t="s">
        <v>70</v>
      </c>
      <c r="Y879" t="s">
        <v>60</v>
      </c>
      <c r="Z879">
        <v>0</v>
      </c>
      <c r="AA879" s="2">
        <v>0</v>
      </c>
      <c r="AB879" s="2">
        <v>0</v>
      </c>
      <c r="AC879" s="4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82.67</v>
      </c>
      <c r="AM879" s="2">
        <v>82.67</v>
      </c>
      <c r="AN879" s="2">
        <v>0</v>
      </c>
      <c r="AO879" s="2">
        <v>0</v>
      </c>
      <c r="AP879" s="2">
        <v>0</v>
      </c>
    </row>
    <row r="880" spans="1:42" x14ac:dyDescent="0.25">
      <c r="A880" s="1">
        <v>45915</v>
      </c>
      <c r="B880" t="s">
        <v>47</v>
      </c>
      <c r="C880">
        <v>649163</v>
      </c>
      <c r="D880">
        <v>2027854739</v>
      </c>
      <c r="E880" t="s">
        <v>782</v>
      </c>
      <c r="F880" t="s">
        <v>781</v>
      </c>
      <c r="G880" t="s">
        <v>50</v>
      </c>
      <c r="H880" t="s">
        <v>77</v>
      </c>
      <c r="I880" t="s">
        <v>430</v>
      </c>
      <c r="J880" t="s">
        <v>78</v>
      </c>
      <c r="K880">
        <v>673059</v>
      </c>
      <c r="L880" t="s">
        <v>152</v>
      </c>
      <c r="M880" t="s">
        <v>153</v>
      </c>
      <c r="N880" t="s">
        <v>56</v>
      </c>
      <c r="O880" s="1">
        <v>45734</v>
      </c>
      <c r="P880" s="1">
        <v>45948</v>
      </c>
      <c r="Q880" s="2">
        <v>109.84</v>
      </c>
      <c r="R880">
        <v>1</v>
      </c>
      <c r="S880" t="s">
        <v>57</v>
      </c>
      <c r="T880" t="s">
        <v>58</v>
      </c>
      <c r="U880" s="4">
        <v>0.6</v>
      </c>
      <c r="V880" s="2">
        <v>0</v>
      </c>
      <c r="W880">
        <v>0</v>
      </c>
      <c r="X880" t="s">
        <v>70</v>
      </c>
      <c r="Y880" t="s">
        <v>60</v>
      </c>
      <c r="Z880">
        <v>0</v>
      </c>
      <c r="AA880" s="2">
        <v>0</v>
      </c>
      <c r="AB880" s="2">
        <v>0</v>
      </c>
      <c r="AC880" s="4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65.900000000000006</v>
      </c>
      <c r="AM880" s="2">
        <v>65.900000000000006</v>
      </c>
      <c r="AN880" s="2">
        <v>0</v>
      </c>
      <c r="AO880" s="2">
        <v>0</v>
      </c>
      <c r="AP880" s="2">
        <v>0</v>
      </c>
    </row>
    <row r="881" spans="1:42" x14ac:dyDescent="0.25">
      <c r="A881" s="1">
        <v>45915</v>
      </c>
      <c r="B881" t="s">
        <v>47</v>
      </c>
      <c r="C881">
        <v>649163</v>
      </c>
      <c r="D881">
        <v>2028488143</v>
      </c>
      <c r="E881" t="s">
        <v>780</v>
      </c>
      <c r="F881" t="s">
        <v>779</v>
      </c>
      <c r="G881" t="s">
        <v>50</v>
      </c>
      <c r="H881" t="s">
        <v>51</v>
      </c>
      <c r="I881" t="s">
        <v>430</v>
      </c>
      <c r="J881" t="s">
        <v>431</v>
      </c>
      <c r="K881">
        <v>751867</v>
      </c>
      <c r="L881" t="s">
        <v>84</v>
      </c>
      <c r="M881" t="s">
        <v>85</v>
      </c>
      <c r="N881" t="s">
        <v>56</v>
      </c>
      <c r="O881" s="1">
        <v>45766</v>
      </c>
      <c r="P881" s="1">
        <v>45949</v>
      </c>
      <c r="Q881" s="2">
        <v>89.62</v>
      </c>
      <c r="R881">
        <v>1</v>
      </c>
      <c r="S881" t="s">
        <v>57</v>
      </c>
      <c r="T881" t="s">
        <v>58</v>
      </c>
      <c r="U881" s="4">
        <v>0.38</v>
      </c>
      <c r="V881" s="2">
        <v>0</v>
      </c>
      <c r="W881">
        <v>0</v>
      </c>
      <c r="X881" t="s">
        <v>70</v>
      </c>
      <c r="Y881" t="s">
        <v>60</v>
      </c>
      <c r="Z881">
        <v>0</v>
      </c>
      <c r="AA881" s="2">
        <v>0</v>
      </c>
      <c r="AB881" s="2">
        <v>0</v>
      </c>
      <c r="AC881" s="4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34.06</v>
      </c>
      <c r="AM881" s="2">
        <v>34.06</v>
      </c>
      <c r="AN881" s="2">
        <v>0</v>
      </c>
      <c r="AO881" s="2">
        <v>0</v>
      </c>
      <c r="AP881" s="2">
        <v>0</v>
      </c>
    </row>
    <row r="882" spans="1:42" x14ac:dyDescent="0.25">
      <c r="A882" s="1">
        <v>45915</v>
      </c>
      <c r="B882" t="s">
        <v>47</v>
      </c>
      <c r="C882">
        <v>649163</v>
      </c>
      <c r="D882">
        <v>2028565356</v>
      </c>
      <c r="E882" t="s">
        <v>317</v>
      </c>
      <c r="F882" t="s">
        <v>778</v>
      </c>
      <c r="G882" t="s">
        <v>50</v>
      </c>
      <c r="H882" t="s">
        <v>151</v>
      </c>
      <c r="I882" t="s">
        <v>430</v>
      </c>
      <c r="J882" t="s">
        <v>431</v>
      </c>
      <c r="K882">
        <v>650218</v>
      </c>
      <c r="L882" t="s">
        <v>73</v>
      </c>
      <c r="M882" t="s">
        <v>74</v>
      </c>
      <c r="N882" t="s">
        <v>56</v>
      </c>
      <c r="O882" s="1">
        <v>45777</v>
      </c>
      <c r="P882" s="1">
        <v>45930</v>
      </c>
      <c r="Q882" s="2">
        <v>39.340000000000003</v>
      </c>
      <c r="R882">
        <v>1</v>
      </c>
      <c r="S882" t="s">
        <v>57</v>
      </c>
      <c r="T882" t="s">
        <v>58</v>
      </c>
      <c r="U882" s="4">
        <v>0.38</v>
      </c>
      <c r="V882" s="2">
        <v>0</v>
      </c>
      <c r="W882">
        <v>0</v>
      </c>
      <c r="X882" t="s">
        <v>70</v>
      </c>
      <c r="Y882" t="s">
        <v>60</v>
      </c>
      <c r="Z882">
        <v>0</v>
      </c>
      <c r="AA882" s="2">
        <v>0</v>
      </c>
      <c r="AB882" s="2">
        <v>0</v>
      </c>
      <c r="AC882" s="4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14.95</v>
      </c>
      <c r="AM882" s="2">
        <v>14.95</v>
      </c>
      <c r="AN882" s="2">
        <v>0</v>
      </c>
      <c r="AO882" s="2">
        <v>0</v>
      </c>
      <c r="AP882" s="2">
        <v>0</v>
      </c>
    </row>
    <row r="883" spans="1:42" x14ac:dyDescent="0.25">
      <c r="A883" s="1">
        <v>45915</v>
      </c>
      <c r="B883" t="s">
        <v>47</v>
      </c>
      <c r="C883">
        <v>649163</v>
      </c>
      <c r="D883">
        <v>2028958356</v>
      </c>
      <c r="E883" t="s">
        <v>777</v>
      </c>
      <c r="F883" t="s">
        <v>349</v>
      </c>
      <c r="G883" t="s">
        <v>50</v>
      </c>
      <c r="H883" t="s">
        <v>93</v>
      </c>
      <c r="I883" t="s">
        <v>430</v>
      </c>
      <c r="J883" t="s">
        <v>440</v>
      </c>
      <c r="K883">
        <v>673059</v>
      </c>
      <c r="L883" t="s">
        <v>152</v>
      </c>
      <c r="M883" t="s">
        <v>153</v>
      </c>
      <c r="N883" t="s">
        <v>56</v>
      </c>
      <c r="O883" s="1">
        <v>45793</v>
      </c>
      <c r="P883" s="1">
        <v>45946</v>
      </c>
      <c r="Q883" s="2">
        <v>100.48</v>
      </c>
      <c r="R883">
        <v>1</v>
      </c>
      <c r="S883" t="s">
        <v>57</v>
      </c>
      <c r="T883" t="s">
        <v>58</v>
      </c>
      <c r="U883" s="4">
        <v>0.19</v>
      </c>
      <c r="V883" s="2">
        <v>0</v>
      </c>
      <c r="W883">
        <v>0</v>
      </c>
      <c r="X883" t="s">
        <v>70</v>
      </c>
      <c r="Y883" t="s">
        <v>60</v>
      </c>
      <c r="Z883">
        <v>0</v>
      </c>
      <c r="AA883" s="2">
        <v>0</v>
      </c>
      <c r="AB883" s="2">
        <v>0</v>
      </c>
      <c r="AC883" s="4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19.09</v>
      </c>
      <c r="AM883" s="2">
        <v>19.09</v>
      </c>
      <c r="AN883" s="2">
        <v>0</v>
      </c>
      <c r="AO883" s="2">
        <v>0</v>
      </c>
      <c r="AP883" s="2">
        <v>0</v>
      </c>
    </row>
    <row r="884" spans="1:42" x14ac:dyDescent="0.25">
      <c r="A884" s="1">
        <v>45915</v>
      </c>
      <c r="B884" t="s">
        <v>47</v>
      </c>
      <c r="C884">
        <v>649163</v>
      </c>
      <c r="D884">
        <v>2029486075</v>
      </c>
      <c r="E884" t="s">
        <v>776</v>
      </c>
      <c r="F884" t="s">
        <v>775</v>
      </c>
      <c r="G884" t="s">
        <v>50</v>
      </c>
      <c r="H884" t="s">
        <v>93</v>
      </c>
      <c r="I884" t="s">
        <v>430</v>
      </c>
      <c r="J884" t="s">
        <v>438</v>
      </c>
      <c r="K884">
        <v>824062</v>
      </c>
      <c r="L884" t="s">
        <v>200</v>
      </c>
      <c r="M884" t="s">
        <v>201</v>
      </c>
      <c r="N884" t="s">
        <v>56</v>
      </c>
      <c r="O884" s="1">
        <v>45825</v>
      </c>
      <c r="P884" s="1">
        <v>45947</v>
      </c>
      <c r="Q884" s="2">
        <v>139</v>
      </c>
      <c r="R884">
        <v>1</v>
      </c>
      <c r="S884" t="s">
        <v>57</v>
      </c>
      <c r="T884" t="s">
        <v>58</v>
      </c>
      <c r="U884" s="4">
        <v>0.38</v>
      </c>
      <c r="V884" s="2">
        <v>0</v>
      </c>
      <c r="W884">
        <v>0</v>
      </c>
      <c r="X884" t="s">
        <v>70</v>
      </c>
      <c r="Y884" t="s">
        <v>60</v>
      </c>
      <c r="Z884">
        <v>0</v>
      </c>
      <c r="AA884" s="2">
        <v>0</v>
      </c>
      <c r="AB884" s="2">
        <v>0</v>
      </c>
      <c r="AC884" s="4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52.82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</row>
    <row r="885" spans="1:42" x14ac:dyDescent="0.25">
      <c r="A885" s="1">
        <v>45915</v>
      </c>
      <c r="B885" t="s">
        <v>47</v>
      </c>
      <c r="C885">
        <v>649163</v>
      </c>
      <c r="D885">
        <v>2029486076</v>
      </c>
      <c r="E885" t="s">
        <v>776</v>
      </c>
      <c r="F885" t="s">
        <v>775</v>
      </c>
      <c r="G885" t="s">
        <v>50</v>
      </c>
      <c r="H885" t="s">
        <v>93</v>
      </c>
      <c r="I885" t="s">
        <v>430</v>
      </c>
      <c r="J885" t="s">
        <v>439</v>
      </c>
      <c r="K885">
        <v>824062</v>
      </c>
      <c r="L885" t="s">
        <v>200</v>
      </c>
      <c r="M885" t="s">
        <v>201</v>
      </c>
      <c r="N885" t="s">
        <v>56</v>
      </c>
      <c r="O885" s="1">
        <v>45825</v>
      </c>
      <c r="P885" s="1">
        <v>45947</v>
      </c>
      <c r="Q885" s="2">
        <v>7.09</v>
      </c>
      <c r="R885">
        <v>1</v>
      </c>
      <c r="S885" t="s">
        <v>57</v>
      </c>
      <c r="T885" t="s">
        <v>58</v>
      </c>
      <c r="U885" s="4">
        <v>0.38</v>
      </c>
      <c r="V885" s="2">
        <v>0</v>
      </c>
      <c r="W885">
        <v>0</v>
      </c>
      <c r="X885" t="s">
        <v>70</v>
      </c>
      <c r="Y885" t="s">
        <v>60</v>
      </c>
      <c r="Z885">
        <v>0</v>
      </c>
      <c r="AA885" s="2">
        <v>0</v>
      </c>
      <c r="AB885" s="2">
        <v>0</v>
      </c>
      <c r="AC885" s="4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2.69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</row>
    <row r="886" spans="1:42" x14ac:dyDescent="0.25">
      <c r="A886" s="1">
        <v>45915</v>
      </c>
      <c r="B886" t="s">
        <v>47</v>
      </c>
      <c r="C886">
        <v>649163</v>
      </c>
      <c r="D886">
        <v>2029955374</v>
      </c>
      <c r="E886" t="s">
        <v>774</v>
      </c>
      <c r="F886" t="s">
        <v>773</v>
      </c>
      <c r="G886" t="s">
        <v>50</v>
      </c>
      <c r="H886" t="s">
        <v>141</v>
      </c>
      <c r="I886" t="s">
        <v>430</v>
      </c>
      <c r="J886" t="s">
        <v>431</v>
      </c>
      <c r="K886">
        <v>824082</v>
      </c>
      <c r="L886" t="s">
        <v>624</v>
      </c>
      <c r="M886" t="s">
        <v>623</v>
      </c>
      <c r="N886" t="s">
        <v>56</v>
      </c>
      <c r="O886" s="1">
        <v>45853</v>
      </c>
      <c r="P886" s="1">
        <v>45945</v>
      </c>
      <c r="Q886" s="2">
        <v>33.31</v>
      </c>
      <c r="R886">
        <v>1</v>
      </c>
      <c r="S886" t="s">
        <v>57</v>
      </c>
      <c r="T886" t="s">
        <v>58</v>
      </c>
      <c r="U886" s="4">
        <v>0.38</v>
      </c>
      <c r="V886" s="2">
        <v>0</v>
      </c>
      <c r="W886">
        <v>0</v>
      </c>
      <c r="X886" t="s">
        <v>70</v>
      </c>
      <c r="Y886" t="s">
        <v>60</v>
      </c>
      <c r="Z886">
        <v>0</v>
      </c>
      <c r="AA886" s="2">
        <v>0</v>
      </c>
      <c r="AB886" s="2">
        <v>0</v>
      </c>
      <c r="AC886" s="4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12.66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</row>
    <row r="887" spans="1:42" x14ac:dyDescent="0.25">
      <c r="A887" s="1">
        <v>45915</v>
      </c>
      <c r="B887" t="s">
        <v>47</v>
      </c>
      <c r="C887">
        <v>649163</v>
      </c>
      <c r="D887">
        <v>2030006364</v>
      </c>
      <c r="E887" t="s">
        <v>154</v>
      </c>
      <c r="F887" t="s">
        <v>772</v>
      </c>
      <c r="G887" t="s">
        <v>50</v>
      </c>
      <c r="H887" t="s">
        <v>93</v>
      </c>
      <c r="I887" t="s">
        <v>430</v>
      </c>
      <c r="J887" t="s">
        <v>438</v>
      </c>
      <c r="K887">
        <v>856163</v>
      </c>
      <c r="L887" t="s">
        <v>79</v>
      </c>
      <c r="M887" t="s">
        <v>279</v>
      </c>
      <c r="N887" t="s">
        <v>56</v>
      </c>
      <c r="O887" s="1">
        <v>45856</v>
      </c>
      <c r="P887" s="1">
        <v>45948</v>
      </c>
      <c r="Q887" s="2">
        <v>284.87</v>
      </c>
      <c r="R887">
        <v>1</v>
      </c>
      <c r="S887" t="s">
        <v>57</v>
      </c>
      <c r="T887" t="s">
        <v>58</v>
      </c>
      <c r="U887" s="4">
        <v>0.38</v>
      </c>
      <c r="V887" s="2">
        <v>0</v>
      </c>
      <c r="W887">
        <v>0</v>
      </c>
      <c r="X887" t="s">
        <v>70</v>
      </c>
      <c r="Y887" t="s">
        <v>60</v>
      </c>
      <c r="Z887">
        <v>0</v>
      </c>
      <c r="AA887" s="2">
        <v>0</v>
      </c>
      <c r="AB887" s="2">
        <v>0</v>
      </c>
      <c r="AC887" s="4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108.25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</row>
    <row r="888" spans="1:42" x14ac:dyDescent="0.25">
      <c r="A888" s="1">
        <v>45915</v>
      </c>
      <c r="B888" t="s">
        <v>47</v>
      </c>
      <c r="C888">
        <v>649163</v>
      </c>
      <c r="D888">
        <v>2030006365</v>
      </c>
      <c r="E888" t="s">
        <v>154</v>
      </c>
      <c r="F888" t="s">
        <v>772</v>
      </c>
      <c r="G888" t="s">
        <v>50</v>
      </c>
      <c r="H888" t="s">
        <v>93</v>
      </c>
      <c r="I888" t="s">
        <v>430</v>
      </c>
      <c r="J888" t="s">
        <v>439</v>
      </c>
      <c r="K888">
        <v>856163</v>
      </c>
      <c r="L888" t="s">
        <v>79</v>
      </c>
      <c r="M888" t="s">
        <v>279</v>
      </c>
      <c r="N888" t="s">
        <v>56</v>
      </c>
      <c r="O888" s="1">
        <v>45856</v>
      </c>
      <c r="P888" s="1">
        <v>45948</v>
      </c>
      <c r="Q888" s="2">
        <v>7.09</v>
      </c>
      <c r="R888">
        <v>1</v>
      </c>
      <c r="S888" t="s">
        <v>57</v>
      </c>
      <c r="T888" t="s">
        <v>58</v>
      </c>
      <c r="U888" s="4">
        <v>0.38</v>
      </c>
      <c r="V888" s="2">
        <v>0</v>
      </c>
      <c r="W888">
        <v>0</v>
      </c>
      <c r="X888" t="s">
        <v>70</v>
      </c>
      <c r="Y888" t="s">
        <v>60</v>
      </c>
      <c r="Z888">
        <v>0</v>
      </c>
      <c r="AA888" s="2">
        <v>0</v>
      </c>
      <c r="AB888" s="2">
        <v>0</v>
      </c>
      <c r="AC888" s="4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2.69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</row>
    <row r="889" spans="1:42" x14ac:dyDescent="0.25">
      <c r="A889" s="1">
        <v>45915</v>
      </c>
      <c r="B889" t="s">
        <v>47</v>
      </c>
      <c r="C889">
        <v>649163</v>
      </c>
      <c r="D889">
        <v>2030023417</v>
      </c>
      <c r="E889" t="s">
        <v>771</v>
      </c>
      <c r="F889" t="s">
        <v>770</v>
      </c>
      <c r="G889" t="s">
        <v>50</v>
      </c>
      <c r="H889" t="s">
        <v>93</v>
      </c>
      <c r="I889" t="s">
        <v>430</v>
      </c>
      <c r="J889" t="s">
        <v>440</v>
      </c>
      <c r="K889">
        <v>856163</v>
      </c>
      <c r="L889" t="s">
        <v>79</v>
      </c>
      <c r="M889" t="s">
        <v>279</v>
      </c>
      <c r="N889" t="s">
        <v>56</v>
      </c>
      <c r="O889" s="1">
        <v>45857</v>
      </c>
      <c r="P889" s="1">
        <v>45949</v>
      </c>
      <c r="Q889" s="2">
        <v>316.91000000000003</v>
      </c>
      <c r="R889">
        <v>1</v>
      </c>
      <c r="S889" t="s">
        <v>57</v>
      </c>
      <c r="T889" t="s">
        <v>58</v>
      </c>
      <c r="U889" s="4">
        <v>0.19</v>
      </c>
      <c r="V889" s="2">
        <v>0</v>
      </c>
      <c r="W889">
        <v>0</v>
      </c>
      <c r="X889" t="s">
        <v>70</v>
      </c>
      <c r="Y889" t="s">
        <v>60</v>
      </c>
      <c r="Z889">
        <v>0</v>
      </c>
      <c r="AA889" s="2">
        <v>0</v>
      </c>
      <c r="AB889" s="2">
        <v>0</v>
      </c>
      <c r="AC889" s="4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60.21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</row>
    <row r="890" spans="1:42" x14ac:dyDescent="0.25">
      <c r="A890" s="1">
        <v>45915</v>
      </c>
      <c r="B890" t="s">
        <v>47</v>
      </c>
      <c r="C890">
        <v>649163</v>
      </c>
      <c r="D890">
        <v>2030028578</v>
      </c>
      <c r="E890" t="s">
        <v>769</v>
      </c>
      <c r="F890" t="s">
        <v>321</v>
      </c>
      <c r="G890" t="s">
        <v>50</v>
      </c>
      <c r="H890" t="s">
        <v>93</v>
      </c>
      <c r="I890" t="s">
        <v>430</v>
      </c>
      <c r="J890" t="s">
        <v>439</v>
      </c>
      <c r="K890">
        <v>768887</v>
      </c>
      <c r="L890" t="s">
        <v>282</v>
      </c>
      <c r="M890" t="s">
        <v>283</v>
      </c>
      <c r="N890" t="s">
        <v>56</v>
      </c>
      <c r="O890" s="1">
        <v>45857</v>
      </c>
      <c r="P890" s="1">
        <v>45949</v>
      </c>
      <c r="Q890" s="2">
        <v>7.09</v>
      </c>
      <c r="R890">
        <v>1</v>
      </c>
      <c r="S890" t="s">
        <v>57</v>
      </c>
      <c r="T890" t="s">
        <v>58</v>
      </c>
      <c r="U890" s="4">
        <v>0.38</v>
      </c>
      <c r="V890" s="2">
        <v>0</v>
      </c>
      <c r="W890">
        <v>0</v>
      </c>
      <c r="X890" t="s">
        <v>70</v>
      </c>
      <c r="Y890" t="s">
        <v>60</v>
      </c>
      <c r="Z890">
        <v>0</v>
      </c>
      <c r="AA890" s="2">
        <v>0</v>
      </c>
      <c r="AB890" s="2">
        <v>0</v>
      </c>
      <c r="AC890" s="4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2.69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</row>
    <row r="891" spans="1:42" x14ac:dyDescent="0.25">
      <c r="A891" s="1">
        <v>45915</v>
      </c>
      <c r="B891" t="s">
        <v>47</v>
      </c>
      <c r="C891">
        <v>649163</v>
      </c>
      <c r="D891">
        <v>2030028579</v>
      </c>
      <c r="E891" t="s">
        <v>769</v>
      </c>
      <c r="F891" t="s">
        <v>321</v>
      </c>
      <c r="G891" t="s">
        <v>50</v>
      </c>
      <c r="H891" t="s">
        <v>93</v>
      </c>
      <c r="I891" t="s">
        <v>430</v>
      </c>
      <c r="J891" t="s">
        <v>438</v>
      </c>
      <c r="K891">
        <v>768887</v>
      </c>
      <c r="L891" t="s">
        <v>282</v>
      </c>
      <c r="M891" t="s">
        <v>283</v>
      </c>
      <c r="N891" t="s">
        <v>56</v>
      </c>
      <c r="O891" s="1">
        <v>45857</v>
      </c>
      <c r="P891" s="1">
        <v>45949</v>
      </c>
      <c r="Q891" s="2">
        <v>530.48</v>
      </c>
      <c r="R891">
        <v>1</v>
      </c>
      <c r="S891" t="s">
        <v>57</v>
      </c>
      <c r="T891" t="s">
        <v>58</v>
      </c>
      <c r="U891" s="4">
        <v>0.38</v>
      </c>
      <c r="V891" s="2">
        <v>0</v>
      </c>
      <c r="W891">
        <v>0</v>
      </c>
      <c r="X891" t="s">
        <v>70</v>
      </c>
      <c r="Y891" t="s">
        <v>60</v>
      </c>
      <c r="Z891">
        <v>0</v>
      </c>
      <c r="AA891" s="2">
        <v>0</v>
      </c>
      <c r="AB891" s="2">
        <v>0</v>
      </c>
      <c r="AC891" s="4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201.58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</row>
    <row r="892" spans="1:42" x14ac:dyDescent="0.25">
      <c r="A892" s="1">
        <v>45915</v>
      </c>
      <c r="B892" t="s">
        <v>47</v>
      </c>
      <c r="C892">
        <v>649163</v>
      </c>
      <c r="D892">
        <v>2030455579</v>
      </c>
      <c r="E892" t="s">
        <v>710</v>
      </c>
      <c r="F892" t="s">
        <v>398</v>
      </c>
      <c r="G892" t="s">
        <v>50</v>
      </c>
      <c r="H892" t="s">
        <v>141</v>
      </c>
      <c r="I892" t="s">
        <v>430</v>
      </c>
      <c r="J892" t="s">
        <v>431</v>
      </c>
      <c r="K892">
        <v>816021</v>
      </c>
      <c r="L892" t="s">
        <v>142</v>
      </c>
      <c r="M892" t="s">
        <v>143</v>
      </c>
      <c r="N892" t="s">
        <v>56</v>
      </c>
      <c r="O892" s="1">
        <v>45882</v>
      </c>
      <c r="P892" s="1">
        <v>45943</v>
      </c>
      <c r="Q892" s="2">
        <v>60.5</v>
      </c>
      <c r="R892">
        <v>1</v>
      </c>
      <c r="S892" t="s">
        <v>57</v>
      </c>
      <c r="T892" t="s">
        <v>58</v>
      </c>
      <c r="U892" s="4">
        <v>0.38</v>
      </c>
      <c r="V892" s="2">
        <v>0</v>
      </c>
      <c r="W892">
        <v>0</v>
      </c>
      <c r="X892" t="s">
        <v>70</v>
      </c>
      <c r="Y892" t="s">
        <v>60</v>
      </c>
      <c r="Z892">
        <v>0</v>
      </c>
      <c r="AA892" s="2">
        <v>0</v>
      </c>
      <c r="AB892" s="2">
        <v>0</v>
      </c>
      <c r="AC892" s="4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22.99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</row>
    <row r="893" spans="1:42" x14ac:dyDescent="0.25">
      <c r="A893" s="1">
        <v>45915</v>
      </c>
      <c r="B893" t="s">
        <v>47</v>
      </c>
      <c r="C893">
        <v>649163</v>
      </c>
      <c r="D893">
        <v>2030469675</v>
      </c>
      <c r="E893" t="s">
        <v>612</v>
      </c>
      <c r="F893" t="s">
        <v>611</v>
      </c>
      <c r="G893" t="s">
        <v>50</v>
      </c>
      <c r="H893" t="s">
        <v>204</v>
      </c>
      <c r="I893" t="s">
        <v>430</v>
      </c>
      <c r="J893" t="s">
        <v>431</v>
      </c>
      <c r="K893">
        <v>751867</v>
      </c>
      <c r="L893" t="s">
        <v>84</v>
      </c>
      <c r="M893" t="s">
        <v>85</v>
      </c>
      <c r="N893" t="s">
        <v>230</v>
      </c>
      <c r="O893" s="1">
        <v>45901</v>
      </c>
      <c r="P893" s="1">
        <v>45931</v>
      </c>
      <c r="Q893" s="2">
        <v>-11.77</v>
      </c>
      <c r="R893">
        <v>1</v>
      </c>
      <c r="S893" t="s">
        <v>57</v>
      </c>
      <c r="T893" t="s">
        <v>58</v>
      </c>
      <c r="U893" s="4">
        <v>0.38</v>
      </c>
      <c r="V893" s="2">
        <v>0</v>
      </c>
      <c r="W893">
        <v>-1</v>
      </c>
      <c r="X893" t="s">
        <v>70</v>
      </c>
      <c r="Y893" t="s">
        <v>60</v>
      </c>
      <c r="Z893">
        <v>0</v>
      </c>
      <c r="AA893" s="2">
        <v>0</v>
      </c>
      <c r="AB893" s="2">
        <v>0</v>
      </c>
      <c r="AC893" s="4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-4.47</v>
      </c>
      <c r="AM893" s="2">
        <v>-4.47</v>
      </c>
      <c r="AN893" s="2">
        <v>0</v>
      </c>
      <c r="AO893" s="2">
        <v>0</v>
      </c>
      <c r="AP893" s="2">
        <v>0</v>
      </c>
    </row>
    <row r="894" spans="1:42" x14ac:dyDescent="0.25">
      <c r="A894" s="1">
        <v>45915</v>
      </c>
      <c r="B894" t="s">
        <v>47</v>
      </c>
      <c r="C894">
        <v>649163</v>
      </c>
      <c r="D894">
        <v>2030495948</v>
      </c>
      <c r="E894" t="s">
        <v>284</v>
      </c>
      <c r="F894" t="s">
        <v>285</v>
      </c>
      <c r="G894" t="s">
        <v>50</v>
      </c>
      <c r="H894" t="s">
        <v>93</v>
      </c>
      <c r="I894" t="s">
        <v>430</v>
      </c>
      <c r="J894" t="s">
        <v>439</v>
      </c>
      <c r="K894">
        <v>768887</v>
      </c>
      <c r="L894" t="s">
        <v>282</v>
      </c>
      <c r="M894" t="s">
        <v>283</v>
      </c>
      <c r="N894" t="s">
        <v>56</v>
      </c>
      <c r="O894" s="1">
        <v>45884</v>
      </c>
      <c r="P894" s="1">
        <v>45945</v>
      </c>
      <c r="Q894" s="2">
        <v>7.09</v>
      </c>
      <c r="R894">
        <v>1</v>
      </c>
      <c r="S894" t="s">
        <v>57</v>
      </c>
      <c r="T894" t="s">
        <v>58</v>
      </c>
      <c r="U894" s="4">
        <v>0.38</v>
      </c>
      <c r="V894" s="2">
        <v>0</v>
      </c>
      <c r="W894">
        <v>0</v>
      </c>
      <c r="X894" t="s">
        <v>70</v>
      </c>
      <c r="Y894" t="s">
        <v>60</v>
      </c>
      <c r="Z894">
        <v>0</v>
      </c>
      <c r="AA894" s="2">
        <v>0</v>
      </c>
      <c r="AB894" s="2">
        <v>0</v>
      </c>
      <c r="AC894" s="4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2.69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</row>
    <row r="895" spans="1:42" x14ac:dyDescent="0.25">
      <c r="A895" s="1">
        <v>45915</v>
      </c>
      <c r="B895" t="s">
        <v>47</v>
      </c>
      <c r="C895">
        <v>649163</v>
      </c>
      <c r="D895">
        <v>2030516316</v>
      </c>
      <c r="E895" t="s">
        <v>768</v>
      </c>
      <c r="F895" t="s">
        <v>197</v>
      </c>
      <c r="G895" t="s">
        <v>50</v>
      </c>
      <c r="H895" t="s">
        <v>51</v>
      </c>
      <c r="I895" t="s">
        <v>430</v>
      </c>
      <c r="J895" t="s">
        <v>431</v>
      </c>
      <c r="K895">
        <v>751867</v>
      </c>
      <c r="L895" t="s">
        <v>84</v>
      </c>
      <c r="M895" t="s">
        <v>85</v>
      </c>
      <c r="N895" t="s">
        <v>56</v>
      </c>
      <c r="O895" s="1">
        <v>45885</v>
      </c>
      <c r="P895" s="1">
        <v>45946</v>
      </c>
      <c r="Q895" s="2">
        <v>40.35</v>
      </c>
      <c r="R895">
        <v>1</v>
      </c>
      <c r="S895" t="s">
        <v>57</v>
      </c>
      <c r="T895" t="s">
        <v>58</v>
      </c>
      <c r="U895" s="4">
        <v>0.38</v>
      </c>
      <c r="V895" s="2">
        <v>0</v>
      </c>
      <c r="W895">
        <v>0</v>
      </c>
      <c r="X895" t="s">
        <v>70</v>
      </c>
      <c r="Y895" t="s">
        <v>60</v>
      </c>
      <c r="Z895">
        <v>0</v>
      </c>
      <c r="AA895" s="2">
        <v>0</v>
      </c>
      <c r="AB895" s="2">
        <v>0</v>
      </c>
      <c r="AC895" s="4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15.33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</row>
    <row r="896" spans="1:42" x14ac:dyDescent="0.25">
      <c r="A896" s="1">
        <v>45915</v>
      </c>
      <c r="B896" t="s">
        <v>47</v>
      </c>
      <c r="C896">
        <v>649163</v>
      </c>
      <c r="D896">
        <v>2030558287</v>
      </c>
      <c r="E896" t="s">
        <v>378</v>
      </c>
      <c r="F896" t="s">
        <v>117</v>
      </c>
      <c r="G896" t="s">
        <v>50</v>
      </c>
      <c r="H896" t="s">
        <v>157</v>
      </c>
      <c r="I896" t="s">
        <v>430</v>
      </c>
      <c r="J896" t="s">
        <v>438</v>
      </c>
      <c r="K896">
        <v>650218</v>
      </c>
      <c r="L896" t="s">
        <v>73</v>
      </c>
      <c r="M896" t="s">
        <v>74</v>
      </c>
      <c r="N896" t="s">
        <v>56</v>
      </c>
      <c r="O896" s="1">
        <v>45888</v>
      </c>
      <c r="P896" s="1">
        <v>45949</v>
      </c>
      <c r="Q896" s="2">
        <v>115.38</v>
      </c>
      <c r="R896">
        <v>1</v>
      </c>
      <c r="S896" t="s">
        <v>57</v>
      </c>
      <c r="T896" t="s">
        <v>58</v>
      </c>
      <c r="U896" s="4">
        <v>0.38</v>
      </c>
      <c r="V896" s="2">
        <v>0</v>
      </c>
      <c r="W896">
        <v>0</v>
      </c>
      <c r="X896" t="s">
        <v>70</v>
      </c>
      <c r="Y896" t="s">
        <v>60</v>
      </c>
      <c r="Z896">
        <v>0</v>
      </c>
      <c r="AA896" s="2">
        <v>0</v>
      </c>
      <c r="AB896" s="2">
        <v>0</v>
      </c>
      <c r="AC896" s="4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43.84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</row>
    <row r="897" spans="1:42" x14ac:dyDescent="0.25">
      <c r="A897" s="1">
        <v>45915</v>
      </c>
      <c r="B897" t="s">
        <v>47</v>
      </c>
      <c r="C897">
        <v>649163</v>
      </c>
      <c r="D897">
        <v>2030558288</v>
      </c>
      <c r="E897" t="s">
        <v>378</v>
      </c>
      <c r="F897" t="s">
        <v>117</v>
      </c>
      <c r="G897" t="s">
        <v>50</v>
      </c>
      <c r="H897" t="s">
        <v>157</v>
      </c>
      <c r="I897" t="s">
        <v>430</v>
      </c>
      <c r="J897" t="s">
        <v>439</v>
      </c>
      <c r="K897">
        <v>650218</v>
      </c>
      <c r="L897" t="s">
        <v>73</v>
      </c>
      <c r="M897" t="s">
        <v>74</v>
      </c>
      <c r="N897" t="s">
        <v>56</v>
      </c>
      <c r="O897" s="1">
        <v>45888</v>
      </c>
      <c r="P897" s="1">
        <v>45949</v>
      </c>
      <c r="Q897" s="2">
        <v>7.09</v>
      </c>
      <c r="R897">
        <v>1</v>
      </c>
      <c r="S897" t="s">
        <v>57</v>
      </c>
      <c r="T897" t="s">
        <v>58</v>
      </c>
      <c r="U897" s="4">
        <v>0.38</v>
      </c>
      <c r="V897" s="2">
        <v>0</v>
      </c>
      <c r="W897">
        <v>0</v>
      </c>
      <c r="X897" t="s">
        <v>70</v>
      </c>
      <c r="Y897" t="s">
        <v>60</v>
      </c>
      <c r="Z897">
        <v>0</v>
      </c>
      <c r="AA897" s="2">
        <v>0</v>
      </c>
      <c r="AB897" s="2">
        <v>0</v>
      </c>
      <c r="AC897" s="4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2.69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</row>
    <row r="898" spans="1:42" x14ac:dyDescent="0.25">
      <c r="A898" s="1">
        <v>45915</v>
      </c>
      <c r="B898" t="s">
        <v>47</v>
      </c>
      <c r="D898">
        <v>2016819082</v>
      </c>
      <c r="E898" t="s">
        <v>758</v>
      </c>
      <c r="F898" t="s">
        <v>757</v>
      </c>
      <c r="G898" t="s">
        <v>50</v>
      </c>
      <c r="H898" t="s">
        <v>188</v>
      </c>
      <c r="I898" t="s">
        <v>441</v>
      </c>
      <c r="J898" t="s">
        <v>545</v>
      </c>
      <c r="L898" t="s">
        <v>152</v>
      </c>
      <c r="M898" t="s">
        <v>446</v>
      </c>
      <c r="N898" t="s">
        <v>56</v>
      </c>
      <c r="O898" s="1">
        <v>44880</v>
      </c>
      <c r="P898" s="1">
        <v>45945</v>
      </c>
      <c r="Q898" s="2">
        <v>25.73</v>
      </c>
      <c r="R898">
        <v>1</v>
      </c>
      <c r="S898" t="s">
        <v>57</v>
      </c>
      <c r="T898" t="s">
        <v>58</v>
      </c>
      <c r="U898" s="4">
        <v>0.15</v>
      </c>
      <c r="V898" s="2">
        <v>0</v>
      </c>
      <c r="W898">
        <v>0</v>
      </c>
      <c r="X898" t="s">
        <v>59</v>
      </c>
      <c r="Y898" t="s">
        <v>60</v>
      </c>
      <c r="Z898">
        <v>0</v>
      </c>
      <c r="AA898" s="2">
        <v>0</v>
      </c>
      <c r="AB898" s="2">
        <v>0</v>
      </c>
      <c r="AC898" s="4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3.86</v>
      </c>
      <c r="AM898" s="2">
        <v>3.86</v>
      </c>
      <c r="AN898" s="2">
        <v>0</v>
      </c>
      <c r="AO898" s="2">
        <v>0</v>
      </c>
      <c r="AP898" s="2">
        <v>0</v>
      </c>
    </row>
    <row r="899" spans="1:42" x14ac:dyDescent="0.25">
      <c r="A899" s="1">
        <v>45915</v>
      </c>
      <c r="B899" t="s">
        <v>47</v>
      </c>
      <c r="C899">
        <v>649163</v>
      </c>
      <c r="D899">
        <v>2017630350</v>
      </c>
      <c r="E899" t="s">
        <v>756</v>
      </c>
      <c r="F899" t="s">
        <v>480</v>
      </c>
      <c r="G899" t="s">
        <v>50</v>
      </c>
      <c r="H899" t="s">
        <v>188</v>
      </c>
      <c r="I899" t="s">
        <v>441</v>
      </c>
      <c r="J899" t="s">
        <v>445</v>
      </c>
      <c r="K899">
        <v>649793</v>
      </c>
      <c r="L899" t="s">
        <v>152</v>
      </c>
      <c r="M899" t="s">
        <v>446</v>
      </c>
      <c r="N899" t="s">
        <v>56</v>
      </c>
      <c r="O899" s="1">
        <v>45001</v>
      </c>
      <c r="P899" s="1">
        <v>45946</v>
      </c>
      <c r="Q899" s="2">
        <v>140.25</v>
      </c>
      <c r="R899">
        <v>1</v>
      </c>
      <c r="S899" t="s">
        <v>57</v>
      </c>
      <c r="T899" t="s">
        <v>58</v>
      </c>
      <c r="U899" s="4">
        <v>0.15</v>
      </c>
      <c r="V899" s="2">
        <v>0</v>
      </c>
      <c r="W899">
        <v>0</v>
      </c>
      <c r="X899" t="s">
        <v>59</v>
      </c>
      <c r="Y899" t="s">
        <v>60</v>
      </c>
      <c r="Z899">
        <v>0</v>
      </c>
      <c r="AA899" s="2">
        <v>0</v>
      </c>
      <c r="AB899" s="2">
        <v>0</v>
      </c>
      <c r="AC899" s="4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21.04</v>
      </c>
      <c r="AM899" s="2">
        <v>21.04</v>
      </c>
      <c r="AN899" s="2">
        <v>0</v>
      </c>
      <c r="AO899" s="2">
        <v>0</v>
      </c>
      <c r="AP899" s="2">
        <v>0</v>
      </c>
    </row>
    <row r="900" spans="1:42" x14ac:dyDescent="0.25">
      <c r="A900" s="1">
        <v>45915</v>
      </c>
      <c r="B900" t="s">
        <v>47</v>
      </c>
      <c r="D900">
        <v>2017683724</v>
      </c>
      <c r="E900" t="s">
        <v>755</v>
      </c>
      <c r="F900" t="s">
        <v>754</v>
      </c>
      <c r="G900" t="s">
        <v>50</v>
      </c>
      <c r="H900" t="s">
        <v>151</v>
      </c>
      <c r="I900" t="s">
        <v>441</v>
      </c>
      <c r="J900" t="s">
        <v>545</v>
      </c>
      <c r="L900" t="s">
        <v>152</v>
      </c>
      <c r="M900" t="s">
        <v>446</v>
      </c>
      <c r="N900" t="s">
        <v>56</v>
      </c>
      <c r="O900" s="1">
        <v>44974</v>
      </c>
      <c r="P900" s="1">
        <v>45947</v>
      </c>
      <c r="Q900" s="2">
        <v>25.73</v>
      </c>
      <c r="R900">
        <v>1</v>
      </c>
      <c r="S900" t="s">
        <v>57</v>
      </c>
      <c r="T900" t="s">
        <v>58</v>
      </c>
      <c r="U900" s="4">
        <v>0.15</v>
      </c>
      <c r="V900" s="2">
        <v>0</v>
      </c>
      <c r="W900">
        <v>0</v>
      </c>
      <c r="X900" t="s">
        <v>59</v>
      </c>
      <c r="Y900" t="s">
        <v>60</v>
      </c>
      <c r="Z900">
        <v>0</v>
      </c>
      <c r="AA900" s="2">
        <v>0</v>
      </c>
      <c r="AB900" s="2">
        <v>0</v>
      </c>
      <c r="AC900" s="4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3.86</v>
      </c>
      <c r="AM900" s="2">
        <v>3.86</v>
      </c>
      <c r="AN900" s="2">
        <v>0</v>
      </c>
      <c r="AO900" s="2">
        <v>0</v>
      </c>
      <c r="AP900" s="2">
        <v>0</v>
      </c>
    </row>
    <row r="901" spans="1:42" x14ac:dyDescent="0.25">
      <c r="A901" s="1">
        <v>45915</v>
      </c>
      <c r="B901" t="s">
        <v>47</v>
      </c>
      <c r="C901">
        <v>649163</v>
      </c>
      <c r="D901">
        <v>2018351025</v>
      </c>
      <c r="E901" t="s">
        <v>753</v>
      </c>
      <c r="F901" t="s">
        <v>171</v>
      </c>
      <c r="G901" t="s">
        <v>50</v>
      </c>
      <c r="H901" t="s">
        <v>83</v>
      </c>
      <c r="I901" t="s">
        <v>441</v>
      </c>
      <c r="J901" t="s">
        <v>442</v>
      </c>
      <c r="K901">
        <v>651818</v>
      </c>
      <c r="L901" t="s">
        <v>108</v>
      </c>
      <c r="M901" t="s">
        <v>109</v>
      </c>
      <c r="N901" t="s">
        <v>56</v>
      </c>
      <c r="O901" s="1">
        <v>45030</v>
      </c>
      <c r="P901" s="1">
        <v>45944</v>
      </c>
      <c r="Q901" s="2">
        <v>29.25</v>
      </c>
      <c r="R901">
        <v>1</v>
      </c>
      <c r="S901" t="s">
        <v>57</v>
      </c>
      <c r="T901" t="s">
        <v>58</v>
      </c>
      <c r="U901" s="4">
        <v>0.1</v>
      </c>
      <c r="V901" s="2">
        <v>0</v>
      </c>
      <c r="W901">
        <v>0</v>
      </c>
      <c r="X901" t="s">
        <v>59</v>
      </c>
      <c r="Y901" t="s">
        <v>60</v>
      </c>
      <c r="Z901">
        <v>0</v>
      </c>
      <c r="AA901" s="2">
        <v>0</v>
      </c>
      <c r="AB901" s="2">
        <v>0</v>
      </c>
      <c r="AC901" s="4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2.92</v>
      </c>
      <c r="AM901" s="2">
        <v>2.92</v>
      </c>
      <c r="AN901" s="2">
        <v>0</v>
      </c>
      <c r="AO901" s="2">
        <v>0</v>
      </c>
      <c r="AP901" s="2">
        <v>0</v>
      </c>
    </row>
    <row r="902" spans="1:42" x14ac:dyDescent="0.25">
      <c r="A902" s="1">
        <v>45915</v>
      </c>
      <c r="B902" t="s">
        <v>47</v>
      </c>
      <c r="C902">
        <v>649163</v>
      </c>
      <c r="D902">
        <v>2018396887</v>
      </c>
      <c r="E902" t="s">
        <v>752</v>
      </c>
      <c r="F902" t="s">
        <v>751</v>
      </c>
      <c r="G902" t="s">
        <v>50</v>
      </c>
      <c r="H902" t="s">
        <v>83</v>
      </c>
      <c r="I902" t="s">
        <v>441</v>
      </c>
      <c r="J902" t="s">
        <v>442</v>
      </c>
      <c r="K902">
        <v>651818</v>
      </c>
      <c r="L902" t="s">
        <v>108</v>
      </c>
      <c r="M902" t="s">
        <v>109</v>
      </c>
      <c r="N902" t="s">
        <v>56</v>
      </c>
      <c r="O902" s="1">
        <v>45035</v>
      </c>
      <c r="P902" s="1">
        <v>45949</v>
      </c>
      <c r="Q902" s="2">
        <v>58.21</v>
      </c>
      <c r="R902">
        <v>1</v>
      </c>
      <c r="S902" t="s">
        <v>57</v>
      </c>
      <c r="T902" t="s">
        <v>58</v>
      </c>
      <c r="U902" s="4">
        <v>0.1</v>
      </c>
      <c r="V902" s="2">
        <v>0</v>
      </c>
      <c r="W902">
        <v>0</v>
      </c>
      <c r="X902" t="s">
        <v>59</v>
      </c>
      <c r="Y902" t="s">
        <v>60</v>
      </c>
      <c r="Z902">
        <v>0</v>
      </c>
      <c r="AA902" s="2">
        <v>0</v>
      </c>
      <c r="AB902" s="2">
        <v>0</v>
      </c>
      <c r="AC902" s="4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5.82</v>
      </c>
      <c r="AM902" s="2">
        <v>5.82</v>
      </c>
      <c r="AN902" s="2">
        <v>0</v>
      </c>
      <c r="AO902" s="2">
        <v>0</v>
      </c>
      <c r="AP902" s="2">
        <v>0</v>
      </c>
    </row>
    <row r="903" spans="1:42" x14ac:dyDescent="0.25">
      <c r="A903" s="1">
        <v>45915</v>
      </c>
      <c r="B903" t="s">
        <v>47</v>
      </c>
      <c r="C903">
        <v>649163</v>
      </c>
      <c r="D903">
        <v>2018717179</v>
      </c>
      <c r="E903" t="s">
        <v>154</v>
      </c>
      <c r="F903" t="s">
        <v>750</v>
      </c>
      <c r="G903" t="s">
        <v>50</v>
      </c>
      <c r="H903" t="s">
        <v>93</v>
      </c>
      <c r="I903" t="s">
        <v>441</v>
      </c>
      <c r="J903" t="s">
        <v>442</v>
      </c>
      <c r="K903">
        <v>651818</v>
      </c>
      <c r="L903" t="s">
        <v>108</v>
      </c>
      <c r="M903" t="s">
        <v>109</v>
      </c>
      <c r="N903" t="s">
        <v>56</v>
      </c>
      <c r="O903" s="1">
        <v>45065</v>
      </c>
      <c r="P903" s="1">
        <v>45949</v>
      </c>
      <c r="Q903" s="2">
        <v>123.44</v>
      </c>
      <c r="R903">
        <v>1</v>
      </c>
      <c r="S903" t="s">
        <v>57</v>
      </c>
      <c r="T903" t="s">
        <v>58</v>
      </c>
      <c r="U903" s="4">
        <v>0.1</v>
      </c>
      <c r="V903" s="2">
        <v>0</v>
      </c>
      <c r="W903">
        <v>0</v>
      </c>
      <c r="X903" t="s">
        <v>59</v>
      </c>
      <c r="Y903" t="s">
        <v>60</v>
      </c>
      <c r="Z903">
        <v>0</v>
      </c>
      <c r="AA903" s="2">
        <v>0</v>
      </c>
      <c r="AB903" s="2">
        <v>0</v>
      </c>
      <c r="AC903" s="4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12.34</v>
      </c>
      <c r="AM903" s="2">
        <v>12.34</v>
      </c>
      <c r="AN903" s="2">
        <v>0</v>
      </c>
      <c r="AO903" s="2">
        <v>0</v>
      </c>
      <c r="AP903" s="2">
        <v>0</v>
      </c>
    </row>
    <row r="904" spans="1:42" x14ac:dyDescent="0.25">
      <c r="A904" s="1">
        <v>45915</v>
      </c>
      <c r="B904" t="s">
        <v>47</v>
      </c>
      <c r="C904">
        <v>649163</v>
      </c>
      <c r="D904">
        <v>2019768187</v>
      </c>
      <c r="E904" t="s">
        <v>749</v>
      </c>
      <c r="F904" t="s">
        <v>368</v>
      </c>
      <c r="G904" t="s">
        <v>50</v>
      </c>
      <c r="H904" t="s">
        <v>134</v>
      </c>
      <c r="I904" t="s">
        <v>441</v>
      </c>
      <c r="J904" t="s">
        <v>445</v>
      </c>
      <c r="K904">
        <v>673059</v>
      </c>
      <c r="L904" t="s">
        <v>152</v>
      </c>
      <c r="M904" t="s">
        <v>153</v>
      </c>
      <c r="N904" t="s">
        <v>56</v>
      </c>
      <c r="O904" s="1">
        <v>45157</v>
      </c>
      <c r="P904" s="1">
        <v>45949</v>
      </c>
      <c r="Q904" s="2">
        <v>84.88</v>
      </c>
      <c r="R904">
        <v>1</v>
      </c>
      <c r="S904" t="s">
        <v>57</v>
      </c>
      <c r="T904" t="s">
        <v>58</v>
      </c>
      <c r="U904" s="4">
        <v>0.15</v>
      </c>
      <c r="V904" s="2">
        <v>0</v>
      </c>
      <c r="W904">
        <v>0</v>
      </c>
      <c r="X904" t="s">
        <v>59</v>
      </c>
      <c r="Y904" t="s">
        <v>60</v>
      </c>
      <c r="Z904">
        <v>0</v>
      </c>
      <c r="AA904" s="2">
        <v>0</v>
      </c>
      <c r="AB904" s="2">
        <v>0</v>
      </c>
      <c r="AC904" s="4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12.73</v>
      </c>
      <c r="AM904" s="2">
        <v>12.73</v>
      </c>
      <c r="AN904" s="2">
        <v>0</v>
      </c>
      <c r="AO904" s="2">
        <v>0</v>
      </c>
      <c r="AP904" s="2">
        <v>0</v>
      </c>
    </row>
    <row r="905" spans="1:42" x14ac:dyDescent="0.25">
      <c r="A905" s="1">
        <v>45915</v>
      </c>
      <c r="B905" t="s">
        <v>47</v>
      </c>
      <c r="D905">
        <v>2019768188</v>
      </c>
      <c r="E905" t="s">
        <v>749</v>
      </c>
      <c r="F905" t="s">
        <v>368</v>
      </c>
      <c r="G905" t="s">
        <v>50</v>
      </c>
      <c r="H905" t="s">
        <v>134</v>
      </c>
      <c r="I905" t="s">
        <v>441</v>
      </c>
      <c r="J905" t="s">
        <v>545</v>
      </c>
      <c r="L905" t="s">
        <v>152</v>
      </c>
      <c r="M905" t="s">
        <v>153</v>
      </c>
      <c r="N905" t="s">
        <v>56</v>
      </c>
      <c r="O905" s="1">
        <v>45157</v>
      </c>
      <c r="P905" s="1">
        <v>45949</v>
      </c>
      <c r="Q905" s="2">
        <v>10.54</v>
      </c>
      <c r="R905">
        <v>1</v>
      </c>
      <c r="S905" t="s">
        <v>57</v>
      </c>
      <c r="T905" t="s">
        <v>58</v>
      </c>
      <c r="U905" s="4">
        <v>0.15</v>
      </c>
      <c r="V905" s="2">
        <v>0</v>
      </c>
      <c r="W905">
        <v>0</v>
      </c>
      <c r="X905" t="s">
        <v>59</v>
      </c>
      <c r="Y905" t="s">
        <v>60</v>
      </c>
      <c r="Z905">
        <v>0</v>
      </c>
      <c r="AA905" s="2">
        <v>0</v>
      </c>
      <c r="AB905" s="2">
        <v>0</v>
      </c>
      <c r="AC905" s="4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1.58</v>
      </c>
      <c r="AM905" s="2">
        <v>1.58</v>
      </c>
      <c r="AN905" s="2">
        <v>0</v>
      </c>
      <c r="AO905" s="2">
        <v>0</v>
      </c>
      <c r="AP905" s="2">
        <v>0</v>
      </c>
    </row>
    <row r="906" spans="1:42" x14ac:dyDescent="0.25">
      <c r="A906" s="1">
        <v>45915</v>
      </c>
      <c r="B906" t="s">
        <v>47</v>
      </c>
      <c r="D906">
        <v>2020174612</v>
      </c>
      <c r="E906" t="s">
        <v>748</v>
      </c>
      <c r="F906" t="s">
        <v>747</v>
      </c>
      <c r="G906" t="s">
        <v>50</v>
      </c>
      <c r="H906" t="s">
        <v>214</v>
      </c>
      <c r="I906" t="s">
        <v>441</v>
      </c>
      <c r="J906" t="s">
        <v>545</v>
      </c>
      <c r="L906" t="s">
        <v>309</v>
      </c>
      <c r="M906" t="s">
        <v>303</v>
      </c>
      <c r="N906" t="s">
        <v>56</v>
      </c>
      <c r="O906" s="1">
        <v>45214</v>
      </c>
      <c r="P906" s="1">
        <v>45945</v>
      </c>
      <c r="Q906" s="2">
        <v>24.61</v>
      </c>
      <c r="R906">
        <v>1</v>
      </c>
      <c r="S906" t="s">
        <v>57</v>
      </c>
      <c r="T906" t="s">
        <v>58</v>
      </c>
      <c r="U906" s="4">
        <v>0.15</v>
      </c>
      <c r="V906" s="2">
        <v>0</v>
      </c>
      <c r="W906">
        <v>0</v>
      </c>
      <c r="X906" t="s">
        <v>59</v>
      </c>
      <c r="Y906" t="s">
        <v>60</v>
      </c>
      <c r="Z906">
        <v>0</v>
      </c>
      <c r="AA906" s="2">
        <v>0</v>
      </c>
      <c r="AB906" s="2">
        <v>0</v>
      </c>
      <c r="AC906" s="4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3.69</v>
      </c>
      <c r="AM906" s="2">
        <v>3.69</v>
      </c>
      <c r="AN906" s="2">
        <v>0</v>
      </c>
      <c r="AO906" s="2">
        <v>0</v>
      </c>
      <c r="AP906" s="2">
        <v>0</v>
      </c>
    </row>
    <row r="907" spans="1:42" x14ac:dyDescent="0.25">
      <c r="A907" s="1">
        <v>45915</v>
      </c>
      <c r="B907" t="s">
        <v>47</v>
      </c>
      <c r="D907">
        <v>2020780791</v>
      </c>
      <c r="E907" t="s">
        <v>746</v>
      </c>
      <c r="F907" t="s">
        <v>745</v>
      </c>
      <c r="G907" t="s">
        <v>50</v>
      </c>
      <c r="H907" t="s">
        <v>93</v>
      </c>
      <c r="I907" t="s">
        <v>441</v>
      </c>
      <c r="J907" t="s">
        <v>545</v>
      </c>
      <c r="L907" t="s">
        <v>108</v>
      </c>
      <c r="M907" t="s">
        <v>109</v>
      </c>
      <c r="N907" t="s">
        <v>56</v>
      </c>
      <c r="O907" s="1">
        <v>45245</v>
      </c>
      <c r="P907" s="1">
        <v>45945</v>
      </c>
      <c r="Q907" s="2">
        <v>25.73</v>
      </c>
      <c r="R907">
        <v>1</v>
      </c>
      <c r="S907" t="s">
        <v>57</v>
      </c>
      <c r="T907" t="s">
        <v>58</v>
      </c>
      <c r="U907" s="4">
        <v>0.15</v>
      </c>
      <c r="V907" s="2">
        <v>0</v>
      </c>
      <c r="W907">
        <v>0</v>
      </c>
      <c r="X907" t="s">
        <v>59</v>
      </c>
      <c r="Y907" t="s">
        <v>60</v>
      </c>
      <c r="Z907">
        <v>0</v>
      </c>
      <c r="AA907" s="2">
        <v>0</v>
      </c>
      <c r="AB907" s="2">
        <v>0</v>
      </c>
      <c r="AC907" s="4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3.86</v>
      </c>
      <c r="AM907" s="2">
        <v>3.86</v>
      </c>
      <c r="AN907" s="2">
        <v>0</v>
      </c>
      <c r="AO907" s="2">
        <v>0</v>
      </c>
      <c r="AP907" s="2">
        <v>0</v>
      </c>
    </row>
    <row r="908" spans="1:42" x14ac:dyDescent="0.25">
      <c r="A908" s="1">
        <v>45915</v>
      </c>
      <c r="B908" t="s">
        <v>47</v>
      </c>
      <c r="C908">
        <v>649163</v>
      </c>
      <c r="D908">
        <v>2020780792</v>
      </c>
      <c r="E908" t="s">
        <v>746</v>
      </c>
      <c r="F908" t="s">
        <v>745</v>
      </c>
      <c r="G908" t="s">
        <v>50</v>
      </c>
      <c r="H908" t="s">
        <v>93</v>
      </c>
      <c r="I908" t="s">
        <v>441</v>
      </c>
      <c r="J908" t="s">
        <v>442</v>
      </c>
      <c r="K908">
        <v>651818</v>
      </c>
      <c r="L908" t="s">
        <v>108</v>
      </c>
      <c r="M908" t="s">
        <v>109</v>
      </c>
      <c r="N908" t="s">
        <v>56</v>
      </c>
      <c r="O908" s="1">
        <v>45245</v>
      </c>
      <c r="P908" s="1">
        <v>45945</v>
      </c>
      <c r="Q908" s="2">
        <v>51.63</v>
      </c>
      <c r="R908">
        <v>1</v>
      </c>
      <c r="S908" t="s">
        <v>57</v>
      </c>
      <c r="T908" t="s">
        <v>58</v>
      </c>
      <c r="U908" s="4">
        <v>0.1</v>
      </c>
      <c r="V908" s="2">
        <v>0</v>
      </c>
      <c r="W908">
        <v>0</v>
      </c>
      <c r="X908" t="s">
        <v>59</v>
      </c>
      <c r="Y908" t="s">
        <v>60</v>
      </c>
      <c r="Z908">
        <v>0</v>
      </c>
      <c r="AA908" s="2">
        <v>0</v>
      </c>
      <c r="AB908" s="2">
        <v>0</v>
      </c>
      <c r="AC908" s="4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5.16</v>
      </c>
      <c r="AM908" s="2">
        <v>5.16</v>
      </c>
      <c r="AN908" s="2">
        <v>0</v>
      </c>
      <c r="AO908" s="2">
        <v>0</v>
      </c>
      <c r="AP908" s="2">
        <v>0</v>
      </c>
    </row>
    <row r="909" spans="1:42" x14ac:dyDescent="0.25">
      <c r="A909" s="1">
        <v>45915</v>
      </c>
      <c r="B909" t="s">
        <v>47</v>
      </c>
      <c r="C909">
        <v>649163</v>
      </c>
      <c r="D909">
        <v>2020936967</v>
      </c>
      <c r="E909" t="s">
        <v>744</v>
      </c>
      <c r="F909" t="s">
        <v>743</v>
      </c>
      <c r="G909" t="s">
        <v>50</v>
      </c>
      <c r="H909" t="s">
        <v>151</v>
      </c>
      <c r="I909" t="s">
        <v>441</v>
      </c>
      <c r="J909" t="s">
        <v>445</v>
      </c>
      <c r="K909">
        <v>649164</v>
      </c>
      <c r="L909" t="s">
        <v>579</v>
      </c>
      <c r="M909" t="s">
        <v>398</v>
      </c>
      <c r="N909" t="s">
        <v>230</v>
      </c>
      <c r="O909" s="1">
        <v>45262</v>
      </c>
      <c r="P909" s="1">
        <v>45932</v>
      </c>
      <c r="Q909" s="2">
        <v>-58.53</v>
      </c>
      <c r="R909">
        <v>1</v>
      </c>
      <c r="S909" t="s">
        <v>57</v>
      </c>
      <c r="T909" t="s">
        <v>58</v>
      </c>
      <c r="U909" s="4">
        <v>0.15</v>
      </c>
      <c r="V909" s="2">
        <v>0</v>
      </c>
      <c r="W909">
        <v>-1</v>
      </c>
      <c r="X909" t="s">
        <v>59</v>
      </c>
      <c r="Y909" t="s">
        <v>60</v>
      </c>
      <c r="Z909">
        <v>0</v>
      </c>
      <c r="AA909" s="2">
        <v>0</v>
      </c>
      <c r="AB909" s="2">
        <v>0</v>
      </c>
      <c r="AC909" s="4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-8.7799999999999994</v>
      </c>
      <c r="AM909" s="2">
        <v>-8.7799999999999994</v>
      </c>
      <c r="AN909" s="2">
        <v>0</v>
      </c>
      <c r="AO909" s="2">
        <v>0</v>
      </c>
      <c r="AP909" s="2">
        <v>0</v>
      </c>
    </row>
    <row r="910" spans="1:42" x14ac:dyDescent="0.25">
      <c r="A910" s="1">
        <v>45915</v>
      </c>
      <c r="B910" t="s">
        <v>47</v>
      </c>
      <c r="C910">
        <v>649163</v>
      </c>
      <c r="D910">
        <v>2021598259</v>
      </c>
      <c r="E910" t="s">
        <v>742</v>
      </c>
      <c r="F910" t="s">
        <v>741</v>
      </c>
      <c r="G910" t="s">
        <v>50</v>
      </c>
      <c r="H910" t="s">
        <v>93</v>
      </c>
      <c r="I910" t="s">
        <v>441</v>
      </c>
      <c r="J910" t="s">
        <v>442</v>
      </c>
      <c r="K910">
        <v>651818</v>
      </c>
      <c r="L910" t="s">
        <v>108</v>
      </c>
      <c r="M910" t="s">
        <v>109</v>
      </c>
      <c r="N910" t="s">
        <v>56</v>
      </c>
      <c r="O910" s="1">
        <v>45341</v>
      </c>
      <c r="P910" s="1">
        <v>45949</v>
      </c>
      <c r="Q910" s="2">
        <v>163.25</v>
      </c>
      <c r="R910">
        <v>1</v>
      </c>
      <c r="S910" t="s">
        <v>57</v>
      </c>
      <c r="T910" t="s">
        <v>58</v>
      </c>
      <c r="U910" s="4">
        <v>0.1</v>
      </c>
      <c r="V910" s="2">
        <v>0</v>
      </c>
      <c r="W910">
        <v>0</v>
      </c>
      <c r="X910" t="s">
        <v>59</v>
      </c>
      <c r="Y910" t="s">
        <v>60</v>
      </c>
      <c r="Z910">
        <v>0</v>
      </c>
      <c r="AA910" s="2">
        <v>0</v>
      </c>
      <c r="AB910" s="2">
        <v>0</v>
      </c>
      <c r="AC910" s="4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16.32</v>
      </c>
      <c r="AM910" s="2">
        <v>16.32</v>
      </c>
      <c r="AN910" s="2">
        <v>0</v>
      </c>
      <c r="AO910" s="2">
        <v>0</v>
      </c>
      <c r="AP910" s="2">
        <v>0</v>
      </c>
    </row>
    <row r="911" spans="1:42" x14ac:dyDescent="0.25">
      <c r="A911" s="1">
        <v>45915</v>
      </c>
      <c r="B911" t="s">
        <v>47</v>
      </c>
      <c r="C911">
        <v>649163</v>
      </c>
      <c r="D911">
        <v>2022254780</v>
      </c>
      <c r="E911" t="s">
        <v>740</v>
      </c>
      <c r="F911" t="s">
        <v>145</v>
      </c>
      <c r="G911" t="s">
        <v>50</v>
      </c>
      <c r="H911" t="s">
        <v>151</v>
      </c>
      <c r="I911" t="s">
        <v>441</v>
      </c>
      <c r="J911" t="s">
        <v>445</v>
      </c>
      <c r="K911">
        <v>673059</v>
      </c>
      <c r="L911" t="s">
        <v>152</v>
      </c>
      <c r="M911" t="s">
        <v>153</v>
      </c>
      <c r="N911" t="s">
        <v>56</v>
      </c>
      <c r="O911" s="1">
        <v>45364</v>
      </c>
      <c r="P911" s="1">
        <v>45943</v>
      </c>
      <c r="Q911" s="2">
        <v>54.66</v>
      </c>
      <c r="R911">
        <v>1</v>
      </c>
      <c r="S911" t="s">
        <v>57</v>
      </c>
      <c r="T911" t="s">
        <v>58</v>
      </c>
      <c r="U911" s="4">
        <v>0.15</v>
      </c>
      <c r="V911" s="2">
        <v>0</v>
      </c>
      <c r="W911">
        <v>0</v>
      </c>
      <c r="X911" t="s">
        <v>59</v>
      </c>
      <c r="Y911" t="s">
        <v>60</v>
      </c>
      <c r="Z911">
        <v>0</v>
      </c>
      <c r="AA911" s="2">
        <v>0</v>
      </c>
      <c r="AB911" s="2">
        <v>0</v>
      </c>
      <c r="AC911" s="4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8.1999999999999993</v>
      </c>
      <c r="AM911" s="2">
        <v>8.1999999999999993</v>
      </c>
      <c r="AN911" s="2">
        <v>0</v>
      </c>
      <c r="AO911" s="2">
        <v>0</v>
      </c>
      <c r="AP911" s="2">
        <v>0</v>
      </c>
    </row>
    <row r="912" spans="1:42" x14ac:dyDescent="0.25">
      <c r="A912" s="1">
        <v>45915</v>
      </c>
      <c r="B912" t="s">
        <v>47</v>
      </c>
      <c r="C912">
        <v>649163</v>
      </c>
      <c r="D912">
        <v>2022748694</v>
      </c>
      <c r="E912" t="s">
        <v>739</v>
      </c>
      <c r="F912" t="s">
        <v>123</v>
      </c>
      <c r="G912" t="s">
        <v>50</v>
      </c>
      <c r="H912" t="s">
        <v>51</v>
      </c>
      <c r="I912" t="s">
        <v>441</v>
      </c>
      <c r="J912" t="s">
        <v>442</v>
      </c>
      <c r="K912">
        <v>651818</v>
      </c>
      <c r="L912" t="s">
        <v>108</v>
      </c>
      <c r="M912" t="s">
        <v>109</v>
      </c>
      <c r="N912" t="s">
        <v>56</v>
      </c>
      <c r="O912" s="1">
        <v>45400</v>
      </c>
      <c r="P912" s="1">
        <v>45948</v>
      </c>
      <c r="Q912" s="2">
        <v>112.25</v>
      </c>
      <c r="R912">
        <v>1</v>
      </c>
      <c r="S912" t="s">
        <v>57</v>
      </c>
      <c r="T912" t="s">
        <v>58</v>
      </c>
      <c r="U912" s="4">
        <v>0.1</v>
      </c>
      <c r="V912" s="2">
        <v>0</v>
      </c>
      <c r="W912">
        <v>0</v>
      </c>
      <c r="X912" t="s">
        <v>59</v>
      </c>
      <c r="Y912" t="s">
        <v>60</v>
      </c>
      <c r="Z912">
        <v>0</v>
      </c>
      <c r="AA912" s="2">
        <v>0</v>
      </c>
      <c r="AB912" s="2">
        <v>0</v>
      </c>
      <c r="AC912" s="4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11.22</v>
      </c>
      <c r="AM912" s="2">
        <v>11.22</v>
      </c>
      <c r="AN912" s="2">
        <v>0</v>
      </c>
      <c r="AO912" s="2">
        <v>0</v>
      </c>
      <c r="AP912" s="2">
        <v>0</v>
      </c>
    </row>
    <row r="913" spans="1:42" x14ac:dyDescent="0.25">
      <c r="A913" s="1">
        <v>45915</v>
      </c>
      <c r="B913" t="s">
        <v>47</v>
      </c>
      <c r="C913">
        <v>649163</v>
      </c>
      <c r="D913">
        <v>2023911658</v>
      </c>
      <c r="E913" t="s">
        <v>738</v>
      </c>
      <c r="F913" t="s">
        <v>737</v>
      </c>
      <c r="G913" t="s">
        <v>50</v>
      </c>
      <c r="H913" t="s">
        <v>266</v>
      </c>
      <c r="I913" t="s">
        <v>441</v>
      </c>
      <c r="J913" t="s">
        <v>442</v>
      </c>
      <c r="K913">
        <v>673059</v>
      </c>
      <c r="L913" t="s">
        <v>152</v>
      </c>
      <c r="M913" t="s">
        <v>153</v>
      </c>
      <c r="N913" t="s">
        <v>56</v>
      </c>
      <c r="O913" s="1">
        <v>45486</v>
      </c>
      <c r="P913" s="1">
        <v>45943</v>
      </c>
      <c r="Q913" s="2">
        <v>150.63</v>
      </c>
      <c r="R913">
        <v>1</v>
      </c>
      <c r="S913" t="s">
        <v>57</v>
      </c>
      <c r="T913" t="s">
        <v>58</v>
      </c>
      <c r="U913" s="4">
        <v>0.1</v>
      </c>
      <c r="V913" s="2">
        <v>0</v>
      </c>
      <c r="W913">
        <v>0</v>
      </c>
      <c r="X913" t="s">
        <v>59</v>
      </c>
      <c r="Y913" t="s">
        <v>60</v>
      </c>
      <c r="Z913">
        <v>0</v>
      </c>
      <c r="AA913" s="2">
        <v>0</v>
      </c>
      <c r="AB913" s="2">
        <v>0</v>
      </c>
      <c r="AC913" s="4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15.06</v>
      </c>
      <c r="AM913" s="2">
        <v>15.06</v>
      </c>
      <c r="AN913" s="2">
        <v>0</v>
      </c>
      <c r="AO913" s="2">
        <v>0</v>
      </c>
      <c r="AP913" s="2">
        <v>0</v>
      </c>
    </row>
    <row r="914" spans="1:42" x14ac:dyDescent="0.25">
      <c r="A914" s="1">
        <v>45915</v>
      </c>
      <c r="B914" t="s">
        <v>47</v>
      </c>
      <c r="C914">
        <v>649163</v>
      </c>
      <c r="D914">
        <v>2024356429</v>
      </c>
      <c r="E914" t="s">
        <v>736</v>
      </c>
      <c r="F914" t="s">
        <v>187</v>
      </c>
      <c r="G914" t="s">
        <v>50</v>
      </c>
      <c r="H914" t="s">
        <v>93</v>
      </c>
      <c r="I914" t="s">
        <v>441</v>
      </c>
      <c r="J914" t="s">
        <v>445</v>
      </c>
      <c r="K914">
        <v>767312</v>
      </c>
      <c r="L914" t="s">
        <v>122</v>
      </c>
      <c r="M914" t="s">
        <v>123</v>
      </c>
      <c r="N914" t="s">
        <v>56</v>
      </c>
      <c r="O914" s="1">
        <v>45517</v>
      </c>
      <c r="P914" s="1">
        <v>45943</v>
      </c>
      <c r="Q914" s="2">
        <v>28.9</v>
      </c>
      <c r="R914">
        <v>1</v>
      </c>
      <c r="S914" t="s">
        <v>57</v>
      </c>
      <c r="T914" t="s">
        <v>58</v>
      </c>
      <c r="U914" s="4">
        <v>0.15</v>
      </c>
      <c r="V914" s="2">
        <v>0</v>
      </c>
      <c r="W914">
        <v>0</v>
      </c>
      <c r="X914" t="s">
        <v>59</v>
      </c>
      <c r="Y914" t="s">
        <v>60</v>
      </c>
      <c r="Z914">
        <v>0</v>
      </c>
      <c r="AA914" s="2">
        <v>0</v>
      </c>
      <c r="AB914" s="2">
        <v>0</v>
      </c>
      <c r="AC914" s="4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4.34</v>
      </c>
      <c r="AM914" s="2">
        <v>4.34</v>
      </c>
      <c r="AN914" s="2">
        <v>0</v>
      </c>
      <c r="AO914" s="2">
        <v>0</v>
      </c>
      <c r="AP914" s="2">
        <v>0</v>
      </c>
    </row>
    <row r="915" spans="1:42" x14ac:dyDescent="0.25">
      <c r="A915" s="1">
        <v>45915</v>
      </c>
      <c r="B915" t="s">
        <v>47</v>
      </c>
      <c r="C915">
        <v>649163</v>
      </c>
      <c r="D915">
        <v>2024425643</v>
      </c>
      <c r="E915" t="s">
        <v>735</v>
      </c>
      <c r="F915" t="s">
        <v>346</v>
      </c>
      <c r="G915" t="s">
        <v>50</v>
      </c>
      <c r="H915" t="s">
        <v>180</v>
      </c>
      <c r="I915" t="s">
        <v>441</v>
      </c>
      <c r="J915" t="s">
        <v>445</v>
      </c>
      <c r="K915">
        <v>673059</v>
      </c>
      <c r="L915" t="s">
        <v>152</v>
      </c>
      <c r="M915" t="s">
        <v>153</v>
      </c>
      <c r="N915" t="s">
        <v>56</v>
      </c>
      <c r="O915" s="1">
        <v>45521</v>
      </c>
      <c r="P915" s="1">
        <v>45947</v>
      </c>
      <c r="Q915" s="2">
        <v>88.88</v>
      </c>
      <c r="R915">
        <v>1</v>
      </c>
      <c r="S915" t="s">
        <v>57</v>
      </c>
      <c r="T915" t="s">
        <v>58</v>
      </c>
      <c r="U915" s="4">
        <v>0.15</v>
      </c>
      <c r="V915" s="2">
        <v>0</v>
      </c>
      <c r="W915">
        <v>0</v>
      </c>
      <c r="X915" t="s">
        <v>59</v>
      </c>
      <c r="Y915" t="s">
        <v>60</v>
      </c>
      <c r="Z915">
        <v>0</v>
      </c>
      <c r="AA915" s="2">
        <v>0</v>
      </c>
      <c r="AB915" s="2">
        <v>0</v>
      </c>
      <c r="AC915" s="4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13.33</v>
      </c>
      <c r="AM915" s="2">
        <v>13.33</v>
      </c>
      <c r="AN915" s="2">
        <v>0</v>
      </c>
      <c r="AO915" s="2">
        <v>0</v>
      </c>
      <c r="AP915" s="2">
        <v>0</v>
      </c>
    </row>
    <row r="916" spans="1:42" x14ac:dyDescent="0.25">
      <c r="A916" s="1">
        <v>45915</v>
      </c>
      <c r="B916" t="s">
        <v>47</v>
      </c>
      <c r="C916">
        <v>649163</v>
      </c>
      <c r="D916">
        <v>2024425644</v>
      </c>
      <c r="E916" t="s">
        <v>735</v>
      </c>
      <c r="F916" t="s">
        <v>346</v>
      </c>
      <c r="G916" t="s">
        <v>50</v>
      </c>
      <c r="H916" t="s">
        <v>180</v>
      </c>
      <c r="I916" t="s">
        <v>441</v>
      </c>
      <c r="J916" t="s">
        <v>545</v>
      </c>
      <c r="K916">
        <v>673059</v>
      </c>
      <c r="L916" t="s">
        <v>152</v>
      </c>
      <c r="M916" t="s">
        <v>153</v>
      </c>
      <c r="N916" t="s">
        <v>56</v>
      </c>
      <c r="O916" s="1">
        <v>45521</v>
      </c>
      <c r="P916" s="1">
        <v>45947</v>
      </c>
      <c r="Q916" s="2">
        <v>8.3699999999999992</v>
      </c>
      <c r="R916">
        <v>1</v>
      </c>
      <c r="S916" t="s">
        <v>57</v>
      </c>
      <c r="T916" t="s">
        <v>58</v>
      </c>
      <c r="U916" s="4">
        <v>0.15</v>
      </c>
      <c r="V916" s="2">
        <v>0</v>
      </c>
      <c r="W916">
        <v>0</v>
      </c>
      <c r="X916" t="s">
        <v>59</v>
      </c>
      <c r="Y916" t="s">
        <v>60</v>
      </c>
      <c r="Z916">
        <v>0</v>
      </c>
      <c r="AA916" s="2">
        <v>0</v>
      </c>
      <c r="AB916" s="2">
        <v>0</v>
      </c>
      <c r="AC916" s="4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1.26</v>
      </c>
      <c r="AM916" s="2">
        <v>1.26</v>
      </c>
      <c r="AN916" s="2">
        <v>0</v>
      </c>
      <c r="AO916" s="2">
        <v>0</v>
      </c>
      <c r="AP916" s="2">
        <v>0</v>
      </c>
    </row>
    <row r="917" spans="1:42" x14ac:dyDescent="0.25">
      <c r="A917" s="1">
        <v>45915</v>
      </c>
      <c r="B917" t="s">
        <v>47</v>
      </c>
      <c r="C917">
        <v>649163</v>
      </c>
      <c r="D917">
        <v>2024834572</v>
      </c>
      <c r="E917" t="s">
        <v>734</v>
      </c>
      <c r="F917" t="s">
        <v>409</v>
      </c>
      <c r="G917" t="s">
        <v>50</v>
      </c>
      <c r="H917" t="s">
        <v>405</v>
      </c>
      <c r="I917" t="s">
        <v>441</v>
      </c>
      <c r="J917" t="s">
        <v>445</v>
      </c>
      <c r="K917">
        <v>767312</v>
      </c>
      <c r="L917" t="s">
        <v>122</v>
      </c>
      <c r="M917" t="s">
        <v>123</v>
      </c>
      <c r="N917" t="s">
        <v>56</v>
      </c>
      <c r="O917" s="1">
        <v>45549</v>
      </c>
      <c r="P917" s="1">
        <v>45944</v>
      </c>
      <c r="Q917" s="2">
        <v>87.77</v>
      </c>
      <c r="R917">
        <v>1</v>
      </c>
      <c r="S917" t="s">
        <v>57</v>
      </c>
      <c r="T917" t="s">
        <v>58</v>
      </c>
      <c r="U917" s="4">
        <v>0.15</v>
      </c>
      <c r="V917" s="2">
        <v>0</v>
      </c>
      <c r="W917">
        <v>0</v>
      </c>
      <c r="X917" t="s">
        <v>59</v>
      </c>
      <c r="Y917" t="s">
        <v>60</v>
      </c>
      <c r="Z917">
        <v>0</v>
      </c>
      <c r="AA917" s="2">
        <v>0</v>
      </c>
      <c r="AB917" s="2">
        <v>0</v>
      </c>
      <c r="AC917" s="4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13.17</v>
      </c>
      <c r="AM917" s="2">
        <v>13.17</v>
      </c>
      <c r="AN917" s="2">
        <v>0</v>
      </c>
      <c r="AO917" s="2">
        <v>0</v>
      </c>
      <c r="AP917" s="2">
        <v>0</v>
      </c>
    </row>
    <row r="918" spans="1:42" x14ac:dyDescent="0.25">
      <c r="A918" s="1">
        <v>45915</v>
      </c>
      <c r="B918" t="s">
        <v>47</v>
      </c>
      <c r="C918">
        <v>649163</v>
      </c>
      <c r="D918">
        <v>2024853075</v>
      </c>
      <c r="E918" t="s">
        <v>733</v>
      </c>
      <c r="F918" t="s">
        <v>732</v>
      </c>
      <c r="G918" t="s">
        <v>50</v>
      </c>
      <c r="H918" t="s">
        <v>151</v>
      </c>
      <c r="I918" t="s">
        <v>441</v>
      </c>
      <c r="J918" t="s">
        <v>445</v>
      </c>
      <c r="K918">
        <v>650218</v>
      </c>
      <c r="L918" t="s">
        <v>73</v>
      </c>
      <c r="M918" t="s">
        <v>74</v>
      </c>
      <c r="N918" t="s">
        <v>56</v>
      </c>
      <c r="O918" s="1">
        <v>45550</v>
      </c>
      <c r="P918" s="1">
        <v>45945</v>
      </c>
      <c r="Q918" s="2">
        <v>18.920000000000002</v>
      </c>
      <c r="R918">
        <v>1</v>
      </c>
      <c r="S918" t="s">
        <v>57</v>
      </c>
      <c r="T918" t="s">
        <v>58</v>
      </c>
      <c r="U918" s="4">
        <v>0.15</v>
      </c>
      <c r="V918" s="2">
        <v>0</v>
      </c>
      <c r="W918">
        <v>0</v>
      </c>
      <c r="X918" t="s">
        <v>59</v>
      </c>
      <c r="Y918" t="s">
        <v>60</v>
      </c>
      <c r="Z918">
        <v>0</v>
      </c>
      <c r="AA918" s="2">
        <v>0</v>
      </c>
      <c r="AB918" s="2">
        <v>0</v>
      </c>
      <c r="AC918" s="4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2.84</v>
      </c>
      <c r="AM918" s="2">
        <v>2.84</v>
      </c>
      <c r="AN918" s="2">
        <v>0</v>
      </c>
      <c r="AO918" s="2">
        <v>0</v>
      </c>
      <c r="AP918" s="2">
        <v>0</v>
      </c>
    </row>
    <row r="919" spans="1:42" x14ac:dyDescent="0.25">
      <c r="A919" s="1">
        <v>45915</v>
      </c>
      <c r="B919" t="s">
        <v>47</v>
      </c>
      <c r="C919">
        <v>649163</v>
      </c>
      <c r="D919">
        <v>2024864177</v>
      </c>
      <c r="E919" t="s">
        <v>731</v>
      </c>
      <c r="F919" t="s">
        <v>730</v>
      </c>
      <c r="G919" t="s">
        <v>50</v>
      </c>
      <c r="H919" t="s">
        <v>115</v>
      </c>
      <c r="I919" t="s">
        <v>441</v>
      </c>
      <c r="J919" t="s">
        <v>442</v>
      </c>
      <c r="K919">
        <v>767312</v>
      </c>
      <c r="L919" t="s">
        <v>122</v>
      </c>
      <c r="M919" t="s">
        <v>123</v>
      </c>
      <c r="N919" t="s">
        <v>56</v>
      </c>
      <c r="O919" s="1">
        <v>45549</v>
      </c>
      <c r="P919" s="1">
        <v>45944</v>
      </c>
      <c r="Q919" s="2">
        <v>19.309999999999999</v>
      </c>
      <c r="R919">
        <v>1</v>
      </c>
      <c r="S919" t="s">
        <v>57</v>
      </c>
      <c r="T919" t="s">
        <v>58</v>
      </c>
      <c r="U919" s="4">
        <v>0.1</v>
      </c>
      <c r="V919" s="2">
        <v>0</v>
      </c>
      <c r="W919">
        <v>0</v>
      </c>
      <c r="X919" t="s">
        <v>59</v>
      </c>
      <c r="Y919" t="s">
        <v>60</v>
      </c>
      <c r="Z919">
        <v>0</v>
      </c>
      <c r="AA919" s="2">
        <v>0</v>
      </c>
      <c r="AB919" s="2">
        <v>0</v>
      </c>
      <c r="AC919" s="4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1.93</v>
      </c>
      <c r="AM919" s="2">
        <v>1.93</v>
      </c>
      <c r="AN919" s="2">
        <v>0</v>
      </c>
      <c r="AO919" s="2">
        <v>0</v>
      </c>
      <c r="AP919" s="2">
        <v>0</v>
      </c>
    </row>
    <row r="920" spans="1:42" x14ac:dyDescent="0.25">
      <c r="A920" s="1">
        <v>45915</v>
      </c>
      <c r="B920" t="s">
        <v>47</v>
      </c>
      <c r="C920">
        <v>649163</v>
      </c>
      <c r="D920">
        <v>2024895605</v>
      </c>
      <c r="E920" t="s">
        <v>729</v>
      </c>
      <c r="F920" t="s">
        <v>85</v>
      </c>
      <c r="G920" t="s">
        <v>50</v>
      </c>
      <c r="H920" t="s">
        <v>115</v>
      </c>
      <c r="I920" t="s">
        <v>441</v>
      </c>
      <c r="J920" t="s">
        <v>445</v>
      </c>
      <c r="K920">
        <v>767312</v>
      </c>
      <c r="L920" t="s">
        <v>122</v>
      </c>
      <c r="M920" t="s">
        <v>123</v>
      </c>
      <c r="N920" t="s">
        <v>56</v>
      </c>
      <c r="O920" s="1">
        <v>45552</v>
      </c>
      <c r="P920" s="1">
        <v>45947</v>
      </c>
      <c r="Q920" s="2">
        <v>60.4</v>
      </c>
      <c r="R920">
        <v>1</v>
      </c>
      <c r="S920" t="s">
        <v>57</v>
      </c>
      <c r="T920" t="s">
        <v>58</v>
      </c>
      <c r="U920" s="4">
        <v>0.15</v>
      </c>
      <c r="V920" s="2">
        <v>0</v>
      </c>
      <c r="W920">
        <v>0</v>
      </c>
      <c r="X920" t="s">
        <v>59</v>
      </c>
      <c r="Y920" t="s">
        <v>60</v>
      </c>
      <c r="Z920">
        <v>0</v>
      </c>
      <c r="AA920" s="2">
        <v>0</v>
      </c>
      <c r="AB920" s="2">
        <v>0</v>
      </c>
      <c r="AC920" s="4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9.06</v>
      </c>
      <c r="AM920" s="2">
        <v>9.06</v>
      </c>
      <c r="AN920" s="2">
        <v>0</v>
      </c>
      <c r="AO920" s="2">
        <v>0</v>
      </c>
      <c r="AP920" s="2">
        <v>0</v>
      </c>
    </row>
    <row r="921" spans="1:42" x14ac:dyDescent="0.25">
      <c r="A921" s="1">
        <v>45915</v>
      </c>
      <c r="B921" t="s">
        <v>47</v>
      </c>
      <c r="C921">
        <v>649163</v>
      </c>
      <c r="D921">
        <v>2024905824</v>
      </c>
      <c r="E921" t="s">
        <v>728</v>
      </c>
      <c r="F921" t="s">
        <v>727</v>
      </c>
      <c r="G921" t="s">
        <v>50</v>
      </c>
      <c r="H921" t="s">
        <v>93</v>
      </c>
      <c r="I921" t="s">
        <v>441</v>
      </c>
      <c r="J921" t="s">
        <v>445</v>
      </c>
      <c r="K921">
        <v>768887</v>
      </c>
      <c r="L921" t="s">
        <v>282</v>
      </c>
      <c r="M921" t="s">
        <v>283</v>
      </c>
      <c r="N921" t="s">
        <v>56</v>
      </c>
      <c r="O921" s="1">
        <v>45553</v>
      </c>
      <c r="P921" s="1">
        <v>45948</v>
      </c>
      <c r="Q921" s="2">
        <v>40.74</v>
      </c>
      <c r="R921">
        <v>1</v>
      </c>
      <c r="S921" t="s">
        <v>57</v>
      </c>
      <c r="T921" t="s">
        <v>58</v>
      </c>
      <c r="U921" s="4">
        <v>0.15</v>
      </c>
      <c r="V921" s="2">
        <v>0</v>
      </c>
      <c r="W921">
        <v>0</v>
      </c>
      <c r="X921" t="s">
        <v>59</v>
      </c>
      <c r="Y921" t="s">
        <v>60</v>
      </c>
      <c r="Z921">
        <v>0</v>
      </c>
      <c r="AA921" s="2">
        <v>0</v>
      </c>
      <c r="AB921" s="2">
        <v>0</v>
      </c>
      <c r="AC921" s="4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6.11</v>
      </c>
      <c r="AM921" s="2">
        <v>6.11</v>
      </c>
      <c r="AN921" s="2">
        <v>0</v>
      </c>
      <c r="AO921" s="2">
        <v>0</v>
      </c>
      <c r="AP921" s="2">
        <v>0</v>
      </c>
    </row>
    <row r="922" spans="1:42" x14ac:dyDescent="0.25">
      <c r="A922" s="1">
        <v>45915</v>
      </c>
      <c r="B922" t="s">
        <v>47</v>
      </c>
      <c r="C922">
        <v>649163</v>
      </c>
      <c r="D922">
        <v>2025154616</v>
      </c>
      <c r="E922" t="s">
        <v>345</v>
      </c>
      <c r="F922" t="s">
        <v>346</v>
      </c>
      <c r="G922" t="s">
        <v>50</v>
      </c>
      <c r="H922" t="s">
        <v>115</v>
      </c>
      <c r="I922" t="s">
        <v>441</v>
      </c>
      <c r="J922" t="s">
        <v>445</v>
      </c>
      <c r="K922">
        <v>767312</v>
      </c>
      <c r="L922" t="s">
        <v>122</v>
      </c>
      <c r="M922" t="s">
        <v>123</v>
      </c>
      <c r="N922" t="s">
        <v>56</v>
      </c>
      <c r="O922" s="1">
        <v>45581</v>
      </c>
      <c r="P922" s="1">
        <v>45946</v>
      </c>
      <c r="Q922" s="2">
        <v>129.22</v>
      </c>
      <c r="R922">
        <v>1</v>
      </c>
      <c r="S922" t="s">
        <v>57</v>
      </c>
      <c r="T922" t="s">
        <v>58</v>
      </c>
      <c r="U922" s="4">
        <v>0.7</v>
      </c>
      <c r="V922" s="2">
        <v>0</v>
      </c>
      <c r="W922">
        <v>0</v>
      </c>
      <c r="X922" t="s">
        <v>70</v>
      </c>
      <c r="Y922" t="s">
        <v>60</v>
      </c>
      <c r="Z922">
        <v>0</v>
      </c>
      <c r="AA922" s="2">
        <v>0</v>
      </c>
      <c r="AB922" s="2">
        <v>0</v>
      </c>
      <c r="AC922" s="4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90.45</v>
      </c>
      <c r="AM922" s="2">
        <v>90.45</v>
      </c>
      <c r="AN922" s="2">
        <v>0</v>
      </c>
      <c r="AO922" s="2">
        <v>0</v>
      </c>
      <c r="AP922" s="2">
        <v>0</v>
      </c>
    </row>
    <row r="923" spans="1:42" x14ac:dyDescent="0.25">
      <c r="A923" s="1">
        <v>45915</v>
      </c>
      <c r="B923" t="s">
        <v>47</v>
      </c>
      <c r="C923">
        <v>649163</v>
      </c>
      <c r="D923">
        <v>2030329697</v>
      </c>
      <c r="E923" t="s">
        <v>726</v>
      </c>
      <c r="F923" t="s">
        <v>725</v>
      </c>
      <c r="G923" t="s">
        <v>50</v>
      </c>
      <c r="H923" t="s">
        <v>188</v>
      </c>
      <c r="I923" t="s">
        <v>441</v>
      </c>
      <c r="J923" t="s">
        <v>445</v>
      </c>
      <c r="K923">
        <v>767312</v>
      </c>
      <c r="L923" t="s">
        <v>122</v>
      </c>
      <c r="M923" t="s">
        <v>123</v>
      </c>
      <c r="N923" t="s">
        <v>56</v>
      </c>
      <c r="O923" s="1">
        <v>45882</v>
      </c>
      <c r="P923" s="1">
        <v>45943</v>
      </c>
      <c r="Q923" s="2">
        <v>174.5</v>
      </c>
      <c r="R923">
        <v>1</v>
      </c>
      <c r="S923" t="s">
        <v>57</v>
      </c>
      <c r="T923" t="s">
        <v>58</v>
      </c>
      <c r="U923" s="4">
        <v>0.7</v>
      </c>
      <c r="V923" s="2">
        <v>0</v>
      </c>
      <c r="W923">
        <v>0</v>
      </c>
      <c r="X923" t="s">
        <v>70</v>
      </c>
      <c r="Y923" t="s">
        <v>60</v>
      </c>
      <c r="Z923">
        <v>0</v>
      </c>
      <c r="AA923" s="2">
        <v>0</v>
      </c>
      <c r="AB923" s="2">
        <v>0</v>
      </c>
      <c r="AC923" s="4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122.15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</row>
    <row r="924" spans="1:42" x14ac:dyDescent="0.25">
      <c r="A924" s="1">
        <v>45915</v>
      </c>
      <c r="B924" t="s">
        <v>47</v>
      </c>
      <c r="C924">
        <v>649163</v>
      </c>
      <c r="D924">
        <v>2030337261</v>
      </c>
      <c r="E924" t="s">
        <v>724</v>
      </c>
      <c r="F924" t="s">
        <v>723</v>
      </c>
      <c r="G924" t="s">
        <v>50</v>
      </c>
      <c r="H924" t="s">
        <v>93</v>
      </c>
      <c r="I924" t="s">
        <v>441</v>
      </c>
      <c r="J924" t="s">
        <v>451</v>
      </c>
      <c r="K924">
        <v>789909</v>
      </c>
      <c r="L924" t="s">
        <v>722</v>
      </c>
      <c r="M924" t="s">
        <v>721</v>
      </c>
      <c r="N924" t="s">
        <v>56</v>
      </c>
      <c r="O924" s="1">
        <v>45884</v>
      </c>
      <c r="P924" s="1">
        <v>45945</v>
      </c>
      <c r="Q924" s="2">
        <v>35.4</v>
      </c>
      <c r="R924">
        <v>1</v>
      </c>
      <c r="S924" t="s">
        <v>57</v>
      </c>
      <c r="T924" t="s">
        <v>58</v>
      </c>
      <c r="U924" s="4">
        <v>0.42</v>
      </c>
      <c r="V924" s="2">
        <v>0</v>
      </c>
      <c r="W924">
        <v>0</v>
      </c>
      <c r="X924" t="s">
        <v>70</v>
      </c>
      <c r="Y924" t="s">
        <v>60</v>
      </c>
      <c r="Z924">
        <v>0</v>
      </c>
      <c r="AA924" s="2">
        <v>0</v>
      </c>
      <c r="AB924" s="2">
        <v>0</v>
      </c>
      <c r="AC924" s="4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14.87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</row>
    <row r="925" spans="1:42" x14ac:dyDescent="0.25">
      <c r="A925" s="1">
        <v>45915</v>
      </c>
      <c r="B925" t="s">
        <v>47</v>
      </c>
      <c r="C925">
        <v>649163</v>
      </c>
      <c r="D925">
        <v>2030341225</v>
      </c>
      <c r="E925" t="s">
        <v>720</v>
      </c>
      <c r="F925" t="s">
        <v>719</v>
      </c>
      <c r="G925" t="s">
        <v>50</v>
      </c>
      <c r="H925" t="s">
        <v>544</v>
      </c>
      <c r="I925" t="s">
        <v>441</v>
      </c>
      <c r="J925" t="s">
        <v>451</v>
      </c>
      <c r="K925">
        <v>767312</v>
      </c>
      <c r="L925" t="s">
        <v>122</v>
      </c>
      <c r="M925" t="s">
        <v>123</v>
      </c>
      <c r="N925" t="s">
        <v>56</v>
      </c>
      <c r="O925" s="1">
        <v>45879</v>
      </c>
      <c r="P925" s="1">
        <v>45940</v>
      </c>
      <c r="Q925" s="2">
        <v>24.4</v>
      </c>
      <c r="R925">
        <v>1</v>
      </c>
      <c r="S925" t="s">
        <v>57</v>
      </c>
      <c r="T925" t="s">
        <v>58</v>
      </c>
      <c r="U925" s="4">
        <v>0.42</v>
      </c>
      <c r="V925" s="2">
        <v>0</v>
      </c>
      <c r="W925">
        <v>0</v>
      </c>
      <c r="X925" t="s">
        <v>70</v>
      </c>
      <c r="Y925" t="s">
        <v>60</v>
      </c>
      <c r="Z925">
        <v>0</v>
      </c>
      <c r="AA925" s="2">
        <v>0</v>
      </c>
      <c r="AB925" s="2">
        <v>0</v>
      </c>
      <c r="AC925" s="4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10.25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</row>
    <row r="926" spans="1:42" x14ac:dyDescent="0.25">
      <c r="A926" s="1">
        <v>45915</v>
      </c>
      <c r="B926" t="s">
        <v>47</v>
      </c>
      <c r="C926">
        <v>649163</v>
      </c>
      <c r="D926">
        <v>2030380188</v>
      </c>
      <c r="E926" t="s">
        <v>718</v>
      </c>
      <c r="F926" t="s">
        <v>717</v>
      </c>
      <c r="G926" t="s">
        <v>50</v>
      </c>
      <c r="H926" t="s">
        <v>405</v>
      </c>
      <c r="I926" t="s">
        <v>441</v>
      </c>
      <c r="J926" t="s">
        <v>442</v>
      </c>
      <c r="K926">
        <v>767312</v>
      </c>
      <c r="L926" t="s">
        <v>122</v>
      </c>
      <c r="M926" t="s">
        <v>123</v>
      </c>
      <c r="N926" t="s">
        <v>56</v>
      </c>
      <c r="O926" s="1">
        <v>45884</v>
      </c>
      <c r="P926" s="1">
        <v>45945</v>
      </c>
      <c r="Q926" s="2">
        <v>35.85</v>
      </c>
      <c r="R926">
        <v>1</v>
      </c>
      <c r="S926" t="s">
        <v>57</v>
      </c>
      <c r="T926" t="s">
        <v>58</v>
      </c>
      <c r="U926" s="4">
        <v>0.9</v>
      </c>
      <c r="V926" s="2">
        <v>0</v>
      </c>
      <c r="W926">
        <v>0</v>
      </c>
      <c r="X926" t="s">
        <v>70</v>
      </c>
      <c r="Y926" t="s">
        <v>60</v>
      </c>
      <c r="Z926">
        <v>0</v>
      </c>
      <c r="AA926" s="2">
        <v>0</v>
      </c>
      <c r="AB926" s="2">
        <v>0</v>
      </c>
      <c r="AC926" s="4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32.26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</row>
    <row r="927" spans="1:42" x14ac:dyDescent="0.25">
      <c r="A927" s="1">
        <v>45915</v>
      </c>
      <c r="B927" t="s">
        <v>47</v>
      </c>
      <c r="C927">
        <v>649163</v>
      </c>
      <c r="D927">
        <v>2030382339</v>
      </c>
      <c r="E927" t="s">
        <v>716</v>
      </c>
      <c r="F927" t="s">
        <v>339</v>
      </c>
      <c r="G927" t="s">
        <v>50</v>
      </c>
      <c r="H927" t="s">
        <v>93</v>
      </c>
      <c r="I927" t="s">
        <v>441</v>
      </c>
      <c r="J927" t="s">
        <v>445</v>
      </c>
      <c r="K927">
        <v>840313</v>
      </c>
      <c r="L927" t="s">
        <v>273</v>
      </c>
      <c r="M927" t="s">
        <v>274</v>
      </c>
      <c r="N927" t="s">
        <v>56</v>
      </c>
      <c r="O927" s="1">
        <v>45877</v>
      </c>
      <c r="P927" s="1">
        <v>45938</v>
      </c>
      <c r="Q927" s="2">
        <v>-96.02</v>
      </c>
      <c r="R927">
        <v>1</v>
      </c>
      <c r="S927" t="s">
        <v>57</v>
      </c>
      <c r="T927" t="s">
        <v>58</v>
      </c>
      <c r="U927" s="4">
        <v>0.7</v>
      </c>
      <c r="V927" s="2">
        <v>0</v>
      </c>
      <c r="W927">
        <v>-1</v>
      </c>
      <c r="X927" t="s">
        <v>70</v>
      </c>
      <c r="Y927" t="s">
        <v>60</v>
      </c>
      <c r="Z927">
        <v>0</v>
      </c>
      <c r="AA927" s="2">
        <v>0</v>
      </c>
      <c r="AB927" s="2">
        <v>0</v>
      </c>
      <c r="AC927" s="4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-67.209999999999994</v>
      </c>
      <c r="AM927" s="2">
        <v>-67.209999999999994</v>
      </c>
      <c r="AN927" s="2">
        <v>0</v>
      </c>
      <c r="AO927" s="2">
        <v>0</v>
      </c>
      <c r="AP927" s="2">
        <v>0</v>
      </c>
    </row>
    <row r="928" spans="1:42" x14ac:dyDescent="0.25">
      <c r="A928" s="1">
        <v>45915</v>
      </c>
      <c r="B928" t="s">
        <v>47</v>
      </c>
      <c r="C928">
        <v>649163</v>
      </c>
      <c r="D928">
        <v>2030382340</v>
      </c>
      <c r="E928" t="s">
        <v>716</v>
      </c>
      <c r="F928" t="s">
        <v>339</v>
      </c>
      <c r="G928" t="s">
        <v>50</v>
      </c>
      <c r="H928" t="s">
        <v>93</v>
      </c>
      <c r="I928" t="s">
        <v>441</v>
      </c>
      <c r="J928" t="s">
        <v>451</v>
      </c>
      <c r="K928">
        <v>840313</v>
      </c>
      <c r="L928" t="s">
        <v>273</v>
      </c>
      <c r="M928" t="s">
        <v>274</v>
      </c>
      <c r="N928" t="s">
        <v>56</v>
      </c>
      <c r="O928" s="1">
        <v>45877</v>
      </c>
      <c r="P928" s="1">
        <v>45938</v>
      </c>
      <c r="Q928" s="2">
        <v>-102.1</v>
      </c>
      <c r="R928">
        <v>1</v>
      </c>
      <c r="S928" t="s">
        <v>57</v>
      </c>
      <c r="T928" t="s">
        <v>58</v>
      </c>
      <c r="U928" s="4">
        <v>0.42</v>
      </c>
      <c r="V928" s="2">
        <v>0</v>
      </c>
      <c r="W928">
        <v>-1</v>
      </c>
      <c r="X928" t="s">
        <v>70</v>
      </c>
      <c r="Y928" t="s">
        <v>60</v>
      </c>
      <c r="Z928">
        <v>0</v>
      </c>
      <c r="AA928" s="2">
        <v>0</v>
      </c>
      <c r="AB928" s="2">
        <v>0</v>
      </c>
      <c r="AC928" s="4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-42.88</v>
      </c>
      <c r="AM928" s="2">
        <v>-42.88</v>
      </c>
      <c r="AN928" s="2">
        <v>0</v>
      </c>
      <c r="AO928" s="2">
        <v>0</v>
      </c>
      <c r="AP928" s="2">
        <v>0</v>
      </c>
    </row>
    <row r="929" spans="1:42" x14ac:dyDescent="0.25">
      <c r="A929" s="1">
        <v>45915</v>
      </c>
      <c r="B929" t="s">
        <v>47</v>
      </c>
      <c r="C929">
        <v>649163</v>
      </c>
      <c r="D929">
        <v>2030447483</v>
      </c>
      <c r="E929" t="s">
        <v>715</v>
      </c>
      <c r="F929" t="s">
        <v>714</v>
      </c>
      <c r="G929" t="s">
        <v>50</v>
      </c>
      <c r="H929" t="s">
        <v>151</v>
      </c>
      <c r="I929" t="s">
        <v>441</v>
      </c>
      <c r="J929" t="s">
        <v>445</v>
      </c>
      <c r="K929">
        <v>753748</v>
      </c>
      <c r="L929" t="s">
        <v>130</v>
      </c>
      <c r="M929" t="s">
        <v>131</v>
      </c>
      <c r="N929" t="s">
        <v>56</v>
      </c>
      <c r="O929" s="1">
        <v>45882</v>
      </c>
      <c r="P929" s="1">
        <v>45943</v>
      </c>
      <c r="Q929" s="2">
        <v>10.53</v>
      </c>
      <c r="R929">
        <v>1</v>
      </c>
      <c r="S929" t="s">
        <v>57</v>
      </c>
      <c r="T929" t="s">
        <v>58</v>
      </c>
      <c r="U929" s="4">
        <v>0.7</v>
      </c>
      <c r="V929" s="2">
        <v>0</v>
      </c>
      <c r="W929">
        <v>0</v>
      </c>
      <c r="X929" t="s">
        <v>70</v>
      </c>
      <c r="Y929" t="s">
        <v>60</v>
      </c>
      <c r="Z929">
        <v>0</v>
      </c>
      <c r="AA929" s="2">
        <v>0</v>
      </c>
      <c r="AB929" s="2">
        <v>0</v>
      </c>
      <c r="AC929" s="4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7.37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</row>
    <row r="930" spans="1:42" x14ac:dyDescent="0.25">
      <c r="A930" s="1">
        <v>45915</v>
      </c>
      <c r="B930" t="s">
        <v>47</v>
      </c>
      <c r="C930">
        <v>649163</v>
      </c>
      <c r="D930">
        <v>2030450004</v>
      </c>
      <c r="E930" t="s">
        <v>713</v>
      </c>
      <c r="F930" t="s">
        <v>712</v>
      </c>
      <c r="G930" t="s">
        <v>50</v>
      </c>
      <c r="H930" t="s">
        <v>214</v>
      </c>
      <c r="I930" t="s">
        <v>441</v>
      </c>
      <c r="J930" t="s">
        <v>451</v>
      </c>
      <c r="K930">
        <v>823068</v>
      </c>
      <c r="L930" t="s">
        <v>215</v>
      </c>
      <c r="M930" t="s">
        <v>216</v>
      </c>
      <c r="N930" t="s">
        <v>56</v>
      </c>
      <c r="O930" s="1">
        <v>45888</v>
      </c>
      <c r="P930" s="1">
        <v>45949</v>
      </c>
      <c r="Q930" s="2">
        <v>32.81</v>
      </c>
      <c r="R930">
        <v>1</v>
      </c>
      <c r="S930" t="s">
        <v>57</v>
      </c>
      <c r="T930" t="s">
        <v>58</v>
      </c>
      <c r="U930" s="4">
        <v>0.42</v>
      </c>
      <c r="V930" s="2">
        <v>0</v>
      </c>
      <c r="W930">
        <v>0</v>
      </c>
      <c r="X930" t="s">
        <v>70</v>
      </c>
      <c r="Y930" t="s">
        <v>60</v>
      </c>
      <c r="Z930">
        <v>0</v>
      </c>
      <c r="AA930" s="2">
        <v>0</v>
      </c>
      <c r="AB930" s="2">
        <v>0</v>
      </c>
      <c r="AC930" s="4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13.78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</row>
    <row r="931" spans="1:42" x14ac:dyDescent="0.25">
      <c r="A931" s="1">
        <v>45915</v>
      </c>
      <c r="B931" t="s">
        <v>47</v>
      </c>
      <c r="D931">
        <v>2030450005</v>
      </c>
      <c r="E931" t="s">
        <v>713</v>
      </c>
      <c r="F931" t="s">
        <v>712</v>
      </c>
      <c r="G931" t="s">
        <v>50</v>
      </c>
      <c r="H931" t="s">
        <v>214</v>
      </c>
      <c r="I931" t="s">
        <v>441</v>
      </c>
      <c r="J931" t="s">
        <v>545</v>
      </c>
      <c r="L931" t="s">
        <v>215</v>
      </c>
      <c r="M931" t="s">
        <v>216</v>
      </c>
      <c r="N931" t="s">
        <v>56</v>
      </c>
      <c r="O931" s="1">
        <v>45888</v>
      </c>
      <c r="P931" s="1">
        <v>45949</v>
      </c>
      <c r="Q931" s="2">
        <v>24.61</v>
      </c>
      <c r="R931">
        <v>1</v>
      </c>
      <c r="S931" t="s">
        <v>57</v>
      </c>
      <c r="T931" t="s">
        <v>58</v>
      </c>
      <c r="U931" s="4">
        <v>0.7</v>
      </c>
      <c r="V931" s="2">
        <v>0</v>
      </c>
      <c r="W931">
        <v>0</v>
      </c>
      <c r="X931" t="s">
        <v>70</v>
      </c>
      <c r="Y931" t="s">
        <v>60</v>
      </c>
      <c r="Z931">
        <v>0</v>
      </c>
      <c r="AA931" s="2">
        <v>0</v>
      </c>
      <c r="AB931" s="2">
        <v>0</v>
      </c>
      <c r="AC931" s="4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17.23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</row>
    <row r="932" spans="1:42" x14ac:dyDescent="0.25">
      <c r="A932" s="1">
        <v>45915</v>
      </c>
      <c r="B932" t="s">
        <v>47</v>
      </c>
      <c r="C932">
        <v>649163</v>
      </c>
      <c r="D932">
        <v>2030452962</v>
      </c>
      <c r="E932" t="s">
        <v>625</v>
      </c>
      <c r="F932" t="s">
        <v>85</v>
      </c>
      <c r="G932" t="s">
        <v>50</v>
      </c>
      <c r="H932" t="s">
        <v>141</v>
      </c>
      <c r="I932" t="s">
        <v>441</v>
      </c>
      <c r="J932" t="s">
        <v>445</v>
      </c>
      <c r="K932">
        <v>824082</v>
      </c>
      <c r="L932" t="s">
        <v>624</v>
      </c>
      <c r="M932" t="s">
        <v>623</v>
      </c>
      <c r="N932" t="s">
        <v>56</v>
      </c>
      <c r="O932" s="1">
        <v>45882</v>
      </c>
      <c r="P932" s="1">
        <v>45943</v>
      </c>
      <c r="Q932" s="2">
        <v>29.2</v>
      </c>
      <c r="R932">
        <v>1</v>
      </c>
      <c r="S932" t="s">
        <v>57</v>
      </c>
      <c r="T932" t="s">
        <v>58</v>
      </c>
      <c r="U932" s="4">
        <v>0.7</v>
      </c>
      <c r="V932" s="2">
        <v>0</v>
      </c>
      <c r="W932">
        <v>0</v>
      </c>
      <c r="X932" t="s">
        <v>70</v>
      </c>
      <c r="Y932" t="s">
        <v>60</v>
      </c>
      <c r="Z932">
        <v>0</v>
      </c>
      <c r="AA932" s="2">
        <v>0</v>
      </c>
      <c r="AB932" s="2">
        <v>0</v>
      </c>
      <c r="AC932" s="4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20.440000000000001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</row>
    <row r="933" spans="1:42" x14ac:dyDescent="0.25">
      <c r="A933" s="1">
        <v>45915</v>
      </c>
      <c r="B933" t="s">
        <v>47</v>
      </c>
      <c r="D933">
        <v>2030454170</v>
      </c>
      <c r="E933" t="s">
        <v>711</v>
      </c>
      <c r="F933" t="s">
        <v>123</v>
      </c>
      <c r="G933" t="s">
        <v>50</v>
      </c>
      <c r="H933" t="s">
        <v>214</v>
      </c>
      <c r="I933" t="s">
        <v>441</v>
      </c>
      <c r="J933" t="s">
        <v>545</v>
      </c>
      <c r="L933" t="s">
        <v>215</v>
      </c>
      <c r="M933" t="s">
        <v>216</v>
      </c>
      <c r="N933" t="s">
        <v>56</v>
      </c>
      <c r="O933" s="1">
        <v>45883</v>
      </c>
      <c r="P933" s="1">
        <v>45944</v>
      </c>
      <c r="Q933" s="2">
        <v>24.61</v>
      </c>
      <c r="R933">
        <v>1</v>
      </c>
      <c r="S933" t="s">
        <v>57</v>
      </c>
      <c r="T933" t="s">
        <v>58</v>
      </c>
      <c r="U933" s="4">
        <v>0.7</v>
      </c>
      <c r="V933" s="2">
        <v>0</v>
      </c>
      <c r="W933">
        <v>0</v>
      </c>
      <c r="X933" t="s">
        <v>70</v>
      </c>
      <c r="Y933" t="s">
        <v>60</v>
      </c>
      <c r="Z933">
        <v>0</v>
      </c>
      <c r="AA933" s="2">
        <v>0</v>
      </c>
      <c r="AB933" s="2">
        <v>0</v>
      </c>
      <c r="AC933" s="4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17.23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</row>
    <row r="934" spans="1:42" x14ac:dyDescent="0.25">
      <c r="A934" s="1">
        <v>45915</v>
      </c>
      <c r="B934" t="s">
        <v>47</v>
      </c>
      <c r="C934">
        <v>649163</v>
      </c>
      <c r="D934">
        <v>2030455581</v>
      </c>
      <c r="E934" t="s">
        <v>710</v>
      </c>
      <c r="F934" t="s">
        <v>398</v>
      </c>
      <c r="G934" t="s">
        <v>50</v>
      </c>
      <c r="H934" t="s">
        <v>141</v>
      </c>
      <c r="I934" t="s">
        <v>441</v>
      </c>
      <c r="J934" t="s">
        <v>445</v>
      </c>
      <c r="K934">
        <v>816021</v>
      </c>
      <c r="L934" t="s">
        <v>142</v>
      </c>
      <c r="M934" t="s">
        <v>143</v>
      </c>
      <c r="N934" t="s">
        <v>56</v>
      </c>
      <c r="O934" s="1">
        <v>45882</v>
      </c>
      <c r="P934" s="1">
        <v>45943</v>
      </c>
      <c r="Q934" s="2">
        <v>27.38</v>
      </c>
      <c r="R934">
        <v>1</v>
      </c>
      <c r="S934" t="s">
        <v>57</v>
      </c>
      <c r="T934" t="s">
        <v>58</v>
      </c>
      <c r="U934" s="4">
        <v>0.7</v>
      </c>
      <c r="V934" s="2">
        <v>0</v>
      </c>
      <c r="W934">
        <v>0</v>
      </c>
      <c r="X934" t="s">
        <v>70</v>
      </c>
      <c r="Y934" t="s">
        <v>60</v>
      </c>
      <c r="Z934">
        <v>0</v>
      </c>
      <c r="AA934" s="2">
        <v>0</v>
      </c>
      <c r="AB934" s="2">
        <v>0</v>
      </c>
      <c r="AC934" s="4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19.170000000000002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</row>
    <row r="935" spans="1:42" x14ac:dyDescent="0.25">
      <c r="A935" s="1">
        <v>45915</v>
      </c>
      <c r="B935" t="s">
        <v>47</v>
      </c>
      <c r="C935">
        <v>649163</v>
      </c>
      <c r="D935">
        <v>2030455583</v>
      </c>
      <c r="E935" t="s">
        <v>710</v>
      </c>
      <c r="F935" t="s">
        <v>398</v>
      </c>
      <c r="G935" t="s">
        <v>50</v>
      </c>
      <c r="H935" t="s">
        <v>141</v>
      </c>
      <c r="I935" t="s">
        <v>441</v>
      </c>
      <c r="J935" t="s">
        <v>442</v>
      </c>
      <c r="K935">
        <v>816021</v>
      </c>
      <c r="L935" t="s">
        <v>142</v>
      </c>
      <c r="M935" t="s">
        <v>143</v>
      </c>
      <c r="N935" t="s">
        <v>56</v>
      </c>
      <c r="O935" s="1">
        <v>45882</v>
      </c>
      <c r="P935" s="1">
        <v>45943</v>
      </c>
      <c r="Q935" s="2">
        <v>52.92</v>
      </c>
      <c r="R935">
        <v>1</v>
      </c>
      <c r="S935" t="s">
        <v>57</v>
      </c>
      <c r="T935" t="s">
        <v>58</v>
      </c>
      <c r="U935" s="4">
        <v>0.9</v>
      </c>
      <c r="V935" s="2">
        <v>0</v>
      </c>
      <c r="W935">
        <v>0</v>
      </c>
      <c r="X935" t="s">
        <v>70</v>
      </c>
      <c r="Y935" t="s">
        <v>60</v>
      </c>
      <c r="Z935">
        <v>0</v>
      </c>
      <c r="AA935" s="2">
        <v>0</v>
      </c>
      <c r="AB935" s="2">
        <v>0</v>
      </c>
      <c r="AC935" s="4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47.63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</row>
    <row r="936" spans="1:42" x14ac:dyDescent="0.25">
      <c r="A936" s="1">
        <v>45915</v>
      </c>
      <c r="B936" t="s">
        <v>47</v>
      </c>
      <c r="D936">
        <v>2030463472</v>
      </c>
      <c r="E936" t="s">
        <v>228</v>
      </c>
      <c r="F936" t="s">
        <v>229</v>
      </c>
      <c r="G936" t="s">
        <v>50</v>
      </c>
      <c r="H936" t="s">
        <v>214</v>
      </c>
      <c r="I936" t="s">
        <v>441</v>
      </c>
      <c r="J936" t="s">
        <v>545</v>
      </c>
      <c r="L936" t="s">
        <v>215</v>
      </c>
      <c r="M936" t="s">
        <v>216</v>
      </c>
      <c r="N936" t="s">
        <v>56</v>
      </c>
      <c r="O936" s="1">
        <v>45885</v>
      </c>
      <c r="P936" s="1">
        <v>45946</v>
      </c>
      <c r="Q936" s="2">
        <v>55.58</v>
      </c>
      <c r="R936">
        <v>1</v>
      </c>
      <c r="S936" t="s">
        <v>57</v>
      </c>
      <c r="T936" t="s">
        <v>58</v>
      </c>
      <c r="U936" s="4">
        <v>0.7</v>
      </c>
      <c r="V936" s="2">
        <v>0</v>
      </c>
      <c r="W936">
        <v>0</v>
      </c>
      <c r="X936" t="s">
        <v>70</v>
      </c>
      <c r="Y936" t="s">
        <v>60</v>
      </c>
      <c r="Z936">
        <v>0</v>
      </c>
      <c r="AA936" s="2">
        <v>0</v>
      </c>
      <c r="AB936" s="2">
        <v>0</v>
      </c>
      <c r="AC936" s="4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38.909999999999997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</row>
    <row r="937" spans="1:42" x14ac:dyDescent="0.25">
      <c r="A937" s="1">
        <v>45915</v>
      </c>
      <c r="B937" t="s">
        <v>47</v>
      </c>
      <c r="C937">
        <v>649163</v>
      </c>
      <c r="D937">
        <v>2030474678</v>
      </c>
      <c r="E937" t="s">
        <v>709</v>
      </c>
      <c r="F937" t="s">
        <v>708</v>
      </c>
      <c r="G937" t="s">
        <v>50</v>
      </c>
      <c r="H937" t="s">
        <v>151</v>
      </c>
      <c r="I937" t="s">
        <v>441</v>
      </c>
      <c r="J937" t="s">
        <v>445</v>
      </c>
      <c r="K937">
        <v>878036</v>
      </c>
      <c r="L937" t="s">
        <v>707</v>
      </c>
      <c r="M937" t="s">
        <v>706</v>
      </c>
      <c r="N937" t="s">
        <v>56</v>
      </c>
      <c r="O937" s="1">
        <v>45884</v>
      </c>
      <c r="P937" s="1">
        <v>45945</v>
      </c>
      <c r="Q937" s="2">
        <v>55.61</v>
      </c>
      <c r="R937">
        <v>1</v>
      </c>
      <c r="S937" t="s">
        <v>57</v>
      </c>
      <c r="T937" t="s">
        <v>58</v>
      </c>
      <c r="U937" s="4">
        <v>0.7</v>
      </c>
      <c r="V937" s="2">
        <v>0</v>
      </c>
      <c r="W937">
        <v>0</v>
      </c>
      <c r="X937" t="s">
        <v>70</v>
      </c>
      <c r="Y937" t="s">
        <v>60</v>
      </c>
      <c r="Z937">
        <v>0</v>
      </c>
      <c r="AA937" s="2">
        <v>0</v>
      </c>
      <c r="AB937" s="2">
        <v>0</v>
      </c>
      <c r="AC937" s="4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38.93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</row>
    <row r="938" spans="1:42" x14ac:dyDescent="0.25">
      <c r="A938" s="1">
        <v>45915</v>
      </c>
      <c r="B938" t="s">
        <v>47</v>
      </c>
      <c r="C938">
        <v>649163</v>
      </c>
      <c r="D938">
        <v>2030474774</v>
      </c>
      <c r="E938" t="s">
        <v>705</v>
      </c>
      <c r="F938" t="s">
        <v>704</v>
      </c>
      <c r="G938" t="s">
        <v>50</v>
      </c>
      <c r="H938" t="s">
        <v>63</v>
      </c>
      <c r="I938" t="s">
        <v>441</v>
      </c>
      <c r="J938" t="s">
        <v>445</v>
      </c>
      <c r="K938">
        <v>673059</v>
      </c>
      <c r="L938" t="s">
        <v>152</v>
      </c>
      <c r="M938" t="s">
        <v>153</v>
      </c>
      <c r="N938" t="s">
        <v>56</v>
      </c>
      <c r="O938" s="1">
        <v>45883</v>
      </c>
      <c r="P938" s="1">
        <v>45944</v>
      </c>
      <c r="Q938" s="2">
        <v>122.88</v>
      </c>
      <c r="R938">
        <v>1</v>
      </c>
      <c r="S938" t="s">
        <v>57</v>
      </c>
      <c r="T938" t="s">
        <v>58</v>
      </c>
      <c r="U938" s="4">
        <v>0.7</v>
      </c>
      <c r="V938" s="2">
        <v>0</v>
      </c>
      <c r="W938">
        <v>0</v>
      </c>
      <c r="X938" t="s">
        <v>70</v>
      </c>
      <c r="Y938" t="s">
        <v>60</v>
      </c>
      <c r="Z938">
        <v>0</v>
      </c>
      <c r="AA938" s="2">
        <v>0</v>
      </c>
      <c r="AB938" s="2">
        <v>0</v>
      </c>
      <c r="AC938" s="4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86.02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</row>
    <row r="939" spans="1:42" x14ac:dyDescent="0.25">
      <c r="A939" s="1">
        <v>45915</v>
      </c>
      <c r="B939" t="s">
        <v>47</v>
      </c>
      <c r="C939">
        <v>649163</v>
      </c>
      <c r="D939">
        <v>2030485607</v>
      </c>
      <c r="E939" t="s">
        <v>703</v>
      </c>
      <c r="F939" t="s">
        <v>702</v>
      </c>
      <c r="G939" t="s">
        <v>50</v>
      </c>
      <c r="H939" t="s">
        <v>157</v>
      </c>
      <c r="I939" t="s">
        <v>441</v>
      </c>
      <c r="J939" t="s">
        <v>445</v>
      </c>
      <c r="K939">
        <v>839913</v>
      </c>
      <c r="L939" t="s">
        <v>701</v>
      </c>
      <c r="M939" t="s">
        <v>700</v>
      </c>
      <c r="N939" t="s">
        <v>56</v>
      </c>
      <c r="O939" s="1">
        <v>45883</v>
      </c>
      <c r="P939" s="1">
        <v>45944</v>
      </c>
      <c r="Q939" s="2">
        <v>46.72</v>
      </c>
      <c r="R939">
        <v>1</v>
      </c>
      <c r="S939" t="s">
        <v>57</v>
      </c>
      <c r="T939" t="s">
        <v>58</v>
      </c>
      <c r="U939" s="4">
        <v>0.7</v>
      </c>
      <c r="V939" s="2">
        <v>0</v>
      </c>
      <c r="W939">
        <v>0</v>
      </c>
      <c r="X939" t="s">
        <v>70</v>
      </c>
      <c r="Y939" t="s">
        <v>60</v>
      </c>
      <c r="Z939">
        <v>0</v>
      </c>
      <c r="AA939" s="2">
        <v>0</v>
      </c>
      <c r="AB939" s="2">
        <v>0</v>
      </c>
      <c r="AC939" s="4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32.700000000000003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</row>
    <row r="940" spans="1:42" x14ac:dyDescent="0.25">
      <c r="A940" s="1">
        <v>45915</v>
      </c>
      <c r="B940" t="s">
        <v>47</v>
      </c>
      <c r="D940">
        <v>2030488870</v>
      </c>
      <c r="E940" t="s">
        <v>699</v>
      </c>
      <c r="F940" t="s">
        <v>698</v>
      </c>
      <c r="G940" t="s">
        <v>50</v>
      </c>
      <c r="H940" t="s">
        <v>214</v>
      </c>
      <c r="I940" t="s">
        <v>441</v>
      </c>
      <c r="J940" t="s">
        <v>545</v>
      </c>
      <c r="L940" t="s">
        <v>215</v>
      </c>
      <c r="M940" t="s">
        <v>216</v>
      </c>
      <c r="N940" t="s">
        <v>56</v>
      </c>
      <c r="O940" s="1">
        <v>45884</v>
      </c>
      <c r="P940" s="1">
        <v>45945</v>
      </c>
      <c r="Q940" s="2">
        <v>24.61</v>
      </c>
      <c r="R940">
        <v>1</v>
      </c>
      <c r="S940" t="s">
        <v>57</v>
      </c>
      <c r="T940" t="s">
        <v>58</v>
      </c>
      <c r="U940" s="4">
        <v>0.7</v>
      </c>
      <c r="V940" s="2">
        <v>0</v>
      </c>
      <c r="W940">
        <v>0</v>
      </c>
      <c r="X940" t="s">
        <v>70</v>
      </c>
      <c r="Y940" t="s">
        <v>60</v>
      </c>
      <c r="Z940">
        <v>0</v>
      </c>
      <c r="AA940" s="2">
        <v>0</v>
      </c>
      <c r="AB940" s="2">
        <v>0</v>
      </c>
      <c r="AC940" s="4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17.23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</row>
    <row r="941" spans="1:42" x14ac:dyDescent="0.25">
      <c r="A941" s="1">
        <v>45915</v>
      </c>
      <c r="B941" t="s">
        <v>47</v>
      </c>
      <c r="C941">
        <v>649163</v>
      </c>
      <c r="D941">
        <v>2030488871</v>
      </c>
      <c r="E941" t="s">
        <v>699</v>
      </c>
      <c r="F941" t="s">
        <v>698</v>
      </c>
      <c r="G941" t="s">
        <v>50</v>
      </c>
      <c r="H941" t="s">
        <v>214</v>
      </c>
      <c r="I941" t="s">
        <v>441</v>
      </c>
      <c r="J941" t="s">
        <v>451</v>
      </c>
      <c r="K941">
        <v>823068</v>
      </c>
      <c r="L941" t="s">
        <v>215</v>
      </c>
      <c r="M941" t="s">
        <v>216</v>
      </c>
      <c r="N941" t="s">
        <v>56</v>
      </c>
      <c r="O941" s="1">
        <v>45884</v>
      </c>
      <c r="P941" s="1">
        <v>45945</v>
      </c>
      <c r="Q941" s="2">
        <v>27.8</v>
      </c>
      <c r="R941">
        <v>1</v>
      </c>
      <c r="S941" t="s">
        <v>57</v>
      </c>
      <c r="T941" t="s">
        <v>58</v>
      </c>
      <c r="U941" s="4">
        <v>0.42</v>
      </c>
      <c r="V941" s="2">
        <v>0</v>
      </c>
      <c r="W941">
        <v>0</v>
      </c>
      <c r="X941" t="s">
        <v>70</v>
      </c>
      <c r="Y941" t="s">
        <v>60</v>
      </c>
      <c r="Z941">
        <v>0</v>
      </c>
      <c r="AA941" s="2">
        <v>0</v>
      </c>
      <c r="AB941" s="2">
        <v>0</v>
      </c>
      <c r="AC941" s="4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11.68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</row>
    <row r="942" spans="1:42" x14ac:dyDescent="0.25">
      <c r="A942" s="1">
        <v>45915</v>
      </c>
      <c r="B942" t="s">
        <v>47</v>
      </c>
      <c r="C942">
        <v>649163</v>
      </c>
      <c r="D942">
        <v>2030495949</v>
      </c>
      <c r="E942" t="s">
        <v>284</v>
      </c>
      <c r="F942" t="s">
        <v>285</v>
      </c>
      <c r="G942" t="s">
        <v>50</v>
      </c>
      <c r="H942" t="s">
        <v>93</v>
      </c>
      <c r="I942" t="s">
        <v>441</v>
      </c>
      <c r="J942" t="s">
        <v>445</v>
      </c>
      <c r="K942">
        <v>768887</v>
      </c>
      <c r="L942" t="s">
        <v>282</v>
      </c>
      <c r="M942" t="s">
        <v>283</v>
      </c>
      <c r="N942" t="s">
        <v>56</v>
      </c>
      <c r="O942" s="1">
        <v>45884</v>
      </c>
      <c r="P942" s="1">
        <v>45945</v>
      </c>
      <c r="Q942" s="2">
        <v>72.760000000000005</v>
      </c>
      <c r="R942">
        <v>1</v>
      </c>
      <c r="S942" t="s">
        <v>57</v>
      </c>
      <c r="T942" t="s">
        <v>58</v>
      </c>
      <c r="U942" s="4">
        <v>0.7</v>
      </c>
      <c r="V942" s="2">
        <v>0</v>
      </c>
      <c r="W942">
        <v>0</v>
      </c>
      <c r="X942" t="s">
        <v>70</v>
      </c>
      <c r="Y942" t="s">
        <v>60</v>
      </c>
      <c r="Z942">
        <v>0</v>
      </c>
      <c r="AA942" s="2">
        <v>0</v>
      </c>
      <c r="AB942" s="2">
        <v>0</v>
      </c>
      <c r="AC942" s="4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50.93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</row>
    <row r="943" spans="1:42" x14ac:dyDescent="0.25">
      <c r="A943" s="1">
        <v>45915</v>
      </c>
      <c r="B943" t="s">
        <v>47</v>
      </c>
      <c r="D943">
        <v>2030501935</v>
      </c>
      <c r="E943" t="s">
        <v>697</v>
      </c>
      <c r="F943" t="s">
        <v>277</v>
      </c>
      <c r="G943" t="s">
        <v>50</v>
      </c>
      <c r="H943" t="s">
        <v>214</v>
      </c>
      <c r="I943" t="s">
        <v>441</v>
      </c>
      <c r="J943" t="s">
        <v>545</v>
      </c>
      <c r="L943" t="s">
        <v>309</v>
      </c>
      <c r="M943" t="s">
        <v>303</v>
      </c>
      <c r="N943" t="s">
        <v>56</v>
      </c>
      <c r="O943" s="1">
        <v>45884</v>
      </c>
      <c r="P943" s="1">
        <v>45945</v>
      </c>
      <c r="Q943" s="2">
        <v>24.61</v>
      </c>
      <c r="R943">
        <v>1</v>
      </c>
      <c r="S943" t="s">
        <v>57</v>
      </c>
      <c r="T943" t="s">
        <v>58</v>
      </c>
      <c r="U943" s="4">
        <v>0.7</v>
      </c>
      <c r="V943" s="2">
        <v>0</v>
      </c>
      <c r="W943">
        <v>0</v>
      </c>
      <c r="X943" t="s">
        <v>70</v>
      </c>
      <c r="Y943" t="s">
        <v>60</v>
      </c>
      <c r="Z943">
        <v>0</v>
      </c>
      <c r="AA943" s="2">
        <v>0</v>
      </c>
      <c r="AB943" s="2">
        <v>0</v>
      </c>
      <c r="AC943" s="4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17.23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</row>
    <row r="944" spans="1:42" x14ac:dyDescent="0.25">
      <c r="A944" s="1">
        <v>45915</v>
      </c>
      <c r="B944" t="s">
        <v>47</v>
      </c>
      <c r="C944">
        <v>649163</v>
      </c>
      <c r="D944">
        <v>2030503342</v>
      </c>
      <c r="E944" t="s">
        <v>696</v>
      </c>
      <c r="F944" t="s">
        <v>351</v>
      </c>
      <c r="G944" t="s">
        <v>50</v>
      </c>
      <c r="H944" t="s">
        <v>93</v>
      </c>
      <c r="I944" t="s">
        <v>441</v>
      </c>
      <c r="J944" t="s">
        <v>445</v>
      </c>
      <c r="K944">
        <v>839554</v>
      </c>
      <c r="L944" t="s">
        <v>525</v>
      </c>
      <c r="M944" t="s">
        <v>526</v>
      </c>
      <c r="N944" t="s">
        <v>56</v>
      </c>
      <c r="O944" s="1">
        <v>45884</v>
      </c>
      <c r="P944" s="1">
        <v>45945</v>
      </c>
      <c r="Q944" s="2">
        <v>56.5</v>
      </c>
      <c r="R944">
        <v>1</v>
      </c>
      <c r="S944" t="s">
        <v>57</v>
      </c>
      <c r="T944" t="s">
        <v>58</v>
      </c>
      <c r="U944" s="4">
        <v>0.7</v>
      </c>
      <c r="V944" s="2">
        <v>0</v>
      </c>
      <c r="W944">
        <v>0</v>
      </c>
      <c r="X944" t="s">
        <v>70</v>
      </c>
      <c r="Y944" t="s">
        <v>60</v>
      </c>
      <c r="Z944">
        <v>0</v>
      </c>
      <c r="AA944" s="2">
        <v>0</v>
      </c>
      <c r="AB944" s="2">
        <v>0</v>
      </c>
      <c r="AC944" s="4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39.549999999999997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</row>
    <row r="945" spans="1:42" x14ac:dyDescent="0.25">
      <c r="A945" s="1">
        <v>45915</v>
      </c>
      <c r="B945" t="s">
        <v>47</v>
      </c>
      <c r="C945">
        <v>649163</v>
      </c>
      <c r="D945">
        <v>2030503343</v>
      </c>
      <c r="E945" t="s">
        <v>696</v>
      </c>
      <c r="F945" t="s">
        <v>351</v>
      </c>
      <c r="G945" t="s">
        <v>50</v>
      </c>
      <c r="H945" t="s">
        <v>93</v>
      </c>
      <c r="I945" t="s">
        <v>441</v>
      </c>
      <c r="J945" t="s">
        <v>442</v>
      </c>
      <c r="K945">
        <v>839554</v>
      </c>
      <c r="L945" t="s">
        <v>525</v>
      </c>
      <c r="M945" t="s">
        <v>526</v>
      </c>
      <c r="N945" t="s">
        <v>56</v>
      </c>
      <c r="O945" s="1">
        <v>45884</v>
      </c>
      <c r="P945" s="1">
        <v>45945</v>
      </c>
      <c r="Q945" s="2">
        <v>41.88</v>
      </c>
      <c r="R945">
        <v>1</v>
      </c>
      <c r="S945" t="s">
        <v>57</v>
      </c>
      <c r="T945" t="s">
        <v>58</v>
      </c>
      <c r="U945" s="4">
        <v>0.9</v>
      </c>
      <c r="V945" s="2">
        <v>0</v>
      </c>
      <c r="W945">
        <v>0</v>
      </c>
      <c r="X945" t="s">
        <v>70</v>
      </c>
      <c r="Y945" t="s">
        <v>60</v>
      </c>
      <c r="Z945">
        <v>0</v>
      </c>
      <c r="AA945" s="2">
        <v>0</v>
      </c>
      <c r="AB945" s="2">
        <v>0</v>
      </c>
      <c r="AC945" s="4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37.69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</row>
    <row r="946" spans="1:42" x14ac:dyDescent="0.25">
      <c r="A946" s="1">
        <v>45915</v>
      </c>
      <c r="B946" t="s">
        <v>47</v>
      </c>
      <c r="C946">
        <v>649163</v>
      </c>
      <c r="D946">
        <v>2030512186</v>
      </c>
      <c r="E946" t="s">
        <v>695</v>
      </c>
      <c r="F946" t="s">
        <v>145</v>
      </c>
      <c r="G946" t="s">
        <v>50</v>
      </c>
      <c r="H946" t="s">
        <v>93</v>
      </c>
      <c r="I946" t="s">
        <v>441</v>
      </c>
      <c r="J946" t="s">
        <v>445</v>
      </c>
      <c r="K946">
        <v>843573</v>
      </c>
      <c r="L946" t="s">
        <v>534</v>
      </c>
      <c r="M946" t="s">
        <v>535</v>
      </c>
      <c r="N946" t="s">
        <v>56</v>
      </c>
      <c r="O946" s="1">
        <v>45887</v>
      </c>
      <c r="P946" s="1">
        <v>45948</v>
      </c>
      <c r="Q946" s="2">
        <v>28.9</v>
      </c>
      <c r="R946">
        <v>1</v>
      </c>
      <c r="S946" t="s">
        <v>57</v>
      </c>
      <c r="T946" t="s">
        <v>58</v>
      </c>
      <c r="U946" s="4">
        <v>0.7</v>
      </c>
      <c r="V946" s="2">
        <v>0</v>
      </c>
      <c r="W946">
        <v>0</v>
      </c>
      <c r="X946" t="s">
        <v>70</v>
      </c>
      <c r="Y946" t="s">
        <v>60</v>
      </c>
      <c r="Z946">
        <v>0</v>
      </c>
      <c r="AA946" s="2">
        <v>0</v>
      </c>
      <c r="AB946" s="2">
        <v>0</v>
      </c>
      <c r="AC946" s="4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20.23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</row>
    <row r="947" spans="1:42" x14ac:dyDescent="0.25">
      <c r="A947" s="1">
        <v>45915</v>
      </c>
      <c r="B947" t="s">
        <v>47</v>
      </c>
      <c r="C947">
        <v>649163</v>
      </c>
      <c r="D947">
        <v>2030512187</v>
      </c>
      <c r="E947" t="s">
        <v>695</v>
      </c>
      <c r="F947" t="s">
        <v>145</v>
      </c>
      <c r="G947" t="s">
        <v>50</v>
      </c>
      <c r="H947" t="s">
        <v>93</v>
      </c>
      <c r="I947" t="s">
        <v>441</v>
      </c>
      <c r="J947" t="s">
        <v>451</v>
      </c>
      <c r="K947">
        <v>843573</v>
      </c>
      <c r="L947" t="s">
        <v>534</v>
      </c>
      <c r="M947" t="s">
        <v>535</v>
      </c>
      <c r="N947" t="s">
        <v>56</v>
      </c>
      <c r="O947" s="1">
        <v>45887</v>
      </c>
      <c r="P947" s="1">
        <v>45948</v>
      </c>
      <c r="Q947" s="2">
        <v>32.64</v>
      </c>
      <c r="R947">
        <v>1</v>
      </c>
      <c r="S947" t="s">
        <v>57</v>
      </c>
      <c r="T947" t="s">
        <v>58</v>
      </c>
      <c r="U947" s="4">
        <v>0.42</v>
      </c>
      <c r="V947" s="2">
        <v>0</v>
      </c>
      <c r="W947">
        <v>0</v>
      </c>
      <c r="X947" t="s">
        <v>70</v>
      </c>
      <c r="Y947" t="s">
        <v>60</v>
      </c>
      <c r="Z947">
        <v>0</v>
      </c>
      <c r="AA947" s="2">
        <v>0</v>
      </c>
      <c r="AB947" s="2">
        <v>0</v>
      </c>
      <c r="AC947" s="4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13.71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</row>
    <row r="948" spans="1:42" x14ac:dyDescent="0.25">
      <c r="A948" s="1">
        <v>45915</v>
      </c>
      <c r="B948" t="s">
        <v>47</v>
      </c>
      <c r="C948">
        <v>649163</v>
      </c>
      <c r="D948">
        <v>2030519283</v>
      </c>
      <c r="E948" t="s">
        <v>694</v>
      </c>
      <c r="F948" t="s">
        <v>109</v>
      </c>
      <c r="G948" t="s">
        <v>50</v>
      </c>
      <c r="H948" t="s">
        <v>93</v>
      </c>
      <c r="I948" t="s">
        <v>441</v>
      </c>
      <c r="J948" t="s">
        <v>442</v>
      </c>
      <c r="K948">
        <v>824062</v>
      </c>
      <c r="L948" t="s">
        <v>200</v>
      </c>
      <c r="M948" t="s">
        <v>201</v>
      </c>
      <c r="N948" t="s">
        <v>56</v>
      </c>
      <c r="O948" s="1">
        <v>45885</v>
      </c>
      <c r="P948" s="1">
        <v>45946</v>
      </c>
      <c r="Q948" s="2">
        <v>242.88</v>
      </c>
      <c r="R948">
        <v>1</v>
      </c>
      <c r="S948" t="s">
        <v>57</v>
      </c>
      <c r="T948" t="s">
        <v>58</v>
      </c>
      <c r="U948" s="4">
        <v>0.9</v>
      </c>
      <c r="V948" s="2">
        <v>0</v>
      </c>
      <c r="W948">
        <v>0</v>
      </c>
      <c r="X948" t="s">
        <v>70</v>
      </c>
      <c r="Y948" t="s">
        <v>60</v>
      </c>
      <c r="Z948">
        <v>0</v>
      </c>
      <c r="AA948" s="2">
        <v>0</v>
      </c>
      <c r="AB948" s="2">
        <v>0</v>
      </c>
      <c r="AC948" s="4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218.59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</row>
    <row r="949" spans="1:42" x14ac:dyDescent="0.25">
      <c r="A949" s="1">
        <v>45915</v>
      </c>
      <c r="B949" t="s">
        <v>47</v>
      </c>
      <c r="C949">
        <v>649163</v>
      </c>
      <c r="D949">
        <v>2030560164</v>
      </c>
      <c r="E949" t="s">
        <v>693</v>
      </c>
      <c r="F949" t="s">
        <v>692</v>
      </c>
      <c r="G949" t="s">
        <v>50</v>
      </c>
      <c r="H949" t="s">
        <v>214</v>
      </c>
      <c r="I949" t="s">
        <v>441</v>
      </c>
      <c r="J949" t="s">
        <v>451</v>
      </c>
      <c r="K949">
        <v>652037</v>
      </c>
      <c r="L949" t="s">
        <v>309</v>
      </c>
      <c r="M949" t="s">
        <v>303</v>
      </c>
      <c r="N949" t="s">
        <v>56</v>
      </c>
      <c r="O949" s="1">
        <v>45888</v>
      </c>
      <c r="P949" s="1">
        <v>45949</v>
      </c>
      <c r="Q949" s="2">
        <v>43.86</v>
      </c>
      <c r="R949">
        <v>1</v>
      </c>
      <c r="S949" t="s">
        <v>57</v>
      </c>
      <c r="T949" t="s">
        <v>58</v>
      </c>
      <c r="U949" s="4">
        <v>0.42</v>
      </c>
      <c r="V949" s="2">
        <v>0</v>
      </c>
      <c r="W949">
        <v>0</v>
      </c>
      <c r="X949" t="s">
        <v>70</v>
      </c>
      <c r="Y949" t="s">
        <v>60</v>
      </c>
      <c r="Z949">
        <v>0</v>
      </c>
      <c r="AA949" s="2">
        <v>0</v>
      </c>
      <c r="AB949" s="2">
        <v>0</v>
      </c>
      <c r="AC949" s="4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18.420000000000002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</row>
    <row r="950" spans="1:42" x14ac:dyDescent="0.25">
      <c r="A950" s="1">
        <v>45915</v>
      </c>
      <c r="B950" t="s">
        <v>47</v>
      </c>
      <c r="C950">
        <v>649163</v>
      </c>
      <c r="D950">
        <v>2030560165</v>
      </c>
      <c r="E950" t="s">
        <v>693</v>
      </c>
      <c r="F950" t="s">
        <v>692</v>
      </c>
      <c r="G950" t="s">
        <v>50</v>
      </c>
      <c r="H950" t="s">
        <v>214</v>
      </c>
      <c r="I950" t="s">
        <v>441</v>
      </c>
      <c r="J950" t="s">
        <v>442</v>
      </c>
      <c r="K950">
        <v>652037</v>
      </c>
      <c r="L950" t="s">
        <v>309</v>
      </c>
      <c r="M950" t="s">
        <v>303</v>
      </c>
      <c r="N950" t="s">
        <v>56</v>
      </c>
      <c r="O950" s="1">
        <v>45888</v>
      </c>
      <c r="P950" s="1">
        <v>45949</v>
      </c>
      <c r="Q950" s="2">
        <v>128.69</v>
      </c>
      <c r="R950">
        <v>1</v>
      </c>
      <c r="S950" t="s">
        <v>57</v>
      </c>
      <c r="T950" t="s">
        <v>58</v>
      </c>
      <c r="U950" s="4">
        <v>0.9</v>
      </c>
      <c r="V950" s="2">
        <v>0</v>
      </c>
      <c r="W950">
        <v>0</v>
      </c>
      <c r="X950" t="s">
        <v>70</v>
      </c>
      <c r="Y950" t="s">
        <v>60</v>
      </c>
      <c r="Z950">
        <v>0</v>
      </c>
      <c r="AA950" s="2">
        <v>0</v>
      </c>
      <c r="AB950" s="2">
        <v>0</v>
      </c>
      <c r="AC950" s="4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115.82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</row>
    <row r="951" spans="1:42" x14ac:dyDescent="0.25">
      <c r="A951" s="1">
        <v>45915</v>
      </c>
      <c r="B951" t="s">
        <v>47</v>
      </c>
      <c r="C951">
        <v>649163</v>
      </c>
      <c r="D951">
        <v>2030574906</v>
      </c>
      <c r="E951" t="s">
        <v>609</v>
      </c>
      <c r="F951" t="s">
        <v>608</v>
      </c>
      <c r="G951" t="s">
        <v>50</v>
      </c>
      <c r="H951" t="s">
        <v>188</v>
      </c>
      <c r="I951" t="s">
        <v>441</v>
      </c>
      <c r="J951" t="s">
        <v>445</v>
      </c>
      <c r="K951">
        <v>669316</v>
      </c>
      <c r="L951" t="s">
        <v>420</v>
      </c>
      <c r="M951" t="s">
        <v>421</v>
      </c>
      <c r="N951" t="s">
        <v>230</v>
      </c>
      <c r="O951" s="1">
        <v>45901</v>
      </c>
      <c r="P951" s="1">
        <v>45931</v>
      </c>
      <c r="Q951" s="2">
        <v>-33.54</v>
      </c>
      <c r="R951">
        <v>1</v>
      </c>
      <c r="S951" t="s">
        <v>57</v>
      </c>
      <c r="T951" t="s">
        <v>58</v>
      </c>
      <c r="U951" s="4">
        <v>0.7</v>
      </c>
      <c r="V951" s="2">
        <v>0</v>
      </c>
      <c r="W951">
        <v>-1</v>
      </c>
      <c r="X951" t="s">
        <v>70</v>
      </c>
      <c r="Y951" t="s">
        <v>60</v>
      </c>
      <c r="Z951">
        <v>0</v>
      </c>
      <c r="AA951" s="2">
        <v>0</v>
      </c>
      <c r="AB951" s="2">
        <v>0</v>
      </c>
      <c r="AC951" s="4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-23.48</v>
      </c>
      <c r="AM951" s="2">
        <v>-23.48</v>
      </c>
      <c r="AN951" s="2">
        <v>0</v>
      </c>
      <c r="AO951" s="2">
        <v>0</v>
      </c>
      <c r="AP951" s="2">
        <v>0</v>
      </c>
    </row>
    <row r="952" spans="1:42" x14ac:dyDescent="0.25">
      <c r="A952" s="1">
        <v>45915</v>
      </c>
      <c r="B952" t="s">
        <v>47</v>
      </c>
      <c r="C952">
        <v>649163</v>
      </c>
      <c r="D952">
        <v>2030683642</v>
      </c>
      <c r="E952" t="s">
        <v>607</v>
      </c>
      <c r="F952" t="s">
        <v>606</v>
      </c>
      <c r="G952" t="s">
        <v>50</v>
      </c>
      <c r="H952" t="s">
        <v>151</v>
      </c>
      <c r="I952" t="s">
        <v>441</v>
      </c>
      <c r="J952" t="s">
        <v>445</v>
      </c>
      <c r="K952">
        <v>753748</v>
      </c>
      <c r="L952" t="s">
        <v>130</v>
      </c>
      <c r="M952" t="s">
        <v>131</v>
      </c>
      <c r="N952" t="s">
        <v>230</v>
      </c>
      <c r="O952" s="1">
        <v>45901</v>
      </c>
      <c r="P952" s="1">
        <v>45931</v>
      </c>
      <c r="Q952" s="2">
        <v>-74.03</v>
      </c>
      <c r="R952">
        <v>1</v>
      </c>
      <c r="S952" t="s">
        <v>57</v>
      </c>
      <c r="T952" t="s">
        <v>58</v>
      </c>
      <c r="U952" s="4">
        <v>0.7</v>
      </c>
      <c r="V952" s="2">
        <v>0</v>
      </c>
      <c r="W952">
        <v>-1</v>
      </c>
      <c r="X952" t="s">
        <v>70</v>
      </c>
      <c r="Y952" t="s">
        <v>60</v>
      </c>
      <c r="Z952">
        <v>0</v>
      </c>
      <c r="AA952" s="2">
        <v>0</v>
      </c>
      <c r="AB952" s="2">
        <v>0</v>
      </c>
      <c r="AC952" s="4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-51.82</v>
      </c>
      <c r="AM952" s="2">
        <v>-51.82</v>
      </c>
      <c r="AN952" s="2">
        <v>0</v>
      </c>
      <c r="AO952" s="2">
        <v>0</v>
      </c>
      <c r="AP952" s="2">
        <v>0</v>
      </c>
    </row>
    <row r="953" spans="1:42" x14ac:dyDescent="0.25">
      <c r="A953" s="1">
        <v>45915</v>
      </c>
      <c r="B953" t="s">
        <v>47</v>
      </c>
      <c r="C953">
        <v>649163</v>
      </c>
      <c r="D953">
        <v>2023913072</v>
      </c>
      <c r="E953" t="s">
        <v>655</v>
      </c>
      <c r="F953" t="s">
        <v>280</v>
      </c>
      <c r="G953" t="s">
        <v>50</v>
      </c>
      <c r="H953" t="s">
        <v>63</v>
      </c>
      <c r="I953" t="s">
        <v>569</v>
      </c>
      <c r="J953" t="s">
        <v>645</v>
      </c>
      <c r="K953">
        <v>673059</v>
      </c>
      <c r="L953" t="s">
        <v>152</v>
      </c>
      <c r="M953" t="s">
        <v>153</v>
      </c>
      <c r="N953" t="s">
        <v>56</v>
      </c>
      <c r="O953" s="1">
        <v>45643</v>
      </c>
      <c r="P953" s="1">
        <v>45947</v>
      </c>
      <c r="Q953" s="2">
        <v>306.95</v>
      </c>
      <c r="R953">
        <v>1</v>
      </c>
      <c r="S953" t="s">
        <v>57</v>
      </c>
      <c r="T953" t="s">
        <v>58</v>
      </c>
      <c r="U953" s="4">
        <v>0.19</v>
      </c>
      <c r="V953" s="2">
        <v>0</v>
      </c>
      <c r="W953">
        <v>0</v>
      </c>
      <c r="X953" t="s">
        <v>70</v>
      </c>
      <c r="Y953" t="s">
        <v>60</v>
      </c>
      <c r="Z953">
        <v>0</v>
      </c>
      <c r="AA953" s="2">
        <v>0</v>
      </c>
      <c r="AB953" s="2">
        <v>0</v>
      </c>
      <c r="AC953" s="4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58.32</v>
      </c>
      <c r="AM953" s="2">
        <v>58.32</v>
      </c>
      <c r="AN953" s="2">
        <v>0</v>
      </c>
      <c r="AO953" s="2">
        <v>0</v>
      </c>
      <c r="AP953" s="2">
        <v>0</v>
      </c>
    </row>
    <row r="954" spans="1:42" x14ac:dyDescent="0.25">
      <c r="A954" s="1">
        <v>45915</v>
      </c>
      <c r="B954" t="s">
        <v>47</v>
      </c>
      <c r="C954">
        <v>649163</v>
      </c>
      <c r="D954">
        <v>2024372431</v>
      </c>
      <c r="E954" t="s">
        <v>654</v>
      </c>
      <c r="F954" t="s">
        <v>653</v>
      </c>
      <c r="G954" t="s">
        <v>50</v>
      </c>
      <c r="H954" t="s">
        <v>652</v>
      </c>
      <c r="I954" t="s">
        <v>569</v>
      </c>
      <c r="J954" t="s">
        <v>571</v>
      </c>
      <c r="K954">
        <v>669316</v>
      </c>
      <c r="L954" t="s">
        <v>420</v>
      </c>
      <c r="M954" t="s">
        <v>421</v>
      </c>
      <c r="N954" t="s">
        <v>56</v>
      </c>
      <c r="O954" s="1">
        <v>45882</v>
      </c>
      <c r="P954" s="1">
        <v>45943</v>
      </c>
      <c r="Q954" s="2">
        <v>315.83999999999997</v>
      </c>
      <c r="R954">
        <v>1</v>
      </c>
      <c r="S954" t="s">
        <v>57</v>
      </c>
      <c r="T954" t="s">
        <v>58</v>
      </c>
      <c r="U954" s="4">
        <v>0.28999999999999998</v>
      </c>
      <c r="V954" s="2">
        <v>0</v>
      </c>
      <c r="W954">
        <v>0</v>
      </c>
      <c r="X954" t="s">
        <v>70</v>
      </c>
      <c r="Y954" t="s">
        <v>60</v>
      </c>
      <c r="Z954">
        <v>0</v>
      </c>
      <c r="AA954" s="2">
        <v>0</v>
      </c>
      <c r="AB954" s="2">
        <v>0</v>
      </c>
      <c r="AC954" s="4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91.59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</row>
    <row r="955" spans="1:42" x14ac:dyDescent="0.25">
      <c r="A955" s="1">
        <v>45915</v>
      </c>
      <c r="B955" t="s">
        <v>47</v>
      </c>
      <c r="C955">
        <v>649163</v>
      </c>
      <c r="D955">
        <v>2029995393</v>
      </c>
      <c r="E955" t="s">
        <v>651</v>
      </c>
      <c r="F955" t="s">
        <v>179</v>
      </c>
      <c r="G955" t="s">
        <v>50</v>
      </c>
      <c r="H955" t="s">
        <v>151</v>
      </c>
      <c r="I955" t="s">
        <v>569</v>
      </c>
      <c r="J955" t="s">
        <v>571</v>
      </c>
      <c r="K955">
        <v>877182</v>
      </c>
      <c r="L955" t="s">
        <v>650</v>
      </c>
      <c r="M955" t="s">
        <v>649</v>
      </c>
      <c r="N955" t="s">
        <v>56</v>
      </c>
      <c r="O955" s="1">
        <v>45855</v>
      </c>
      <c r="P955" s="1">
        <v>45947</v>
      </c>
      <c r="Q955" s="2">
        <v>154.38</v>
      </c>
      <c r="R955">
        <v>1</v>
      </c>
      <c r="S955" t="s">
        <v>57</v>
      </c>
      <c r="T955" t="s">
        <v>58</v>
      </c>
      <c r="U955" s="4">
        <v>0.28999999999999998</v>
      </c>
      <c r="V955" s="2">
        <v>0</v>
      </c>
      <c r="W955">
        <v>0</v>
      </c>
      <c r="X955" t="s">
        <v>70</v>
      </c>
      <c r="Y955" t="s">
        <v>60</v>
      </c>
      <c r="Z955">
        <v>0</v>
      </c>
      <c r="AA955" s="2">
        <v>0</v>
      </c>
      <c r="AB955" s="2">
        <v>0</v>
      </c>
      <c r="AC955" s="4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44.77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</row>
    <row r="956" spans="1:42" x14ac:dyDescent="0.25">
      <c r="A956" s="1">
        <v>45915</v>
      </c>
      <c r="B956" t="s">
        <v>47</v>
      </c>
      <c r="C956">
        <v>649163</v>
      </c>
      <c r="D956">
        <v>2019012741</v>
      </c>
      <c r="E956" t="s">
        <v>576</v>
      </c>
      <c r="F956" t="s">
        <v>577</v>
      </c>
      <c r="G956" t="s">
        <v>50</v>
      </c>
      <c r="H956" t="s">
        <v>51</v>
      </c>
      <c r="I956" t="s">
        <v>574</v>
      </c>
      <c r="J956" t="s">
        <v>575</v>
      </c>
      <c r="K956">
        <v>678320</v>
      </c>
      <c r="L956" t="s">
        <v>316</v>
      </c>
      <c r="M956" t="s">
        <v>317</v>
      </c>
      <c r="N956" t="s">
        <v>56</v>
      </c>
      <c r="O956" s="1">
        <v>45091</v>
      </c>
      <c r="P956" s="1">
        <v>45944</v>
      </c>
      <c r="Q956" s="2">
        <v>55.54</v>
      </c>
      <c r="R956">
        <v>1</v>
      </c>
      <c r="S956" t="s">
        <v>57</v>
      </c>
      <c r="T956" t="s">
        <v>58</v>
      </c>
      <c r="U956" s="3">
        <v>5.2499999999999998E-2</v>
      </c>
      <c r="V956" s="2">
        <v>0</v>
      </c>
      <c r="W956">
        <v>0</v>
      </c>
      <c r="X956" t="s">
        <v>59</v>
      </c>
      <c r="Y956" t="s">
        <v>60</v>
      </c>
      <c r="Z956">
        <v>0</v>
      </c>
      <c r="AA956" s="2">
        <v>0</v>
      </c>
      <c r="AB956" s="2">
        <v>0</v>
      </c>
      <c r="AC956" s="4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2.92</v>
      </c>
      <c r="AM956" s="2">
        <v>2.92</v>
      </c>
      <c r="AN956" s="2">
        <v>0</v>
      </c>
      <c r="AO956" s="2">
        <v>0</v>
      </c>
      <c r="AP956" s="2">
        <v>0</v>
      </c>
    </row>
    <row r="957" spans="1:42" x14ac:dyDescent="0.25">
      <c r="A957" s="1">
        <v>45915</v>
      </c>
      <c r="B957" t="s">
        <v>47</v>
      </c>
      <c r="C957">
        <v>649163</v>
      </c>
      <c r="D957">
        <v>2019687400</v>
      </c>
      <c r="E957" t="s">
        <v>635</v>
      </c>
      <c r="F957" t="s">
        <v>634</v>
      </c>
      <c r="G957" t="s">
        <v>50</v>
      </c>
      <c r="H957" t="s">
        <v>51</v>
      </c>
      <c r="I957" t="s">
        <v>574</v>
      </c>
      <c r="J957" t="s">
        <v>575</v>
      </c>
      <c r="K957">
        <v>678320</v>
      </c>
      <c r="L957" t="s">
        <v>316</v>
      </c>
      <c r="M957" t="s">
        <v>317</v>
      </c>
      <c r="N957" t="s">
        <v>56</v>
      </c>
      <c r="O957" s="1">
        <v>45150</v>
      </c>
      <c r="P957" s="1">
        <v>45942</v>
      </c>
      <c r="Q957" s="2">
        <v>64.540000000000006</v>
      </c>
      <c r="R957">
        <v>1</v>
      </c>
      <c r="S957" t="s">
        <v>57</v>
      </c>
      <c r="T957" t="s">
        <v>58</v>
      </c>
      <c r="U957" s="3">
        <v>5.2499999999999998E-2</v>
      </c>
      <c r="V957" s="2">
        <v>0</v>
      </c>
      <c r="W957">
        <v>0</v>
      </c>
      <c r="X957" t="s">
        <v>59</v>
      </c>
      <c r="Y957" t="s">
        <v>60</v>
      </c>
      <c r="Z957">
        <v>0</v>
      </c>
      <c r="AA957" s="2">
        <v>0</v>
      </c>
      <c r="AB957" s="2">
        <v>0</v>
      </c>
      <c r="AC957" s="4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3.39</v>
      </c>
      <c r="AM957" s="2">
        <v>3.39</v>
      </c>
      <c r="AN957" s="2">
        <v>0</v>
      </c>
      <c r="AO957" s="2">
        <v>0</v>
      </c>
      <c r="AP957" s="2">
        <v>0</v>
      </c>
    </row>
    <row r="958" spans="1:42" x14ac:dyDescent="0.25">
      <c r="A958" s="1">
        <v>45915</v>
      </c>
      <c r="B958" t="s">
        <v>47</v>
      </c>
      <c r="C958">
        <v>649163</v>
      </c>
      <c r="D958">
        <v>2021071542</v>
      </c>
      <c r="E958" t="s">
        <v>350</v>
      </c>
      <c r="F958" t="s">
        <v>633</v>
      </c>
      <c r="G958" t="s">
        <v>50</v>
      </c>
      <c r="H958" t="s">
        <v>51</v>
      </c>
      <c r="I958" t="s">
        <v>574</v>
      </c>
      <c r="J958" t="s">
        <v>575</v>
      </c>
      <c r="K958">
        <v>728134</v>
      </c>
      <c r="L958" t="s">
        <v>322</v>
      </c>
      <c r="M958" t="s">
        <v>323</v>
      </c>
      <c r="N958" t="s">
        <v>56</v>
      </c>
      <c r="O958" s="1">
        <v>45273</v>
      </c>
      <c r="P958" s="1">
        <v>45943</v>
      </c>
      <c r="Q958" s="2">
        <v>98.83</v>
      </c>
      <c r="R958">
        <v>1</v>
      </c>
      <c r="S958" t="s">
        <v>57</v>
      </c>
      <c r="T958" t="s">
        <v>58</v>
      </c>
      <c r="U958" s="3">
        <v>5.2499999999999998E-2</v>
      </c>
      <c r="V958" s="2">
        <v>0</v>
      </c>
      <c r="W958">
        <v>0</v>
      </c>
      <c r="X958" t="s">
        <v>59</v>
      </c>
      <c r="Y958" t="s">
        <v>60</v>
      </c>
      <c r="Z958">
        <v>0</v>
      </c>
      <c r="AA958" s="2">
        <v>0</v>
      </c>
      <c r="AB958" s="2">
        <v>0</v>
      </c>
      <c r="AC958" s="4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5.19</v>
      </c>
      <c r="AM958" s="2">
        <v>5.19</v>
      </c>
      <c r="AN958" s="2">
        <v>0</v>
      </c>
      <c r="AO958" s="2">
        <v>0</v>
      </c>
      <c r="AP958" s="2">
        <v>0</v>
      </c>
    </row>
    <row r="959" spans="1:42" x14ac:dyDescent="0.25">
      <c r="A959" s="1">
        <v>45915</v>
      </c>
      <c r="B959" t="s">
        <v>47</v>
      </c>
      <c r="C959">
        <v>649163</v>
      </c>
      <c r="D959">
        <v>2021761961</v>
      </c>
      <c r="E959" t="s">
        <v>632</v>
      </c>
      <c r="F959" t="s">
        <v>62</v>
      </c>
      <c r="G959" t="s">
        <v>50</v>
      </c>
      <c r="H959" t="s">
        <v>51</v>
      </c>
      <c r="I959" t="s">
        <v>574</v>
      </c>
      <c r="J959" t="s">
        <v>575</v>
      </c>
      <c r="K959">
        <v>728134</v>
      </c>
      <c r="L959" t="s">
        <v>322</v>
      </c>
      <c r="M959" t="s">
        <v>323</v>
      </c>
      <c r="N959" t="s">
        <v>56</v>
      </c>
      <c r="O959" s="1">
        <v>45335</v>
      </c>
      <c r="P959" s="1">
        <v>45943</v>
      </c>
      <c r="Q959" s="2">
        <v>43.59</v>
      </c>
      <c r="R959">
        <v>1</v>
      </c>
      <c r="S959" t="s">
        <v>57</v>
      </c>
      <c r="T959" t="s">
        <v>58</v>
      </c>
      <c r="U959" s="3">
        <v>5.2499999999999998E-2</v>
      </c>
      <c r="V959" s="2">
        <v>0</v>
      </c>
      <c r="W959">
        <v>0</v>
      </c>
      <c r="X959" t="s">
        <v>59</v>
      </c>
      <c r="Y959" t="s">
        <v>60</v>
      </c>
      <c r="Z959">
        <v>0</v>
      </c>
      <c r="AA959" s="2">
        <v>0</v>
      </c>
      <c r="AB959" s="2">
        <v>0</v>
      </c>
      <c r="AC959" s="4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2.29</v>
      </c>
      <c r="AM959" s="2">
        <v>2.29</v>
      </c>
      <c r="AN959" s="2">
        <v>0</v>
      </c>
      <c r="AO959" s="2">
        <v>0</v>
      </c>
      <c r="AP959" s="2">
        <v>0</v>
      </c>
    </row>
    <row r="960" spans="1:42" x14ac:dyDescent="0.25">
      <c r="A960" s="1">
        <v>45915</v>
      </c>
      <c r="B960" t="s">
        <v>47</v>
      </c>
      <c r="C960">
        <v>649163</v>
      </c>
      <c r="D960">
        <v>2026164939</v>
      </c>
      <c r="E960" t="s">
        <v>631</v>
      </c>
      <c r="F960" t="s">
        <v>630</v>
      </c>
      <c r="G960" t="s">
        <v>50</v>
      </c>
      <c r="H960" t="s">
        <v>51</v>
      </c>
      <c r="I960" t="s">
        <v>574</v>
      </c>
      <c r="J960" t="s">
        <v>575</v>
      </c>
      <c r="K960">
        <v>728134</v>
      </c>
      <c r="L960" t="s">
        <v>322</v>
      </c>
      <c r="M960" t="s">
        <v>323</v>
      </c>
      <c r="N960" t="s">
        <v>56</v>
      </c>
      <c r="O960" s="1">
        <v>45640</v>
      </c>
      <c r="P960" s="1">
        <v>45944</v>
      </c>
      <c r="Q960" s="2">
        <v>122.9</v>
      </c>
      <c r="R960">
        <v>1</v>
      </c>
      <c r="S960" t="s">
        <v>57</v>
      </c>
      <c r="T960" t="s">
        <v>58</v>
      </c>
      <c r="U960" s="4">
        <v>0.47</v>
      </c>
      <c r="V960" s="2">
        <v>0</v>
      </c>
      <c r="W960">
        <v>0</v>
      </c>
      <c r="X960" t="s">
        <v>70</v>
      </c>
      <c r="Y960" t="s">
        <v>60</v>
      </c>
      <c r="Z960">
        <v>0</v>
      </c>
      <c r="AA960" s="2">
        <v>0</v>
      </c>
      <c r="AB960" s="2">
        <v>0</v>
      </c>
      <c r="AC960" s="4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57.76</v>
      </c>
      <c r="AM960" s="2">
        <v>57.76</v>
      </c>
      <c r="AN960" s="2">
        <v>0</v>
      </c>
      <c r="AO960" s="2">
        <v>0</v>
      </c>
      <c r="AP960" s="2">
        <v>0</v>
      </c>
    </row>
    <row r="961" spans="1:43" x14ac:dyDescent="0.25">
      <c r="A961" s="1">
        <v>45915</v>
      </c>
      <c r="B961" t="s">
        <v>47</v>
      </c>
      <c r="C961">
        <v>649163</v>
      </c>
      <c r="D961">
        <v>2026572544</v>
      </c>
      <c r="E961" t="s">
        <v>629</v>
      </c>
      <c r="F961" t="s">
        <v>628</v>
      </c>
      <c r="G961" t="s">
        <v>50</v>
      </c>
      <c r="H961" t="s">
        <v>93</v>
      </c>
      <c r="I961" t="s">
        <v>574</v>
      </c>
      <c r="J961" t="s">
        <v>575</v>
      </c>
      <c r="K961">
        <v>764123</v>
      </c>
      <c r="L961" t="s">
        <v>629</v>
      </c>
      <c r="M961" t="s">
        <v>628</v>
      </c>
      <c r="N961" t="s">
        <v>56</v>
      </c>
      <c r="O961" s="1">
        <v>45671</v>
      </c>
      <c r="P961" s="1">
        <v>45944</v>
      </c>
      <c r="Q961" s="2">
        <v>55.04</v>
      </c>
      <c r="R961">
        <v>1</v>
      </c>
      <c r="S961" t="s">
        <v>57</v>
      </c>
      <c r="T961" t="s">
        <v>58</v>
      </c>
      <c r="U961" s="4">
        <v>0.47</v>
      </c>
      <c r="V961" s="2">
        <v>0</v>
      </c>
      <c r="W961">
        <v>0</v>
      </c>
      <c r="X961" t="s">
        <v>70</v>
      </c>
      <c r="Y961" t="s">
        <v>60</v>
      </c>
      <c r="Z961">
        <v>0</v>
      </c>
      <c r="AA961" s="2">
        <v>0</v>
      </c>
      <c r="AB961" s="2">
        <v>0</v>
      </c>
      <c r="AC961" s="4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25.87</v>
      </c>
      <c r="AM961" s="2">
        <v>25.87</v>
      </c>
      <c r="AN961" s="2">
        <v>0</v>
      </c>
      <c r="AO961" s="2">
        <v>0</v>
      </c>
      <c r="AP961" s="2">
        <v>0</v>
      </c>
    </row>
    <row r="962" spans="1:43" x14ac:dyDescent="0.25">
      <c r="A962" s="1">
        <v>45915</v>
      </c>
      <c r="B962" t="s">
        <v>47</v>
      </c>
      <c r="C962">
        <v>649163</v>
      </c>
      <c r="D962">
        <v>2028973238</v>
      </c>
      <c r="E962" t="s">
        <v>621</v>
      </c>
      <c r="F962" t="s">
        <v>368</v>
      </c>
      <c r="G962" t="s">
        <v>50</v>
      </c>
      <c r="H962" t="s">
        <v>51</v>
      </c>
      <c r="I962" t="s">
        <v>574</v>
      </c>
      <c r="J962" t="s">
        <v>575</v>
      </c>
      <c r="K962">
        <v>728134</v>
      </c>
      <c r="L962" t="s">
        <v>322</v>
      </c>
      <c r="M962" t="s">
        <v>323</v>
      </c>
      <c r="N962" t="s">
        <v>230</v>
      </c>
      <c r="O962" s="1">
        <v>45809</v>
      </c>
      <c r="P962" s="1">
        <v>45931</v>
      </c>
      <c r="Q962" s="2">
        <v>-232.35</v>
      </c>
      <c r="R962">
        <v>1</v>
      </c>
      <c r="S962" t="s">
        <v>57</v>
      </c>
      <c r="T962" t="s">
        <v>58</v>
      </c>
      <c r="U962" s="4">
        <v>0.47</v>
      </c>
      <c r="V962" s="2">
        <v>0</v>
      </c>
      <c r="W962">
        <v>-1</v>
      </c>
      <c r="X962" t="s">
        <v>70</v>
      </c>
      <c r="Y962" t="s">
        <v>60</v>
      </c>
      <c r="Z962">
        <v>0</v>
      </c>
      <c r="AA962" s="2">
        <v>0</v>
      </c>
      <c r="AB962" s="2">
        <v>0</v>
      </c>
      <c r="AC962" s="4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-109.2</v>
      </c>
      <c r="AM962" s="2">
        <v>-109.2</v>
      </c>
      <c r="AN962" s="2">
        <v>0</v>
      </c>
      <c r="AO962" s="2">
        <v>0</v>
      </c>
      <c r="AP962" s="2">
        <v>0</v>
      </c>
    </row>
    <row r="963" spans="1:43" x14ac:dyDescent="0.25">
      <c r="A963" s="1">
        <v>45915</v>
      </c>
      <c r="B963" t="s">
        <v>47</v>
      </c>
      <c r="C963">
        <v>649163</v>
      </c>
      <c r="D963">
        <v>2029358060</v>
      </c>
      <c r="E963" t="s">
        <v>627</v>
      </c>
      <c r="F963" t="s">
        <v>626</v>
      </c>
      <c r="G963" t="s">
        <v>50</v>
      </c>
      <c r="H963" t="s">
        <v>51</v>
      </c>
      <c r="I963" t="s">
        <v>574</v>
      </c>
      <c r="J963" t="s">
        <v>575</v>
      </c>
      <c r="K963">
        <v>649247</v>
      </c>
      <c r="L963" t="s">
        <v>68</v>
      </c>
      <c r="M963" t="s">
        <v>69</v>
      </c>
      <c r="N963" t="s">
        <v>56</v>
      </c>
      <c r="O963" s="1">
        <v>45817</v>
      </c>
      <c r="P963" s="1">
        <v>45939</v>
      </c>
      <c r="Q963" s="2">
        <v>60.6</v>
      </c>
      <c r="R963">
        <v>1</v>
      </c>
      <c r="S963" t="s">
        <v>57</v>
      </c>
      <c r="T963" t="s">
        <v>58</v>
      </c>
      <c r="U963" s="4">
        <v>0.47</v>
      </c>
      <c r="V963" s="2">
        <v>0</v>
      </c>
      <c r="W963">
        <v>0</v>
      </c>
      <c r="X963" t="s">
        <v>70</v>
      </c>
      <c r="Y963" t="s">
        <v>60</v>
      </c>
      <c r="Z963">
        <v>0</v>
      </c>
      <c r="AA963" s="2">
        <v>0</v>
      </c>
      <c r="AB963" s="2">
        <v>0</v>
      </c>
      <c r="AC963" s="4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28.48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</row>
    <row r="964" spans="1:43" x14ac:dyDescent="0.25">
      <c r="A964" s="1">
        <v>45915</v>
      </c>
      <c r="B964" t="s">
        <v>47</v>
      </c>
      <c r="C964">
        <v>649163</v>
      </c>
      <c r="D964">
        <v>2030135276</v>
      </c>
      <c r="E964" t="s">
        <v>225</v>
      </c>
      <c r="F964" t="s">
        <v>444</v>
      </c>
      <c r="G964" t="s">
        <v>50</v>
      </c>
      <c r="H964" t="s">
        <v>141</v>
      </c>
      <c r="I964" t="s">
        <v>574</v>
      </c>
      <c r="J964" t="s">
        <v>575</v>
      </c>
      <c r="K964">
        <v>756418</v>
      </c>
      <c r="L964" t="s">
        <v>257</v>
      </c>
      <c r="M964" t="s">
        <v>258</v>
      </c>
      <c r="N964" t="s">
        <v>56</v>
      </c>
      <c r="O964" s="1">
        <v>45863</v>
      </c>
      <c r="P964" s="1">
        <v>45925</v>
      </c>
      <c r="Q964" s="2">
        <v>97.86</v>
      </c>
      <c r="R964">
        <v>1</v>
      </c>
      <c r="S964" t="s">
        <v>57</v>
      </c>
      <c r="T964" t="s">
        <v>58</v>
      </c>
      <c r="U964" s="4">
        <v>0.47</v>
      </c>
      <c r="V964" s="2">
        <v>0</v>
      </c>
      <c r="W964">
        <v>0</v>
      </c>
      <c r="X964" t="s">
        <v>70</v>
      </c>
      <c r="Y964" t="s">
        <v>60</v>
      </c>
      <c r="Z964">
        <v>0</v>
      </c>
      <c r="AA964" s="2">
        <v>0</v>
      </c>
      <c r="AB964" s="2">
        <v>0</v>
      </c>
      <c r="AC964" s="4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45.99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</row>
    <row r="965" spans="1:43" x14ac:dyDescent="0.25">
      <c r="A965" s="1">
        <v>45915</v>
      </c>
      <c r="B965" t="s">
        <v>47</v>
      </c>
      <c r="C965">
        <v>649163</v>
      </c>
      <c r="D965">
        <v>2030447105</v>
      </c>
      <c r="E965" t="s">
        <v>625</v>
      </c>
      <c r="F965" t="s">
        <v>394</v>
      </c>
      <c r="G965" t="s">
        <v>50</v>
      </c>
      <c r="H965" t="s">
        <v>141</v>
      </c>
      <c r="I965" t="s">
        <v>574</v>
      </c>
      <c r="J965" t="s">
        <v>575</v>
      </c>
      <c r="K965">
        <v>824082</v>
      </c>
      <c r="L965" t="s">
        <v>624</v>
      </c>
      <c r="M965" t="s">
        <v>623</v>
      </c>
      <c r="N965" t="s">
        <v>56</v>
      </c>
      <c r="O965" s="1">
        <v>45882</v>
      </c>
      <c r="P965" s="1">
        <v>45943</v>
      </c>
      <c r="Q965" s="2">
        <v>54.35</v>
      </c>
      <c r="R965">
        <v>1</v>
      </c>
      <c r="S965" t="s">
        <v>57</v>
      </c>
      <c r="T965" t="s">
        <v>58</v>
      </c>
      <c r="U965" s="4">
        <v>0.47</v>
      </c>
      <c r="V965" s="2">
        <v>0</v>
      </c>
      <c r="W965">
        <v>0</v>
      </c>
      <c r="X965" t="s">
        <v>70</v>
      </c>
      <c r="Y965" t="s">
        <v>60</v>
      </c>
      <c r="Z965">
        <v>0</v>
      </c>
      <c r="AA965" s="2">
        <v>0</v>
      </c>
      <c r="AB965" s="2">
        <v>0</v>
      </c>
      <c r="AC965" s="4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25.54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</row>
    <row r="966" spans="1:43" x14ac:dyDescent="0.25">
      <c r="A966" s="1">
        <v>45915</v>
      </c>
      <c r="B966" t="s">
        <v>47</v>
      </c>
      <c r="C966">
        <v>649163</v>
      </c>
      <c r="D966">
        <v>2030716398</v>
      </c>
      <c r="E966" t="s">
        <v>600</v>
      </c>
      <c r="F966" t="s">
        <v>601</v>
      </c>
      <c r="G966" t="s">
        <v>50</v>
      </c>
      <c r="H966" t="s">
        <v>93</v>
      </c>
      <c r="I966" t="s">
        <v>574</v>
      </c>
      <c r="J966" t="s">
        <v>575</v>
      </c>
      <c r="K966">
        <v>814033</v>
      </c>
      <c r="L966" t="s">
        <v>595</v>
      </c>
      <c r="M966" t="s">
        <v>596</v>
      </c>
      <c r="N966" t="s">
        <v>56</v>
      </c>
      <c r="O966" s="1">
        <v>45901</v>
      </c>
      <c r="P966" s="1">
        <v>45931</v>
      </c>
      <c r="Q966" s="2">
        <v>84.15</v>
      </c>
      <c r="R966">
        <v>1</v>
      </c>
      <c r="S966" t="s">
        <v>57</v>
      </c>
      <c r="T966" t="s">
        <v>58</v>
      </c>
      <c r="U966" s="4">
        <v>0.47</v>
      </c>
      <c r="V966" s="2">
        <v>0</v>
      </c>
      <c r="W966">
        <v>0</v>
      </c>
      <c r="X966" t="s">
        <v>70</v>
      </c>
      <c r="Y966" t="s">
        <v>60</v>
      </c>
      <c r="Z966">
        <v>0</v>
      </c>
      <c r="AA966" s="2">
        <v>0</v>
      </c>
      <c r="AB966" s="2">
        <v>0</v>
      </c>
      <c r="AC966" s="4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39.549999999999997</v>
      </c>
      <c r="AM966" s="2">
        <v>39.549999999999997</v>
      </c>
      <c r="AN966" s="2">
        <v>0</v>
      </c>
      <c r="AO966" s="2">
        <v>0</v>
      </c>
      <c r="AP966" s="2">
        <v>0</v>
      </c>
    </row>
    <row r="967" spans="1:43" x14ac:dyDescent="0.25">
      <c r="A967" s="1">
        <v>45922</v>
      </c>
      <c r="B967" t="s">
        <v>47</v>
      </c>
      <c r="C967">
        <v>649163</v>
      </c>
      <c r="D967">
        <v>2029544667</v>
      </c>
      <c r="E967" t="s">
        <v>191</v>
      </c>
      <c r="F967" t="s">
        <v>192</v>
      </c>
      <c r="G967" t="s">
        <v>50</v>
      </c>
      <c r="H967" t="s">
        <v>193</v>
      </c>
      <c r="I967" t="s">
        <v>106</v>
      </c>
      <c r="J967" t="s">
        <v>184</v>
      </c>
      <c r="K967">
        <v>813184</v>
      </c>
      <c r="L967" t="s">
        <v>194</v>
      </c>
      <c r="M967" t="s">
        <v>195</v>
      </c>
      <c r="N967" t="s">
        <v>56</v>
      </c>
      <c r="O967" s="1">
        <v>45828</v>
      </c>
      <c r="P967" s="1">
        <v>45950</v>
      </c>
      <c r="Q967" s="2">
        <v>76.900000000000006</v>
      </c>
      <c r="R967">
        <v>1</v>
      </c>
      <c r="S967" t="s">
        <v>57</v>
      </c>
      <c r="T967" t="s">
        <v>96</v>
      </c>
      <c r="U967" s="4">
        <v>0.75</v>
      </c>
      <c r="V967" s="2">
        <v>0</v>
      </c>
      <c r="W967">
        <v>0</v>
      </c>
      <c r="X967" t="s">
        <v>70</v>
      </c>
      <c r="Y967" t="s">
        <v>97</v>
      </c>
      <c r="Z967">
        <v>0</v>
      </c>
      <c r="AA967" s="2">
        <v>0</v>
      </c>
      <c r="AB967" s="2">
        <v>0</v>
      </c>
      <c r="AC967" s="4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57.68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</row>
    <row r="968" spans="1:43" x14ac:dyDescent="0.25">
      <c r="A968" s="1">
        <v>45922</v>
      </c>
      <c r="B968" t="s">
        <v>47</v>
      </c>
      <c r="C968">
        <v>649163</v>
      </c>
      <c r="D968">
        <v>2029567228</v>
      </c>
      <c r="E968" t="s">
        <v>196</v>
      </c>
      <c r="F968" t="s">
        <v>197</v>
      </c>
      <c r="G968" t="s">
        <v>50</v>
      </c>
      <c r="H968" t="s">
        <v>115</v>
      </c>
      <c r="I968" t="s">
        <v>106</v>
      </c>
      <c r="J968" t="s">
        <v>107</v>
      </c>
      <c r="K968">
        <v>767312</v>
      </c>
      <c r="L968" t="s">
        <v>122</v>
      </c>
      <c r="M968" t="s">
        <v>123</v>
      </c>
      <c r="N968" t="s">
        <v>56</v>
      </c>
      <c r="O968" s="1">
        <v>45829</v>
      </c>
      <c r="P968" s="1">
        <v>45951</v>
      </c>
      <c r="Q968" s="2">
        <v>47.75</v>
      </c>
      <c r="R968">
        <v>1</v>
      </c>
      <c r="S968" t="s">
        <v>57</v>
      </c>
      <c r="T968" t="s">
        <v>96</v>
      </c>
      <c r="U968" s="4">
        <v>0.9</v>
      </c>
      <c r="V968" s="2">
        <v>0</v>
      </c>
      <c r="W968">
        <v>0</v>
      </c>
      <c r="X968" t="s">
        <v>70</v>
      </c>
      <c r="Y968" t="s">
        <v>97</v>
      </c>
      <c r="Z968">
        <v>0</v>
      </c>
      <c r="AA968" s="2">
        <v>0</v>
      </c>
      <c r="AB968" s="2">
        <v>0</v>
      </c>
      <c r="AC968" s="4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42.98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</row>
    <row r="969" spans="1:43" x14ac:dyDescent="0.25">
      <c r="A969" s="1">
        <v>45922</v>
      </c>
      <c r="B969" t="s">
        <v>47</v>
      </c>
      <c r="C969">
        <v>649163</v>
      </c>
      <c r="D969">
        <v>2029526621</v>
      </c>
      <c r="E969" t="s">
        <v>386</v>
      </c>
      <c r="F969" t="s">
        <v>387</v>
      </c>
      <c r="G969" t="s">
        <v>50</v>
      </c>
      <c r="H969" t="s">
        <v>180</v>
      </c>
      <c r="I969" t="s">
        <v>306</v>
      </c>
      <c r="J969" t="s">
        <v>307</v>
      </c>
      <c r="K969">
        <v>877790</v>
      </c>
      <c r="L969" t="s">
        <v>299</v>
      </c>
      <c r="M969" t="s">
        <v>300</v>
      </c>
      <c r="N969" t="s">
        <v>56</v>
      </c>
      <c r="O969" s="1">
        <v>45828</v>
      </c>
      <c r="P969" s="1">
        <v>45950</v>
      </c>
      <c r="Q969" s="2">
        <v>92.09</v>
      </c>
      <c r="R969">
        <v>1</v>
      </c>
      <c r="S969" t="s">
        <v>57</v>
      </c>
      <c r="T969" t="s">
        <v>96</v>
      </c>
      <c r="U969" s="3">
        <v>0.375</v>
      </c>
      <c r="V969" s="2">
        <v>0</v>
      </c>
      <c r="W969">
        <v>0</v>
      </c>
      <c r="X969" t="s">
        <v>70</v>
      </c>
      <c r="Y969" t="s">
        <v>97</v>
      </c>
      <c r="Z969">
        <v>0</v>
      </c>
      <c r="AA969" s="2">
        <v>0</v>
      </c>
      <c r="AB969" s="2">
        <v>0</v>
      </c>
      <c r="AC969" s="4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34.53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</row>
    <row r="970" spans="1:43" x14ac:dyDescent="0.25">
      <c r="A970" s="1">
        <v>45922</v>
      </c>
      <c r="B970" t="s">
        <v>47</v>
      </c>
      <c r="C970">
        <v>649163</v>
      </c>
      <c r="D970">
        <v>2029567229</v>
      </c>
      <c r="E970" t="s">
        <v>196</v>
      </c>
      <c r="F970" t="s">
        <v>197</v>
      </c>
      <c r="G970" t="s">
        <v>50</v>
      </c>
      <c r="H970" t="s">
        <v>115</v>
      </c>
      <c r="I970" t="s">
        <v>306</v>
      </c>
      <c r="J970" t="s">
        <v>307</v>
      </c>
      <c r="K970">
        <v>767312</v>
      </c>
      <c r="L970" t="s">
        <v>122</v>
      </c>
      <c r="M970" t="s">
        <v>123</v>
      </c>
      <c r="N970" t="s">
        <v>56</v>
      </c>
      <c r="O970" s="1">
        <v>45829</v>
      </c>
      <c r="P970" s="1">
        <v>45951</v>
      </c>
      <c r="Q970" s="2">
        <v>74.290000000000006</v>
      </c>
      <c r="R970">
        <v>1</v>
      </c>
      <c r="S970" t="s">
        <v>57</v>
      </c>
      <c r="T970" t="s">
        <v>96</v>
      </c>
      <c r="U970" s="3">
        <v>0.375</v>
      </c>
      <c r="V970" s="2">
        <v>0</v>
      </c>
      <c r="W970">
        <v>0</v>
      </c>
      <c r="X970" t="s">
        <v>70</v>
      </c>
      <c r="Y970" t="s">
        <v>97</v>
      </c>
      <c r="Z970">
        <v>0</v>
      </c>
      <c r="AA970" s="2">
        <v>0</v>
      </c>
      <c r="AB970" s="2">
        <v>0</v>
      </c>
      <c r="AC970" s="4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27.86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</row>
    <row r="971" spans="1:43" x14ac:dyDescent="0.25">
      <c r="A971" s="1">
        <v>45922</v>
      </c>
      <c r="B971" t="s">
        <v>47</v>
      </c>
      <c r="C971">
        <v>649163</v>
      </c>
      <c r="D971">
        <v>2029251415</v>
      </c>
      <c r="E971" t="s">
        <v>593</v>
      </c>
      <c r="F971" t="s">
        <v>594</v>
      </c>
      <c r="G971" t="s">
        <v>50</v>
      </c>
      <c r="H971" t="s">
        <v>93</v>
      </c>
      <c r="I971" t="s">
        <v>574</v>
      </c>
      <c r="J971" t="s">
        <v>575</v>
      </c>
      <c r="K971">
        <v>814033</v>
      </c>
      <c r="L971" t="s">
        <v>595</v>
      </c>
      <c r="M971" t="s">
        <v>596</v>
      </c>
      <c r="N971" t="s">
        <v>56</v>
      </c>
      <c r="O971" s="1">
        <v>45824</v>
      </c>
      <c r="P971" s="1">
        <v>45946</v>
      </c>
      <c r="Q971" s="2">
        <v>73.39</v>
      </c>
      <c r="R971">
        <v>1</v>
      </c>
      <c r="S971" t="s">
        <v>57</v>
      </c>
      <c r="T971" t="s">
        <v>96</v>
      </c>
      <c r="U971" s="4">
        <v>0.47</v>
      </c>
      <c r="V971" s="2">
        <v>0</v>
      </c>
      <c r="W971">
        <v>0</v>
      </c>
      <c r="X971" t="s">
        <v>70</v>
      </c>
      <c r="Y971" t="s">
        <v>97</v>
      </c>
      <c r="Z971">
        <v>0</v>
      </c>
      <c r="AA971" s="2">
        <v>0</v>
      </c>
      <c r="AB971" s="2">
        <v>0</v>
      </c>
      <c r="AC971" s="4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34.49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</row>
    <row r="972" spans="1:43" x14ac:dyDescent="0.25">
      <c r="A972" s="1">
        <v>45922</v>
      </c>
      <c r="B972" t="s">
        <v>47</v>
      </c>
      <c r="C972">
        <v>649163</v>
      </c>
      <c r="D972">
        <v>2029303774</v>
      </c>
      <c r="E972" t="s">
        <v>597</v>
      </c>
      <c r="F972" t="s">
        <v>598</v>
      </c>
      <c r="G972" t="s">
        <v>50</v>
      </c>
      <c r="H972" t="s">
        <v>51</v>
      </c>
      <c r="I972" t="s">
        <v>574</v>
      </c>
      <c r="J972" t="s">
        <v>575</v>
      </c>
      <c r="K972">
        <v>728134</v>
      </c>
      <c r="L972" t="s">
        <v>322</v>
      </c>
      <c r="M972" t="s">
        <v>323</v>
      </c>
      <c r="N972" t="s">
        <v>56</v>
      </c>
      <c r="O972" s="1">
        <v>45798</v>
      </c>
      <c r="P972" s="1">
        <v>45951</v>
      </c>
      <c r="Q972" s="2">
        <v>37.32</v>
      </c>
      <c r="R972">
        <v>1</v>
      </c>
      <c r="S972" t="s">
        <v>57</v>
      </c>
      <c r="T972" t="s">
        <v>599</v>
      </c>
      <c r="U972" s="4">
        <v>0.47</v>
      </c>
      <c r="V972" s="2">
        <v>0</v>
      </c>
      <c r="W972">
        <v>0</v>
      </c>
      <c r="X972" t="s">
        <v>70</v>
      </c>
      <c r="Y972" t="s">
        <v>97</v>
      </c>
      <c r="Z972">
        <v>0</v>
      </c>
      <c r="AA972" s="2">
        <v>0</v>
      </c>
      <c r="AB972" s="2">
        <v>0</v>
      </c>
      <c r="AC972" s="4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17.54</v>
      </c>
      <c r="AM972" s="2">
        <v>17.54</v>
      </c>
      <c r="AN972" s="2">
        <v>0</v>
      </c>
      <c r="AO972" s="2">
        <v>0</v>
      </c>
      <c r="AP972" s="2">
        <v>0</v>
      </c>
    </row>
    <row r="973" spans="1:43" x14ac:dyDescent="0.25">
      <c r="A973" s="1">
        <v>45915</v>
      </c>
      <c r="B973" t="s">
        <v>47</v>
      </c>
      <c r="C973">
        <v>649163</v>
      </c>
      <c r="D973">
        <v>2030978541</v>
      </c>
      <c r="E973" t="s">
        <v>416</v>
      </c>
      <c r="F973" t="s">
        <v>417</v>
      </c>
      <c r="G973" t="s">
        <v>50</v>
      </c>
      <c r="H973" t="s">
        <v>115</v>
      </c>
      <c r="I973" t="s">
        <v>306</v>
      </c>
      <c r="J973" t="s">
        <v>307</v>
      </c>
      <c r="K973">
        <v>822865</v>
      </c>
      <c r="L973" t="s">
        <v>158</v>
      </c>
      <c r="M973" t="s">
        <v>159</v>
      </c>
      <c r="N973" t="s">
        <v>56</v>
      </c>
      <c r="O973" s="1">
        <v>45889</v>
      </c>
      <c r="P973" s="1">
        <v>45920</v>
      </c>
      <c r="Q973" s="2">
        <v>33.39</v>
      </c>
      <c r="R973">
        <v>1</v>
      </c>
      <c r="S973" t="s">
        <v>57</v>
      </c>
      <c r="T973" t="s">
        <v>418</v>
      </c>
      <c r="U973" s="3">
        <v>0.375</v>
      </c>
      <c r="V973" s="2">
        <v>0</v>
      </c>
      <c r="W973">
        <v>0</v>
      </c>
      <c r="X973" t="s">
        <v>70</v>
      </c>
      <c r="Y973" t="s">
        <v>97</v>
      </c>
      <c r="Z973">
        <v>0</v>
      </c>
      <c r="AA973" s="2">
        <v>0</v>
      </c>
      <c r="AB973" s="2">
        <v>0</v>
      </c>
      <c r="AC973" s="4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12.52</v>
      </c>
      <c r="AM973" s="2">
        <v>12.52</v>
      </c>
      <c r="AN973" s="2">
        <v>0</v>
      </c>
      <c r="AO973" s="2">
        <v>0</v>
      </c>
      <c r="AP973" s="2">
        <v>0</v>
      </c>
    </row>
    <row r="974" spans="1:43" x14ac:dyDescent="0.25">
      <c r="A974" s="1">
        <v>45922</v>
      </c>
      <c r="B974" t="s">
        <v>602</v>
      </c>
      <c r="C974">
        <v>649163</v>
      </c>
      <c r="D974">
        <v>2030805541</v>
      </c>
      <c r="E974" t="s">
        <v>292</v>
      </c>
      <c r="F974" t="s">
        <v>293</v>
      </c>
      <c r="G974" t="s">
        <v>50</v>
      </c>
      <c r="I974" t="s">
        <v>430</v>
      </c>
      <c r="J974" t="s">
        <v>438</v>
      </c>
      <c r="K974">
        <v>649163</v>
      </c>
      <c r="L974" t="s">
        <v>294</v>
      </c>
      <c r="M974" t="s">
        <v>295</v>
      </c>
      <c r="N974" t="s">
        <v>230</v>
      </c>
      <c r="O974" s="1">
        <v>45902</v>
      </c>
      <c r="Q974" s="2">
        <v>0</v>
      </c>
      <c r="AA974" s="2">
        <v>542.71</v>
      </c>
      <c r="AB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90.45</v>
      </c>
      <c r="AM974" s="2">
        <v>-452.26</v>
      </c>
      <c r="AN974" s="2">
        <v>-452.26</v>
      </c>
      <c r="AO974" s="2">
        <v>0</v>
      </c>
      <c r="AP974" s="2">
        <v>0</v>
      </c>
      <c r="AQ974" t="s">
        <v>603</v>
      </c>
    </row>
    <row r="975" spans="1:43" x14ac:dyDescent="0.25">
      <c r="A975" s="1">
        <v>45922</v>
      </c>
      <c r="B975" t="s">
        <v>602</v>
      </c>
      <c r="C975">
        <v>649163</v>
      </c>
      <c r="D975">
        <v>2030218150</v>
      </c>
      <c r="E975" t="s">
        <v>331</v>
      </c>
      <c r="F975" t="s">
        <v>281</v>
      </c>
      <c r="G975" t="s">
        <v>50</v>
      </c>
      <c r="I975" t="s">
        <v>441</v>
      </c>
      <c r="J975" t="s">
        <v>445</v>
      </c>
      <c r="K975">
        <v>649163</v>
      </c>
      <c r="L975" t="s">
        <v>282</v>
      </c>
      <c r="M975" t="s">
        <v>283</v>
      </c>
      <c r="N975" t="s">
        <v>230</v>
      </c>
      <c r="O975" s="1">
        <v>45870</v>
      </c>
      <c r="Q975" s="2">
        <v>0</v>
      </c>
      <c r="AA975" s="2">
        <v>495.35</v>
      </c>
      <c r="AB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165.12</v>
      </c>
      <c r="AM975" s="2">
        <v>-330.23</v>
      </c>
      <c r="AN975" s="2">
        <v>-330.23</v>
      </c>
      <c r="AO975" s="2">
        <v>0</v>
      </c>
      <c r="AP975" s="2">
        <v>0</v>
      </c>
      <c r="AQ975" t="s">
        <v>603</v>
      </c>
    </row>
    <row r="976" spans="1:43" x14ac:dyDescent="0.25">
      <c r="A976" s="1">
        <v>45922</v>
      </c>
      <c r="B976" t="s">
        <v>602</v>
      </c>
      <c r="C976">
        <v>649163</v>
      </c>
      <c r="D976">
        <v>2030805542</v>
      </c>
      <c r="E976" t="s">
        <v>292</v>
      </c>
      <c r="F976" t="s">
        <v>293</v>
      </c>
      <c r="G976" t="s">
        <v>50</v>
      </c>
      <c r="I976" t="s">
        <v>243</v>
      </c>
      <c r="J976" t="s">
        <v>261</v>
      </c>
      <c r="K976">
        <v>649163</v>
      </c>
      <c r="L976" t="s">
        <v>294</v>
      </c>
      <c r="M976" t="s">
        <v>295</v>
      </c>
      <c r="N976" t="s">
        <v>230</v>
      </c>
      <c r="O976" s="1">
        <v>45902</v>
      </c>
      <c r="Q976" s="2">
        <v>0</v>
      </c>
      <c r="AA976" s="2">
        <v>34.200000000000003</v>
      </c>
      <c r="AB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5.7</v>
      </c>
      <c r="AM976" s="2">
        <v>-28.5</v>
      </c>
      <c r="AN976" s="2">
        <v>-28.5</v>
      </c>
      <c r="AO976" s="2">
        <v>0</v>
      </c>
      <c r="AP976" s="2">
        <v>0</v>
      </c>
      <c r="AQ976" t="s">
        <v>603</v>
      </c>
    </row>
    <row r="977" spans="1:43" x14ac:dyDescent="0.25">
      <c r="A977" s="1">
        <v>45922</v>
      </c>
      <c r="B977" t="s">
        <v>602</v>
      </c>
      <c r="C977">
        <v>649163</v>
      </c>
      <c r="D977">
        <v>2030846037</v>
      </c>
      <c r="E977" t="s">
        <v>414</v>
      </c>
      <c r="F977" t="s">
        <v>415</v>
      </c>
      <c r="G977" t="s">
        <v>50</v>
      </c>
      <c r="I977" t="s">
        <v>306</v>
      </c>
      <c r="J977" t="s">
        <v>307</v>
      </c>
      <c r="K977">
        <v>649163</v>
      </c>
      <c r="L977" t="s">
        <v>158</v>
      </c>
      <c r="M977" t="s">
        <v>159</v>
      </c>
      <c r="N977" t="s">
        <v>230</v>
      </c>
      <c r="O977" s="1">
        <v>45913</v>
      </c>
      <c r="Q977" s="2">
        <v>0</v>
      </c>
      <c r="AA977" s="2">
        <v>63.84</v>
      </c>
      <c r="AB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10.64</v>
      </c>
      <c r="AM977" s="2">
        <v>-53.2</v>
      </c>
      <c r="AN977" s="2">
        <v>-53.2</v>
      </c>
      <c r="AO977" s="2">
        <v>0</v>
      </c>
      <c r="AP977" s="2">
        <v>0</v>
      </c>
      <c r="AQ977" t="s">
        <v>603</v>
      </c>
    </row>
    <row r="978" spans="1:43" x14ac:dyDescent="0.25">
      <c r="A978" s="1">
        <v>45922</v>
      </c>
      <c r="B978" t="s">
        <v>602</v>
      </c>
      <c r="C978">
        <v>21421111</v>
      </c>
      <c r="D978">
        <v>2029599902</v>
      </c>
      <c r="E978" t="s">
        <v>604</v>
      </c>
      <c r="F978" t="s">
        <v>486</v>
      </c>
      <c r="G978" t="s">
        <v>50</v>
      </c>
      <c r="I978" t="s">
        <v>441</v>
      </c>
      <c r="J978" t="s">
        <v>445</v>
      </c>
      <c r="K978">
        <v>21421111</v>
      </c>
      <c r="L978" t="s">
        <v>158</v>
      </c>
      <c r="M978" t="s">
        <v>159</v>
      </c>
      <c r="N978" t="s">
        <v>230</v>
      </c>
      <c r="O978" s="1">
        <v>45832</v>
      </c>
      <c r="Q978" s="2">
        <v>0</v>
      </c>
      <c r="AA978" s="2">
        <v>204.79</v>
      </c>
      <c r="AB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68.260000000000005</v>
      </c>
      <c r="AM978" s="2">
        <v>-136.53</v>
      </c>
      <c r="AN978" s="2">
        <v>-136.53</v>
      </c>
      <c r="AO978" s="2">
        <v>0</v>
      </c>
      <c r="AP978" s="2">
        <v>0</v>
      </c>
      <c r="AQ978" t="s">
        <v>603</v>
      </c>
    </row>
    <row r="979" spans="1:43" x14ac:dyDescent="0.25">
      <c r="A979" s="1">
        <v>45922</v>
      </c>
      <c r="B979" t="s">
        <v>602</v>
      </c>
      <c r="D979">
        <v>2030463472</v>
      </c>
      <c r="E979" t="s">
        <v>228</v>
      </c>
      <c r="F979" t="s">
        <v>229</v>
      </c>
      <c r="G979" t="s">
        <v>50</v>
      </c>
      <c r="I979" t="s">
        <v>441</v>
      </c>
      <c r="J979" t="s">
        <v>545</v>
      </c>
      <c r="L979" t="s">
        <v>215</v>
      </c>
      <c r="M979" t="s">
        <v>216</v>
      </c>
      <c r="N979" t="s">
        <v>230</v>
      </c>
      <c r="O979" s="1">
        <v>45885</v>
      </c>
      <c r="Q979" s="2">
        <v>0</v>
      </c>
      <c r="AA979" s="2">
        <v>233.44</v>
      </c>
      <c r="AB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77.819999999999993</v>
      </c>
      <c r="AM979" s="2">
        <v>-155.62</v>
      </c>
      <c r="AN979" s="2">
        <v>-155.62</v>
      </c>
      <c r="AO979" s="2">
        <v>0</v>
      </c>
      <c r="AP979" s="2">
        <v>0</v>
      </c>
      <c r="AQ979" t="s">
        <v>603</v>
      </c>
    </row>
    <row r="980" spans="1:43" x14ac:dyDescent="0.25">
      <c r="A980" s="1">
        <v>45922</v>
      </c>
      <c r="B980" t="s">
        <v>602</v>
      </c>
      <c r="C980">
        <v>649163</v>
      </c>
      <c r="D980">
        <v>2030463473</v>
      </c>
      <c r="E980" t="s">
        <v>228</v>
      </c>
      <c r="F980" t="s">
        <v>229</v>
      </c>
      <c r="G980" t="s">
        <v>50</v>
      </c>
      <c r="I980" t="s">
        <v>106</v>
      </c>
      <c r="J980" t="s">
        <v>107</v>
      </c>
      <c r="K980">
        <v>649163</v>
      </c>
      <c r="L980" t="s">
        <v>215</v>
      </c>
      <c r="M980" t="s">
        <v>216</v>
      </c>
      <c r="N980" t="s">
        <v>230</v>
      </c>
      <c r="O980" s="1">
        <v>45885</v>
      </c>
      <c r="Q980" s="2">
        <v>0</v>
      </c>
      <c r="AA980" s="2">
        <v>808.22</v>
      </c>
      <c r="AB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269.39999999999998</v>
      </c>
      <c r="AM980" s="2">
        <v>-538.82000000000005</v>
      </c>
      <c r="AN980" s="2">
        <v>-538.82000000000005</v>
      </c>
      <c r="AO980" s="2">
        <v>0</v>
      </c>
      <c r="AP980" s="2">
        <v>0</v>
      </c>
      <c r="AQ980" t="s">
        <v>603</v>
      </c>
    </row>
    <row r="981" spans="1:43" x14ac:dyDescent="0.25">
      <c r="A981" s="1">
        <v>45922</v>
      </c>
      <c r="B981" t="s">
        <v>602</v>
      </c>
      <c r="C981">
        <v>649163</v>
      </c>
      <c r="D981">
        <v>2030846038</v>
      </c>
      <c r="E981" t="s">
        <v>414</v>
      </c>
      <c r="F981" t="s">
        <v>415</v>
      </c>
      <c r="G981" t="s">
        <v>50</v>
      </c>
      <c r="I981" t="s">
        <v>441</v>
      </c>
      <c r="J981" t="s">
        <v>445</v>
      </c>
      <c r="K981">
        <v>649163</v>
      </c>
      <c r="L981" t="s">
        <v>158</v>
      </c>
      <c r="M981" t="s">
        <v>159</v>
      </c>
      <c r="N981" t="s">
        <v>230</v>
      </c>
      <c r="O981" s="1">
        <v>45913</v>
      </c>
      <c r="Q981" s="2">
        <v>0</v>
      </c>
      <c r="AA981" s="2">
        <v>119.22</v>
      </c>
      <c r="AB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19.87</v>
      </c>
      <c r="AM981" s="2">
        <v>-99.35</v>
      </c>
      <c r="AN981" s="2">
        <v>-99.35</v>
      </c>
      <c r="AO981" s="2">
        <v>0</v>
      </c>
      <c r="AP981" s="2">
        <v>0</v>
      </c>
      <c r="AQ981" t="s">
        <v>603</v>
      </c>
    </row>
    <row r="982" spans="1:43" x14ac:dyDescent="0.25">
      <c r="A982" s="1">
        <v>45922</v>
      </c>
      <c r="B982" t="s">
        <v>602</v>
      </c>
      <c r="C982">
        <v>21421111</v>
      </c>
      <c r="D982">
        <v>2029599901</v>
      </c>
      <c r="E982" t="s">
        <v>604</v>
      </c>
      <c r="F982" t="s">
        <v>486</v>
      </c>
      <c r="G982" t="s">
        <v>50</v>
      </c>
      <c r="I982" t="s">
        <v>306</v>
      </c>
      <c r="J982" t="s">
        <v>307</v>
      </c>
      <c r="K982">
        <v>21421111</v>
      </c>
      <c r="L982" t="s">
        <v>158</v>
      </c>
      <c r="M982" t="s">
        <v>159</v>
      </c>
      <c r="N982" t="s">
        <v>230</v>
      </c>
      <c r="O982" s="1">
        <v>45832</v>
      </c>
      <c r="Q982" s="2">
        <v>0</v>
      </c>
      <c r="AA982" s="2">
        <v>43.76</v>
      </c>
      <c r="AB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14.59</v>
      </c>
      <c r="AM982" s="2">
        <v>-29.17</v>
      </c>
      <c r="AN982" s="2">
        <v>-29.17</v>
      </c>
      <c r="AO982" s="2">
        <v>0</v>
      </c>
      <c r="AP982" s="2">
        <v>0</v>
      </c>
      <c r="AQ982" t="s">
        <v>603</v>
      </c>
    </row>
    <row r="983" spans="1:43" x14ac:dyDescent="0.25">
      <c r="A983" s="1">
        <v>45922</v>
      </c>
      <c r="B983" t="s">
        <v>602</v>
      </c>
      <c r="C983">
        <v>649163</v>
      </c>
      <c r="D983">
        <v>2030720647</v>
      </c>
      <c r="E983" t="s">
        <v>558</v>
      </c>
      <c r="F983" t="s">
        <v>559</v>
      </c>
      <c r="G983" t="s">
        <v>50</v>
      </c>
      <c r="I983" t="s">
        <v>441</v>
      </c>
      <c r="J983" t="s">
        <v>445</v>
      </c>
      <c r="K983">
        <v>649163</v>
      </c>
      <c r="L983" t="s">
        <v>560</v>
      </c>
      <c r="M983" t="s">
        <v>561</v>
      </c>
      <c r="N983" t="s">
        <v>230</v>
      </c>
      <c r="O983" s="1">
        <v>45901</v>
      </c>
      <c r="Q983" s="2">
        <v>0</v>
      </c>
      <c r="AA983" s="2">
        <v>686.41</v>
      </c>
      <c r="AB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114.4</v>
      </c>
      <c r="AM983" s="2">
        <v>-572.01</v>
      </c>
      <c r="AN983" s="2">
        <v>-572.01</v>
      </c>
      <c r="AO983" s="2">
        <v>0</v>
      </c>
      <c r="AP983" s="2">
        <v>0</v>
      </c>
      <c r="AQ983" t="s">
        <v>603</v>
      </c>
    </row>
    <row r="984" spans="1:43" x14ac:dyDescent="0.25">
      <c r="A984" s="1">
        <v>45915</v>
      </c>
      <c r="B984" t="s">
        <v>602</v>
      </c>
      <c r="C984">
        <v>649163</v>
      </c>
      <c r="D984">
        <v>2028840698</v>
      </c>
      <c r="E984" t="s">
        <v>622</v>
      </c>
      <c r="F984" t="s">
        <v>163</v>
      </c>
      <c r="G984" t="s">
        <v>50</v>
      </c>
      <c r="I984" t="s">
        <v>441</v>
      </c>
      <c r="J984" t="s">
        <v>445</v>
      </c>
      <c r="K984">
        <v>649163</v>
      </c>
      <c r="L984" t="s">
        <v>152</v>
      </c>
      <c r="M984" t="s">
        <v>153</v>
      </c>
      <c r="N984" t="s">
        <v>230</v>
      </c>
      <c r="O984" s="1">
        <v>45809</v>
      </c>
      <c r="Q984" s="2">
        <v>0</v>
      </c>
      <c r="AA984" s="2">
        <v>125.12</v>
      </c>
      <c r="AB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83.41</v>
      </c>
      <c r="AM984" s="2">
        <v>-41.71</v>
      </c>
      <c r="AN984" s="2">
        <v>-41.71</v>
      </c>
      <c r="AO984" s="2">
        <v>0</v>
      </c>
      <c r="AP984" s="2">
        <v>0</v>
      </c>
      <c r="AQ984" t="s">
        <v>605</v>
      </c>
    </row>
    <row r="985" spans="1:43" x14ac:dyDescent="0.25">
      <c r="A985" s="1">
        <v>45915</v>
      </c>
      <c r="B985" t="s">
        <v>602</v>
      </c>
      <c r="C985">
        <v>649163</v>
      </c>
      <c r="D985">
        <v>2028840699</v>
      </c>
      <c r="E985" t="s">
        <v>622</v>
      </c>
      <c r="F985" t="s">
        <v>163</v>
      </c>
      <c r="G985" t="s">
        <v>50</v>
      </c>
      <c r="I985" t="s">
        <v>441</v>
      </c>
      <c r="J985" t="s">
        <v>545</v>
      </c>
      <c r="K985">
        <v>649163</v>
      </c>
      <c r="L985" t="s">
        <v>152</v>
      </c>
      <c r="M985" t="s">
        <v>153</v>
      </c>
      <c r="N985" t="s">
        <v>230</v>
      </c>
      <c r="O985" s="1">
        <v>45809</v>
      </c>
      <c r="Q985" s="2">
        <v>0</v>
      </c>
      <c r="AA985" s="2">
        <v>108.07</v>
      </c>
      <c r="AB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72.040000000000006</v>
      </c>
      <c r="AM985" s="2">
        <v>-36.03</v>
      </c>
      <c r="AN985" s="2">
        <v>-36.03</v>
      </c>
      <c r="AO985" s="2">
        <v>0</v>
      </c>
      <c r="AP985" s="2">
        <v>0</v>
      </c>
      <c r="AQ985" t="s">
        <v>605</v>
      </c>
    </row>
    <row r="986" spans="1:43" x14ac:dyDescent="0.25">
      <c r="A986" s="1">
        <v>45915</v>
      </c>
      <c r="B986" t="s">
        <v>602</v>
      </c>
      <c r="C986">
        <v>649163</v>
      </c>
      <c r="D986">
        <v>2028840700</v>
      </c>
      <c r="E986" t="s">
        <v>622</v>
      </c>
      <c r="F986" t="s">
        <v>163</v>
      </c>
      <c r="G986" t="s">
        <v>50</v>
      </c>
      <c r="I986" t="s">
        <v>106</v>
      </c>
      <c r="J986" t="s">
        <v>184</v>
      </c>
      <c r="K986">
        <v>649163</v>
      </c>
      <c r="L986" t="s">
        <v>152</v>
      </c>
      <c r="M986" t="s">
        <v>153</v>
      </c>
      <c r="N986" t="s">
        <v>230</v>
      </c>
      <c r="O986" s="1">
        <v>45809</v>
      </c>
      <c r="Q986" s="2">
        <v>0</v>
      </c>
      <c r="AA986" s="2">
        <v>43.92</v>
      </c>
      <c r="AB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29.28</v>
      </c>
      <c r="AM986" s="2">
        <v>-14.64</v>
      </c>
      <c r="AN986" s="2">
        <v>-14.64</v>
      </c>
      <c r="AO986" s="2">
        <v>0</v>
      </c>
      <c r="AP986" s="2">
        <v>0</v>
      </c>
      <c r="AQ986" t="s">
        <v>605</v>
      </c>
    </row>
    <row r="987" spans="1:43" x14ac:dyDescent="0.25">
      <c r="A987" s="1">
        <v>45915</v>
      </c>
      <c r="B987" t="s">
        <v>602</v>
      </c>
      <c r="C987">
        <v>649163</v>
      </c>
      <c r="D987">
        <v>2028973238</v>
      </c>
      <c r="E987" t="s">
        <v>621</v>
      </c>
      <c r="F987" t="s">
        <v>368</v>
      </c>
      <c r="G987" t="s">
        <v>50</v>
      </c>
      <c r="I987" t="s">
        <v>574</v>
      </c>
      <c r="J987" t="s">
        <v>575</v>
      </c>
      <c r="K987">
        <v>649163</v>
      </c>
      <c r="L987" t="s">
        <v>322</v>
      </c>
      <c r="M987" t="s">
        <v>323</v>
      </c>
      <c r="N987" t="s">
        <v>230</v>
      </c>
      <c r="O987" s="1">
        <v>45809</v>
      </c>
      <c r="Q987" s="2">
        <v>0</v>
      </c>
      <c r="AA987" s="2">
        <v>290.18</v>
      </c>
      <c r="AB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193.45</v>
      </c>
      <c r="AM987" s="2">
        <v>-96.73</v>
      </c>
      <c r="AN987" s="2">
        <v>-96.73</v>
      </c>
      <c r="AO987" s="2">
        <v>0</v>
      </c>
      <c r="AP987" s="2">
        <v>0</v>
      </c>
      <c r="AQ987" t="s">
        <v>605</v>
      </c>
    </row>
    <row r="988" spans="1:43" x14ac:dyDescent="0.25">
      <c r="A988" s="1">
        <v>45915</v>
      </c>
      <c r="B988" t="s">
        <v>602</v>
      </c>
      <c r="C988">
        <v>649163</v>
      </c>
      <c r="D988">
        <v>2029067254</v>
      </c>
      <c r="E988" t="s">
        <v>620</v>
      </c>
      <c r="F988" t="s">
        <v>619</v>
      </c>
      <c r="G988" t="s">
        <v>50</v>
      </c>
      <c r="I988" t="s">
        <v>441</v>
      </c>
      <c r="J988" t="s">
        <v>445</v>
      </c>
      <c r="K988">
        <v>649163</v>
      </c>
      <c r="L988" t="s">
        <v>142</v>
      </c>
      <c r="M988" t="s">
        <v>143</v>
      </c>
      <c r="N988" t="s">
        <v>230</v>
      </c>
      <c r="O988" s="1">
        <v>45809</v>
      </c>
      <c r="Q988" s="2">
        <v>0</v>
      </c>
      <c r="AA988" s="2">
        <v>81.86</v>
      </c>
      <c r="AB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54.57</v>
      </c>
      <c r="AM988" s="2">
        <v>-27.29</v>
      </c>
      <c r="AN988" s="2">
        <v>-27.29</v>
      </c>
      <c r="AO988" s="2">
        <v>0</v>
      </c>
      <c r="AP988" s="2">
        <v>0</v>
      </c>
      <c r="AQ988" t="s">
        <v>605</v>
      </c>
    </row>
    <row r="989" spans="1:43" x14ac:dyDescent="0.25">
      <c r="A989" s="1">
        <v>45915</v>
      </c>
      <c r="B989" t="s">
        <v>602</v>
      </c>
      <c r="C989">
        <v>649163</v>
      </c>
      <c r="D989">
        <v>2029067255</v>
      </c>
      <c r="E989" t="s">
        <v>620</v>
      </c>
      <c r="F989" t="s">
        <v>619</v>
      </c>
      <c r="G989" t="s">
        <v>50</v>
      </c>
      <c r="I989" t="s">
        <v>106</v>
      </c>
      <c r="J989" t="s">
        <v>146</v>
      </c>
      <c r="K989">
        <v>649163</v>
      </c>
      <c r="L989" t="s">
        <v>142</v>
      </c>
      <c r="M989" t="s">
        <v>143</v>
      </c>
      <c r="N989" t="s">
        <v>230</v>
      </c>
      <c r="O989" s="1">
        <v>45809</v>
      </c>
      <c r="Q989" s="2">
        <v>0</v>
      </c>
      <c r="AA989" s="2">
        <v>96.64</v>
      </c>
      <c r="AB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64.430000000000007</v>
      </c>
      <c r="AM989" s="2">
        <v>-32.21</v>
      </c>
      <c r="AN989" s="2">
        <v>-32.21</v>
      </c>
      <c r="AO989" s="2">
        <v>0</v>
      </c>
      <c r="AP989" s="2">
        <v>0</v>
      </c>
      <c r="AQ989" t="s">
        <v>605</v>
      </c>
    </row>
    <row r="990" spans="1:43" x14ac:dyDescent="0.25">
      <c r="A990" s="1">
        <v>45915</v>
      </c>
      <c r="B990" t="s">
        <v>602</v>
      </c>
      <c r="C990">
        <v>16865615</v>
      </c>
      <c r="D990">
        <v>2029416122</v>
      </c>
      <c r="E990" t="s">
        <v>618</v>
      </c>
      <c r="F990" t="s">
        <v>617</v>
      </c>
      <c r="G990" t="s">
        <v>50</v>
      </c>
      <c r="I990" t="s">
        <v>306</v>
      </c>
      <c r="J990" t="s">
        <v>307</v>
      </c>
      <c r="K990">
        <v>16865615</v>
      </c>
      <c r="L990" t="s">
        <v>142</v>
      </c>
      <c r="M990" t="s">
        <v>143</v>
      </c>
      <c r="N990" t="s">
        <v>230</v>
      </c>
      <c r="O990" s="1">
        <v>45824</v>
      </c>
      <c r="Q990" s="2">
        <v>0</v>
      </c>
      <c r="AA990" s="2">
        <v>140.51</v>
      </c>
      <c r="AB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46.84</v>
      </c>
      <c r="AM990" s="2">
        <v>-93.67</v>
      </c>
      <c r="AN990" s="2">
        <v>-93.67</v>
      </c>
      <c r="AO990" s="2">
        <v>0</v>
      </c>
      <c r="AP990" s="2">
        <v>0</v>
      </c>
      <c r="AQ990" t="s">
        <v>605</v>
      </c>
    </row>
    <row r="991" spans="1:43" x14ac:dyDescent="0.25">
      <c r="A991" s="1">
        <v>45915</v>
      </c>
      <c r="B991" t="s">
        <v>602</v>
      </c>
      <c r="C991">
        <v>16865615</v>
      </c>
      <c r="D991">
        <v>2029416123</v>
      </c>
      <c r="E991" t="s">
        <v>618</v>
      </c>
      <c r="F991" t="s">
        <v>617</v>
      </c>
      <c r="G991" t="s">
        <v>50</v>
      </c>
      <c r="I991" t="s">
        <v>430</v>
      </c>
      <c r="J991" t="s">
        <v>438</v>
      </c>
      <c r="K991">
        <v>16865615</v>
      </c>
      <c r="L991" t="s">
        <v>142</v>
      </c>
      <c r="M991" t="s">
        <v>143</v>
      </c>
      <c r="N991" t="s">
        <v>230</v>
      </c>
      <c r="O991" s="1">
        <v>45824</v>
      </c>
      <c r="Q991" s="2">
        <v>0</v>
      </c>
      <c r="AA991" s="2">
        <v>465.62</v>
      </c>
      <c r="AB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155.21</v>
      </c>
      <c r="AM991" s="2">
        <v>-310.41000000000003</v>
      </c>
      <c r="AN991" s="2">
        <v>-310.41000000000003</v>
      </c>
      <c r="AO991" s="2">
        <v>0</v>
      </c>
      <c r="AP991" s="2">
        <v>0</v>
      </c>
      <c r="AQ991" t="s">
        <v>605</v>
      </c>
    </row>
    <row r="992" spans="1:43" x14ac:dyDescent="0.25">
      <c r="A992" s="1">
        <v>45915</v>
      </c>
      <c r="B992" t="s">
        <v>602</v>
      </c>
      <c r="C992">
        <v>16865615</v>
      </c>
      <c r="D992">
        <v>2029416125</v>
      </c>
      <c r="E992" t="s">
        <v>618</v>
      </c>
      <c r="F992" t="s">
        <v>617</v>
      </c>
      <c r="G992" t="s">
        <v>50</v>
      </c>
      <c r="I992" t="s">
        <v>430</v>
      </c>
      <c r="J992" t="s">
        <v>439</v>
      </c>
      <c r="K992">
        <v>16865615</v>
      </c>
      <c r="L992" t="s">
        <v>142</v>
      </c>
      <c r="M992" t="s">
        <v>143</v>
      </c>
      <c r="N992" t="s">
        <v>230</v>
      </c>
      <c r="O992" s="1">
        <v>45824</v>
      </c>
      <c r="Q992" s="2">
        <v>0</v>
      </c>
      <c r="AA992" s="2">
        <v>16.170000000000002</v>
      </c>
      <c r="AB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5.39</v>
      </c>
      <c r="AM992" s="2">
        <v>-10.78</v>
      </c>
      <c r="AN992" s="2">
        <v>-10.78</v>
      </c>
      <c r="AO992" s="2">
        <v>0</v>
      </c>
      <c r="AP992" s="2">
        <v>0</v>
      </c>
      <c r="AQ992" t="s">
        <v>605</v>
      </c>
    </row>
    <row r="993" spans="1:43" x14ac:dyDescent="0.25">
      <c r="A993" s="1">
        <v>45915</v>
      </c>
      <c r="B993" t="s">
        <v>602</v>
      </c>
      <c r="C993">
        <v>16865615</v>
      </c>
      <c r="D993">
        <v>2029416126</v>
      </c>
      <c r="E993" t="s">
        <v>618</v>
      </c>
      <c r="F993" t="s">
        <v>617</v>
      </c>
      <c r="G993" t="s">
        <v>50</v>
      </c>
      <c r="I993" t="s">
        <v>441</v>
      </c>
      <c r="J993" t="s">
        <v>445</v>
      </c>
      <c r="K993">
        <v>16865615</v>
      </c>
      <c r="L993" t="s">
        <v>142</v>
      </c>
      <c r="M993" t="s">
        <v>143</v>
      </c>
      <c r="N993" t="s">
        <v>230</v>
      </c>
      <c r="O993" s="1">
        <v>45824</v>
      </c>
      <c r="Q993" s="2">
        <v>0</v>
      </c>
      <c r="AA993" s="2">
        <v>38.22</v>
      </c>
      <c r="AB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12.74</v>
      </c>
      <c r="AM993" s="2">
        <v>-25.48</v>
      </c>
      <c r="AN993" s="2">
        <v>-25.48</v>
      </c>
      <c r="AO993" s="2">
        <v>0</v>
      </c>
      <c r="AP993" s="2">
        <v>0</v>
      </c>
      <c r="AQ993" t="s">
        <v>605</v>
      </c>
    </row>
    <row r="994" spans="1:43" x14ac:dyDescent="0.25">
      <c r="A994" s="1">
        <v>45915</v>
      </c>
      <c r="B994" t="s">
        <v>602</v>
      </c>
      <c r="C994">
        <v>649163</v>
      </c>
      <c r="D994">
        <v>2029368470</v>
      </c>
      <c r="E994" t="s">
        <v>416</v>
      </c>
      <c r="F994" t="s">
        <v>616</v>
      </c>
      <c r="G994" t="s">
        <v>50</v>
      </c>
      <c r="I994" t="s">
        <v>306</v>
      </c>
      <c r="J994" t="s">
        <v>307</v>
      </c>
      <c r="K994">
        <v>649163</v>
      </c>
      <c r="L994" t="s">
        <v>158</v>
      </c>
      <c r="M994" t="s">
        <v>159</v>
      </c>
      <c r="N994" t="s">
        <v>230</v>
      </c>
      <c r="O994" s="1">
        <v>45839</v>
      </c>
      <c r="Q994" s="2">
        <v>0</v>
      </c>
      <c r="AA994" s="2">
        <v>157.01</v>
      </c>
      <c r="AB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78.5</v>
      </c>
      <c r="AM994" s="2">
        <v>-78.510000000000005</v>
      </c>
      <c r="AN994" s="2">
        <v>-78.510000000000005</v>
      </c>
      <c r="AO994" s="2">
        <v>0</v>
      </c>
      <c r="AP994" s="2">
        <v>0</v>
      </c>
      <c r="AQ994" t="s">
        <v>605</v>
      </c>
    </row>
    <row r="995" spans="1:43" x14ac:dyDescent="0.25">
      <c r="A995" s="1">
        <v>45915</v>
      </c>
      <c r="B995" t="s">
        <v>602</v>
      </c>
      <c r="C995">
        <v>16912722</v>
      </c>
      <c r="D995">
        <v>2029966004</v>
      </c>
      <c r="E995" t="s">
        <v>55</v>
      </c>
      <c r="F995" t="s">
        <v>615</v>
      </c>
      <c r="G995" t="s">
        <v>50</v>
      </c>
      <c r="I995" t="s">
        <v>441</v>
      </c>
      <c r="J995" t="s">
        <v>445</v>
      </c>
      <c r="K995">
        <v>16912722</v>
      </c>
      <c r="L995" t="s">
        <v>282</v>
      </c>
      <c r="M995" t="s">
        <v>283</v>
      </c>
      <c r="N995" t="s">
        <v>230</v>
      </c>
      <c r="O995" s="1">
        <v>45854</v>
      </c>
      <c r="Q995" s="2">
        <v>0</v>
      </c>
      <c r="AA995" s="2">
        <v>305.58999999999997</v>
      </c>
      <c r="AB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50.93</v>
      </c>
      <c r="AM995" s="2">
        <v>-254.66</v>
      </c>
      <c r="AN995" s="2">
        <v>-254.66</v>
      </c>
      <c r="AO995" s="2">
        <v>0</v>
      </c>
      <c r="AP995" s="2">
        <v>0</v>
      </c>
      <c r="AQ995" t="s">
        <v>605</v>
      </c>
    </row>
    <row r="996" spans="1:43" x14ac:dyDescent="0.25">
      <c r="A996" s="1">
        <v>45915</v>
      </c>
      <c r="B996" t="s">
        <v>602</v>
      </c>
      <c r="C996">
        <v>21436172</v>
      </c>
      <c r="D996">
        <v>2030009011</v>
      </c>
      <c r="E996" t="s">
        <v>614</v>
      </c>
      <c r="F996" t="s">
        <v>613</v>
      </c>
      <c r="G996" t="s">
        <v>50</v>
      </c>
      <c r="I996" t="s">
        <v>441</v>
      </c>
      <c r="J996" t="s">
        <v>442</v>
      </c>
      <c r="K996">
        <v>21436172</v>
      </c>
      <c r="L996" t="s">
        <v>525</v>
      </c>
      <c r="M996" t="s">
        <v>526</v>
      </c>
      <c r="N996" t="s">
        <v>230</v>
      </c>
      <c r="O996" s="1">
        <v>45856</v>
      </c>
      <c r="Q996" s="2">
        <v>0</v>
      </c>
      <c r="AA996" s="2">
        <v>315.68</v>
      </c>
      <c r="AB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52.61</v>
      </c>
      <c r="AM996" s="2">
        <v>-263.07</v>
      </c>
      <c r="AN996" s="2">
        <v>-263.07</v>
      </c>
      <c r="AO996" s="2">
        <v>0</v>
      </c>
      <c r="AP996" s="2">
        <v>0</v>
      </c>
      <c r="AQ996" t="s">
        <v>605</v>
      </c>
    </row>
    <row r="997" spans="1:43" x14ac:dyDescent="0.25">
      <c r="A997" s="1">
        <v>45915</v>
      </c>
      <c r="B997" t="s">
        <v>602</v>
      </c>
      <c r="C997">
        <v>649163</v>
      </c>
      <c r="D997">
        <v>2030469675</v>
      </c>
      <c r="E997" t="s">
        <v>612</v>
      </c>
      <c r="F997" t="s">
        <v>611</v>
      </c>
      <c r="G997" t="s">
        <v>50</v>
      </c>
      <c r="I997" t="s">
        <v>430</v>
      </c>
      <c r="J997" t="s">
        <v>431</v>
      </c>
      <c r="K997">
        <v>649163</v>
      </c>
      <c r="L997" t="s">
        <v>84</v>
      </c>
      <c r="M997" t="s">
        <v>85</v>
      </c>
      <c r="N997" t="s">
        <v>230</v>
      </c>
      <c r="O997" s="1">
        <v>45901</v>
      </c>
      <c r="Q997" s="2">
        <v>0</v>
      </c>
      <c r="AA997" s="2">
        <v>26.84</v>
      </c>
      <c r="AB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4.47</v>
      </c>
      <c r="AM997" s="2">
        <v>-22.37</v>
      </c>
      <c r="AN997" s="2">
        <v>-22.37</v>
      </c>
      <c r="AO997" s="2">
        <v>0</v>
      </c>
      <c r="AP997" s="2">
        <v>0</v>
      </c>
      <c r="AQ997" t="s">
        <v>605</v>
      </c>
    </row>
    <row r="998" spans="1:43" x14ac:dyDescent="0.25">
      <c r="A998" s="1">
        <v>45915</v>
      </c>
      <c r="B998" t="s">
        <v>602</v>
      </c>
      <c r="C998">
        <v>649163</v>
      </c>
      <c r="D998">
        <v>2030469676</v>
      </c>
      <c r="E998" t="s">
        <v>612</v>
      </c>
      <c r="F998" t="s">
        <v>611</v>
      </c>
      <c r="G998" t="s">
        <v>50</v>
      </c>
      <c r="I998" t="s">
        <v>52</v>
      </c>
      <c r="J998" t="s">
        <v>53</v>
      </c>
      <c r="K998">
        <v>649163</v>
      </c>
      <c r="L998" t="s">
        <v>84</v>
      </c>
      <c r="M998" t="s">
        <v>85</v>
      </c>
      <c r="N998" t="s">
        <v>230</v>
      </c>
      <c r="O998" s="1">
        <v>45901</v>
      </c>
      <c r="Q998" s="2">
        <v>0</v>
      </c>
      <c r="AA998" s="2">
        <v>167.22</v>
      </c>
      <c r="AB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27.87</v>
      </c>
      <c r="AM998" s="2">
        <v>-139.35</v>
      </c>
      <c r="AN998" s="2">
        <v>-139.35</v>
      </c>
      <c r="AO998" s="2">
        <v>0</v>
      </c>
      <c r="AP998" s="2">
        <v>0</v>
      </c>
      <c r="AQ998" t="s">
        <v>605</v>
      </c>
    </row>
    <row r="999" spans="1:43" x14ac:dyDescent="0.25">
      <c r="A999" s="1">
        <v>45915</v>
      </c>
      <c r="B999" t="s">
        <v>602</v>
      </c>
      <c r="C999">
        <v>649163</v>
      </c>
      <c r="D999">
        <v>2030469677</v>
      </c>
      <c r="E999" t="s">
        <v>612</v>
      </c>
      <c r="F999" t="s">
        <v>611</v>
      </c>
      <c r="G999" t="s">
        <v>50</v>
      </c>
      <c r="I999" t="s">
        <v>306</v>
      </c>
      <c r="J999" t="s">
        <v>307</v>
      </c>
      <c r="K999">
        <v>649163</v>
      </c>
      <c r="L999" t="s">
        <v>84</v>
      </c>
      <c r="M999" t="s">
        <v>85</v>
      </c>
      <c r="N999" t="s">
        <v>230</v>
      </c>
      <c r="O999" s="1">
        <v>45901</v>
      </c>
      <c r="Q999" s="2">
        <v>0</v>
      </c>
      <c r="AA999" s="2">
        <v>60.08</v>
      </c>
      <c r="AB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10.01</v>
      </c>
      <c r="AM999" s="2">
        <v>-50.07</v>
      </c>
      <c r="AN999" s="2">
        <v>-50.07</v>
      </c>
      <c r="AO999" s="2">
        <v>0</v>
      </c>
      <c r="AP999" s="2">
        <v>0</v>
      </c>
      <c r="AQ999" t="s">
        <v>605</v>
      </c>
    </row>
    <row r="1000" spans="1:43" x14ac:dyDescent="0.25">
      <c r="A1000" s="1">
        <v>45915</v>
      </c>
      <c r="B1000" t="s">
        <v>602</v>
      </c>
      <c r="C1000">
        <v>649163</v>
      </c>
      <c r="D1000">
        <v>2030574908</v>
      </c>
      <c r="E1000" t="s">
        <v>609</v>
      </c>
      <c r="F1000" t="s">
        <v>608</v>
      </c>
      <c r="G1000" t="s">
        <v>50</v>
      </c>
      <c r="I1000" t="s">
        <v>306</v>
      </c>
      <c r="J1000" t="s">
        <v>307</v>
      </c>
      <c r="K1000">
        <v>649163</v>
      </c>
      <c r="L1000" t="s">
        <v>420</v>
      </c>
      <c r="M1000" t="s">
        <v>421</v>
      </c>
      <c r="N1000" t="s">
        <v>230</v>
      </c>
      <c r="O1000" s="1">
        <v>45901</v>
      </c>
      <c r="Q1000" s="2">
        <v>0</v>
      </c>
      <c r="AA1000" s="2">
        <v>133.11000000000001</v>
      </c>
      <c r="AB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22.19</v>
      </c>
      <c r="AM1000" s="2">
        <v>-110.92</v>
      </c>
      <c r="AN1000" s="2">
        <v>-110.92</v>
      </c>
      <c r="AO1000" s="2">
        <v>0</v>
      </c>
      <c r="AP1000" s="2">
        <v>0</v>
      </c>
      <c r="AQ1000" t="s">
        <v>605</v>
      </c>
    </row>
    <row r="1001" spans="1:43" x14ac:dyDescent="0.25">
      <c r="A1001" s="1">
        <v>45915</v>
      </c>
      <c r="B1001" t="s">
        <v>602</v>
      </c>
      <c r="C1001">
        <v>649163</v>
      </c>
      <c r="D1001">
        <v>2030479075</v>
      </c>
      <c r="E1001" t="s">
        <v>156</v>
      </c>
      <c r="F1001" t="s">
        <v>610</v>
      </c>
      <c r="G1001" t="s">
        <v>50</v>
      </c>
      <c r="I1001" t="s">
        <v>306</v>
      </c>
      <c r="J1001" t="s">
        <v>307</v>
      </c>
      <c r="K1001">
        <v>649163</v>
      </c>
      <c r="L1001" t="s">
        <v>158</v>
      </c>
      <c r="M1001" t="s">
        <v>159</v>
      </c>
      <c r="N1001" t="s">
        <v>230</v>
      </c>
      <c r="O1001" s="1">
        <v>45886</v>
      </c>
      <c r="Q1001" s="2">
        <v>0</v>
      </c>
      <c r="AA1001" s="2">
        <v>43.38</v>
      </c>
      <c r="AB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7.23</v>
      </c>
      <c r="AM1001" s="2">
        <v>-36.15</v>
      </c>
      <c r="AN1001" s="2">
        <v>-36.15</v>
      </c>
      <c r="AO1001" s="2">
        <v>0</v>
      </c>
      <c r="AP1001" s="2">
        <v>0</v>
      </c>
      <c r="AQ1001" t="s">
        <v>605</v>
      </c>
    </row>
    <row r="1002" spans="1:43" x14ac:dyDescent="0.25">
      <c r="A1002" s="1">
        <v>45915</v>
      </c>
      <c r="B1002" t="s">
        <v>602</v>
      </c>
      <c r="C1002">
        <v>649163</v>
      </c>
      <c r="D1002">
        <v>2030574907</v>
      </c>
      <c r="E1002" t="s">
        <v>609</v>
      </c>
      <c r="F1002" t="s">
        <v>608</v>
      </c>
      <c r="G1002" t="s">
        <v>50</v>
      </c>
      <c r="I1002" t="s">
        <v>106</v>
      </c>
      <c r="J1002" t="s">
        <v>184</v>
      </c>
      <c r="K1002">
        <v>649163</v>
      </c>
      <c r="L1002" t="s">
        <v>420</v>
      </c>
      <c r="M1002" t="s">
        <v>421</v>
      </c>
      <c r="N1002" t="s">
        <v>230</v>
      </c>
      <c r="O1002" s="1">
        <v>45901</v>
      </c>
      <c r="Q1002" s="2">
        <v>0</v>
      </c>
      <c r="AA1002" s="2">
        <v>315.54000000000002</v>
      </c>
      <c r="AB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52.59</v>
      </c>
      <c r="AM1002" s="2">
        <v>-262.95</v>
      </c>
      <c r="AN1002" s="2">
        <v>-262.95</v>
      </c>
      <c r="AO1002" s="2">
        <v>0</v>
      </c>
      <c r="AP1002" s="2">
        <v>0</v>
      </c>
      <c r="AQ1002" t="s">
        <v>605</v>
      </c>
    </row>
    <row r="1003" spans="1:43" x14ac:dyDescent="0.25">
      <c r="A1003" s="1">
        <v>45915</v>
      </c>
      <c r="B1003" t="s">
        <v>602</v>
      </c>
      <c r="C1003">
        <v>649163</v>
      </c>
      <c r="D1003">
        <v>2030574906</v>
      </c>
      <c r="E1003" t="s">
        <v>609</v>
      </c>
      <c r="F1003" t="s">
        <v>608</v>
      </c>
      <c r="G1003" t="s">
        <v>50</v>
      </c>
      <c r="I1003" t="s">
        <v>441</v>
      </c>
      <c r="J1003" t="s">
        <v>445</v>
      </c>
      <c r="K1003">
        <v>649163</v>
      </c>
      <c r="L1003" t="s">
        <v>420</v>
      </c>
      <c r="M1003" t="s">
        <v>421</v>
      </c>
      <c r="N1003" t="s">
        <v>230</v>
      </c>
      <c r="O1003" s="1">
        <v>45901</v>
      </c>
      <c r="Q1003" s="2">
        <v>0</v>
      </c>
      <c r="AA1003" s="2">
        <v>140.87</v>
      </c>
      <c r="AB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23.48</v>
      </c>
      <c r="AM1003" s="2">
        <v>-117.39</v>
      </c>
      <c r="AN1003" s="2">
        <v>-117.39</v>
      </c>
      <c r="AO1003" s="2">
        <v>0</v>
      </c>
      <c r="AP1003" s="2">
        <v>0</v>
      </c>
      <c r="AQ1003" t="s">
        <v>605</v>
      </c>
    </row>
    <row r="1004" spans="1:43" x14ac:dyDescent="0.25">
      <c r="A1004" s="1">
        <v>45915</v>
      </c>
      <c r="B1004" t="s">
        <v>602</v>
      </c>
      <c r="C1004">
        <v>649163</v>
      </c>
      <c r="D1004">
        <v>2030683642</v>
      </c>
      <c r="E1004" t="s">
        <v>607</v>
      </c>
      <c r="F1004" t="s">
        <v>606</v>
      </c>
      <c r="G1004" t="s">
        <v>50</v>
      </c>
      <c r="I1004" t="s">
        <v>441</v>
      </c>
      <c r="J1004" t="s">
        <v>445</v>
      </c>
      <c r="K1004">
        <v>649163</v>
      </c>
      <c r="L1004" t="s">
        <v>130</v>
      </c>
      <c r="M1004" t="s">
        <v>131</v>
      </c>
      <c r="N1004" t="s">
        <v>230</v>
      </c>
      <c r="O1004" s="1">
        <v>45901</v>
      </c>
      <c r="Q1004" s="2">
        <v>0</v>
      </c>
      <c r="AA1004" s="2">
        <v>423.99</v>
      </c>
      <c r="AB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70.67</v>
      </c>
      <c r="AM1004" s="2">
        <v>-353.32</v>
      </c>
      <c r="AN1004" s="2">
        <v>-353.32</v>
      </c>
      <c r="AO1004" s="2">
        <v>0</v>
      </c>
      <c r="AP1004" s="2">
        <v>0</v>
      </c>
      <c r="AQ1004" t="s">
        <v>605</v>
      </c>
    </row>
    <row r="1005" spans="1:43" x14ac:dyDescent="0.25">
      <c r="A1005" s="1">
        <v>45915</v>
      </c>
      <c r="B1005" t="s">
        <v>602</v>
      </c>
      <c r="C1005">
        <v>649163</v>
      </c>
      <c r="D1005">
        <v>2030868834</v>
      </c>
      <c r="E1005" t="s">
        <v>234</v>
      </c>
      <c r="F1005" t="s">
        <v>109</v>
      </c>
      <c r="G1005" t="s">
        <v>50</v>
      </c>
      <c r="I1005" t="s">
        <v>106</v>
      </c>
      <c r="J1005" t="s">
        <v>107</v>
      </c>
      <c r="K1005">
        <v>649163</v>
      </c>
      <c r="L1005" t="s">
        <v>108</v>
      </c>
      <c r="M1005" t="s">
        <v>109</v>
      </c>
      <c r="N1005" t="s">
        <v>230</v>
      </c>
      <c r="O1005" s="1">
        <v>45906</v>
      </c>
      <c r="Q1005" s="2">
        <v>0</v>
      </c>
      <c r="AA1005" s="2">
        <v>1307.07</v>
      </c>
      <c r="AB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217.85</v>
      </c>
      <c r="AM1005" s="2">
        <v>-1089.22</v>
      </c>
      <c r="AN1005" s="2">
        <v>-1089.22</v>
      </c>
      <c r="AO1005" s="2">
        <v>0</v>
      </c>
      <c r="AP1005" s="2">
        <v>0</v>
      </c>
      <c r="AQ1005" t="s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18827-9743-4086-935C-9767340959DA}">
  <dimension ref="A1:AV130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5.140625" bestFit="1" customWidth="1"/>
    <col min="3" max="3" width="7" bestFit="1" customWidth="1"/>
    <col min="4" max="4" width="11" bestFit="1" customWidth="1"/>
    <col min="5" max="5" width="12.28515625" bestFit="1" customWidth="1"/>
    <col min="6" max="6" width="13.28515625" bestFit="1" customWidth="1"/>
    <col min="7" max="7" width="22.85546875" bestFit="1" customWidth="1"/>
    <col min="8" max="8" width="3.85546875" bestFit="1" customWidth="1"/>
    <col min="9" max="9" width="18.140625" bestFit="1" customWidth="1"/>
    <col min="10" max="10" width="47.85546875" bestFit="1" customWidth="1"/>
    <col min="11" max="11" width="7" bestFit="1" customWidth="1"/>
    <col min="12" max="12" width="13.28515625" bestFit="1" customWidth="1"/>
    <col min="13" max="13" width="13.85546875" bestFit="1" customWidth="1"/>
    <col min="14" max="14" width="13.85546875" customWidth="1"/>
    <col min="15" max="15" width="6.140625" bestFit="1" customWidth="1"/>
    <col min="16" max="16" width="9.42578125" bestFit="1" customWidth="1"/>
    <col min="17" max="17" width="10.42578125" bestFit="1" customWidth="1"/>
    <col min="18" max="18" width="9.85546875" bestFit="1" customWidth="1"/>
    <col min="19" max="19" width="2" bestFit="1" customWidth="1"/>
    <col min="20" max="20" width="8.42578125" bestFit="1" customWidth="1"/>
    <col min="21" max="21" width="7.28515625" bestFit="1" customWidth="1"/>
    <col min="22" max="22" width="7.140625" bestFit="1" customWidth="1"/>
    <col min="23" max="23" width="6.28515625" bestFit="1" customWidth="1"/>
    <col min="24" max="24" width="2" bestFit="1" customWidth="1"/>
    <col min="25" max="25" width="3" bestFit="1" customWidth="1"/>
    <col min="26" max="27" width="2" bestFit="1" customWidth="1"/>
    <col min="28" max="28" width="9.85546875" bestFit="1" customWidth="1"/>
    <col min="29" max="29" width="6.28515625" bestFit="1" customWidth="1"/>
    <col min="30" max="30" width="3.5703125" bestFit="1" customWidth="1"/>
    <col min="31" max="37" width="6.28515625" bestFit="1" customWidth="1"/>
    <col min="38" max="38" width="8.28515625" bestFit="1" customWidth="1"/>
    <col min="39" max="39" width="6.28515625" bestFit="1" customWidth="1"/>
    <col min="40" max="40" width="9.85546875" bestFit="1" customWidth="1"/>
    <col min="41" max="43" width="6.28515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1074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</row>
    <row r="2" spans="1:48" x14ac:dyDescent="0.25">
      <c r="A2" s="1">
        <v>45915</v>
      </c>
      <c r="B2" t="s">
        <v>47</v>
      </c>
      <c r="C2">
        <v>649163</v>
      </c>
      <c r="D2">
        <v>2030951715</v>
      </c>
      <c r="E2" t="s">
        <v>1062</v>
      </c>
      <c r="F2" t="s">
        <v>409</v>
      </c>
      <c r="G2" t="s">
        <v>50</v>
      </c>
      <c r="H2" t="s">
        <v>214</v>
      </c>
      <c r="I2" t="s">
        <v>106</v>
      </c>
      <c r="J2" t="s">
        <v>107</v>
      </c>
      <c r="K2">
        <v>652037</v>
      </c>
      <c r="L2" t="s">
        <v>309</v>
      </c>
      <c r="M2" t="s">
        <v>303</v>
      </c>
      <c r="N2" t="s">
        <v>1092</v>
      </c>
      <c r="O2" t="s">
        <v>56</v>
      </c>
      <c r="P2" s="1">
        <v>45910</v>
      </c>
      <c r="Q2" s="1">
        <v>45940</v>
      </c>
      <c r="R2" s="2">
        <v>38.67</v>
      </c>
      <c r="S2">
        <v>1</v>
      </c>
      <c r="T2" t="s">
        <v>57</v>
      </c>
      <c r="U2" t="s">
        <v>96</v>
      </c>
      <c r="V2" s="4">
        <v>0.9</v>
      </c>
      <c r="W2" s="2">
        <v>0</v>
      </c>
      <c r="X2">
        <v>0</v>
      </c>
      <c r="Y2" t="s">
        <v>70</v>
      </c>
      <c r="Z2" t="s">
        <v>97</v>
      </c>
      <c r="AA2">
        <v>6</v>
      </c>
      <c r="AB2" s="2">
        <v>208.8</v>
      </c>
      <c r="AC2" s="2">
        <v>0</v>
      </c>
      <c r="AD2" s="4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34.799999999999997</v>
      </c>
      <c r="AM2" s="2">
        <v>0</v>
      </c>
      <c r="AN2" s="2">
        <v>208.8</v>
      </c>
      <c r="AO2" s="2">
        <v>0</v>
      </c>
      <c r="AP2" s="2">
        <v>0</v>
      </c>
      <c r="AQ2" s="2">
        <v>0</v>
      </c>
    </row>
    <row r="3" spans="1:48" x14ac:dyDescent="0.25">
      <c r="A3" s="1">
        <v>45915</v>
      </c>
      <c r="B3" t="s">
        <v>47</v>
      </c>
      <c r="C3">
        <v>649163</v>
      </c>
      <c r="D3">
        <v>2031023772</v>
      </c>
      <c r="E3" t="s">
        <v>1060</v>
      </c>
      <c r="F3" t="s">
        <v>1059</v>
      </c>
      <c r="G3" t="s">
        <v>50</v>
      </c>
      <c r="H3" t="s">
        <v>214</v>
      </c>
      <c r="I3" t="s">
        <v>106</v>
      </c>
      <c r="J3" t="s">
        <v>107</v>
      </c>
      <c r="K3">
        <v>652037</v>
      </c>
      <c r="L3" t="s">
        <v>309</v>
      </c>
      <c r="M3" t="s">
        <v>303</v>
      </c>
      <c r="N3" t="s">
        <v>1092</v>
      </c>
      <c r="O3" t="s">
        <v>56</v>
      </c>
      <c r="P3" s="1">
        <v>45913</v>
      </c>
      <c r="Q3" s="1">
        <v>45943</v>
      </c>
      <c r="R3" s="2">
        <v>46.96</v>
      </c>
      <c r="S3">
        <v>1</v>
      </c>
      <c r="T3" t="s">
        <v>57</v>
      </c>
      <c r="U3" t="s">
        <v>96</v>
      </c>
      <c r="V3" s="4">
        <v>0.9</v>
      </c>
      <c r="W3" s="2">
        <v>0</v>
      </c>
      <c r="X3">
        <v>0</v>
      </c>
      <c r="Y3" t="s">
        <v>70</v>
      </c>
      <c r="Z3" t="s">
        <v>97</v>
      </c>
      <c r="AA3">
        <v>6</v>
      </c>
      <c r="AB3" s="2">
        <v>253.56</v>
      </c>
      <c r="AC3" s="2">
        <v>0</v>
      </c>
      <c r="AD3" s="4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42.26</v>
      </c>
      <c r="AM3" s="2">
        <v>0</v>
      </c>
      <c r="AN3" s="2">
        <v>253.56</v>
      </c>
      <c r="AO3" s="2">
        <v>0</v>
      </c>
      <c r="AP3" s="2">
        <v>0</v>
      </c>
      <c r="AQ3" s="2">
        <v>0</v>
      </c>
    </row>
    <row r="4" spans="1:48" x14ac:dyDescent="0.25">
      <c r="A4" s="1">
        <v>45915</v>
      </c>
      <c r="B4" t="s">
        <v>47</v>
      </c>
      <c r="C4">
        <v>649163</v>
      </c>
      <c r="D4">
        <v>2030981721</v>
      </c>
      <c r="E4" t="s">
        <v>761</v>
      </c>
      <c r="F4" t="s">
        <v>760</v>
      </c>
      <c r="G4" t="s">
        <v>50</v>
      </c>
      <c r="H4" t="s">
        <v>93</v>
      </c>
      <c r="I4" t="s">
        <v>106</v>
      </c>
      <c r="J4" t="s">
        <v>107</v>
      </c>
      <c r="K4">
        <v>824062</v>
      </c>
      <c r="L4" t="s">
        <v>200</v>
      </c>
      <c r="M4" t="s">
        <v>201</v>
      </c>
      <c r="N4" t="s">
        <v>1093</v>
      </c>
      <c r="O4" t="s">
        <v>56</v>
      </c>
      <c r="P4" s="1">
        <v>45920</v>
      </c>
      <c r="Q4" s="1">
        <v>45950</v>
      </c>
      <c r="R4" s="2">
        <v>78.790000000000006</v>
      </c>
      <c r="S4">
        <v>1</v>
      </c>
      <c r="T4" t="s">
        <v>57</v>
      </c>
      <c r="U4" t="s">
        <v>96</v>
      </c>
      <c r="V4" s="4">
        <v>0.9</v>
      </c>
      <c r="W4" s="2">
        <v>0</v>
      </c>
      <c r="X4">
        <v>0</v>
      </c>
      <c r="Y4" t="s">
        <v>70</v>
      </c>
      <c r="Z4" t="s">
        <v>97</v>
      </c>
      <c r="AA4">
        <v>6</v>
      </c>
      <c r="AB4" s="2">
        <v>425.46</v>
      </c>
      <c r="AC4" s="2">
        <v>0</v>
      </c>
      <c r="AD4" s="4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70.91</v>
      </c>
      <c r="AM4" s="2">
        <v>0</v>
      </c>
      <c r="AN4" s="2">
        <v>425.46</v>
      </c>
      <c r="AO4" s="2">
        <v>0</v>
      </c>
      <c r="AP4" s="2">
        <v>0</v>
      </c>
      <c r="AQ4" s="2">
        <v>0</v>
      </c>
    </row>
    <row r="5" spans="1:48" x14ac:dyDescent="0.25">
      <c r="A5" s="1">
        <v>45915</v>
      </c>
      <c r="B5" t="s">
        <v>47</v>
      </c>
      <c r="C5">
        <v>649163</v>
      </c>
      <c r="D5">
        <v>2030981722</v>
      </c>
      <c r="E5" t="s">
        <v>761</v>
      </c>
      <c r="F5" t="s">
        <v>760</v>
      </c>
      <c r="G5" t="s">
        <v>50</v>
      </c>
      <c r="H5" t="s">
        <v>93</v>
      </c>
      <c r="I5" t="s">
        <v>243</v>
      </c>
      <c r="J5" t="s">
        <v>261</v>
      </c>
      <c r="K5">
        <v>824062</v>
      </c>
      <c r="L5" t="s">
        <v>200</v>
      </c>
      <c r="M5" t="s">
        <v>201</v>
      </c>
      <c r="N5" t="s">
        <v>1093</v>
      </c>
      <c r="O5" t="s">
        <v>56</v>
      </c>
      <c r="P5" s="1">
        <v>45920</v>
      </c>
      <c r="Q5" s="1">
        <v>45950</v>
      </c>
      <c r="R5" s="2">
        <v>15</v>
      </c>
      <c r="S5">
        <v>1</v>
      </c>
      <c r="T5" t="s">
        <v>57</v>
      </c>
      <c r="U5" t="s">
        <v>305</v>
      </c>
      <c r="V5" s="4">
        <v>0.38</v>
      </c>
      <c r="W5" s="2">
        <v>0</v>
      </c>
      <c r="X5">
        <v>0</v>
      </c>
      <c r="Y5" t="s">
        <v>70</v>
      </c>
      <c r="Z5" t="s">
        <v>97</v>
      </c>
      <c r="AA5">
        <v>6</v>
      </c>
      <c r="AB5" s="2">
        <v>34.200000000000003</v>
      </c>
      <c r="AC5" s="2">
        <v>0</v>
      </c>
      <c r="AD5" s="4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5.7</v>
      </c>
      <c r="AM5" s="2">
        <v>0</v>
      </c>
      <c r="AN5" s="2">
        <v>34.200000000000003</v>
      </c>
      <c r="AO5" s="2">
        <v>0</v>
      </c>
      <c r="AP5" s="2">
        <v>0</v>
      </c>
      <c r="AQ5" s="2">
        <v>0</v>
      </c>
    </row>
    <row r="6" spans="1:48" x14ac:dyDescent="0.25">
      <c r="A6" s="1">
        <v>45915</v>
      </c>
      <c r="B6" t="s">
        <v>47</v>
      </c>
      <c r="C6">
        <v>649163</v>
      </c>
      <c r="D6">
        <v>2030935971</v>
      </c>
      <c r="E6" t="s">
        <v>689</v>
      </c>
      <c r="F6" t="s">
        <v>688</v>
      </c>
      <c r="G6" t="s">
        <v>50</v>
      </c>
      <c r="H6" t="s">
        <v>93</v>
      </c>
      <c r="I6" t="s">
        <v>306</v>
      </c>
      <c r="J6" t="s">
        <v>307</v>
      </c>
      <c r="K6">
        <v>824062</v>
      </c>
      <c r="L6" t="s">
        <v>200</v>
      </c>
      <c r="M6" t="s">
        <v>201</v>
      </c>
      <c r="N6" t="s">
        <v>1093</v>
      </c>
      <c r="O6" t="s">
        <v>56</v>
      </c>
      <c r="P6" s="1">
        <v>45931</v>
      </c>
      <c r="Q6" s="1">
        <v>45962</v>
      </c>
      <c r="R6" s="2">
        <v>149.87</v>
      </c>
      <c r="S6">
        <v>1</v>
      </c>
      <c r="T6" t="s">
        <v>57</v>
      </c>
      <c r="U6" t="s">
        <v>96</v>
      </c>
      <c r="V6" s="3">
        <v>0.375</v>
      </c>
      <c r="W6" s="2">
        <v>0</v>
      </c>
      <c r="X6">
        <v>0</v>
      </c>
      <c r="Y6" t="s">
        <v>70</v>
      </c>
      <c r="Z6" t="s">
        <v>97</v>
      </c>
      <c r="AA6">
        <v>6</v>
      </c>
      <c r="AB6" s="2">
        <v>337.2</v>
      </c>
      <c r="AC6" s="2">
        <v>0</v>
      </c>
      <c r="AD6" s="4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56.2</v>
      </c>
      <c r="AM6" s="2">
        <v>0</v>
      </c>
      <c r="AN6" s="2">
        <v>337.2</v>
      </c>
      <c r="AO6" s="2">
        <v>0</v>
      </c>
      <c r="AP6" s="2">
        <v>0</v>
      </c>
      <c r="AQ6" s="2">
        <v>0</v>
      </c>
    </row>
    <row r="7" spans="1:48" x14ac:dyDescent="0.25">
      <c r="A7" s="1">
        <v>45915</v>
      </c>
      <c r="B7" t="s">
        <v>47</v>
      </c>
      <c r="C7">
        <v>649163</v>
      </c>
      <c r="D7">
        <v>2030981719</v>
      </c>
      <c r="E7" t="s">
        <v>761</v>
      </c>
      <c r="F7" t="s">
        <v>760</v>
      </c>
      <c r="G7" t="s">
        <v>50</v>
      </c>
      <c r="H7" t="s">
        <v>93</v>
      </c>
      <c r="I7" t="s">
        <v>430</v>
      </c>
      <c r="J7" t="s">
        <v>438</v>
      </c>
      <c r="K7">
        <v>824062</v>
      </c>
      <c r="L7" t="s">
        <v>200</v>
      </c>
      <c r="M7" t="s">
        <v>201</v>
      </c>
      <c r="N7" t="s">
        <v>1093</v>
      </c>
      <c r="O7" t="s">
        <v>56</v>
      </c>
      <c r="P7" s="1">
        <v>45920</v>
      </c>
      <c r="Q7" s="1">
        <v>45950</v>
      </c>
      <c r="R7" s="2">
        <v>200.65</v>
      </c>
      <c r="S7">
        <v>1</v>
      </c>
      <c r="T7" t="s">
        <v>57</v>
      </c>
      <c r="U7" t="s">
        <v>96</v>
      </c>
      <c r="V7" s="4">
        <v>0.38</v>
      </c>
      <c r="W7" s="2">
        <v>0</v>
      </c>
      <c r="X7">
        <v>0</v>
      </c>
      <c r="Y7" t="s">
        <v>70</v>
      </c>
      <c r="Z7" t="s">
        <v>97</v>
      </c>
      <c r="AA7">
        <v>6</v>
      </c>
      <c r="AB7" s="2">
        <v>457.5</v>
      </c>
      <c r="AC7" s="2">
        <v>0</v>
      </c>
      <c r="AD7" s="4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76.25</v>
      </c>
      <c r="AM7" s="2">
        <v>0</v>
      </c>
      <c r="AN7" s="2">
        <v>457.5</v>
      </c>
      <c r="AO7" s="2">
        <v>0</v>
      </c>
      <c r="AP7" s="2">
        <v>0</v>
      </c>
      <c r="AQ7" s="2">
        <v>0</v>
      </c>
    </row>
    <row r="8" spans="1:48" x14ac:dyDescent="0.25">
      <c r="A8" s="1">
        <v>45915</v>
      </c>
      <c r="B8" t="s">
        <v>47</v>
      </c>
      <c r="C8">
        <v>649163</v>
      </c>
      <c r="D8">
        <v>2030981720</v>
      </c>
      <c r="E8" t="s">
        <v>761</v>
      </c>
      <c r="F8" t="s">
        <v>760</v>
      </c>
      <c r="G8" t="s">
        <v>50</v>
      </c>
      <c r="H8" t="s">
        <v>93</v>
      </c>
      <c r="I8" t="s">
        <v>430</v>
      </c>
      <c r="J8" t="s">
        <v>439</v>
      </c>
      <c r="K8">
        <v>824062</v>
      </c>
      <c r="L8" t="s">
        <v>200</v>
      </c>
      <c r="M8" t="s">
        <v>201</v>
      </c>
      <c r="N8" t="s">
        <v>1093</v>
      </c>
      <c r="O8" t="s">
        <v>56</v>
      </c>
      <c r="P8" s="1">
        <v>45920</v>
      </c>
      <c r="Q8" s="1">
        <v>45950</v>
      </c>
      <c r="R8" s="2">
        <v>7.09</v>
      </c>
      <c r="S8">
        <v>1</v>
      </c>
      <c r="T8" t="s">
        <v>57</v>
      </c>
      <c r="U8" t="s">
        <v>96</v>
      </c>
      <c r="V8" s="4">
        <v>0.38</v>
      </c>
      <c r="W8" s="2">
        <v>0</v>
      </c>
      <c r="X8">
        <v>0</v>
      </c>
      <c r="Y8" t="s">
        <v>70</v>
      </c>
      <c r="Z8" t="s">
        <v>97</v>
      </c>
      <c r="AA8">
        <v>6</v>
      </c>
      <c r="AB8" s="2">
        <v>16.14</v>
      </c>
      <c r="AC8" s="2">
        <v>0</v>
      </c>
      <c r="AD8" s="4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2.69</v>
      </c>
      <c r="AM8" s="2">
        <v>0</v>
      </c>
      <c r="AN8" s="2">
        <v>16.14</v>
      </c>
      <c r="AO8" s="2">
        <v>0</v>
      </c>
      <c r="AP8" s="2">
        <v>0</v>
      </c>
      <c r="AQ8" s="2">
        <v>0</v>
      </c>
    </row>
    <row r="9" spans="1:48" x14ac:dyDescent="0.25">
      <c r="A9" s="1">
        <v>45915</v>
      </c>
      <c r="B9" t="s">
        <v>47</v>
      </c>
      <c r="C9">
        <v>649163</v>
      </c>
      <c r="D9">
        <v>2030935972</v>
      </c>
      <c r="E9" t="s">
        <v>689</v>
      </c>
      <c r="F9" t="s">
        <v>688</v>
      </c>
      <c r="G9" t="s">
        <v>50</v>
      </c>
      <c r="H9" t="s">
        <v>93</v>
      </c>
      <c r="I9" t="s">
        <v>441</v>
      </c>
      <c r="J9" t="s">
        <v>442</v>
      </c>
      <c r="K9">
        <v>824062</v>
      </c>
      <c r="L9" t="s">
        <v>200</v>
      </c>
      <c r="M9" t="s">
        <v>201</v>
      </c>
      <c r="N9" t="s">
        <v>1093</v>
      </c>
      <c r="O9" t="s">
        <v>56</v>
      </c>
      <c r="P9" s="1">
        <v>45931</v>
      </c>
      <c r="Q9" s="1">
        <v>45962</v>
      </c>
      <c r="R9" s="2">
        <v>155.25</v>
      </c>
      <c r="S9">
        <v>1</v>
      </c>
      <c r="T9" t="s">
        <v>57</v>
      </c>
      <c r="U9" t="s">
        <v>96</v>
      </c>
      <c r="V9" s="4">
        <v>0.9</v>
      </c>
      <c r="W9" s="2">
        <v>0</v>
      </c>
      <c r="X9">
        <v>0</v>
      </c>
      <c r="Y9" t="s">
        <v>70</v>
      </c>
      <c r="Z9" t="s">
        <v>97</v>
      </c>
      <c r="AA9">
        <v>6</v>
      </c>
      <c r="AB9" s="2">
        <v>838.32</v>
      </c>
      <c r="AC9" s="2">
        <v>0</v>
      </c>
      <c r="AD9" s="4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139.72</v>
      </c>
      <c r="AM9" s="2">
        <v>0</v>
      </c>
      <c r="AN9" s="2">
        <v>838.32</v>
      </c>
      <c r="AO9" s="2">
        <v>0</v>
      </c>
      <c r="AP9" s="2">
        <v>0</v>
      </c>
      <c r="AQ9" s="2">
        <v>0</v>
      </c>
    </row>
    <row r="10" spans="1:48" x14ac:dyDescent="0.25">
      <c r="A10" s="1">
        <v>45922</v>
      </c>
      <c r="B10" t="s">
        <v>47</v>
      </c>
      <c r="C10">
        <v>649163</v>
      </c>
      <c r="D10">
        <v>2031107195</v>
      </c>
      <c r="E10" t="s">
        <v>102</v>
      </c>
      <c r="F10" t="s">
        <v>62</v>
      </c>
      <c r="G10" t="s">
        <v>50</v>
      </c>
      <c r="H10" t="s">
        <v>51</v>
      </c>
      <c r="I10" t="s">
        <v>52</v>
      </c>
      <c r="J10" t="s">
        <v>53</v>
      </c>
      <c r="K10">
        <v>649247</v>
      </c>
      <c r="L10" t="s">
        <v>68</v>
      </c>
      <c r="M10" t="s">
        <v>69</v>
      </c>
      <c r="N10" t="s">
        <v>1076</v>
      </c>
      <c r="O10" t="s">
        <v>56</v>
      </c>
      <c r="P10" s="1">
        <v>45931</v>
      </c>
      <c r="Q10" s="1">
        <v>45962</v>
      </c>
      <c r="R10" s="2">
        <v>36.159999999999997</v>
      </c>
      <c r="S10">
        <v>1</v>
      </c>
      <c r="T10" t="s">
        <v>57</v>
      </c>
      <c r="U10" t="s">
        <v>96</v>
      </c>
      <c r="V10" s="4">
        <v>0.6</v>
      </c>
      <c r="W10" s="2">
        <v>0</v>
      </c>
      <c r="X10">
        <v>0</v>
      </c>
      <c r="Y10" t="s">
        <v>70</v>
      </c>
      <c r="Z10" t="s">
        <v>97</v>
      </c>
      <c r="AA10">
        <v>6</v>
      </c>
      <c r="AB10" s="2">
        <v>130.19999999999999</v>
      </c>
      <c r="AC10" s="2">
        <v>0</v>
      </c>
      <c r="AD10" s="4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21.7</v>
      </c>
      <c r="AM10" s="2">
        <v>0</v>
      </c>
      <c r="AN10" s="2">
        <v>130.19999999999999</v>
      </c>
      <c r="AO10" s="2">
        <v>0</v>
      </c>
      <c r="AP10" s="2">
        <v>0</v>
      </c>
      <c r="AQ10" s="2">
        <v>0</v>
      </c>
    </row>
    <row r="11" spans="1:48" x14ac:dyDescent="0.25">
      <c r="A11" s="1">
        <v>45922</v>
      </c>
      <c r="B11" t="s">
        <v>47</v>
      </c>
      <c r="C11">
        <v>649163</v>
      </c>
      <c r="D11">
        <v>2031107194</v>
      </c>
      <c r="E11" t="s">
        <v>102</v>
      </c>
      <c r="F11" t="s">
        <v>62</v>
      </c>
      <c r="G11" t="s">
        <v>50</v>
      </c>
      <c r="H11" t="s">
        <v>51</v>
      </c>
      <c r="I11" t="s">
        <v>306</v>
      </c>
      <c r="J11" t="s">
        <v>307</v>
      </c>
      <c r="K11">
        <v>649247</v>
      </c>
      <c r="L11" t="s">
        <v>68</v>
      </c>
      <c r="M11" t="s">
        <v>69</v>
      </c>
      <c r="N11" t="s">
        <v>1076</v>
      </c>
      <c r="O11" t="s">
        <v>56</v>
      </c>
      <c r="P11" s="1">
        <v>45931</v>
      </c>
      <c r="Q11" s="1">
        <v>45962</v>
      </c>
      <c r="R11" s="2">
        <v>35.979999999999997</v>
      </c>
      <c r="S11">
        <v>1</v>
      </c>
      <c r="T11" t="s">
        <v>57</v>
      </c>
      <c r="U11" t="s">
        <v>96</v>
      </c>
      <c r="V11" s="3">
        <v>0.375</v>
      </c>
      <c r="W11" s="2">
        <v>0</v>
      </c>
      <c r="X11">
        <v>0</v>
      </c>
      <c r="Y11" t="s">
        <v>70</v>
      </c>
      <c r="Z11" t="s">
        <v>97</v>
      </c>
      <c r="AA11">
        <v>6</v>
      </c>
      <c r="AB11" s="2">
        <v>80.94</v>
      </c>
      <c r="AC11" s="2">
        <v>0</v>
      </c>
      <c r="AD11" s="4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13.49</v>
      </c>
      <c r="AM11" s="2">
        <v>0</v>
      </c>
      <c r="AN11" s="2">
        <v>80.94</v>
      </c>
      <c r="AO11" s="2">
        <v>0</v>
      </c>
      <c r="AP11" s="2">
        <v>0</v>
      </c>
      <c r="AQ11" s="2">
        <v>0</v>
      </c>
    </row>
    <row r="12" spans="1:48" x14ac:dyDescent="0.25">
      <c r="A12" s="1">
        <v>45915</v>
      </c>
      <c r="B12" t="s">
        <v>47</v>
      </c>
      <c r="C12">
        <v>649163</v>
      </c>
      <c r="D12">
        <v>2030956181</v>
      </c>
      <c r="E12" t="s">
        <v>678</v>
      </c>
      <c r="F12" t="s">
        <v>179</v>
      </c>
      <c r="G12" t="s">
        <v>50</v>
      </c>
      <c r="H12" t="s">
        <v>115</v>
      </c>
      <c r="I12" t="s">
        <v>306</v>
      </c>
      <c r="J12" t="s">
        <v>307</v>
      </c>
      <c r="K12">
        <v>650218</v>
      </c>
      <c r="L12" t="s">
        <v>73</v>
      </c>
      <c r="M12" t="s">
        <v>74</v>
      </c>
      <c r="N12" t="s">
        <v>1097</v>
      </c>
      <c r="O12" t="s">
        <v>56</v>
      </c>
      <c r="P12" s="1">
        <v>45910</v>
      </c>
      <c r="Q12" s="1">
        <v>45940</v>
      </c>
      <c r="R12" s="2">
        <v>50.3</v>
      </c>
      <c r="S12">
        <v>1</v>
      </c>
      <c r="T12" t="s">
        <v>57</v>
      </c>
      <c r="U12" t="s">
        <v>96</v>
      </c>
      <c r="V12" s="3">
        <v>0.375</v>
      </c>
      <c r="W12" s="2">
        <v>0</v>
      </c>
      <c r="X12">
        <v>0</v>
      </c>
      <c r="Y12" t="s">
        <v>70</v>
      </c>
      <c r="Z12" t="s">
        <v>97</v>
      </c>
      <c r="AA12">
        <v>6</v>
      </c>
      <c r="AB12" s="2">
        <v>113.16</v>
      </c>
      <c r="AC12" s="2">
        <v>0</v>
      </c>
      <c r="AD12" s="4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18.86</v>
      </c>
      <c r="AM12" s="2">
        <v>0</v>
      </c>
      <c r="AN12" s="2">
        <v>113.16</v>
      </c>
      <c r="AO12" s="2">
        <v>0</v>
      </c>
      <c r="AP12" s="2">
        <v>0</v>
      </c>
      <c r="AQ12" s="2">
        <v>0</v>
      </c>
    </row>
    <row r="13" spans="1:48" x14ac:dyDescent="0.25">
      <c r="A13" s="1">
        <v>45915</v>
      </c>
      <c r="B13" t="s">
        <v>47</v>
      </c>
      <c r="C13">
        <v>649163</v>
      </c>
      <c r="D13">
        <v>2030961288</v>
      </c>
      <c r="E13" t="s">
        <v>763</v>
      </c>
      <c r="F13" t="s">
        <v>762</v>
      </c>
      <c r="G13" t="s">
        <v>50</v>
      </c>
      <c r="H13" t="s">
        <v>51</v>
      </c>
      <c r="I13" t="s">
        <v>430</v>
      </c>
      <c r="J13" t="s">
        <v>431</v>
      </c>
      <c r="K13">
        <v>650218</v>
      </c>
      <c r="L13" t="s">
        <v>73</v>
      </c>
      <c r="M13" t="s">
        <v>74</v>
      </c>
      <c r="N13" t="s">
        <v>1097</v>
      </c>
      <c r="O13" t="s">
        <v>56</v>
      </c>
      <c r="P13" s="1">
        <v>45931</v>
      </c>
      <c r="Q13" s="1">
        <v>45962</v>
      </c>
      <c r="R13" s="2">
        <v>21.97</v>
      </c>
      <c r="S13">
        <v>1</v>
      </c>
      <c r="T13" t="s">
        <v>57</v>
      </c>
      <c r="U13" t="s">
        <v>96</v>
      </c>
      <c r="V13" s="4">
        <v>0.38</v>
      </c>
      <c r="W13" s="2">
        <v>0</v>
      </c>
      <c r="X13">
        <v>0</v>
      </c>
      <c r="Y13" t="s">
        <v>70</v>
      </c>
      <c r="Z13" t="s">
        <v>97</v>
      </c>
      <c r="AA13">
        <v>6</v>
      </c>
      <c r="AB13" s="2">
        <v>50.1</v>
      </c>
      <c r="AC13" s="2">
        <v>0</v>
      </c>
      <c r="AD13" s="4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8.35</v>
      </c>
      <c r="AM13" s="2">
        <v>0</v>
      </c>
      <c r="AN13" s="2">
        <v>50.1</v>
      </c>
      <c r="AO13" s="2">
        <v>0</v>
      </c>
      <c r="AP13" s="2">
        <v>0</v>
      </c>
      <c r="AQ13" s="2">
        <v>0</v>
      </c>
    </row>
    <row r="14" spans="1:48" x14ac:dyDescent="0.25">
      <c r="A14" s="1">
        <v>45915</v>
      </c>
      <c r="B14" t="s">
        <v>47</v>
      </c>
      <c r="C14">
        <v>649163</v>
      </c>
      <c r="D14">
        <v>2031044944</v>
      </c>
      <c r="E14" t="s">
        <v>759</v>
      </c>
      <c r="F14" t="s">
        <v>546</v>
      </c>
      <c r="G14" t="s">
        <v>50</v>
      </c>
      <c r="H14" t="s">
        <v>51</v>
      </c>
      <c r="I14" t="s">
        <v>430</v>
      </c>
      <c r="J14" t="s">
        <v>431</v>
      </c>
      <c r="K14">
        <v>650218</v>
      </c>
      <c r="L14" t="s">
        <v>73</v>
      </c>
      <c r="M14" t="s">
        <v>74</v>
      </c>
      <c r="N14" t="s">
        <v>1097</v>
      </c>
      <c r="O14" t="s">
        <v>56</v>
      </c>
      <c r="P14" s="1">
        <v>45931</v>
      </c>
      <c r="Q14" s="1">
        <v>45962</v>
      </c>
      <c r="R14" s="2">
        <v>38.11</v>
      </c>
      <c r="S14">
        <v>1</v>
      </c>
      <c r="T14" t="s">
        <v>57</v>
      </c>
      <c r="U14" t="s">
        <v>96</v>
      </c>
      <c r="V14" s="4">
        <v>0.38</v>
      </c>
      <c r="W14" s="2">
        <v>0</v>
      </c>
      <c r="X14">
        <v>0</v>
      </c>
      <c r="Y14" t="s">
        <v>70</v>
      </c>
      <c r="Z14" t="s">
        <v>97</v>
      </c>
      <c r="AA14">
        <v>6</v>
      </c>
      <c r="AB14" s="2">
        <v>86.88</v>
      </c>
      <c r="AC14" s="2">
        <v>0</v>
      </c>
      <c r="AD14" s="4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14.48</v>
      </c>
      <c r="AM14" s="2">
        <v>0</v>
      </c>
      <c r="AN14" s="2">
        <v>86.88</v>
      </c>
      <c r="AO14" s="2">
        <v>0</v>
      </c>
      <c r="AP14" s="2">
        <v>0</v>
      </c>
      <c r="AQ14" s="2">
        <v>0</v>
      </c>
    </row>
    <row r="15" spans="1:48" x14ac:dyDescent="0.25">
      <c r="A15" s="1">
        <v>45915</v>
      </c>
      <c r="B15" t="s">
        <v>47</v>
      </c>
      <c r="C15">
        <v>649163</v>
      </c>
      <c r="D15">
        <v>2030956182</v>
      </c>
      <c r="E15" t="s">
        <v>678</v>
      </c>
      <c r="F15" t="s">
        <v>179</v>
      </c>
      <c r="G15" t="s">
        <v>50</v>
      </c>
      <c r="H15" t="s">
        <v>115</v>
      </c>
      <c r="I15" t="s">
        <v>441</v>
      </c>
      <c r="J15" t="s">
        <v>442</v>
      </c>
      <c r="K15">
        <v>650218</v>
      </c>
      <c r="L15" t="s">
        <v>73</v>
      </c>
      <c r="M15" t="s">
        <v>74</v>
      </c>
      <c r="N15" t="s">
        <v>1097</v>
      </c>
      <c r="O15" t="s">
        <v>56</v>
      </c>
      <c r="P15" s="1">
        <v>45910</v>
      </c>
      <c r="Q15" s="1">
        <v>45940</v>
      </c>
      <c r="R15" s="2">
        <v>9.0500000000000007</v>
      </c>
      <c r="S15">
        <v>1</v>
      </c>
      <c r="T15" t="s">
        <v>57</v>
      </c>
      <c r="U15" t="s">
        <v>96</v>
      </c>
      <c r="V15" s="4">
        <v>0.9</v>
      </c>
      <c r="W15" s="2">
        <v>0</v>
      </c>
      <c r="X15">
        <v>0</v>
      </c>
      <c r="Y15" t="s">
        <v>70</v>
      </c>
      <c r="Z15" t="s">
        <v>97</v>
      </c>
      <c r="AA15">
        <v>6</v>
      </c>
      <c r="AB15" s="2">
        <v>48.84</v>
      </c>
      <c r="AC15" s="2">
        <v>0</v>
      </c>
      <c r="AD15" s="4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8.14</v>
      </c>
      <c r="AM15" s="2">
        <v>0</v>
      </c>
      <c r="AN15" s="2">
        <v>48.84</v>
      </c>
      <c r="AO15" s="2">
        <v>0</v>
      </c>
      <c r="AP15" s="2">
        <v>0</v>
      </c>
      <c r="AQ15" s="2">
        <v>0</v>
      </c>
    </row>
    <row r="16" spans="1:48" x14ac:dyDescent="0.25">
      <c r="A16" s="1">
        <v>45922</v>
      </c>
      <c r="B16" t="s">
        <v>47</v>
      </c>
      <c r="C16">
        <v>649163</v>
      </c>
      <c r="D16">
        <v>2031089440</v>
      </c>
      <c r="E16" t="s">
        <v>426</v>
      </c>
      <c r="F16" t="s">
        <v>427</v>
      </c>
      <c r="G16" t="s">
        <v>50</v>
      </c>
      <c r="H16" t="s">
        <v>77</v>
      </c>
      <c r="I16" t="s">
        <v>306</v>
      </c>
      <c r="J16" t="s">
        <v>307</v>
      </c>
      <c r="K16">
        <v>649270</v>
      </c>
      <c r="L16" t="s">
        <v>64</v>
      </c>
      <c r="M16" t="s">
        <v>65</v>
      </c>
      <c r="N16" t="s">
        <v>1084</v>
      </c>
      <c r="O16" t="s">
        <v>56</v>
      </c>
      <c r="P16" s="1">
        <v>45918</v>
      </c>
      <c r="Q16" s="1">
        <v>45948</v>
      </c>
      <c r="R16" s="2">
        <v>33.28</v>
      </c>
      <c r="S16">
        <v>1</v>
      </c>
      <c r="T16" t="s">
        <v>57</v>
      </c>
      <c r="U16" t="s">
        <v>96</v>
      </c>
      <c r="V16" s="3">
        <v>9.5000000000000001E-2</v>
      </c>
      <c r="W16" s="2">
        <v>0</v>
      </c>
      <c r="X16">
        <v>0</v>
      </c>
      <c r="Y16" t="s">
        <v>70</v>
      </c>
      <c r="Z16" t="s">
        <v>97</v>
      </c>
      <c r="AA16">
        <v>6</v>
      </c>
      <c r="AB16" s="2">
        <v>18.96</v>
      </c>
      <c r="AC16" s="2">
        <v>0</v>
      </c>
      <c r="AD16" s="4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3.16</v>
      </c>
      <c r="AM16" s="2">
        <v>0</v>
      </c>
      <c r="AN16" s="2">
        <v>18.96</v>
      </c>
      <c r="AO16" s="2">
        <v>0</v>
      </c>
      <c r="AP16" s="2">
        <v>0</v>
      </c>
      <c r="AQ16" s="2">
        <v>0</v>
      </c>
    </row>
    <row r="17" spans="1:43" x14ac:dyDescent="0.25">
      <c r="A17" s="1">
        <v>45915</v>
      </c>
      <c r="B17" t="s">
        <v>47</v>
      </c>
      <c r="C17">
        <v>649163</v>
      </c>
      <c r="D17">
        <v>2031057792</v>
      </c>
      <c r="E17" t="s">
        <v>638</v>
      </c>
      <c r="F17" t="s">
        <v>85</v>
      </c>
      <c r="G17" t="s">
        <v>50</v>
      </c>
      <c r="H17" t="s">
        <v>134</v>
      </c>
      <c r="I17" t="s">
        <v>441</v>
      </c>
      <c r="J17" t="s">
        <v>445</v>
      </c>
      <c r="K17">
        <v>856163</v>
      </c>
      <c r="L17" t="s">
        <v>79</v>
      </c>
      <c r="M17" t="s">
        <v>279</v>
      </c>
      <c r="N17" t="s">
        <v>1102</v>
      </c>
      <c r="O17" t="s">
        <v>56</v>
      </c>
      <c r="P17" s="1">
        <v>45915</v>
      </c>
      <c r="Q17" s="1">
        <v>45945</v>
      </c>
      <c r="R17" s="2">
        <v>30.68</v>
      </c>
      <c r="S17">
        <v>1</v>
      </c>
      <c r="T17" t="s">
        <v>57</v>
      </c>
      <c r="U17" t="s">
        <v>96</v>
      </c>
      <c r="V17" s="4">
        <v>0.7</v>
      </c>
      <c r="W17" s="2">
        <v>0</v>
      </c>
      <c r="X17">
        <v>0</v>
      </c>
      <c r="Y17" t="s">
        <v>70</v>
      </c>
      <c r="Z17" t="s">
        <v>97</v>
      </c>
      <c r="AA17">
        <v>6</v>
      </c>
      <c r="AB17" s="2">
        <v>128.88</v>
      </c>
      <c r="AC17" s="2">
        <v>0</v>
      </c>
      <c r="AD17" s="4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21.48</v>
      </c>
      <c r="AM17" s="2">
        <v>0</v>
      </c>
      <c r="AN17" s="2">
        <v>128.88</v>
      </c>
      <c r="AO17" s="2">
        <v>0</v>
      </c>
      <c r="AP17" s="2">
        <v>0</v>
      </c>
      <c r="AQ17" s="2">
        <v>0</v>
      </c>
    </row>
    <row r="18" spans="1:43" x14ac:dyDescent="0.25">
      <c r="A18" s="1">
        <v>45915</v>
      </c>
      <c r="B18" t="s">
        <v>47</v>
      </c>
      <c r="C18">
        <v>649163</v>
      </c>
      <c r="D18">
        <v>2031057793</v>
      </c>
      <c r="E18" t="s">
        <v>638</v>
      </c>
      <c r="F18" t="s">
        <v>85</v>
      </c>
      <c r="G18" t="s">
        <v>50</v>
      </c>
      <c r="H18" t="s">
        <v>134</v>
      </c>
      <c r="I18" t="s">
        <v>243</v>
      </c>
      <c r="J18" t="s">
        <v>1054</v>
      </c>
      <c r="K18">
        <v>856163</v>
      </c>
      <c r="L18" t="s">
        <v>79</v>
      </c>
      <c r="M18" t="s">
        <v>279</v>
      </c>
      <c r="N18" t="s">
        <v>1102</v>
      </c>
      <c r="O18" t="s">
        <v>56</v>
      </c>
      <c r="P18" s="1">
        <v>45915</v>
      </c>
      <c r="Q18" s="1">
        <v>45945</v>
      </c>
      <c r="R18" s="2">
        <v>15</v>
      </c>
      <c r="S18">
        <v>1</v>
      </c>
      <c r="T18" t="s">
        <v>57</v>
      </c>
      <c r="U18" t="s">
        <v>636</v>
      </c>
      <c r="V18" s="4">
        <v>0.27</v>
      </c>
      <c r="W18" s="2">
        <v>0</v>
      </c>
      <c r="X18">
        <v>0</v>
      </c>
      <c r="Y18" t="s">
        <v>70</v>
      </c>
      <c r="Z18" t="s">
        <v>97</v>
      </c>
      <c r="AA18">
        <v>3</v>
      </c>
      <c r="AB18" s="2">
        <v>12.15</v>
      </c>
      <c r="AC18" s="2">
        <v>0</v>
      </c>
      <c r="AD18" s="4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4.05</v>
      </c>
      <c r="AM18" s="2">
        <v>0</v>
      </c>
      <c r="AN18" s="2">
        <v>12.15</v>
      </c>
      <c r="AO18" s="2">
        <v>0</v>
      </c>
      <c r="AP18" s="2">
        <v>0</v>
      </c>
      <c r="AQ18" s="2">
        <v>0</v>
      </c>
    </row>
    <row r="19" spans="1:43" x14ac:dyDescent="0.25">
      <c r="A19" s="1">
        <v>45915</v>
      </c>
      <c r="B19" t="s">
        <v>47</v>
      </c>
      <c r="C19">
        <v>649163</v>
      </c>
      <c r="D19">
        <v>2031057791</v>
      </c>
      <c r="E19" t="s">
        <v>638</v>
      </c>
      <c r="F19" t="s">
        <v>85</v>
      </c>
      <c r="G19" t="s">
        <v>50</v>
      </c>
      <c r="H19" t="s">
        <v>134</v>
      </c>
      <c r="I19" t="s">
        <v>569</v>
      </c>
      <c r="J19" t="s">
        <v>637</v>
      </c>
      <c r="K19">
        <v>856163</v>
      </c>
      <c r="L19" t="s">
        <v>79</v>
      </c>
      <c r="M19" t="s">
        <v>279</v>
      </c>
      <c r="N19" t="s">
        <v>1102</v>
      </c>
      <c r="O19" t="s">
        <v>56</v>
      </c>
      <c r="P19" s="1">
        <v>45915</v>
      </c>
      <c r="Q19" s="1">
        <v>45945</v>
      </c>
      <c r="R19" s="2">
        <v>165.77</v>
      </c>
      <c r="S19">
        <v>1</v>
      </c>
      <c r="T19" t="s">
        <v>57</v>
      </c>
      <c r="U19" t="s">
        <v>636</v>
      </c>
      <c r="V19" s="4">
        <v>0.27</v>
      </c>
      <c r="W19" s="2">
        <v>0</v>
      </c>
      <c r="X19">
        <v>0</v>
      </c>
      <c r="Y19" t="s">
        <v>70</v>
      </c>
      <c r="Z19" t="s">
        <v>97</v>
      </c>
      <c r="AA19">
        <v>3</v>
      </c>
      <c r="AB19" s="2">
        <v>134.28</v>
      </c>
      <c r="AC19" s="2">
        <v>0</v>
      </c>
      <c r="AD19" s="4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44.76</v>
      </c>
      <c r="AM19" s="2">
        <v>0</v>
      </c>
      <c r="AN19" s="2">
        <v>134.28</v>
      </c>
      <c r="AO19" s="2">
        <v>0</v>
      </c>
      <c r="AP19" s="2">
        <v>0</v>
      </c>
      <c r="AQ19" s="2">
        <v>0</v>
      </c>
    </row>
    <row r="20" spans="1:43" x14ac:dyDescent="0.25">
      <c r="A20" s="1">
        <v>45922</v>
      </c>
      <c r="B20" t="s">
        <v>47</v>
      </c>
      <c r="C20">
        <v>649163</v>
      </c>
      <c r="D20">
        <v>2031079834</v>
      </c>
      <c r="E20" t="s">
        <v>156</v>
      </c>
      <c r="F20" t="s">
        <v>419</v>
      </c>
      <c r="G20" t="s">
        <v>50</v>
      </c>
      <c r="H20" t="s">
        <v>93</v>
      </c>
      <c r="I20" t="s">
        <v>306</v>
      </c>
      <c r="J20" t="s">
        <v>307</v>
      </c>
      <c r="K20">
        <v>669316</v>
      </c>
      <c r="L20" t="s">
        <v>420</v>
      </c>
      <c r="M20" t="s">
        <v>421</v>
      </c>
      <c r="N20" t="s">
        <v>1082</v>
      </c>
      <c r="O20" t="s">
        <v>56</v>
      </c>
      <c r="P20" s="1">
        <v>45916</v>
      </c>
      <c r="Q20" s="1">
        <v>45946</v>
      </c>
      <c r="R20" s="2">
        <v>53.87</v>
      </c>
      <c r="S20">
        <v>1</v>
      </c>
      <c r="T20" t="s">
        <v>57</v>
      </c>
      <c r="U20" t="s">
        <v>96</v>
      </c>
      <c r="V20" s="3">
        <v>0.375</v>
      </c>
      <c r="W20" s="2">
        <v>0</v>
      </c>
      <c r="X20">
        <v>0</v>
      </c>
      <c r="Y20" t="s">
        <v>70</v>
      </c>
      <c r="Z20" t="s">
        <v>97</v>
      </c>
      <c r="AA20">
        <v>6</v>
      </c>
      <c r="AB20" s="2">
        <v>121.2</v>
      </c>
      <c r="AC20" s="2">
        <v>0</v>
      </c>
      <c r="AD20" s="4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20.2</v>
      </c>
      <c r="AM20" s="2">
        <v>0</v>
      </c>
      <c r="AN20" s="2">
        <v>121.2</v>
      </c>
      <c r="AO20" s="2">
        <v>0</v>
      </c>
      <c r="AP20" s="2">
        <v>0</v>
      </c>
      <c r="AQ20" s="2">
        <v>0</v>
      </c>
    </row>
    <row r="21" spans="1:43" x14ac:dyDescent="0.25">
      <c r="A21" s="1">
        <v>45922</v>
      </c>
      <c r="B21" t="s">
        <v>47</v>
      </c>
      <c r="C21">
        <v>649163</v>
      </c>
      <c r="D21">
        <v>2031079835</v>
      </c>
      <c r="E21" t="s">
        <v>156</v>
      </c>
      <c r="F21" t="s">
        <v>419</v>
      </c>
      <c r="G21" t="s">
        <v>50</v>
      </c>
      <c r="H21" t="s">
        <v>93</v>
      </c>
      <c r="I21" t="s">
        <v>441</v>
      </c>
      <c r="J21" t="s">
        <v>445</v>
      </c>
      <c r="K21">
        <v>669316</v>
      </c>
      <c r="L21" t="s">
        <v>420</v>
      </c>
      <c r="M21" t="s">
        <v>421</v>
      </c>
      <c r="N21" t="s">
        <v>1082</v>
      </c>
      <c r="O21" t="s">
        <v>56</v>
      </c>
      <c r="P21" s="1">
        <v>45916</v>
      </c>
      <c r="Q21" s="1">
        <v>45946</v>
      </c>
      <c r="R21" s="2">
        <v>28.9</v>
      </c>
      <c r="S21">
        <v>1</v>
      </c>
      <c r="T21" t="s">
        <v>57</v>
      </c>
      <c r="U21" t="s">
        <v>96</v>
      </c>
      <c r="V21" s="4">
        <v>0.7</v>
      </c>
      <c r="W21" s="2">
        <v>0</v>
      </c>
      <c r="X21">
        <v>0</v>
      </c>
      <c r="Y21" t="s">
        <v>70</v>
      </c>
      <c r="Z21" t="s">
        <v>97</v>
      </c>
      <c r="AA21">
        <v>6</v>
      </c>
      <c r="AB21" s="2">
        <v>121.38</v>
      </c>
      <c r="AC21" s="2">
        <v>0</v>
      </c>
      <c r="AD21" s="4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20.23</v>
      </c>
      <c r="AM21" s="2">
        <v>0</v>
      </c>
      <c r="AN21" s="2">
        <v>121.38</v>
      </c>
      <c r="AO21" s="2">
        <v>0</v>
      </c>
      <c r="AP21" s="2">
        <v>0</v>
      </c>
      <c r="AQ21" s="2">
        <v>0</v>
      </c>
    </row>
    <row r="22" spans="1:43" x14ac:dyDescent="0.25">
      <c r="A22" s="1">
        <v>45915</v>
      </c>
      <c r="B22" t="s">
        <v>47</v>
      </c>
      <c r="C22">
        <v>649163</v>
      </c>
      <c r="D22">
        <v>2030945124</v>
      </c>
      <c r="E22" t="s">
        <v>547</v>
      </c>
      <c r="F22" t="s">
        <v>683</v>
      </c>
      <c r="G22" t="s">
        <v>50</v>
      </c>
      <c r="H22" t="s">
        <v>93</v>
      </c>
      <c r="I22" t="s">
        <v>106</v>
      </c>
      <c r="J22" t="s">
        <v>184</v>
      </c>
      <c r="K22">
        <v>820873</v>
      </c>
      <c r="L22" t="s">
        <v>262</v>
      </c>
      <c r="M22" t="s">
        <v>263</v>
      </c>
      <c r="N22" t="s">
        <v>1091</v>
      </c>
      <c r="O22" t="s">
        <v>56</v>
      </c>
      <c r="P22" s="1">
        <v>45909</v>
      </c>
      <c r="Q22" s="1">
        <v>45939</v>
      </c>
      <c r="R22" s="2">
        <v>47.13</v>
      </c>
      <c r="S22">
        <v>1</v>
      </c>
      <c r="T22" t="s">
        <v>57</v>
      </c>
      <c r="U22" t="s">
        <v>96</v>
      </c>
      <c r="V22" s="4">
        <v>0.75</v>
      </c>
      <c r="W22" s="2">
        <v>0</v>
      </c>
      <c r="X22">
        <v>0</v>
      </c>
      <c r="Y22" t="s">
        <v>70</v>
      </c>
      <c r="Z22" t="s">
        <v>97</v>
      </c>
      <c r="AA22">
        <v>6</v>
      </c>
      <c r="AB22" s="2">
        <v>212.1</v>
      </c>
      <c r="AC22" s="2">
        <v>0</v>
      </c>
      <c r="AD22" s="4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35.35</v>
      </c>
      <c r="AM22" s="2">
        <v>0</v>
      </c>
      <c r="AN22" s="2">
        <v>212.1</v>
      </c>
      <c r="AO22" s="2">
        <v>0</v>
      </c>
      <c r="AP22" s="2">
        <v>0</v>
      </c>
      <c r="AQ22" s="2">
        <v>0</v>
      </c>
    </row>
    <row r="23" spans="1:43" x14ac:dyDescent="0.25">
      <c r="A23" s="1">
        <v>45915</v>
      </c>
      <c r="B23" t="s">
        <v>47</v>
      </c>
      <c r="C23">
        <v>649163</v>
      </c>
      <c r="D23">
        <v>2030945125</v>
      </c>
      <c r="E23" t="s">
        <v>547</v>
      </c>
      <c r="F23" t="s">
        <v>683</v>
      </c>
      <c r="G23" t="s">
        <v>50</v>
      </c>
      <c r="H23" t="s">
        <v>93</v>
      </c>
      <c r="I23" t="s">
        <v>243</v>
      </c>
      <c r="J23" t="s">
        <v>249</v>
      </c>
      <c r="K23">
        <v>820873</v>
      </c>
      <c r="L23" t="s">
        <v>262</v>
      </c>
      <c r="M23" t="s">
        <v>263</v>
      </c>
      <c r="N23" t="s">
        <v>1091</v>
      </c>
      <c r="O23" t="s">
        <v>56</v>
      </c>
      <c r="P23" s="1">
        <v>45909</v>
      </c>
      <c r="Q23" s="1">
        <v>45939</v>
      </c>
      <c r="R23" s="2">
        <v>15</v>
      </c>
      <c r="S23">
        <v>1</v>
      </c>
      <c r="T23" t="s">
        <v>57</v>
      </c>
      <c r="U23" t="s">
        <v>96</v>
      </c>
      <c r="V23" s="4">
        <v>0.38</v>
      </c>
      <c r="W23" s="2">
        <v>0</v>
      </c>
      <c r="X23">
        <v>0</v>
      </c>
      <c r="Y23" t="s">
        <v>70</v>
      </c>
      <c r="Z23" t="s">
        <v>97</v>
      </c>
      <c r="AA23">
        <v>6</v>
      </c>
      <c r="AB23" s="2">
        <v>34.200000000000003</v>
      </c>
      <c r="AC23" s="2">
        <v>0</v>
      </c>
      <c r="AD23" s="4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5.7</v>
      </c>
      <c r="AM23" s="2">
        <v>0</v>
      </c>
      <c r="AN23" s="2">
        <v>34.200000000000003</v>
      </c>
      <c r="AO23" s="2">
        <v>0</v>
      </c>
      <c r="AP23" s="2">
        <v>0</v>
      </c>
      <c r="AQ23" s="2">
        <v>0</v>
      </c>
    </row>
    <row r="24" spans="1:43" x14ac:dyDescent="0.25">
      <c r="A24" s="1">
        <v>45915</v>
      </c>
      <c r="B24" t="s">
        <v>47</v>
      </c>
      <c r="C24">
        <v>649163</v>
      </c>
      <c r="D24">
        <v>2030945122</v>
      </c>
      <c r="E24" t="s">
        <v>547</v>
      </c>
      <c r="F24" t="s">
        <v>683</v>
      </c>
      <c r="G24" t="s">
        <v>50</v>
      </c>
      <c r="H24" t="s">
        <v>93</v>
      </c>
      <c r="I24" t="s">
        <v>430</v>
      </c>
      <c r="J24" t="s">
        <v>431</v>
      </c>
      <c r="K24">
        <v>820873</v>
      </c>
      <c r="L24" t="s">
        <v>262</v>
      </c>
      <c r="M24" t="s">
        <v>263</v>
      </c>
      <c r="N24" t="s">
        <v>1091</v>
      </c>
      <c r="O24" t="s">
        <v>56</v>
      </c>
      <c r="P24" s="1">
        <v>45909</v>
      </c>
      <c r="Q24" s="1">
        <v>45939</v>
      </c>
      <c r="R24" s="2">
        <v>19.48</v>
      </c>
      <c r="S24">
        <v>1</v>
      </c>
      <c r="T24" t="s">
        <v>57</v>
      </c>
      <c r="U24" t="s">
        <v>96</v>
      </c>
      <c r="V24" s="4">
        <v>0.38</v>
      </c>
      <c r="W24" s="2">
        <v>0</v>
      </c>
      <c r="X24">
        <v>0</v>
      </c>
      <c r="Y24" t="s">
        <v>70</v>
      </c>
      <c r="Z24" t="s">
        <v>97</v>
      </c>
      <c r="AA24">
        <v>6</v>
      </c>
      <c r="AB24" s="2">
        <v>44.4</v>
      </c>
      <c r="AC24" s="2">
        <v>0</v>
      </c>
      <c r="AD24" s="4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7.4</v>
      </c>
      <c r="AM24" s="2">
        <v>0</v>
      </c>
      <c r="AN24" s="2">
        <v>44.4</v>
      </c>
      <c r="AO24" s="2">
        <v>0</v>
      </c>
      <c r="AP24" s="2">
        <v>0</v>
      </c>
      <c r="AQ24" s="2">
        <v>0</v>
      </c>
    </row>
    <row r="25" spans="1:43" x14ac:dyDescent="0.25">
      <c r="A25" s="1">
        <v>45915</v>
      </c>
      <c r="B25" t="s">
        <v>47</v>
      </c>
      <c r="C25">
        <v>649163</v>
      </c>
      <c r="D25">
        <v>2030945123</v>
      </c>
      <c r="E25" t="s">
        <v>547</v>
      </c>
      <c r="F25" t="s">
        <v>683</v>
      </c>
      <c r="G25" t="s">
        <v>50</v>
      </c>
      <c r="H25" t="s">
        <v>93</v>
      </c>
      <c r="I25" t="s">
        <v>441</v>
      </c>
      <c r="J25" t="s">
        <v>451</v>
      </c>
      <c r="K25">
        <v>820873</v>
      </c>
      <c r="L25" t="s">
        <v>262</v>
      </c>
      <c r="M25" t="s">
        <v>263</v>
      </c>
      <c r="N25" t="s">
        <v>1091</v>
      </c>
      <c r="O25" t="s">
        <v>56</v>
      </c>
      <c r="P25" s="1">
        <v>45909</v>
      </c>
      <c r="Q25" s="1">
        <v>45939</v>
      </c>
      <c r="R25" s="2">
        <v>25.08</v>
      </c>
      <c r="S25">
        <v>1</v>
      </c>
      <c r="T25" t="s">
        <v>57</v>
      </c>
      <c r="U25" t="s">
        <v>96</v>
      </c>
      <c r="V25" s="4">
        <v>0.42</v>
      </c>
      <c r="W25" s="2">
        <v>0</v>
      </c>
      <c r="X25">
        <v>0</v>
      </c>
      <c r="Y25" t="s">
        <v>70</v>
      </c>
      <c r="Z25" t="s">
        <v>97</v>
      </c>
      <c r="AA25">
        <v>6</v>
      </c>
      <c r="AB25" s="2">
        <v>63.18</v>
      </c>
      <c r="AC25" s="2">
        <v>0</v>
      </c>
      <c r="AD25" s="4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10.53</v>
      </c>
      <c r="AM25" s="2">
        <v>0</v>
      </c>
      <c r="AN25" s="2">
        <v>63.18</v>
      </c>
      <c r="AO25" s="2">
        <v>0</v>
      </c>
      <c r="AP25" s="2">
        <v>0</v>
      </c>
      <c r="AQ25" s="2">
        <v>0</v>
      </c>
    </row>
    <row r="26" spans="1:43" x14ac:dyDescent="0.25">
      <c r="A26" s="1">
        <v>45915</v>
      </c>
      <c r="B26" t="s">
        <v>47</v>
      </c>
      <c r="C26">
        <v>649163</v>
      </c>
      <c r="D26">
        <v>2030985509</v>
      </c>
      <c r="E26" t="s">
        <v>276</v>
      </c>
      <c r="F26" t="s">
        <v>421</v>
      </c>
      <c r="G26" t="s">
        <v>50</v>
      </c>
      <c r="H26" t="s">
        <v>93</v>
      </c>
      <c r="I26" t="s">
        <v>243</v>
      </c>
      <c r="J26" t="s">
        <v>261</v>
      </c>
      <c r="K26">
        <v>814033</v>
      </c>
      <c r="L26" t="s">
        <v>595</v>
      </c>
      <c r="M26" t="s">
        <v>596</v>
      </c>
      <c r="N26" t="s">
        <v>1095</v>
      </c>
      <c r="O26" t="s">
        <v>56</v>
      </c>
      <c r="P26" s="1">
        <v>45912</v>
      </c>
      <c r="Q26" s="1">
        <v>45942</v>
      </c>
      <c r="R26" s="2">
        <v>15</v>
      </c>
      <c r="S26">
        <v>1</v>
      </c>
      <c r="T26" t="s">
        <v>57</v>
      </c>
      <c r="U26" t="s">
        <v>305</v>
      </c>
      <c r="V26" s="4">
        <v>0.38</v>
      </c>
      <c r="W26" s="2">
        <v>0</v>
      </c>
      <c r="X26">
        <v>0</v>
      </c>
      <c r="Y26" t="s">
        <v>70</v>
      </c>
      <c r="Z26" t="s">
        <v>97</v>
      </c>
      <c r="AA26">
        <v>6</v>
      </c>
      <c r="AB26" s="2">
        <v>34.200000000000003</v>
      </c>
      <c r="AC26" s="2">
        <v>0</v>
      </c>
      <c r="AD26" s="4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5.7</v>
      </c>
      <c r="AM26" s="2">
        <v>0</v>
      </c>
      <c r="AN26" s="2">
        <v>34.200000000000003</v>
      </c>
      <c r="AO26" s="2">
        <v>0</v>
      </c>
      <c r="AP26" s="2">
        <v>0</v>
      </c>
      <c r="AQ26" s="2">
        <v>0</v>
      </c>
    </row>
    <row r="27" spans="1:43" x14ac:dyDescent="0.25">
      <c r="A27" s="1">
        <v>45915</v>
      </c>
      <c r="B27" t="s">
        <v>47</v>
      </c>
      <c r="C27">
        <v>649163</v>
      </c>
      <c r="D27">
        <v>2030985508</v>
      </c>
      <c r="E27" t="s">
        <v>276</v>
      </c>
      <c r="F27" t="s">
        <v>421</v>
      </c>
      <c r="G27" t="s">
        <v>50</v>
      </c>
      <c r="H27" t="s">
        <v>93</v>
      </c>
      <c r="I27" t="s">
        <v>430</v>
      </c>
      <c r="J27" t="s">
        <v>438</v>
      </c>
      <c r="K27">
        <v>814033</v>
      </c>
      <c r="L27" t="s">
        <v>595</v>
      </c>
      <c r="M27" t="s">
        <v>596</v>
      </c>
      <c r="N27" t="s">
        <v>1095</v>
      </c>
      <c r="O27" t="s">
        <v>56</v>
      </c>
      <c r="P27" s="1">
        <v>45912</v>
      </c>
      <c r="Q27" s="1">
        <v>45942</v>
      </c>
      <c r="R27" s="2">
        <v>371.07</v>
      </c>
      <c r="S27">
        <v>1</v>
      </c>
      <c r="T27" t="s">
        <v>57</v>
      </c>
      <c r="U27" t="s">
        <v>96</v>
      </c>
      <c r="V27" s="4">
        <v>0.38</v>
      </c>
      <c r="W27" s="2">
        <v>0</v>
      </c>
      <c r="X27">
        <v>0</v>
      </c>
      <c r="Y27" t="s">
        <v>70</v>
      </c>
      <c r="Z27" t="s">
        <v>97</v>
      </c>
      <c r="AA27">
        <v>6</v>
      </c>
      <c r="AB27" s="2">
        <v>846.06</v>
      </c>
      <c r="AC27" s="2">
        <v>0</v>
      </c>
      <c r="AD27" s="4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141.01</v>
      </c>
      <c r="AM27" s="2">
        <v>0</v>
      </c>
      <c r="AN27" s="2">
        <v>846.06</v>
      </c>
      <c r="AO27" s="2">
        <v>0</v>
      </c>
      <c r="AP27" s="2">
        <v>0</v>
      </c>
      <c r="AQ27" s="2">
        <v>0</v>
      </c>
    </row>
    <row r="28" spans="1:43" x14ac:dyDescent="0.25">
      <c r="A28" s="1">
        <v>45922</v>
      </c>
      <c r="B28" t="s">
        <v>47</v>
      </c>
      <c r="C28">
        <v>649163</v>
      </c>
      <c r="D28">
        <v>2030683121</v>
      </c>
      <c r="E28" t="s">
        <v>556</v>
      </c>
      <c r="F28" t="s">
        <v>557</v>
      </c>
      <c r="G28" t="s">
        <v>50</v>
      </c>
      <c r="H28" t="s">
        <v>93</v>
      </c>
      <c r="I28" t="s">
        <v>441</v>
      </c>
      <c r="J28" t="s">
        <v>445</v>
      </c>
      <c r="K28">
        <v>812656</v>
      </c>
      <c r="L28" t="s">
        <v>338</v>
      </c>
      <c r="M28" t="s">
        <v>377</v>
      </c>
      <c r="N28" t="s">
        <v>1086</v>
      </c>
      <c r="O28" t="s">
        <v>56</v>
      </c>
      <c r="P28" s="1">
        <v>45920</v>
      </c>
      <c r="Q28" s="1">
        <v>45950</v>
      </c>
      <c r="R28" s="2">
        <v>61.08</v>
      </c>
      <c r="S28">
        <v>1</v>
      </c>
      <c r="T28" t="s">
        <v>57</v>
      </c>
      <c r="U28" t="s">
        <v>96</v>
      </c>
      <c r="V28" s="4">
        <v>0.7</v>
      </c>
      <c r="W28" s="2">
        <v>0</v>
      </c>
      <c r="X28">
        <v>0</v>
      </c>
      <c r="Y28" t="s">
        <v>70</v>
      </c>
      <c r="Z28" t="s">
        <v>97</v>
      </c>
      <c r="AA28">
        <v>6</v>
      </c>
      <c r="AB28" s="2">
        <v>256.56</v>
      </c>
      <c r="AC28" s="2">
        <v>0</v>
      </c>
      <c r="AD28" s="4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42.76</v>
      </c>
      <c r="AM28" s="2">
        <v>0</v>
      </c>
      <c r="AN28" s="2">
        <v>256.56</v>
      </c>
      <c r="AO28" s="2">
        <v>0</v>
      </c>
      <c r="AP28" s="2">
        <v>0</v>
      </c>
      <c r="AQ28" s="2">
        <v>0</v>
      </c>
    </row>
    <row r="29" spans="1:43" x14ac:dyDescent="0.25">
      <c r="A29" s="1">
        <v>45915</v>
      </c>
      <c r="B29" t="s">
        <v>47</v>
      </c>
      <c r="C29">
        <v>649163</v>
      </c>
      <c r="D29">
        <v>2030943608</v>
      </c>
      <c r="E29" t="s">
        <v>685</v>
      </c>
      <c r="F29" t="s">
        <v>684</v>
      </c>
      <c r="G29" t="s">
        <v>50</v>
      </c>
      <c r="H29" t="s">
        <v>93</v>
      </c>
      <c r="I29" t="s">
        <v>441</v>
      </c>
      <c r="J29" t="s">
        <v>445</v>
      </c>
      <c r="K29">
        <v>812656</v>
      </c>
      <c r="L29" t="s">
        <v>338</v>
      </c>
      <c r="M29" t="s">
        <v>377</v>
      </c>
      <c r="N29" t="s">
        <v>1086</v>
      </c>
      <c r="O29" t="s">
        <v>56</v>
      </c>
      <c r="P29" s="1">
        <v>45931</v>
      </c>
      <c r="Q29" s="1">
        <v>45962</v>
      </c>
      <c r="R29" s="2">
        <v>159.24</v>
      </c>
      <c r="S29">
        <v>1</v>
      </c>
      <c r="T29" t="s">
        <v>57</v>
      </c>
      <c r="U29" t="s">
        <v>96</v>
      </c>
      <c r="V29" s="4">
        <v>0.7</v>
      </c>
      <c r="W29" s="2">
        <v>0</v>
      </c>
      <c r="X29">
        <v>0</v>
      </c>
      <c r="Y29" t="s">
        <v>70</v>
      </c>
      <c r="Z29" t="s">
        <v>97</v>
      </c>
      <c r="AA29">
        <v>6</v>
      </c>
      <c r="AB29" s="2">
        <v>668.82</v>
      </c>
      <c r="AC29" s="2">
        <v>0</v>
      </c>
      <c r="AD29" s="4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111.47</v>
      </c>
      <c r="AM29" s="2">
        <v>0</v>
      </c>
      <c r="AN29" s="2">
        <v>668.82</v>
      </c>
      <c r="AO29" s="2">
        <v>0</v>
      </c>
      <c r="AP29" s="2">
        <v>0</v>
      </c>
      <c r="AQ29" s="2">
        <v>0</v>
      </c>
    </row>
    <row r="30" spans="1:43" x14ac:dyDescent="0.25">
      <c r="A30" s="1">
        <v>45915</v>
      </c>
      <c r="B30" t="s">
        <v>47</v>
      </c>
      <c r="C30">
        <v>649163</v>
      </c>
      <c r="D30">
        <v>2030999705</v>
      </c>
      <c r="E30" t="s">
        <v>820</v>
      </c>
      <c r="F30" t="s">
        <v>819</v>
      </c>
      <c r="G30" t="s">
        <v>50</v>
      </c>
      <c r="H30" t="s">
        <v>83</v>
      </c>
      <c r="I30" t="s">
        <v>306</v>
      </c>
      <c r="J30" t="s">
        <v>307</v>
      </c>
      <c r="K30">
        <v>651818</v>
      </c>
      <c r="L30" t="s">
        <v>108</v>
      </c>
      <c r="M30" t="s">
        <v>109</v>
      </c>
      <c r="N30" t="s">
        <v>1098</v>
      </c>
      <c r="O30" t="s">
        <v>56</v>
      </c>
      <c r="P30" s="1">
        <v>45913</v>
      </c>
      <c r="Q30" s="1">
        <v>45943</v>
      </c>
      <c r="R30" s="2">
        <v>46.27</v>
      </c>
      <c r="S30">
        <v>1</v>
      </c>
      <c r="T30" t="s">
        <v>57</v>
      </c>
      <c r="U30" t="s">
        <v>96</v>
      </c>
      <c r="V30" s="3">
        <v>0.375</v>
      </c>
      <c r="W30" s="2">
        <v>0</v>
      </c>
      <c r="X30">
        <v>0</v>
      </c>
      <c r="Y30" t="s">
        <v>70</v>
      </c>
      <c r="Z30" t="s">
        <v>97</v>
      </c>
      <c r="AA30">
        <v>6</v>
      </c>
      <c r="AB30" s="2">
        <v>104.1</v>
      </c>
      <c r="AC30" s="2">
        <v>0</v>
      </c>
      <c r="AD30" s="4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17.350000000000001</v>
      </c>
      <c r="AM30" s="2">
        <v>0</v>
      </c>
      <c r="AN30" s="2">
        <v>104.1</v>
      </c>
      <c r="AO30" s="2">
        <v>0</v>
      </c>
      <c r="AP30" s="2">
        <v>0</v>
      </c>
      <c r="AQ30" s="2">
        <v>0</v>
      </c>
    </row>
    <row r="31" spans="1:43" x14ac:dyDescent="0.25">
      <c r="A31" s="1">
        <v>45922</v>
      </c>
      <c r="B31" t="s">
        <v>47</v>
      </c>
      <c r="C31">
        <v>649163</v>
      </c>
      <c r="D31">
        <v>2031136067</v>
      </c>
      <c r="E31" t="s">
        <v>302</v>
      </c>
      <c r="F31" t="s">
        <v>303</v>
      </c>
      <c r="G31" t="s">
        <v>50</v>
      </c>
      <c r="H31" t="s">
        <v>93</v>
      </c>
      <c r="I31" t="s">
        <v>243</v>
      </c>
      <c r="J31" t="s">
        <v>304</v>
      </c>
      <c r="K31">
        <v>856824</v>
      </c>
      <c r="L31" t="s">
        <v>210</v>
      </c>
      <c r="M31" t="s">
        <v>211</v>
      </c>
      <c r="N31" t="s">
        <v>1081</v>
      </c>
      <c r="O31" t="s">
        <v>56</v>
      </c>
      <c r="P31" s="1">
        <v>45919</v>
      </c>
      <c r="Q31" s="1">
        <v>45949</v>
      </c>
      <c r="R31" s="2">
        <v>50.89</v>
      </c>
      <c r="S31">
        <v>1</v>
      </c>
      <c r="T31" t="s">
        <v>57</v>
      </c>
      <c r="U31" t="s">
        <v>96</v>
      </c>
      <c r="V31" s="4">
        <v>0.38</v>
      </c>
      <c r="W31" s="2">
        <v>0</v>
      </c>
      <c r="X31">
        <v>0</v>
      </c>
      <c r="Y31" t="s">
        <v>70</v>
      </c>
      <c r="Z31" t="s">
        <v>97</v>
      </c>
      <c r="AA31">
        <v>6</v>
      </c>
      <c r="AB31" s="2">
        <v>116.04</v>
      </c>
      <c r="AC31" s="2">
        <v>0</v>
      </c>
      <c r="AD31" s="4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19.34</v>
      </c>
      <c r="AM31" s="2">
        <v>0</v>
      </c>
      <c r="AN31" s="2">
        <v>116.04</v>
      </c>
      <c r="AO31" s="2">
        <v>0</v>
      </c>
      <c r="AP31" s="2">
        <v>0</v>
      </c>
      <c r="AQ31" s="2">
        <v>0</v>
      </c>
    </row>
    <row r="32" spans="1:43" x14ac:dyDescent="0.25">
      <c r="A32" s="1">
        <v>45922</v>
      </c>
      <c r="B32" t="s">
        <v>47</v>
      </c>
      <c r="C32">
        <v>649163</v>
      </c>
      <c r="D32">
        <v>2031136070</v>
      </c>
      <c r="E32" t="s">
        <v>302</v>
      </c>
      <c r="F32" t="s">
        <v>303</v>
      </c>
      <c r="G32" t="s">
        <v>50</v>
      </c>
      <c r="H32" t="s">
        <v>93</v>
      </c>
      <c r="I32" t="s">
        <v>243</v>
      </c>
      <c r="J32" t="s">
        <v>261</v>
      </c>
      <c r="K32">
        <v>856824</v>
      </c>
      <c r="L32" t="s">
        <v>210</v>
      </c>
      <c r="M32" t="s">
        <v>211</v>
      </c>
      <c r="N32" t="s">
        <v>1081</v>
      </c>
      <c r="O32" t="s">
        <v>56</v>
      </c>
      <c r="P32" s="1">
        <v>45919</v>
      </c>
      <c r="Q32" s="1">
        <v>45949</v>
      </c>
      <c r="R32" s="2">
        <v>15</v>
      </c>
      <c r="S32">
        <v>1</v>
      </c>
      <c r="T32" t="s">
        <v>57</v>
      </c>
      <c r="U32" t="s">
        <v>305</v>
      </c>
      <c r="V32" s="4">
        <v>0.38</v>
      </c>
      <c r="W32" s="2">
        <v>0</v>
      </c>
      <c r="X32">
        <v>0</v>
      </c>
      <c r="Y32" t="s">
        <v>70</v>
      </c>
      <c r="Z32" t="s">
        <v>97</v>
      </c>
      <c r="AA32">
        <v>6</v>
      </c>
      <c r="AB32" s="2">
        <v>34.200000000000003</v>
      </c>
      <c r="AC32" s="2">
        <v>0</v>
      </c>
      <c r="AD32" s="4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5.7</v>
      </c>
      <c r="AM32" s="2">
        <v>0</v>
      </c>
      <c r="AN32" s="2">
        <v>34.200000000000003</v>
      </c>
      <c r="AO32" s="2">
        <v>0</v>
      </c>
      <c r="AP32" s="2">
        <v>0</v>
      </c>
      <c r="AQ32" s="2">
        <v>0</v>
      </c>
    </row>
    <row r="33" spans="1:43" x14ac:dyDescent="0.25">
      <c r="A33" s="1">
        <v>45922</v>
      </c>
      <c r="B33" t="s">
        <v>47</v>
      </c>
      <c r="C33">
        <v>649163</v>
      </c>
      <c r="D33">
        <v>2031136068</v>
      </c>
      <c r="E33" t="s">
        <v>302</v>
      </c>
      <c r="F33" t="s">
        <v>303</v>
      </c>
      <c r="G33" t="s">
        <v>50</v>
      </c>
      <c r="H33" t="s">
        <v>93</v>
      </c>
      <c r="I33" t="s">
        <v>430</v>
      </c>
      <c r="J33" t="s">
        <v>438</v>
      </c>
      <c r="K33">
        <v>856824</v>
      </c>
      <c r="L33" t="s">
        <v>210</v>
      </c>
      <c r="M33" t="s">
        <v>211</v>
      </c>
      <c r="N33" t="s">
        <v>1081</v>
      </c>
      <c r="O33" t="s">
        <v>56</v>
      </c>
      <c r="P33" s="1">
        <v>45919</v>
      </c>
      <c r="Q33" s="1">
        <v>45949</v>
      </c>
      <c r="R33" s="2">
        <v>115.38</v>
      </c>
      <c r="S33">
        <v>1</v>
      </c>
      <c r="T33" t="s">
        <v>57</v>
      </c>
      <c r="U33" t="s">
        <v>96</v>
      </c>
      <c r="V33" s="4">
        <v>0.38</v>
      </c>
      <c r="W33" s="2">
        <v>0</v>
      </c>
      <c r="X33">
        <v>0</v>
      </c>
      <c r="Y33" t="s">
        <v>70</v>
      </c>
      <c r="Z33" t="s">
        <v>97</v>
      </c>
      <c r="AA33">
        <v>6</v>
      </c>
      <c r="AB33" s="2">
        <v>263.04000000000002</v>
      </c>
      <c r="AC33" s="2">
        <v>0</v>
      </c>
      <c r="AD33" s="4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43.84</v>
      </c>
      <c r="AM33" s="2">
        <v>0</v>
      </c>
      <c r="AN33" s="2">
        <v>263.04000000000002</v>
      </c>
      <c r="AO33" s="2">
        <v>0</v>
      </c>
      <c r="AP33" s="2">
        <v>0</v>
      </c>
      <c r="AQ33" s="2">
        <v>0</v>
      </c>
    </row>
    <row r="34" spans="1:43" x14ac:dyDescent="0.25">
      <c r="A34" s="1">
        <v>45922</v>
      </c>
      <c r="B34" t="s">
        <v>47</v>
      </c>
      <c r="C34">
        <v>649163</v>
      </c>
      <c r="D34">
        <v>2031136069</v>
      </c>
      <c r="E34" t="s">
        <v>302</v>
      </c>
      <c r="F34" t="s">
        <v>303</v>
      </c>
      <c r="G34" t="s">
        <v>50</v>
      </c>
      <c r="H34" t="s">
        <v>93</v>
      </c>
      <c r="I34" t="s">
        <v>430</v>
      </c>
      <c r="J34" t="s">
        <v>439</v>
      </c>
      <c r="K34">
        <v>856824</v>
      </c>
      <c r="L34" t="s">
        <v>210</v>
      </c>
      <c r="M34" t="s">
        <v>211</v>
      </c>
      <c r="N34" t="s">
        <v>1081</v>
      </c>
      <c r="O34" t="s">
        <v>56</v>
      </c>
      <c r="P34" s="1">
        <v>45919</v>
      </c>
      <c r="Q34" s="1">
        <v>45949</v>
      </c>
      <c r="R34" s="2">
        <v>7.09</v>
      </c>
      <c r="S34">
        <v>1</v>
      </c>
      <c r="T34" t="s">
        <v>57</v>
      </c>
      <c r="U34" t="s">
        <v>96</v>
      </c>
      <c r="V34" s="4">
        <v>0.38</v>
      </c>
      <c r="W34" s="2">
        <v>0</v>
      </c>
      <c r="X34">
        <v>0</v>
      </c>
      <c r="Y34" t="s">
        <v>70</v>
      </c>
      <c r="Z34" t="s">
        <v>97</v>
      </c>
      <c r="AA34">
        <v>6</v>
      </c>
      <c r="AB34" s="2">
        <v>16.14</v>
      </c>
      <c r="AC34" s="2">
        <v>0</v>
      </c>
      <c r="AD34" s="4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2.69</v>
      </c>
      <c r="AM34" s="2">
        <v>0</v>
      </c>
      <c r="AN34" s="2">
        <v>16.14</v>
      </c>
      <c r="AO34" s="2">
        <v>0</v>
      </c>
      <c r="AP34" s="2">
        <v>0</v>
      </c>
      <c r="AQ34" s="2">
        <v>0</v>
      </c>
    </row>
    <row r="35" spans="1:43" x14ac:dyDescent="0.25">
      <c r="A35" s="1">
        <v>45915</v>
      </c>
      <c r="B35" t="s">
        <v>47</v>
      </c>
      <c r="C35">
        <v>649163</v>
      </c>
      <c r="D35">
        <v>2030965243</v>
      </c>
      <c r="E35" t="s">
        <v>1061</v>
      </c>
      <c r="F35" t="s">
        <v>126</v>
      </c>
      <c r="G35" t="s">
        <v>50</v>
      </c>
      <c r="H35" t="s">
        <v>209</v>
      </c>
      <c r="I35" t="s">
        <v>106</v>
      </c>
      <c r="J35" t="s">
        <v>184</v>
      </c>
      <c r="K35">
        <v>856824</v>
      </c>
      <c r="L35" t="s">
        <v>210</v>
      </c>
      <c r="M35" t="s">
        <v>211</v>
      </c>
      <c r="N35" t="s">
        <v>1081</v>
      </c>
      <c r="O35" t="s">
        <v>56</v>
      </c>
      <c r="P35" s="1">
        <v>45931</v>
      </c>
      <c r="Q35" s="1">
        <v>45962</v>
      </c>
      <c r="R35" s="2">
        <v>112.15</v>
      </c>
      <c r="S35">
        <v>1</v>
      </c>
      <c r="T35" t="s">
        <v>57</v>
      </c>
      <c r="U35" t="s">
        <v>96</v>
      </c>
      <c r="V35" s="4">
        <v>0.75</v>
      </c>
      <c r="W35" s="2">
        <v>0</v>
      </c>
      <c r="X35">
        <v>0</v>
      </c>
      <c r="Y35" t="s">
        <v>70</v>
      </c>
      <c r="Z35" t="s">
        <v>97</v>
      </c>
      <c r="AA35">
        <v>6</v>
      </c>
      <c r="AB35" s="2">
        <v>504.66</v>
      </c>
      <c r="AC35" s="2">
        <v>0</v>
      </c>
      <c r="AD35" s="4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84.11</v>
      </c>
      <c r="AM35" s="2">
        <v>0</v>
      </c>
      <c r="AN35" s="2">
        <v>504.66</v>
      </c>
      <c r="AO35" s="2">
        <v>0</v>
      </c>
      <c r="AP35" s="2">
        <v>0</v>
      </c>
      <c r="AQ35" s="2">
        <v>0</v>
      </c>
    </row>
    <row r="36" spans="1:43" x14ac:dyDescent="0.25">
      <c r="A36" s="1">
        <v>45915</v>
      </c>
      <c r="B36" t="s">
        <v>47</v>
      </c>
      <c r="C36">
        <v>649163</v>
      </c>
      <c r="D36">
        <v>2030954482</v>
      </c>
      <c r="E36" t="s">
        <v>764</v>
      </c>
      <c r="F36" t="s">
        <v>335</v>
      </c>
      <c r="G36" t="s">
        <v>50</v>
      </c>
      <c r="H36" t="s">
        <v>93</v>
      </c>
      <c r="I36" t="s">
        <v>243</v>
      </c>
      <c r="J36" t="s">
        <v>304</v>
      </c>
      <c r="K36">
        <v>856824</v>
      </c>
      <c r="L36" t="s">
        <v>210</v>
      </c>
      <c r="M36" t="s">
        <v>211</v>
      </c>
      <c r="N36" t="s">
        <v>1081</v>
      </c>
      <c r="O36" t="s">
        <v>56</v>
      </c>
      <c r="P36" s="1">
        <v>45910</v>
      </c>
      <c r="Q36" s="1">
        <v>45940</v>
      </c>
      <c r="R36" s="2">
        <v>35.04</v>
      </c>
      <c r="S36">
        <v>1</v>
      </c>
      <c r="T36" t="s">
        <v>57</v>
      </c>
      <c r="U36" t="s">
        <v>96</v>
      </c>
      <c r="V36" s="4">
        <v>0.38</v>
      </c>
      <c r="W36" s="2">
        <v>0</v>
      </c>
      <c r="X36">
        <v>0</v>
      </c>
      <c r="Y36" t="s">
        <v>70</v>
      </c>
      <c r="Z36" t="s">
        <v>97</v>
      </c>
      <c r="AA36">
        <v>6</v>
      </c>
      <c r="AB36" s="2">
        <v>79.92</v>
      </c>
      <c r="AC36" s="2">
        <v>0</v>
      </c>
      <c r="AD36" s="4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13.32</v>
      </c>
      <c r="AM36" s="2">
        <v>0</v>
      </c>
      <c r="AN36" s="2">
        <v>79.92</v>
      </c>
      <c r="AO36" s="2">
        <v>0</v>
      </c>
      <c r="AP36" s="2">
        <v>0</v>
      </c>
      <c r="AQ36" s="2">
        <v>0</v>
      </c>
    </row>
    <row r="37" spans="1:43" x14ac:dyDescent="0.25">
      <c r="A37" s="1">
        <v>45915</v>
      </c>
      <c r="B37" t="s">
        <v>47</v>
      </c>
      <c r="C37">
        <v>649163</v>
      </c>
      <c r="D37">
        <v>2030954483</v>
      </c>
      <c r="E37" t="s">
        <v>764</v>
      </c>
      <c r="F37" t="s">
        <v>335</v>
      </c>
      <c r="G37" t="s">
        <v>50</v>
      </c>
      <c r="H37" t="s">
        <v>93</v>
      </c>
      <c r="I37" t="s">
        <v>243</v>
      </c>
      <c r="J37" t="s">
        <v>261</v>
      </c>
      <c r="K37">
        <v>856824</v>
      </c>
      <c r="L37" t="s">
        <v>210</v>
      </c>
      <c r="M37" t="s">
        <v>211</v>
      </c>
      <c r="N37" t="s">
        <v>1081</v>
      </c>
      <c r="O37" t="s">
        <v>56</v>
      </c>
      <c r="P37" s="1">
        <v>45910</v>
      </c>
      <c r="Q37" s="1">
        <v>45940</v>
      </c>
      <c r="R37" s="2">
        <v>15</v>
      </c>
      <c r="S37">
        <v>1</v>
      </c>
      <c r="T37" t="s">
        <v>57</v>
      </c>
      <c r="U37" t="s">
        <v>305</v>
      </c>
      <c r="V37" s="4">
        <v>0.38</v>
      </c>
      <c r="W37" s="2">
        <v>0</v>
      </c>
      <c r="X37">
        <v>0</v>
      </c>
      <c r="Y37" t="s">
        <v>70</v>
      </c>
      <c r="Z37" t="s">
        <v>97</v>
      </c>
      <c r="AA37">
        <v>6</v>
      </c>
      <c r="AB37" s="2">
        <v>34.200000000000003</v>
      </c>
      <c r="AC37" s="2">
        <v>0</v>
      </c>
      <c r="AD37" s="4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5.7</v>
      </c>
      <c r="AM37" s="2">
        <v>0</v>
      </c>
      <c r="AN37" s="2">
        <v>34.200000000000003</v>
      </c>
      <c r="AO37" s="2">
        <v>0</v>
      </c>
      <c r="AP37" s="2">
        <v>0</v>
      </c>
      <c r="AQ37" s="2">
        <v>0</v>
      </c>
    </row>
    <row r="38" spans="1:43" x14ac:dyDescent="0.25">
      <c r="A38" s="1">
        <v>45915</v>
      </c>
      <c r="B38" t="s">
        <v>47</v>
      </c>
      <c r="C38">
        <v>649163</v>
      </c>
      <c r="D38">
        <v>2030954480</v>
      </c>
      <c r="E38" t="s">
        <v>764</v>
      </c>
      <c r="F38" t="s">
        <v>335</v>
      </c>
      <c r="G38" t="s">
        <v>50</v>
      </c>
      <c r="H38" t="s">
        <v>93</v>
      </c>
      <c r="I38" t="s">
        <v>430</v>
      </c>
      <c r="J38" t="s">
        <v>438</v>
      </c>
      <c r="K38">
        <v>856824</v>
      </c>
      <c r="L38" t="s">
        <v>210</v>
      </c>
      <c r="M38" t="s">
        <v>211</v>
      </c>
      <c r="N38" t="s">
        <v>1081</v>
      </c>
      <c r="O38" t="s">
        <v>56</v>
      </c>
      <c r="P38" s="1">
        <v>45910</v>
      </c>
      <c r="Q38" s="1">
        <v>45940</v>
      </c>
      <c r="R38" s="2">
        <v>172.55</v>
      </c>
      <c r="S38">
        <v>1</v>
      </c>
      <c r="T38" t="s">
        <v>57</v>
      </c>
      <c r="U38" t="s">
        <v>96</v>
      </c>
      <c r="V38" s="4">
        <v>0.38</v>
      </c>
      <c r="W38" s="2">
        <v>0</v>
      </c>
      <c r="X38">
        <v>0</v>
      </c>
      <c r="Y38" t="s">
        <v>70</v>
      </c>
      <c r="Z38" t="s">
        <v>97</v>
      </c>
      <c r="AA38">
        <v>6</v>
      </c>
      <c r="AB38" s="2">
        <v>393.42</v>
      </c>
      <c r="AC38" s="2">
        <v>0</v>
      </c>
      <c r="AD38" s="4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65.569999999999993</v>
      </c>
      <c r="AM38" s="2">
        <v>0</v>
      </c>
      <c r="AN38" s="2">
        <v>393.42</v>
      </c>
      <c r="AO38" s="2">
        <v>0</v>
      </c>
      <c r="AP38" s="2">
        <v>0</v>
      </c>
      <c r="AQ38" s="2">
        <v>0</v>
      </c>
    </row>
    <row r="39" spans="1:43" x14ac:dyDescent="0.25">
      <c r="A39" s="1">
        <v>45915</v>
      </c>
      <c r="B39" t="s">
        <v>47</v>
      </c>
      <c r="C39">
        <v>649163</v>
      </c>
      <c r="D39">
        <v>2030954481</v>
      </c>
      <c r="E39" t="s">
        <v>764</v>
      </c>
      <c r="F39" t="s">
        <v>335</v>
      </c>
      <c r="G39" t="s">
        <v>50</v>
      </c>
      <c r="H39" t="s">
        <v>93</v>
      </c>
      <c r="I39" t="s">
        <v>430</v>
      </c>
      <c r="J39" t="s">
        <v>439</v>
      </c>
      <c r="K39">
        <v>856824</v>
      </c>
      <c r="L39" t="s">
        <v>210</v>
      </c>
      <c r="M39" t="s">
        <v>211</v>
      </c>
      <c r="N39" t="s">
        <v>1081</v>
      </c>
      <c r="O39" t="s">
        <v>56</v>
      </c>
      <c r="P39" s="1">
        <v>45910</v>
      </c>
      <c r="Q39" s="1">
        <v>45940</v>
      </c>
      <c r="R39" s="2">
        <v>7.09</v>
      </c>
      <c r="S39">
        <v>1</v>
      </c>
      <c r="T39" t="s">
        <v>57</v>
      </c>
      <c r="U39" t="s">
        <v>96</v>
      </c>
      <c r="V39" s="4">
        <v>0.38</v>
      </c>
      <c r="W39" s="2">
        <v>0</v>
      </c>
      <c r="X39">
        <v>0</v>
      </c>
      <c r="Y39" t="s">
        <v>70</v>
      </c>
      <c r="Z39" t="s">
        <v>97</v>
      </c>
      <c r="AA39">
        <v>6</v>
      </c>
      <c r="AB39" s="2">
        <v>16.14</v>
      </c>
      <c r="AC39" s="2">
        <v>0</v>
      </c>
      <c r="AD39" s="4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2.69</v>
      </c>
      <c r="AM39" s="2">
        <v>0</v>
      </c>
      <c r="AN39" s="2">
        <v>16.14</v>
      </c>
      <c r="AO39" s="2">
        <v>0</v>
      </c>
      <c r="AP39" s="2">
        <v>0</v>
      </c>
      <c r="AQ39" s="2">
        <v>0</v>
      </c>
    </row>
    <row r="40" spans="1:43" x14ac:dyDescent="0.25">
      <c r="A40" s="1">
        <v>45915</v>
      </c>
      <c r="B40" t="s">
        <v>47</v>
      </c>
      <c r="C40">
        <v>649163</v>
      </c>
      <c r="D40">
        <v>2031047977</v>
      </c>
      <c r="E40" t="s">
        <v>659</v>
      </c>
      <c r="F40" t="s">
        <v>658</v>
      </c>
      <c r="G40" t="s">
        <v>50</v>
      </c>
      <c r="H40" t="s">
        <v>115</v>
      </c>
      <c r="I40" t="s">
        <v>306</v>
      </c>
      <c r="J40" t="s">
        <v>307</v>
      </c>
      <c r="K40">
        <v>756418</v>
      </c>
      <c r="L40" t="s">
        <v>257</v>
      </c>
      <c r="M40" t="s">
        <v>258</v>
      </c>
      <c r="N40" t="s">
        <v>1100</v>
      </c>
      <c r="O40" t="s">
        <v>56</v>
      </c>
      <c r="P40" s="1">
        <v>45914</v>
      </c>
      <c r="Q40" s="1">
        <v>45944</v>
      </c>
      <c r="R40" s="2">
        <v>54.87</v>
      </c>
      <c r="S40">
        <v>1</v>
      </c>
      <c r="T40" t="s">
        <v>57</v>
      </c>
      <c r="U40" t="s">
        <v>96</v>
      </c>
      <c r="V40" s="3">
        <v>0.375</v>
      </c>
      <c r="W40" s="2">
        <v>0</v>
      </c>
      <c r="X40">
        <v>0</v>
      </c>
      <c r="Y40" t="s">
        <v>70</v>
      </c>
      <c r="Z40" t="s">
        <v>97</v>
      </c>
      <c r="AA40">
        <v>6</v>
      </c>
      <c r="AB40" s="2">
        <v>123.48</v>
      </c>
      <c r="AC40" s="2">
        <v>0</v>
      </c>
      <c r="AD40" s="4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20.58</v>
      </c>
      <c r="AM40" s="2">
        <v>0</v>
      </c>
      <c r="AN40" s="2">
        <v>123.48</v>
      </c>
      <c r="AO40" s="2">
        <v>0</v>
      </c>
      <c r="AP40" s="2">
        <v>0</v>
      </c>
      <c r="AQ40" s="2">
        <v>0</v>
      </c>
    </row>
    <row r="41" spans="1:43" x14ac:dyDescent="0.25">
      <c r="A41" s="1">
        <v>45915</v>
      </c>
      <c r="B41" t="s">
        <v>47</v>
      </c>
      <c r="C41">
        <v>649163</v>
      </c>
      <c r="D41">
        <v>2031047975</v>
      </c>
      <c r="E41" t="s">
        <v>659</v>
      </c>
      <c r="F41" t="s">
        <v>658</v>
      </c>
      <c r="G41" t="s">
        <v>50</v>
      </c>
      <c r="H41" t="s">
        <v>115</v>
      </c>
      <c r="I41" t="s">
        <v>441</v>
      </c>
      <c r="J41" t="s">
        <v>445</v>
      </c>
      <c r="K41">
        <v>756418</v>
      </c>
      <c r="L41" t="s">
        <v>257</v>
      </c>
      <c r="M41" t="s">
        <v>258</v>
      </c>
      <c r="N41" t="s">
        <v>1100</v>
      </c>
      <c r="O41" t="s">
        <v>56</v>
      </c>
      <c r="P41" s="1">
        <v>45914</v>
      </c>
      <c r="Q41" s="1">
        <v>45944</v>
      </c>
      <c r="R41" s="2">
        <v>84.43</v>
      </c>
      <c r="S41">
        <v>1</v>
      </c>
      <c r="T41" t="s">
        <v>57</v>
      </c>
      <c r="U41" t="s">
        <v>96</v>
      </c>
      <c r="V41" s="4">
        <v>0.7</v>
      </c>
      <c r="W41" s="2">
        <v>0</v>
      </c>
      <c r="X41">
        <v>0</v>
      </c>
      <c r="Y41" t="s">
        <v>70</v>
      </c>
      <c r="Z41" t="s">
        <v>97</v>
      </c>
      <c r="AA41">
        <v>6</v>
      </c>
      <c r="AB41" s="2">
        <v>354.6</v>
      </c>
      <c r="AC41" s="2">
        <v>0</v>
      </c>
      <c r="AD41" s="4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59.1</v>
      </c>
      <c r="AM41" s="2">
        <v>0</v>
      </c>
      <c r="AN41" s="2">
        <v>354.6</v>
      </c>
      <c r="AO41" s="2">
        <v>0</v>
      </c>
      <c r="AP41" s="2">
        <v>0</v>
      </c>
      <c r="AQ41" s="2">
        <v>0</v>
      </c>
    </row>
    <row r="42" spans="1:43" x14ac:dyDescent="0.25">
      <c r="A42" s="1">
        <v>45915</v>
      </c>
      <c r="B42" t="s">
        <v>47</v>
      </c>
      <c r="C42">
        <v>649163</v>
      </c>
      <c r="D42">
        <v>2031047976</v>
      </c>
      <c r="E42" t="s">
        <v>659</v>
      </c>
      <c r="F42" t="s">
        <v>658</v>
      </c>
      <c r="G42" t="s">
        <v>50</v>
      </c>
      <c r="H42" t="s">
        <v>115</v>
      </c>
      <c r="I42" t="s">
        <v>441</v>
      </c>
      <c r="J42" t="s">
        <v>442</v>
      </c>
      <c r="K42">
        <v>756418</v>
      </c>
      <c r="L42" t="s">
        <v>257</v>
      </c>
      <c r="M42" t="s">
        <v>258</v>
      </c>
      <c r="N42" t="s">
        <v>1100</v>
      </c>
      <c r="O42" t="s">
        <v>56</v>
      </c>
      <c r="P42" s="1">
        <v>45914</v>
      </c>
      <c r="Q42" s="1">
        <v>45944</v>
      </c>
      <c r="R42" s="2">
        <v>22.38</v>
      </c>
      <c r="S42">
        <v>1</v>
      </c>
      <c r="T42" t="s">
        <v>57</v>
      </c>
      <c r="U42" t="s">
        <v>96</v>
      </c>
      <c r="V42" s="4">
        <v>0.9</v>
      </c>
      <c r="W42" s="2">
        <v>0</v>
      </c>
      <c r="X42">
        <v>0</v>
      </c>
      <c r="Y42" t="s">
        <v>70</v>
      </c>
      <c r="Z42" t="s">
        <v>97</v>
      </c>
      <c r="AA42">
        <v>6</v>
      </c>
      <c r="AB42" s="2">
        <v>120.84</v>
      </c>
      <c r="AC42" s="2">
        <v>0</v>
      </c>
      <c r="AD42" s="4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20.14</v>
      </c>
      <c r="AM42" s="2">
        <v>0</v>
      </c>
      <c r="AN42" s="2">
        <v>120.84</v>
      </c>
      <c r="AO42" s="2">
        <v>0</v>
      </c>
      <c r="AP42" s="2">
        <v>0</v>
      </c>
      <c r="AQ42" s="2">
        <v>0</v>
      </c>
    </row>
    <row r="43" spans="1:43" x14ac:dyDescent="0.25">
      <c r="A43" s="1">
        <v>45915</v>
      </c>
      <c r="B43" t="s">
        <v>47</v>
      </c>
      <c r="C43">
        <v>649163</v>
      </c>
      <c r="D43">
        <v>2031032748</v>
      </c>
      <c r="E43" t="s">
        <v>663</v>
      </c>
      <c r="F43" t="s">
        <v>662</v>
      </c>
      <c r="G43" t="s">
        <v>50</v>
      </c>
      <c r="H43" t="s">
        <v>93</v>
      </c>
      <c r="I43" t="s">
        <v>306</v>
      </c>
      <c r="J43" t="s">
        <v>307</v>
      </c>
      <c r="K43">
        <v>882035</v>
      </c>
      <c r="L43" t="s">
        <v>661</v>
      </c>
      <c r="M43" t="s">
        <v>660</v>
      </c>
      <c r="N43" t="s">
        <v>1099</v>
      </c>
      <c r="O43" t="s">
        <v>56</v>
      </c>
      <c r="P43" s="1">
        <v>45931</v>
      </c>
      <c r="Q43" s="1">
        <v>45962</v>
      </c>
      <c r="R43" s="2">
        <v>77.48</v>
      </c>
      <c r="S43">
        <v>1</v>
      </c>
      <c r="T43" t="s">
        <v>57</v>
      </c>
      <c r="U43" t="s">
        <v>96</v>
      </c>
      <c r="V43" s="3">
        <v>0.375</v>
      </c>
      <c r="W43" s="2">
        <v>0</v>
      </c>
      <c r="X43">
        <v>0</v>
      </c>
      <c r="Y43" t="s">
        <v>70</v>
      </c>
      <c r="Z43" t="s">
        <v>97</v>
      </c>
      <c r="AA43">
        <v>6</v>
      </c>
      <c r="AB43" s="2">
        <v>174.36</v>
      </c>
      <c r="AC43" s="2">
        <v>0</v>
      </c>
      <c r="AD43" s="4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29.06</v>
      </c>
      <c r="AM43" s="2">
        <v>0</v>
      </c>
      <c r="AN43" s="2">
        <v>174.36</v>
      </c>
      <c r="AO43" s="2">
        <v>0</v>
      </c>
      <c r="AP43" s="2">
        <v>0</v>
      </c>
      <c r="AQ43" s="2">
        <v>0</v>
      </c>
    </row>
    <row r="44" spans="1:43" x14ac:dyDescent="0.25">
      <c r="A44" s="1">
        <v>45915</v>
      </c>
      <c r="B44" t="s">
        <v>47</v>
      </c>
      <c r="C44">
        <v>649163</v>
      </c>
      <c r="D44">
        <v>2031032749</v>
      </c>
      <c r="E44" t="s">
        <v>663</v>
      </c>
      <c r="F44" t="s">
        <v>662</v>
      </c>
      <c r="G44" t="s">
        <v>50</v>
      </c>
      <c r="H44" t="s">
        <v>93</v>
      </c>
      <c r="I44" t="s">
        <v>441</v>
      </c>
      <c r="J44" t="s">
        <v>445</v>
      </c>
      <c r="K44">
        <v>882035</v>
      </c>
      <c r="L44" t="s">
        <v>661</v>
      </c>
      <c r="M44" t="s">
        <v>660</v>
      </c>
      <c r="N44" t="s">
        <v>1099</v>
      </c>
      <c r="O44" t="s">
        <v>56</v>
      </c>
      <c r="P44" s="1">
        <v>45931</v>
      </c>
      <c r="Q44" s="1">
        <v>45962</v>
      </c>
      <c r="R44" s="2">
        <v>102.7</v>
      </c>
      <c r="S44">
        <v>1</v>
      </c>
      <c r="T44" t="s">
        <v>57</v>
      </c>
      <c r="U44" t="s">
        <v>96</v>
      </c>
      <c r="V44" s="4">
        <v>0.7</v>
      </c>
      <c r="W44" s="2">
        <v>0</v>
      </c>
      <c r="X44">
        <v>0</v>
      </c>
      <c r="Y44" t="s">
        <v>70</v>
      </c>
      <c r="Z44" t="s">
        <v>97</v>
      </c>
      <c r="AA44">
        <v>6</v>
      </c>
      <c r="AB44" s="2">
        <v>431.34</v>
      </c>
      <c r="AC44" s="2">
        <v>0</v>
      </c>
      <c r="AD44" s="4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71.89</v>
      </c>
      <c r="AM44" s="2">
        <v>0</v>
      </c>
      <c r="AN44" s="2">
        <v>431.34</v>
      </c>
      <c r="AO44" s="2">
        <v>0</v>
      </c>
      <c r="AP44" s="2">
        <v>0</v>
      </c>
      <c r="AQ44" s="2">
        <v>0</v>
      </c>
    </row>
    <row r="45" spans="1:43" x14ac:dyDescent="0.25">
      <c r="A45" s="1">
        <v>45915</v>
      </c>
      <c r="B45" t="s">
        <v>47</v>
      </c>
      <c r="C45">
        <v>649163</v>
      </c>
      <c r="D45">
        <v>2030924642</v>
      </c>
      <c r="E45" t="s">
        <v>648</v>
      </c>
      <c r="F45" t="s">
        <v>647</v>
      </c>
      <c r="G45" t="s">
        <v>50</v>
      </c>
      <c r="H45" t="s">
        <v>63</v>
      </c>
      <c r="I45" t="s">
        <v>106</v>
      </c>
      <c r="J45" t="s">
        <v>184</v>
      </c>
      <c r="K45">
        <v>874230</v>
      </c>
      <c r="L45" t="s">
        <v>644</v>
      </c>
      <c r="M45" t="s">
        <v>643</v>
      </c>
      <c r="N45" t="s">
        <v>1090</v>
      </c>
      <c r="O45" t="s">
        <v>56</v>
      </c>
      <c r="P45" s="1">
        <v>45911</v>
      </c>
      <c r="Q45" s="1">
        <v>45941</v>
      </c>
      <c r="R45" s="2">
        <v>17.77</v>
      </c>
      <c r="S45">
        <v>1</v>
      </c>
      <c r="T45" t="s">
        <v>57</v>
      </c>
      <c r="U45" t="s">
        <v>96</v>
      </c>
      <c r="V45" s="4">
        <v>0.75</v>
      </c>
      <c r="W45" s="2">
        <v>0</v>
      </c>
      <c r="X45">
        <v>0</v>
      </c>
      <c r="Y45" t="s">
        <v>70</v>
      </c>
      <c r="Z45" t="s">
        <v>97</v>
      </c>
      <c r="AA45">
        <v>6</v>
      </c>
      <c r="AB45" s="2">
        <v>79.98</v>
      </c>
      <c r="AC45" s="2">
        <v>0</v>
      </c>
      <c r="AD45" s="4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13.33</v>
      </c>
      <c r="AM45" s="2">
        <v>0</v>
      </c>
      <c r="AN45" s="2">
        <v>79.98</v>
      </c>
      <c r="AO45" s="2">
        <v>0</v>
      </c>
      <c r="AP45" s="2">
        <v>0</v>
      </c>
      <c r="AQ45" s="2">
        <v>0</v>
      </c>
    </row>
    <row r="46" spans="1:43" x14ac:dyDescent="0.25">
      <c r="A46" s="1">
        <v>45915</v>
      </c>
      <c r="B46" t="s">
        <v>47</v>
      </c>
      <c r="C46">
        <v>649163</v>
      </c>
      <c r="D46">
        <v>2030932601</v>
      </c>
      <c r="E46" t="s">
        <v>646</v>
      </c>
      <c r="F46" t="s">
        <v>368</v>
      </c>
      <c r="G46" t="s">
        <v>50</v>
      </c>
      <c r="H46" t="s">
        <v>63</v>
      </c>
      <c r="I46" t="s">
        <v>106</v>
      </c>
      <c r="J46" t="s">
        <v>184</v>
      </c>
      <c r="K46">
        <v>874230</v>
      </c>
      <c r="L46" t="s">
        <v>644</v>
      </c>
      <c r="M46" t="s">
        <v>643</v>
      </c>
      <c r="N46" t="s">
        <v>1090</v>
      </c>
      <c r="O46" t="s">
        <v>56</v>
      </c>
      <c r="P46" s="1">
        <v>45911</v>
      </c>
      <c r="Q46" s="1">
        <v>45941</v>
      </c>
      <c r="R46" s="2">
        <v>18.489999999999998</v>
      </c>
      <c r="S46">
        <v>1</v>
      </c>
      <c r="T46" t="s">
        <v>57</v>
      </c>
      <c r="U46" t="s">
        <v>96</v>
      </c>
      <c r="V46" s="4">
        <v>0.75</v>
      </c>
      <c r="W46" s="2">
        <v>0</v>
      </c>
      <c r="X46">
        <v>0</v>
      </c>
      <c r="Y46" t="s">
        <v>70</v>
      </c>
      <c r="Z46" t="s">
        <v>97</v>
      </c>
      <c r="AA46">
        <v>6</v>
      </c>
      <c r="AB46" s="2">
        <v>83.22</v>
      </c>
      <c r="AC46" s="2">
        <v>0</v>
      </c>
      <c r="AD46" s="4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13.87</v>
      </c>
      <c r="AM46" s="2">
        <v>0</v>
      </c>
      <c r="AN46" s="2">
        <v>83.22</v>
      </c>
      <c r="AO46" s="2">
        <v>0</v>
      </c>
      <c r="AP46" s="2">
        <v>0</v>
      </c>
      <c r="AQ46" s="2">
        <v>0</v>
      </c>
    </row>
    <row r="47" spans="1:43" x14ac:dyDescent="0.25">
      <c r="A47" s="1">
        <v>45915</v>
      </c>
      <c r="B47" t="s">
        <v>47</v>
      </c>
      <c r="C47">
        <v>649163</v>
      </c>
      <c r="D47">
        <v>2030924643</v>
      </c>
      <c r="E47" t="s">
        <v>648</v>
      </c>
      <c r="F47" t="s">
        <v>647</v>
      </c>
      <c r="G47" t="s">
        <v>50</v>
      </c>
      <c r="H47" t="s">
        <v>63</v>
      </c>
      <c r="I47" t="s">
        <v>243</v>
      </c>
      <c r="J47" t="s">
        <v>252</v>
      </c>
      <c r="K47">
        <v>874230</v>
      </c>
      <c r="L47" t="s">
        <v>644</v>
      </c>
      <c r="M47" t="s">
        <v>643</v>
      </c>
      <c r="N47" t="s">
        <v>1090</v>
      </c>
      <c r="O47" t="s">
        <v>56</v>
      </c>
      <c r="P47" s="1">
        <v>45911</v>
      </c>
      <c r="Q47" s="1">
        <v>45941</v>
      </c>
      <c r="R47" s="2">
        <v>15</v>
      </c>
      <c r="S47">
        <v>1</v>
      </c>
      <c r="T47" t="s">
        <v>57</v>
      </c>
      <c r="U47" t="s">
        <v>305</v>
      </c>
      <c r="V47" s="4">
        <v>0.19</v>
      </c>
      <c r="W47" s="2">
        <v>0</v>
      </c>
      <c r="X47">
        <v>0</v>
      </c>
      <c r="Y47" t="s">
        <v>70</v>
      </c>
      <c r="Z47" t="s">
        <v>97</v>
      </c>
      <c r="AA47">
        <v>6</v>
      </c>
      <c r="AB47" s="2">
        <v>17.100000000000001</v>
      </c>
      <c r="AC47" s="2">
        <v>0</v>
      </c>
      <c r="AD47" s="4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2.85</v>
      </c>
      <c r="AM47" s="2">
        <v>0</v>
      </c>
      <c r="AN47" s="2">
        <v>17.100000000000001</v>
      </c>
      <c r="AO47" s="2">
        <v>0</v>
      </c>
      <c r="AP47" s="2">
        <v>0</v>
      </c>
      <c r="AQ47" s="2">
        <v>0</v>
      </c>
    </row>
    <row r="48" spans="1:43" x14ac:dyDescent="0.25">
      <c r="A48" s="1">
        <v>45915</v>
      </c>
      <c r="B48" t="s">
        <v>47</v>
      </c>
      <c r="C48">
        <v>649163</v>
      </c>
      <c r="D48">
        <v>2030932602</v>
      </c>
      <c r="E48" t="s">
        <v>646</v>
      </c>
      <c r="F48" t="s">
        <v>368</v>
      </c>
      <c r="G48" t="s">
        <v>50</v>
      </c>
      <c r="H48" t="s">
        <v>63</v>
      </c>
      <c r="I48" t="s">
        <v>243</v>
      </c>
      <c r="J48" t="s">
        <v>252</v>
      </c>
      <c r="K48">
        <v>874230</v>
      </c>
      <c r="L48" t="s">
        <v>644</v>
      </c>
      <c r="M48" t="s">
        <v>643</v>
      </c>
      <c r="N48" t="s">
        <v>1090</v>
      </c>
      <c r="O48" t="s">
        <v>56</v>
      </c>
      <c r="P48" s="1">
        <v>45911</v>
      </c>
      <c r="Q48" s="1">
        <v>45941</v>
      </c>
      <c r="R48" s="2">
        <v>15</v>
      </c>
      <c r="S48">
        <v>1</v>
      </c>
      <c r="T48" t="s">
        <v>57</v>
      </c>
      <c r="U48" t="s">
        <v>305</v>
      </c>
      <c r="V48" s="4">
        <v>0.19</v>
      </c>
      <c r="W48" s="2">
        <v>0</v>
      </c>
      <c r="X48">
        <v>0</v>
      </c>
      <c r="Y48" t="s">
        <v>70</v>
      </c>
      <c r="Z48" t="s">
        <v>97</v>
      </c>
      <c r="AA48">
        <v>6</v>
      </c>
      <c r="AB48" s="2">
        <v>17.100000000000001</v>
      </c>
      <c r="AC48" s="2">
        <v>0</v>
      </c>
      <c r="AD48" s="4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2.85</v>
      </c>
      <c r="AM48" s="2">
        <v>0</v>
      </c>
      <c r="AN48" s="2">
        <v>17.100000000000001</v>
      </c>
      <c r="AO48" s="2">
        <v>0</v>
      </c>
      <c r="AP48" s="2">
        <v>0</v>
      </c>
      <c r="AQ48" s="2">
        <v>0</v>
      </c>
    </row>
    <row r="49" spans="1:43" x14ac:dyDescent="0.25">
      <c r="A49" s="1">
        <v>45915</v>
      </c>
      <c r="B49" t="s">
        <v>47</v>
      </c>
      <c r="C49">
        <v>649163</v>
      </c>
      <c r="D49">
        <v>2030924641</v>
      </c>
      <c r="E49" t="s">
        <v>648</v>
      </c>
      <c r="F49" t="s">
        <v>647</v>
      </c>
      <c r="G49" t="s">
        <v>50</v>
      </c>
      <c r="H49" t="s">
        <v>63</v>
      </c>
      <c r="I49" t="s">
        <v>441</v>
      </c>
      <c r="J49" t="s">
        <v>445</v>
      </c>
      <c r="K49">
        <v>874230</v>
      </c>
      <c r="L49" t="s">
        <v>644</v>
      </c>
      <c r="M49" t="s">
        <v>643</v>
      </c>
      <c r="N49" t="s">
        <v>1090</v>
      </c>
      <c r="O49" t="s">
        <v>56</v>
      </c>
      <c r="P49" s="1">
        <v>45911</v>
      </c>
      <c r="Q49" s="1">
        <v>45941</v>
      </c>
      <c r="R49" s="2">
        <v>65.48</v>
      </c>
      <c r="S49">
        <v>1</v>
      </c>
      <c r="T49" t="s">
        <v>57</v>
      </c>
      <c r="U49" t="s">
        <v>96</v>
      </c>
      <c r="V49" s="4">
        <v>0.7</v>
      </c>
      <c r="W49" s="2">
        <v>0</v>
      </c>
      <c r="X49">
        <v>0</v>
      </c>
      <c r="Y49" t="s">
        <v>70</v>
      </c>
      <c r="Z49" t="s">
        <v>97</v>
      </c>
      <c r="AA49">
        <v>6</v>
      </c>
      <c r="AB49" s="2">
        <v>275.04000000000002</v>
      </c>
      <c r="AC49" s="2">
        <v>0</v>
      </c>
      <c r="AD49" s="4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45.84</v>
      </c>
      <c r="AM49" s="2">
        <v>0</v>
      </c>
      <c r="AN49" s="2">
        <v>275.04000000000002</v>
      </c>
      <c r="AO49" s="2">
        <v>0</v>
      </c>
      <c r="AP49" s="2">
        <v>0</v>
      </c>
      <c r="AQ49" s="2">
        <v>0</v>
      </c>
    </row>
    <row r="50" spans="1:43" x14ac:dyDescent="0.25">
      <c r="A50" s="1">
        <v>45915</v>
      </c>
      <c r="B50" t="s">
        <v>47</v>
      </c>
      <c r="C50">
        <v>649163</v>
      </c>
      <c r="D50">
        <v>2030932600</v>
      </c>
      <c r="E50" t="s">
        <v>646</v>
      </c>
      <c r="F50" t="s">
        <v>368</v>
      </c>
      <c r="G50" t="s">
        <v>50</v>
      </c>
      <c r="H50" t="s">
        <v>63</v>
      </c>
      <c r="I50" t="s">
        <v>441</v>
      </c>
      <c r="J50" t="s">
        <v>445</v>
      </c>
      <c r="K50">
        <v>874230</v>
      </c>
      <c r="L50" t="s">
        <v>644</v>
      </c>
      <c r="M50" t="s">
        <v>643</v>
      </c>
      <c r="N50" t="s">
        <v>1090</v>
      </c>
      <c r="O50" t="s">
        <v>56</v>
      </c>
      <c r="P50" s="1">
        <v>45911</v>
      </c>
      <c r="Q50" s="1">
        <v>45941</v>
      </c>
      <c r="R50" s="2">
        <v>65.48</v>
      </c>
      <c r="S50">
        <v>1</v>
      </c>
      <c r="T50" t="s">
        <v>57</v>
      </c>
      <c r="U50" t="s">
        <v>96</v>
      </c>
      <c r="V50" s="4">
        <v>0.7</v>
      </c>
      <c r="W50" s="2">
        <v>0</v>
      </c>
      <c r="X50">
        <v>0</v>
      </c>
      <c r="Y50" t="s">
        <v>70</v>
      </c>
      <c r="Z50" t="s">
        <v>97</v>
      </c>
      <c r="AA50">
        <v>6</v>
      </c>
      <c r="AB50" s="2">
        <v>275.04000000000002</v>
      </c>
      <c r="AC50" s="2">
        <v>0</v>
      </c>
      <c r="AD50" s="4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45.84</v>
      </c>
      <c r="AM50" s="2">
        <v>0</v>
      </c>
      <c r="AN50" s="2">
        <v>275.04000000000002</v>
      </c>
      <c r="AO50" s="2">
        <v>0</v>
      </c>
      <c r="AP50" s="2">
        <v>0</v>
      </c>
      <c r="AQ50" s="2">
        <v>0</v>
      </c>
    </row>
    <row r="51" spans="1:43" x14ac:dyDescent="0.25">
      <c r="A51" s="1">
        <v>45915</v>
      </c>
      <c r="B51" t="s">
        <v>47</v>
      </c>
      <c r="C51">
        <v>649163</v>
      </c>
      <c r="D51">
        <v>2030924640</v>
      </c>
      <c r="E51" t="s">
        <v>648</v>
      </c>
      <c r="F51" t="s">
        <v>647</v>
      </c>
      <c r="G51" t="s">
        <v>50</v>
      </c>
      <c r="H51" t="s">
        <v>63</v>
      </c>
      <c r="I51" t="s">
        <v>569</v>
      </c>
      <c r="J51" t="s">
        <v>645</v>
      </c>
      <c r="K51">
        <v>874230</v>
      </c>
      <c r="L51" t="s">
        <v>644</v>
      </c>
      <c r="M51" t="s">
        <v>643</v>
      </c>
      <c r="N51" t="s">
        <v>1090</v>
      </c>
      <c r="O51" t="s">
        <v>56</v>
      </c>
      <c r="P51" s="1">
        <v>45911</v>
      </c>
      <c r="Q51" s="1">
        <v>45941</v>
      </c>
      <c r="R51" s="2">
        <v>163.94</v>
      </c>
      <c r="S51">
        <v>1</v>
      </c>
      <c r="T51" t="s">
        <v>57</v>
      </c>
      <c r="U51" t="s">
        <v>305</v>
      </c>
      <c r="V51" s="4">
        <v>0.19</v>
      </c>
      <c r="W51" s="2">
        <v>0</v>
      </c>
      <c r="X51">
        <v>0</v>
      </c>
      <c r="Y51" t="s">
        <v>70</v>
      </c>
      <c r="Z51" t="s">
        <v>97</v>
      </c>
      <c r="AA51">
        <v>6</v>
      </c>
      <c r="AB51" s="2">
        <v>186.9</v>
      </c>
      <c r="AC51" s="2">
        <v>0</v>
      </c>
      <c r="AD51" s="4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31.15</v>
      </c>
      <c r="AM51" s="2">
        <v>0</v>
      </c>
      <c r="AN51" s="2">
        <v>186.9</v>
      </c>
      <c r="AO51" s="2">
        <v>0</v>
      </c>
      <c r="AP51" s="2">
        <v>0</v>
      </c>
      <c r="AQ51" s="2">
        <v>0</v>
      </c>
    </row>
    <row r="52" spans="1:43" x14ac:dyDescent="0.25">
      <c r="A52" s="1">
        <v>45915</v>
      </c>
      <c r="B52" t="s">
        <v>47</v>
      </c>
      <c r="C52">
        <v>649163</v>
      </c>
      <c r="D52">
        <v>2030932599</v>
      </c>
      <c r="E52" t="s">
        <v>646</v>
      </c>
      <c r="F52" t="s">
        <v>368</v>
      </c>
      <c r="G52" t="s">
        <v>50</v>
      </c>
      <c r="H52" t="s">
        <v>63</v>
      </c>
      <c r="I52" t="s">
        <v>569</v>
      </c>
      <c r="J52" t="s">
        <v>645</v>
      </c>
      <c r="K52">
        <v>874230</v>
      </c>
      <c r="L52" t="s">
        <v>644</v>
      </c>
      <c r="M52" t="s">
        <v>643</v>
      </c>
      <c r="N52" t="s">
        <v>1090</v>
      </c>
      <c r="O52" t="s">
        <v>56</v>
      </c>
      <c r="P52" s="1">
        <v>45911</v>
      </c>
      <c r="Q52" s="1">
        <v>45941</v>
      </c>
      <c r="R52" s="2">
        <v>196.19</v>
      </c>
      <c r="S52">
        <v>1</v>
      </c>
      <c r="T52" t="s">
        <v>57</v>
      </c>
      <c r="U52" t="s">
        <v>305</v>
      </c>
      <c r="V52" s="4">
        <v>0.19</v>
      </c>
      <c r="W52" s="2">
        <v>0</v>
      </c>
      <c r="X52">
        <v>0</v>
      </c>
      <c r="Y52" t="s">
        <v>70</v>
      </c>
      <c r="Z52" t="s">
        <v>97</v>
      </c>
      <c r="AA52">
        <v>6</v>
      </c>
      <c r="AB52" s="2">
        <v>223.68</v>
      </c>
      <c r="AC52" s="2">
        <v>0</v>
      </c>
      <c r="AD52" s="4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37.28</v>
      </c>
      <c r="AM52" s="2">
        <v>0</v>
      </c>
      <c r="AN52" s="2">
        <v>223.68</v>
      </c>
      <c r="AO52" s="2">
        <v>0</v>
      </c>
      <c r="AP52" s="2">
        <v>0</v>
      </c>
      <c r="AQ52" s="2">
        <v>0</v>
      </c>
    </row>
    <row r="53" spans="1:43" x14ac:dyDescent="0.25">
      <c r="A53" s="1">
        <v>45915</v>
      </c>
      <c r="B53" t="s">
        <v>47</v>
      </c>
      <c r="C53">
        <v>649163</v>
      </c>
      <c r="D53">
        <v>2030941928</v>
      </c>
      <c r="E53" t="s">
        <v>766</v>
      </c>
      <c r="F53" t="s">
        <v>765</v>
      </c>
      <c r="G53" t="s">
        <v>50</v>
      </c>
      <c r="H53" t="s">
        <v>83</v>
      </c>
      <c r="I53" t="s">
        <v>52</v>
      </c>
      <c r="J53" t="s">
        <v>53</v>
      </c>
      <c r="K53">
        <v>751867</v>
      </c>
      <c r="L53" t="s">
        <v>84</v>
      </c>
      <c r="M53" t="s">
        <v>85</v>
      </c>
      <c r="N53" t="s">
        <v>1089</v>
      </c>
      <c r="O53" t="s">
        <v>56</v>
      </c>
      <c r="P53" s="1">
        <v>45909</v>
      </c>
      <c r="Q53" s="1">
        <v>45939</v>
      </c>
      <c r="R53" s="2">
        <v>56.69</v>
      </c>
      <c r="S53">
        <v>1</v>
      </c>
      <c r="T53" t="s">
        <v>57</v>
      </c>
      <c r="U53" t="s">
        <v>96</v>
      </c>
      <c r="V53" s="4">
        <v>0.6</v>
      </c>
      <c r="W53" s="2">
        <v>0</v>
      </c>
      <c r="X53">
        <v>0</v>
      </c>
      <c r="Y53" t="s">
        <v>70</v>
      </c>
      <c r="Z53" t="s">
        <v>97</v>
      </c>
      <c r="AA53">
        <v>6</v>
      </c>
      <c r="AB53" s="2">
        <v>204.06</v>
      </c>
      <c r="AC53" s="2">
        <v>0</v>
      </c>
      <c r="AD53" s="4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34.01</v>
      </c>
      <c r="AM53" s="2">
        <v>0</v>
      </c>
      <c r="AN53" s="2">
        <v>204.06</v>
      </c>
      <c r="AO53" s="2">
        <v>0</v>
      </c>
      <c r="AP53" s="2">
        <v>0</v>
      </c>
      <c r="AQ53" s="2">
        <v>0</v>
      </c>
    </row>
    <row r="54" spans="1:43" x14ac:dyDescent="0.25">
      <c r="A54" s="1">
        <v>45915</v>
      </c>
      <c r="B54" t="s">
        <v>47</v>
      </c>
      <c r="C54">
        <v>649163</v>
      </c>
      <c r="D54">
        <v>2031001702</v>
      </c>
      <c r="E54" t="s">
        <v>667</v>
      </c>
      <c r="F54" t="s">
        <v>666</v>
      </c>
      <c r="G54" t="s">
        <v>50</v>
      </c>
      <c r="H54" t="s">
        <v>77</v>
      </c>
      <c r="I54" t="s">
        <v>243</v>
      </c>
      <c r="J54" t="s">
        <v>249</v>
      </c>
      <c r="K54">
        <v>751867</v>
      </c>
      <c r="L54" t="s">
        <v>84</v>
      </c>
      <c r="M54" t="s">
        <v>85</v>
      </c>
      <c r="N54" t="s">
        <v>1089</v>
      </c>
      <c r="O54" t="s">
        <v>56</v>
      </c>
      <c r="P54" s="1">
        <v>45931</v>
      </c>
      <c r="Q54" s="1">
        <v>45962</v>
      </c>
      <c r="R54" s="2">
        <v>15</v>
      </c>
      <c r="S54">
        <v>1</v>
      </c>
      <c r="T54" t="s">
        <v>57</v>
      </c>
      <c r="U54" t="s">
        <v>96</v>
      </c>
      <c r="V54" s="4">
        <v>0.38</v>
      </c>
      <c r="W54" s="2">
        <v>0</v>
      </c>
      <c r="X54">
        <v>0</v>
      </c>
      <c r="Y54" t="s">
        <v>70</v>
      </c>
      <c r="Z54" t="s">
        <v>97</v>
      </c>
      <c r="AA54">
        <v>6</v>
      </c>
      <c r="AB54" s="2">
        <v>34.200000000000003</v>
      </c>
      <c r="AC54" s="2">
        <v>0</v>
      </c>
      <c r="AD54" s="4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5.7</v>
      </c>
      <c r="AM54" s="2">
        <v>0</v>
      </c>
      <c r="AN54" s="2">
        <v>34.200000000000003</v>
      </c>
      <c r="AO54" s="2">
        <v>0</v>
      </c>
      <c r="AP54" s="2">
        <v>0</v>
      </c>
      <c r="AQ54" s="2">
        <v>0</v>
      </c>
    </row>
    <row r="55" spans="1:43" x14ac:dyDescent="0.25">
      <c r="A55" s="1">
        <v>45915</v>
      </c>
      <c r="B55" t="s">
        <v>47</v>
      </c>
      <c r="C55">
        <v>649163</v>
      </c>
      <c r="D55">
        <v>2031001699</v>
      </c>
      <c r="E55" t="s">
        <v>667</v>
      </c>
      <c r="F55" t="s">
        <v>666</v>
      </c>
      <c r="G55" t="s">
        <v>50</v>
      </c>
      <c r="H55" t="s">
        <v>77</v>
      </c>
      <c r="I55" t="s">
        <v>306</v>
      </c>
      <c r="J55" t="s">
        <v>307</v>
      </c>
      <c r="K55">
        <v>751867</v>
      </c>
      <c r="L55" t="s">
        <v>84</v>
      </c>
      <c r="M55" t="s">
        <v>85</v>
      </c>
      <c r="N55" t="s">
        <v>1089</v>
      </c>
      <c r="O55" t="s">
        <v>56</v>
      </c>
      <c r="P55" s="1">
        <v>45931</v>
      </c>
      <c r="Q55" s="1">
        <v>45962</v>
      </c>
      <c r="R55" s="2">
        <v>25.07</v>
      </c>
      <c r="S55">
        <v>1</v>
      </c>
      <c r="T55" t="s">
        <v>57</v>
      </c>
      <c r="U55" t="s">
        <v>96</v>
      </c>
      <c r="V55" s="3">
        <v>0.375</v>
      </c>
      <c r="W55" s="2">
        <v>0</v>
      </c>
      <c r="X55">
        <v>0</v>
      </c>
      <c r="Y55" t="s">
        <v>70</v>
      </c>
      <c r="Z55" t="s">
        <v>97</v>
      </c>
      <c r="AA55">
        <v>6</v>
      </c>
      <c r="AB55" s="2">
        <v>56.4</v>
      </c>
      <c r="AC55" s="2">
        <v>0</v>
      </c>
      <c r="AD55" s="4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9.4</v>
      </c>
      <c r="AM55" s="2">
        <v>0</v>
      </c>
      <c r="AN55" s="2">
        <v>56.4</v>
      </c>
      <c r="AO55" s="2">
        <v>0</v>
      </c>
      <c r="AP55" s="2">
        <v>0</v>
      </c>
      <c r="AQ55" s="2">
        <v>0</v>
      </c>
    </row>
    <row r="56" spans="1:43" x14ac:dyDescent="0.25">
      <c r="A56" s="1">
        <v>45915</v>
      </c>
      <c r="B56" t="s">
        <v>47</v>
      </c>
      <c r="C56">
        <v>649163</v>
      </c>
      <c r="D56">
        <v>2030937252</v>
      </c>
      <c r="E56" t="s">
        <v>767</v>
      </c>
      <c r="F56" t="s">
        <v>163</v>
      </c>
      <c r="G56" t="s">
        <v>50</v>
      </c>
      <c r="H56" t="s">
        <v>51</v>
      </c>
      <c r="I56" t="s">
        <v>430</v>
      </c>
      <c r="J56" t="s">
        <v>431</v>
      </c>
      <c r="K56">
        <v>751867</v>
      </c>
      <c r="L56" t="s">
        <v>84</v>
      </c>
      <c r="M56" t="s">
        <v>85</v>
      </c>
      <c r="N56" t="s">
        <v>1089</v>
      </c>
      <c r="O56" t="s">
        <v>56</v>
      </c>
      <c r="P56" s="1">
        <v>45909</v>
      </c>
      <c r="Q56" s="1">
        <v>45939</v>
      </c>
      <c r="R56" s="2">
        <v>19.309999999999999</v>
      </c>
      <c r="S56">
        <v>1</v>
      </c>
      <c r="T56" t="s">
        <v>57</v>
      </c>
      <c r="U56" t="s">
        <v>96</v>
      </c>
      <c r="V56" s="4">
        <v>0.38</v>
      </c>
      <c r="W56" s="2">
        <v>0</v>
      </c>
      <c r="X56">
        <v>0</v>
      </c>
      <c r="Y56" t="s">
        <v>70</v>
      </c>
      <c r="Z56" t="s">
        <v>97</v>
      </c>
      <c r="AA56">
        <v>6</v>
      </c>
      <c r="AB56" s="2">
        <v>44.04</v>
      </c>
      <c r="AC56" s="2">
        <v>0</v>
      </c>
      <c r="AD56" s="4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7.34</v>
      </c>
      <c r="AM56" s="2">
        <v>0</v>
      </c>
      <c r="AN56" s="2">
        <v>44.04</v>
      </c>
      <c r="AO56" s="2">
        <v>0</v>
      </c>
      <c r="AP56" s="2">
        <v>0</v>
      </c>
      <c r="AQ56" s="2">
        <v>0</v>
      </c>
    </row>
    <row r="57" spans="1:43" x14ac:dyDescent="0.25">
      <c r="A57" s="1">
        <v>45915</v>
      </c>
      <c r="B57" t="s">
        <v>47</v>
      </c>
      <c r="C57">
        <v>649163</v>
      </c>
      <c r="D57">
        <v>2030937253</v>
      </c>
      <c r="E57" t="s">
        <v>767</v>
      </c>
      <c r="F57" t="s">
        <v>163</v>
      </c>
      <c r="G57" t="s">
        <v>50</v>
      </c>
      <c r="H57" t="s">
        <v>51</v>
      </c>
      <c r="I57" t="s">
        <v>430</v>
      </c>
      <c r="J57" t="s">
        <v>88</v>
      </c>
      <c r="K57">
        <v>751867</v>
      </c>
      <c r="L57" t="s">
        <v>84</v>
      </c>
      <c r="M57" t="s">
        <v>85</v>
      </c>
      <c r="N57" t="s">
        <v>1089</v>
      </c>
      <c r="O57" t="s">
        <v>56</v>
      </c>
      <c r="P57" s="1">
        <v>45909</v>
      </c>
      <c r="Q57" s="1">
        <v>45939</v>
      </c>
      <c r="R57" s="2">
        <v>41.81</v>
      </c>
      <c r="S57">
        <v>1</v>
      </c>
      <c r="T57" t="s">
        <v>57</v>
      </c>
      <c r="U57" t="s">
        <v>96</v>
      </c>
      <c r="V57" s="4">
        <v>0.6</v>
      </c>
      <c r="W57" s="2">
        <v>0</v>
      </c>
      <c r="X57">
        <v>0</v>
      </c>
      <c r="Y57" t="s">
        <v>70</v>
      </c>
      <c r="Z57" t="s">
        <v>97</v>
      </c>
      <c r="AA57">
        <v>6</v>
      </c>
      <c r="AB57" s="2">
        <v>150.54</v>
      </c>
      <c r="AC57" s="2">
        <v>0</v>
      </c>
      <c r="AD57" s="4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25.09</v>
      </c>
      <c r="AM57" s="2">
        <v>0</v>
      </c>
      <c r="AN57" s="2">
        <v>150.54</v>
      </c>
      <c r="AO57" s="2">
        <v>0</v>
      </c>
      <c r="AP57" s="2">
        <v>0</v>
      </c>
      <c r="AQ57" s="2">
        <v>0</v>
      </c>
    </row>
    <row r="58" spans="1:43" x14ac:dyDescent="0.25">
      <c r="A58" s="1">
        <v>45915</v>
      </c>
      <c r="B58" t="s">
        <v>47</v>
      </c>
      <c r="C58">
        <v>649163</v>
      </c>
      <c r="D58">
        <v>2030941927</v>
      </c>
      <c r="E58" t="s">
        <v>766</v>
      </c>
      <c r="F58" t="s">
        <v>765</v>
      </c>
      <c r="G58" t="s">
        <v>50</v>
      </c>
      <c r="H58" t="s">
        <v>83</v>
      </c>
      <c r="I58" t="s">
        <v>430</v>
      </c>
      <c r="J58" t="s">
        <v>431</v>
      </c>
      <c r="K58">
        <v>751867</v>
      </c>
      <c r="L58" t="s">
        <v>84</v>
      </c>
      <c r="M58" t="s">
        <v>85</v>
      </c>
      <c r="N58" t="s">
        <v>1089</v>
      </c>
      <c r="O58" t="s">
        <v>56</v>
      </c>
      <c r="P58" s="1">
        <v>45909</v>
      </c>
      <c r="Q58" s="1">
        <v>45939</v>
      </c>
      <c r="R58" s="2">
        <v>15.06</v>
      </c>
      <c r="S58">
        <v>1</v>
      </c>
      <c r="T58" t="s">
        <v>57</v>
      </c>
      <c r="U58" t="s">
        <v>96</v>
      </c>
      <c r="V58" s="4">
        <v>0.38</v>
      </c>
      <c r="W58" s="2">
        <v>0</v>
      </c>
      <c r="X58">
        <v>0</v>
      </c>
      <c r="Y58" t="s">
        <v>70</v>
      </c>
      <c r="Z58" t="s">
        <v>97</v>
      </c>
      <c r="AA58">
        <v>6</v>
      </c>
      <c r="AB58" s="2">
        <v>34.32</v>
      </c>
      <c r="AC58" s="2">
        <v>0</v>
      </c>
      <c r="AD58" s="4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5.72</v>
      </c>
      <c r="AM58" s="2">
        <v>0</v>
      </c>
      <c r="AN58" s="2">
        <v>34.32</v>
      </c>
      <c r="AO58" s="2">
        <v>0</v>
      </c>
      <c r="AP58" s="2">
        <v>0</v>
      </c>
      <c r="AQ58" s="2">
        <v>0</v>
      </c>
    </row>
    <row r="59" spans="1:43" x14ac:dyDescent="0.25">
      <c r="A59" s="1">
        <v>45915</v>
      </c>
      <c r="B59" t="s">
        <v>47</v>
      </c>
      <c r="C59">
        <v>649163</v>
      </c>
      <c r="D59">
        <v>2031001700</v>
      </c>
      <c r="E59" t="s">
        <v>667</v>
      </c>
      <c r="F59" t="s">
        <v>666</v>
      </c>
      <c r="G59" t="s">
        <v>50</v>
      </c>
      <c r="H59" t="s">
        <v>77</v>
      </c>
      <c r="I59" t="s">
        <v>430</v>
      </c>
      <c r="J59" t="s">
        <v>431</v>
      </c>
      <c r="K59">
        <v>751867</v>
      </c>
      <c r="L59" t="s">
        <v>84</v>
      </c>
      <c r="M59" t="s">
        <v>85</v>
      </c>
      <c r="N59" t="s">
        <v>1089</v>
      </c>
      <c r="O59" t="s">
        <v>56</v>
      </c>
      <c r="P59" s="1">
        <v>45931</v>
      </c>
      <c r="Q59" s="1">
        <v>45962</v>
      </c>
      <c r="R59" s="2">
        <v>13.38</v>
      </c>
      <c r="S59">
        <v>1</v>
      </c>
      <c r="T59" t="s">
        <v>57</v>
      </c>
      <c r="U59" t="s">
        <v>96</v>
      </c>
      <c r="V59" s="4">
        <v>0.38</v>
      </c>
      <c r="W59" s="2">
        <v>0</v>
      </c>
      <c r="X59">
        <v>0</v>
      </c>
      <c r="Y59" t="s">
        <v>70</v>
      </c>
      <c r="Z59" t="s">
        <v>97</v>
      </c>
      <c r="AA59">
        <v>6</v>
      </c>
      <c r="AB59" s="2">
        <v>30.48</v>
      </c>
      <c r="AC59" s="2">
        <v>0</v>
      </c>
      <c r="AD59" s="4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5.08</v>
      </c>
      <c r="AM59" s="2">
        <v>0</v>
      </c>
      <c r="AN59" s="2">
        <v>30.48</v>
      </c>
      <c r="AO59" s="2">
        <v>0</v>
      </c>
      <c r="AP59" s="2">
        <v>0</v>
      </c>
      <c r="AQ59" s="2">
        <v>0</v>
      </c>
    </row>
    <row r="60" spans="1:43" x14ac:dyDescent="0.25">
      <c r="A60" s="1">
        <v>45915</v>
      </c>
      <c r="B60" t="s">
        <v>47</v>
      </c>
      <c r="C60">
        <v>649163</v>
      </c>
      <c r="D60">
        <v>2031001701</v>
      </c>
      <c r="E60" t="s">
        <v>667</v>
      </c>
      <c r="F60" t="s">
        <v>666</v>
      </c>
      <c r="G60" t="s">
        <v>50</v>
      </c>
      <c r="H60" t="s">
        <v>77</v>
      </c>
      <c r="I60" t="s">
        <v>441</v>
      </c>
      <c r="J60" t="s">
        <v>445</v>
      </c>
      <c r="K60">
        <v>751867</v>
      </c>
      <c r="L60" t="s">
        <v>84</v>
      </c>
      <c r="M60" t="s">
        <v>85</v>
      </c>
      <c r="N60" t="s">
        <v>1089</v>
      </c>
      <c r="O60" t="s">
        <v>56</v>
      </c>
      <c r="P60" s="1">
        <v>45931</v>
      </c>
      <c r="Q60" s="1">
        <v>45962</v>
      </c>
      <c r="R60" s="2">
        <v>21.71</v>
      </c>
      <c r="S60">
        <v>1</v>
      </c>
      <c r="T60" t="s">
        <v>57</v>
      </c>
      <c r="U60" t="s">
        <v>96</v>
      </c>
      <c r="V60" s="4">
        <v>0.7</v>
      </c>
      <c r="W60" s="2">
        <v>0</v>
      </c>
      <c r="X60">
        <v>0</v>
      </c>
      <c r="Y60" t="s">
        <v>70</v>
      </c>
      <c r="Z60" t="s">
        <v>97</v>
      </c>
      <c r="AA60">
        <v>6</v>
      </c>
      <c r="AB60" s="2">
        <v>91.2</v>
      </c>
      <c r="AC60" s="2">
        <v>0</v>
      </c>
      <c r="AD60" s="4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15.2</v>
      </c>
      <c r="AM60" s="2">
        <v>0</v>
      </c>
      <c r="AN60" s="2">
        <v>91.2</v>
      </c>
      <c r="AO60" s="2">
        <v>0</v>
      </c>
      <c r="AP60" s="2">
        <v>0</v>
      </c>
      <c r="AQ60" s="2">
        <v>0</v>
      </c>
    </row>
    <row r="61" spans="1:43" x14ac:dyDescent="0.25">
      <c r="A61" s="1">
        <v>45915</v>
      </c>
      <c r="B61" t="s">
        <v>47</v>
      </c>
      <c r="C61">
        <v>649163</v>
      </c>
      <c r="D61">
        <v>2030945328</v>
      </c>
      <c r="E61" t="s">
        <v>682</v>
      </c>
      <c r="F61" t="s">
        <v>49</v>
      </c>
      <c r="G61" t="s">
        <v>50</v>
      </c>
      <c r="H61" t="s">
        <v>93</v>
      </c>
      <c r="I61" t="s">
        <v>441</v>
      </c>
      <c r="J61" t="s">
        <v>445</v>
      </c>
      <c r="K61">
        <v>756803</v>
      </c>
      <c r="L61" t="s">
        <v>681</v>
      </c>
      <c r="M61" t="s">
        <v>558</v>
      </c>
      <c r="N61" t="s">
        <v>1101</v>
      </c>
      <c r="O61" t="s">
        <v>56</v>
      </c>
      <c r="P61" s="1">
        <v>45915</v>
      </c>
      <c r="Q61" s="1">
        <v>45945</v>
      </c>
      <c r="R61" s="2">
        <v>27.5</v>
      </c>
      <c r="S61">
        <v>1</v>
      </c>
      <c r="T61" t="s">
        <v>57</v>
      </c>
      <c r="U61" t="s">
        <v>96</v>
      </c>
      <c r="V61" s="4">
        <v>0.7</v>
      </c>
      <c r="W61" s="2">
        <v>0</v>
      </c>
      <c r="X61">
        <v>0</v>
      </c>
      <c r="Y61" t="s">
        <v>70</v>
      </c>
      <c r="Z61" t="s">
        <v>97</v>
      </c>
      <c r="AA61">
        <v>6</v>
      </c>
      <c r="AB61" s="2">
        <v>115.5</v>
      </c>
      <c r="AC61" s="2">
        <v>0</v>
      </c>
      <c r="AD61" s="4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19.25</v>
      </c>
      <c r="AM61" s="2">
        <v>0</v>
      </c>
      <c r="AN61" s="2">
        <v>115.5</v>
      </c>
      <c r="AO61" s="2">
        <v>0</v>
      </c>
      <c r="AP61" s="2">
        <v>0</v>
      </c>
      <c r="AQ61" s="2">
        <v>0</v>
      </c>
    </row>
    <row r="62" spans="1:43" x14ac:dyDescent="0.25">
      <c r="A62" s="1">
        <v>45915</v>
      </c>
      <c r="B62" t="s">
        <v>47</v>
      </c>
      <c r="C62">
        <v>649163</v>
      </c>
      <c r="D62">
        <v>2030846037</v>
      </c>
      <c r="E62" t="s">
        <v>414</v>
      </c>
      <c r="F62" t="s">
        <v>415</v>
      </c>
      <c r="G62" t="s">
        <v>50</v>
      </c>
      <c r="H62" t="s">
        <v>115</v>
      </c>
      <c r="I62" t="s">
        <v>306</v>
      </c>
      <c r="J62" t="s">
        <v>307</v>
      </c>
      <c r="K62">
        <v>822865</v>
      </c>
      <c r="L62" t="s">
        <v>158</v>
      </c>
      <c r="M62" t="s">
        <v>159</v>
      </c>
      <c r="N62" t="s">
        <v>1096</v>
      </c>
      <c r="O62" t="s">
        <v>56</v>
      </c>
      <c r="P62" s="1">
        <v>45913</v>
      </c>
      <c r="Q62" s="1">
        <v>45943</v>
      </c>
      <c r="R62" s="2">
        <v>28.38</v>
      </c>
      <c r="S62">
        <v>1</v>
      </c>
      <c r="T62" t="s">
        <v>57</v>
      </c>
      <c r="U62" t="s">
        <v>96</v>
      </c>
      <c r="V62" s="3">
        <v>0.375</v>
      </c>
      <c r="W62" s="2">
        <v>0</v>
      </c>
      <c r="X62">
        <v>0</v>
      </c>
      <c r="Y62" t="s">
        <v>70</v>
      </c>
      <c r="Z62" t="s">
        <v>97</v>
      </c>
      <c r="AA62">
        <v>6</v>
      </c>
      <c r="AB62" s="2">
        <v>63.84</v>
      </c>
      <c r="AC62" s="2">
        <v>0</v>
      </c>
      <c r="AD62" s="4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10.64</v>
      </c>
      <c r="AM62" s="2">
        <v>0</v>
      </c>
      <c r="AN62" s="2">
        <v>63.84</v>
      </c>
      <c r="AO62" s="2">
        <v>0</v>
      </c>
      <c r="AP62" s="2">
        <v>0</v>
      </c>
      <c r="AQ62" s="2">
        <v>0</v>
      </c>
    </row>
    <row r="63" spans="1:43" x14ac:dyDescent="0.25">
      <c r="A63" s="1">
        <v>45915</v>
      </c>
      <c r="B63" t="s">
        <v>47</v>
      </c>
      <c r="C63">
        <v>649163</v>
      </c>
      <c r="D63">
        <v>2030846038</v>
      </c>
      <c r="E63" t="s">
        <v>414</v>
      </c>
      <c r="F63" t="s">
        <v>415</v>
      </c>
      <c r="G63" t="s">
        <v>50</v>
      </c>
      <c r="H63" t="s">
        <v>115</v>
      </c>
      <c r="I63" t="s">
        <v>441</v>
      </c>
      <c r="J63" t="s">
        <v>445</v>
      </c>
      <c r="K63">
        <v>822865</v>
      </c>
      <c r="L63" t="s">
        <v>158</v>
      </c>
      <c r="M63" t="s">
        <v>159</v>
      </c>
      <c r="N63" t="s">
        <v>1096</v>
      </c>
      <c r="O63" t="s">
        <v>56</v>
      </c>
      <c r="P63" s="1">
        <v>45913</v>
      </c>
      <c r="Q63" s="1">
        <v>45943</v>
      </c>
      <c r="R63" s="2">
        <v>28.38</v>
      </c>
      <c r="S63">
        <v>1</v>
      </c>
      <c r="T63" t="s">
        <v>57</v>
      </c>
      <c r="U63" t="s">
        <v>96</v>
      </c>
      <c r="V63" s="4">
        <v>0.7</v>
      </c>
      <c r="W63" s="2">
        <v>0</v>
      </c>
      <c r="X63">
        <v>0</v>
      </c>
      <c r="Y63" t="s">
        <v>70</v>
      </c>
      <c r="Z63" t="s">
        <v>97</v>
      </c>
      <c r="AA63">
        <v>6</v>
      </c>
      <c r="AB63" s="2">
        <v>119.22</v>
      </c>
      <c r="AC63" s="2">
        <v>0</v>
      </c>
      <c r="AD63" s="4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19.87</v>
      </c>
      <c r="AM63" s="2">
        <v>0</v>
      </c>
      <c r="AN63" s="2">
        <v>119.22</v>
      </c>
      <c r="AO63" s="2">
        <v>0</v>
      </c>
      <c r="AP63" s="2">
        <v>0</v>
      </c>
      <c r="AQ63" s="2">
        <v>0</v>
      </c>
    </row>
    <row r="64" spans="1:43" x14ac:dyDescent="0.25">
      <c r="A64" s="1">
        <v>45915</v>
      </c>
      <c r="B64" t="s">
        <v>47</v>
      </c>
      <c r="C64">
        <v>649163</v>
      </c>
      <c r="D64">
        <v>2030954164</v>
      </c>
      <c r="E64" t="s">
        <v>680</v>
      </c>
      <c r="F64" t="s">
        <v>679</v>
      </c>
      <c r="G64" t="s">
        <v>50</v>
      </c>
      <c r="H64" t="s">
        <v>115</v>
      </c>
      <c r="I64" t="s">
        <v>441</v>
      </c>
      <c r="J64" t="s">
        <v>445</v>
      </c>
      <c r="K64">
        <v>822865</v>
      </c>
      <c r="L64" t="s">
        <v>158</v>
      </c>
      <c r="M64" t="s">
        <v>159</v>
      </c>
      <c r="N64" t="s">
        <v>1096</v>
      </c>
      <c r="O64" t="s">
        <v>56</v>
      </c>
      <c r="P64" s="1">
        <v>45911</v>
      </c>
      <c r="Q64" s="1">
        <v>45941</v>
      </c>
      <c r="R64" s="2">
        <v>28.38</v>
      </c>
      <c r="S64">
        <v>1</v>
      </c>
      <c r="T64" t="s">
        <v>57</v>
      </c>
      <c r="U64" t="s">
        <v>96</v>
      </c>
      <c r="V64" s="4">
        <v>0.7</v>
      </c>
      <c r="W64" s="2">
        <v>0</v>
      </c>
      <c r="X64">
        <v>0</v>
      </c>
      <c r="Y64" t="s">
        <v>70</v>
      </c>
      <c r="Z64" t="s">
        <v>97</v>
      </c>
      <c r="AA64">
        <v>6</v>
      </c>
      <c r="AB64" s="2">
        <v>119.22</v>
      </c>
      <c r="AC64" s="2">
        <v>0</v>
      </c>
      <c r="AD64" s="4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19.87</v>
      </c>
      <c r="AM64" s="2">
        <v>0</v>
      </c>
      <c r="AN64" s="2">
        <v>119.22</v>
      </c>
      <c r="AO64" s="2">
        <v>0</v>
      </c>
      <c r="AP64" s="2">
        <v>0</v>
      </c>
      <c r="AQ64" s="2">
        <v>0</v>
      </c>
    </row>
    <row r="65" spans="1:43" x14ac:dyDescent="0.25">
      <c r="A65" s="1">
        <v>45922</v>
      </c>
      <c r="B65" t="s">
        <v>47</v>
      </c>
      <c r="C65">
        <v>649163</v>
      </c>
      <c r="D65">
        <v>2031110933</v>
      </c>
      <c r="E65" t="s">
        <v>296</v>
      </c>
      <c r="F65" t="s">
        <v>297</v>
      </c>
      <c r="G65" t="s">
        <v>50</v>
      </c>
      <c r="H65" t="s">
        <v>180</v>
      </c>
      <c r="I65" t="s">
        <v>243</v>
      </c>
      <c r="J65" t="s">
        <v>298</v>
      </c>
      <c r="K65">
        <v>877790</v>
      </c>
      <c r="L65" t="s">
        <v>299</v>
      </c>
      <c r="M65" t="s">
        <v>300</v>
      </c>
      <c r="N65" t="s">
        <v>1080</v>
      </c>
      <c r="O65" t="s">
        <v>56</v>
      </c>
      <c r="P65" s="1">
        <v>45918</v>
      </c>
      <c r="Q65" s="1">
        <v>45948</v>
      </c>
      <c r="R65" s="2">
        <v>15</v>
      </c>
      <c r="S65">
        <v>1</v>
      </c>
      <c r="T65" t="s">
        <v>57</v>
      </c>
      <c r="U65" t="s">
        <v>301</v>
      </c>
      <c r="V65" s="4">
        <v>0.19</v>
      </c>
      <c r="W65" s="2">
        <v>0</v>
      </c>
      <c r="X65">
        <v>0</v>
      </c>
      <c r="Y65" t="s">
        <v>70</v>
      </c>
      <c r="Z65" t="s">
        <v>97</v>
      </c>
      <c r="AA65">
        <v>6</v>
      </c>
      <c r="AB65" s="2">
        <v>17.100000000000001</v>
      </c>
      <c r="AC65" s="2">
        <v>0</v>
      </c>
      <c r="AD65" s="4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2.85</v>
      </c>
      <c r="AM65" s="2">
        <v>0</v>
      </c>
      <c r="AN65" s="2">
        <v>17.100000000000001</v>
      </c>
      <c r="AO65" s="2">
        <v>0</v>
      </c>
      <c r="AP65" s="2">
        <v>0</v>
      </c>
      <c r="AQ65" s="2">
        <v>0</v>
      </c>
    </row>
    <row r="66" spans="1:43" x14ac:dyDescent="0.25">
      <c r="A66" s="1">
        <v>45922</v>
      </c>
      <c r="B66" t="s">
        <v>47</v>
      </c>
      <c r="C66">
        <v>649163</v>
      </c>
      <c r="D66">
        <v>2031110932</v>
      </c>
      <c r="E66" t="s">
        <v>296</v>
      </c>
      <c r="F66" t="s">
        <v>297</v>
      </c>
      <c r="G66" t="s">
        <v>50</v>
      </c>
      <c r="H66" t="s">
        <v>180</v>
      </c>
      <c r="I66" t="s">
        <v>569</v>
      </c>
      <c r="J66" t="s">
        <v>572</v>
      </c>
      <c r="K66">
        <v>877790</v>
      </c>
      <c r="L66" t="s">
        <v>299</v>
      </c>
      <c r="M66" t="s">
        <v>300</v>
      </c>
      <c r="N66" t="s">
        <v>1080</v>
      </c>
      <c r="O66" t="s">
        <v>56</v>
      </c>
      <c r="P66" s="1">
        <v>45918</v>
      </c>
      <c r="Q66" s="1">
        <v>45948</v>
      </c>
      <c r="R66" s="2">
        <v>271.95999999999998</v>
      </c>
      <c r="S66">
        <v>1</v>
      </c>
      <c r="T66" t="s">
        <v>57</v>
      </c>
      <c r="U66" t="s">
        <v>301</v>
      </c>
      <c r="V66" s="4">
        <v>0.19</v>
      </c>
      <c r="W66" s="2">
        <v>0</v>
      </c>
      <c r="X66">
        <v>0</v>
      </c>
      <c r="Y66" t="s">
        <v>70</v>
      </c>
      <c r="Z66" t="s">
        <v>97</v>
      </c>
      <c r="AA66">
        <v>6</v>
      </c>
      <c r="AB66" s="2">
        <v>310.02</v>
      </c>
      <c r="AC66" s="2">
        <v>0</v>
      </c>
      <c r="AD66" s="4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51.67</v>
      </c>
      <c r="AM66" s="2">
        <v>0</v>
      </c>
      <c r="AN66" s="2">
        <v>310.02</v>
      </c>
      <c r="AO66" s="2">
        <v>0</v>
      </c>
      <c r="AP66" s="2">
        <v>0</v>
      </c>
      <c r="AQ66" s="2">
        <v>0</v>
      </c>
    </row>
    <row r="67" spans="1:43" x14ac:dyDescent="0.25">
      <c r="A67" s="1">
        <v>45915</v>
      </c>
      <c r="B67" t="s">
        <v>47</v>
      </c>
      <c r="C67">
        <v>649163</v>
      </c>
      <c r="D67">
        <v>2031017069</v>
      </c>
      <c r="E67" t="s">
        <v>639</v>
      </c>
      <c r="F67" t="s">
        <v>49</v>
      </c>
      <c r="G67" t="s">
        <v>50</v>
      </c>
      <c r="H67" t="s">
        <v>180</v>
      </c>
      <c r="I67" t="s">
        <v>106</v>
      </c>
      <c r="J67" t="s">
        <v>107</v>
      </c>
      <c r="K67">
        <v>877790</v>
      </c>
      <c r="L67" t="s">
        <v>299</v>
      </c>
      <c r="M67" t="s">
        <v>300</v>
      </c>
      <c r="N67" t="s">
        <v>1080</v>
      </c>
      <c r="O67" t="s">
        <v>56</v>
      </c>
      <c r="P67" s="1">
        <v>45913</v>
      </c>
      <c r="Q67" s="1">
        <v>45943</v>
      </c>
      <c r="R67" s="2">
        <v>55</v>
      </c>
      <c r="S67">
        <v>1</v>
      </c>
      <c r="T67" t="s">
        <v>57</v>
      </c>
      <c r="U67" t="s">
        <v>96</v>
      </c>
      <c r="V67" s="4">
        <v>0.9</v>
      </c>
      <c r="W67" s="2">
        <v>0</v>
      </c>
      <c r="X67">
        <v>0</v>
      </c>
      <c r="Y67" t="s">
        <v>70</v>
      </c>
      <c r="Z67" t="s">
        <v>97</v>
      </c>
      <c r="AA67">
        <v>6</v>
      </c>
      <c r="AB67" s="2">
        <v>297</v>
      </c>
      <c r="AC67" s="2">
        <v>0</v>
      </c>
      <c r="AD67" s="4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49.5</v>
      </c>
      <c r="AM67" s="2">
        <v>0</v>
      </c>
      <c r="AN67" s="2">
        <v>297</v>
      </c>
      <c r="AO67" s="2">
        <v>0</v>
      </c>
      <c r="AP67" s="2">
        <v>0</v>
      </c>
      <c r="AQ67" s="2">
        <v>0</v>
      </c>
    </row>
    <row r="68" spans="1:43" x14ac:dyDescent="0.25">
      <c r="A68" s="1">
        <v>45915</v>
      </c>
      <c r="B68" t="s">
        <v>47</v>
      </c>
      <c r="C68">
        <v>649163</v>
      </c>
      <c r="D68">
        <v>2031017071</v>
      </c>
      <c r="E68" t="s">
        <v>639</v>
      </c>
      <c r="F68" t="s">
        <v>49</v>
      </c>
      <c r="G68" t="s">
        <v>50</v>
      </c>
      <c r="H68" t="s">
        <v>180</v>
      </c>
      <c r="I68" t="s">
        <v>243</v>
      </c>
      <c r="J68" t="s">
        <v>298</v>
      </c>
      <c r="K68">
        <v>877790</v>
      </c>
      <c r="L68" t="s">
        <v>299</v>
      </c>
      <c r="M68" t="s">
        <v>300</v>
      </c>
      <c r="N68" t="s">
        <v>1080</v>
      </c>
      <c r="O68" t="s">
        <v>56</v>
      </c>
      <c r="P68" s="1">
        <v>45913</v>
      </c>
      <c r="Q68" s="1">
        <v>45943</v>
      </c>
      <c r="R68" s="2">
        <v>15</v>
      </c>
      <c r="S68">
        <v>1</v>
      </c>
      <c r="T68" t="s">
        <v>57</v>
      </c>
      <c r="U68" t="s">
        <v>301</v>
      </c>
      <c r="V68" s="4">
        <v>0.19</v>
      </c>
      <c r="W68" s="2">
        <v>0</v>
      </c>
      <c r="X68">
        <v>0</v>
      </c>
      <c r="Y68" t="s">
        <v>70</v>
      </c>
      <c r="Z68" t="s">
        <v>97</v>
      </c>
      <c r="AA68">
        <v>6</v>
      </c>
      <c r="AB68" s="2">
        <v>17.100000000000001</v>
      </c>
      <c r="AC68" s="2">
        <v>0</v>
      </c>
      <c r="AD68" s="4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2.85</v>
      </c>
      <c r="AM68" s="2">
        <v>0</v>
      </c>
      <c r="AN68" s="2">
        <v>17.100000000000001</v>
      </c>
      <c r="AO68" s="2">
        <v>0</v>
      </c>
      <c r="AP68" s="2">
        <v>0</v>
      </c>
      <c r="AQ68" s="2">
        <v>0</v>
      </c>
    </row>
    <row r="69" spans="1:43" x14ac:dyDescent="0.25">
      <c r="A69" s="1">
        <v>45915</v>
      </c>
      <c r="B69" t="s">
        <v>47</v>
      </c>
      <c r="C69">
        <v>649163</v>
      </c>
      <c r="D69">
        <v>2031017067</v>
      </c>
      <c r="E69" t="s">
        <v>639</v>
      </c>
      <c r="F69" t="s">
        <v>49</v>
      </c>
      <c r="G69" t="s">
        <v>50</v>
      </c>
      <c r="H69" t="s">
        <v>180</v>
      </c>
      <c r="I69" t="s">
        <v>306</v>
      </c>
      <c r="J69" t="s">
        <v>307</v>
      </c>
      <c r="K69">
        <v>877790</v>
      </c>
      <c r="L69" t="s">
        <v>299</v>
      </c>
      <c r="M69" t="s">
        <v>300</v>
      </c>
      <c r="N69" t="s">
        <v>1080</v>
      </c>
      <c r="O69" t="s">
        <v>56</v>
      </c>
      <c r="P69" s="1">
        <v>45913</v>
      </c>
      <c r="Q69" s="1">
        <v>45943</v>
      </c>
      <c r="R69" s="2">
        <v>58.15</v>
      </c>
      <c r="S69">
        <v>1</v>
      </c>
      <c r="T69" t="s">
        <v>57</v>
      </c>
      <c r="U69" t="s">
        <v>96</v>
      </c>
      <c r="V69" s="3">
        <v>0.375</v>
      </c>
      <c r="W69" s="2">
        <v>0</v>
      </c>
      <c r="X69">
        <v>0</v>
      </c>
      <c r="Y69" t="s">
        <v>70</v>
      </c>
      <c r="Z69" t="s">
        <v>97</v>
      </c>
      <c r="AA69">
        <v>6</v>
      </c>
      <c r="AB69" s="2">
        <v>130.86000000000001</v>
      </c>
      <c r="AC69" s="2">
        <v>0</v>
      </c>
      <c r="AD69" s="4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21.81</v>
      </c>
      <c r="AM69" s="2">
        <v>0</v>
      </c>
      <c r="AN69" s="2">
        <v>130.86000000000001</v>
      </c>
      <c r="AO69" s="2">
        <v>0</v>
      </c>
      <c r="AP69" s="2">
        <v>0</v>
      </c>
      <c r="AQ69" s="2">
        <v>0</v>
      </c>
    </row>
    <row r="70" spans="1:43" x14ac:dyDescent="0.25">
      <c r="A70" s="1">
        <v>45915</v>
      </c>
      <c r="B70" t="s">
        <v>47</v>
      </c>
      <c r="C70">
        <v>649163</v>
      </c>
      <c r="D70">
        <v>2030962019</v>
      </c>
      <c r="E70" t="s">
        <v>676</v>
      </c>
      <c r="F70" t="s">
        <v>374</v>
      </c>
      <c r="G70" t="s">
        <v>50</v>
      </c>
      <c r="H70" t="s">
        <v>180</v>
      </c>
      <c r="I70" t="s">
        <v>441</v>
      </c>
      <c r="J70" t="s">
        <v>451</v>
      </c>
      <c r="K70">
        <v>877790</v>
      </c>
      <c r="L70" t="s">
        <v>299</v>
      </c>
      <c r="M70" t="s">
        <v>300</v>
      </c>
      <c r="N70" t="s">
        <v>1080</v>
      </c>
      <c r="O70" t="s">
        <v>56</v>
      </c>
      <c r="P70" s="1">
        <v>45911</v>
      </c>
      <c r="Q70" s="1">
        <v>45941</v>
      </c>
      <c r="R70" s="2">
        <v>62.3</v>
      </c>
      <c r="S70">
        <v>1</v>
      </c>
      <c r="T70" t="s">
        <v>57</v>
      </c>
      <c r="U70" t="s">
        <v>96</v>
      </c>
      <c r="V70" s="4">
        <v>0.42</v>
      </c>
      <c r="W70" s="2">
        <v>0</v>
      </c>
      <c r="X70">
        <v>0</v>
      </c>
      <c r="Y70" t="s">
        <v>70</v>
      </c>
      <c r="Z70" t="s">
        <v>97</v>
      </c>
      <c r="AA70">
        <v>6</v>
      </c>
      <c r="AB70" s="2">
        <v>157.02000000000001</v>
      </c>
      <c r="AC70" s="2">
        <v>0</v>
      </c>
      <c r="AD70" s="4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26.17</v>
      </c>
      <c r="AM70" s="2">
        <v>0</v>
      </c>
      <c r="AN70" s="2">
        <v>157.02000000000001</v>
      </c>
      <c r="AO70" s="2">
        <v>0</v>
      </c>
      <c r="AP70" s="2">
        <v>0</v>
      </c>
      <c r="AQ70" s="2">
        <v>0</v>
      </c>
    </row>
    <row r="71" spans="1:43" x14ac:dyDescent="0.25">
      <c r="A71" s="1">
        <v>45915</v>
      </c>
      <c r="B71" t="s">
        <v>47</v>
      </c>
      <c r="C71">
        <v>649163</v>
      </c>
      <c r="D71">
        <v>2031017068</v>
      </c>
      <c r="E71" t="s">
        <v>639</v>
      </c>
      <c r="F71" t="s">
        <v>49</v>
      </c>
      <c r="G71" t="s">
        <v>50</v>
      </c>
      <c r="H71" t="s">
        <v>180</v>
      </c>
      <c r="I71" t="s">
        <v>441</v>
      </c>
      <c r="J71" t="s">
        <v>445</v>
      </c>
      <c r="K71">
        <v>877790</v>
      </c>
      <c r="L71" t="s">
        <v>299</v>
      </c>
      <c r="M71" t="s">
        <v>300</v>
      </c>
      <c r="N71" t="s">
        <v>1080</v>
      </c>
      <c r="O71" t="s">
        <v>56</v>
      </c>
      <c r="P71" s="1">
        <v>45913</v>
      </c>
      <c r="Q71" s="1">
        <v>45943</v>
      </c>
      <c r="R71" s="2">
        <v>14.92</v>
      </c>
      <c r="S71">
        <v>1</v>
      </c>
      <c r="T71" t="s">
        <v>57</v>
      </c>
      <c r="U71" t="s">
        <v>96</v>
      </c>
      <c r="V71" s="4">
        <v>0.7</v>
      </c>
      <c r="W71" s="2">
        <v>0</v>
      </c>
      <c r="X71">
        <v>0</v>
      </c>
      <c r="Y71" t="s">
        <v>70</v>
      </c>
      <c r="Z71" t="s">
        <v>97</v>
      </c>
      <c r="AA71">
        <v>6</v>
      </c>
      <c r="AB71" s="2">
        <v>62.64</v>
      </c>
      <c r="AC71" s="2">
        <v>0</v>
      </c>
      <c r="AD71" s="4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10.44</v>
      </c>
      <c r="AM71" s="2">
        <v>0</v>
      </c>
      <c r="AN71" s="2">
        <v>62.64</v>
      </c>
      <c r="AO71" s="2">
        <v>0</v>
      </c>
      <c r="AP71" s="2">
        <v>0</v>
      </c>
      <c r="AQ71" s="2">
        <v>0</v>
      </c>
    </row>
    <row r="72" spans="1:43" x14ac:dyDescent="0.25">
      <c r="A72" s="1">
        <v>45915</v>
      </c>
      <c r="B72" t="s">
        <v>47</v>
      </c>
      <c r="C72">
        <v>649163</v>
      </c>
      <c r="D72">
        <v>2031017070</v>
      </c>
      <c r="E72" t="s">
        <v>639</v>
      </c>
      <c r="F72" t="s">
        <v>49</v>
      </c>
      <c r="G72" t="s">
        <v>50</v>
      </c>
      <c r="H72" t="s">
        <v>180</v>
      </c>
      <c r="I72" t="s">
        <v>569</v>
      </c>
      <c r="J72" t="s">
        <v>572</v>
      </c>
      <c r="K72">
        <v>877790</v>
      </c>
      <c r="L72" t="s">
        <v>299</v>
      </c>
      <c r="M72" t="s">
        <v>300</v>
      </c>
      <c r="N72" t="s">
        <v>1080</v>
      </c>
      <c r="O72" t="s">
        <v>56</v>
      </c>
      <c r="P72" s="1">
        <v>45913</v>
      </c>
      <c r="Q72" s="1">
        <v>45943</v>
      </c>
      <c r="R72" s="2">
        <v>262.94</v>
      </c>
      <c r="S72">
        <v>1</v>
      </c>
      <c r="T72" t="s">
        <v>57</v>
      </c>
      <c r="U72" t="s">
        <v>301</v>
      </c>
      <c r="V72" s="4">
        <v>0.19</v>
      </c>
      <c r="W72" s="2">
        <v>0</v>
      </c>
      <c r="X72">
        <v>0</v>
      </c>
      <c r="Y72" t="s">
        <v>70</v>
      </c>
      <c r="Z72" t="s">
        <v>97</v>
      </c>
      <c r="AA72">
        <v>6</v>
      </c>
      <c r="AB72" s="2">
        <v>299.76</v>
      </c>
      <c r="AC72" s="2">
        <v>0</v>
      </c>
      <c r="AD72" s="4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49.96</v>
      </c>
      <c r="AM72" s="2">
        <v>0</v>
      </c>
      <c r="AN72" s="2">
        <v>299.76</v>
      </c>
      <c r="AO72" s="2">
        <v>0</v>
      </c>
      <c r="AP72" s="2">
        <v>0</v>
      </c>
      <c r="AQ72" s="2">
        <v>0</v>
      </c>
    </row>
    <row r="73" spans="1:43" x14ac:dyDescent="0.25">
      <c r="A73" s="1">
        <v>45922</v>
      </c>
      <c r="B73" t="s">
        <v>47</v>
      </c>
      <c r="C73">
        <v>649163</v>
      </c>
      <c r="D73">
        <v>2031074191</v>
      </c>
      <c r="E73" t="s">
        <v>91</v>
      </c>
      <c r="F73" t="s">
        <v>92</v>
      </c>
      <c r="G73" t="s">
        <v>50</v>
      </c>
      <c r="H73" t="s">
        <v>93</v>
      </c>
      <c r="I73" t="s">
        <v>52</v>
      </c>
      <c r="J73" t="s">
        <v>78</v>
      </c>
      <c r="K73">
        <v>894525</v>
      </c>
      <c r="L73" t="s">
        <v>94</v>
      </c>
      <c r="M73" t="s">
        <v>95</v>
      </c>
      <c r="N73" t="s">
        <v>1075</v>
      </c>
      <c r="O73" t="s">
        <v>56</v>
      </c>
      <c r="P73" s="1">
        <v>45931</v>
      </c>
      <c r="Q73" s="1">
        <v>45962</v>
      </c>
      <c r="R73" s="2">
        <v>129.97</v>
      </c>
      <c r="S73">
        <v>1</v>
      </c>
      <c r="T73" t="s">
        <v>57</v>
      </c>
      <c r="U73" t="s">
        <v>96</v>
      </c>
      <c r="V73" s="4">
        <v>0.6</v>
      </c>
      <c r="W73" s="2">
        <v>0</v>
      </c>
      <c r="X73">
        <v>0</v>
      </c>
      <c r="Y73" t="s">
        <v>70</v>
      </c>
      <c r="Z73" t="s">
        <v>97</v>
      </c>
      <c r="AA73">
        <v>6</v>
      </c>
      <c r="AB73" s="2">
        <v>467.88</v>
      </c>
      <c r="AC73" s="2">
        <v>0</v>
      </c>
      <c r="AD73" s="4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77.98</v>
      </c>
      <c r="AM73" s="2">
        <v>0</v>
      </c>
      <c r="AN73" s="2">
        <v>467.88</v>
      </c>
      <c r="AO73" s="2">
        <v>0</v>
      </c>
      <c r="AP73" s="2">
        <v>0</v>
      </c>
      <c r="AQ73" s="2">
        <v>0</v>
      </c>
    </row>
    <row r="74" spans="1:43" x14ac:dyDescent="0.25">
      <c r="A74" s="1">
        <v>45922</v>
      </c>
      <c r="B74" t="s">
        <v>47</v>
      </c>
      <c r="C74">
        <v>649163</v>
      </c>
      <c r="D74">
        <v>2031094286</v>
      </c>
      <c r="E74" t="s">
        <v>98</v>
      </c>
      <c r="F74" t="s">
        <v>99</v>
      </c>
      <c r="G74" t="s">
        <v>50</v>
      </c>
      <c r="H74" t="s">
        <v>93</v>
      </c>
      <c r="I74" t="s">
        <v>52</v>
      </c>
      <c r="J74" t="s">
        <v>78</v>
      </c>
      <c r="K74">
        <v>894525</v>
      </c>
      <c r="L74" t="s">
        <v>94</v>
      </c>
      <c r="M74" t="s">
        <v>95</v>
      </c>
      <c r="N74" t="s">
        <v>1075</v>
      </c>
      <c r="O74" t="s">
        <v>56</v>
      </c>
      <c r="P74" s="1">
        <v>45931</v>
      </c>
      <c r="Q74" s="1">
        <v>45962</v>
      </c>
      <c r="R74" s="2">
        <v>129.97</v>
      </c>
      <c r="S74">
        <v>1</v>
      </c>
      <c r="T74" t="s">
        <v>57</v>
      </c>
      <c r="U74" t="s">
        <v>96</v>
      </c>
      <c r="V74" s="4">
        <v>0.6</v>
      </c>
      <c r="W74" s="2">
        <v>0</v>
      </c>
      <c r="X74">
        <v>0</v>
      </c>
      <c r="Y74" t="s">
        <v>70</v>
      </c>
      <c r="Z74" t="s">
        <v>97</v>
      </c>
      <c r="AA74">
        <v>6</v>
      </c>
      <c r="AB74" s="2">
        <v>467.88</v>
      </c>
      <c r="AC74" s="2">
        <v>0</v>
      </c>
      <c r="AD74" s="4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77.98</v>
      </c>
      <c r="AM74" s="2">
        <v>0</v>
      </c>
      <c r="AN74" s="2">
        <v>467.88</v>
      </c>
      <c r="AO74" s="2">
        <v>0</v>
      </c>
      <c r="AP74" s="2">
        <v>0</v>
      </c>
      <c r="AQ74" s="2">
        <v>0</v>
      </c>
    </row>
    <row r="75" spans="1:43" x14ac:dyDescent="0.25">
      <c r="A75" s="1">
        <v>45922</v>
      </c>
      <c r="B75" t="s">
        <v>47</v>
      </c>
      <c r="C75">
        <v>649163</v>
      </c>
      <c r="D75">
        <v>2031097277</v>
      </c>
      <c r="E75" t="s">
        <v>100</v>
      </c>
      <c r="F75" t="s">
        <v>101</v>
      </c>
      <c r="G75" t="s">
        <v>50</v>
      </c>
      <c r="H75" t="s">
        <v>93</v>
      </c>
      <c r="I75" t="s">
        <v>52</v>
      </c>
      <c r="J75" t="s">
        <v>78</v>
      </c>
      <c r="K75">
        <v>894525</v>
      </c>
      <c r="L75" t="s">
        <v>94</v>
      </c>
      <c r="M75" t="s">
        <v>95</v>
      </c>
      <c r="N75" t="s">
        <v>1075</v>
      </c>
      <c r="O75" t="s">
        <v>56</v>
      </c>
      <c r="P75" s="1">
        <v>45931</v>
      </c>
      <c r="Q75" s="1">
        <v>45962</v>
      </c>
      <c r="R75" s="2">
        <v>90.95</v>
      </c>
      <c r="S75">
        <v>1</v>
      </c>
      <c r="T75" t="s">
        <v>57</v>
      </c>
      <c r="U75" t="s">
        <v>96</v>
      </c>
      <c r="V75" s="4">
        <v>0.6</v>
      </c>
      <c r="W75" s="2">
        <v>0</v>
      </c>
      <c r="X75">
        <v>0</v>
      </c>
      <c r="Y75" t="s">
        <v>70</v>
      </c>
      <c r="Z75" t="s">
        <v>97</v>
      </c>
      <c r="AA75">
        <v>6</v>
      </c>
      <c r="AB75" s="2">
        <v>327.42</v>
      </c>
      <c r="AC75" s="2">
        <v>0</v>
      </c>
      <c r="AD75" s="4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54.57</v>
      </c>
      <c r="AM75" s="2">
        <v>0</v>
      </c>
      <c r="AN75" s="2">
        <v>327.42</v>
      </c>
      <c r="AO75" s="2">
        <v>0</v>
      </c>
      <c r="AP75" s="2">
        <v>0</v>
      </c>
      <c r="AQ75" s="2">
        <v>0</v>
      </c>
    </row>
    <row r="76" spans="1:43" x14ac:dyDescent="0.25">
      <c r="A76" s="1">
        <v>45922</v>
      </c>
      <c r="B76" t="s">
        <v>47</v>
      </c>
      <c r="C76">
        <v>649163</v>
      </c>
      <c r="D76">
        <v>2031097276</v>
      </c>
      <c r="E76" t="s">
        <v>100</v>
      </c>
      <c r="F76" t="s">
        <v>101</v>
      </c>
      <c r="G76" t="s">
        <v>50</v>
      </c>
      <c r="H76" t="s">
        <v>93</v>
      </c>
      <c r="I76" t="s">
        <v>441</v>
      </c>
      <c r="J76" t="s">
        <v>445</v>
      </c>
      <c r="K76">
        <v>894525</v>
      </c>
      <c r="L76" t="s">
        <v>94</v>
      </c>
      <c r="M76" t="s">
        <v>95</v>
      </c>
      <c r="N76" t="s">
        <v>1075</v>
      </c>
      <c r="O76" t="s">
        <v>56</v>
      </c>
      <c r="P76" s="1">
        <v>45931</v>
      </c>
      <c r="Q76" s="1">
        <v>45962</v>
      </c>
      <c r="R76" s="2">
        <v>52</v>
      </c>
      <c r="S76">
        <v>1</v>
      </c>
      <c r="T76" t="s">
        <v>57</v>
      </c>
      <c r="U76" t="s">
        <v>96</v>
      </c>
      <c r="V76" s="4">
        <v>0.7</v>
      </c>
      <c r="W76" s="2">
        <v>0</v>
      </c>
      <c r="X76">
        <v>0</v>
      </c>
      <c r="Y76" t="s">
        <v>70</v>
      </c>
      <c r="Z76" t="s">
        <v>97</v>
      </c>
      <c r="AA76">
        <v>6</v>
      </c>
      <c r="AB76" s="2">
        <v>218.4</v>
      </c>
      <c r="AC76" s="2">
        <v>0</v>
      </c>
      <c r="AD76" s="4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36.4</v>
      </c>
      <c r="AM76" s="2">
        <v>0</v>
      </c>
      <c r="AN76" s="2">
        <v>218.4</v>
      </c>
      <c r="AO76" s="2">
        <v>0</v>
      </c>
      <c r="AP76" s="2">
        <v>0</v>
      </c>
      <c r="AQ76" s="2">
        <v>0</v>
      </c>
    </row>
    <row r="77" spans="1:43" x14ac:dyDescent="0.25">
      <c r="A77" s="1">
        <v>45922</v>
      </c>
      <c r="B77" t="s">
        <v>47</v>
      </c>
      <c r="C77">
        <v>649163</v>
      </c>
      <c r="D77">
        <v>2031085259</v>
      </c>
      <c r="E77" t="s">
        <v>566</v>
      </c>
      <c r="F77" t="s">
        <v>92</v>
      </c>
      <c r="G77" t="s">
        <v>50</v>
      </c>
      <c r="H77" t="s">
        <v>93</v>
      </c>
      <c r="I77" t="s">
        <v>441</v>
      </c>
      <c r="J77" t="s">
        <v>445</v>
      </c>
      <c r="K77">
        <v>766747</v>
      </c>
      <c r="L77" t="s">
        <v>352</v>
      </c>
      <c r="M77" t="s">
        <v>49</v>
      </c>
      <c r="N77" t="s">
        <v>1088</v>
      </c>
      <c r="O77" t="s">
        <v>56</v>
      </c>
      <c r="P77" s="1">
        <v>45931</v>
      </c>
      <c r="Q77" s="1">
        <v>45962</v>
      </c>
      <c r="R77" s="2">
        <v>262.74</v>
      </c>
      <c r="S77">
        <v>1</v>
      </c>
      <c r="T77" t="s">
        <v>57</v>
      </c>
      <c r="U77" t="s">
        <v>96</v>
      </c>
      <c r="V77" s="4">
        <v>0.7</v>
      </c>
      <c r="W77" s="2">
        <v>0</v>
      </c>
      <c r="X77">
        <v>0</v>
      </c>
      <c r="Y77" t="s">
        <v>70</v>
      </c>
      <c r="Z77" t="s">
        <v>97</v>
      </c>
      <c r="AA77">
        <v>6</v>
      </c>
      <c r="AB77" s="2">
        <v>1103.52</v>
      </c>
      <c r="AC77" s="2">
        <v>0</v>
      </c>
      <c r="AD77" s="4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183.92</v>
      </c>
      <c r="AM77" s="2">
        <v>0</v>
      </c>
      <c r="AN77" s="2">
        <v>1103.52</v>
      </c>
      <c r="AO77" s="2">
        <v>0</v>
      </c>
      <c r="AP77" s="2">
        <v>0</v>
      </c>
      <c r="AQ77" s="2">
        <v>0</v>
      </c>
    </row>
    <row r="78" spans="1:43" x14ac:dyDescent="0.25">
      <c r="A78" s="1">
        <v>45922</v>
      </c>
      <c r="B78" t="s">
        <v>47</v>
      </c>
      <c r="C78">
        <v>649163</v>
      </c>
      <c r="D78">
        <v>2031073871</v>
      </c>
      <c r="E78" t="s">
        <v>564</v>
      </c>
      <c r="F78" t="s">
        <v>565</v>
      </c>
      <c r="G78" t="s">
        <v>50</v>
      </c>
      <c r="H78" t="s">
        <v>93</v>
      </c>
      <c r="I78" t="s">
        <v>441</v>
      </c>
      <c r="J78" t="s">
        <v>445</v>
      </c>
      <c r="K78">
        <v>807212</v>
      </c>
      <c r="L78" t="s">
        <v>467</v>
      </c>
      <c r="M78" t="s">
        <v>468</v>
      </c>
      <c r="N78" t="s">
        <v>1087</v>
      </c>
      <c r="O78" t="s">
        <v>56</v>
      </c>
      <c r="P78" s="1">
        <v>45916</v>
      </c>
      <c r="Q78" s="1">
        <v>45946</v>
      </c>
      <c r="R78" s="2">
        <v>96</v>
      </c>
      <c r="S78">
        <v>1</v>
      </c>
      <c r="T78" t="s">
        <v>57</v>
      </c>
      <c r="U78" t="s">
        <v>96</v>
      </c>
      <c r="V78" s="4">
        <v>0.7</v>
      </c>
      <c r="W78" s="2">
        <v>0</v>
      </c>
      <c r="X78">
        <v>0</v>
      </c>
      <c r="Y78" t="s">
        <v>70</v>
      </c>
      <c r="Z78" t="s">
        <v>97</v>
      </c>
      <c r="AA78">
        <v>6</v>
      </c>
      <c r="AB78" s="2">
        <v>403.2</v>
      </c>
      <c r="AC78" s="2">
        <v>0</v>
      </c>
      <c r="AD78" s="4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67.2</v>
      </c>
      <c r="AM78" s="2">
        <v>0</v>
      </c>
      <c r="AN78" s="2">
        <v>403.2</v>
      </c>
      <c r="AO78" s="2">
        <v>0</v>
      </c>
      <c r="AP78" s="2">
        <v>0</v>
      </c>
      <c r="AQ78" s="2">
        <v>0</v>
      </c>
    </row>
    <row r="79" spans="1:43" x14ac:dyDescent="0.25">
      <c r="A79" s="1">
        <v>45922</v>
      </c>
      <c r="B79" t="s">
        <v>47</v>
      </c>
      <c r="C79">
        <v>649163</v>
      </c>
      <c r="D79">
        <v>2031110050</v>
      </c>
      <c r="E79" t="s">
        <v>567</v>
      </c>
      <c r="F79" t="s">
        <v>568</v>
      </c>
      <c r="G79" t="s">
        <v>50</v>
      </c>
      <c r="H79" t="s">
        <v>93</v>
      </c>
      <c r="I79" t="s">
        <v>441</v>
      </c>
      <c r="J79" t="s">
        <v>445</v>
      </c>
      <c r="K79">
        <v>807212</v>
      </c>
      <c r="L79" t="s">
        <v>467</v>
      </c>
      <c r="M79" t="s">
        <v>468</v>
      </c>
      <c r="N79" t="s">
        <v>1087</v>
      </c>
      <c r="O79" t="s">
        <v>56</v>
      </c>
      <c r="P79" s="1">
        <v>45918</v>
      </c>
      <c r="Q79" s="1">
        <v>45948</v>
      </c>
      <c r="R79" s="2">
        <v>18.45</v>
      </c>
      <c r="S79">
        <v>1</v>
      </c>
      <c r="T79" t="s">
        <v>57</v>
      </c>
      <c r="U79" t="s">
        <v>96</v>
      </c>
      <c r="V79" s="4">
        <v>0.7</v>
      </c>
      <c r="W79" s="2">
        <v>0</v>
      </c>
      <c r="X79">
        <v>0</v>
      </c>
      <c r="Y79" t="s">
        <v>70</v>
      </c>
      <c r="Z79" t="s">
        <v>97</v>
      </c>
      <c r="AA79">
        <v>6</v>
      </c>
      <c r="AB79" s="2">
        <v>77.52</v>
      </c>
      <c r="AC79" s="2">
        <v>0</v>
      </c>
      <c r="AD79" s="4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12.92</v>
      </c>
      <c r="AM79" s="2">
        <v>0</v>
      </c>
      <c r="AN79" s="2">
        <v>77.52</v>
      </c>
      <c r="AO79" s="2">
        <v>0</v>
      </c>
      <c r="AP79" s="2">
        <v>0</v>
      </c>
      <c r="AQ79" s="2">
        <v>0</v>
      </c>
    </row>
    <row r="80" spans="1:43" x14ac:dyDescent="0.25">
      <c r="A80" s="1">
        <v>45915</v>
      </c>
      <c r="B80" t="s">
        <v>47</v>
      </c>
      <c r="C80">
        <v>649163</v>
      </c>
      <c r="D80">
        <v>2031048164</v>
      </c>
      <c r="E80" t="s">
        <v>657</v>
      </c>
      <c r="F80" t="s">
        <v>656</v>
      </c>
      <c r="G80" t="s">
        <v>50</v>
      </c>
      <c r="H80" t="s">
        <v>93</v>
      </c>
      <c r="I80" t="s">
        <v>441</v>
      </c>
      <c r="J80" t="s">
        <v>445</v>
      </c>
      <c r="K80">
        <v>807212</v>
      </c>
      <c r="L80" t="s">
        <v>467</v>
      </c>
      <c r="M80" t="s">
        <v>468</v>
      </c>
      <c r="N80" t="s">
        <v>1087</v>
      </c>
      <c r="O80" t="s">
        <v>56</v>
      </c>
      <c r="P80" s="1">
        <v>45914</v>
      </c>
      <c r="Q80" s="1">
        <v>45944</v>
      </c>
      <c r="R80" s="2">
        <v>160.29</v>
      </c>
      <c r="S80">
        <v>1</v>
      </c>
      <c r="T80" t="s">
        <v>57</v>
      </c>
      <c r="U80" t="s">
        <v>96</v>
      </c>
      <c r="V80" s="4">
        <v>0.7</v>
      </c>
      <c r="W80" s="2">
        <v>0</v>
      </c>
      <c r="X80">
        <v>0</v>
      </c>
      <c r="Y80" t="s">
        <v>70</v>
      </c>
      <c r="Z80" t="s">
        <v>97</v>
      </c>
      <c r="AA80">
        <v>6</v>
      </c>
      <c r="AB80" s="2">
        <v>673.2</v>
      </c>
      <c r="AC80" s="2">
        <v>0</v>
      </c>
      <c r="AD80" s="4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112.2</v>
      </c>
      <c r="AM80" s="2">
        <v>0</v>
      </c>
      <c r="AN80" s="2">
        <v>673.2</v>
      </c>
      <c r="AO80" s="2">
        <v>0</v>
      </c>
      <c r="AP80" s="2">
        <v>0</v>
      </c>
      <c r="AQ80" s="2">
        <v>0</v>
      </c>
    </row>
    <row r="81" spans="1:43" x14ac:dyDescent="0.25">
      <c r="A81" s="1">
        <v>45915</v>
      </c>
      <c r="B81" t="s">
        <v>47</v>
      </c>
      <c r="C81">
        <v>649163</v>
      </c>
      <c r="D81">
        <v>2030934310</v>
      </c>
      <c r="E81" t="s">
        <v>642</v>
      </c>
      <c r="F81" t="s">
        <v>641</v>
      </c>
      <c r="G81" t="s">
        <v>50</v>
      </c>
      <c r="H81" t="s">
        <v>266</v>
      </c>
      <c r="I81" t="s">
        <v>243</v>
      </c>
      <c r="J81" t="s">
        <v>244</v>
      </c>
      <c r="K81">
        <v>812994</v>
      </c>
      <c r="L81" t="s">
        <v>294</v>
      </c>
      <c r="M81" t="s">
        <v>295</v>
      </c>
      <c r="N81" t="s">
        <v>1094</v>
      </c>
      <c r="O81" t="s">
        <v>56</v>
      </c>
      <c r="P81" s="1">
        <v>45909</v>
      </c>
      <c r="Q81" s="1">
        <v>45939</v>
      </c>
      <c r="R81" s="2">
        <v>15</v>
      </c>
      <c r="S81">
        <v>1</v>
      </c>
      <c r="T81" t="s">
        <v>57</v>
      </c>
      <c r="U81" t="s">
        <v>305</v>
      </c>
      <c r="V81" s="4">
        <v>0.28999999999999998</v>
      </c>
      <c r="W81" s="2">
        <v>0</v>
      </c>
      <c r="X81">
        <v>0</v>
      </c>
      <c r="Y81" t="s">
        <v>70</v>
      </c>
      <c r="Z81" t="s">
        <v>97</v>
      </c>
      <c r="AA81">
        <v>6</v>
      </c>
      <c r="AB81" s="2">
        <v>26.1</v>
      </c>
      <c r="AC81" s="2">
        <v>0</v>
      </c>
      <c r="AD81" s="4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4.3499999999999996</v>
      </c>
      <c r="AM81" s="2">
        <v>0</v>
      </c>
      <c r="AN81" s="2">
        <v>26.1</v>
      </c>
      <c r="AO81" s="2">
        <v>0</v>
      </c>
      <c r="AP81" s="2">
        <v>0</v>
      </c>
      <c r="AQ81" s="2">
        <v>0</v>
      </c>
    </row>
    <row r="82" spans="1:43" x14ac:dyDescent="0.25">
      <c r="A82" s="1">
        <v>45915</v>
      </c>
      <c r="B82" t="s">
        <v>47</v>
      </c>
      <c r="C82">
        <v>649163</v>
      </c>
      <c r="D82">
        <v>2030934309</v>
      </c>
      <c r="E82" t="s">
        <v>642</v>
      </c>
      <c r="F82" t="s">
        <v>641</v>
      </c>
      <c r="G82" t="s">
        <v>50</v>
      </c>
      <c r="H82" t="s">
        <v>266</v>
      </c>
      <c r="I82" t="s">
        <v>569</v>
      </c>
      <c r="J82" t="s">
        <v>571</v>
      </c>
      <c r="K82">
        <v>812994</v>
      </c>
      <c r="L82" t="s">
        <v>294</v>
      </c>
      <c r="M82" t="s">
        <v>295</v>
      </c>
      <c r="N82" t="s">
        <v>1094</v>
      </c>
      <c r="O82" t="s">
        <v>56</v>
      </c>
      <c r="P82" s="1">
        <v>45909</v>
      </c>
      <c r="Q82" s="1">
        <v>45939</v>
      </c>
      <c r="R82" s="2">
        <v>1014.3</v>
      </c>
      <c r="S82">
        <v>1</v>
      </c>
      <c r="T82" t="s">
        <v>57</v>
      </c>
      <c r="U82" t="s">
        <v>305</v>
      </c>
      <c r="V82" s="4">
        <v>0.28999999999999998</v>
      </c>
      <c r="W82" s="2">
        <v>0</v>
      </c>
      <c r="X82">
        <v>0</v>
      </c>
      <c r="Y82" t="s">
        <v>70</v>
      </c>
      <c r="Z82" t="s">
        <v>97</v>
      </c>
      <c r="AA82">
        <v>6</v>
      </c>
      <c r="AB82" s="2">
        <v>1764.9</v>
      </c>
      <c r="AC82" s="2">
        <v>0</v>
      </c>
      <c r="AD82" s="4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294.14999999999998</v>
      </c>
      <c r="AM82" s="2">
        <v>0</v>
      </c>
      <c r="AN82" s="2">
        <v>1764.9</v>
      </c>
      <c r="AO82" s="2">
        <v>0</v>
      </c>
      <c r="AP82" s="2">
        <v>0</v>
      </c>
      <c r="AQ82" s="2">
        <v>0</v>
      </c>
    </row>
    <row r="83" spans="1:43" x14ac:dyDescent="0.25">
      <c r="A83" s="1">
        <v>45922</v>
      </c>
      <c r="B83" t="s">
        <v>47</v>
      </c>
      <c r="C83">
        <v>649163</v>
      </c>
      <c r="D83">
        <v>2031180133</v>
      </c>
      <c r="E83" t="s">
        <v>237</v>
      </c>
      <c r="F83" t="s">
        <v>238</v>
      </c>
      <c r="G83" t="s">
        <v>50</v>
      </c>
      <c r="H83" t="s">
        <v>239</v>
      </c>
      <c r="I83" t="s">
        <v>106</v>
      </c>
      <c r="J83" t="s">
        <v>184</v>
      </c>
      <c r="K83">
        <v>823350</v>
      </c>
      <c r="L83" t="s">
        <v>79</v>
      </c>
      <c r="M83" t="s">
        <v>80</v>
      </c>
      <c r="N83" t="s">
        <v>1079</v>
      </c>
      <c r="O83" t="s">
        <v>56</v>
      </c>
      <c r="P83" s="1">
        <v>45924</v>
      </c>
      <c r="Q83" s="1">
        <v>45954</v>
      </c>
      <c r="R83" s="2">
        <v>71.63</v>
      </c>
      <c r="S83">
        <v>1</v>
      </c>
      <c r="T83" t="s">
        <v>57</v>
      </c>
      <c r="U83" t="s">
        <v>96</v>
      </c>
      <c r="V83" s="4">
        <v>0.75</v>
      </c>
      <c r="W83" s="2">
        <v>0</v>
      </c>
      <c r="X83">
        <v>0</v>
      </c>
      <c r="Y83" t="s">
        <v>70</v>
      </c>
      <c r="Z83" t="s">
        <v>97</v>
      </c>
      <c r="AA83">
        <v>6</v>
      </c>
      <c r="AB83" s="2">
        <v>322.32</v>
      </c>
      <c r="AC83" s="2">
        <v>0</v>
      </c>
      <c r="AD83" s="4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53.72</v>
      </c>
      <c r="AM83" s="2">
        <v>0</v>
      </c>
      <c r="AN83" s="2">
        <v>322.32</v>
      </c>
      <c r="AO83" s="2">
        <v>0</v>
      </c>
      <c r="AP83" s="2">
        <v>0</v>
      </c>
      <c r="AQ83" s="2">
        <v>0</v>
      </c>
    </row>
    <row r="84" spans="1:43" x14ac:dyDescent="0.25">
      <c r="A84" s="1">
        <v>45922</v>
      </c>
      <c r="B84" t="s">
        <v>47</v>
      </c>
      <c r="C84">
        <v>649163</v>
      </c>
      <c r="D84">
        <v>2031190209</v>
      </c>
      <c r="E84" t="s">
        <v>240</v>
      </c>
      <c r="F84" t="s">
        <v>241</v>
      </c>
      <c r="G84" t="s">
        <v>50</v>
      </c>
      <c r="H84" t="s">
        <v>157</v>
      </c>
      <c r="I84" t="s">
        <v>106</v>
      </c>
      <c r="J84" t="s">
        <v>184</v>
      </c>
      <c r="K84">
        <v>823350</v>
      </c>
      <c r="L84" t="s">
        <v>79</v>
      </c>
      <c r="M84" t="s">
        <v>80</v>
      </c>
      <c r="N84" t="s">
        <v>1079</v>
      </c>
      <c r="O84" t="s">
        <v>56</v>
      </c>
      <c r="P84" s="1">
        <v>45925</v>
      </c>
      <c r="Q84" s="1">
        <v>45955</v>
      </c>
      <c r="R84" s="2">
        <v>80.8</v>
      </c>
      <c r="S84">
        <v>1</v>
      </c>
      <c r="T84" t="s">
        <v>57</v>
      </c>
      <c r="U84" t="s">
        <v>96</v>
      </c>
      <c r="V84" s="4">
        <v>0.75</v>
      </c>
      <c r="W84" s="2">
        <v>0</v>
      </c>
      <c r="X84">
        <v>0</v>
      </c>
      <c r="Y84" t="s">
        <v>70</v>
      </c>
      <c r="Z84" t="s">
        <v>97</v>
      </c>
      <c r="AA84">
        <v>6</v>
      </c>
      <c r="AB84" s="2">
        <v>363.6</v>
      </c>
      <c r="AC84" s="2">
        <v>0</v>
      </c>
      <c r="AD84" s="4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60.6</v>
      </c>
      <c r="AM84" s="2">
        <v>0</v>
      </c>
      <c r="AN84" s="2">
        <v>363.6</v>
      </c>
      <c r="AO84" s="2">
        <v>0</v>
      </c>
      <c r="AP84" s="2">
        <v>0</v>
      </c>
      <c r="AQ84" s="2">
        <v>0</v>
      </c>
    </row>
    <row r="85" spans="1:43" x14ac:dyDescent="0.25">
      <c r="A85" s="1">
        <v>45922</v>
      </c>
      <c r="B85" t="s">
        <v>47</v>
      </c>
      <c r="C85">
        <v>649163</v>
      </c>
      <c r="D85">
        <v>2031180131</v>
      </c>
      <c r="E85" t="s">
        <v>237</v>
      </c>
      <c r="F85" t="s">
        <v>238</v>
      </c>
      <c r="G85" t="s">
        <v>50</v>
      </c>
      <c r="H85" t="s">
        <v>239</v>
      </c>
      <c r="I85" t="s">
        <v>306</v>
      </c>
      <c r="J85" t="s">
        <v>307</v>
      </c>
      <c r="K85">
        <v>823350</v>
      </c>
      <c r="L85" t="s">
        <v>79</v>
      </c>
      <c r="M85" t="s">
        <v>80</v>
      </c>
      <c r="N85" t="s">
        <v>1079</v>
      </c>
      <c r="O85" t="s">
        <v>56</v>
      </c>
      <c r="P85" s="1">
        <v>45924</v>
      </c>
      <c r="Q85" s="1">
        <v>45954</v>
      </c>
      <c r="R85" s="2">
        <v>69.69</v>
      </c>
      <c r="S85">
        <v>1</v>
      </c>
      <c r="T85" t="s">
        <v>57</v>
      </c>
      <c r="U85" t="s">
        <v>96</v>
      </c>
      <c r="V85" s="3">
        <v>0.375</v>
      </c>
      <c r="W85" s="2">
        <v>0</v>
      </c>
      <c r="X85">
        <v>0</v>
      </c>
      <c r="Y85" t="s">
        <v>70</v>
      </c>
      <c r="Z85" t="s">
        <v>97</v>
      </c>
      <c r="AA85">
        <v>6</v>
      </c>
      <c r="AB85" s="2">
        <v>156.78</v>
      </c>
      <c r="AC85" s="2">
        <v>0</v>
      </c>
      <c r="AD85" s="4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26.13</v>
      </c>
      <c r="AM85" s="2">
        <v>0</v>
      </c>
      <c r="AN85" s="2">
        <v>156.78</v>
      </c>
      <c r="AO85" s="2">
        <v>0</v>
      </c>
      <c r="AP85" s="2">
        <v>0</v>
      </c>
      <c r="AQ85" s="2">
        <v>0</v>
      </c>
    </row>
    <row r="86" spans="1:43" x14ac:dyDescent="0.25">
      <c r="A86" s="1">
        <v>45922</v>
      </c>
      <c r="B86" t="s">
        <v>47</v>
      </c>
      <c r="C86">
        <v>649163</v>
      </c>
      <c r="D86">
        <v>2031190207</v>
      </c>
      <c r="E86" t="s">
        <v>240</v>
      </c>
      <c r="F86" t="s">
        <v>241</v>
      </c>
      <c r="G86" t="s">
        <v>50</v>
      </c>
      <c r="H86" t="s">
        <v>157</v>
      </c>
      <c r="I86" t="s">
        <v>306</v>
      </c>
      <c r="J86" t="s">
        <v>307</v>
      </c>
      <c r="K86">
        <v>823350</v>
      </c>
      <c r="L86" t="s">
        <v>79</v>
      </c>
      <c r="M86" t="s">
        <v>80</v>
      </c>
      <c r="N86" t="s">
        <v>1079</v>
      </c>
      <c r="O86" t="s">
        <v>56</v>
      </c>
      <c r="P86" s="1">
        <v>45925</v>
      </c>
      <c r="Q86" s="1">
        <v>45955</v>
      </c>
      <c r="R86" s="2">
        <v>63.74</v>
      </c>
      <c r="S86">
        <v>1</v>
      </c>
      <c r="T86" t="s">
        <v>57</v>
      </c>
      <c r="U86" t="s">
        <v>96</v>
      </c>
      <c r="V86" s="3">
        <v>0.375</v>
      </c>
      <c r="W86" s="2">
        <v>0</v>
      </c>
      <c r="X86">
        <v>0</v>
      </c>
      <c r="Y86" t="s">
        <v>70</v>
      </c>
      <c r="Z86" t="s">
        <v>97</v>
      </c>
      <c r="AA86">
        <v>6</v>
      </c>
      <c r="AB86" s="2">
        <v>143.4</v>
      </c>
      <c r="AC86" s="2">
        <v>0</v>
      </c>
      <c r="AD86" s="4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23.9</v>
      </c>
      <c r="AM86" s="2">
        <v>0</v>
      </c>
      <c r="AN86" s="2">
        <v>143.4</v>
      </c>
      <c r="AO86" s="2">
        <v>0</v>
      </c>
      <c r="AP86" s="2">
        <v>0</v>
      </c>
      <c r="AQ86" s="2">
        <v>0</v>
      </c>
    </row>
    <row r="87" spans="1:43" x14ac:dyDescent="0.25">
      <c r="A87" s="1">
        <v>45922</v>
      </c>
      <c r="B87" t="s">
        <v>47</v>
      </c>
      <c r="C87">
        <v>649163</v>
      </c>
      <c r="D87">
        <v>2031180132</v>
      </c>
      <c r="E87" t="s">
        <v>237</v>
      </c>
      <c r="F87" t="s">
        <v>238</v>
      </c>
      <c r="G87" t="s">
        <v>50</v>
      </c>
      <c r="H87" t="s">
        <v>239</v>
      </c>
      <c r="I87" t="s">
        <v>441</v>
      </c>
      <c r="J87" t="s">
        <v>445</v>
      </c>
      <c r="K87">
        <v>823350</v>
      </c>
      <c r="L87" t="s">
        <v>79</v>
      </c>
      <c r="M87" t="s">
        <v>80</v>
      </c>
      <c r="N87" t="s">
        <v>1079</v>
      </c>
      <c r="O87" t="s">
        <v>56</v>
      </c>
      <c r="P87" s="1">
        <v>45924</v>
      </c>
      <c r="Q87" s="1">
        <v>45954</v>
      </c>
      <c r="R87" s="2">
        <v>101.99</v>
      </c>
      <c r="S87">
        <v>1</v>
      </c>
      <c r="T87" t="s">
        <v>57</v>
      </c>
      <c r="U87" t="s">
        <v>96</v>
      </c>
      <c r="V87" s="4">
        <v>0.7</v>
      </c>
      <c r="W87" s="2">
        <v>0</v>
      </c>
      <c r="X87">
        <v>0</v>
      </c>
      <c r="Y87" t="s">
        <v>70</v>
      </c>
      <c r="Z87" t="s">
        <v>97</v>
      </c>
      <c r="AA87">
        <v>6</v>
      </c>
      <c r="AB87" s="2">
        <v>428.34</v>
      </c>
      <c r="AC87" s="2">
        <v>0</v>
      </c>
      <c r="AD87" s="4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71.39</v>
      </c>
      <c r="AM87" s="2">
        <v>0</v>
      </c>
      <c r="AN87" s="2">
        <v>428.34</v>
      </c>
      <c r="AO87" s="2">
        <v>0</v>
      </c>
      <c r="AP87" s="2">
        <v>0</v>
      </c>
      <c r="AQ87" s="2">
        <v>0</v>
      </c>
    </row>
    <row r="88" spans="1:43" x14ac:dyDescent="0.25">
      <c r="A88" s="1">
        <v>45922</v>
      </c>
      <c r="B88" t="s">
        <v>47</v>
      </c>
      <c r="C88">
        <v>649163</v>
      </c>
      <c r="D88">
        <v>2031190208</v>
      </c>
      <c r="E88" t="s">
        <v>240</v>
      </c>
      <c r="F88" t="s">
        <v>241</v>
      </c>
      <c r="G88" t="s">
        <v>50</v>
      </c>
      <c r="H88" t="s">
        <v>157</v>
      </c>
      <c r="I88" t="s">
        <v>441</v>
      </c>
      <c r="J88" t="s">
        <v>445</v>
      </c>
      <c r="K88">
        <v>823350</v>
      </c>
      <c r="L88" t="s">
        <v>79</v>
      </c>
      <c r="M88" t="s">
        <v>80</v>
      </c>
      <c r="N88" t="s">
        <v>1079</v>
      </c>
      <c r="O88" t="s">
        <v>56</v>
      </c>
      <c r="P88" s="1">
        <v>45925</v>
      </c>
      <c r="Q88" s="1">
        <v>45955</v>
      </c>
      <c r="R88" s="2">
        <v>194.05</v>
      </c>
      <c r="S88">
        <v>1</v>
      </c>
      <c r="T88" t="s">
        <v>57</v>
      </c>
      <c r="U88" t="s">
        <v>96</v>
      </c>
      <c r="V88" s="4">
        <v>0.7</v>
      </c>
      <c r="W88" s="2">
        <v>0</v>
      </c>
      <c r="X88">
        <v>0</v>
      </c>
      <c r="Y88" t="s">
        <v>70</v>
      </c>
      <c r="Z88" t="s">
        <v>97</v>
      </c>
      <c r="AA88">
        <v>6</v>
      </c>
      <c r="AB88" s="2">
        <v>815.04</v>
      </c>
      <c r="AC88" s="2">
        <v>0</v>
      </c>
      <c r="AD88" s="4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135.84</v>
      </c>
      <c r="AM88" s="2">
        <v>0</v>
      </c>
      <c r="AN88" s="2">
        <v>815.04</v>
      </c>
      <c r="AO88" s="2">
        <v>0</v>
      </c>
      <c r="AP88" s="2">
        <v>0</v>
      </c>
      <c r="AQ88" s="2">
        <v>0</v>
      </c>
    </row>
    <row r="89" spans="1:43" x14ac:dyDescent="0.25">
      <c r="A89" s="1">
        <v>45915</v>
      </c>
      <c r="B89" t="s">
        <v>47</v>
      </c>
      <c r="C89">
        <v>649163</v>
      </c>
      <c r="D89">
        <v>2030982989</v>
      </c>
      <c r="E89" t="s">
        <v>672</v>
      </c>
      <c r="F89" t="s">
        <v>671</v>
      </c>
      <c r="G89" t="s">
        <v>50</v>
      </c>
      <c r="H89" t="s">
        <v>151</v>
      </c>
      <c r="I89" t="s">
        <v>106</v>
      </c>
      <c r="J89" t="s">
        <v>184</v>
      </c>
      <c r="K89">
        <v>823350</v>
      </c>
      <c r="L89" t="s">
        <v>79</v>
      </c>
      <c r="M89" t="s">
        <v>80</v>
      </c>
      <c r="N89" t="s">
        <v>1079</v>
      </c>
      <c r="O89" t="s">
        <v>56</v>
      </c>
      <c r="P89" s="1">
        <v>45915</v>
      </c>
      <c r="Q89" s="1">
        <v>45945</v>
      </c>
      <c r="R89" s="2">
        <v>62.71</v>
      </c>
      <c r="S89">
        <v>1</v>
      </c>
      <c r="T89" t="s">
        <v>57</v>
      </c>
      <c r="U89" t="s">
        <v>96</v>
      </c>
      <c r="V89" s="4">
        <v>0.75</v>
      </c>
      <c r="W89" s="2">
        <v>0</v>
      </c>
      <c r="X89">
        <v>0</v>
      </c>
      <c r="Y89" t="s">
        <v>70</v>
      </c>
      <c r="Z89" t="s">
        <v>97</v>
      </c>
      <c r="AA89">
        <v>6</v>
      </c>
      <c r="AB89" s="2">
        <v>282.18</v>
      </c>
      <c r="AC89" s="2">
        <v>0</v>
      </c>
      <c r="AD89" s="4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47.03</v>
      </c>
      <c r="AM89" s="2">
        <v>0</v>
      </c>
      <c r="AN89" s="2">
        <v>282.18</v>
      </c>
      <c r="AO89" s="2">
        <v>0</v>
      </c>
      <c r="AP89" s="2">
        <v>0</v>
      </c>
      <c r="AQ89" s="2">
        <v>0</v>
      </c>
    </row>
    <row r="90" spans="1:43" x14ac:dyDescent="0.25">
      <c r="A90" s="1">
        <v>45915</v>
      </c>
      <c r="B90" t="s">
        <v>47</v>
      </c>
      <c r="C90">
        <v>649163</v>
      </c>
      <c r="D90">
        <v>2030966817</v>
      </c>
      <c r="E90" t="s">
        <v>673</v>
      </c>
      <c r="F90" t="s">
        <v>281</v>
      </c>
      <c r="G90" t="s">
        <v>50</v>
      </c>
      <c r="H90" t="s">
        <v>193</v>
      </c>
      <c r="I90" t="s">
        <v>306</v>
      </c>
      <c r="J90" t="s">
        <v>307</v>
      </c>
      <c r="K90">
        <v>823350</v>
      </c>
      <c r="L90" t="s">
        <v>79</v>
      </c>
      <c r="M90" t="s">
        <v>80</v>
      </c>
      <c r="N90" t="s">
        <v>1079</v>
      </c>
      <c r="O90" t="s">
        <v>56</v>
      </c>
      <c r="P90" s="1">
        <v>45910</v>
      </c>
      <c r="Q90" s="1">
        <v>45940</v>
      </c>
      <c r="R90" s="2">
        <v>61.74</v>
      </c>
      <c r="S90">
        <v>1</v>
      </c>
      <c r="T90" t="s">
        <v>57</v>
      </c>
      <c r="U90" t="s">
        <v>96</v>
      </c>
      <c r="V90" s="3">
        <v>0.375</v>
      </c>
      <c r="W90" s="2">
        <v>0</v>
      </c>
      <c r="X90">
        <v>0</v>
      </c>
      <c r="Y90" t="s">
        <v>70</v>
      </c>
      <c r="Z90" t="s">
        <v>97</v>
      </c>
      <c r="AA90">
        <v>6</v>
      </c>
      <c r="AB90" s="2">
        <v>138.9</v>
      </c>
      <c r="AC90" s="2">
        <v>0</v>
      </c>
      <c r="AD90" s="4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23.15</v>
      </c>
      <c r="AM90" s="2">
        <v>0</v>
      </c>
      <c r="AN90" s="2">
        <v>138.9</v>
      </c>
      <c r="AO90" s="2">
        <v>0</v>
      </c>
      <c r="AP90" s="2">
        <v>0</v>
      </c>
      <c r="AQ90" s="2">
        <v>0</v>
      </c>
    </row>
    <row r="91" spans="1:43" x14ac:dyDescent="0.25">
      <c r="A91" s="1">
        <v>45915</v>
      </c>
      <c r="B91" t="s">
        <v>47</v>
      </c>
      <c r="C91">
        <v>649163</v>
      </c>
      <c r="D91">
        <v>2030982990</v>
      </c>
      <c r="E91" t="s">
        <v>672</v>
      </c>
      <c r="F91" t="s">
        <v>671</v>
      </c>
      <c r="G91" t="s">
        <v>50</v>
      </c>
      <c r="H91" t="s">
        <v>151</v>
      </c>
      <c r="I91" t="s">
        <v>306</v>
      </c>
      <c r="J91" t="s">
        <v>307</v>
      </c>
      <c r="K91">
        <v>823350</v>
      </c>
      <c r="L91" t="s">
        <v>79</v>
      </c>
      <c r="M91" t="s">
        <v>80</v>
      </c>
      <c r="N91" t="s">
        <v>1079</v>
      </c>
      <c r="O91" t="s">
        <v>56</v>
      </c>
      <c r="P91" s="1">
        <v>45915</v>
      </c>
      <c r="Q91" s="1">
        <v>45945</v>
      </c>
      <c r="R91" s="2">
        <v>243.49</v>
      </c>
      <c r="S91">
        <v>1</v>
      </c>
      <c r="T91" t="s">
        <v>57</v>
      </c>
      <c r="U91" t="s">
        <v>96</v>
      </c>
      <c r="V91" s="3">
        <v>0.375</v>
      </c>
      <c r="W91" s="2">
        <v>0</v>
      </c>
      <c r="X91">
        <v>0</v>
      </c>
      <c r="Y91" t="s">
        <v>70</v>
      </c>
      <c r="Z91" t="s">
        <v>97</v>
      </c>
      <c r="AA91">
        <v>6</v>
      </c>
      <c r="AB91" s="2">
        <v>547.86</v>
      </c>
      <c r="AC91" s="2">
        <v>0</v>
      </c>
      <c r="AD91" s="4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91.31</v>
      </c>
      <c r="AM91" s="2">
        <v>0</v>
      </c>
      <c r="AN91" s="2">
        <v>547.86</v>
      </c>
      <c r="AO91" s="2">
        <v>0</v>
      </c>
      <c r="AP91" s="2">
        <v>0</v>
      </c>
      <c r="AQ91" s="2">
        <v>0</v>
      </c>
    </row>
    <row r="92" spans="1:43" x14ac:dyDescent="0.25">
      <c r="A92" s="1">
        <v>45915</v>
      </c>
      <c r="B92" t="s">
        <v>47</v>
      </c>
      <c r="C92">
        <v>649163</v>
      </c>
      <c r="D92">
        <v>2030966818</v>
      </c>
      <c r="E92" t="s">
        <v>673</v>
      </c>
      <c r="F92" t="s">
        <v>281</v>
      </c>
      <c r="G92" t="s">
        <v>50</v>
      </c>
      <c r="H92" t="s">
        <v>193</v>
      </c>
      <c r="I92" t="s">
        <v>441</v>
      </c>
      <c r="J92" t="s">
        <v>445</v>
      </c>
      <c r="K92">
        <v>823350</v>
      </c>
      <c r="L92" t="s">
        <v>79</v>
      </c>
      <c r="M92" t="s">
        <v>80</v>
      </c>
      <c r="N92" t="s">
        <v>1079</v>
      </c>
      <c r="O92" t="s">
        <v>56</v>
      </c>
      <c r="P92" s="1">
        <v>45910</v>
      </c>
      <c r="Q92" s="1">
        <v>45940</v>
      </c>
      <c r="R92" s="2">
        <v>18.57</v>
      </c>
      <c r="S92">
        <v>1</v>
      </c>
      <c r="T92" t="s">
        <v>57</v>
      </c>
      <c r="U92" t="s">
        <v>96</v>
      </c>
      <c r="V92" s="4">
        <v>0.7</v>
      </c>
      <c r="W92" s="2">
        <v>0</v>
      </c>
      <c r="X92">
        <v>0</v>
      </c>
      <c r="Y92" t="s">
        <v>70</v>
      </c>
      <c r="Z92" t="s">
        <v>97</v>
      </c>
      <c r="AA92">
        <v>6</v>
      </c>
      <c r="AB92" s="2">
        <v>78</v>
      </c>
      <c r="AC92" s="2">
        <v>0</v>
      </c>
      <c r="AD92" s="4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13</v>
      </c>
      <c r="AM92" s="2">
        <v>0</v>
      </c>
      <c r="AN92" s="2">
        <v>78</v>
      </c>
      <c r="AO92" s="2">
        <v>0</v>
      </c>
      <c r="AP92" s="2">
        <v>0</v>
      </c>
      <c r="AQ92" s="2">
        <v>0</v>
      </c>
    </row>
    <row r="93" spans="1:43" x14ac:dyDescent="0.25">
      <c r="A93" s="1">
        <v>45915</v>
      </c>
      <c r="B93" t="s">
        <v>47</v>
      </c>
      <c r="C93">
        <v>649163</v>
      </c>
      <c r="D93">
        <v>2030982991</v>
      </c>
      <c r="E93" t="s">
        <v>672</v>
      </c>
      <c r="F93" t="s">
        <v>671</v>
      </c>
      <c r="G93" t="s">
        <v>50</v>
      </c>
      <c r="H93" t="s">
        <v>151</v>
      </c>
      <c r="I93" t="s">
        <v>441</v>
      </c>
      <c r="J93" t="s">
        <v>445</v>
      </c>
      <c r="K93">
        <v>823350</v>
      </c>
      <c r="L93" t="s">
        <v>79</v>
      </c>
      <c r="M93" t="s">
        <v>80</v>
      </c>
      <c r="N93" t="s">
        <v>1079</v>
      </c>
      <c r="O93" t="s">
        <v>56</v>
      </c>
      <c r="P93" s="1">
        <v>45915</v>
      </c>
      <c r="Q93" s="1">
        <v>45945</v>
      </c>
      <c r="R93" s="2">
        <v>94.01</v>
      </c>
      <c r="S93">
        <v>1</v>
      </c>
      <c r="T93" t="s">
        <v>57</v>
      </c>
      <c r="U93" t="s">
        <v>96</v>
      </c>
      <c r="V93" s="4">
        <v>0.7</v>
      </c>
      <c r="W93" s="2">
        <v>0</v>
      </c>
      <c r="X93">
        <v>0</v>
      </c>
      <c r="Y93" t="s">
        <v>70</v>
      </c>
      <c r="Z93" t="s">
        <v>97</v>
      </c>
      <c r="AA93">
        <v>6</v>
      </c>
      <c r="AB93" s="2">
        <v>394.86</v>
      </c>
      <c r="AC93" s="2">
        <v>0</v>
      </c>
      <c r="AD93" s="4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65.81</v>
      </c>
      <c r="AM93" s="2">
        <v>0</v>
      </c>
      <c r="AN93" s="2">
        <v>394.86</v>
      </c>
      <c r="AO93" s="2">
        <v>0</v>
      </c>
      <c r="AP93" s="2">
        <v>0</v>
      </c>
      <c r="AQ93" s="2">
        <v>0</v>
      </c>
    </row>
    <row r="94" spans="1:43" x14ac:dyDescent="0.25">
      <c r="A94" s="1">
        <v>45922</v>
      </c>
      <c r="B94" t="s">
        <v>47</v>
      </c>
      <c r="C94">
        <v>649163</v>
      </c>
      <c r="D94">
        <v>2030730526</v>
      </c>
      <c r="E94" t="s">
        <v>232</v>
      </c>
      <c r="F94" t="s">
        <v>233</v>
      </c>
      <c r="G94" t="s">
        <v>50</v>
      </c>
      <c r="H94" t="s">
        <v>214</v>
      </c>
      <c r="I94" t="s">
        <v>106</v>
      </c>
      <c r="J94" t="s">
        <v>107</v>
      </c>
      <c r="K94">
        <v>823068</v>
      </c>
      <c r="L94" t="s">
        <v>215</v>
      </c>
      <c r="M94" t="s">
        <v>216</v>
      </c>
      <c r="N94" t="s">
        <v>1077</v>
      </c>
      <c r="O94" t="s">
        <v>56</v>
      </c>
      <c r="P94" s="1">
        <v>45920</v>
      </c>
      <c r="Q94" s="1">
        <v>45950</v>
      </c>
      <c r="R94" s="2">
        <v>146.29</v>
      </c>
      <c r="S94">
        <v>1</v>
      </c>
      <c r="T94" t="s">
        <v>57</v>
      </c>
      <c r="U94" t="s">
        <v>96</v>
      </c>
      <c r="V94" s="4">
        <v>0.9</v>
      </c>
      <c r="W94" s="2">
        <v>0</v>
      </c>
      <c r="X94">
        <v>0</v>
      </c>
      <c r="Y94" t="s">
        <v>70</v>
      </c>
      <c r="Z94" t="s">
        <v>97</v>
      </c>
      <c r="AA94">
        <v>6</v>
      </c>
      <c r="AB94" s="2">
        <v>789.96</v>
      </c>
      <c r="AC94" s="2">
        <v>0</v>
      </c>
      <c r="AD94" s="4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131.66</v>
      </c>
      <c r="AM94" s="2">
        <v>0</v>
      </c>
      <c r="AN94" s="2">
        <v>789.96</v>
      </c>
      <c r="AO94" s="2">
        <v>0</v>
      </c>
      <c r="AP94" s="2">
        <v>0</v>
      </c>
      <c r="AQ94" s="2">
        <v>0</v>
      </c>
    </row>
    <row r="95" spans="1:43" x14ac:dyDescent="0.25">
      <c r="A95" s="1">
        <v>45922</v>
      </c>
      <c r="B95" t="s">
        <v>47</v>
      </c>
      <c r="C95">
        <v>649163</v>
      </c>
      <c r="D95">
        <v>2031072181</v>
      </c>
      <c r="E95" t="s">
        <v>235</v>
      </c>
      <c r="F95" t="s">
        <v>109</v>
      </c>
      <c r="G95" t="s">
        <v>50</v>
      </c>
      <c r="H95" t="s">
        <v>214</v>
      </c>
      <c r="I95" t="s">
        <v>106</v>
      </c>
      <c r="J95" t="s">
        <v>107</v>
      </c>
      <c r="K95">
        <v>823068</v>
      </c>
      <c r="L95" t="s">
        <v>215</v>
      </c>
      <c r="M95" t="s">
        <v>216</v>
      </c>
      <c r="N95" t="s">
        <v>1077</v>
      </c>
      <c r="O95" t="s">
        <v>56</v>
      </c>
      <c r="P95" s="1">
        <v>45919</v>
      </c>
      <c r="Q95" s="1">
        <v>45949</v>
      </c>
      <c r="R95" s="2">
        <v>31.71</v>
      </c>
      <c r="S95">
        <v>1</v>
      </c>
      <c r="T95" t="s">
        <v>57</v>
      </c>
      <c r="U95" t="s">
        <v>96</v>
      </c>
      <c r="V95" s="4">
        <v>0.9</v>
      </c>
      <c r="W95" s="2">
        <v>0</v>
      </c>
      <c r="X95">
        <v>0</v>
      </c>
      <c r="Y95" t="s">
        <v>70</v>
      </c>
      <c r="Z95" t="s">
        <v>97</v>
      </c>
      <c r="AA95">
        <v>6</v>
      </c>
      <c r="AB95" s="2">
        <v>171.24</v>
      </c>
      <c r="AC95" s="2">
        <v>0</v>
      </c>
      <c r="AD95" s="4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28.54</v>
      </c>
      <c r="AM95" s="2">
        <v>0</v>
      </c>
      <c r="AN95" s="2">
        <v>171.24</v>
      </c>
      <c r="AO95" s="2">
        <v>0</v>
      </c>
      <c r="AP95" s="2">
        <v>0</v>
      </c>
      <c r="AQ95" s="2">
        <v>0</v>
      </c>
    </row>
    <row r="96" spans="1:43" x14ac:dyDescent="0.25">
      <c r="A96" s="1">
        <v>45922</v>
      </c>
      <c r="B96" t="s">
        <v>47</v>
      </c>
      <c r="C96">
        <v>649163</v>
      </c>
      <c r="D96">
        <v>2030730525</v>
      </c>
      <c r="E96" t="s">
        <v>232</v>
      </c>
      <c r="F96" t="s">
        <v>233</v>
      </c>
      <c r="G96" t="s">
        <v>50</v>
      </c>
      <c r="H96" t="s">
        <v>214</v>
      </c>
      <c r="I96" t="s">
        <v>441</v>
      </c>
      <c r="J96" t="s">
        <v>545</v>
      </c>
      <c r="K96">
        <v>823068</v>
      </c>
      <c r="L96" t="s">
        <v>215</v>
      </c>
      <c r="M96" t="s">
        <v>216</v>
      </c>
      <c r="N96" t="s">
        <v>1077</v>
      </c>
      <c r="O96" t="s">
        <v>56</v>
      </c>
      <c r="P96" s="1">
        <v>45920</v>
      </c>
      <c r="Q96" s="1">
        <v>45950</v>
      </c>
      <c r="R96" s="2">
        <v>48</v>
      </c>
      <c r="S96">
        <v>1</v>
      </c>
      <c r="T96" t="s">
        <v>57</v>
      </c>
      <c r="U96" t="s">
        <v>96</v>
      </c>
      <c r="V96" s="4">
        <v>0.7</v>
      </c>
      <c r="W96" s="2">
        <v>0</v>
      </c>
      <c r="X96">
        <v>0</v>
      </c>
      <c r="Y96" t="s">
        <v>70</v>
      </c>
      <c r="Z96" t="s">
        <v>97</v>
      </c>
      <c r="AA96">
        <v>6</v>
      </c>
      <c r="AB96" s="2">
        <v>201.6</v>
      </c>
      <c r="AC96" s="2">
        <v>0</v>
      </c>
      <c r="AD96" s="4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33.6</v>
      </c>
      <c r="AM96" s="2">
        <v>0</v>
      </c>
      <c r="AN96" s="2">
        <v>201.6</v>
      </c>
      <c r="AO96" s="2">
        <v>0</v>
      </c>
      <c r="AP96" s="2">
        <v>0</v>
      </c>
      <c r="AQ96" s="2">
        <v>0</v>
      </c>
    </row>
    <row r="97" spans="1:43" x14ac:dyDescent="0.25">
      <c r="A97" s="1">
        <v>45922</v>
      </c>
      <c r="B97" t="s">
        <v>47</v>
      </c>
      <c r="C97">
        <v>649163</v>
      </c>
      <c r="D97">
        <v>2031072180</v>
      </c>
      <c r="E97" t="s">
        <v>235</v>
      </c>
      <c r="F97" t="s">
        <v>109</v>
      </c>
      <c r="G97" t="s">
        <v>50</v>
      </c>
      <c r="H97" t="s">
        <v>214</v>
      </c>
      <c r="I97" t="s">
        <v>441</v>
      </c>
      <c r="J97" t="s">
        <v>545</v>
      </c>
      <c r="K97">
        <v>823068</v>
      </c>
      <c r="L97" t="s">
        <v>215</v>
      </c>
      <c r="M97" t="s">
        <v>216</v>
      </c>
      <c r="N97" t="s">
        <v>1077</v>
      </c>
      <c r="O97" t="s">
        <v>56</v>
      </c>
      <c r="P97" s="1">
        <v>45919</v>
      </c>
      <c r="Q97" s="1">
        <v>45949</v>
      </c>
      <c r="R97" s="2">
        <v>24.61</v>
      </c>
      <c r="S97">
        <v>1</v>
      </c>
      <c r="T97" t="s">
        <v>57</v>
      </c>
      <c r="U97" t="s">
        <v>96</v>
      </c>
      <c r="V97" s="4">
        <v>0.7</v>
      </c>
      <c r="W97" s="2">
        <v>0</v>
      </c>
      <c r="X97">
        <v>0</v>
      </c>
      <c r="Y97" t="s">
        <v>70</v>
      </c>
      <c r="Z97" t="s">
        <v>97</v>
      </c>
      <c r="AA97">
        <v>6</v>
      </c>
      <c r="AB97" s="2">
        <v>103.38</v>
      </c>
      <c r="AC97" s="2">
        <v>0</v>
      </c>
      <c r="AD97" s="4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17.23</v>
      </c>
      <c r="AM97" s="2">
        <v>0</v>
      </c>
      <c r="AN97" s="2">
        <v>103.38</v>
      </c>
      <c r="AO97" s="2">
        <v>0</v>
      </c>
      <c r="AP97" s="2">
        <v>0</v>
      </c>
      <c r="AQ97" s="2">
        <v>0</v>
      </c>
    </row>
    <row r="98" spans="1:43" x14ac:dyDescent="0.25">
      <c r="A98" s="1">
        <v>45915</v>
      </c>
      <c r="B98" t="s">
        <v>47</v>
      </c>
      <c r="C98">
        <v>649163</v>
      </c>
      <c r="D98">
        <v>2030898265</v>
      </c>
      <c r="E98" t="s">
        <v>144</v>
      </c>
      <c r="F98" t="s">
        <v>111</v>
      </c>
      <c r="G98" t="s">
        <v>50</v>
      </c>
      <c r="H98" t="s">
        <v>214</v>
      </c>
      <c r="I98" t="s">
        <v>106</v>
      </c>
      <c r="J98" t="s">
        <v>107</v>
      </c>
      <c r="K98">
        <v>823068</v>
      </c>
      <c r="L98" t="s">
        <v>215</v>
      </c>
      <c r="M98" t="s">
        <v>216</v>
      </c>
      <c r="N98" t="s">
        <v>1077</v>
      </c>
      <c r="O98" t="s">
        <v>56</v>
      </c>
      <c r="P98" s="1">
        <v>45931</v>
      </c>
      <c r="Q98" s="1">
        <v>45962</v>
      </c>
      <c r="R98" s="2">
        <v>78.88</v>
      </c>
      <c r="S98">
        <v>1</v>
      </c>
      <c r="T98" t="s">
        <v>57</v>
      </c>
      <c r="U98" t="s">
        <v>96</v>
      </c>
      <c r="V98" s="4">
        <v>0.9</v>
      </c>
      <c r="W98" s="2">
        <v>0</v>
      </c>
      <c r="X98">
        <v>0</v>
      </c>
      <c r="Y98" t="s">
        <v>70</v>
      </c>
      <c r="Z98" t="s">
        <v>97</v>
      </c>
      <c r="AA98">
        <v>6</v>
      </c>
      <c r="AB98" s="2">
        <v>425.94</v>
      </c>
      <c r="AC98" s="2">
        <v>0</v>
      </c>
      <c r="AD98" s="4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70.989999999999995</v>
      </c>
      <c r="AM98" s="2">
        <v>0</v>
      </c>
      <c r="AN98" s="2">
        <v>425.94</v>
      </c>
      <c r="AO98" s="2">
        <v>0</v>
      </c>
      <c r="AP98" s="2">
        <v>0</v>
      </c>
      <c r="AQ98" s="2">
        <v>0</v>
      </c>
    </row>
    <row r="99" spans="1:43" x14ac:dyDescent="0.25">
      <c r="A99" s="1">
        <v>45915</v>
      </c>
      <c r="B99" t="s">
        <v>47</v>
      </c>
      <c r="C99">
        <v>649163</v>
      </c>
      <c r="D99">
        <v>2030933673</v>
      </c>
      <c r="E99" t="s">
        <v>691</v>
      </c>
      <c r="F99" t="s">
        <v>690</v>
      </c>
      <c r="G99" t="s">
        <v>50</v>
      </c>
      <c r="H99" t="s">
        <v>214</v>
      </c>
      <c r="I99" t="s">
        <v>106</v>
      </c>
      <c r="J99" t="s">
        <v>107</v>
      </c>
      <c r="K99">
        <v>823068</v>
      </c>
      <c r="L99" t="s">
        <v>215</v>
      </c>
      <c r="M99" t="s">
        <v>216</v>
      </c>
      <c r="N99" t="s">
        <v>1077</v>
      </c>
      <c r="O99" t="s">
        <v>56</v>
      </c>
      <c r="P99" s="1">
        <v>45909</v>
      </c>
      <c r="Q99" s="1">
        <v>45939</v>
      </c>
      <c r="R99" s="2">
        <v>76.5</v>
      </c>
      <c r="S99">
        <v>1</v>
      </c>
      <c r="T99" t="s">
        <v>57</v>
      </c>
      <c r="U99" t="s">
        <v>96</v>
      </c>
      <c r="V99" s="4">
        <v>0.9</v>
      </c>
      <c r="W99" s="2">
        <v>0</v>
      </c>
      <c r="X99">
        <v>0</v>
      </c>
      <c r="Y99" t="s">
        <v>70</v>
      </c>
      <c r="Z99" t="s">
        <v>97</v>
      </c>
      <c r="AA99">
        <v>6</v>
      </c>
      <c r="AB99" s="2">
        <v>413.1</v>
      </c>
      <c r="AC99" s="2">
        <v>0</v>
      </c>
      <c r="AD99" s="4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68.849999999999994</v>
      </c>
      <c r="AM99" s="2">
        <v>0</v>
      </c>
      <c r="AN99" s="2">
        <v>413.1</v>
      </c>
      <c r="AO99" s="2">
        <v>0</v>
      </c>
      <c r="AP99" s="2">
        <v>0</v>
      </c>
      <c r="AQ99" s="2">
        <v>0</v>
      </c>
    </row>
    <row r="100" spans="1:43" x14ac:dyDescent="0.25">
      <c r="A100" s="1">
        <v>45915</v>
      </c>
      <c r="B100" t="s">
        <v>47</v>
      </c>
      <c r="C100">
        <v>649163</v>
      </c>
      <c r="D100">
        <v>2030987633</v>
      </c>
      <c r="E100" t="s">
        <v>640</v>
      </c>
      <c r="F100" t="s">
        <v>171</v>
      </c>
      <c r="G100" t="s">
        <v>50</v>
      </c>
      <c r="H100" t="s">
        <v>134</v>
      </c>
      <c r="I100" t="s">
        <v>106</v>
      </c>
      <c r="J100" t="s">
        <v>107</v>
      </c>
      <c r="K100">
        <v>823068</v>
      </c>
      <c r="L100" t="s">
        <v>215</v>
      </c>
      <c r="M100" t="s">
        <v>216</v>
      </c>
      <c r="N100" t="s">
        <v>1077</v>
      </c>
      <c r="O100" t="s">
        <v>56</v>
      </c>
      <c r="P100" s="1">
        <v>45931</v>
      </c>
      <c r="Q100" s="1">
        <v>45962</v>
      </c>
      <c r="R100" s="2">
        <v>16.579999999999998</v>
      </c>
      <c r="S100">
        <v>1</v>
      </c>
      <c r="T100" t="s">
        <v>57</v>
      </c>
      <c r="U100" t="s">
        <v>96</v>
      </c>
      <c r="V100" s="4">
        <v>0.9</v>
      </c>
      <c r="W100" s="2">
        <v>0</v>
      </c>
      <c r="X100">
        <v>0</v>
      </c>
      <c r="Y100" t="s">
        <v>70</v>
      </c>
      <c r="Z100" t="s">
        <v>97</v>
      </c>
      <c r="AA100">
        <v>6</v>
      </c>
      <c r="AB100" s="2">
        <v>89.52</v>
      </c>
      <c r="AC100" s="2">
        <v>0</v>
      </c>
      <c r="AD100" s="4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14.92</v>
      </c>
      <c r="AM100" s="2">
        <v>0</v>
      </c>
      <c r="AN100" s="2">
        <v>89.52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45915</v>
      </c>
      <c r="B101" t="s">
        <v>47</v>
      </c>
      <c r="C101">
        <v>649163</v>
      </c>
      <c r="D101">
        <v>2030994136</v>
      </c>
      <c r="E101" t="s">
        <v>668</v>
      </c>
      <c r="F101" t="s">
        <v>630</v>
      </c>
      <c r="G101" t="s">
        <v>50</v>
      </c>
      <c r="H101" t="s">
        <v>214</v>
      </c>
      <c r="I101" t="s">
        <v>106</v>
      </c>
      <c r="J101" t="s">
        <v>107</v>
      </c>
      <c r="K101">
        <v>823068</v>
      </c>
      <c r="L101" t="s">
        <v>215</v>
      </c>
      <c r="M101" t="s">
        <v>216</v>
      </c>
      <c r="N101" t="s">
        <v>1077</v>
      </c>
      <c r="O101" t="s">
        <v>56</v>
      </c>
      <c r="P101" s="1">
        <v>45931</v>
      </c>
      <c r="Q101" s="1">
        <v>45962</v>
      </c>
      <c r="R101" s="2">
        <v>106.25</v>
      </c>
      <c r="S101">
        <v>1</v>
      </c>
      <c r="T101" t="s">
        <v>57</v>
      </c>
      <c r="U101" t="s">
        <v>96</v>
      </c>
      <c r="V101" s="4">
        <v>0.9</v>
      </c>
      <c r="W101" s="2">
        <v>0</v>
      </c>
      <c r="X101">
        <v>0</v>
      </c>
      <c r="Y101" t="s">
        <v>70</v>
      </c>
      <c r="Z101" t="s">
        <v>97</v>
      </c>
      <c r="AA101">
        <v>6</v>
      </c>
      <c r="AB101" s="2">
        <v>573.72</v>
      </c>
      <c r="AC101" s="2">
        <v>0</v>
      </c>
      <c r="AD101" s="4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95.62</v>
      </c>
      <c r="AM101" s="2">
        <v>0</v>
      </c>
      <c r="AN101" s="2">
        <v>573.72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45915</v>
      </c>
      <c r="B102" t="s">
        <v>47</v>
      </c>
      <c r="C102">
        <v>649163</v>
      </c>
      <c r="D102">
        <v>2030933674</v>
      </c>
      <c r="E102" t="s">
        <v>691</v>
      </c>
      <c r="F102" t="s">
        <v>690</v>
      </c>
      <c r="G102" t="s">
        <v>50</v>
      </c>
      <c r="H102" t="s">
        <v>214</v>
      </c>
      <c r="I102" t="s">
        <v>243</v>
      </c>
      <c r="J102" t="s">
        <v>1055</v>
      </c>
      <c r="K102">
        <v>823068</v>
      </c>
      <c r="L102" t="s">
        <v>215</v>
      </c>
      <c r="M102" t="s">
        <v>216</v>
      </c>
      <c r="N102" t="s">
        <v>1077</v>
      </c>
      <c r="O102" t="s">
        <v>56</v>
      </c>
      <c r="P102" s="1">
        <v>45909</v>
      </c>
      <c r="Q102" s="1">
        <v>45939</v>
      </c>
      <c r="R102" s="2">
        <v>19.5</v>
      </c>
      <c r="S102">
        <v>1</v>
      </c>
      <c r="T102" t="s">
        <v>57</v>
      </c>
      <c r="U102" t="s">
        <v>96</v>
      </c>
      <c r="V102" s="4">
        <v>0.39</v>
      </c>
      <c r="W102" s="2">
        <v>0</v>
      </c>
      <c r="X102">
        <v>0</v>
      </c>
      <c r="Y102" t="s">
        <v>70</v>
      </c>
      <c r="Z102" t="s">
        <v>97</v>
      </c>
      <c r="AA102">
        <v>6</v>
      </c>
      <c r="AB102" s="2">
        <v>45.6</v>
      </c>
      <c r="AC102" s="2">
        <v>0</v>
      </c>
      <c r="AD102" s="4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7.6</v>
      </c>
      <c r="AM102" s="2">
        <v>0</v>
      </c>
      <c r="AN102" s="2">
        <v>45.6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45915</v>
      </c>
      <c r="B103" t="s">
        <v>47</v>
      </c>
      <c r="C103">
        <v>649163</v>
      </c>
      <c r="D103">
        <v>2030898263</v>
      </c>
      <c r="E103" t="s">
        <v>144</v>
      </c>
      <c r="F103" t="s">
        <v>111</v>
      </c>
      <c r="G103" t="s">
        <v>50</v>
      </c>
      <c r="H103" t="s">
        <v>214</v>
      </c>
      <c r="I103" t="s">
        <v>441</v>
      </c>
      <c r="J103" t="s">
        <v>451</v>
      </c>
      <c r="K103">
        <v>823068</v>
      </c>
      <c r="L103" t="s">
        <v>215</v>
      </c>
      <c r="M103" t="s">
        <v>216</v>
      </c>
      <c r="N103" t="s">
        <v>1077</v>
      </c>
      <c r="O103" t="s">
        <v>56</v>
      </c>
      <c r="P103" s="1">
        <v>45931</v>
      </c>
      <c r="Q103" s="1">
        <v>45962</v>
      </c>
      <c r="R103" s="2">
        <v>32.81</v>
      </c>
      <c r="S103">
        <v>1</v>
      </c>
      <c r="T103" t="s">
        <v>57</v>
      </c>
      <c r="U103" t="s">
        <v>96</v>
      </c>
      <c r="V103" s="4">
        <v>0.42</v>
      </c>
      <c r="W103" s="2">
        <v>0</v>
      </c>
      <c r="X103">
        <v>0</v>
      </c>
      <c r="Y103" t="s">
        <v>70</v>
      </c>
      <c r="Z103" t="s">
        <v>97</v>
      </c>
      <c r="AA103">
        <v>6</v>
      </c>
      <c r="AB103" s="2">
        <v>82.68</v>
      </c>
      <c r="AC103" s="2">
        <v>0</v>
      </c>
      <c r="AD103" s="4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13.78</v>
      </c>
      <c r="AM103" s="2">
        <v>0</v>
      </c>
      <c r="AN103" s="2">
        <v>82.68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45915</v>
      </c>
      <c r="B104" t="s">
        <v>47</v>
      </c>
      <c r="C104">
        <v>649163</v>
      </c>
      <c r="D104">
        <v>2030898264</v>
      </c>
      <c r="E104" t="s">
        <v>144</v>
      </c>
      <c r="F104" t="s">
        <v>111</v>
      </c>
      <c r="G104" t="s">
        <v>50</v>
      </c>
      <c r="H104" t="s">
        <v>214</v>
      </c>
      <c r="I104" t="s">
        <v>441</v>
      </c>
      <c r="J104" t="s">
        <v>545</v>
      </c>
      <c r="K104">
        <v>823068</v>
      </c>
      <c r="L104" t="s">
        <v>215</v>
      </c>
      <c r="M104" t="s">
        <v>216</v>
      </c>
      <c r="N104" t="s">
        <v>1077</v>
      </c>
      <c r="O104" t="s">
        <v>56</v>
      </c>
      <c r="P104" s="1">
        <v>45931</v>
      </c>
      <c r="Q104" s="1">
        <v>45962</v>
      </c>
      <c r="R104" s="2">
        <v>24.61</v>
      </c>
      <c r="S104">
        <v>1</v>
      </c>
      <c r="T104" t="s">
        <v>57</v>
      </c>
      <c r="U104" t="s">
        <v>96</v>
      </c>
      <c r="V104" s="4">
        <v>0.7</v>
      </c>
      <c r="W104" s="2">
        <v>0</v>
      </c>
      <c r="X104">
        <v>0</v>
      </c>
      <c r="Y104" t="s">
        <v>70</v>
      </c>
      <c r="Z104" t="s">
        <v>97</v>
      </c>
      <c r="AA104">
        <v>6</v>
      </c>
      <c r="AB104" s="2">
        <v>103.38</v>
      </c>
      <c r="AC104" s="2">
        <v>0</v>
      </c>
      <c r="AD104" s="4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17.23</v>
      </c>
      <c r="AM104" s="2">
        <v>0</v>
      </c>
      <c r="AN104" s="2">
        <v>103.38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45915</v>
      </c>
      <c r="B105" t="s">
        <v>47</v>
      </c>
      <c r="C105">
        <v>649163</v>
      </c>
      <c r="D105">
        <v>2030933671</v>
      </c>
      <c r="E105" t="s">
        <v>691</v>
      </c>
      <c r="F105" t="s">
        <v>690</v>
      </c>
      <c r="G105" t="s">
        <v>50</v>
      </c>
      <c r="H105" t="s">
        <v>214</v>
      </c>
      <c r="I105" t="s">
        <v>441</v>
      </c>
      <c r="J105" t="s">
        <v>451</v>
      </c>
      <c r="K105">
        <v>823068</v>
      </c>
      <c r="L105" t="s">
        <v>215</v>
      </c>
      <c r="M105" t="s">
        <v>216</v>
      </c>
      <c r="N105" t="s">
        <v>1077</v>
      </c>
      <c r="O105" t="s">
        <v>56</v>
      </c>
      <c r="P105" s="1">
        <v>45909</v>
      </c>
      <c r="Q105" s="1">
        <v>45939</v>
      </c>
      <c r="R105" s="2">
        <v>27.8</v>
      </c>
      <c r="S105">
        <v>1</v>
      </c>
      <c r="T105" t="s">
        <v>57</v>
      </c>
      <c r="U105" t="s">
        <v>96</v>
      </c>
      <c r="V105" s="4">
        <v>0.42</v>
      </c>
      <c r="W105" s="2">
        <v>0</v>
      </c>
      <c r="X105">
        <v>0</v>
      </c>
      <c r="Y105" t="s">
        <v>70</v>
      </c>
      <c r="Z105" t="s">
        <v>97</v>
      </c>
      <c r="AA105">
        <v>6</v>
      </c>
      <c r="AB105" s="2">
        <v>70.08</v>
      </c>
      <c r="AC105" s="2">
        <v>0</v>
      </c>
      <c r="AD105" s="4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11.68</v>
      </c>
      <c r="AM105" s="2">
        <v>0</v>
      </c>
      <c r="AN105" s="2">
        <v>70.08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45915</v>
      </c>
      <c r="B106" t="s">
        <v>47</v>
      </c>
      <c r="C106">
        <v>649163</v>
      </c>
      <c r="D106">
        <v>2030933672</v>
      </c>
      <c r="E106" t="s">
        <v>691</v>
      </c>
      <c r="F106" t="s">
        <v>690</v>
      </c>
      <c r="G106" t="s">
        <v>50</v>
      </c>
      <c r="H106" t="s">
        <v>214</v>
      </c>
      <c r="I106" t="s">
        <v>441</v>
      </c>
      <c r="J106" t="s">
        <v>545</v>
      </c>
      <c r="K106">
        <v>823068</v>
      </c>
      <c r="L106" t="s">
        <v>215</v>
      </c>
      <c r="M106" t="s">
        <v>216</v>
      </c>
      <c r="N106" t="s">
        <v>1077</v>
      </c>
      <c r="O106" t="s">
        <v>56</v>
      </c>
      <c r="P106" s="1">
        <v>45909</v>
      </c>
      <c r="Q106" s="1">
        <v>45939</v>
      </c>
      <c r="R106" s="2">
        <v>24.61</v>
      </c>
      <c r="S106">
        <v>1</v>
      </c>
      <c r="T106" t="s">
        <v>57</v>
      </c>
      <c r="U106" t="s">
        <v>96</v>
      </c>
      <c r="V106" s="4">
        <v>0.7</v>
      </c>
      <c r="W106" s="2">
        <v>0</v>
      </c>
      <c r="X106">
        <v>0</v>
      </c>
      <c r="Y106" t="s">
        <v>70</v>
      </c>
      <c r="Z106" t="s">
        <v>97</v>
      </c>
      <c r="AA106">
        <v>6</v>
      </c>
      <c r="AB106" s="2">
        <v>103.38</v>
      </c>
      <c r="AC106" s="2">
        <v>0</v>
      </c>
      <c r="AD106" s="4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17.23</v>
      </c>
      <c r="AM106" s="2">
        <v>0</v>
      </c>
      <c r="AN106" s="2">
        <v>103.38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45915</v>
      </c>
      <c r="B107" t="s">
        <v>47</v>
      </c>
      <c r="C107">
        <v>649163</v>
      </c>
      <c r="D107">
        <v>2030987631</v>
      </c>
      <c r="E107" t="s">
        <v>640</v>
      </c>
      <c r="F107" t="s">
        <v>171</v>
      </c>
      <c r="G107" t="s">
        <v>50</v>
      </c>
      <c r="H107" t="s">
        <v>134</v>
      </c>
      <c r="I107" t="s">
        <v>441</v>
      </c>
      <c r="J107" t="s">
        <v>451</v>
      </c>
      <c r="K107">
        <v>823068</v>
      </c>
      <c r="L107" t="s">
        <v>215</v>
      </c>
      <c r="M107" t="s">
        <v>216</v>
      </c>
      <c r="N107" t="s">
        <v>1077</v>
      </c>
      <c r="O107" t="s">
        <v>56</v>
      </c>
      <c r="P107" s="1">
        <v>45931</v>
      </c>
      <c r="Q107" s="1">
        <v>45962</v>
      </c>
      <c r="R107" s="2">
        <v>15.5</v>
      </c>
      <c r="S107">
        <v>1</v>
      </c>
      <c r="T107" t="s">
        <v>57</v>
      </c>
      <c r="U107" t="s">
        <v>96</v>
      </c>
      <c r="V107" s="4">
        <v>0.42</v>
      </c>
      <c r="W107" s="2">
        <v>0</v>
      </c>
      <c r="X107">
        <v>0</v>
      </c>
      <c r="Y107" t="s">
        <v>70</v>
      </c>
      <c r="Z107" t="s">
        <v>97</v>
      </c>
      <c r="AA107">
        <v>6</v>
      </c>
      <c r="AB107" s="2">
        <v>39.06</v>
      </c>
      <c r="AC107" s="2">
        <v>0</v>
      </c>
      <c r="AD107" s="4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6.51</v>
      </c>
      <c r="AM107" s="2">
        <v>0</v>
      </c>
      <c r="AN107" s="2">
        <v>39.06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45915</v>
      </c>
      <c r="B108" t="s">
        <v>47</v>
      </c>
      <c r="C108">
        <v>649163</v>
      </c>
      <c r="D108">
        <v>2030987632</v>
      </c>
      <c r="E108" t="s">
        <v>640</v>
      </c>
      <c r="F108" t="s">
        <v>171</v>
      </c>
      <c r="G108" t="s">
        <v>50</v>
      </c>
      <c r="H108" t="s">
        <v>134</v>
      </c>
      <c r="I108" t="s">
        <v>441</v>
      </c>
      <c r="J108" t="s">
        <v>445</v>
      </c>
      <c r="K108">
        <v>823068</v>
      </c>
      <c r="L108" t="s">
        <v>215</v>
      </c>
      <c r="M108" t="s">
        <v>216</v>
      </c>
      <c r="N108" t="s">
        <v>1077</v>
      </c>
      <c r="O108" t="s">
        <v>56</v>
      </c>
      <c r="P108" s="1">
        <v>45931</v>
      </c>
      <c r="Q108" s="1">
        <v>45962</v>
      </c>
      <c r="R108" s="2">
        <v>26.67</v>
      </c>
      <c r="S108">
        <v>1</v>
      </c>
      <c r="T108" t="s">
        <v>57</v>
      </c>
      <c r="U108" t="s">
        <v>96</v>
      </c>
      <c r="V108" s="4">
        <v>0.7</v>
      </c>
      <c r="W108" s="2">
        <v>0</v>
      </c>
      <c r="X108">
        <v>0</v>
      </c>
      <c r="Y108" t="s">
        <v>70</v>
      </c>
      <c r="Z108" t="s">
        <v>97</v>
      </c>
      <c r="AA108">
        <v>6</v>
      </c>
      <c r="AB108" s="2">
        <v>112.02</v>
      </c>
      <c r="AC108" s="2">
        <v>0</v>
      </c>
      <c r="AD108" s="4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18.670000000000002</v>
      </c>
      <c r="AM108" s="2">
        <v>0</v>
      </c>
      <c r="AN108" s="2">
        <v>112.02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45915</v>
      </c>
      <c r="B109" t="s">
        <v>47</v>
      </c>
      <c r="C109">
        <v>649163</v>
      </c>
      <c r="D109">
        <v>2030994135</v>
      </c>
      <c r="E109" t="s">
        <v>668</v>
      </c>
      <c r="F109" t="s">
        <v>630</v>
      </c>
      <c r="G109" t="s">
        <v>50</v>
      </c>
      <c r="H109" t="s">
        <v>214</v>
      </c>
      <c r="I109" t="s">
        <v>441</v>
      </c>
      <c r="J109" t="s">
        <v>545</v>
      </c>
      <c r="K109">
        <v>823068</v>
      </c>
      <c r="L109" t="s">
        <v>215</v>
      </c>
      <c r="M109" t="s">
        <v>216</v>
      </c>
      <c r="N109" t="s">
        <v>1077</v>
      </c>
      <c r="O109" t="s">
        <v>56</v>
      </c>
      <c r="P109" s="1">
        <v>45931</v>
      </c>
      <c r="Q109" s="1">
        <v>45962</v>
      </c>
      <c r="R109" s="2">
        <v>24.61</v>
      </c>
      <c r="S109">
        <v>1</v>
      </c>
      <c r="T109" t="s">
        <v>57</v>
      </c>
      <c r="U109" t="s">
        <v>96</v>
      </c>
      <c r="V109" s="4">
        <v>0.7</v>
      </c>
      <c r="W109" s="2">
        <v>0</v>
      </c>
      <c r="X109">
        <v>0</v>
      </c>
      <c r="Y109" t="s">
        <v>70</v>
      </c>
      <c r="Z109" t="s">
        <v>97</v>
      </c>
      <c r="AA109">
        <v>6</v>
      </c>
      <c r="AB109" s="2">
        <v>103.38</v>
      </c>
      <c r="AC109" s="2">
        <v>0</v>
      </c>
      <c r="AD109" s="4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17.23</v>
      </c>
      <c r="AM109" s="2">
        <v>0</v>
      </c>
      <c r="AN109" s="2">
        <v>103.38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45915</v>
      </c>
      <c r="B110" t="s">
        <v>47</v>
      </c>
      <c r="C110">
        <v>649163</v>
      </c>
      <c r="D110">
        <v>2031005188</v>
      </c>
      <c r="E110" t="s">
        <v>665</v>
      </c>
      <c r="F110" t="s">
        <v>664</v>
      </c>
      <c r="G110" t="s">
        <v>50</v>
      </c>
      <c r="H110" t="s">
        <v>214</v>
      </c>
      <c r="I110" t="s">
        <v>441</v>
      </c>
      <c r="J110" t="s">
        <v>545</v>
      </c>
      <c r="K110">
        <v>823068</v>
      </c>
      <c r="L110" t="s">
        <v>215</v>
      </c>
      <c r="M110" t="s">
        <v>216</v>
      </c>
      <c r="N110" t="s">
        <v>1077</v>
      </c>
      <c r="O110" t="s">
        <v>56</v>
      </c>
      <c r="P110" s="1">
        <v>45931</v>
      </c>
      <c r="Q110" s="1">
        <v>45962</v>
      </c>
      <c r="R110" s="2">
        <v>24.61</v>
      </c>
      <c r="S110">
        <v>1</v>
      </c>
      <c r="T110" t="s">
        <v>57</v>
      </c>
      <c r="U110" t="s">
        <v>96</v>
      </c>
      <c r="V110" s="4">
        <v>0.7</v>
      </c>
      <c r="W110" s="2">
        <v>0</v>
      </c>
      <c r="X110">
        <v>0</v>
      </c>
      <c r="Y110" t="s">
        <v>70</v>
      </c>
      <c r="Z110" t="s">
        <v>97</v>
      </c>
      <c r="AA110">
        <v>6</v>
      </c>
      <c r="AB110" s="2">
        <v>103.38</v>
      </c>
      <c r="AC110" s="2">
        <v>0</v>
      </c>
      <c r="AD110" s="4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17.23</v>
      </c>
      <c r="AM110" s="2">
        <v>0</v>
      </c>
      <c r="AN110" s="2">
        <v>103.38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45915</v>
      </c>
      <c r="B111" t="s">
        <v>47</v>
      </c>
      <c r="C111">
        <v>649163</v>
      </c>
      <c r="D111">
        <v>2031005189</v>
      </c>
      <c r="E111" t="s">
        <v>665</v>
      </c>
      <c r="F111" t="s">
        <v>664</v>
      </c>
      <c r="G111" t="s">
        <v>50</v>
      </c>
      <c r="H111" t="s">
        <v>214</v>
      </c>
      <c r="I111" t="s">
        <v>441</v>
      </c>
      <c r="J111" t="s">
        <v>442</v>
      </c>
      <c r="K111">
        <v>823068</v>
      </c>
      <c r="L111" t="s">
        <v>215</v>
      </c>
      <c r="M111" t="s">
        <v>216</v>
      </c>
      <c r="N111" t="s">
        <v>1077</v>
      </c>
      <c r="O111" t="s">
        <v>56</v>
      </c>
      <c r="P111" s="1">
        <v>45931</v>
      </c>
      <c r="Q111" s="1">
        <v>45962</v>
      </c>
      <c r="R111" s="2">
        <v>27.81</v>
      </c>
      <c r="S111">
        <v>1</v>
      </c>
      <c r="T111" t="s">
        <v>57</v>
      </c>
      <c r="U111" t="s">
        <v>96</v>
      </c>
      <c r="V111" s="4">
        <v>0.9</v>
      </c>
      <c r="W111" s="2">
        <v>0</v>
      </c>
      <c r="X111">
        <v>0</v>
      </c>
      <c r="Y111" t="s">
        <v>70</v>
      </c>
      <c r="Z111" t="s">
        <v>97</v>
      </c>
      <c r="AA111">
        <v>6</v>
      </c>
      <c r="AB111" s="2">
        <v>150.18</v>
      </c>
      <c r="AC111" s="2">
        <v>0</v>
      </c>
      <c r="AD111" s="4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25.03</v>
      </c>
      <c r="AM111" s="2">
        <v>0</v>
      </c>
      <c r="AN111" s="2">
        <v>150.18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45915</v>
      </c>
      <c r="B112" t="s">
        <v>47</v>
      </c>
      <c r="C112">
        <v>649163</v>
      </c>
      <c r="D112">
        <v>2030987634</v>
      </c>
      <c r="E112" t="s">
        <v>640</v>
      </c>
      <c r="F112" t="s">
        <v>171</v>
      </c>
      <c r="G112" t="s">
        <v>50</v>
      </c>
      <c r="H112" t="s">
        <v>134</v>
      </c>
      <c r="I112" t="s">
        <v>243</v>
      </c>
      <c r="J112" t="s">
        <v>1054</v>
      </c>
      <c r="K112">
        <v>823068</v>
      </c>
      <c r="L112" t="s">
        <v>215</v>
      </c>
      <c r="M112" t="s">
        <v>216</v>
      </c>
      <c r="N112" t="s">
        <v>1077</v>
      </c>
      <c r="O112" t="s">
        <v>56</v>
      </c>
      <c r="P112" s="1">
        <v>45931</v>
      </c>
      <c r="Q112" s="1">
        <v>45962</v>
      </c>
      <c r="R112" s="2">
        <v>15</v>
      </c>
      <c r="S112">
        <v>1</v>
      </c>
      <c r="T112" t="s">
        <v>57</v>
      </c>
      <c r="U112" t="s">
        <v>636</v>
      </c>
      <c r="V112" s="4">
        <v>0.27</v>
      </c>
      <c r="W112" s="2">
        <v>0</v>
      </c>
      <c r="X112">
        <v>0</v>
      </c>
      <c r="Y112" t="s">
        <v>70</v>
      </c>
      <c r="Z112" t="s">
        <v>97</v>
      </c>
      <c r="AA112">
        <v>3</v>
      </c>
      <c r="AB112" s="2">
        <v>12.15</v>
      </c>
      <c r="AC112" s="2">
        <v>0</v>
      </c>
      <c r="AD112" s="4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4.05</v>
      </c>
      <c r="AM112" s="2">
        <v>0</v>
      </c>
      <c r="AN112" s="2">
        <v>12.15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45915</v>
      </c>
      <c r="B113" t="s">
        <v>47</v>
      </c>
      <c r="C113">
        <v>649163</v>
      </c>
      <c r="D113">
        <v>2030987630</v>
      </c>
      <c r="E113" t="s">
        <v>640</v>
      </c>
      <c r="F113" t="s">
        <v>171</v>
      </c>
      <c r="G113" t="s">
        <v>50</v>
      </c>
      <c r="H113" t="s">
        <v>134</v>
      </c>
      <c r="I113" t="s">
        <v>569</v>
      </c>
      <c r="J113" t="s">
        <v>637</v>
      </c>
      <c r="K113">
        <v>823068</v>
      </c>
      <c r="L113" t="s">
        <v>215</v>
      </c>
      <c r="M113" t="s">
        <v>216</v>
      </c>
      <c r="N113" t="s">
        <v>1077</v>
      </c>
      <c r="O113" t="s">
        <v>56</v>
      </c>
      <c r="P113" s="1">
        <v>45931</v>
      </c>
      <c r="Q113" s="1">
        <v>45962</v>
      </c>
      <c r="R113" s="2">
        <v>140.85</v>
      </c>
      <c r="S113">
        <v>1</v>
      </c>
      <c r="T113" t="s">
        <v>57</v>
      </c>
      <c r="U113" t="s">
        <v>636</v>
      </c>
      <c r="V113" s="4">
        <v>0.27</v>
      </c>
      <c r="W113" s="2">
        <v>0</v>
      </c>
      <c r="X113">
        <v>0</v>
      </c>
      <c r="Y113" t="s">
        <v>70</v>
      </c>
      <c r="Z113" t="s">
        <v>97</v>
      </c>
      <c r="AA113">
        <v>3</v>
      </c>
      <c r="AB113" s="2">
        <v>114.09</v>
      </c>
      <c r="AC113" s="2">
        <v>0</v>
      </c>
      <c r="AD113" s="4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38.03</v>
      </c>
      <c r="AM113" s="2">
        <v>0</v>
      </c>
      <c r="AN113" s="2">
        <v>114.09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45922</v>
      </c>
      <c r="B114" t="s">
        <v>47</v>
      </c>
      <c r="C114">
        <v>649163</v>
      </c>
      <c r="D114">
        <v>2031077856</v>
      </c>
      <c r="E114" t="s">
        <v>236</v>
      </c>
      <c r="F114" t="s">
        <v>150</v>
      </c>
      <c r="G114" t="s">
        <v>50</v>
      </c>
      <c r="H114" t="s">
        <v>151</v>
      </c>
      <c r="I114" t="s">
        <v>106</v>
      </c>
      <c r="J114" t="s">
        <v>184</v>
      </c>
      <c r="K114">
        <v>673059</v>
      </c>
      <c r="L114" t="s">
        <v>152</v>
      </c>
      <c r="M114" t="s">
        <v>153</v>
      </c>
      <c r="N114" t="s">
        <v>1078</v>
      </c>
      <c r="O114" t="s">
        <v>56</v>
      </c>
      <c r="P114" s="1">
        <v>45931</v>
      </c>
      <c r="Q114" s="1">
        <v>45962</v>
      </c>
      <c r="R114" s="2">
        <v>62.81</v>
      </c>
      <c r="S114">
        <v>1</v>
      </c>
      <c r="T114" t="s">
        <v>57</v>
      </c>
      <c r="U114" t="s">
        <v>96</v>
      </c>
      <c r="V114" s="4">
        <v>0.75</v>
      </c>
      <c r="W114" s="2">
        <v>0</v>
      </c>
      <c r="X114">
        <v>0</v>
      </c>
      <c r="Y114" t="s">
        <v>70</v>
      </c>
      <c r="Z114" t="s">
        <v>97</v>
      </c>
      <c r="AA114">
        <v>6</v>
      </c>
      <c r="AB114" s="2">
        <v>282.66000000000003</v>
      </c>
      <c r="AC114" s="2">
        <v>0</v>
      </c>
      <c r="AD114" s="4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47.11</v>
      </c>
      <c r="AM114" s="2">
        <v>0</v>
      </c>
      <c r="AN114" s="2">
        <v>282.66000000000003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45922</v>
      </c>
      <c r="B115" t="s">
        <v>47</v>
      </c>
      <c r="C115">
        <v>649163</v>
      </c>
      <c r="D115">
        <v>2031070229</v>
      </c>
      <c r="E115" t="s">
        <v>562</v>
      </c>
      <c r="F115" t="s">
        <v>563</v>
      </c>
      <c r="G115" t="s">
        <v>50</v>
      </c>
      <c r="H115" t="s">
        <v>188</v>
      </c>
      <c r="I115" t="s">
        <v>441</v>
      </c>
      <c r="J115" t="s">
        <v>445</v>
      </c>
      <c r="K115">
        <v>673059</v>
      </c>
      <c r="L115" t="s">
        <v>152</v>
      </c>
      <c r="M115" t="s">
        <v>153</v>
      </c>
      <c r="N115" t="s">
        <v>1078</v>
      </c>
      <c r="O115" t="s">
        <v>56</v>
      </c>
      <c r="P115" s="1">
        <v>45939</v>
      </c>
      <c r="Q115" s="1">
        <v>45970</v>
      </c>
      <c r="R115" s="2">
        <v>59.08</v>
      </c>
      <c r="S115">
        <v>1</v>
      </c>
      <c r="T115" t="s">
        <v>57</v>
      </c>
      <c r="U115" t="s">
        <v>96</v>
      </c>
      <c r="V115" s="4">
        <v>0.7</v>
      </c>
      <c r="W115" s="2">
        <v>0</v>
      </c>
      <c r="X115">
        <v>0</v>
      </c>
      <c r="Y115" t="s">
        <v>70</v>
      </c>
      <c r="Z115" t="s">
        <v>97</v>
      </c>
      <c r="AA115">
        <v>6</v>
      </c>
      <c r="AB115" s="2">
        <v>248.16</v>
      </c>
      <c r="AC115" s="2">
        <v>0</v>
      </c>
      <c r="AD115" s="4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41.36</v>
      </c>
      <c r="AM115" s="2">
        <v>0</v>
      </c>
      <c r="AN115" s="2">
        <v>248.16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45922</v>
      </c>
      <c r="B116" t="s">
        <v>47</v>
      </c>
      <c r="C116">
        <v>649163</v>
      </c>
      <c r="D116">
        <v>2031077854</v>
      </c>
      <c r="E116" t="s">
        <v>236</v>
      </c>
      <c r="F116" t="s">
        <v>150</v>
      </c>
      <c r="G116" t="s">
        <v>50</v>
      </c>
      <c r="H116" t="s">
        <v>151</v>
      </c>
      <c r="I116" t="s">
        <v>441</v>
      </c>
      <c r="J116" t="s">
        <v>442</v>
      </c>
      <c r="K116">
        <v>673059</v>
      </c>
      <c r="L116" t="s">
        <v>152</v>
      </c>
      <c r="M116" t="s">
        <v>153</v>
      </c>
      <c r="N116" t="s">
        <v>1078</v>
      </c>
      <c r="O116" t="s">
        <v>56</v>
      </c>
      <c r="P116" s="1">
        <v>45931</v>
      </c>
      <c r="Q116" s="1">
        <v>45962</v>
      </c>
      <c r="R116" s="2">
        <v>83.63</v>
      </c>
      <c r="S116">
        <v>1</v>
      </c>
      <c r="T116" t="s">
        <v>57</v>
      </c>
      <c r="U116" t="s">
        <v>96</v>
      </c>
      <c r="V116" s="4">
        <v>0.9</v>
      </c>
      <c r="W116" s="2">
        <v>0</v>
      </c>
      <c r="X116">
        <v>0</v>
      </c>
      <c r="Y116" t="s">
        <v>70</v>
      </c>
      <c r="Z116" t="s">
        <v>97</v>
      </c>
      <c r="AA116">
        <v>6</v>
      </c>
      <c r="AB116" s="2">
        <v>451.62</v>
      </c>
      <c r="AC116" s="2">
        <v>0</v>
      </c>
      <c r="AD116" s="4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75.27</v>
      </c>
      <c r="AM116" s="2">
        <v>0</v>
      </c>
      <c r="AN116" s="2">
        <v>451.62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45922</v>
      </c>
      <c r="B117" t="s">
        <v>47</v>
      </c>
      <c r="C117">
        <v>649163</v>
      </c>
      <c r="D117">
        <v>2031077855</v>
      </c>
      <c r="E117" t="s">
        <v>236</v>
      </c>
      <c r="F117" t="s">
        <v>150</v>
      </c>
      <c r="G117" t="s">
        <v>50</v>
      </c>
      <c r="H117" t="s">
        <v>151</v>
      </c>
      <c r="I117" t="s">
        <v>441</v>
      </c>
      <c r="J117" t="s">
        <v>445</v>
      </c>
      <c r="K117">
        <v>673059</v>
      </c>
      <c r="L117" t="s">
        <v>152</v>
      </c>
      <c r="M117" t="s">
        <v>153</v>
      </c>
      <c r="N117" t="s">
        <v>1078</v>
      </c>
      <c r="O117" t="s">
        <v>56</v>
      </c>
      <c r="P117" s="1">
        <v>45931</v>
      </c>
      <c r="Q117" s="1">
        <v>45962</v>
      </c>
      <c r="R117" s="2">
        <v>41.75</v>
      </c>
      <c r="S117">
        <v>1</v>
      </c>
      <c r="T117" t="s">
        <v>57</v>
      </c>
      <c r="U117" t="s">
        <v>96</v>
      </c>
      <c r="V117" s="4">
        <v>0.7</v>
      </c>
      <c r="W117" s="2">
        <v>0</v>
      </c>
      <c r="X117">
        <v>0</v>
      </c>
      <c r="Y117" t="s">
        <v>70</v>
      </c>
      <c r="Z117" t="s">
        <v>97</v>
      </c>
      <c r="AA117">
        <v>6</v>
      </c>
      <c r="AB117" s="2">
        <v>175.32</v>
      </c>
      <c r="AC117" s="2">
        <v>0</v>
      </c>
      <c r="AD117" s="4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29.22</v>
      </c>
      <c r="AM117" s="2">
        <v>0</v>
      </c>
      <c r="AN117" s="2">
        <v>175.32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45915</v>
      </c>
      <c r="B118" t="s">
        <v>47</v>
      </c>
      <c r="C118">
        <v>649163</v>
      </c>
      <c r="D118">
        <v>2030959732</v>
      </c>
      <c r="E118" t="s">
        <v>677</v>
      </c>
      <c r="F118" t="s">
        <v>480</v>
      </c>
      <c r="G118" t="s">
        <v>50</v>
      </c>
      <c r="H118" t="s">
        <v>151</v>
      </c>
      <c r="I118" t="s">
        <v>106</v>
      </c>
      <c r="J118" t="s">
        <v>184</v>
      </c>
      <c r="K118">
        <v>673059</v>
      </c>
      <c r="L118" t="s">
        <v>152</v>
      </c>
      <c r="M118" t="s">
        <v>153</v>
      </c>
      <c r="N118" t="s">
        <v>1078</v>
      </c>
      <c r="O118" t="s">
        <v>56</v>
      </c>
      <c r="P118" s="1">
        <v>45931</v>
      </c>
      <c r="Q118" s="1">
        <v>45962</v>
      </c>
      <c r="R118" s="2">
        <v>53.56</v>
      </c>
      <c r="S118">
        <v>1</v>
      </c>
      <c r="T118" t="s">
        <v>57</v>
      </c>
      <c r="U118" t="s">
        <v>96</v>
      </c>
      <c r="V118" s="4">
        <v>0.75</v>
      </c>
      <c r="W118" s="2">
        <v>0</v>
      </c>
      <c r="X118">
        <v>0</v>
      </c>
      <c r="Y118" t="s">
        <v>70</v>
      </c>
      <c r="Z118" t="s">
        <v>97</v>
      </c>
      <c r="AA118">
        <v>6</v>
      </c>
      <c r="AB118" s="2">
        <v>241.02</v>
      </c>
      <c r="AC118" s="2">
        <v>0</v>
      </c>
      <c r="AD118" s="4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40.17</v>
      </c>
      <c r="AM118" s="2">
        <v>0</v>
      </c>
      <c r="AN118" s="2">
        <v>241.02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45915</v>
      </c>
      <c r="B119" t="s">
        <v>47</v>
      </c>
      <c r="C119">
        <v>649163</v>
      </c>
      <c r="D119">
        <v>2030963809</v>
      </c>
      <c r="E119" t="s">
        <v>675</v>
      </c>
      <c r="F119" t="s">
        <v>674</v>
      </c>
      <c r="G119" t="s">
        <v>50</v>
      </c>
      <c r="H119" t="s">
        <v>151</v>
      </c>
      <c r="I119" t="s">
        <v>106</v>
      </c>
      <c r="J119" t="s">
        <v>184</v>
      </c>
      <c r="K119">
        <v>673059</v>
      </c>
      <c r="L119" t="s">
        <v>152</v>
      </c>
      <c r="M119" t="s">
        <v>153</v>
      </c>
      <c r="N119" t="s">
        <v>1078</v>
      </c>
      <c r="O119" t="s">
        <v>56</v>
      </c>
      <c r="P119" s="1">
        <v>45910</v>
      </c>
      <c r="Q119" s="1">
        <v>45940</v>
      </c>
      <c r="R119" s="2">
        <v>74.290000000000006</v>
      </c>
      <c r="S119">
        <v>1</v>
      </c>
      <c r="T119" t="s">
        <v>57</v>
      </c>
      <c r="U119" t="s">
        <v>96</v>
      </c>
      <c r="V119" s="4">
        <v>0.75</v>
      </c>
      <c r="W119" s="2">
        <v>0</v>
      </c>
      <c r="X119">
        <v>0</v>
      </c>
      <c r="Y119" t="s">
        <v>70</v>
      </c>
      <c r="Z119" t="s">
        <v>97</v>
      </c>
      <c r="AA119">
        <v>6</v>
      </c>
      <c r="AB119" s="2">
        <v>334.32</v>
      </c>
      <c r="AC119" s="2">
        <v>0</v>
      </c>
      <c r="AD119" s="4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55.72</v>
      </c>
      <c r="AM119" s="2">
        <v>0</v>
      </c>
      <c r="AN119" s="2">
        <v>334.32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45915</v>
      </c>
      <c r="B120" t="s">
        <v>47</v>
      </c>
      <c r="C120">
        <v>649163</v>
      </c>
      <c r="D120">
        <v>2030959734</v>
      </c>
      <c r="E120" t="s">
        <v>677</v>
      </c>
      <c r="F120" t="s">
        <v>480</v>
      </c>
      <c r="G120" t="s">
        <v>50</v>
      </c>
      <c r="H120" t="s">
        <v>151</v>
      </c>
      <c r="I120" t="s">
        <v>306</v>
      </c>
      <c r="J120" t="s">
        <v>307</v>
      </c>
      <c r="K120">
        <v>673059</v>
      </c>
      <c r="L120" t="s">
        <v>152</v>
      </c>
      <c r="M120" t="s">
        <v>153</v>
      </c>
      <c r="N120" t="s">
        <v>1078</v>
      </c>
      <c r="O120" t="s">
        <v>56</v>
      </c>
      <c r="P120" s="1">
        <v>45931</v>
      </c>
      <c r="Q120" s="1">
        <v>45962</v>
      </c>
      <c r="R120" s="2">
        <v>54.95</v>
      </c>
      <c r="S120">
        <v>1</v>
      </c>
      <c r="T120" t="s">
        <v>57</v>
      </c>
      <c r="U120" t="s">
        <v>96</v>
      </c>
      <c r="V120" s="3">
        <v>0.375</v>
      </c>
      <c r="W120" s="2">
        <v>0</v>
      </c>
      <c r="X120">
        <v>0</v>
      </c>
      <c r="Y120" t="s">
        <v>70</v>
      </c>
      <c r="Z120" t="s">
        <v>97</v>
      </c>
      <c r="AA120">
        <v>6</v>
      </c>
      <c r="AB120" s="2">
        <v>123.66</v>
      </c>
      <c r="AC120" s="2">
        <v>0</v>
      </c>
      <c r="AD120" s="4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20.61</v>
      </c>
      <c r="AM120" s="2">
        <v>0</v>
      </c>
      <c r="AN120" s="2">
        <v>123.66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45915</v>
      </c>
      <c r="B121" t="s">
        <v>47</v>
      </c>
      <c r="C121">
        <v>649163</v>
      </c>
      <c r="D121">
        <v>2030986242</v>
      </c>
      <c r="E121" t="s">
        <v>670</v>
      </c>
      <c r="F121" t="s">
        <v>669</v>
      </c>
      <c r="G121" t="s">
        <v>50</v>
      </c>
      <c r="H121" t="s">
        <v>115</v>
      </c>
      <c r="I121" t="s">
        <v>306</v>
      </c>
      <c r="J121" t="s">
        <v>307</v>
      </c>
      <c r="K121">
        <v>673059</v>
      </c>
      <c r="L121" t="s">
        <v>152</v>
      </c>
      <c r="M121" t="s">
        <v>153</v>
      </c>
      <c r="N121" t="s">
        <v>1078</v>
      </c>
      <c r="O121" t="s">
        <v>56</v>
      </c>
      <c r="P121" s="1">
        <v>45913</v>
      </c>
      <c r="Q121" s="1">
        <v>45943</v>
      </c>
      <c r="R121" s="2">
        <v>69.3</v>
      </c>
      <c r="S121">
        <v>1</v>
      </c>
      <c r="T121" t="s">
        <v>57</v>
      </c>
      <c r="U121" t="s">
        <v>96</v>
      </c>
      <c r="V121" s="3">
        <v>0.375</v>
      </c>
      <c r="W121" s="2">
        <v>0</v>
      </c>
      <c r="X121">
        <v>0</v>
      </c>
      <c r="Y121" t="s">
        <v>70</v>
      </c>
      <c r="Z121" t="s">
        <v>97</v>
      </c>
      <c r="AA121">
        <v>6</v>
      </c>
      <c r="AB121" s="2">
        <v>155.94</v>
      </c>
      <c r="AC121" s="2">
        <v>0</v>
      </c>
      <c r="AD121" s="4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25.99</v>
      </c>
      <c r="AM121" s="2">
        <v>0</v>
      </c>
      <c r="AN121" s="2">
        <v>155.94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45915</v>
      </c>
      <c r="B122" t="s">
        <v>47</v>
      </c>
      <c r="C122">
        <v>649163</v>
      </c>
      <c r="D122">
        <v>2030940127</v>
      </c>
      <c r="E122" t="s">
        <v>687</v>
      </c>
      <c r="F122" t="s">
        <v>686</v>
      </c>
      <c r="G122" t="s">
        <v>50</v>
      </c>
      <c r="H122" t="s">
        <v>115</v>
      </c>
      <c r="I122" t="s">
        <v>441</v>
      </c>
      <c r="J122" t="s">
        <v>445</v>
      </c>
      <c r="K122">
        <v>673059</v>
      </c>
      <c r="L122" t="s">
        <v>152</v>
      </c>
      <c r="M122" t="s">
        <v>153</v>
      </c>
      <c r="N122" t="s">
        <v>1078</v>
      </c>
      <c r="O122" t="s">
        <v>56</v>
      </c>
      <c r="P122" s="1">
        <v>45909</v>
      </c>
      <c r="Q122" s="1">
        <v>45939</v>
      </c>
      <c r="R122" s="2">
        <v>147.4</v>
      </c>
      <c r="S122">
        <v>1</v>
      </c>
      <c r="T122" t="s">
        <v>57</v>
      </c>
      <c r="U122" t="s">
        <v>96</v>
      </c>
      <c r="V122" s="4">
        <v>0.7</v>
      </c>
      <c r="W122" s="2">
        <v>0</v>
      </c>
      <c r="X122">
        <v>0</v>
      </c>
      <c r="Y122" t="s">
        <v>70</v>
      </c>
      <c r="Z122" t="s">
        <v>97</v>
      </c>
      <c r="AA122">
        <v>6</v>
      </c>
      <c r="AB122" s="2">
        <v>619.08000000000004</v>
      </c>
      <c r="AC122" s="2">
        <v>0</v>
      </c>
      <c r="AD122" s="4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103.18</v>
      </c>
      <c r="AM122" s="2">
        <v>0</v>
      </c>
      <c r="AN122" s="2">
        <v>619.08000000000004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45915</v>
      </c>
      <c r="B123" t="s">
        <v>47</v>
      </c>
      <c r="C123">
        <v>649163</v>
      </c>
      <c r="D123">
        <v>2030959733</v>
      </c>
      <c r="E123" t="s">
        <v>677</v>
      </c>
      <c r="F123" t="s">
        <v>480</v>
      </c>
      <c r="G123" t="s">
        <v>50</v>
      </c>
      <c r="H123" t="s">
        <v>151</v>
      </c>
      <c r="I123" t="s">
        <v>441</v>
      </c>
      <c r="J123" t="s">
        <v>445</v>
      </c>
      <c r="K123">
        <v>673059</v>
      </c>
      <c r="L123" t="s">
        <v>152</v>
      </c>
      <c r="M123" t="s">
        <v>153</v>
      </c>
      <c r="N123" t="s">
        <v>1078</v>
      </c>
      <c r="O123" t="s">
        <v>56</v>
      </c>
      <c r="P123" s="1">
        <v>45931</v>
      </c>
      <c r="Q123" s="1">
        <v>45962</v>
      </c>
      <c r="R123" s="2">
        <v>57.27</v>
      </c>
      <c r="S123">
        <v>1</v>
      </c>
      <c r="T123" t="s">
        <v>57</v>
      </c>
      <c r="U123" t="s">
        <v>96</v>
      </c>
      <c r="V123" s="4">
        <v>0.7</v>
      </c>
      <c r="W123" s="2">
        <v>0</v>
      </c>
      <c r="X123">
        <v>0</v>
      </c>
      <c r="Y123" t="s">
        <v>70</v>
      </c>
      <c r="Z123" t="s">
        <v>97</v>
      </c>
      <c r="AA123">
        <v>6</v>
      </c>
      <c r="AB123" s="2">
        <v>240.54</v>
      </c>
      <c r="AC123" s="2">
        <v>0</v>
      </c>
      <c r="AD123" s="4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40.090000000000003</v>
      </c>
      <c r="AM123" s="2">
        <v>0</v>
      </c>
      <c r="AN123" s="2">
        <v>240.54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45915</v>
      </c>
      <c r="B124" t="s">
        <v>47</v>
      </c>
      <c r="C124">
        <v>649163</v>
      </c>
      <c r="D124">
        <v>2030963808</v>
      </c>
      <c r="E124" t="s">
        <v>675</v>
      </c>
      <c r="F124" t="s">
        <v>674</v>
      </c>
      <c r="G124" t="s">
        <v>50</v>
      </c>
      <c r="H124" t="s">
        <v>151</v>
      </c>
      <c r="I124" t="s">
        <v>441</v>
      </c>
      <c r="J124" t="s">
        <v>445</v>
      </c>
      <c r="K124">
        <v>673059</v>
      </c>
      <c r="L124" t="s">
        <v>152</v>
      </c>
      <c r="M124" t="s">
        <v>153</v>
      </c>
      <c r="N124" t="s">
        <v>1078</v>
      </c>
      <c r="O124" t="s">
        <v>56</v>
      </c>
      <c r="P124" s="1">
        <v>45910</v>
      </c>
      <c r="Q124" s="1">
        <v>45940</v>
      </c>
      <c r="R124" s="2">
        <v>57.27</v>
      </c>
      <c r="S124">
        <v>1</v>
      </c>
      <c r="T124" t="s">
        <v>57</v>
      </c>
      <c r="U124" t="s">
        <v>96</v>
      </c>
      <c r="V124" s="4">
        <v>0.7</v>
      </c>
      <c r="W124" s="2">
        <v>0</v>
      </c>
      <c r="X124">
        <v>0</v>
      </c>
      <c r="Y124" t="s">
        <v>70</v>
      </c>
      <c r="Z124" t="s">
        <v>97</v>
      </c>
      <c r="AA124">
        <v>6</v>
      </c>
      <c r="AB124" s="2">
        <v>240.54</v>
      </c>
      <c r="AC124" s="2">
        <v>0</v>
      </c>
      <c r="AD124" s="4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40.090000000000003</v>
      </c>
      <c r="AM124" s="2">
        <v>0</v>
      </c>
      <c r="AN124" s="2">
        <v>240.54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45915</v>
      </c>
      <c r="B125" t="s">
        <v>47</v>
      </c>
      <c r="C125">
        <v>649163</v>
      </c>
      <c r="D125">
        <v>2030986241</v>
      </c>
      <c r="E125" t="s">
        <v>670</v>
      </c>
      <c r="F125" t="s">
        <v>669</v>
      </c>
      <c r="G125" t="s">
        <v>50</v>
      </c>
      <c r="H125" t="s">
        <v>115</v>
      </c>
      <c r="I125" t="s">
        <v>441</v>
      </c>
      <c r="J125" t="s">
        <v>445</v>
      </c>
      <c r="K125">
        <v>673059</v>
      </c>
      <c r="L125" t="s">
        <v>152</v>
      </c>
      <c r="M125" t="s">
        <v>153</v>
      </c>
      <c r="N125" t="s">
        <v>1078</v>
      </c>
      <c r="O125" t="s">
        <v>56</v>
      </c>
      <c r="P125" s="1">
        <v>45913</v>
      </c>
      <c r="Q125" s="1">
        <v>45943</v>
      </c>
      <c r="R125" s="2">
        <v>13</v>
      </c>
      <c r="S125">
        <v>1</v>
      </c>
      <c r="T125" t="s">
        <v>57</v>
      </c>
      <c r="U125" t="s">
        <v>96</v>
      </c>
      <c r="V125" s="4">
        <v>0.7</v>
      </c>
      <c r="W125" s="2">
        <v>0</v>
      </c>
      <c r="X125">
        <v>0</v>
      </c>
      <c r="Y125" t="s">
        <v>70</v>
      </c>
      <c r="Z125" t="s">
        <v>97</v>
      </c>
      <c r="AA125">
        <v>6</v>
      </c>
      <c r="AB125" s="2">
        <v>54.6</v>
      </c>
      <c r="AC125" s="2">
        <v>0</v>
      </c>
      <c r="AD125" s="4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9.1</v>
      </c>
      <c r="AM125" s="2">
        <v>0</v>
      </c>
      <c r="AN125" s="2">
        <v>54.6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45922</v>
      </c>
      <c r="B126" t="s">
        <v>47</v>
      </c>
      <c r="C126">
        <v>649163</v>
      </c>
      <c r="D126">
        <v>2031089212</v>
      </c>
      <c r="E126" t="s">
        <v>422</v>
      </c>
      <c r="F126" t="s">
        <v>423</v>
      </c>
      <c r="G126" t="s">
        <v>50</v>
      </c>
      <c r="H126" t="s">
        <v>93</v>
      </c>
      <c r="I126" t="s">
        <v>306</v>
      </c>
      <c r="J126" t="s">
        <v>307</v>
      </c>
      <c r="K126">
        <v>824081</v>
      </c>
      <c r="L126" t="s">
        <v>424</v>
      </c>
      <c r="M126" t="s">
        <v>425</v>
      </c>
      <c r="N126" t="s">
        <v>1083</v>
      </c>
      <c r="O126" t="s">
        <v>56</v>
      </c>
      <c r="P126" s="1">
        <v>45931</v>
      </c>
      <c r="Q126" s="1">
        <v>45962</v>
      </c>
      <c r="R126" s="2">
        <v>53.87</v>
      </c>
      <c r="S126">
        <v>1</v>
      </c>
      <c r="T126" t="s">
        <v>57</v>
      </c>
      <c r="U126" t="s">
        <v>96</v>
      </c>
      <c r="V126" s="3">
        <v>0.375</v>
      </c>
      <c r="W126" s="2">
        <v>0</v>
      </c>
      <c r="X126">
        <v>0</v>
      </c>
      <c r="Y126" t="s">
        <v>70</v>
      </c>
      <c r="Z126" t="s">
        <v>97</v>
      </c>
      <c r="AA126">
        <v>6</v>
      </c>
      <c r="AB126" s="2">
        <v>121.2</v>
      </c>
      <c r="AC126" s="2">
        <v>0</v>
      </c>
      <c r="AD126" s="4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20.2</v>
      </c>
      <c r="AM126" s="2">
        <v>0</v>
      </c>
      <c r="AN126" s="2">
        <v>121.2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45922</v>
      </c>
      <c r="B127" t="s">
        <v>47</v>
      </c>
      <c r="C127">
        <v>649163</v>
      </c>
      <c r="D127">
        <v>2031089211</v>
      </c>
      <c r="E127" t="s">
        <v>422</v>
      </c>
      <c r="F127" t="s">
        <v>423</v>
      </c>
      <c r="G127" t="s">
        <v>50</v>
      </c>
      <c r="H127" t="s">
        <v>93</v>
      </c>
      <c r="I127" t="s">
        <v>441</v>
      </c>
      <c r="J127" t="s">
        <v>445</v>
      </c>
      <c r="K127">
        <v>824081</v>
      </c>
      <c r="L127" t="s">
        <v>424</v>
      </c>
      <c r="M127" t="s">
        <v>425</v>
      </c>
      <c r="N127" t="s">
        <v>1083</v>
      </c>
      <c r="O127" t="s">
        <v>56</v>
      </c>
      <c r="P127" s="1">
        <v>45931</v>
      </c>
      <c r="Q127" s="1">
        <v>45962</v>
      </c>
      <c r="R127" s="2">
        <v>110.16</v>
      </c>
      <c r="S127">
        <v>1</v>
      </c>
      <c r="T127" t="s">
        <v>57</v>
      </c>
      <c r="U127" t="s">
        <v>96</v>
      </c>
      <c r="V127" s="4">
        <v>0.7</v>
      </c>
      <c r="W127" s="2">
        <v>0</v>
      </c>
      <c r="X127">
        <v>0</v>
      </c>
      <c r="Y127" t="s">
        <v>70</v>
      </c>
      <c r="Z127" t="s">
        <v>97</v>
      </c>
      <c r="AA127">
        <v>6</v>
      </c>
      <c r="AB127" s="2">
        <v>462.66</v>
      </c>
      <c r="AC127" s="2">
        <v>0</v>
      </c>
      <c r="AD127" s="4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77.11</v>
      </c>
      <c r="AM127" s="2">
        <v>0</v>
      </c>
      <c r="AN127" s="2">
        <v>462.66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45922</v>
      </c>
      <c r="B128" t="s">
        <v>47</v>
      </c>
      <c r="C128">
        <v>649163</v>
      </c>
      <c r="D128">
        <v>2031142845</v>
      </c>
      <c r="E128" t="s">
        <v>428</v>
      </c>
      <c r="F128" t="s">
        <v>429</v>
      </c>
      <c r="G128" t="s">
        <v>50</v>
      </c>
      <c r="H128" t="s">
        <v>188</v>
      </c>
      <c r="I128" t="s">
        <v>306</v>
      </c>
      <c r="J128" t="s">
        <v>307</v>
      </c>
      <c r="K128">
        <v>767312</v>
      </c>
      <c r="L128" t="s">
        <v>122</v>
      </c>
      <c r="M128" t="s">
        <v>123</v>
      </c>
      <c r="N128" t="s">
        <v>1085</v>
      </c>
      <c r="O128" t="s">
        <v>56</v>
      </c>
      <c r="P128" s="1">
        <v>45919</v>
      </c>
      <c r="Q128" s="1">
        <v>45949</v>
      </c>
      <c r="R128" s="2">
        <v>35.14</v>
      </c>
      <c r="S128">
        <v>1</v>
      </c>
      <c r="T128" t="s">
        <v>57</v>
      </c>
      <c r="U128" t="s">
        <v>96</v>
      </c>
      <c r="V128" s="3">
        <v>0.375</v>
      </c>
      <c r="W128" s="2">
        <v>0</v>
      </c>
      <c r="X128">
        <v>0</v>
      </c>
      <c r="Y128" t="s">
        <v>70</v>
      </c>
      <c r="Z128" t="s">
        <v>97</v>
      </c>
      <c r="AA128">
        <v>6</v>
      </c>
      <c r="AB128" s="2">
        <v>79.08</v>
      </c>
      <c r="AC128" s="2">
        <v>0</v>
      </c>
      <c r="AD128" s="4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13.18</v>
      </c>
      <c r="AM128" s="2">
        <v>0</v>
      </c>
      <c r="AN128" s="2">
        <v>79.08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45922</v>
      </c>
      <c r="B129" t="s">
        <v>47</v>
      </c>
      <c r="C129">
        <v>649163</v>
      </c>
      <c r="D129">
        <v>2031143403</v>
      </c>
      <c r="E129" t="s">
        <v>164</v>
      </c>
      <c r="F129" t="s">
        <v>303</v>
      </c>
      <c r="G129" t="s">
        <v>50</v>
      </c>
      <c r="H129" t="s">
        <v>115</v>
      </c>
      <c r="I129" t="s">
        <v>306</v>
      </c>
      <c r="J129" t="s">
        <v>307</v>
      </c>
      <c r="K129">
        <v>767312</v>
      </c>
      <c r="L129" t="s">
        <v>122</v>
      </c>
      <c r="M129" t="s">
        <v>123</v>
      </c>
      <c r="N129" t="s">
        <v>1085</v>
      </c>
      <c r="O129" t="s">
        <v>56</v>
      </c>
      <c r="P129" s="1">
        <v>45919</v>
      </c>
      <c r="Q129" s="1">
        <v>45949</v>
      </c>
      <c r="R129" s="2">
        <v>88.79</v>
      </c>
      <c r="S129">
        <v>1</v>
      </c>
      <c r="T129" t="s">
        <v>57</v>
      </c>
      <c r="U129" t="s">
        <v>96</v>
      </c>
      <c r="V129" s="3">
        <v>0.375</v>
      </c>
      <c r="W129" s="2">
        <v>0</v>
      </c>
      <c r="X129">
        <v>0</v>
      </c>
      <c r="Y129" t="s">
        <v>70</v>
      </c>
      <c r="Z129" t="s">
        <v>97</v>
      </c>
      <c r="AA129">
        <v>6</v>
      </c>
      <c r="AB129" s="2">
        <v>199.8</v>
      </c>
      <c r="AC129" s="2">
        <v>0</v>
      </c>
      <c r="AD129" s="4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33.299999999999997</v>
      </c>
      <c r="AM129" s="2">
        <v>0</v>
      </c>
      <c r="AN129" s="2">
        <v>199.8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45922</v>
      </c>
      <c r="B130" t="s">
        <v>47</v>
      </c>
      <c r="C130">
        <v>649163</v>
      </c>
      <c r="D130">
        <v>2031142846</v>
      </c>
      <c r="E130" t="s">
        <v>428</v>
      </c>
      <c r="F130" t="s">
        <v>429</v>
      </c>
      <c r="G130" t="s">
        <v>50</v>
      </c>
      <c r="H130" t="s">
        <v>188</v>
      </c>
      <c r="I130" t="s">
        <v>441</v>
      </c>
      <c r="J130" t="s">
        <v>442</v>
      </c>
      <c r="K130">
        <v>767312</v>
      </c>
      <c r="L130" t="s">
        <v>122</v>
      </c>
      <c r="M130" t="s">
        <v>123</v>
      </c>
      <c r="N130" t="s">
        <v>1085</v>
      </c>
      <c r="O130" t="s">
        <v>56</v>
      </c>
      <c r="P130" s="1">
        <v>45919</v>
      </c>
      <c r="Q130" s="1">
        <v>45949</v>
      </c>
      <c r="R130" s="2">
        <v>8.9600000000000009</v>
      </c>
      <c r="S130">
        <v>1</v>
      </c>
      <c r="T130" t="s">
        <v>57</v>
      </c>
      <c r="U130" t="s">
        <v>96</v>
      </c>
      <c r="V130" s="4">
        <v>0.9</v>
      </c>
      <c r="W130" s="2">
        <v>0</v>
      </c>
      <c r="X130">
        <v>0</v>
      </c>
      <c r="Y130" t="s">
        <v>70</v>
      </c>
      <c r="Z130" t="s">
        <v>97</v>
      </c>
      <c r="AA130">
        <v>6</v>
      </c>
      <c r="AB130" s="2">
        <v>48.36</v>
      </c>
      <c r="AC130" s="2">
        <v>0</v>
      </c>
      <c r="AD130" s="4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8.06</v>
      </c>
      <c r="AM130" s="2">
        <v>0</v>
      </c>
      <c r="AN130" s="2">
        <v>48.36</v>
      </c>
      <c r="AO130" s="2">
        <v>0</v>
      </c>
      <c r="AP130" s="2">
        <v>0</v>
      </c>
      <c r="AQ130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5BE62-BC29-417B-9146-A51636CAAA89}">
  <dimension ref="A1:AW131"/>
  <sheetViews>
    <sheetView tabSelected="1" topLeftCell="A46" workbookViewId="0">
      <selection activeCell="F109" sqref="F109"/>
    </sheetView>
  </sheetViews>
  <sheetFormatPr defaultRowHeight="15" x14ac:dyDescent="0.25"/>
  <cols>
    <col min="1" max="1" width="11" bestFit="1" customWidth="1"/>
    <col min="2" max="2" width="12.28515625" bestFit="1" customWidth="1"/>
    <col min="3" max="3" width="13.28515625" bestFit="1" customWidth="1"/>
    <col min="4" max="4" width="13.28515625" customWidth="1"/>
    <col min="5" max="5" width="3.85546875" bestFit="1" customWidth="1"/>
    <col min="6" max="6" width="18.140625" bestFit="1" customWidth="1"/>
    <col min="7" max="7" width="47.85546875" bestFit="1" customWidth="1"/>
    <col min="8" max="8" width="12.28515625" customWidth="1"/>
    <col min="9" max="9" width="13.28515625" bestFit="1" customWidth="1"/>
    <col min="10" max="10" width="13.85546875" bestFit="1" customWidth="1"/>
    <col min="11" max="11" width="13.85546875" customWidth="1"/>
    <col min="12" max="12" width="6.140625" bestFit="1" customWidth="1"/>
    <col min="13" max="13" width="9.42578125" bestFit="1" customWidth="1"/>
    <col min="14" max="14" width="10.42578125" bestFit="1" customWidth="1"/>
    <col min="15" max="15" width="9.85546875" bestFit="1" customWidth="1"/>
    <col min="16" max="16" width="2" bestFit="1" customWidth="1"/>
    <col min="17" max="17" width="8.42578125" bestFit="1" customWidth="1"/>
    <col min="18" max="18" width="7.28515625" bestFit="1" customWidth="1"/>
    <col min="19" max="19" width="7.140625" bestFit="1" customWidth="1"/>
    <col min="20" max="20" width="2" bestFit="1" customWidth="1"/>
    <col min="21" max="21" width="8.28515625" bestFit="1" customWidth="1"/>
  </cols>
  <sheetData>
    <row r="1" spans="1:22" s="18" customFormat="1" x14ac:dyDescent="0.25">
      <c r="A1" s="18" t="s">
        <v>3</v>
      </c>
      <c r="B1" s="18" t="s">
        <v>4</v>
      </c>
      <c r="C1" s="18" t="s">
        <v>5</v>
      </c>
      <c r="E1" s="18" t="s">
        <v>7</v>
      </c>
      <c r="F1" s="18" t="s">
        <v>8</v>
      </c>
      <c r="G1" s="18" t="s">
        <v>9</v>
      </c>
      <c r="H1" s="18" t="s">
        <v>10</v>
      </c>
      <c r="I1" s="18" t="s">
        <v>11</v>
      </c>
      <c r="J1" s="18" t="s">
        <v>12</v>
      </c>
      <c r="K1" s="18" t="s">
        <v>1074</v>
      </c>
      <c r="L1" s="18" t="s">
        <v>13</v>
      </c>
      <c r="M1" s="18" t="s">
        <v>14</v>
      </c>
      <c r="N1" s="18" t="s">
        <v>15</v>
      </c>
      <c r="O1" s="18" t="s">
        <v>16</v>
      </c>
      <c r="P1" s="18" t="s">
        <v>17</v>
      </c>
      <c r="Q1" s="18" t="s">
        <v>18</v>
      </c>
      <c r="R1" s="18" t="s">
        <v>19</v>
      </c>
      <c r="S1" s="18" t="s">
        <v>20</v>
      </c>
      <c r="T1" s="18" t="s">
        <v>24</v>
      </c>
      <c r="U1" s="18" t="s">
        <v>36</v>
      </c>
    </row>
    <row r="2" spans="1:22" s="18" customFormat="1" x14ac:dyDescent="0.25">
      <c r="A2" s="18">
        <v>2030951715</v>
      </c>
      <c r="B2" s="18" t="s">
        <v>1062</v>
      </c>
      <c r="C2" s="18" t="s">
        <v>409</v>
      </c>
      <c r="D2" s="18" t="str">
        <f>CONCATENATE(C2, " ",B2)</f>
        <v>SARAH FULLERTON</v>
      </c>
      <c r="E2" s="18" t="s">
        <v>214</v>
      </c>
      <c r="F2" s="18" t="s">
        <v>106</v>
      </c>
      <c r="G2" s="18" t="s">
        <v>107</v>
      </c>
      <c r="H2" s="18">
        <v>9079571</v>
      </c>
      <c r="I2" s="18" t="s">
        <v>309</v>
      </c>
      <c r="J2" s="18" t="s">
        <v>303</v>
      </c>
      <c r="K2" s="18" t="s">
        <v>1092</v>
      </c>
      <c r="L2" s="18" t="s">
        <v>56</v>
      </c>
      <c r="M2" s="19">
        <v>45910</v>
      </c>
      <c r="N2" s="19">
        <v>45940</v>
      </c>
      <c r="O2" s="20">
        <v>38.67</v>
      </c>
      <c r="P2" s="18">
        <v>1</v>
      </c>
      <c r="Q2" s="18" t="s">
        <v>57</v>
      </c>
      <c r="R2" s="18" t="s">
        <v>96</v>
      </c>
      <c r="S2" s="21">
        <v>0.9</v>
      </c>
      <c r="T2" s="18" t="s">
        <v>97</v>
      </c>
      <c r="U2" s="20">
        <v>34.799999999999997</v>
      </c>
      <c r="V2" s="18" t="s">
        <v>1142</v>
      </c>
    </row>
    <row r="3" spans="1:22" s="18" customFormat="1" x14ac:dyDescent="0.25">
      <c r="A3" s="18">
        <v>2031023772</v>
      </c>
      <c r="B3" s="18" t="s">
        <v>1060</v>
      </c>
      <c r="C3" s="18" t="s">
        <v>1059</v>
      </c>
      <c r="D3" s="18" t="str">
        <f>CONCATENATE(C3, " ",B3)</f>
        <v>SYLVIE CLARKE</v>
      </c>
      <c r="E3" s="18" t="s">
        <v>214</v>
      </c>
      <c r="F3" s="18" t="s">
        <v>106</v>
      </c>
      <c r="G3" s="18" t="s">
        <v>107</v>
      </c>
      <c r="H3" s="18">
        <v>9079571</v>
      </c>
      <c r="I3" s="18" t="s">
        <v>309</v>
      </c>
      <c r="J3" s="18" t="s">
        <v>303</v>
      </c>
      <c r="K3" s="18" t="s">
        <v>1092</v>
      </c>
      <c r="L3" s="18" t="s">
        <v>56</v>
      </c>
      <c r="M3" s="19">
        <v>45913</v>
      </c>
      <c r="N3" s="19">
        <v>45943</v>
      </c>
      <c r="O3" s="20">
        <v>46.96</v>
      </c>
      <c r="P3" s="18">
        <v>1</v>
      </c>
      <c r="Q3" s="18" t="s">
        <v>57</v>
      </c>
      <c r="R3" s="18" t="s">
        <v>96</v>
      </c>
      <c r="S3" s="21">
        <v>0.9</v>
      </c>
      <c r="T3" s="18" t="s">
        <v>97</v>
      </c>
      <c r="U3" s="20">
        <v>42.26</v>
      </c>
      <c r="V3" s="18" t="s">
        <v>1142</v>
      </c>
    </row>
    <row r="4" spans="1:22" s="18" customFormat="1" x14ac:dyDescent="0.25">
      <c r="A4" s="18">
        <v>2031107194</v>
      </c>
      <c r="B4" s="18" t="s">
        <v>102</v>
      </c>
      <c r="C4" s="18" t="s">
        <v>62</v>
      </c>
      <c r="D4" s="18" t="str">
        <f>CONCATENATE(C4, " ",B4)</f>
        <v>WILLIAM BROCHARD</v>
      </c>
      <c r="E4" s="18" t="s">
        <v>51</v>
      </c>
      <c r="F4" s="18" t="s">
        <v>306</v>
      </c>
      <c r="G4" s="18" t="s">
        <v>307</v>
      </c>
      <c r="H4" s="18">
        <v>19278370</v>
      </c>
      <c r="I4" s="18" t="s">
        <v>68</v>
      </c>
      <c r="J4" s="18" t="s">
        <v>69</v>
      </c>
      <c r="K4" s="18" t="s">
        <v>1076</v>
      </c>
      <c r="L4" s="18" t="s">
        <v>56</v>
      </c>
      <c r="M4" s="19">
        <v>45931</v>
      </c>
      <c r="N4" s="19">
        <v>45962</v>
      </c>
      <c r="O4" s="20">
        <v>35.979999999999997</v>
      </c>
      <c r="P4" s="18">
        <v>1</v>
      </c>
      <c r="Q4" s="18" t="s">
        <v>57</v>
      </c>
      <c r="R4" s="18" t="s">
        <v>96</v>
      </c>
      <c r="S4" s="22">
        <v>0.375</v>
      </c>
      <c r="T4" s="18" t="s">
        <v>97</v>
      </c>
      <c r="U4" s="20">
        <v>13.49</v>
      </c>
      <c r="V4" s="18" t="s">
        <v>307</v>
      </c>
    </row>
    <row r="5" spans="1:22" s="18" customFormat="1" x14ac:dyDescent="0.25">
      <c r="A5" s="18">
        <v>2031107195</v>
      </c>
      <c r="B5" s="18" t="s">
        <v>102</v>
      </c>
      <c r="C5" s="18" t="s">
        <v>62</v>
      </c>
      <c r="D5" s="18" t="str">
        <f>CONCATENATE(C5, " ",B5)</f>
        <v>WILLIAM BROCHARD</v>
      </c>
      <c r="E5" s="18" t="s">
        <v>51</v>
      </c>
      <c r="F5" s="18" t="s">
        <v>52</v>
      </c>
      <c r="G5" s="18" t="s">
        <v>53</v>
      </c>
      <c r="H5" s="18">
        <v>19278370</v>
      </c>
      <c r="I5" s="18" t="s">
        <v>68</v>
      </c>
      <c r="J5" s="18" t="s">
        <v>69</v>
      </c>
      <c r="K5" s="18" t="s">
        <v>1076</v>
      </c>
      <c r="L5" s="18" t="s">
        <v>56</v>
      </c>
      <c r="M5" s="19">
        <v>45931</v>
      </c>
      <c r="N5" s="19">
        <v>45962</v>
      </c>
      <c r="O5" s="20">
        <v>36.159999999999997</v>
      </c>
      <c r="P5" s="18">
        <v>1</v>
      </c>
      <c r="Q5" s="18" t="s">
        <v>57</v>
      </c>
      <c r="R5" s="18" t="s">
        <v>96</v>
      </c>
      <c r="S5" s="21">
        <v>0.6</v>
      </c>
      <c r="T5" s="18" t="s">
        <v>97</v>
      </c>
      <c r="U5" s="20">
        <v>21.7</v>
      </c>
      <c r="V5" s="18" t="s">
        <v>53</v>
      </c>
    </row>
    <row r="6" spans="1:22" s="18" customFormat="1" x14ac:dyDescent="0.25">
      <c r="A6" s="18">
        <v>2030961288</v>
      </c>
      <c r="B6" s="18" t="s">
        <v>763</v>
      </c>
      <c r="C6" s="18" t="s">
        <v>762</v>
      </c>
      <c r="D6" s="18" t="str">
        <f>CONCATENATE(C6, " ",B6)</f>
        <v>SHAINA ESTES</v>
      </c>
      <c r="E6" s="18" t="s">
        <v>51</v>
      </c>
      <c r="F6" s="18" t="s">
        <v>430</v>
      </c>
      <c r="G6" s="18" t="s">
        <v>431</v>
      </c>
      <c r="H6" s="18">
        <v>17425766</v>
      </c>
      <c r="I6" s="18" t="s">
        <v>73</v>
      </c>
      <c r="J6" s="18" t="s">
        <v>74</v>
      </c>
      <c r="K6" s="18" t="s">
        <v>1097</v>
      </c>
      <c r="L6" s="18" t="s">
        <v>56</v>
      </c>
      <c r="M6" s="19">
        <v>45931</v>
      </c>
      <c r="N6" s="19">
        <v>45962</v>
      </c>
      <c r="O6" s="20">
        <v>21.97</v>
      </c>
      <c r="P6" s="18">
        <v>1</v>
      </c>
      <c r="Q6" s="18" t="s">
        <v>57</v>
      </c>
      <c r="R6" s="18" t="s">
        <v>96</v>
      </c>
      <c r="S6" s="21">
        <v>0.38</v>
      </c>
      <c r="T6" s="18" t="s">
        <v>97</v>
      </c>
      <c r="U6" s="20">
        <v>8.35</v>
      </c>
      <c r="V6" s="18" t="s">
        <v>431</v>
      </c>
    </row>
    <row r="7" spans="1:22" s="18" customFormat="1" x14ac:dyDescent="0.25">
      <c r="A7" s="18">
        <v>2031044944</v>
      </c>
      <c r="B7" s="18" t="s">
        <v>759</v>
      </c>
      <c r="C7" s="18" t="s">
        <v>546</v>
      </c>
      <c r="D7" s="18" t="str">
        <f>CONCATENATE(C7, " ",B7)</f>
        <v>COURTNEY HARDING</v>
      </c>
      <c r="E7" s="18" t="s">
        <v>51</v>
      </c>
      <c r="F7" s="18" t="s">
        <v>430</v>
      </c>
      <c r="G7" s="18" t="s">
        <v>431</v>
      </c>
      <c r="H7" s="18">
        <v>17425766</v>
      </c>
      <c r="I7" s="18" t="s">
        <v>73</v>
      </c>
      <c r="J7" s="18" t="s">
        <v>74</v>
      </c>
      <c r="K7" s="18" t="s">
        <v>1097</v>
      </c>
      <c r="L7" s="18" t="s">
        <v>56</v>
      </c>
      <c r="M7" s="19">
        <v>45931</v>
      </c>
      <c r="N7" s="19">
        <v>45962</v>
      </c>
      <c r="O7" s="20">
        <v>38.11</v>
      </c>
      <c r="P7" s="18">
        <v>1</v>
      </c>
      <c r="Q7" s="18" t="s">
        <v>57</v>
      </c>
      <c r="R7" s="18" t="s">
        <v>96</v>
      </c>
      <c r="S7" s="21">
        <v>0.38</v>
      </c>
      <c r="T7" s="18" t="s">
        <v>97</v>
      </c>
      <c r="U7" s="20">
        <v>14.48</v>
      </c>
      <c r="V7" s="18" t="s">
        <v>431</v>
      </c>
    </row>
    <row r="8" spans="1:22" s="18" customFormat="1" x14ac:dyDescent="0.25">
      <c r="A8" s="18">
        <v>2030956181</v>
      </c>
      <c r="B8" s="18" t="s">
        <v>678</v>
      </c>
      <c r="C8" s="18" t="s">
        <v>179</v>
      </c>
      <c r="D8" s="18" t="str">
        <f>CONCATENATE(C8, " ",B8)</f>
        <v>TIMOTHY MCCLENDON</v>
      </c>
      <c r="E8" s="18" t="s">
        <v>115</v>
      </c>
      <c r="F8" s="18" t="s">
        <v>306</v>
      </c>
      <c r="G8" s="18" t="s">
        <v>307</v>
      </c>
      <c r="H8" s="18">
        <v>17425766</v>
      </c>
      <c r="I8" s="18" t="s">
        <v>73</v>
      </c>
      <c r="J8" s="18" t="s">
        <v>74</v>
      </c>
      <c r="K8" s="18" t="s">
        <v>1097</v>
      </c>
      <c r="L8" s="18" t="s">
        <v>56</v>
      </c>
      <c r="M8" s="19">
        <v>45910</v>
      </c>
      <c r="N8" s="19">
        <v>45940</v>
      </c>
      <c r="O8" s="20">
        <v>50.3</v>
      </c>
      <c r="P8" s="18">
        <v>1</v>
      </c>
      <c r="Q8" s="18" t="s">
        <v>57</v>
      </c>
      <c r="R8" s="18" t="s">
        <v>96</v>
      </c>
      <c r="S8" s="22">
        <v>0.375</v>
      </c>
      <c r="T8" s="18" t="s">
        <v>97</v>
      </c>
      <c r="U8" s="20">
        <v>18.86</v>
      </c>
      <c r="V8" s="18" t="s">
        <v>307</v>
      </c>
    </row>
    <row r="9" spans="1:22" s="18" customFormat="1" x14ac:dyDescent="0.25">
      <c r="A9" s="18">
        <v>2030956182</v>
      </c>
      <c r="B9" s="18" t="s">
        <v>678</v>
      </c>
      <c r="C9" s="18" t="s">
        <v>179</v>
      </c>
      <c r="D9" s="18" t="str">
        <f>CONCATENATE(C9, " ",B9)</f>
        <v>TIMOTHY MCCLENDON</v>
      </c>
      <c r="E9" s="18" t="s">
        <v>115</v>
      </c>
      <c r="F9" s="18" t="s">
        <v>441</v>
      </c>
      <c r="G9" s="18" t="s">
        <v>442</v>
      </c>
      <c r="H9" s="18">
        <v>17425766</v>
      </c>
      <c r="I9" s="18" t="s">
        <v>73</v>
      </c>
      <c r="J9" s="18" t="s">
        <v>74</v>
      </c>
      <c r="K9" s="18" t="s">
        <v>1097</v>
      </c>
      <c r="L9" s="18" t="s">
        <v>56</v>
      </c>
      <c r="M9" s="19">
        <v>45910</v>
      </c>
      <c r="N9" s="19">
        <v>45940</v>
      </c>
      <c r="O9" s="20">
        <v>9.0500000000000007</v>
      </c>
      <c r="P9" s="18">
        <v>1</v>
      </c>
      <c r="Q9" s="18" t="s">
        <v>57</v>
      </c>
      <c r="R9" s="18" t="s">
        <v>96</v>
      </c>
      <c r="S9" s="21">
        <v>0.9</v>
      </c>
      <c r="T9" s="18" t="s">
        <v>97</v>
      </c>
      <c r="U9" s="20">
        <v>8.14</v>
      </c>
      <c r="V9" s="18" t="s">
        <v>442</v>
      </c>
    </row>
    <row r="10" spans="1:22" s="26" customFormat="1" x14ac:dyDescent="0.25">
      <c r="A10" s="26">
        <v>2031057793</v>
      </c>
      <c r="B10" s="26" t="s">
        <v>638</v>
      </c>
      <c r="C10" s="26" t="s">
        <v>85</v>
      </c>
      <c r="D10" s="26" t="str">
        <f>CONCATENATE(C10, " ",B10)</f>
        <v>JOHN ORT</v>
      </c>
      <c r="E10" s="26" t="s">
        <v>134</v>
      </c>
      <c r="F10" s="26" t="s">
        <v>243</v>
      </c>
      <c r="G10" s="26" t="s">
        <v>1054</v>
      </c>
      <c r="H10" s="26" t="s">
        <v>1155</v>
      </c>
      <c r="I10" s="26" t="s">
        <v>79</v>
      </c>
      <c r="J10" s="26" t="s">
        <v>279</v>
      </c>
      <c r="K10" s="26" t="s">
        <v>1102</v>
      </c>
      <c r="L10" s="26" t="s">
        <v>56</v>
      </c>
      <c r="M10" s="27">
        <v>45915</v>
      </c>
      <c r="N10" s="27">
        <v>45945</v>
      </c>
      <c r="O10" s="28">
        <v>15</v>
      </c>
      <c r="P10" s="26">
        <v>1</v>
      </c>
      <c r="Q10" s="26" t="s">
        <v>57</v>
      </c>
      <c r="R10" s="26" t="s">
        <v>636</v>
      </c>
      <c r="S10" s="29">
        <v>0.27</v>
      </c>
      <c r="T10" s="26" t="s">
        <v>97</v>
      </c>
      <c r="U10" s="28">
        <v>4.05</v>
      </c>
      <c r="V10" s="26" t="s">
        <v>1153</v>
      </c>
    </row>
    <row r="11" spans="1:22" s="26" customFormat="1" x14ac:dyDescent="0.25">
      <c r="A11" s="26">
        <v>2031057791</v>
      </c>
      <c r="B11" s="26" t="s">
        <v>638</v>
      </c>
      <c r="C11" s="26" t="s">
        <v>85</v>
      </c>
      <c r="D11" s="26" t="str">
        <f>CONCATENATE(C11, " ",B11)</f>
        <v>JOHN ORT</v>
      </c>
      <c r="E11" s="26" t="s">
        <v>134</v>
      </c>
      <c r="F11" s="26" t="s">
        <v>569</v>
      </c>
      <c r="G11" s="26" t="s">
        <v>637</v>
      </c>
      <c r="H11" s="26" t="s">
        <v>1155</v>
      </c>
      <c r="I11" s="26" t="s">
        <v>79</v>
      </c>
      <c r="J11" s="26" t="s">
        <v>279</v>
      </c>
      <c r="K11" s="26" t="s">
        <v>1102</v>
      </c>
      <c r="L11" s="26" t="s">
        <v>56</v>
      </c>
      <c r="M11" s="27">
        <v>45915</v>
      </c>
      <c r="N11" s="27">
        <v>45945</v>
      </c>
      <c r="O11" s="28">
        <v>165.77</v>
      </c>
      <c r="P11" s="26">
        <v>1</v>
      </c>
      <c r="Q11" s="26" t="s">
        <v>57</v>
      </c>
      <c r="R11" s="26" t="s">
        <v>636</v>
      </c>
      <c r="S11" s="29">
        <v>0.27</v>
      </c>
      <c r="T11" s="26" t="s">
        <v>97</v>
      </c>
      <c r="U11" s="28">
        <v>44.76</v>
      </c>
      <c r="V11" s="26" t="s">
        <v>1153</v>
      </c>
    </row>
    <row r="12" spans="1:22" s="26" customFormat="1" x14ac:dyDescent="0.25">
      <c r="A12" s="26">
        <v>2031057792</v>
      </c>
      <c r="B12" s="26" t="s">
        <v>638</v>
      </c>
      <c r="C12" s="26" t="s">
        <v>85</v>
      </c>
      <c r="D12" s="26" t="str">
        <f>CONCATENATE(C12, " ",B12)</f>
        <v>JOHN ORT</v>
      </c>
      <c r="E12" s="26" t="s">
        <v>134</v>
      </c>
      <c r="F12" s="26" t="s">
        <v>441</v>
      </c>
      <c r="G12" s="26" t="s">
        <v>445</v>
      </c>
      <c r="H12" s="26" t="s">
        <v>1155</v>
      </c>
      <c r="I12" s="26" t="s">
        <v>79</v>
      </c>
      <c r="J12" s="26" t="s">
        <v>279</v>
      </c>
      <c r="K12" s="26" t="s">
        <v>1102</v>
      </c>
      <c r="L12" s="26" t="s">
        <v>56</v>
      </c>
      <c r="M12" s="27">
        <v>45915</v>
      </c>
      <c r="N12" s="27">
        <v>45945</v>
      </c>
      <c r="O12" s="28">
        <v>30.68</v>
      </c>
      <c r="P12" s="26">
        <v>1</v>
      </c>
      <c r="Q12" s="26" t="s">
        <v>57</v>
      </c>
      <c r="R12" s="26" t="s">
        <v>96</v>
      </c>
      <c r="S12" s="29">
        <v>0.7</v>
      </c>
      <c r="T12" s="26" t="s">
        <v>97</v>
      </c>
      <c r="U12" s="28">
        <v>21.48</v>
      </c>
      <c r="V12" s="26" t="s">
        <v>445</v>
      </c>
    </row>
    <row r="13" spans="1:22" s="18" customFormat="1" x14ac:dyDescent="0.25">
      <c r="A13" s="18">
        <v>2031079835</v>
      </c>
      <c r="B13" s="18" t="s">
        <v>156</v>
      </c>
      <c r="C13" s="18" t="s">
        <v>419</v>
      </c>
      <c r="D13" s="18" t="str">
        <f>CONCATENATE(C13, " ",B13)</f>
        <v>FANTAYIJA MARTIN</v>
      </c>
      <c r="E13" s="18" t="s">
        <v>93</v>
      </c>
      <c r="F13" s="18" t="s">
        <v>441</v>
      </c>
      <c r="G13" s="18" t="s">
        <v>445</v>
      </c>
      <c r="H13" s="18">
        <v>17437820</v>
      </c>
      <c r="I13" s="18" t="s">
        <v>420</v>
      </c>
      <c r="J13" s="18" t="s">
        <v>421</v>
      </c>
      <c r="K13" s="18" t="s">
        <v>1082</v>
      </c>
      <c r="L13" s="18" t="s">
        <v>56</v>
      </c>
      <c r="M13" s="19">
        <v>45916</v>
      </c>
      <c r="N13" s="19">
        <v>45946</v>
      </c>
      <c r="O13" s="20">
        <v>28.9</v>
      </c>
      <c r="P13" s="18">
        <v>1</v>
      </c>
      <c r="Q13" s="18" t="s">
        <v>57</v>
      </c>
      <c r="R13" s="18" t="s">
        <v>96</v>
      </c>
      <c r="S13" s="21">
        <v>0.7</v>
      </c>
      <c r="T13" s="18" t="s">
        <v>97</v>
      </c>
      <c r="U13" s="20">
        <v>20.23</v>
      </c>
      <c r="V13" s="18" t="s">
        <v>445</v>
      </c>
    </row>
    <row r="14" spans="1:22" s="18" customFormat="1" x14ac:dyDescent="0.25">
      <c r="A14" s="18">
        <v>2031079834</v>
      </c>
      <c r="B14" s="18" t="s">
        <v>156</v>
      </c>
      <c r="C14" s="18" t="s">
        <v>419</v>
      </c>
      <c r="D14" s="18" t="str">
        <f>CONCATENATE(C14, " ",B14)</f>
        <v>FANTAYIJA MARTIN</v>
      </c>
      <c r="E14" s="18" t="s">
        <v>93</v>
      </c>
      <c r="F14" s="18" t="s">
        <v>306</v>
      </c>
      <c r="G14" s="18" t="s">
        <v>307</v>
      </c>
      <c r="H14" s="18">
        <v>17437820</v>
      </c>
      <c r="I14" s="18" t="s">
        <v>420</v>
      </c>
      <c r="J14" s="18" t="s">
        <v>421</v>
      </c>
      <c r="K14" s="18" t="s">
        <v>1082</v>
      </c>
      <c r="L14" s="18" t="s">
        <v>56</v>
      </c>
      <c r="M14" s="19">
        <v>45916</v>
      </c>
      <c r="N14" s="19">
        <v>45946</v>
      </c>
      <c r="O14" s="20">
        <v>53.87</v>
      </c>
      <c r="P14" s="18">
        <v>1</v>
      </c>
      <c r="Q14" s="18" t="s">
        <v>57</v>
      </c>
      <c r="R14" s="18" t="s">
        <v>96</v>
      </c>
      <c r="S14" s="22">
        <v>0.375</v>
      </c>
      <c r="T14" s="18" t="s">
        <v>97</v>
      </c>
      <c r="U14" s="20">
        <v>20.2</v>
      </c>
      <c r="V14" s="18" t="s">
        <v>307</v>
      </c>
    </row>
    <row r="15" spans="1:22" s="18" customFormat="1" x14ac:dyDescent="0.25">
      <c r="A15" s="18">
        <v>2030683121</v>
      </c>
      <c r="B15" s="18" t="s">
        <v>556</v>
      </c>
      <c r="C15" s="18" t="s">
        <v>557</v>
      </c>
      <c r="D15" s="18" t="str">
        <f>CONCATENATE(C15, " ",B15)</f>
        <v>YVONNE TAYLOR</v>
      </c>
      <c r="E15" s="18" t="s">
        <v>93</v>
      </c>
      <c r="F15" s="18" t="s">
        <v>441</v>
      </c>
      <c r="G15" s="18" t="s">
        <v>445</v>
      </c>
      <c r="H15" s="18">
        <v>9213293</v>
      </c>
      <c r="I15" s="18" t="s">
        <v>338</v>
      </c>
      <c r="J15" s="18" t="s">
        <v>377</v>
      </c>
      <c r="K15" s="18" t="s">
        <v>1086</v>
      </c>
      <c r="L15" s="18" t="s">
        <v>56</v>
      </c>
      <c r="M15" s="19">
        <v>45920</v>
      </c>
      <c r="N15" s="19">
        <v>45950</v>
      </c>
      <c r="O15" s="20">
        <v>61.08</v>
      </c>
      <c r="P15" s="18">
        <v>1</v>
      </c>
      <c r="Q15" s="18" t="s">
        <v>57</v>
      </c>
      <c r="R15" s="18" t="s">
        <v>96</v>
      </c>
      <c r="S15" s="21">
        <v>0.7</v>
      </c>
      <c r="T15" s="18" t="s">
        <v>97</v>
      </c>
      <c r="U15" s="20">
        <v>42.76</v>
      </c>
      <c r="V15" s="18" t="s">
        <v>445</v>
      </c>
    </row>
    <row r="16" spans="1:22" s="18" customFormat="1" x14ac:dyDescent="0.25">
      <c r="A16" s="18">
        <v>2030943608</v>
      </c>
      <c r="B16" s="18" t="s">
        <v>685</v>
      </c>
      <c r="C16" s="18" t="s">
        <v>684</v>
      </c>
      <c r="D16" s="18" t="str">
        <f>CONCATENATE(C16, " ",B16)</f>
        <v>GARRETT RODGERS</v>
      </c>
      <c r="E16" s="18" t="s">
        <v>93</v>
      </c>
      <c r="F16" s="18" t="s">
        <v>441</v>
      </c>
      <c r="G16" s="18" t="s">
        <v>445</v>
      </c>
      <c r="H16" s="18">
        <v>9213293</v>
      </c>
      <c r="I16" s="18" t="s">
        <v>338</v>
      </c>
      <c r="J16" s="18" t="s">
        <v>377</v>
      </c>
      <c r="K16" s="18" t="s">
        <v>1086</v>
      </c>
      <c r="L16" s="18" t="s">
        <v>56</v>
      </c>
      <c r="M16" s="19">
        <v>45931</v>
      </c>
      <c r="N16" s="19">
        <v>45962</v>
      </c>
      <c r="O16" s="20">
        <v>159.24</v>
      </c>
      <c r="P16" s="18">
        <v>1</v>
      </c>
      <c r="Q16" s="18" t="s">
        <v>57</v>
      </c>
      <c r="R16" s="18" t="s">
        <v>96</v>
      </c>
      <c r="S16" s="21">
        <v>0.7</v>
      </c>
      <c r="T16" s="18" t="s">
        <v>97</v>
      </c>
      <c r="U16" s="20">
        <v>111.47</v>
      </c>
      <c r="V16" s="18" t="s">
        <v>445</v>
      </c>
    </row>
    <row r="17" spans="1:22" s="26" customFormat="1" x14ac:dyDescent="0.25">
      <c r="A17" s="26">
        <v>2031047975</v>
      </c>
      <c r="B17" s="26" t="s">
        <v>659</v>
      </c>
      <c r="C17" s="26" t="s">
        <v>658</v>
      </c>
      <c r="D17" s="26" t="str">
        <f>CONCATENATE(C17, " ",B17)</f>
        <v>RENEE WILLEY</v>
      </c>
      <c r="E17" s="26" t="s">
        <v>115</v>
      </c>
      <c r="F17" s="26" t="s">
        <v>441</v>
      </c>
      <c r="G17" s="26" t="s">
        <v>445</v>
      </c>
      <c r="H17" s="26" t="s">
        <v>1156</v>
      </c>
      <c r="I17" s="26" t="s">
        <v>257</v>
      </c>
      <c r="J17" s="26" t="s">
        <v>258</v>
      </c>
      <c r="K17" s="26" t="s">
        <v>1100</v>
      </c>
      <c r="L17" s="26" t="s">
        <v>56</v>
      </c>
      <c r="M17" s="27">
        <v>45914</v>
      </c>
      <c r="N17" s="27">
        <v>45944</v>
      </c>
      <c r="O17" s="28">
        <v>84.43</v>
      </c>
      <c r="P17" s="26">
        <v>1</v>
      </c>
      <c r="Q17" s="26" t="s">
        <v>57</v>
      </c>
      <c r="R17" s="26" t="s">
        <v>96</v>
      </c>
      <c r="S17" s="29">
        <v>0.7</v>
      </c>
      <c r="T17" s="26" t="s">
        <v>97</v>
      </c>
      <c r="U17" s="28">
        <v>59.1</v>
      </c>
      <c r="V17" s="26" t="s">
        <v>445</v>
      </c>
    </row>
    <row r="18" spans="1:22" s="26" customFormat="1" x14ac:dyDescent="0.25">
      <c r="A18" s="26">
        <v>2031047977</v>
      </c>
      <c r="B18" s="26" t="s">
        <v>659</v>
      </c>
      <c r="C18" s="26" t="s">
        <v>658</v>
      </c>
      <c r="D18" s="26" t="str">
        <f>CONCATENATE(C18, " ",B18)</f>
        <v>RENEE WILLEY</v>
      </c>
      <c r="E18" s="26" t="s">
        <v>115</v>
      </c>
      <c r="F18" s="26" t="s">
        <v>306</v>
      </c>
      <c r="G18" s="26" t="s">
        <v>307</v>
      </c>
      <c r="H18" s="26" t="s">
        <v>1156</v>
      </c>
      <c r="I18" s="26" t="s">
        <v>257</v>
      </c>
      <c r="J18" s="26" t="s">
        <v>258</v>
      </c>
      <c r="K18" s="26" t="s">
        <v>1100</v>
      </c>
      <c r="L18" s="26" t="s">
        <v>56</v>
      </c>
      <c r="M18" s="27">
        <v>45914</v>
      </c>
      <c r="N18" s="27">
        <v>45944</v>
      </c>
      <c r="O18" s="28">
        <v>54.87</v>
      </c>
      <c r="P18" s="26">
        <v>1</v>
      </c>
      <c r="Q18" s="26" t="s">
        <v>57</v>
      </c>
      <c r="R18" s="26" t="s">
        <v>96</v>
      </c>
      <c r="S18" s="30">
        <v>0.375</v>
      </c>
      <c r="T18" s="26" t="s">
        <v>97</v>
      </c>
      <c r="U18" s="28">
        <v>20.58</v>
      </c>
      <c r="V18" s="26" t="s">
        <v>307</v>
      </c>
    </row>
    <row r="19" spans="1:22" s="26" customFormat="1" x14ac:dyDescent="0.25">
      <c r="A19" s="26">
        <v>2031047976</v>
      </c>
      <c r="B19" s="26" t="s">
        <v>659</v>
      </c>
      <c r="C19" s="26" t="s">
        <v>658</v>
      </c>
      <c r="D19" s="26" t="str">
        <f>CONCATENATE(C19, " ",B19)</f>
        <v>RENEE WILLEY</v>
      </c>
      <c r="E19" s="26" t="s">
        <v>115</v>
      </c>
      <c r="F19" s="26" t="s">
        <v>441</v>
      </c>
      <c r="G19" s="26" t="s">
        <v>442</v>
      </c>
      <c r="H19" s="26" t="s">
        <v>1156</v>
      </c>
      <c r="I19" s="26" t="s">
        <v>257</v>
      </c>
      <c r="J19" s="26" t="s">
        <v>258</v>
      </c>
      <c r="K19" s="26" t="s">
        <v>1100</v>
      </c>
      <c r="L19" s="26" t="s">
        <v>56</v>
      </c>
      <c r="M19" s="27">
        <v>45914</v>
      </c>
      <c r="N19" s="27">
        <v>45944</v>
      </c>
      <c r="O19" s="28">
        <v>22.38</v>
      </c>
      <c r="P19" s="26">
        <v>1</v>
      </c>
      <c r="Q19" s="26" t="s">
        <v>57</v>
      </c>
      <c r="R19" s="26" t="s">
        <v>96</v>
      </c>
      <c r="S19" s="29">
        <v>0.9</v>
      </c>
      <c r="T19" s="26" t="s">
        <v>97</v>
      </c>
      <c r="U19" s="28">
        <v>20.14</v>
      </c>
      <c r="V19" s="26" t="s">
        <v>442</v>
      </c>
    </row>
    <row r="20" spans="1:22" s="18" customFormat="1" x14ac:dyDescent="0.25">
      <c r="A20" s="18">
        <v>2031032749</v>
      </c>
      <c r="B20" s="18" t="s">
        <v>663</v>
      </c>
      <c r="C20" s="18" t="s">
        <v>662</v>
      </c>
      <c r="D20" s="18" t="str">
        <f>CONCATENATE(C20, " ",B20)</f>
        <v>BRUCE GEISEN</v>
      </c>
      <c r="E20" s="18" t="s">
        <v>93</v>
      </c>
      <c r="F20" s="18" t="s">
        <v>441</v>
      </c>
      <c r="G20" s="18" t="s">
        <v>445</v>
      </c>
      <c r="H20" s="18">
        <v>16228684</v>
      </c>
      <c r="I20" s="18" t="s">
        <v>661</v>
      </c>
      <c r="J20" s="18" t="s">
        <v>660</v>
      </c>
      <c r="K20" s="18" t="s">
        <v>1099</v>
      </c>
      <c r="L20" s="18" t="s">
        <v>56</v>
      </c>
      <c r="M20" s="19">
        <v>45931</v>
      </c>
      <c r="N20" s="19">
        <v>45962</v>
      </c>
      <c r="O20" s="20">
        <v>102.7</v>
      </c>
      <c r="P20" s="18">
        <v>1</v>
      </c>
      <c r="Q20" s="18" t="s">
        <v>57</v>
      </c>
      <c r="R20" s="18" t="s">
        <v>96</v>
      </c>
      <c r="S20" s="21">
        <v>0.7</v>
      </c>
      <c r="T20" s="18" t="s">
        <v>97</v>
      </c>
      <c r="U20" s="20">
        <v>71.89</v>
      </c>
      <c r="V20" s="18" t="s">
        <v>445</v>
      </c>
    </row>
    <row r="21" spans="1:22" s="18" customFormat="1" x14ac:dyDescent="0.25">
      <c r="A21" s="18">
        <v>2031032748</v>
      </c>
      <c r="B21" s="18" t="s">
        <v>663</v>
      </c>
      <c r="C21" s="18" t="s">
        <v>662</v>
      </c>
      <c r="D21" s="18" t="str">
        <f>CONCATENATE(C21, " ",B21)</f>
        <v>BRUCE GEISEN</v>
      </c>
      <c r="E21" s="18" t="s">
        <v>93</v>
      </c>
      <c r="F21" s="18" t="s">
        <v>306</v>
      </c>
      <c r="G21" s="18" t="s">
        <v>307</v>
      </c>
      <c r="H21" s="18">
        <v>16228684</v>
      </c>
      <c r="I21" s="18" t="s">
        <v>661</v>
      </c>
      <c r="J21" s="18" t="s">
        <v>660</v>
      </c>
      <c r="K21" s="18" t="s">
        <v>1099</v>
      </c>
      <c r="L21" s="18" t="s">
        <v>56</v>
      </c>
      <c r="M21" s="19">
        <v>45931</v>
      </c>
      <c r="N21" s="19">
        <v>45962</v>
      </c>
      <c r="O21" s="20">
        <v>77.48</v>
      </c>
      <c r="P21" s="18">
        <v>1</v>
      </c>
      <c r="Q21" s="18" t="s">
        <v>57</v>
      </c>
      <c r="R21" s="18" t="s">
        <v>96</v>
      </c>
      <c r="S21" s="22">
        <v>0.375</v>
      </c>
      <c r="T21" s="18" t="s">
        <v>97</v>
      </c>
      <c r="U21" s="20">
        <v>29.06</v>
      </c>
      <c r="V21" s="18" t="s">
        <v>307</v>
      </c>
    </row>
    <row r="22" spans="1:22" s="18" customFormat="1" x14ac:dyDescent="0.25">
      <c r="A22" s="18">
        <v>2030924642</v>
      </c>
      <c r="B22" s="18" t="s">
        <v>648</v>
      </c>
      <c r="C22" s="18" t="s">
        <v>647</v>
      </c>
      <c r="D22" s="18" t="str">
        <f>CONCATENATE(C22, " ",B22)</f>
        <v>ANDRE PRINCETON</v>
      </c>
      <c r="E22" s="18" t="s">
        <v>63</v>
      </c>
      <c r="F22" s="18" t="s">
        <v>106</v>
      </c>
      <c r="G22" s="18" t="s">
        <v>184</v>
      </c>
      <c r="H22" s="18">
        <v>21564088</v>
      </c>
      <c r="I22" s="18" t="s">
        <v>644</v>
      </c>
      <c r="J22" s="18" t="s">
        <v>643</v>
      </c>
      <c r="K22" s="18" t="s">
        <v>1090</v>
      </c>
      <c r="L22" s="18" t="s">
        <v>56</v>
      </c>
      <c r="M22" s="19">
        <v>45911</v>
      </c>
      <c r="N22" s="19">
        <v>45941</v>
      </c>
      <c r="O22" s="20">
        <v>17.77</v>
      </c>
      <c r="P22" s="18">
        <v>1</v>
      </c>
      <c r="Q22" s="18" t="s">
        <v>57</v>
      </c>
      <c r="R22" s="18" t="s">
        <v>96</v>
      </c>
      <c r="S22" s="21">
        <v>0.75</v>
      </c>
      <c r="T22" s="18" t="s">
        <v>97</v>
      </c>
      <c r="U22" s="20">
        <v>13.33</v>
      </c>
      <c r="V22" s="18" t="s">
        <v>1141</v>
      </c>
    </row>
    <row r="23" spans="1:22" s="18" customFormat="1" x14ac:dyDescent="0.25">
      <c r="A23" s="18">
        <v>2030932601</v>
      </c>
      <c r="B23" s="18" t="s">
        <v>646</v>
      </c>
      <c r="C23" s="18" t="s">
        <v>368</v>
      </c>
      <c r="D23" s="18" t="str">
        <f>CONCATENATE(C23, " ",B23)</f>
        <v>LISA WALL</v>
      </c>
      <c r="E23" s="18" t="s">
        <v>63</v>
      </c>
      <c r="F23" s="18" t="s">
        <v>106</v>
      </c>
      <c r="G23" s="18" t="s">
        <v>184</v>
      </c>
      <c r="H23" s="18">
        <v>21564088</v>
      </c>
      <c r="I23" s="18" t="s">
        <v>644</v>
      </c>
      <c r="J23" s="18" t="s">
        <v>643</v>
      </c>
      <c r="K23" s="18" t="s">
        <v>1090</v>
      </c>
      <c r="L23" s="18" t="s">
        <v>56</v>
      </c>
      <c r="M23" s="19">
        <v>45911</v>
      </c>
      <c r="N23" s="19">
        <v>45941</v>
      </c>
      <c r="O23" s="20">
        <v>18.489999999999998</v>
      </c>
      <c r="P23" s="18">
        <v>1</v>
      </c>
      <c r="Q23" s="18" t="s">
        <v>57</v>
      </c>
      <c r="R23" s="18" t="s">
        <v>96</v>
      </c>
      <c r="S23" s="21">
        <v>0.75</v>
      </c>
      <c r="T23" s="18" t="s">
        <v>97</v>
      </c>
      <c r="U23" s="20">
        <v>13.87</v>
      </c>
      <c r="V23" s="18" t="s">
        <v>1141</v>
      </c>
    </row>
    <row r="24" spans="1:22" s="18" customFormat="1" x14ac:dyDescent="0.25">
      <c r="A24" s="18">
        <v>2030924643</v>
      </c>
      <c r="B24" s="18" t="s">
        <v>648</v>
      </c>
      <c r="C24" s="18" t="s">
        <v>647</v>
      </c>
      <c r="D24" s="18" t="str">
        <f>CONCATENATE(C24, " ",B24)</f>
        <v>ANDRE PRINCETON</v>
      </c>
      <c r="E24" s="18" t="s">
        <v>63</v>
      </c>
      <c r="F24" s="18" t="s">
        <v>243</v>
      </c>
      <c r="G24" s="18" t="s">
        <v>252</v>
      </c>
      <c r="H24" s="18">
        <v>21564088</v>
      </c>
      <c r="I24" s="18" t="s">
        <v>644</v>
      </c>
      <c r="J24" s="18" t="s">
        <v>643</v>
      </c>
      <c r="K24" s="18" t="s">
        <v>1090</v>
      </c>
      <c r="L24" s="18" t="s">
        <v>56</v>
      </c>
      <c r="M24" s="19">
        <v>45911</v>
      </c>
      <c r="N24" s="19">
        <v>45941</v>
      </c>
      <c r="O24" s="20">
        <v>15</v>
      </c>
      <c r="P24" s="18">
        <v>1</v>
      </c>
      <c r="Q24" s="18" t="s">
        <v>57</v>
      </c>
      <c r="R24" s="18" t="s">
        <v>305</v>
      </c>
      <c r="S24" s="21">
        <v>0.19</v>
      </c>
      <c r="T24" s="18" t="s">
        <v>97</v>
      </c>
      <c r="U24" s="20">
        <v>2.85</v>
      </c>
      <c r="V24" s="18" t="s">
        <v>252</v>
      </c>
    </row>
    <row r="25" spans="1:22" s="18" customFormat="1" x14ac:dyDescent="0.25">
      <c r="A25" s="18">
        <v>2030932602</v>
      </c>
      <c r="B25" s="18" t="s">
        <v>646</v>
      </c>
      <c r="C25" s="18" t="s">
        <v>368</v>
      </c>
      <c r="D25" s="18" t="str">
        <f>CONCATENATE(C25, " ",B25)</f>
        <v>LISA WALL</v>
      </c>
      <c r="E25" s="18" t="s">
        <v>63</v>
      </c>
      <c r="F25" s="18" t="s">
        <v>243</v>
      </c>
      <c r="G25" s="18" t="s">
        <v>252</v>
      </c>
      <c r="H25" s="18">
        <v>21564088</v>
      </c>
      <c r="I25" s="18" t="s">
        <v>644</v>
      </c>
      <c r="J25" s="18" t="s">
        <v>643</v>
      </c>
      <c r="K25" s="18" t="s">
        <v>1090</v>
      </c>
      <c r="L25" s="18" t="s">
        <v>56</v>
      </c>
      <c r="M25" s="19">
        <v>45911</v>
      </c>
      <c r="N25" s="19">
        <v>45941</v>
      </c>
      <c r="O25" s="20">
        <v>15</v>
      </c>
      <c r="P25" s="18">
        <v>1</v>
      </c>
      <c r="Q25" s="18" t="s">
        <v>57</v>
      </c>
      <c r="R25" s="18" t="s">
        <v>305</v>
      </c>
      <c r="S25" s="21">
        <v>0.19</v>
      </c>
      <c r="T25" s="18" t="s">
        <v>97</v>
      </c>
      <c r="U25" s="20">
        <v>2.85</v>
      </c>
      <c r="V25" s="18" t="s">
        <v>252</v>
      </c>
    </row>
    <row r="26" spans="1:22" s="18" customFormat="1" x14ac:dyDescent="0.25">
      <c r="A26" s="18">
        <v>2030924640</v>
      </c>
      <c r="B26" s="18" t="s">
        <v>648</v>
      </c>
      <c r="C26" s="18" t="s">
        <v>647</v>
      </c>
      <c r="D26" s="18" t="str">
        <f>CONCATENATE(C26, " ",B26)</f>
        <v>ANDRE PRINCETON</v>
      </c>
      <c r="E26" s="18" t="s">
        <v>63</v>
      </c>
      <c r="F26" s="18" t="s">
        <v>569</v>
      </c>
      <c r="G26" s="18" t="s">
        <v>645</v>
      </c>
      <c r="H26" s="18">
        <v>21564088</v>
      </c>
      <c r="I26" s="18" t="s">
        <v>644</v>
      </c>
      <c r="J26" s="18" t="s">
        <v>643</v>
      </c>
      <c r="K26" s="18" t="s">
        <v>1090</v>
      </c>
      <c r="L26" s="18" t="s">
        <v>56</v>
      </c>
      <c r="M26" s="19">
        <v>45911</v>
      </c>
      <c r="N26" s="19">
        <v>45941</v>
      </c>
      <c r="O26" s="20">
        <v>163.94</v>
      </c>
      <c r="P26" s="18">
        <v>1</v>
      </c>
      <c r="Q26" s="18" t="s">
        <v>57</v>
      </c>
      <c r="R26" s="18" t="s">
        <v>305</v>
      </c>
      <c r="S26" s="21">
        <v>0.19</v>
      </c>
      <c r="T26" s="18" t="s">
        <v>97</v>
      </c>
      <c r="U26" s="20">
        <v>31.15</v>
      </c>
      <c r="V26" s="18" t="s">
        <v>645</v>
      </c>
    </row>
    <row r="27" spans="1:22" s="18" customFormat="1" x14ac:dyDescent="0.25">
      <c r="A27" s="18">
        <v>2030932599</v>
      </c>
      <c r="B27" s="18" t="s">
        <v>646</v>
      </c>
      <c r="C27" s="18" t="s">
        <v>368</v>
      </c>
      <c r="D27" s="18" t="str">
        <f>CONCATENATE(C27, " ",B27)</f>
        <v>LISA WALL</v>
      </c>
      <c r="E27" s="18" t="s">
        <v>63</v>
      </c>
      <c r="F27" s="18" t="s">
        <v>569</v>
      </c>
      <c r="G27" s="18" t="s">
        <v>645</v>
      </c>
      <c r="H27" s="18">
        <v>21564088</v>
      </c>
      <c r="I27" s="18" t="s">
        <v>644</v>
      </c>
      <c r="J27" s="18" t="s">
        <v>643</v>
      </c>
      <c r="K27" s="18" t="s">
        <v>1090</v>
      </c>
      <c r="L27" s="18" t="s">
        <v>56</v>
      </c>
      <c r="M27" s="19">
        <v>45911</v>
      </c>
      <c r="N27" s="19">
        <v>45941</v>
      </c>
      <c r="O27" s="20">
        <v>196.19</v>
      </c>
      <c r="P27" s="18">
        <v>1</v>
      </c>
      <c r="Q27" s="18" t="s">
        <v>57</v>
      </c>
      <c r="R27" s="18" t="s">
        <v>305</v>
      </c>
      <c r="S27" s="21">
        <v>0.19</v>
      </c>
      <c r="T27" s="18" t="s">
        <v>97</v>
      </c>
      <c r="U27" s="20">
        <v>37.28</v>
      </c>
      <c r="V27" s="18" t="s">
        <v>645</v>
      </c>
    </row>
    <row r="28" spans="1:22" s="18" customFormat="1" x14ac:dyDescent="0.25">
      <c r="A28" s="18">
        <v>2030924641</v>
      </c>
      <c r="B28" s="18" t="s">
        <v>648</v>
      </c>
      <c r="C28" s="18" t="s">
        <v>647</v>
      </c>
      <c r="D28" s="18" t="str">
        <f>CONCATENATE(C28, " ",B28)</f>
        <v>ANDRE PRINCETON</v>
      </c>
      <c r="E28" s="18" t="s">
        <v>63</v>
      </c>
      <c r="F28" s="18" t="s">
        <v>441</v>
      </c>
      <c r="G28" s="18" t="s">
        <v>445</v>
      </c>
      <c r="H28" s="18">
        <v>21564088</v>
      </c>
      <c r="I28" s="18" t="s">
        <v>644</v>
      </c>
      <c r="J28" s="18" t="s">
        <v>643</v>
      </c>
      <c r="K28" s="18" t="s">
        <v>1090</v>
      </c>
      <c r="L28" s="18" t="s">
        <v>56</v>
      </c>
      <c r="M28" s="19">
        <v>45911</v>
      </c>
      <c r="N28" s="19">
        <v>45941</v>
      </c>
      <c r="O28" s="20">
        <v>65.48</v>
      </c>
      <c r="P28" s="18">
        <v>1</v>
      </c>
      <c r="Q28" s="18" t="s">
        <v>57</v>
      </c>
      <c r="R28" s="18" t="s">
        <v>96</v>
      </c>
      <c r="S28" s="21">
        <v>0.7</v>
      </c>
      <c r="T28" s="18" t="s">
        <v>97</v>
      </c>
      <c r="U28" s="20">
        <v>45.84</v>
      </c>
      <c r="V28" s="18" t="s">
        <v>445</v>
      </c>
    </row>
    <row r="29" spans="1:22" s="18" customFormat="1" x14ac:dyDescent="0.25">
      <c r="A29" s="18">
        <v>2030932600</v>
      </c>
      <c r="B29" s="18" t="s">
        <v>646</v>
      </c>
      <c r="C29" s="18" t="s">
        <v>368</v>
      </c>
      <c r="D29" s="18" t="str">
        <f>CONCATENATE(C29, " ",B29)</f>
        <v>LISA WALL</v>
      </c>
      <c r="E29" s="18" t="s">
        <v>63</v>
      </c>
      <c r="F29" s="18" t="s">
        <v>441</v>
      </c>
      <c r="G29" s="18" t="s">
        <v>445</v>
      </c>
      <c r="H29" s="18">
        <v>21564088</v>
      </c>
      <c r="I29" s="18" t="s">
        <v>644</v>
      </c>
      <c r="J29" s="18" t="s">
        <v>643</v>
      </c>
      <c r="K29" s="18" t="s">
        <v>1090</v>
      </c>
      <c r="L29" s="18" t="s">
        <v>56</v>
      </c>
      <c r="M29" s="19">
        <v>45911</v>
      </c>
      <c r="N29" s="19">
        <v>45941</v>
      </c>
      <c r="O29" s="20">
        <v>65.48</v>
      </c>
      <c r="P29" s="18">
        <v>1</v>
      </c>
      <c r="Q29" s="18" t="s">
        <v>57</v>
      </c>
      <c r="R29" s="18" t="s">
        <v>96</v>
      </c>
      <c r="S29" s="21">
        <v>0.7</v>
      </c>
      <c r="T29" s="18" t="s">
        <v>97</v>
      </c>
      <c r="U29" s="20">
        <v>45.84</v>
      </c>
      <c r="V29" s="18" t="s">
        <v>445</v>
      </c>
    </row>
    <row r="30" spans="1:22" s="18" customFormat="1" x14ac:dyDescent="0.25">
      <c r="A30" s="18">
        <v>2031001702</v>
      </c>
      <c r="B30" s="18" t="s">
        <v>667</v>
      </c>
      <c r="C30" s="18" t="s">
        <v>666</v>
      </c>
      <c r="D30" s="18" t="str">
        <f>CONCATENATE(C30, " ",B30)</f>
        <v>KENTAVIUS CLAYTON</v>
      </c>
      <c r="E30" s="18" t="s">
        <v>77</v>
      </c>
      <c r="F30" s="18" t="s">
        <v>243</v>
      </c>
      <c r="G30" s="18" t="s">
        <v>249</v>
      </c>
      <c r="H30" s="18">
        <v>18781057</v>
      </c>
      <c r="I30" s="18" t="s">
        <v>84</v>
      </c>
      <c r="J30" s="18" t="s">
        <v>85</v>
      </c>
      <c r="K30" s="18" t="s">
        <v>1089</v>
      </c>
      <c r="L30" s="18" t="s">
        <v>56</v>
      </c>
      <c r="M30" s="19">
        <v>45931</v>
      </c>
      <c r="N30" s="19">
        <v>45962</v>
      </c>
      <c r="O30" s="20">
        <v>15</v>
      </c>
      <c r="P30" s="18">
        <v>1</v>
      </c>
      <c r="Q30" s="18" t="s">
        <v>57</v>
      </c>
      <c r="R30" s="18" t="s">
        <v>96</v>
      </c>
      <c r="S30" s="21">
        <v>0.38</v>
      </c>
      <c r="T30" s="18" t="s">
        <v>97</v>
      </c>
      <c r="U30" s="20">
        <v>5.7</v>
      </c>
      <c r="V30" s="18" t="s">
        <v>249</v>
      </c>
    </row>
    <row r="31" spans="1:22" s="18" customFormat="1" x14ac:dyDescent="0.25">
      <c r="A31" s="18">
        <v>2030937252</v>
      </c>
      <c r="B31" s="18" t="s">
        <v>767</v>
      </c>
      <c r="C31" s="18" t="s">
        <v>163</v>
      </c>
      <c r="D31" s="18" t="str">
        <f>CONCATENATE(C31, " ",B31)</f>
        <v>JORDAN WHITNEY</v>
      </c>
      <c r="E31" s="18" t="s">
        <v>51</v>
      </c>
      <c r="F31" s="18" t="s">
        <v>430</v>
      </c>
      <c r="G31" s="18" t="s">
        <v>431</v>
      </c>
      <c r="H31" s="18">
        <v>18781057</v>
      </c>
      <c r="I31" s="18" t="s">
        <v>84</v>
      </c>
      <c r="J31" s="18" t="s">
        <v>85</v>
      </c>
      <c r="K31" s="18" t="s">
        <v>1089</v>
      </c>
      <c r="L31" s="18" t="s">
        <v>56</v>
      </c>
      <c r="M31" s="19">
        <v>45909</v>
      </c>
      <c r="N31" s="19">
        <v>45939</v>
      </c>
      <c r="O31" s="20">
        <v>19.309999999999999</v>
      </c>
      <c r="P31" s="18">
        <v>1</v>
      </c>
      <c r="Q31" s="18" t="s">
        <v>57</v>
      </c>
      <c r="R31" s="18" t="s">
        <v>96</v>
      </c>
      <c r="S31" s="21">
        <v>0.38</v>
      </c>
      <c r="T31" s="18" t="s">
        <v>97</v>
      </c>
      <c r="U31" s="20">
        <v>7.34</v>
      </c>
      <c r="V31" s="18" t="s">
        <v>431</v>
      </c>
    </row>
    <row r="32" spans="1:22" s="18" customFormat="1" x14ac:dyDescent="0.25">
      <c r="A32" s="18">
        <v>2030941927</v>
      </c>
      <c r="B32" s="18" t="s">
        <v>766</v>
      </c>
      <c r="C32" s="18" t="s">
        <v>765</v>
      </c>
      <c r="D32" s="18" t="str">
        <f>CONCATENATE(C32, " ",B32)</f>
        <v>KELBY MURPHREE</v>
      </c>
      <c r="E32" s="18" t="s">
        <v>83</v>
      </c>
      <c r="F32" s="18" t="s">
        <v>430</v>
      </c>
      <c r="G32" s="18" t="s">
        <v>431</v>
      </c>
      <c r="H32" s="18">
        <v>18781057</v>
      </c>
      <c r="I32" s="18" t="s">
        <v>84</v>
      </c>
      <c r="J32" s="18" t="s">
        <v>85</v>
      </c>
      <c r="K32" s="18" t="s">
        <v>1089</v>
      </c>
      <c r="L32" s="18" t="s">
        <v>56</v>
      </c>
      <c r="M32" s="19">
        <v>45909</v>
      </c>
      <c r="N32" s="19">
        <v>45939</v>
      </c>
      <c r="O32" s="20">
        <v>15.06</v>
      </c>
      <c r="P32" s="18">
        <v>1</v>
      </c>
      <c r="Q32" s="18" t="s">
        <v>57</v>
      </c>
      <c r="R32" s="18" t="s">
        <v>96</v>
      </c>
      <c r="S32" s="21">
        <v>0.38</v>
      </c>
      <c r="T32" s="18" t="s">
        <v>97</v>
      </c>
      <c r="U32" s="20">
        <v>5.72</v>
      </c>
      <c r="V32" s="18" t="s">
        <v>431</v>
      </c>
    </row>
    <row r="33" spans="1:49" s="18" customFormat="1" x14ac:dyDescent="0.25">
      <c r="A33" s="18">
        <v>2031001700</v>
      </c>
      <c r="B33" s="18" t="s">
        <v>667</v>
      </c>
      <c r="C33" s="18" t="s">
        <v>666</v>
      </c>
      <c r="D33" s="18" t="str">
        <f>CONCATENATE(C33, " ",B33)</f>
        <v>KENTAVIUS CLAYTON</v>
      </c>
      <c r="E33" s="18" t="s">
        <v>77</v>
      </c>
      <c r="F33" s="18" t="s">
        <v>430</v>
      </c>
      <c r="G33" s="18" t="s">
        <v>431</v>
      </c>
      <c r="H33" s="18">
        <v>18781057</v>
      </c>
      <c r="I33" s="18" t="s">
        <v>84</v>
      </c>
      <c r="J33" s="18" t="s">
        <v>85</v>
      </c>
      <c r="K33" s="18" t="s">
        <v>1089</v>
      </c>
      <c r="L33" s="18" t="s">
        <v>56</v>
      </c>
      <c r="M33" s="19">
        <v>45931</v>
      </c>
      <c r="N33" s="19">
        <v>45962</v>
      </c>
      <c r="O33" s="20">
        <v>13.38</v>
      </c>
      <c r="P33" s="18">
        <v>1</v>
      </c>
      <c r="Q33" s="18" t="s">
        <v>57</v>
      </c>
      <c r="R33" s="18" t="s">
        <v>96</v>
      </c>
      <c r="S33" s="21">
        <v>0.38</v>
      </c>
      <c r="T33" s="18" t="s">
        <v>97</v>
      </c>
      <c r="U33" s="20">
        <v>5.08</v>
      </c>
      <c r="V33" s="18" t="s">
        <v>431</v>
      </c>
    </row>
    <row r="34" spans="1:49" s="18" customFormat="1" x14ac:dyDescent="0.25">
      <c r="A34" s="18">
        <v>2031001701</v>
      </c>
      <c r="B34" s="18" t="s">
        <v>667</v>
      </c>
      <c r="C34" s="18" t="s">
        <v>666</v>
      </c>
      <c r="D34" s="18" t="str">
        <f>CONCATENATE(C34, " ",B34)</f>
        <v>KENTAVIUS CLAYTON</v>
      </c>
      <c r="E34" s="18" t="s">
        <v>77</v>
      </c>
      <c r="F34" s="18" t="s">
        <v>441</v>
      </c>
      <c r="G34" s="18" t="s">
        <v>445</v>
      </c>
      <c r="H34" s="18">
        <v>18781057</v>
      </c>
      <c r="I34" s="18" t="s">
        <v>84</v>
      </c>
      <c r="J34" s="18" t="s">
        <v>85</v>
      </c>
      <c r="K34" s="18" t="s">
        <v>1089</v>
      </c>
      <c r="L34" s="18" t="s">
        <v>56</v>
      </c>
      <c r="M34" s="19">
        <v>45931</v>
      </c>
      <c r="N34" s="19">
        <v>45962</v>
      </c>
      <c r="O34" s="20">
        <v>21.71</v>
      </c>
      <c r="P34" s="18">
        <v>1</v>
      </c>
      <c r="Q34" s="18" t="s">
        <v>57</v>
      </c>
      <c r="R34" s="18" t="s">
        <v>96</v>
      </c>
      <c r="S34" s="21">
        <v>0.7</v>
      </c>
      <c r="T34" s="18" t="s">
        <v>97</v>
      </c>
      <c r="U34" s="20">
        <v>15.2</v>
      </c>
      <c r="V34" s="18" t="s">
        <v>445</v>
      </c>
    </row>
    <row r="35" spans="1:49" s="18" customFormat="1" x14ac:dyDescent="0.25">
      <c r="A35" s="18">
        <v>2031001699</v>
      </c>
      <c r="B35" s="18" t="s">
        <v>667</v>
      </c>
      <c r="C35" s="18" t="s">
        <v>666</v>
      </c>
      <c r="D35" s="18" t="str">
        <f>CONCATENATE(C35, " ",B35)</f>
        <v>KENTAVIUS CLAYTON</v>
      </c>
      <c r="E35" s="18" t="s">
        <v>77</v>
      </c>
      <c r="F35" s="18" t="s">
        <v>306</v>
      </c>
      <c r="G35" s="18" t="s">
        <v>307</v>
      </c>
      <c r="H35" s="18">
        <v>18781057</v>
      </c>
      <c r="I35" s="18" t="s">
        <v>84</v>
      </c>
      <c r="J35" s="18" t="s">
        <v>85</v>
      </c>
      <c r="K35" s="18" t="s">
        <v>1089</v>
      </c>
      <c r="L35" s="18" t="s">
        <v>56</v>
      </c>
      <c r="M35" s="19">
        <v>45931</v>
      </c>
      <c r="N35" s="19">
        <v>45962</v>
      </c>
      <c r="O35" s="20">
        <v>25.07</v>
      </c>
      <c r="P35" s="18">
        <v>1</v>
      </c>
      <c r="Q35" s="18" t="s">
        <v>57</v>
      </c>
      <c r="R35" s="18" t="s">
        <v>96</v>
      </c>
      <c r="S35" s="22">
        <v>0.375</v>
      </c>
      <c r="T35" s="18" t="s">
        <v>97</v>
      </c>
      <c r="U35" s="20">
        <v>9.4</v>
      </c>
      <c r="V35" s="18" t="s">
        <v>307</v>
      </c>
    </row>
    <row r="36" spans="1:49" s="18" customFormat="1" x14ac:dyDescent="0.25">
      <c r="A36" s="18">
        <v>2030937253</v>
      </c>
      <c r="B36" s="18" t="s">
        <v>767</v>
      </c>
      <c r="C36" s="18" t="s">
        <v>163</v>
      </c>
      <c r="D36" s="18" t="str">
        <f>CONCATENATE(C36, " ",B36)</f>
        <v>JORDAN WHITNEY</v>
      </c>
      <c r="E36" s="18" t="s">
        <v>51</v>
      </c>
      <c r="F36" s="18" t="s">
        <v>430</v>
      </c>
      <c r="G36" s="18" t="s">
        <v>88</v>
      </c>
      <c r="H36" s="18">
        <v>18781057</v>
      </c>
      <c r="I36" s="18" t="s">
        <v>84</v>
      </c>
      <c r="J36" s="18" t="s">
        <v>85</v>
      </c>
      <c r="K36" s="18" t="s">
        <v>1089</v>
      </c>
      <c r="L36" s="18" t="s">
        <v>56</v>
      </c>
      <c r="M36" s="19">
        <v>45909</v>
      </c>
      <c r="N36" s="19">
        <v>45939</v>
      </c>
      <c r="O36" s="20">
        <v>41.81</v>
      </c>
      <c r="P36" s="18">
        <v>1</v>
      </c>
      <c r="Q36" s="18" t="s">
        <v>57</v>
      </c>
      <c r="R36" s="18" t="s">
        <v>96</v>
      </c>
      <c r="S36" s="21">
        <v>0.6</v>
      </c>
      <c r="T36" s="18" t="s">
        <v>97</v>
      </c>
      <c r="U36" s="20">
        <v>25.09</v>
      </c>
      <c r="V36" s="18" t="s">
        <v>88</v>
      </c>
    </row>
    <row r="37" spans="1:49" s="18" customFormat="1" x14ac:dyDescent="0.25">
      <c r="A37" s="18">
        <v>2030941928</v>
      </c>
      <c r="B37" s="18" t="s">
        <v>766</v>
      </c>
      <c r="C37" s="18" t="s">
        <v>765</v>
      </c>
      <c r="D37" s="18" t="str">
        <f>CONCATENATE(C37, " ",B37)</f>
        <v>KELBY MURPHREE</v>
      </c>
      <c r="E37" s="18" t="s">
        <v>83</v>
      </c>
      <c r="F37" s="18" t="s">
        <v>52</v>
      </c>
      <c r="G37" s="18" t="s">
        <v>53</v>
      </c>
      <c r="H37" s="18">
        <v>18781057</v>
      </c>
      <c r="I37" s="18" t="s">
        <v>84</v>
      </c>
      <c r="J37" s="18" t="s">
        <v>85</v>
      </c>
      <c r="K37" s="18" t="s">
        <v>1089</v>
      </c>
      <c r="L37" s="18" t="s">
        <v>56</v>
      </c>
      <c r="M37" s="19">
        <v>45909</v>
      </c>
      <c r="N37" s="19">
        <v>45939</v>
      </c>
      <c r="O37" s="20">
        <v>56.69</v>
      </c>
      <c r="P37" s="18">
        <v>1</v>
      </c>
      <c r="Q37" s="18" t="s">
        <v>57</v>
      </c>
      <c r="R37" s="18" t="s">
        <v>96</v>
      </c>
      <c r="S37" s="21">
        <v>0.6</v>
      </c>
      <c r="T37" s="18" t="s">
        <v>97</v>
      </c>
      <c r="U37" s="20">
        <v>34.01</v>
      </c>
      <c r="V37" s="18" t="s">
        <v>53</v>
      </c>
    </row>
    <row r="38" spans="1:49" s="18" customFormat="1" x14ac:dyDescent="0.25">
      <c r="A38" s="23">
        <v>2031089440</v>
      </c>
      <c r="B38" s="23" t="s">
        <v>426</v>
      </c>
      <c r="C38" s="23" t="s">
        <v>427</v>
      </c>
      <c r="D38" s="23" t="str">
        <f>CONCATENATE(C38, " ",B38)</f>
        <v>KAMELIA REDDISH</v>
      </c>
      <c r="E38" s="23" t="s">
        <v>77</v>
      </c>
      <c r="F38" s="23" t="s">
        <v>306</v>
      </c>
      <c r="G38" s="23" t="s">
        <v>307</v>
      </c>
      <c r="H38" s="23">
        <v>18598357</v>
      </c>
      <c r="I38" s="23" t="s">
        <v>64</v>
      </c>
      <c r="J38" s="23" t="s">
        <v>65</v>
      </c>
      <c r="K38" s="23" t="s">
        <v>1152</v>
      </c>
      <c r="L38" s="23" t="s">
        <v>56</v>
      </c>
      <c r="M38" s="24">
        <v>45918</v>
      </c>
      <c r="N38" s="24">
        <v>45948</v>
      </c>
      <c r="O38" s="25">
        <v>3.16</v>
      </c>
      <c r="P38" s="23">
        <v>1</v>
      </c>
      <c r="Q38" s="23" t="s">
        <v>57</v>
      </c>
      <c r="R38" s="23" t="s">
        <v>96</v>
      </c>
      <c r="S38" s="25">
        <v>3.16</v>
      </c>
      <c r="T38" s="23" t="s">
        <v>97</v>
      </c>
      <c r="U38" s="25">
        <v>3.16</v>
      </c>
      <c r="V38" s="23" t="s">
        <v>1151</v>
      </c>
      <c r="W38" s="23"/>
      <c r="X38" s="23"/>
      <c r="Y38" s="23">
        <f>33.28*9.5%</f>
        <v>3.1616</v>
      </c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</row>
    <row r="39" spans="1:49" s="18" customFormat="1" x14ac:dyDescent="0.25">
      <c r="A39" s="18">
        <v>2030730525</v>
      </c>
      <c r="B39" s="18" t="s">
        <v>232</v>
      </c>
      <c r="C39" s="18" t="s">
        <v>233</v>
      </c>
      <c r="D39" s="18" t="str">
        <f>CONCATENATE(C39, " ",B39)</f>
        <v>MINH QUANG</v>
      </c>
      <c r="E39" s="18" t="s">
        <v>214</v>
      </c>
      <c r="F39" s="18" t="s">
        <v>441</v>
      </c>
      <c r="G39" s="18" t="s">
        <v>545</v>
      </c>
      <c r="H39" s="18">
        <v>5442438</v>
      </c>
      <c r="I39" s="18" t="s">
        <v>215</v>
      </c>
      <c r="J39" s="18" t="s">
        <v>216</v>
      </c>
      <c r="K39" s="18" t="s">
        <v>1077</v>
      </c>
      <c r="L39" s="18" t="s">
        <v>56</v>
      </c>
      <c r="M39" s="19">
        <v>45920</v>
      </c>
      <c r="N39" s="19">
        <v>45950</v>
      </c>
      <c r="O39" s="20">
        <v>48</v>
      </c>
      <c r="P39" s="18">
        <v>1</v>
      </c>
      <c r="Q39" s="18" t="s">
        <v>57</v>
      </c>
      <c r="R39" s="18" t="s">
        <v>96</v>
      </c>
      <c r="S39" s="21">
        <v>0.7</v>
      </c>
      <c r="T39" s="18" t="s">
        <v>97</v>
      </c>
      <c r="U39" s="20">
        <v>33.6</v>
      </c>
      <c r="V39" s="18" t="s">
        <v>447</v>
      </c>
    </row>
    <row r="40" spans="1:49" s="18" customFormat="1" x14ac:dyDescent="0.25">
      <c r="A40" s="18">
        <v>2031072180</v>
      </c>
      <c r="B40" s="18" t="s">
        <v>235</v>
      </c>
      <c r="C40" s="18" t="s">
        <v>109</v>
      </c>
      <c r="D40" s="18" t="str">
        <f>CONCATENATE(C40, " ",B40)</f>
        <v>GREGORY ROTILI</v>
      </c>
      <c r="E40" s="18" t="s">
        <v>214</v>
      </c>
      <c r="F40" s="18" t="s">
        <v>441</v>
      </c>
      <c r="G40" s="18" t="s">
        <v>545</v>
      </c>
      <c r="H40" s="18">
        <v>5442438</v>
      </c>
      <c r="I40" s="18" t="s">
        <v>215</v>
      </c>
      <c r="J40" s="18" t="s">
        <v>216</v>
      </c>
      <c r="K40" s="18" t="s">
        <v>1077</v>
      </c>
      <c r="L40" s="18" t="s">
        <v>56</v>
      </c>
      <c r="M40" s="19">
        <v>45919</v>
      </c>
      <c r="N40" s="19">
        <v>45949</v>
      </c>
      <c r="O40" s="20">
        <v>24.61</v>
      </c>
      <c r="P40" s="18">
        <v>1</v>
      </c>
      <c r="Q40" s="18" t="s">
        <v>57</v>
      </c>
      <c r="R40" s="18" t="s">
        <v>96</v>
      </c>
      <c r="S40" s="21">
        <v>0.7</v>
      </c>
      <c r="T40" s="18" t="s">
        <v>97</v>
      </c>
      <c r="U40" s="20">
        <v>17.23</v>
      </c>
      <c r="V40" s="18" t="s">
        <v>447</v>
      </c>
    </row>
    <row r="41" spans="1:49" s="18" customFormat="1" x14ac:dyDescent="0.25">
      <c r="A41" s="18">
        <v>2030898264</v>
      </c>
      <c r="B41" s="18" t="s">
        <v>144</v>
      </c>
      <c r="C41" s="18" t="s">
        <v>111</v>
      </c>
      <c r="D41" s="18" t="str">
        <f>CONCATENATE(C41, " ",B41)</f>
        <v>AUSTIN RANDALL</v>
      </c>
      <c r="E41" s="18" t="s">
        <v>214</v>
      </c>
      <c r="F41" s="18" t="s">
        <v>441</v>
      </c>
      <c r="G41" s="18" t="s">
        <v>545</v>
      </c>
      <c r="H41" s="18">
        <v>5442438</v>
      </c>
      <c r="I41" s="18" t="s">
        <v>215</v>
      </c>
      <c r="J41" s="18" t="s">
        <v>216</v>
      </c>
      <c r="K41" s="18" t="s">
        <v>1077</v>
      </c>
      <c r="L41" s="18" t="s">
        <v>56</v>
      </c>
      <c r="M41" s="19">
        <v>45931</v>
      </c>
      <c r="N41" s="19">
        <v>45962</v>
      </c>
      <c r="O41" s="20">
        <v>24.61</v>
      </c>
      <c r="P41" s="18">
        <v>1</v>
      </c>
      <c r="Q41" s="18" t="s">
        <v>57</v>
      </c>
      <c r="R41" s="18" t="s">
        <v>96</v>
      </c>
      <c r="S41" s="21">
        <v>0.7</v>
      </c>
      <c r="T41" s="18" t="s">
        <v>97</v>
      </c>
      <c r="U41" s="20">
        <v>17.23</v>
      </c>
      <c r="V41" s="18" t="s">
        <v>447</v>
      </c>
    </row>
    <row r="42" spans="1:49" s="18" customFormat="1" x14ac:dyDescent="0.25">
      <c r="A42" s="18">
        <v>2030933672</v>
      </c>
      <c r="B42" s="18" t="s">
        <v>691</v>
      </c>
      <c r="C42" s="18" t="s">
        <v>690</v>
      </c>
      <c r="D42" s="18" t="str">
        <f>CONCATENATE(C42, " ",B42)</f>
        <v>NATALIA GORSKI</v>
      </c>
      <c r="E42" s="18" t="s">
        <v>214</v>
      </c>
      <c r="F42" s="18" t="s">
        <v>441</v>
      </c>
      <c r="G42" s="18" t="s">
        <v>545</v>
      </c>
      <c r="H42" s="18">
        <v>5442438</v>
      </c>
      <c r="I42" s="18" t="s">
        <v>215</v>
      </c>
      <c r="J42" s="18" t="s">
        <v>216</v>
      </c>
      <c r="K42" s="18" t="s">
        <v>1077</v>
      </c>
      <c r="L42" s="18" t="s">
        <v>56</v>
      </c>
      <c r="M42" s="19">
        <v>45909</v>
      </c>
      <c r="N42" s="19">
        <v>45939</v>
      </c>
      <c r="O42" s="20">
        <v>24.61</v>
      </c>
      <c r="P42" s="18">
        <v>1</v>
      </c>
      <c r="Q42" s="18" t="s">
        <v>57</v>
      </c>
      <c r="R42" s="18" t="s">
        <v>96</v>
      </c>
      <c r="S42" s="21">
        <v>0.7</v>
      </c>
      <c r="T42" s="18" t="s">
        <v>97</v>
      </c>
      <c r="U42" s="20">
        <v>17.23</v>
      </c>
      <c r="V42" s="18" t="s">
        <v>447</v>
      </c>
    </row>
    <row r="43" spans="1:49" s="18" customFormat="1" x14ac:dyDescent="0.25">
      <c r="A43" s="18">
        <v>2030994135</v>
      </c>
      <c r="B43" s="18" t="s">
        <v>668</v>
      </c>
      <c r="C43" s="18" t="s">
        <v>630</v>
      </c>
      <c r="D43" s="18" t="str">
        <f>CONCATENATE(C43, " ",B43)</f>
        <v>CHRISTOPHER SCHNEIDER</v>
      </c>
      <c r="E43" s="18" t="s">
        <v>214</v>
      </c>
      <c r="F43" s="18" t="s">
        <v>441</v>
      </c>
      <c r="G43" s="18" t="s">
        <v>545</v>
      </c>
      <c r="H43" s="18">
        <v>5442438</v>
      </c>
      <c r="I43" s="18" t="s">
        <v>215</v>
      </c>
      <c r="J43" s="18" t="s">
        <v>216</v>
      </c>
      <c r="K43" s="18" t="s">
        <v>1077</v>
      </c>
      <c r="L43" s="18" t="s">
        <v>56</v>
      </c>
      <c r="M43" s="19">
        <v>45931</v>
      </c>
      <c r="N43" s="19">
        <v>45962</v>
      </c>
      <c r="O43" s="20">
        <v>24.61</v>
      </c>
      <c r="P43" s="18">
        <v>1</v>
      </c>
      <c r="Q43" s="18" t="s">
        <v>57</v>
      </c>
      <c r="R43" s="18" t="s">
        <v>96</v>
      </c>
      <c r="S43" s="21">
        <v>0.7</v>
      </c>
      <c r="T43" s="18" t="s">
        <v>97</v>
      </c>
      <c r="U43" s="20">
        <v>17.23</v>
      </c>
      <c r="V43" s="18" t="s">
        <v>447</v>
      </c>
    </row>
    <row r="44" spans="1:49" s="18" customFormat="1" x14ac:dyDescent="0.25">
      <c r="A44" s="18">
        <v>2031005188</v>
      </c>
      <c r="B44" s="18" t="s">
        <v>665</v>
      </c>
      <c r="C44" s="18" t="s">
        <v>664</v>
      </c>
      <c r="D44" s="18" t="str">
        <f>CONCATENATE(C44, " ",B44)</f>
        <v>VICTORIA SADLER</v>
      </c>
      <c r="E44" s="18" t="s">
        <v>214</v>
      </c>
      <c r="F44" s="18" t="s">
        <v>441</v>
      </c>
      <c r="G44" s="18" t="s">
        <v>545</v>
      </c>
      <c r="H44" s="18">
        <v>5442438</v>
      </c>
      <c r="I44" s="18" t="s">
        <v>215</v>
      </c>
      <c r="J44" s="18" t="s">
        <v>216</v>
      </c>
      <c r="K44" s="18" t="s">
        <v>1077</v>
      </c>
      <c r="L44" s="18" t="s">
        <v>56</v>
      </c>
      <c r="M44" s="19">
        <v>45931</v>
      </c>
      <c r="N44" s="19">
        <v>45962</v>
      </c>
      <c r="O44" s="20">
        <v>24.61</v>
      </c>
      <c r="P44" s="18">
        <v>1</v>
      </c>
      <c r="Q44" s="18" t="s">
        <v>57</v>
      </c>
      <c r="R44" s="18" t="s">
        <v>96</v>
      </c>
      <c r="S44" s="21">
        <v>0.7</v>
      </c>
      <c r="T44" s="18" t="s">
        <v>97</v>
      </c>
      <c r="U44" s="20">
        <v>17.23</v>
      </c>
      <c r="V44" s="18" t="s">
        <v>447</v>
      </c>
    </row>
    <row r="45" spans="1:49" s="18" customFormat="1" x14ac:dyDescent="0.25">
      <c r="A45" s="18">
        <v>2030730526</v>
      </c>
      <c r="B45" s="18" t="s">
        <v>232</v>
      </c>
      <c r="C45" s="18" t="s">
        <v>233</v>
      </c>
      <c r="D45" s="18" t="str">
        <f>CONCATENATE(C45, " ",B45)</f>
        <v>MINH QUANG</v>
      </c>
      <c r="E45" s="18" t="s">
        <v>214</v>
      </c>
      <c r="F45" s="18" t="s">
        <v>106</v>
      </c>
      <c r="G45" s="18" t="s">
        <v>107</v>
      </c>
      <c r="H45" s="18">
        <v>5442438</v>
      </c>
      <c r="I45" s="18" t="s">
        <v>215</v>
      </c>
      <c r="J45" s="18" t="s">
        <v>216</v>
      </c>
      <c r="K45" s="18" t="s">
        <v>1077</v>
      </c>
      <c r="L45" s="18" t="s">
        <v>56</v>
      </c>
      <c r="M45" s="19">
        <v>45920</v>
      </c>
      <c r="N45" s="19">
        <v>45950</v>
      </c>
      <c r="O45" s="20">
        <v>146.29</v>
      </c>
      <c r="P45" s="18">
        <v>1</v>
      </c>
      <c r="Q45" s="18" t="s">
        <v>57</v>
      </c>
      <c r="R45" s="18" t="s">
        <v>96</v>
      </c>
      <c r="S45" s="21">
        <v>0.9</v>
      </c>
      <c r="T45" s="18" t="s">
        <v>97</v>
      </c>
      <c r="U45" s="20">
        <v>131.66</v>
      </c>
      <c r="V45" s="18" t="s">
        <v>1142</v>
      </c>
    </row>
    <row r="46" spans="1:49" s="18" customFormat="1" x14ac:dyDescent="0.25">
      <c r="A46" s="18">
        <v>2031072181</v>
      </c>
      <c r="B46" s="18" t="s">
        <v>235</v>
      </c>
      <c r="C46" s="18" t="s">
        <v>109</v>
      </c>
      <c r="D46" s="18" t="str">
        <f>CONCATENATE(C46, " ",B46)</f>
        <v>GREGORY ROTILI</v>
      </c>
      <c r="E46" s="18" t="s">
        <v>214</v>
      </c>
      <c r="F46" s="18" t="s">
        <v>106</v>
      </c>
      <c r="G46" s="18" t="s">
        <v>107</v>
      </c>
      <c r="H46" s="18">
        <v>5442438</v>
      </c>
      <c r="I46" s="18" t="s">
        <v>215</v>
      </c>
      <c r="J46" s="18" t="s">
        <v>216</v>
      </c>
      <c r="K46" s="18" t="s">
        <v>1077</v>
      </c>
      <c r="L46" s="18" t="s">
        <v>56</v>
      </c>
      <c r="M46" s="19">
        <v>45919</v>
      </c>
      <c r="N46" s="19">
        <v>45949</v>
      </c>
      <c r="O46" s="20">
        <v>31.71</v>
      </c>
      <c r="P46" s="18">
        <v>1</v>
      </c>
      <c r="Q46" s="18" t="s">
        <v>57</v>
      </c>
      <c r="R46" s="18" t="s">
        <v>96</v>
      </c>
      <c r="S46" s="21">
        <v>0.9</v>
      </c>
      <c r="T46" s="18" t="s">
        <v>97</v>
      </c>
      <c r="U46" s="20">
        <v>28.54</v>
      </c>
      <c r="V46" s="18" t="s">
        <v>1142</v>
      </c>
    </row>
    <row r="47" spans="1:49" s="18" customFormat="1" x14ac:dyDescent="0.25">
      <c r="A47" s="18">
        <v>2030898265</v>
      </c>
      <c r="B47" s="18" t="s">
        <v>144</v>
      </c>
      <c r="C47" s="18" t="s">
        <v>111</v>
      </c>
      <c r="D47" s="18" t="str">
        <f>CONCATENATE(C47, " ",B47)</f>
        <v>AUSTIN RANDALL</v>
      </c>
      <c r="E47" s="18" t="s">
        <v>214</v>
      </c>
      <c r="F47" s="18" t="s">
        <v>106</v>
      </c>
      <c r="G47" s="18" t="s">
        <v>107</v>
      </c>
      <c r="H47" s="18">
        <v>5442438</v>
      </c>
      <c r="I47" s="18" t="s">
        <v>215</v>
      </c>
      <c r="J47" s="18" t="s">
        <v>216</v>
      </c>
      <c r="K47" s="18" t="s">
        <v>1077</v>
      </c>
      <c r="L47" s="18" t="s">
        <v>56</v>
      </c>
      <c r="M47" s="19">
        <v>45931</v>
      </c>
      <c r="N47" s="19">
        <v>45962</v>
      </c>
      <c r="O47" s="20">
        <v>78.88</v>
      </c>
      <c r="P47" s="18">
        <v>1</v>
      </c>
      <c r="Q47" s="18" t="s">
        <v>57</v>
      </c>
      <c r="R47" s="18" t="s">
        <v>96</v>
      </c>
      <c r="S47" s="21">
        <v>0.9</v>
      </c>
      <c r="T47" s="18" t="s">
        <v>97</v>
      </c>
      <c r="U47" s="20">
        <v>70.989999999999995</v>
      </c>
      <c r="V47" s="18" t="s">
        <v>1142</v>
      </c>
    </row>
    <row r="48" spans="1:49" s="18" customFormat="1" x14ac:dyDescent="0.25">
      <c r="A48" s="18">
        <v>2030933673</v>
      </c>
      <c r="B48" s="18" t="s">
        <v>691</v>
      </c>
      <c r="C48" s="18" t="s">
        <v>690</v>
      </c>
      <c r="D48" s="18" t="str">
        <f>CONCATENATE(C48, " ",B48)</f>
        <v>NATALIA GORSKI</v>
      </c>
      <c r="E48" s="18" t="s">
        <v>214</v>
      </c>
      <c r="F48" s="18" t="s">
        <v>106</v>
      </c>
      <c r="G48" s="18" t="s">
        <v>107</v>
      </c>
      <c r="H48" s="18">
        <v>5442438</v>
      </c>
      <c r="I48" s="18" t="s">
        <v>215</v>
      </c>
      <c r="J48" s="18" t="s">
        <v>216</v>
      </c>
      <c r="K48" s="18" t="s">
        <v>1077</v>
      </c>
      <c r="L48" s="18" t="s">
        <v>56</v>
      </c>
      <c r="M48" s="19">
        <v>45909</v>
      </c>
      <c r="N48" s="19">
        <v>45939</v>
      </c>
      <c r="O48" s="20">
        <v>76.5</v>
      </c>
      <c r="P48" s="18">
        <v>1</v>
      </c>
      <c r="Q48" s="18" t="s">
        <v>57</v>
      </c>
      <c r="R48" s="18" t="s">
        <v>96</v>
      </c>
      <c r="S48" s="21">
        <v>0.9</v>
      </c>
      <c r="T48" s="18" t="s">
        <v>97</v>
      </c>
      <c r="U48" s="20">
        <v>68.849999999999994</v>
      </c>
      <c r="V48" s="18" t="s">
        <v>1142</v>
      </c>
    </row>
    <row r="49" spans="1:49" s="18" customFormat="1" x14ac:dyDescent="0.25">
      <c r="A49" s="18">
        <v>2030987633</v>
      </c>
      <c r="B49" s="18" t="s">
        <v>640</v>
      </c>
      <c r="C49" s="18" t="s">
        <v>171</v>
      </c>
      <c r="D49" s="18" t="str">
        <f>CONCATENATE(C49, " ",B49)</f>
        <v>JACOB NAILL</v>
      </c>
      <c r="E49" s="18" t="s">
        <v>134</v>
      </c>
      <c r="F49" s="18" t="s">
        <v>106</v>
      </c>
      <c r="G49" s="18" t="s">
        <v>107</v>
      </c>
      <c r="H49" s="18">
        <v>5442438</v>
      </c>
      <c r="I49" s="18" t="s">
        <v>215</v>
      </c>
      <c r="J49" s="18" t="s">
        <v>216</v>
      </c>
      <c r="K49" s="18" t="s">
        <v>1077</v>
      </c>
      <c r="L49" s="18" t="s">
        <v>56</v>
      </c>
      <c r="M49" s="19">
        <v>45931</v>
      </c>
      <c r="N49" s="19">
        <v>45962</v>
      </c>
      <c r="O49" s="20">
        <v>16.579999999999998</v>
      </c>
      <c r="P49" s="18">
        <v>1</v>
      </c>
      <c r="Q49" s="18" t="s">
        <v>57</v>
      </c>
      <c r="R49" s="18" t="s">
        <v>96</v>
      </c>
      <c r="S49" s="21">
        <v>0.9</v>
      </c>
      <c r="T49" s="18" t="s">
        <v>97</v>
      </c>
      <c r="U49" s="20">
        <v>14.92</v>
      </c>
      <c r="V49" s="18" t="s">
        <v>1142</v>
      </c>
    </row>
    <row r="50" spans="1:49" s="18" customFormat="1" x14ac:dyDescent="0.25">
      <c r="A50" s="18">
        <v>2030994136</v>
      </c>
      <c r="B50" s="18" t="s">
        <v>668</v>
      </c>
      <c r="C50" s="18" t="s">
        <v>630</v>
      </c>
      <c r="D50" s="18" t="str">
        <f>CONCATENATE(C50, " ",B50)</f>
        <v>CHRISTOPHER SCHNEIDER</v>
      </c>
      <c r="E50" s="18" t="s">
        <v>214</v>
      </c>
      <c r="F50" s="18" t="s">
        <v>106</v>
      </c>
      <c r="G50" s="18" t="s">
        <v>107</v>
      </c>
      <c r="H50" s="18">
        <v>5442438</v>
      </c>
      <c r="I50" s="18" t="s">
        <v>215</v>
      </c>
      <c r="J50" s="18" t="s">
        <v>216</v>
      </c>
      <c r="K50" s="18" t="s">
        <v>1077</v>
      </c>
      <c r="L50" s="18" t="s">
        <v>56</v>
      </c>
      <c r="M50" s="19">
        <v>45931</v>
      </c>
      <c r="N50" s="19">
        <v>45962</v>
      </c>
      <c r="O50" s="20">
        <v>106.25</v>
      </c>
      <c r="P50" s="18">
        <v>1</v>
      </c>
      <c r="Q50" s="18" t="s">
        <v>57</v>
      </c>
      <c r="R50" s="18" t="s">
        <v>96</v>
      </c>
      <c r="S50" s="21">
        <v>0.9</v>
      </c>
      <c r="T50" s="18" t="s">
        <v>97</v>
      </c>
      <c r="U50" s="20">
        <v>95.62</v>
      </c>
      <c r="V50" s="18" t="s">
        <v>1142</v>
      </c>
    </row>
    <row r="51" spans="1:49" s="18" customFormat="1" x14ac:dyDescent="0.25">
      <c r="A51" s="18">
        <v>2030898263</v>
      </c>
      <c r="B51" s="18" t="s">
        <v>144</v>
      </c>
      <c r="C51" s="18" t="s">
        <v>111</v>
      </c>
      <c r="D51" s="18" t="str">
        <f>CONCATENATE(C51, " ",B51)</f>
        <v>AUSTIN RANDALL</v>
      </c>
      <c r="E51" s="18" t="s">
        <v>214</v>
      </c>
      <c r="F51" s="18" t="s">
        <v>441</v>
      </c>
      <c r="G51" s="18" t="s">
        <v>451</v>
      </c>
      <c r="H51" s="18">
        <v>5442438</v>
      </c>
      <c r="I51" s="18" t="s">
        <v>215</v>
      </c>
      <c r="J51" s="18" t="s">
        <v>216</v>
      </c>
      <c r="K51" s="18" t="s">
        <v>1077</v>
      </c>
      <c r="L51" s="18" t="s">
        <v>56</v>
      </c>
      <c r="M51" s="19">
        <v>45931</v>
      </c>
      <c r="N51" s="19">
        <v>45962</v>
      </c>
      <c r="O51" s="20">
        <v>32.81</v>
      </c>
      <c r="P51" s="18">
        <v>1</v>
      </c>
      <c r="Q51" s="18" t="s">
        <v>57</v>
      </c>
      <c r="R51" s="18" t="s">
        <v>96</v>
      </c>
      <c r="S51" s="21">
        <v>0.42</v>
      </c>
      <c r="T51" s="18" t="s">
        <v>97</v>
      </c>
      <c r="U51" s="20">
        <v>13.78</v>
      </c>
      <c r="V51" s="18" t="s">
        <v>451</v>
      </c>
    </row>
    <row r="52" spans="1:49" s="18" customFormat="1" x14ac:dyDescent="0.25">
      <c r="A52" s="18">
        <v>2030933671</v>
      </c>
      <c r="B52" s="18" t="s">
        <v>691</v>
      </c>
      <c r="C52" s="18" t="s">
        <v>690</v>
      </c>
      <c r="D52" s="18" t="str">
        <f>CONCATENATE(C52, " ",B52)</f>
        <v>NATALIA GORSKI</v>
      </c>
      <c r="E52" s="18" t="s">
        <v>214</v>
      </c>
      <c r="F52" s="18" t="s">
        <v>441</v>
      </c>
      <c r="G52" s="18" t="s">
        <v>451</v>
      </c>
      <c r="H52" s="18">
        <v>5442438</v>
      </c>
      <c r="I52" s="18" t="s">
        <v>215</v>
      </c>
      <c r="J52" s="18" t="s">
        <v>216</v>
      </c>
      <c r="K52" s="18" t="s">
        <v>1077</v>
      </c>
      <c r="L52" s="18" t="s">
        <v>56</v>
      </c>
      <c r="M52" s="19">
        <v>45909</v>
      </c>
      <c r="N52" s="19">
        <v>45939</v>
      </c>
      <c r="O52" s="20">
        <v>27.8</v>
      </c>
      <c r="P52" s="18">
        <v>1</v>
      </c>
      <c r="Q52" s="18" t="s">
        <v>57</v>
      </c>
      <c r="R52" s="18" t="s">
        <v>96</v>
      </c>
      <c r="S52" s="21">
        <v>0.42</v>
      </c>
      <c r="T52" s="18" t="s">
        <v>97</v>
      </c>
      <c r="U52" s="20">
        <v>11.68</v>
      </c>
      <c r="V52" s="18" t="s">
        <v>451</v>
      </c>
    </row>
    <row r="53" spans="1:49" s="18" customFormat="1" x14ac:dyDescent="0.25">
      <c r="A53" s="18">
        <v>2030987631</v>
      </c>
      <c r="B53" s="18" t="s">
        <v>640</v>
      </c>
      <c r="C53" s="18" t="s">
        <v>171</v>
      </c>
      <c r="D53" s="18" t="str">
        <f>CONCATENATE(C53, " ",B53)</f>
        <v>JACOB NAILL</v>
      </c>
      <c r="E53" s="18" t="s">
        <v>134</v>
      </c>
      <c r="F53" s="18" t="s">
        <v>441</v>
      </c>
      <c r="G53" s="18" t="s">
        <v>451</v>
      </c>
      <c r="H53" s="18">
        <v>5442438</v>
      </c>
      <c r="I53" s="18" t="s">
        <v>215</v>
      </c>
      <c r="J53" s="18" t="s">
        <v>216</v>
      </c>
      <c r="K53" s="18" t="s">
        <v>1077</v>
      </c>
      <c r="L53" s="18" t="s">
        <v>56</v>
      </c>
      <c r="M53" s="19">
        <v>45931</v>
      </c>
      <c r="N53" s="19">
        <v>45962</v>
      </c>
      <c r="O53" s="20">
        <v>15.5</v>
      </c>
      <c r="P53" s="18">
        <v>1</v>
      </c>
      <c r="Q53" s="18" t="s">
        <v>57</v>
      </c>
      <c r="R53" s="18" t="s">
        <v>96</v>
      </c>
      <c r="S53" s="21">
        <v>0.42</v>
      </c>
      <c r="T53" s="18" t="s">
        <v>97</v>
      </c>
      <c r="U53" s="20">
        <v>6.51</v>
      </c>
      <c r="V53" s="18" t="s">
        <v>451</v>
      </c>
    </row>
    <row r="54" spans="1:49" s="18" customFormat="1" x14ac:dyDescent="0.25">
      <c r="A54" s="18">
        <v>2030987634</v>
      </c>
      <c r="B54" s="18" t="s">
        <v>640</v>
      </c>
      <c r="C54" s="18" t="s">
        <v>171</v>
      </c>
      <c r="D54" s="18" t="str">
        <f>CONCATENATE(C54, " ",B54)</f>
        <v>JACOB NAILL</v>
      </c>
      <c r="E54" s="18" t="s">
        <v>134</v>
      </c>
      <c r="F54" s="18" t="s">
        <v>243</v>
      </c>
      <c r="G54" s="18" t="s">
        <v>1054</v>
      </c>
      <c r="H54" s="18">
        <v>5442438</v>
      </c>
      <c r="I54" s="18" t="s">
        <v>215</v>
      </c>
      <c r="J54" s="18" t="s">
        <v>216</v>
      </c>
      <c r="K54" s="18" t="s">
        <v>1077</v>
      </c>
      <c r="L54" s="18" t="s">
        <v>56</v>
      </c>
      <c r="M54" s="19">
        <v>45931</v>
      </c>
      <c r="N54" s="19">
        <v>45962</v>
      </c>
      <c r="O54" s="20">
        <v>15</v>
      </c>
      <c r="P54" s="18">
        <v>1</v>
      </c>
      <c r="Q54" s="18" t="s">
        <v>57</v>
      </c>
      <c r="R54" s="18" t="s">
        <v>636</v>
      </c>
      <c r="S54" s="21">
        <v>0.27</v>
      </c>
      <c r="T54" s="18" t="s">
        <v>97</v>
      </c>
      <c r="U54" s="20">
        <v>4.05</v>
      </c>
      <c r="V54" s="18" t="s">
        <v>1153</v>
      </c>
    </row>
    <row r="55" spans="1:49" s="23" customFormat="1" x14ac:dyDescent="0.25">
      <c r="A55" s="18">
        <v>2030933674</v>
      </c>
      <c r="B55" s="18" t="s">
        <v>691</v>
      </c>
      <c r="C55" s="18" t="s">
        <v>690</v>
      </c>
      <c r="D55" s="18" t="str">
        <f>CONCATENATE(C55, " ",B55)</f>
        <v>NATALIA GORSKI</v>
      </c>
      <c r="E55" s="18" t="s">
        <v>214</v>
      </c>
      <c r="F55" s="18" t="s">
        <v>243</v>
      </c>
      <c r="G55" s="18" t="s">
        <v>1055</v>
      </c>
      <c r="H55" s="18">
        <v>5442438</v>
      </c>
      <c r="I55" s="18" t="s">
        <v>215</v>
      </c>
      <c r="J55" s="18" t="s">
        <v>216</v>
      </c>
      <c r="K55" s="18" t="s">
        <v>1077</v>
      </c>
      <c r="L55" s="18" t="s">
        <v>56</v>
      </c>
      <c r="M55" s="19">
        <v>45909</v>
      </c>
      <c r="N55" s="19">
        <v>45939</v>
      </c>
      <c r="O55" s="20">
        <v>19.5</v>
      </c>
      <c r="P55" s="18">
        <v>1</v>
      </c>
      <c r="Q55" s="18" t="s">
        <v>57</v>
      </c>
      <c r="R55" s="18" t="s">
        <v>96</v>
      </c>
      <c r="S55" s="21">
        <v>0.39</v>
      </c>
      <c r="T55" s="18" t="s">
        <v>97</v>
      </c>
      <c r="U55" s="20">
        <v>7.6</v>
      </c>
      <c r="V55" s="18" t="s">
        <v>1154</v>
      </c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</row>
    <row r="56" spans="1:49" s="18" customFormat="1" x14ac:dyDescent="0.25">
      <c r="A56" s="18">
        <v>2030987630</v>
      </c>
      <c r="B56" s="18" t="s">
        <v>640</v>
      </c>
      <c r="C56" s="18" t="s">
        <v>171</v>
      </c>
      <c r="D56" s="18" t="str">
        <f>CONCATENATE(C56, " ",B56)</f>
        <v>JACOB NAILL</v>
      </c>
      <c r="E56" s="18" t="s">
        <v>134</v>
      </c>
      <c r="F56" s="18" t="s">
        <v>569</v>
      </c>
      <c r="G56" s="18" t="s">
        <v>637</v>
      </c>
      <c r="H56" s="18">
        <v>5442438</v>
      </c>
      <c r="I56" s="18" t="s">
        <v>215</v>
      </c>
      <c r="J56" s="18" t="s">
        <v>216</v>
      </c>
      <c r="K56" s="18" t="s">
        <v>1077</v>
      </c>
      <c r="L56" s="18" t="s">
        <v>56</v>
      </c>
      <c r="M56" s="19">
        <v>45931</v>
      </c>
      <c r="N56" s="19">
        <v>45962</v>
      </c>
      <c r="O56" s="20">
        <v>140.85</v>
      </c>
      <c r="P56" s="18">
        <v>1</v>
      </c>
      <c r="Q56" s="18" t="s">
        <v>57</v>
      </c>
      <c r="R56" s="18" t="s">
        <v>636</v>
      </c>
      <c r="S56" s="21">
        <v>0.27</v>
      </c>
      <c r="T56" s="18" t="s">
        <v>97</v>
      </c>
      <c r="U56" s="20">
        <v>38.03</v>
      </c>
      <c r="V56" s="18" t="s">
        <v>1153</v>
      </c>
    </row>
    <row r="57" spans="1:49" s="18" customFormat="1" x14ac:dyDescent="0.25">
      <c r="A57" s="18">
        <v>2030987632</v>
      </c>
      <c r="B57" s="18" t="s">
        <v>640</v>
      </c>
      <c r="C57" s="18" t="s">
        <v>171</v>
      </c>
      <c r="D57" s="18" t="str">
        <f>CONCATENATE(C57, " ",B57)</f>
        <v>JACOB NAILL</v>
      </c>
      <c r="E57" s="18" t="s">
        <v>134</v>
      </c>
      <c r="F57" s="18" t="s">
        <v>441</v>
      </c>
      <c r="G57" s="18" t="s">
        <v>445</v>
      </c>
      <c r="H57" s="18">
        <v>5442438</v>
      </c>
      <c r="I57" s="18" t="s">
        <v>215</v>
      </c>
      <c r="J57" s="18" t="s">
        <v>216</v>
      </c>
      <c r="K57" s="18" t="s">
        <v>1077</v>
      </c>
      <c r="L57" s="18" t="s">
        <v>56</v>
      </c>
      <c r="M57" s="19">
        <v>45931</v>
      </c>
      <c r="N57" s="19">
        <v>45962</v>
      </c>
      <c r="O57" s="20">
        <v>26.67</v>
      </c>
      <c r="P57" s="18">
        <v>1</v>
      </c>
      <c r="Q57" s="18" t="s">
        <v>57</v>
      </c>
      <c r="R57" s="18" t="s">
        <v>96</v>
      </c>
      <c r="S57" s="21">
        <v>0.7</v>
      </c>
      <c r="T57" s="18" t="s">
        <v>97</v>
      </c>
      <c r="U57" s="20">
        <v>18.670000000000002</v>
      </c>
      <c r="V57" s="18" t="s">
        <v>445</v>
      </c>
    </row>
    <row r="58" spans="1:49" s="18" customFormat="1" x14ac:dyDescent="0.25">
      <c r="A58" s="18">
        <v>2031005189</v>
      </c>
      <c r="B58" s="18" t="s">
        <v>665</v>
      </c>
      <c r="C58" s="18" t="s">
        <v>664</v>
      </c>
      <c r="D58" s="18" t="str">
        <f>CONCATENATE(C58, " ",B58)</f>
        <v>VICTORIA SADLER</v>
      </c>
      <c r="E58" s="18" t="s">
        <v>214</v>
      </c>
      <c r="F58" s="18" t="s">
        <v>441</v>
      </c>
      <c r="G58" s="18" t="s">
        <v>442</v>
      </c>
      <c r="H58" s="18">
        <v>5442438</v>
      </c>
      <c r="I58" s="18" t="s">
        <v>215</v>
      </c>
      <c r="J58" s="18" t="s">
        <v>216</v>
      </c>
      <c r="K58" s="18" t="s">
        <v>1077</v>
      </c>
      <c r="L58" s="18" t="s">
        <v>56</v>
      </c>
      <c r="M58" s="19">
        <v>45931</v>
      </c>
      <c r="N58" s="19">
        <v>45962</v>
      </c>
      <c r="O58" s="20">
        <v>27.81</v>
      </c>
      <c r="P58" s="18">
        <v>1</v>
      </c>
      <c r="Q58" s="18" t="s">
        <v>57</v>
      </c>
      <c r="R58" s="18" t="s">
        <v>96</v>
      </c>
      <c r="S58" s="21">
        <v>0.9</v>
      </c>
      <c r="T58" s="18" t="s">
        <v>97</v>
      </c>
      <c r="U58" s="20">
        <v>25.03</v>
      </c>
      <c r="V58" s="18" t="s">
        <v>442</v>
      </c>
    </row>
    <row r="59" spans="1:49" s="18" customFormat="1" x14ac:dyDescent="0.25">
      <c r="A59" s="18">
        <v>2031077856</v>
      </c>
      <c r="B59" s="18" t="s">
        <v>236</v>
      </c>
      <c r="C59" s="18" t="s">
        <v>150</v>
      </c>
      <c r="D59" s="18" t="str">
        <f>CONCATENATE(C59, " ",B59)</f>
        <v>MARK GALLIMORE</v>
      </c>
      <c r="E59" s="18" t="s">
        <v>151</v>
      </c>
      <c r="F59" s="18" t="s">
        <v>106</v>
      </c>
      <c r="G59" s="18" t="s">
        <v>184</v>
      </c>
      <c r="H59" s="18">
        <v>8977234</v>
      </c>
      <c r="I59" s="18" t="s">
        <v>152</v>
      </c>
      <c r="J59" s="18" t="s">
        <v>153</v>
      </c>
      <c r="K59" s="18" t="s">
        <v>1078</v>
      </c>
      <c r="L59" s="18" t="s">
        <v>56</v>
      </c>
      <c r="M59" s="19">
        <v>45931</v>
      </c>
      <c r="N59" s="19">
        <v>45962</v>
      </c>
      <c r="O59" s="20">
        <v>62.81</v>
      </c>
      <c r="P59" s="18">
        <v>1</v>
      </c>
      <c r="Q59" s="18" t="s">
        <v>57</v>
      </c>
      <c r="R59" s="18" t="s">
        <v>96</v>
      </c>
      <c r="S59" s="21">
        <v>0.75</v>
      </c>
      <c r="T59" s="18" t="s">
        <v>97</v>
      </c>
      <c r="U59" s="20">
        <v>47.11</v>
      </c>
      <c r="V59" s="18" t="s">
        <v>1141</v>
      </c>
    </row>
    <row r="60" spans="1:49" s="18" customFormat="1" x14ac:dyDescent="0.25">
      <c r="A60" s="18">
        <v>2030959732</v>
      </c>
      <c r="B60" s="18" t="s">
        <v>677</v>
      </c>
      <c r="C60" s="18" t="s">
        <v>480</v>
      </c>
      <c r="D60" s="18" t="str">
        <f>CONCATENATE(C60, " ",B60)</f>
        <v>SUSAN EBANKS</v>
      </c>
      <c r="E60" s="18" t="s">
        <v>151</v>
      </c>
      <c r="F60" s="18" t="s">
        <v>106</v>
      </c>
      <c r="G60" s="18" t="s">
        <v>184</v>
      </c>
      <c r="H60" s="18">
        <v>8977234</v>
      </c>
      <c r="I60" s="18" t="s">
        <v>152</v>
      </c>
      <c r="J60" s="18" t="s">
        <v>153</v>
      </c>
      <c r="K60" s="18" t="s">
        <v>1078</v>
      </c>
      <c r="L60" s="18" t="s">
        <v>56</v>
      </c>
      <c r="M60" s="19">
        <v>45931</v>
      </c>
      <c r="N60" s="19">
        <v>45962</v>
      </c>
      <c r="O60" s="20">
        <v>53.56</v>
      </c>
      <c r="P60" s="18">
        <v>1</v>
      </c>
      <c r="Q60" s="18" t="s">
        <v>57</v>
      </c>
      <c r="R60" s="18" t="s">
        <v>96</v>
      </c>
      <c r="S60" s="21">
        <v>0.75</v>
      </c>
      <c r="T60" s="18" t="s">
        <v>97</v>
      </c>
      <c r="U60" s="20">
        <v>40.17</v>
      </c>
      <c r="V60" s="18" t="s">
        <v>1141</v>
      </c>
    </row>
    <row r="61" spans="1:49" s="18" customFormat="1" x14ac:dyDescent="0.25">
      <c r="A61" s="18">
        <v>2030963809</v>
      </c>
      <c r="B61" s="18" t="s">
        <v>675</v>
      </c>
      <c r="C61" s="18" t="s">
        <v>674</v>
      </c>
      <c r="D61" s="18" t="str">
        <f>CONCATENATE(C61, " ",B61)</f>
        <v>GLENN ALBERT</v>
      </c>
      <c r="E61" s="18" t="s">
        <v>151</v>
      </c>
      <c r="F61" s="18" t="s">
        <v>106</v>
      </c>
      <c r="G61" s="18" t="s">
        <v>184</v>
      </c>
      <c r="H61" s="18">
        <v>8977234</v>
      </c>
      <c r="I61" s="18" t="s">
        <v>152</v>
      </c>
      <c r="J61" s="18" t="s">
        <v>153</v>
      </c>
      <c r="K61" s="18" t="s">
        <v>1078</v>
      </c>
      <c r="L61" s="18" t="s">
        <v>56</v>
      </c>
      <c r="M61" s="19">
        <v>45910</v>
      </c>
      <c r="N61" s="19">
        <v>45940</v>
      </c>
      <c r="O61" s="20">
        <v>74.290000000000006</v>
      </c>
      <c r="P61" s="18">
        <v>1</v>
      </c>
      <c r="Q61" s="18" t="s">
        <v>57</v>
      </c>
      <c r="R61" s="18" t="s">
        <v>96</v>
      </c>
      <c r="S61" s="21">
        <v>0.75</v>
      </c>
      <c r="T61" s="18" t="s">
        <v>97</v>
      </c>
      <c r="U61" s="20">
        <v>55.72</v>
      </c>
      <c r="V61" s="18" t="s">
        <v>1141</v>
      </c>
    </row>
    <row r="62" spans="1:49" s="18" customFormat="1" x14ac:dyDescent="0.25">
      <c r="A62" s="18">
        <v>2031070229</v>
      </c>
      <c r="B62" s="18" t="s">
        <v>562</v>
      </c>
      <c r="C62" s="18" t="s">
        <v>563</v>
      </c>
      <c r="D62" s="18" t="str">
        <f>CONCATENATE(C62, " ",B62)</f>
        <v>SHARON LEE</v>
      </c>
      <c r="E62" s="18" t="s">
        <v>188</v>
      </c>
      <c r="F62" s="18" t="s">
        <v>441</v>
      </c>
      <c r="G62" s="18" t="s">
        <v>445</v>
      </c>
      <c r="H62" s="18">
        <v>8977234</v>
      </c>
      <c r="I62" s="18" t="s">
        <v>152</v>
      </c>
      <c r="J62" s="18" t="s">
        <v>153</v>
      </c>
      <c r="K62" s="18" t="s">
        <v>1078</v>
      </c>
      <c r="L62" s="18" t="s">
        <v>56</v>
      </c>
      <c r="M62" s="19">
        <v>45939</v>
      </c>
      <c r="N62" s="19">
        <v>45970</v>
      </c>
      <c r="O62" s="20">
        <v>59.08</v>
      </c>
      <c r="P62" s="18">
        <v>1</v>
      </c>
      <c r="Q62" s="18" t="s">
        <v>57</v>
      </c>
      <c r="R62" s="18" t="s">
        <v>96</v>
      </c>
      <c r="S62" s="21">
        <v>0.7</v>
      </c>
      <c r="T62" s="18" t="s">
        <v>97</v>
      </c>
      <c r="U62" s="20">
        <v>41.36</v>
      </c>
      <c r="V62" s="18" t="s">
        <v>445</v>
      </c>
    </row>
    <row r="63" spans="1:49" s="18" customFormat="1" x14ac:dyDescent="0.25">
      <c r="A63" s="18">
        <v>2031077855</v>
      </c>
      <c r="B63" s="18" t="s">
        <v>236</v>
      </c>
      <c r="C63" s="18" t="s">
        <v>150</v>
      </c>
      <c r="D63" s="18" t="str">
        <f>CONCATENATE(C63, " ",B63)</f>
        <v>MARK GALLIMORE</v>
      </c>
      <c r="E63" s="18" t="s">
        <v>151</v>
      </c>
      <c r="F63" s="18" t="s">
        <v>441</v>
      </c>
      <c r="G63" s="18" t="s">
        <v>445</v>
      </c>
      <c r="H63" s="18">
        <v>8977234</v>
      </c>
      <c r="I63" s="18" t="s">
        <v>152</v>
      </c>
      <c r="J63" s="18" t="s">
        <v>153</v>
      </c>
      <c r="K63" s="18" t="s">
        <v>1078</v>
      </c>
      <c r="L63" s="18" t="s">
        <v>56</v>
      </c>
      <c r="M63" s="19">
        <v>45931</v>
      </c>
      <c r="N63" s="19">
        <v>45962</v>
      </c>
      <c r="O63" s="20">
        <v>41.75</v>
      </c>
      <c r="P63" s="18">
        <v>1</v>
      </c>
      <c r="Q63" s="18" t="s">
        <v>57</v>
      </c>
      <c r="R63" s="18" t="s">
        <v>96</v>
      </c>
      <c r="S63" s="21">
        <v>0.7</v>
      </c>
      <c r="T63" s="18" t="s">
        <v>97</v>
      </c>
      <c r="U63" s="20">
        <v>29.22</v>
      </c>
      <c r="V63" s="18" t="s">
        <v>445</v>
      </c>
    </row>
    <row r="64" spans="1:49" s="18" customFormat="1" x14ac:dyDescent="0.25">
      <c r="A64" s="18">
        <v>2030940127</v>
      </c>
      <c r="B64" s="18" t="s">
        <v>687</v>
      </c>
      <c r="C64" s="18" t="s">
        <v>686</v>
      </c>
      <c r="D64" s="18" t="str">
        <f>CONCATENATE(C64, " ",B64)</f>
        <v>SHERRI CORPORON</v>
      </c>
      <c r="E64" s="18" t="s">
        <v>115</v>
      </c>
      <c r="F64" s="18" t="s">
        <v>441</v>
      </c>
      <c r="G64" s="18" t="s">
        <v>445</v>
      </c>
      <c r="H64" s="18">
        <v>8977234</v>
      </c>
      <c r="I64" s="18" t="s">
        <v>152</v>
      </c>
      <c r="J64" s="18" t="s">
        <v>153</v>
      </c>
      <c r="K64" s="18" t="s">
        <v>1078</v>
      </c>
      <c r="L64" s="18" t="s">
        <v>56</v>
      </c>
      <c r="M64" s="19">
        <v>45909</v>
      </c>
      <c r="N64" s="19">
        <v>45939</v>
      </c>
      <c r="O64" s="20">
        <v>147.4</v>
      </c>
      <c r="P64" s="18">
        <v>1</v>
      </c>
      <c r="Q64" s="18" t="s">
        <v>57</v>
      </c>
      <c r="R64" s="18" t="s">
        <v>96</v>
      </c>
      <c r="S64" s="21">
        <v>0.7</v>
      </c>
      <c r="T64" s="18" t="s">
        <v>97</v>
      </c>
      <c r="U64" s="20">
        <v>103.18</v>
      </c>
      <c r="V64" s="18" t="s">
        <v>445</v>
      </c>
    </row>
    <row r="65" spans="1:22" s="18" customFormat="1" x14ac:dyDescent="0.25">
      <c r="A65" s="18">
        <v>2030959733</v>
      </c>
      <c r="B65" s="18" t="s">
        <v>677</v>
      </c>
      <c r="C65" s="18" t="s">
        <v>480</v>
      </c>
      <c r="D65" s="18" t="str">
        <f>CONCATENATE(C65, " ",B65)</f>
        <v>SUSAN EBANKS</v>
      </c>
      <c r="E65" s="18" t="s">
        <v>151</v>
      </c>
      <c r="F65" s="18" t="s">
        <v>441</v>
      </c>
      <c r="G65" s="18" t="s">
        <v>445</v>
      </c>
      <c r="H65" s="18">
        <v>8977234</v>
      </c>
      <c r="I65" s="18" t="s">
        <v>152</v>
      </c>
      <c r="J65" s="18" t="s">
        <v>153</v>
      </c>
      <c r="K65" s="18" t="s">
        <v>1078</v>
      </c>
      <c r="L65" s="18" t="s">
        <v>56</v>
      </c>
      <c r="M65" s="19">
        <v>45931</v>
      </c>
      <c r="N65" s="19">
        <v>45962</v>
      </c>
      <c r="O65" s="20">
        <v>57.27</v>
      </c>
      <c r="P65" s="18">
        <v>1</v>
      </c>
      <c r="Q65" s="18" t="s">
        <v>57</v>
      </c>
      <c r="R65" s="18" t="s">
        <v>96</v>
      </c>
      <c r="S65" s="21">
        <v>0.7</v>
      </c>
      <c r="T65" s="18" t="s">
        <v>97</v>
      </c>
      <c r="U65" s="20">
        <v>40.090000000000003</v>
      </c>
      <c r="V65" s="18" t="s">
        <v>445</v>
      </c>
    </row>
    <row r="66" spans="1:22" s="18" customFormat="1" x14ac:dyDescent="0.25">
      <c r="A66" s="18">
        <v>2030963808</v>
      </c>
      <c r="B66" s="18" t="s">
        <v>675</v>
      </c>
      <c r="C66" s="18" t="s">
        <v>674</v>
      </c>
      <c r="D66" s="18" t="str">
        <f>CONCATENATE(C66, " ",B66)</f>
        <v>GLENN ALBERT</v>
      </c>
      <c r="E66" s="18" t="s">
        <v>151</v>
      </c>
      <c r="F66" s="18" t="s">
        <v>441</v>
      </c>
      <c r="G66" s="18" t="s">
        <v>445</v>
      </c>
      <c r="H66" s="18">
        <v>8977234</v>
      </c>
      <c r="I66" s="18" t="s">
        <v>152</v>
      </c>
      <c r="J66" s="18" t="s">
        <v>153</v>
      </c>
      <c r="K66" s="18" t="s">
        <v>1078</v>
      </c>
      <c r="L66" s="18" t="s">
        <v>56</v>
      </c>
      <c r="M66" s="19">
        <v>45910</v>
      </c>
      <c r="N66" s="19">
        <v>45940</v>
      </c>
      <c r="O66" s="20">
        <v>57.27</v>
      </c>
      <c r="P66" s="18">
        <v>1</v>
      </c>
      <c r="Q66" s="18" t="s">
        <v>57</v>
      </c>
      <c r="R66" s="18" t="s">
        <v>96</v>
      </c>
      <c r="S66" s="21">
        <v>0.7</v>
      </c>
      <c r="T66" s="18" t="s">
        <v>97</v>
      </c>
      <c r="U66" s="20">
        <v>40.090000000000003</v>
      </c>
      <c r="V66" s="18" t="s">
        <v>445</v>
      </c>
    </row>
    <row r="67" spans="1:22" s="18" customFormat="1" x14ac:dyDescent="0.25">
      <c r="A67" s="18">
        <v>2030986241</v>
      </c>
      <c r="B67" s="18" t="s">
        <v>670</v>
      </c>
      <c r="C67" s="18" t="s">
        <v>669</v>
      </c>
      <c r="D67" s="18" t="str">
        <f>CONCATENATE(C67, " ",B67)</f>
        <v>TEMPESTT LAFONTAINE</v>
      </c>
      <c r="E67" s="18" t="s">
        <v>115</v>
      </c>
      <c r="F67" s="18" t="s">
        <v>441</v>
      </c>
      <c r="G67" s="18" t="s">
        <v>445</v>
      </c>
      <c r="H67" s="18">
        <v>8977234</v>
      </c>
      <c r="I67" s="18" t="s">
        <v>152</v>
      </c>
      <c r="J67" s="18" t="s">
        <v>153</v>
      </c>
      <c r="K67" s="18" t="s">
        <v>1078</v>
      </c>
      <c r="L67" s="18" t="s">
        <v>56</v>
      </c>
      <c r="M67" s="19">
        <v>45913</v>
      </c>
      <c r="N67" s="19">
        <v>45943</v>
      </c>
      <c r="O67" s="20">
        <v>13</v>
      </c>
      <c r="P67" s="18">
        <v>1</v>
      </c>
      <c r="Q67" s="18" t="s">
        <v>57</v>
      </c>
      <c r="R67" s="18" t="s">
        <v>96</v>
      </c>
      <c r="S67" s="21">
        <v>0.7</v>
      </c>
      <c r="T67" s="18" t="s">
        <v>97</v>
      </c>
      <c r="U67" s="20">
        <v>9.1</v>
      </c>
      <c r="V67" s="18" t="s">
        <v>445</v>
      </c>
    </row>
    <row r="68" spans="1:22" s="18" customFormat="1" x14ac:dyDescent="0.25">
      <c r="A68" s="18">
        <v>2030959734</v>
      </c>
      <c r="B68" s="18" t="s">
        <v>677</v>
      </c>
      <c r="C68" s="18" t="s">
        <v>480</v>
      </c>
      <c r="D68" s="18" t="str">
        <f>CONCATENATE(C68, " ",B68)</f>
        <v>SUSAN EBANKS</v>
      </c>
      <c r="E68" s="18" t="s">
        <v>151</v>
      </c>
      <c r="F68" s="18" t="s">
        <v>306</v>
      </c>
      <c r="G68" s="18" t="s">
        <v>307</v>
      </c>
      <c r="H68" s="18">
        <v>8977234</v>
      </c>
      <c r="I68" s="18" t="s">
        <v>152</v>
      </c>
      <c r="J68" s="18" t="s">
        <v>153</v>
      </c>
      <c r="K68" s="18" t="s">
        <v>1078</v>
      </c>
      <c r="L68" s="18" t="s">
        <v>56</v>
      </c>
      <c r="M68" s="19">
        <v>45931</v>
      </c>
      <c r="N68" s="19">
        <v>45962</v>
      </c>
      <c r="O68" s="20">
        <v>54.95</v>
      </c>
      <c r="P68" s="18">
        <v>1</v>
      </c>
      <c r="Q68" s="18" t="s">
        <v>57</v>
      </c>
      <c r="R68" s="18" t="s">
        <v>96</v>
      </c>
      <c r="S68" s="22">
        <v>0.375</v>
      </c>
      <c r="T68" s="18" t="s">
        <v>97</v>
      </c>
      <c r="U68" s="20">
        <v>20.61</v>
      </c>
      <c r="V68" s="18" t="s">
        <v>307</v>
      </c>
    </row>
    <row r="69" spans="1:22" s="18" customFormat="1" x14ac:dyDescent="0.25">
      <c r="A69" s="18">
        <v>2030986242</v>
      </c>
      <c r="B69" s="18" t="s">
        <v>670</v>
      </c>
      <c r="C69" s="18" t="s">
        <v>669</v>
      </c>
      <c r="D69" s="18" t="str">
        <f>CONCATENATE(C69, " ",B69)</f>
        <v>TEMPESTT LAFONTAINE</v>
      </c>
      <c r="E69" s="18" t="s">
        <v>115</v>
      </c>
      <c r="F69" s="18" t="s">
        <v>306</v>
      </c>
      <c r="G69" s="18" t="s">
        <v>307</v>
      </c>
      <c r="H69" s="18">
        <v>8977234</v>
      </c>
      <c r="I69" s="18" t="s">
        <v>152</v>
      </c>
      <c r="J69" s="18" t="s">
        <v>153</v>
      </c>
      <c r="K69" s="18" t="s">
        <v>1078</v>
      </c>
      <c r="L69" s="18" t="s">
        <v>56</v>
      </c>
      <c r="M69" s="19">
        <v>45913</v>
      </c>
      <c r="N69" s="19">
        <v>45943</v>
      </c>
      <c r="O69" s="20">
        <v>69.3</v>
      </c>
      <c r="P69" s="18">
        <v>1</v>
      </c>
      <c r="Q69" s="18" t="s">
        <v>57</v>
      </c>
      <c r="R69" s="18" t="s">
        <v>96</v>
      </c>
      <c r="S69" s="22">
        <v>0.375</v>
      </c>
      <c r="T69" s="18" t="s">
        <v>97</v>
      </c>
      <c r="U69" s="20">
        <v>25.99</v>
      </c>
      <c r="V69" s="18" t="s">
        <v>307</v>
      </c>
    </row>
    <row r="70" spans="1:22" s="18" customFormat="1" x14ac:dyDescent="0.25">
      <c r="A70" s="18">
        <v>2031077854</v>
      </c>
      <c r="B70" s="18" t="s">
        <v>236</v>
      </c>
      <c r="C70" s="18" t="s">
        <v>150</v>
      </c>
      <c r="D70" s="18" t="str">
        <f>CONCATENATE(C70, " ",B70)</f>
        <v>MARK GALLIMORE</v>
      </c>
      <c r="E70" s="18" t="s">
        <v>151</v>
      </c>
      <c r="F70" s="18" t="s">
        <v>441</v>
      </c>
      <c r="G70" s="18" t="s">
        <v>442</v>
      </c>
      <c r="H70" s="18">
        <v>8977234</v>
      </c>
      <c r="I70" s="18" t="s">
        <v>152</v>
      </c>
      <c r="J70" s="18" t="s">
        <v>153</v>
      </c>
      <c r="K70" s="18" t="s">
        <v>1078</v>
      </c>
      <c r="L70" s="18" t="s">
        <v>56</v>
      </c>
      <c r="M70" s="19">
        <v>45931</v>
      </c>
      <c r="N70" s="19">
        <v>45962</v>
      </c>
      <c r="O70" s="20">
        <v>83.63</v>
      </c>
      <c r="P70" s="18">
        <v>1</v>
      </c>
      <c r="Q70" s="18" t="s">
        <v>57</v>
      </c>
      <c r="R70" s="18" t="s">
        <v>96</v>
      </c>
      <c r="S70" s="21">
        <v>0.9</v>
      </c>
      <c r="T70" s="18" t="s">
        <v>97</v>
      </c>
      <c r="U70" s="20">
        <v>75.27</v>
      </c>
      <c r="V70" s="18" t="s">
        <v>442</v>
      </c>
    </row>
    <row r="71" spans="1:22" s="18" customFormat="1" x14ac:dyDescent="0.25">
      <c r="A71" s="18">
        <v>2030999705</v>
      </c>
      <c r="B71" s="18" t="s">
        <v>820</v>
      </c>
      <c r="C71" s="18" t="s">
        <v>819</v>
      </c>
      <c r="D71" s="18" t="str">
        <f>CONCATENATE(C71, " ",B71)</f>
        <v>RAJIV ZAVERI</v>
      </c>
      <c r="E71" s="18" t="s">
        <v>83</v>
      </c>
      <c r="F71" s="18" t="s">
        <v>306</v>
      </c>
      <c r="G71" s="18" t="s">
        <v>307</v>
      </c>
      <c r="H71" s="18">
        <v>8307933</v>
      </c>
      <c r="I71" s="18" t="s">
        <v>108</v>
      </c>
      <c r="J71" s="18" t="s">
        <v>109</v>
      </c>
      <c r="K71" s="18" t="s">
        <v>1098</v>
      </c>
      <c r="L71" s="18" t="s">
        <v>56</v>
      </c>
      <c r="M71" s="19">
        <v>45913</v>
      </c>
      <c r="N71" s="19">
        <v>45943</v>
      </c>
      <c r="O71" s="20">
        <v>46.27</v>
      </c>
      <c r="P71" s="18">
        <v>1</v>
      </c>
      <c r="Q71" s="18" t="s">
        <v>57</v>
      </c>
      <c r="R71" s="18" t="s">
        <v>96</v>
      </c>
      <c r="S71" s="22">
        <v>0.375</v>
      </c>
      <c r="T71" s="18" t="s">
        <v>97</v>
      </c>
      <c r="U71" s="20">
        <v>17.350000000000001</v>
      </c>
      <c r="V71" s="18" t="s">
        <v>307</v>
      </c>
    </row>
    <row r="72" spans="1:22" s="18" customFormat="1" x14ac:dyDescent="0.25"/>
    <row r="73" spans="1:22" s="6" customFormat="1" x14ac:dyDescent="0.25">
      <c r="A73" s="6">
        <v>2030981721</v>
      </c>
      <c r="B73" s="6" t="s">
        <v>761</v>
      </c>
      <c r="C73" s="6" t="s">
        <v>760</v>
      </c>
      <c r="E73" s="6" t="s">
        <v>93</v>
      </c>
      <c r="F73" s="6" t="s">
        <v>106</v>
      </c>
      <c r="G73" s="6" t="s">
        <v>107</v>
      </c>
      <c r="I73" s="6" t="s">
        <v>200</v>
      </c>
      <c r="J73" s="6" t="s">
        <v>201</v>
      </c>
      <c r="K73" s="6" t="s">
        <v>1093</v>
      </c>
      <c r="L73" s="6" t="s">
        <v>56</v>
      </c>
      <c r="M73" s="5">
        <v>45920</v>
      </c>
      <c r="N73" s="5">
        <v>45950</v>
      </c>
      <c r="O73" s="7">
        <v>78.790000000000006</v>
      </c>
      <c r="P73" s="6">
        <v>1</v>
      </c>
      <c r="Q73" s="6" t="s">
        <v>57</v>
      </c>
      <c r="R73" s="6" t="s">
        <v>96</v>
      </c>
      <c r="S73" s="9">
        <v>0.9</v>
      </c>
      <c r="T73" s="6" t="s">
        <v>97</v>
      </c>
      <c r="U73" s="7">
        <v>70.91</v>
      </c>
    </row>
    <row r="74" spans="1:22" s="6" customFormat="1" x14ac:dyDescent="0.25">
      <c r="A74" s="6">
        <v>2030981722</v>
      </c>
      <c r="B74" s="6" t="s">
        <v>761</v>
      </c>
      <c r="C74" s="6" t="s">
        <v>760</v>
      </c>
      <c r="E74" s="6" t="s">
        <v>93</v>
      </c>
      <c r="F74" s="6" t="s">
        <v>243</v>
      </c>
      <c r="G74" s="6" t="s">
        <v>261</v>
      </c>
      <c r="I74" s="6" t="s">
        <v>200</v>
      </c>
      <c r="J74" s="6" t="s">
        <v>201</v>
      </c>
      <c r="K74" s="6" t="s">
        <v>1093</v>
      </c>
      <c r="L74" s="6" t="s">
        <v>56</v>
      </c>
      <c r="M74" s="5">
        <v>45920</v>
      </c>
      <c r="N74" s="5">
        <v>45950</v>
      </c>
      <c r="O74" s="7">
        <v>15</v>
      </c>
      <c r="P74" s="6">
        <v>1</v>
      </c>
      <c r="Q74" s="6" t="s">
        <v>57</v>
      </c>
      <c r="R74" s="6" t="s">
        <v>305</v>
      </c>
      <c r="S74" s="9">
        <v>0.38</v>
      </c>
      <c r="T74" s="6" t="s">
        <v>97</v>
      </c>
      <c r="U74" s="7">
        <v>5.7</v>
      </c>
    </row>
    <row r="75" spans="1:22" s="6" customFormat="1" x14ac:dyDescent="0.25">
      <c r="A75" s="6">
        <v>2030935971</v>
      </c>
      <c r="B75" s="6" t="s">
        <v>689</v>
      </c>
      <c r="C75" s="6" t="s">
        <v>688</v>
      </c>
      <c r="E75" s="6" t="s">
        <v>93</v>
      </c>
      <c r="F75" s="6" t="s">
        <v>306</v>
      </c>
      <c r="G75" s="6" t="s">
        <v>307</v>
      </c>
      <c r="I75" s="6" t="s">
        <v>200</v>
      </c>
      <c r="J75" s="6" t="s">
        <v>201</v>
      </c>
      <c r="K75" s="6" t="s">
        <v>1093</v>
      </c>
      <c r="L75" s="6" t="s">
        <v>56</v>
      </c>
      <c r="M75" s="5">
        <v>45931</v>
      </c>
      <c r="N75" s="5">
        <v>45962</v>
      </c>
      <c r="O75" s="7">
        <v>149.87</v>
      </c>
      <c r="P75" s="6">
        <v>1</v>
      </c>
      <c r="Q75" s="6" t="s">
        <v>57</v>
      </c>
      <c r="R75" s="6" t="s">
        <v>96</v>
      </c>
      <c r="S75" s="8">
        <v>0.375</v>
      </c>
      <c r="T75" s="6" t="s">
        <v>97</v>
      </c>
      <c r="U75" s="7">
        <v>56.2</v>
      </c>
    </row>
    <row r="76" spans="1:22" s="6" customFormat="1" x14ac:dyDescent="0.25">
      <c r="A76" s="6">
        <v>2030981719</v>
      </c>
      <c r="B76" s="6" t="s">
        <v>761</v>
      </c>
      <c r="C76" s="6" t="s">
        <v>760</v>
      </c>
      <c r="E76" s="6" t="s">
        <v>93</v>
      </c>
      <c r="F76" s="6" t="s">
        <v>430</v>
      </c>
      <c r="G76" s="6" t="s">
        <v>438</v>
      </c>
      <c r="I76" s="6" t="s">
        <v>200</v>
      </c>
      <c r="J76" s="6" t="s">
        <v>201</v>
      </c>
      <c r="K76" s="6" t="s">
        <v>1093</v>
      </c>
      <c r="L76" s="6" t="s">
        <v>56</v>
      </c>
      <c r="M76" s="5">
        <v>45920</v>
      </c>
      <c r="N76" s="5">
        <v>45950</v>
      </c>
      <c r="O76" s="7">
        <v>200.65</v>
      </c>
      <c r="P76" s="6">
        <v>1</v>
      </c>
      <c r="Q76" s="6" t="s">
        <v>57</v>
      </c>
      <c r="R76" s="6" t="s">
        <v>96</v>
      </c>
      <c r="S76" s="9">
        <v>0.38</v>
      </c>
      <c r="T76" s="6" t="s">
        <v>97</v>
      </c>
      <c r="U76" s="7">
        <v>76.25</v>
      </c>
    </row>
    <row r="77" spans="1:22" s="6" customFormat="1" x14ac:dyDescent="0.25">
      <c r="A77" s="6">
        <v>2030981720</v>
      </c>
      <c r="B77" s="6" t="s">
        <v>761</v>
      </c>
      <c r="C77" s="6" t="s">
        <v>760</v>
      </c>
      <c r="E77" s="6" t="s">
        <v>93</v>
      </c>
      <c r="F77" s="6" t="s">
        <v>430</v>
      </c>
      <c r="G77" s="6" t="s">
        <v>439</v>
      </c>
      <c r="I77" s="6" t="s">
        <v>200</v>
      </c>
      <c r="J77" s="6" t="s">
        <v>201</v>
      </c>
      <c r="K77" s="6" t="s">
        <v>1093</v>
      </c>
      <c r="L77" s="6" t="s">
        <v>56</v>
      </c>
      <c r="M77" s="5">
        <v>45920</v>
      </c>
      <c r="N77" s="5">
        <v>45950</v>
      </c>
      <c r="O77" s="7">
        <v>7.09</v>
      </c>
      <c r="P77" s="6">
        <v>1</v>
      </c>
      <c r="Q77" s="6" t="s">
        <v>57</v>
      </c>
      <c r="R77" s="6" t="s">
        <v>96</v>
      </c>
      <c r="S77" s="9">
        <v>0.38</v>
      </c>
      <c r="T77" s="6" t="s">
        <v>97</v>
      </c>
      <c r="U77" s="7">
        <v>2.69</v>
      </c>
    </row>
    <row r="78" spans="1:22" s="6" customFormat="1" x14ac:dyDescent="0.25">
      <c r="A78" s="6">
        <v>2030935972</v>
      </c>
      <c r="B78" s="6" t="s">
        <v>689</v>
      </c>
      <c r="C78" s="6" t="s">
        <v>688</v>
      </c>
      <c r="E78" s="6" t="s">
        <v>93</v>
      </c>
      <c r="F78" s="6" t="s">
        <v>441</v>
      </c>
      <c r="G78" s="6" t="s">
        <v>442</v>
      </c>
      <c r="I78" s="6" t="s">
        <v>200</v>
      </c>
      <c r="J78" s="6" t="s">
        <v>201</v>
      </c>
      <c r="K78" s="6" t="s">
        <v>1093</v>
      </c>
      <c r="L78" s="6" t="s">
        <v>56</v>
      </c>
      <c r="M78" s="5">
        <v>45931</v>
      </c>
      <c r="N78" s="5">
        <v>45962</v>
      </c>
      <c r="O78" s="7">
        <v>155.25</v>
      </c>
      <c r="P78" s="6">
        <v>1</v>
      </c>
      <c r="Q78" s="6" t="s">
        <v>57</v>
      </c>
      <c r="R78" s="6" t="s">
        <v>96</v>
      </c>
      <c r="S78" s="9">
        <v>0.9</v>
      </c>
      <c r="T78" s="6" t="s">
        <v>97</v>
      </c>
      <c r="U78" s="7">
        <v>139.72</v>
      </c>
    </row>
    <row r="79" spans="1:22" s="6" customFormat="1" x14ac:dyDescent="0.25">
      <c r="A79" s="6">
        <v>2030945124</v>
      </c>
      <c r="B79" s="6" t="s">
        <v>547</v>
      </c>
      <c r="C79" s="6" t="s">
        <v>683</v>
      </c>
      <c r="E79" s="6" t="s">
        <v>93</v>
      </c>
      <c r="F79" s="6" t="s">
        <v>106</v>
      </c>
      <c r="G79" s="6" t="s">
        <v>184</v>
      </c>
      <c r="I79" s="6" t="s">
        <v>262</v>
      </c>
      <c r="J79" s="6" t="s">
        <v>263</v>
      </c>
      <c r="K79" s="6" t="s">
        <v>1091</v>
      </c>
      <c r="L79" s="6" t="s">
        <v>56</v>
      </c>
      <c r="M79" s="5">
        <v>45909</v>
      </c>
      <c r="N79" s="5">
        <v>45939</v>
      </c>
      <c r="O79" s="7">
        <v>47.13</v>
      </c>
      <c r="P79" s="6">
        <v>1</v>
      </c>
      <c r="Q79" s="6" t="s">
        <v>57</v>
      </c>
      <c r="R79" s="6" t="s">
        <v>96</v>
      </c>
      <c r="S79" s="9">
        <v>0.75</v>
      </c>
      <c r="T79" s="6" t="s">
        <v>97</v>
      </c>
      <c r="U79" s="7">
        <v>35.35</v>
      </c>
    </row>
    <row r="80" spans="1:22" s="6" customFormat="1" x14ac:dyDescent="0.25">
      <c r="A80" s="6">
        <v>2030945125</v>
      </c>
      <c r="B80" s="6" t="s">
        <v>547</v>
      </c>
      <c r="C80" s="6" t="s">
        <v>683</v>
      </c>
      <c r="E80" s="6" t="s">
        <v>93</v>
      </c>
      <c r="F80" s="6" t="s">
        <v>243</v>
      </c>
      <c r="G80" s="6" t="s">
        <v>249</v>
      </c>
      <c r="I80" s="6" t="s">
        <v>262</v>
      </c>
      <c r="J80" s="6" t="s">
        <v>263</v>
      </c>
      <c r="K80" s="6" t="s">
        <v>1091</v>
      </c>
      <c r="L80" s="6" t="s">
        <v>56</v>
      </c>
      <c r="M80" s="5">
        <v>45909</v>
      </c>
      <c r="N80" s="5">
        <v>45939</v>
      </c>
      <c r="O80" s="7">
        <v>15</v>
      </c>
      <c r="P80" s="6">
        <v>1</v>
      </c>
      <c r="Q80" s="6" t="s">
        <v>57</v>
      </c>
      <c r="R80" s="6" t="s">
        <v>96</v>
      </c>
      <c r="S80" s="9">
        <v>0.38</v>
      </c>
      <c r="T80" s="6" t="s">
        <v>97</v>
      </c>
      <c r="U80" s="7">
        <v>5.7</v>
      </c>
    </row>
    <row r="81" spans="1:21" s="6" customFormat="1" x14ac:dyDescent="0.25">
      <c r="A81" s="6">
        <v>2030945122</v>
      </c>
      <c r="B81" s="6" t="s">
        <v>547</v>
      </c>
      <c r="C81" s="6" t="s">
        <v>683</v>
      </c>
      <c r="E81" s="6" t="s">
        <v>93</v>
      </c>
      <c r="F81" s="6" t="s">
        <v>430</v>
      </c>
      <c r="G81" s="6" t="s">
        <v>431</v>
      </c>
      <c r="I81" s="6" t="s">
        <v>262</v>
      </c>
      <c r="J81" s="6" t="s">
        <v>263</v>
      </c>
      <c r="K81" s="6" t="s">
        <v>1091</v>
      </c>
      <c r="L81" s="6" t="s">
        <v>56</v>
      </c>
      <c r="M81" s="5">
        <v>45909</v>
      </c>
      <c r="N81" s="5">
        <v>45939</v>
      </c>
      <c r="O81" s="7">
        <v>19.48</v>
      </c>
      <c r="P81" s="6">
        <v>1</v>
      </c>
      <c r="Q81" s="6" t="s">
        <v>57</v>
      </c>
      <c r="R81" s="6" t="s">
        <v>96</v>
      </c>
      <c r="S81" s="9">
        <v>0.38</v>
      </c>
      <c r="T81" s="6" t="s">
        <v>97</v>
      </c>
      <c r="U81" s="7">
        <v>7.4</v>
      </c>
    </row>
    <row r="82" spans="1:21" s="6" customFormat="1" x14ac:dyDescent="0.25">
      <c r="A82" s="6">
        <v>2030945123</v>
      </c>
      <c r="B82" s="6" t="s">
        <v>547</v>
      </c>
      <c r="C82" s="6" t="s">
        <v>683</v>
      </c>
      <c r="E82" s="6" t="s">
        <v>93</v>
      </c>
      <c r="F82" s="6" t="s">
        <v>441</v>
      </c>
      <c r="G82" s="6" t="s">
        <v>451</v>
      </c>
      <c r="I82" s="6" t="s">
        <v>262</v>
      </c>
      <c r="J82" s="6" t="s">
        <v>263</v>
      </c>
      <c r="K82" s="6" t="s">
        <v>1091</v>
      </c>
      <c r="L82" s="6" t="s">
        <v>56</v>
      </c>
      <c r="M82" s="5">
        <v>45909</v>
      </c>
      <c r="N82" s="5">
        <v>45939</v>
      </c>
      <c r="O82" s="7">
        <v>25.08</v>
      </c>
      <c r="P82" s="6">
        <v>1</v>
      </c>
      <c r="Q82" s="6" t="s">
        <v>57</v>
      </c>
      <c r="R82" s="6" t="s">
        <v>96</v>
      </c>
      <c r="S82" s="9">
        <v>0.42</v>
      </c>
      <c r="T82" s="6" t="s">
        <v>97</v>
      </c>
      <c r="U82" s="7">
        <v>10.53</v>
      </c>
    </row>
    <row r="83" spans="1:21" s="6" customFormat="1" x14ac:dyDescent="0.25">
      <c r="A83" s="6">
        <v>2030985509</v>
      </c>
      <c r="B83" s="6" t="s">
        <v>276</v>
      </c>
      <c r="C83" s="6" t="s">
        <v>421</v>
      </c>
      <c r="E83" s="6" t="s">
        <v>93</v>
      </c>
      <c r="F83" s="6" t="s">
        <v>243</v>
      </c>
      <c r="G83" s="6" t="s">
        <v>261</v>
      </c>
      <c r="I83" s="6" t="s">
        <v>595</v>
      </c>
      <c r="J83" s="6" t="s">
        <v>596</v>
      </c>
      <c r="K83" s="6" t="s">
        <v>1095</v>
      </c>
      <c r="L83" s="6" t="s">
        <v>56</v>
      </c>
      <c r="M83" s="5">
        <v>45912</v>
      </c>
      <c r="N83" s="5">
        <v>45942</v>
      </c>
      <c r="O83" s="7">
        <v>15</v>
      </c>
      <c r="P83" s="6">
        <v>1</v>
      </c>
      <c r="Q83" s="6" t="s">
        <v>57</v>
      </c>
      <c r="R83" s="6" t="s">
        <v>305</v>
      </c>
      <c r="S83" s="9">
        <v>0.38</v>
      </c>
      <c r="T83" s="6" t="s">
        <v>97</v>
      </c>
      <c r="U83" s="7">
        <v>5.7</v>
      </c>
    </row>
    <row r="84" spans="1:21" s="6" customFormat="1" x14ac:dyDescent="0.25">
      <c r="A84" s="6">
        <v>2030985508</v>
      </c>
      <c r="B84" s="6" t="s">
        <v>276</v>
      </c>
      <c r="C84" s="6" t="s">
        <v>421</v>
      </c>
      <c r="E84" s="6" t="s">
        <v>93</v>
      </c>
      <c r="F84" s="6" t="s">
        <v>430</v>
      </c>
      <c r="G84" s="6" t="s">
        <v>438</v>
      </c>
      <c r="I84" s="6" t="s">
        <v>595</v>
      </c>
      <c r="J84" s="6" t="s">
        <v>596</v>
      </c>
      <c r="K84" s="6" t="s">
        <v>1095</v>
      </c>
      <c r="L84" s="6" t="s">
        <v>56</v>
      </c>
      <c r="M84" s="5">
        <v>45912</v>
      </c>
      <c r="N84" s="5">
        <v>45942</v>
      </c>
      <c r="O84" s="7">
        <v>371.07</v>
      </c>
      <c r="P84" s="6">
        <v>1</v>
      </c>
      <c r="Q84" s="6" t="s">
        <v>57</v>
      </c>
      <c r="R84" s="6" t="s">
        <v>96</v>
      </c>
      <c r="S84" s="9">
        <v>0.38</v>
      </c>
      <c r="T84" s="6" t="s">
        <v>97</v>
      </c>
      <c r="U84" s="7">
        <v>141.01</v>
      </c>
    </row>
    <row r="85" spans="1:21" s="6" customFormat="1" x14ac:dyDescent="0.25">
      <c r="A85" s="6">
        <v>2031136067</v>
      </c>
      <c r="B85" s="6" t="s">
        <v>302</v>
      </c>
      <c r="C85" s="6" t="s">
        <v>303</v>
      </c>
      <c r="E85" s="6" t="s">
        <v>93</v>
      </c>
      <c r="F85" s="6" t="s">
        <v>243</v>
      </c>
      <c r="G85" s="6" t="s">
        <v>304</v>
      </c>
      <c r="I85" s="6" t="s">
        <v>210</v>
      </c>
      <c r="J85" s="6" t="s">
        <v>211</v>
      </c>
      <c r="K85" s="6" t="s">
        <v>1081</v>
      </c>
      <c r="L85" s="6" t="s">
        <v>56</v>
      </c>
      <c r="M85" s="5">
        <v>45919</v>
      </c>
      <c r="N85" s="5">
        <v>45949</v>
      </c>
      <c r="O85" s="7">
        <v>50.89</v>
      </c>
      <c r="P85" s="6">
        <v>1</v>
      </c>
      <c r="Q85" s="6" t="s">
        <v>57</v>
      </c>
      <c r="R85" s="6" t="s">
        <v>96</v>
      </c>
      <c r="S85" s="9">
        <v>0.38</v>
      </c>
      <c r="T85" s="6" t="s">
        <v>97</v>
      </c>
      <c r="U85" s="7">
        <v>19.34</v>
      </c>
    </row>
    <row r="86" spans="1:21" s="6" customFormat="1" x14ac:dyDescent="0.25">
      <c r="A86" s="6">
        <v>2031136070</v>
      </c>
      <c r="B86" s="6" t="s">
        <v>302</v>
      </c>
      <c r="C86" s="6" t="s">
        <v>303</v>
      </c>
      <c r="E86" s="6" t="s">
        <v>93</v>
      </c>
      <c r="F86" s="6" t="s">
        <v>243</v>
      </c>
      <c r="G86" s="6" t="s">
        <v>261</v>
      </c>
      <c r="I86" s="6" t="s">
        <v>210</v>
      </c>
      <c r="J86" s="6" t="s">
        <v>211</v>
      </c>
      <c r="K86" s="6" t="s">
        <v>1081</v>
      </c>
      <c r="L86" s="6" t="s">
        <v>56</v>
      </c>
      <c r="M86" s="5">
        <v>45919</v>
      </c>
      <c r="N86" s="5">
        <v>45949</v>
      </c>
      <c r="O86" s="7">
        <v>15</v>
      </c>
      <c r="P86" s="6">
        <v>1</v>
      </c>
      <c r="Q86" s="6" t="s">
        <v>57</v>
      </c>
      <c r="R86" s="6" t="s">
        <v>305</v>
      </c>
      <c r="S86" s="9">
        <v>0.38</v>
      </c>
      <c r="T86" s="6" t="s">
        <v>97</v>
      </c>
      <c r="U86" s="7">
        <v>5.7</v>
      </c>
    </row>
    <row r="87" spans="1:21" s="6" customFormat="1" x14ac:dyDescent="0.25">
      <c r="A87" s="6">
        <v>2031136068</v>
      </c>
      <c r="B87" s="6" t="s">
        <v>302</v>
      </c>
      <c r="C87" s="6" t="s">
        <v>303</v>
      </c>
      <c r="E87" s="6" t="s">
        <v>93</v>
      </c>
      <c r="F87" s="6" t="s">
        <v>430</v>
      </c>
      <c r="G87" s="6" t="s">
        <v>438</v>
      </c>
      <c r="I87" s="6" t="s">
        <v>210</v>
      </c>
      <c r="J87" s="6" t="s">
        <v>211</v>
      </c>
      <c r="K87" s="6" t="s">
        <v>1081</v>
      </c>
      <c r="L87" s="6" t="s">
        <v>56</v>
      </c>
      <c r="M87" s="5">
        <v>45919</v>
      </c>
      <c r="N87" s="5">
        <v>45949</v>
      </c>
      <c r="O87" s="7">
        <v>115.38</v>
      </c>
      <c r="P87" s="6">
        <v>1</v>
      </c>
      <c r="Q87" s="6" t="s">
        <v>57</v>
      </c>
      <c r="R87" s="6" t="s">
        <v>96</v>
      </c>
      <c r="S87" s="9">
        <v>0.38</v>
      </c>
      <c r="T87" s="6" t="s">
        <v>97</v>
      </c>
      <c r="U87" s="7">
        <v>43.84</v>
      </c>
    </row>
    <row r="88" spans="1:21" s="6" customFormat="1" x14ac:dyDescent="0.25">
      <c r="A88" s="6">
        <v>2031136069</v>
      </c>
      <c r="B88" s="6" t="s">
        <v>302</v>
      </c>
      <c r="C88" s="6" t="s">
        <v>303</v>
      </c>
      <c r="E88" s="6" t="s">
        <v>93</v>
      </c>
      <c r="F88" s="6" t="s">
        <v>430</v>
      </c>
      <c r="G88" s="6" t="s">
        <v>439</v>
      </c>
      <c r="I88" s="6" t="s">
        <v>210</v>
      </c>
      <c r="J88" s="6" t="s">
        <v>211</v>
      </c>
      <c r="K88" s="6" t="s">
        <v>1081</v>
      </c>
      <c r="L88" s="6" t="s">
        <v>56</v>
      </c>
      <c r="M88" s="5">
        <v>45919</v>
      </c>
      <c r="N88" s="5">
        <v>45949</v>
      </c>
      <c r="O88" s="7">
        <v>7.09</v>
      </c>
      <c r="P88" s="6">
        <v>1</v>
      </c>
      <c r="Q88" s="6" t="s">
        <v>57</v>
      </c>
      <c r="R88" s="6" t="s">
        <v>96</v>
      </c>
      <c r="S88" s="9">
        <v>0.38</v>
      </c>
      <c r="T88" s="6" t="s">
        <v>97</v>
      </c>
      <c r="U88" s="7">
        <v>2.69</v>
      </c>
    </row>
    <row r="89" spans="1:21" s="6" customFormat="1" x14ac:dyDescent="0.25">
      <c r="A89" s="6">
        <v>2030965243</v>
      </c>
      <c r="B89" s="6" t="s">
        <v>1061</v>
      </c>
      <c r="C89" s="6" t="s">
        <v>126</v>
      </c>
      <c r="E89" s="6" t="s">
        <v>209</v>
      </c>
      <c r="F89" s="6" t="s">
        <v>106</v>
      </c>
      <c r="G89" s="6" t="s">
        <v>184</v>
      </c>
      <c r="I89" s="6" t="s">
        <v>210</v>
      </c>
      <c r="J89" s="6" t="s">
        <v>211</v>
      </c>
      <c r="K89" s="6" t="s">
        <v>1081</v>
      </c>
      <c r="L89" s="6" t="s">
        <v>56</v>
      </c>
      <c r="M89" s="5">
        <v>45931</v>
      </c>
      <c r="N89" s="5">
        <v>45962</v>
      </c>
      <c r="O89" s="7">
        <v>112.15</v>
      </c>
      <c r="P89" s="6">
        <v>1</v>
      </c>
      <c r="Q89" s="6" t="s">
        <v>57</v>
      </c>
      <c r="R89" s="6" t="s">
        <v>96</v>
      </c>
      <c r="S89" s="9">
        <v>0.75</v>
      </c>
      <c r="T89" s="6" t="s">
        <v>97</v>
      </c>
      <c r="U89" s="7">
        <v>84.11</v>
      </c>
    </row>
    <row r="90" spans="1:21" s="6" customFormat="1" x14ac:dyDescent="0.25">
      <c r="A90" s="6">
        <v>2030954482</v>
      </c>
      <c r="B90" s="6" t="s">
        <v>764</v>
      </c>
      <c r="C90" s="6" t="s">
        <v>335</v>
      </c>
      <c r="E90" s="6" t="s">
        <v>93</v>
      </c>
      <c r="F90" s="6" t="s">
        <v>243</v>
      </c>
      <c r="G90" s="6" t="s">
        <v>304</v>
      </c>
      <c r="I90" s="6" t="s">
        <v>210</v>
      </c>
      <c r="J90" s="6" t="s">
        <v>211</v>
      </c>
      <c r="K90" s="6" t="s">
        <v>1081</v>
      </c>
      <c r="L90" s="6" t="s">
        <v>56</v>
      </c>
      <c r="M90" s="5">
        <v>45910</v>
      </c>
      <c r="N90" s="5">
        <v>45940</v>
      </c>
      <c r="O90" s="7">
        <v>35.04</v>
      </c>
      <c r="P90" s="6">
        <v>1</v>
      </c>
      <c r="Q90" s="6" t="s">
        <v>57</v>
      </c>
      <c r="R90" s="6" t="s">
        <v>96</v>
      </c>
      <c r="S90" s="9">
        <v>0.38</v>
      </c>
      <c r="T90" s="6" t="s">
        <v>97</v>
      </c>
      <c r="U90" s="7">
        <v>13.32</v>
      </c>
    </row>
    <row r="91" spans="1:21" s="6" customFormat="1" x14ac:dyDescent="0.25">
      <c r="A91" s="6">
        <v>2030954483</v>
      </c>
      <c r="B91" s="6" t="s">
        <v>764</v>
      </c>
      <c r="C91" s="6" t="s">
        <v>335</v>
      </c>
      <c r="E91" s="6" t="s">
        <v>93</v>
      </c>
      <c r="F91" s="6" t="s">
        <v>243</v>
      </c>
      <c r="G91" s="6" t="s">
        <v>261</v>
      </c>
      <c r="I91" s="6" t="s">
        <v>210</v>
      </c>
      <c r="J91" s="6" t="s">
        <v>211</v>
      </c>
      <c r="K91" s="6" t="s">
        <v>1081</v>
      </c>
      <c r="L91" s="6" t="s">
        <v>56</v>
      </c>
      <c r="M91" s="5">
        <v>45910</v>
      </c>
      <c r="N91" s="5">
        <v>45940</v>
      </c>
      <c r="O91" s="7">
        <v>15</v>
      </c>
      <c r="P91" s="6">
        <v>1</v>
      </c>
      <c r="Q91" s="6" t="s">
        <v>57</v>
      </c>
      <c r="R91" s="6" t="s">
        <v>305</v>
      </c>
      <c r="S91" s="9">
        <v>0.38</v>
      </c>
      <c r="T91" s="6" t="s">
        <v>97</v>
      </c>
      <c r="U91" s="7">
        <v>5.7</v>
      </c>
    </row>
    <row r="92" spans="1:21" s="6" customFormat="1" x14ac:dyDescent="0.25">
      <c r="A92" s="6">
        <v>2030954480</v>
      </c>
      <c r="B92" s="6" t="s">
        <v>764</v>
      </c>
      <c r="C92" s="6" t="s">
        <v>335</v>
      </c>
      <c r="E92" s="6" t="s">
        <v>93</v>
      </c>
      <c r="F92" s="6" t="s">
        <v>430</v>
      </c>
      <c r="G92" s="6" t="s">
        <v>438</v>
      </c>
      <c r="I92" s="6" t="s">
        <v>210</v>
      </c>
      <c r="J92" s="6" t="s">
        <v>211</v>
      </c>
      <c r="K92" s="6" t="s">
        <v>1081</v>
      </c>
      <c r="L92" s="6" t="s">
        <v>56</v>
      </c>
      <c r="M92" s="5">
        <v>45910</v>
      </c>
      <c r="N92" s="5">
        <v>45940</v>
      </c>
      <c r="O92" s="7">
        <v>172.55</v>
      </c>
      <c r="P92" s="6">
        <v>1</v>
      </c>
      <c r="Q92" s="6" t="s">
        <v>57</v>
      </c>
      <c r="R92" s="6" t="s">
        <v>96</v>
      </c>
      <c r="S92" s="9">
        <v>0.38</v>
      </c>
      <c r="T92" s="6" t="s">
        <v>97</v>
      </c>
      <c r="U92" s="7">
        <v>65.569999999999993</v>
      </c>
    </row>
    <row r="93" spans="1:21" s="6" customFormat="1" x14ac:dyDescent="0.25">
      <c r="A93" s="6">
        <v>2030954481</v>
      </c>
      <c r="B93" s="6" t="s">
        <v>764</v>
      </c>
      <c r="C93" s="6" t="s">
        <v>335</v>
      </c>
      <c r="E93" s="6" t="s">
        <v>93</v>
      </c>
      <c r="F93" s="6" t="s">
        <v>430</v>
      </c>
      <c r="G93" s="6" t="s">
        <v>439</v>
      </c>
      <c r="I93" s="6" t="s">
        <v>210</v>
      </c>
      <c r="J93" s="6" t="s">
        <v>211</v>
      </c>
      <c r="K93" s="6" t="s">
        <v>1081</v>
      </c>
      <c r="L93" s="6" t="s">
        <v>56</v>
      </c>
      <c r="M93" s="5">
        <v>45910</v>
      </c>
      <c r="N93" s="5">
        <v>45940</v>
      </c>
      <c r="O93" s="7">
        <v>7.09</v>
      </c>
      <c r="P93" s="6">
        <v>1</v>
      </c>
      <c r="Q93" s="6" t="s">
        <v>57</v>
      </c>
      <c r="R93" s="6" t="s">
        <v>96</v>
      </c>
      <c r="S93" s="9">
        <v>0.38</v>
      </c>
      <c r="T93" s="6" t="s">
        <v>97</v>
      </c>
      <c r="U93" s="7">
        <v>2.69</v>
      </c>
    </row>
    <row r="94" spans="1:21" x14ac:dyDescent="0.25">
      <c r="A94" s="6">
        <v>2030945328</v>
      </c>
      <c r="B94" s="6" t="s">
        <v>682</v>
      </c>
      <c r="C94" s="6" t="s">
        <v>49</v>
      </c>
      <c r="D94" s="6"/>
      <c r="E94" s="6" t="s">
        <v>93</v>
      </c>
      <c r="F94" s="6" t="s">
        <v>441</v>
      </c>
      <c r="G94" s="6" t="s">
        <v>445</v>
      </c>
      <c r="H94" s="6"/>
      <c r="I94" s="6" t="s">
        <v>681</v>
      </c>
      <c r="J94" s="6" t="s">
        <v>558</v>
      </c>
      <c r="K94" s="6" t="s">
        <v>1101</v>
      </c>
      <c r="L94" s="6" t="s">
        <v>56</v>
      </c>
      <c r="M94" s="5">
        <v>45915</v>
      </c>
      <c r="N94" s="5">
        <v>45945</v>
      </c>
      <c r="O94" s="7">
        <v>27.5</v>
      </c>
      <c r="P94" s="6">
        <v>1</v>
      </c>
      <c r="Q94" s="6" t="s">
        <v>57</v>
      </c>
      <c r="R94" s="6" t="s">
        <v>96</v>
      </c>
      <c r="S94" s="9">
        <v>0.7</v>
      </c>
      <c r="T94" s="6" t="s">
        <v>97</v>
      </c>
      <c r="U94" s="7">
        <v>19.25</v>
      </c>
    </row>
    <row r="95" spans="1:21" x14ac:dyDescent="0.25">
      <c r="A95" s="6">
        <v>2030846037</v>
      </c>
      <c r="B95" s="6" t="s">
        <v>414</v>
      </c>
      <c r="C95" s="6" t="s">
        <v>415</v>
      </c>
      <c r="D95" s="6"/>
      <c r="E95" s="6" t="s">
        <v>115</v>
      </c>
      <c r="F95" s="6" t="s">
        <v>306</v>
      </c>
      <c r="G95" s="6" t="s">
        <v>307</v>
      </c>
      <c r="H95" s="6"/>
      <c r="I95" s="6" t="s">
        <v>158</v>
      </c>
      <c r="J95" s="6" t="s">
        <v>159</v>
      </c>
      <c r="K95" s="6" t="s">
        <v>1096</v>
      </c>
      <c r="L95" s="6" t="s">
        <v>56</v>
      </c>
      <c r="M95" s="5">
        <v>45913</v>
      </c>
      <c r="N95" s="5">
        <v>45943</v>
      </c>
      <c r="O95" s="7">
        <v>28.38</v>
      </c>
      <c r="P95" s="6">
        <v>1</v>
      </c>
      <c r="Q95" s="6" t="s">
        <v>57</v>
      </c>
      <c r="R95" s="6" t="s">
        <v>96</v>
      </c>
      <c r="S95" s="8">
        <v>0.375</v>
      </c>
      <c r="T95" s="6" t="s">
        <v>97</v>
      </c>
      <c r="U95" s="7">
        <v>10.64</v>
      </c>
    </row>
    <row r="96" spans="1:21" x14ac:dyDescent="0.25">
      <c r="A96" s="6">
        <v>2030846038</v>
      </c>
      <c r="B96" s="6" t="s">
        <v>414</v>
      </c>
      <c r="C96" s="6" t="s">
        <v>415</v>
      </c>
      <c r="D96" s="6"/>
      <c r="E96" s="6" t="s">
        <v>115</v>
      </c>
      <c r="F96" s="6" t="s">
        <v>441</v>
      </c>
      <c r="G96" s="6" t="s">
        <v>445</v>
      </c>
      <c r="H96" s="6"/>
      <c r="I96" s="6" t="s">
        <v>158</v>
      </c>
      <c r="J96" s="6" t="s">
        <v>159</v>
      </c>
      <c r="K96" s="6" t="s">
        <v>1096</v>
      </c>
      <c r="L96" s="6" t="s">
        <v>56</v>
      </c>
      <c r="M96" s="5">
        <v>45913</v>
      </c>
      <c r="N96" s="5">
        <v>45943</v>
      </c>
      <c r="O96" s="7">
        <v>28.38</v>
      </c>
      <c r="P96" s="6">
        <v>1</v>
      </c>
      <c r="Q96" s="6" t="s">
        <v>57</v>
      </c>
      <c r="R96" s="6" t="s">
        <v>96</v>
      </c>
      <c r="S96" s="9">
        <v>0.7</v>
      </c>
      <c r="T96" s="6" t="s">
        <v>97</v>
      </c>
      <c r="U96" s="7">
        <v>19.87</v>
      </c>
    </row>
    <row r="97" spans="1:21" x14ac:dyDescent="0.25">
      <c r="A97" s="6">
        <v>2030954164</v>
      </c>
      <c r="B97" s="6" t="s">
        <v>680</v>
      </c>
      <c r="C97" s="6" t="s">
        <v>679</v>
      </c>
      <c r="D97" s="6"/>
      <c r="E97" s="6" t="s">
        <v>115</v>
      </c>
      <c r="F97" s="6" t="s">
        <v>441</v>
      </c>
      <c r="G97" s="6" t="s">
        <v>445</v>
      </c>
      <c r="H97" s="6"/>
      <c r="I97" s="6" t="s">
        <v>158</v>
      </c>
      <c r="J97" s="6" t="s">
        <v>159</v>
      </c>
      <c r="K97" s="6" t="s">
        <v>1096</v>
      </c>
      <c r="L97" s="6" t="s">
        <v>56</v>
      </c>
      <c r="M97" s="5">
        <v>45911</v>
      </c>
      <c r="N97" s="5">
        <v>45941</v>
      </c>
      <c r="O97" s="7">
        <v>28.38</v>
      </c>
      <c r="P97" s="6">
        <v>1</v>
      </c>
      <c r="Q97" s="6" t="s">
        <v>57</v>
      </c>
      <c r="R97" s="6" t="s">
        <v>96</v>
      </c>
      <c r="S97" s="9">
        <v>0.7</v>
      </c>
      <c r="T97" s="6" t="s">
        <v>97</v>
      </c>
      <c r="U97" s="7">
        <v>19.87</v>
      </c>
    </row>
    <row r="98" spans="1:21" x14ac:dyDescent="0.25">
      <c r="A98" s="6">
        <v>2031110933</v>
      </c>
      <c r="B98" s="6" t="s">
        <v>296</v>
      </c>
      <c r="C98" s="6" t="s">
        <v>297</v>
      </c>
      <c r="D98" s="6"/>
      <c r="E98" s="6" t="s">
        <v>180</v>
      </c>
      <c r="F98" s="6" t="s">
        <v>243</v>
      </c>
      <c r="G98" s="6" t="s">
        <v>298</v>
      </c>
      <c r="H98" s="6"/>
      <c r="I98" s="6" t="s">
        <v>299</v>
      </c>
      <c r="J98" s="6" t="s">
        <v>300</v>
      </c>
      <c r="K98" s="6" t="s">
        <v>1080</v>
      </c>
      <c r="L98" s="6" t="s">
        <v>56</v>
      </c>
      <c r="M98" s="5">
        <v>45918</v>
      </c>
      <c r="N98" s="5">
        <v>45948</v>
      </c>
      <c r="O98" s="7">
        <v>15</v>
      </c>
      <c r="P98" s="6">
        <v>1</v>
      </c>
      <c r="Q98" s="6" t="s">
        <v>57</v>
      </c>
      <c r="R98" s="6" t="s">
        <v>301</v>
      </c>
      <c r="S98" s="9">
        <v>0.19</v>
      </c>
      <c r="T98" s="6" t="s">
        <v>97</v>
      </c>
      <c r="U98" s="7">
        <v>2.85</v>
      </c>
    </row>
    <row r="99" spans="1:21" x14ac:dyDescent="0.25">
      <c r="A99" s="6">
        <v>2031110932</v>
      </c>
      <c r="B99" s="6" t="s">
        <v>296</v>
      </c>
      <c r="C99" s="6" t="s">
        <v>297</v>
      </c>
      <c r="D99" s="6"/>
      <c r="E99" s="6" t="s">
        <v>180</v>
      </c>
      <c r="F99" s="6" t="s">
        <v>569</v>
      </c>
      <c r="G99" s="6" t="s">
        <v>572</v>
      </c>
      <c r="H99" s="6"/>
      <c r="I99" s="6" t="s">
        <v>299</v>
      </c>
      <c r="J99" s="6" t="s">
        <v>300</v>
      </c>
      <c r="K99" s="6" t="s">
        <v>1080</v>
      </c>
      <c r="L99" s="6" t="s">
        <v>56</v>
      </c>
      <c r="M99" s="5">
        <v>45918</v>
      </c>
      <c r="N99" s="5">
        <v>45948</v>
      </c>
      <c r="O99" s="7">
        <v>271.95999999999998</v>
      </c>
      <c r="P99" s="6">
        <v>1</v>
      </c>
      <c r="Q99" s="6" t="s">
        <v>57</v>
      </c>
      <c r="R99" s="6" t="s">
        <v>301</v>
      </c>
      <c r="S99" s="9">
        <v>0.19</v>
      </c>
      <c r="T99" s="6" t="s">
        <v>97</v>
      </c>
      <c r="U99" s="7">
        <v>51.67</v>
      </c>
    </row>
    <row r="100" spans="1:21" x14ac:dyDescent="0.25">
      <c r="A100" s="6">
        <v>2031017069</v>
      </c>
      <c r="B100" s="6" t="s">
        <v>639</v>
      </c>
      <c r="C100" s="6" t="s">
        <v>49</v>
      </c>
      <c r="D100" s="6"/>
      <c r="E100" s="6" t="s">
        <v>180</v>
      </c>
      <c r="F100" s="6" t="s">
        <v>106</v>
      </c>
      <c r="G100" s="6" t="s">
        <v>107</v>
      </c>
      <c r="H100" s="6"/>
      <c r="I100" s="6" t="s">
        <v>299</v>
      </c>
      <c r="J100" s="6" t="s">
        <v>300</v>
      </c>
      <c r="K100" s="6" t="s">
        <v>1080</v>
      </c>
      <c r="L100" s="6" t="s">
        <v>56</v>
      </c>
      <c r="M100" s="5">
        <v>45913</v>
      </c>
      <c r="N100" s="5">
        <v>45943</v>
      </c>
      <c r="O100" s="7">
        <v>55</v>
      </c>
      <c r="P100" s="6">
        <v>1</v>
      </c>
      <c r="Q100" s="6" t="s">
        <v>57</v>
      </c>
      <c r="R100" s="6" t="s">
        <v>96</v>
      </c>
      <c r="S100" s="9">
        <v>0.9</v>
      </c>
      <c r="T100" s="6" t="s">
        <v>97</v>
      </c>
      <c r="U100" s="7">
        <v>49.5</v>
      </c>
    </row>
    <row r="101" spans="1:21" x14ac:dyDescent="0.25">
      <c r="A101" s="6">
        <v>2031017071</v>
      </c>
      <c r="B101" s="6" t="s">
        <v>639</v>
      </c>
      <c r="C101" s="6" t="s">
        <v>49</v>
      </c>
      <c r="D101" s="6"/>
      <c r="E101" s="6" t="s">
        <v>180</v>
      </c>
      <c r="F101" s="6" t="s">
        <v>243</v>
      </c>
      <c r="G101" s="6" t="s">
        <v>298</v>
      </c>
      <c r="H101" s="6"/>
      <c r="I101" s="6" t="s">
        <v>299</v>
      </c>
      <c r="J101" s="6" t="s">
        <v>300</v>
      </c>
      <c r="K101" s="6" t="s">
        <v>1080</v>
      </c>
      <c r="L101" s="6" t="s">
        <v>56</v>
      </c>
      <c r="M101" s="5">
        <v>45913</v>
      </c>
      <c r="N101" s="5">
        <v>45943</v>
      </c>
      <c r="O101" s="7">
        <v>15</v>
      </c>
      <c r="P101" s="6">
        <v>1</v>
      </c>
      <c r="Q101" s="6" t="s">
        <v>57</v>
      </c>
      <c r="R101" s="6" t="s">
        <v>301</v>
      </c>
      <c r="S101" s="9">
        <v>0.19</v>
      </c>
      <c r="T101" s="6" t="s">
        <v>97</v>
      </c>
      <c r="U101" s="7">
        <v>2.85</v>
      </c>
    </row>
    <row r="102" spans="1:21" x14ac:dyDescent="0.25">
      <c r="A102" s="6">
        <v>2031017067</v>
      </c>
      <c r="B102" s="6" t="s">
        <v>639</v>
      </c>
      <c r="C102" s="6" t="s">
        <v>49</v>
      </c>
      <c r="D102" s="6"/>
      <c r="E102" s="6" t="s">
        <v>180</v>
      </c>
      <c r="F102" s="6" t="s">
        <v>306</v>
      </c>
      <c r="G102" s="6" t="s">
        <v>307</v>
      </c>
      <c r="H102" s="6"/>
      <c r="I102" s="6" t="s">
        <v>299</v>
      </c>
      <c r="J102" s="6" t="s">
        <v>300</v>
      </c>
      <c r="K102" s="6" t="s">
        <v>1080</v>
      </c>
      <c r="L102" s="6" t="s">
        <v>56</v>
      </c>
      <c r="M102" s="5">
        <v>45913</v>
      </c>
      <c r="N102" s="5">
        <v>45943</v>
      </c>
      <c r="O102" s="7">
        <v>58.15</v>
      </c>
      <c r="P102" s="6">
        <v>1</v>
      </c>
      <c r="Q102" s="6" t="s">
        <v>57</v>
      </c>
      <c r="R102" s="6" t="s">
        <v>96</v>
      </c>
      <c r="S102" s="8">
        <v>0.375</v>
      </c>
      <c r="T102" s="6" t="s">
        <v>97</v>
      </c>
      <c r="U102" s="7">
        <v>21.81</v>
      </c>
    </row>
    <row r="103" spans="1:21" x14ac:dyDescent="0.25">
      <c r="A103" s="6">
        <v>2030962019</v>
      </c>
      <c r="B103" s="6" t="s">
        <v>676</v>
      </c>
      <c r="C103" s="6" t="s">
        <v>374</v>
      </c>
      <c r="D103" s="6"/>
      <c r="E103" s="6" t="s">
        <v>180</v>
      </c>
      <c r="F103" s="6" t="s">
        <v>441</v>
      </c>
      <c r="G103" s="6" t="s">
        <v>451</v>
      </c>
      <c r="H103" s="6"/>
      <c r="I103" s="6" t="s">
        <v>299</v>
      </c>
      <c r="J103" s="6" t="s">
        <v>300</v>
      </c>
      <c r="K103" s="6" t="s">
        <v>1080</v>
      </c>
      <c r="L103" s="6" t="s">
        <v>56</v>
      </c>
      <c r="M103" s="5">
        <v>45911</v>
      </c>
      <c r="N103" s="5">
        <v>45941</v>
      </c>
      <c r="O103" s="7">
        <v>62.3</v>
      </c>
      <c r="P103" s="6">
        <v>1</v>
      </c>
      <c r="Q103" s="6" t="s">
        <v>57</v>
      </c>
      <c r="R103" s="6" t="s">
        <v>96</v>
      </c>
      <c r="S103" s="9">
        <v>0.42</v>
      </c>
      <c r="T103" s="6" t="s">
        <v>97</v>
      </c>
      <c r="U103" s="7">
        <v>26.17</v>
      </c>
    </row>
    <row r="104" spans="1:21" x14ac:dyDescent="0.25">
      <c r="A104" s="6">
        <v>2031017068</v>
      </c>
      <c r="B104" s="6" t="s">
        <v>639</v>
      </c>
      <c r="C104" s="6" t="s">
        <v>49</v>
      </c>
      <c r="D104" s="6"/>
      <c r="E104" s="6" t="s">
        <v>180</v>
      </c>
      <c r="F104" s="6" t="s">
        <v>441</v>
      </c>
      <c r="G104" s="6" t="s">
        <v>445</v>
      </c>
      <c r="H104" s="6"/>
      <c r="I104" s="6" t="s">
        <v>299</v>
      </c>
      <c r="J104" s="6" t="s">
        <v>300</v>
      </c>
      <c r="K104" s="6" t="s">
        <v>1080</v>
      </c>
      <c r="L104" s="6" t="s">
        <v>56</v>
      </c>
      <c r="M104" s="5">
        <v>45913</v>
      </c>
      <c r="N104" s="5">
        <v>45943</v>
      </c>
      <c r="O104" s="7">
        <v>14.92</v>
      </c>
      <c r="P104" s="6">
        <v>1</v>
      </c>
      <c r="Q104" s="6" t="s">
        <v>57</v>
      </c>
      <c r="R104" s="6" t="s">
        <v>96</v>
      </c>
      <c r="S104" s="9">
        <v>0.7</v>
      </c>
      <c r="T104" s="6" t="s">
        <v>97</v>
      </c>
      <c r="U104" s="7">
        <v>10.44</v>
      </c>
    </row>
    <row r="105" spans="1:21" x14ac:dyDescent="0.25">
      <c r="A105" s="6">
        <v>2031017070</v>
      </c>
      <c r="B105" s="6" t="s">
        <v>639</v>
      </c>
      <c r="C105" s="6" t="s">
        <v>49</v>
      </c>
      <c r="D105" s="6"/>
      <c r="E105" s="6" t="s">
        <v>180</v>
      </c>
      <c r="F105" s="6" t="s">
        <v>569</v>
      </c>
      <c r="G105" s="6" t="s">
        <v>572</v>
      </c>
      <c r="H105" s="6"/>
      <c r="I105" s="6" t="s">
        <v>299</v>
      </c>
      <c r="J105" s="6" t="s">
        <v>300</v>
      </c>
      <c r="K105" s="6" t="s">
        <v>1080</v>
      </c>
      <c r="L105" s="6" t="s">
        <v>56</v>
      </c>
      <c r="M105" s="5">
        <v>45913</v>
      </c>
      <c r="N105" s="5">
        <v>45943</v>
      </c>
      <c r="O105" s="7">
        <v>262.94</v>
      </c>
      <c r="P105" s="6">
        <v>1</v>
      </c>
      <c r="Q105" s="6" t="s">
        <v>57</v>
      </c>
      <c r="R105" s="6" t="s">
        <v>301</v>
      </c>
      <c r="S105" s="9">
        <v>0.19</v>
      </c>
      <c r="T105" s="6" t="s">
        <v>97</v>
      </c>
      <c r="U105" s="7">
        <v>49.96</v>
      </c>
    </row>
    <row r="106" spans="1:21" x14ac:dyDescent="0.25">
      <c r="A106" s="6">
        <v>2031074191</v>
      </c>
      <c r="B106" s="6" t="s">
        <v>91</v>
      </c>
      <c r="C106" s="6" t="s">
        <v>92</v>
      </c>
      <c r="D106" s="6"/>
      <c r="E106" s="6" t="s">
        <v>93</v>
      </c>
      <c r="F106" s="6" t="s">
        <v>52</v>
      </c>
      <c r="G106" s="6" t="s">
        <v>78</v>
      </c>
      <c r="H106" s="6"/>
      <c r="I106" s="6" t="s">
        <v>94</v>
      </c>
      <c r="J106" s="6" t="s">
        <v>95</v>
      </c>
      <c r="K106" s="6" t="s">
        <v>1075</v>
      </c>
      <c r="L106" s="6" t="s">
        <v>56</v>
      </c>
      <c r="M106" s="5">
        <v>45931</v>
      </c>
      <c r="N106" s="5">
        <v>45962</v>
      </c>
      <c r="O106" s="7">
        <v>129.97</v>
      </c>
      <c r="P106" s="6">
        <v>1</v>
      </c>
      <c r="Q106" s="6" t="s">
        <v>57</v>
      </c>
      <c r="R106" s="6" t="s">
        <v>96</v>
      </c>
      <c r="S106" s="9">
        <v>0.6</v>
      </c>
      <c r="T106" s="6" t="s">
        <v>97</v>
      </c>
      <c r="U106" s="7">
        <v>77.98</v>
      </c>
    </row>
    <row r="107" spans="1:21" x14ac:dyDescent="0.25">
      <c r="A107" s="6">
        <v>2031094286</v>
      </c>
      <c r="B107" s="6" t="s">
        <v>98</v>
      </c>
      <c r="C107" s="6" t="s">
        <v>99</v>
      </c>
      <c r="D107" s="6"/>
      <c r="E107" s="6" t="s">
        <v>93</v>
      </c>
      <c r="F107" s="6" t="s">
        <v>52</v>
      </c>
      <c r="G107" s="6" t="s">
        <v>78</v>
      </c>
      <c r="H107" s="6"/>
      <c r="I107" s="6" t="s">
        <v>94</v>
      </c>
      <c r="J107" s="6" t="s">
        <v>95</v>
      </c>
      <c r="K107" s="6" t="s">
        <v>1075</v>
      </c>
      <c r="L107" s="6" t="s">
        <v>56</v>
      </c>
      <c r="M107" s="5">
        <v>45931</v>
      </c>
      <c r="N107" s="5">
        <v>45962</v>
      </c>
      <c r="O107" s="7">
        <v>129.97</v>
      </c>
      <c r="P107" s="6">
        <v>1</v>
      </c>
      <c r="Q107" s="6" t="s">
        <v>57</v>
      </c>
      <c r="R107" s="6" t="s">
        <v>96</v>
      </c>
      <c r="S107" s="9">
        <v>0.6</v>
      </c>
      <c r="T107" s="6" t="s">
        <v>97</v>
      </c>
      <c r="U107" s="7">
        <v>77.98</v>
      </c>
    </row>
    <row r="108" spans="1:21" x14ac:dyDescent="0.25">
      <c r="A108" s="6">
        <v>2031097277</v>
      </c>
      <c r="B108" s="6" t="s">
        <v>100</v>
      </c>
      <c r="C108" s="6" t="s">
        <v>101</v>
      </c>
      <c r="D108" s="6"/>
      <c r="E108" s="6" t="s">
        <v>93</v>
      </c>
      <c r="F108" s="6" t="s">
        <v>52</v>
      </c>
      <c r="G108" s="6" t="s">
        <v>78</v>
      </c>
      <c r="H108" s="6"/>
      <c r="I108" s="6" t="s">
        <v>94</v>
      </c>
      <c r="J108" s="6" t="s">
        <v>95</v>
      </c>
      <c r="K108" s="6" t="s">
        <v>1075</v>
      </c>
      <c r="L108" s="6" t="s">
        <v>56</v>
      </c>
      <c r="M108" s="5">
        <v>45931</v>
      </c>
      <c r="N108" s="5">
        <v>45962</v>
      </c>
      <c r="O108" s="7">
        <v>90.95</v>
      </c>
      <c r="P108" s="6">
        <v>1</v>
      </c>
      <c r="Q108" s="6" t="s">
        <v>57</v>
      </c>
      <c r="R108" s="6" t="s">
        <v>96</v>
      </c>
      <c r="S108" s="9">
        <v>0.6</v>
      </c>
      <c r="T108" s="6" t="s">
        <v>97</v>
      </c>
      <c r="U108" s="7">
        <v>54.57</v>
      </c>
    </row>
    <row r="109" spans="1:21" x14ac:dyDescent="0.25">
      <c r="A109" s="6">
        <v>2031097276</v>
      </c>
      <c r="B109" s="6" t="s">
        <v>100</v>
      </c>
      <c r="C109" s="6" t="s">
        <v>101</v>
      </c>
      <c r="D109" s="6"/>
      <c r="E109" s="6" t="s">
        <v>93</v>
      </c>
      <c r="F109" s="6" t="s">
        <v>441</v>
      </c>
      <c r="G109" s="6" t="s">
        <v>445</v>
      </c>
      <c r="H109" s="6"/>
      <c r="I109" s="6" t="s">
        <v>94</v>
      </c>
      <c r="J109" s="6" t="s">
        <v>95</v>
      </c>
      <c r="K109" s="6" t="s">
        <v>1075</v>
      </c>
      <c r="L109" s="6" t="s">
        <v>56</v>
      </c>
      <c r="M109" s="5">
        <v>45931</v>
      </c>
      <c r="N109" s="5">
        <v>45962</v>
      </c>
      <c r="O109" s="7">
        <v>52</v>
      </c>
      <c r="P109" s="6">
        <v>1</v>
      </c>
      <c r="Q109" s="6" t="s">
        <v>57</v>
      </c>
      <c r="R109" s="6" t="s">
        <v>96</v>
      </c>
      <c r="S109" s="9">
        <v>0.7</v>
      </c>
      <c r="T109" s="6" t="s">
        <v>97</v>
      </c>
      <c r="U109" s="7">
        <v>36.4</v>
      </c>
    </row>
    <row r="110" spans="1:21" x14ac:dyDescent="0.25">
      <c r="A110" s="6">
        <v>2031085259</v>
      </c>
      <c r="B110" s="6" t="s">
        <v>566</v>
      </c>
      <c r="C110" s="6" t="s">
        <v>92</v>
      </c>
      <c r="D110" s="6"/>
      <c r="E110" s="6" t="s">
        <v>93</v>
      </c>
      <c r="F110" s="6" t="s">
        <v>441</v>
      </c>
      <c r="G110" s="6" t="s">
        <v>445</v>
      </c>
      <c r="H110" s="6"/>
      <c r="I110" s="6" t="s">
        <v>352</v>
      </c>
      <c r="J110" s="6" t="s">
        <v>49</v>
      </c>
      <c r="K110" s="6" t="s">
        <v>1088</v>
      </c>
      <c r="L110" s="6" t="s">
        <v>56</v>
      </c>
      <c r="M110" s="5">
        <v>45931</v>
      </c>
      <c r="N110" s="5">
        <v>45962</v>
      </c>
      <c r="O110" s="7">
        <v>262.74</v>
      </c>
      <c r="P110" s="6">
        <v>1</v>
      </c>
      <c r="Q110" s="6" t="s">
        <v>57</v>
      </c>
      <c r="R110" s="6" t="s">
        <v>96</v>
      </c>
      <c r="S110" s="9">
        <v>0.7</v>
      </c>
      <c r="T110" s="6" t="s">
        <v>97</v>
      </c>
      <c r="U110" s="7">
        <v>183.92</v>
      </c>
    </row>
    <row r="111" spans="1:21" x14ac:dyDescent="0.25">
      <c r="A111" s="6">
        <v>2031073871</v>
      </c>
      <c r="B111" s="6" t="s">
        <v>564</v>
      </c>
      <c r="C111" s="6" t="s">
        <v>565</v>
      </c>
      <c r="D111" s="6"/>
      <c r="E111" s="6" t="s">
        <v>93</v>
      </c>
      <c r="F111" s="6" t="s">
        <v>441</v>
      </c>
      <c r="G111" s="6" t="s">
        <v>445</v>
      </c>
      <c r="H111" s="6"/>
      <c r="I111" s="6" t="s">
        <v>467</v>
      </c>
      <c r="J111" s="6" t="s">
        <v>468</v>
      </c>
      <c r="K111" s="6" t="s">
        <v>1087</v>
      </c>
      <c r="L111" s="6" t="s">
        <v>56</v>
      </c>
      <c r="M111" s="5">
        <v>45916</v>
      </c>
      <c r="N111" s="5">
        <v>45946</v>
      </c>
      <c r="O111" s="7">
        <v>96</v>
      </c>
      <c r="P111" s="6">
        <v>1</v>
      </c>
      <c r="Q111" s="6" t="s">
        <v>57</v>
      </c>
      <c r="R111" s="6" t="s">
        <v>96</v>
      </c>
      <c r="S111" s="9">
        <v>0.7</v>
      </c>
      <c r="T111" s="6" t="s">
        <v>97</v>
      </c>
      <c r="U111" s="7">
        <v>67.2</v>
      </c>
    </row>
    <row r="112" spans="1:21" x14ac:dyDescent="0.25">
      <c r="A112" s="6">
        <v>2031110050</v>
      </c>
      <c r="B112" s="6" t="s">
        <v>567</v>
      </c>
      <c r="C112" s="6" t="s">
        <v>568</v>
      </c>
      <c r="D112" s="6"/>
      <c r="E112" s="6" t="s">
        <v>93</v>
      </c>
      <c r="F112" s="6" t="s">
        <v>441</v>
      </c>
      <c r="G112" s="6" t="s">
        <v>445</v>
      </c>
      <c r="H112" s="6"/>
      <c r="I112" s="6" t="s">
        <v>467</v>
      </c>
      <c r="J112" s="6" t="s">
        <v>468</v>
      </c>
      <c r="K112" s="6" t="s">
        <v>1087</v>
      </c>
      <c r="L112" s="6" t="s">
        <v>56</v>
      </c>
      <c r="M112" s="5">
        <v>45918</v>
      </c>
      <c r="N112" s="5">
        <v>45948</v>
      </c>
      <c r="O112" s="7">
        <v>18.45</v>
      </c>
      <c r="P112" s="6">
        <v>1</v>
      </c>
      <c r="Q112" s="6" t="s">
        <v>57</v>
      </c>
      <c r="R112" s="6" t="s">
        <v>96</v>
      </c>
      <c r="S112" s="9">
        <v>0.7</v>
      </c>
      <c r="T112" s="6" t="s">
        <v>97</v>
      </c>
      <c r="U112" s="7">
        <v>12.92</v>
      </c>
    </row>
    <row r="113" spans="1:21" x14ac:dyDescent="0.25">
      <c r="A113" s="6">
        <v>2031048164</v>
      </c>
      <c r="B113" s="6" t="s">
        <v>657</v>
      </c>
      <c r="C113" s="6" t="s">
        <v>656</v>
      </c>
      <c r="D113" s="6"/>
      <c r="E113" s="6" t="s">
        <v>93</v>
      </c>
      <c r="F113" s="6" t="s">
        <v>441</v>
      </c>
      <c r="G113" s="6" t="s">
        <v>445</v>
      </c>
      <c r="H113" s="6"/>
      <c r="I113" s="6" t="s">
        <v>467</v>
      </c>
      <c r="J113" s="6" t="s">
        <v>468</v>
      </c>
      <c r="K113" s="6" t="s">
        <v>1087</v>
      </c>
      <c r="L113" s="6" t="s">
        <v>56</v>
      </c>
      <c r="M113" s="5">
        <v>45914</v>
      </c>
      <c r="N113" s="5">
        <v>45944</v>
      </c>
      <c r="O113" s="7">
        <v>160.29</v>
      </c>
      <c r="P113" s="6">
        <v>1</v>
      </c>
      <c r="Q113" s="6" t="s">
        <v>57</v>
      </c>
      <c r="R113" s="6" t="s">
        <v>96</v>
      </c>
      <c r="S113" s="9">
        <v>0.7</v>
      </c>
      <c r="T113" s="6" t="s">
        <v>97</v>
      </c>
      <c r="U113" s="7">
        <v>112.2</v>
      </c>
    </row>
    <row r="114" spans="1:21" x14ac:dyDescent="0.25">
      <c r="A114" s="6">
        <v>2030934310</v>
      </c>
      <c r="B114" s="6" t="s">
        <v>642</v>
      </c>
      <c r="C114" s="6" t="s">
        <v>641</v>
      </c>
      <c r="D114" s="6"/>
      <c r="E114" s="6" t="s">
        <v>266</v>
      </c>
      <c r="F114" s="6" t="s">
        <v>243</v>
      </c>
      <c r="G114" s="6" t="s">
        <v>244</v>
      </c>
      <c r="H114" s="6"/>
      <c r="I114" s="6" t="s">
        <v>294</v>
      </c>
      <c r="J114" s="6" t="s">
        <v>295</v>
      </c>
      <c r="K114" s="6" t="s">
        <v>1094</v>
      </c>
      <c r="L114" s="6" t="s">
        <v>56</v>
      </c>
      <c r="M114" s="5">
        <v>45909</v>
      </c>
      <c r="N114" s="5">
        <v>45939</v>
      </c>
      <c r="O114" s="7">
        <v>15</v>
      </c>
      <c r="P114" s="6">
        <v>1</v>
      </c>
      <c r="Q114" s="6" t="s">
        <v>57</v>
      </c>
      <c r="R114" s="6" t="s">
        <v>305</v>
      </c>
      <c r="S114" s="9">
        <v>0.28999999999999998</v>
      </c>
      <c r="T114" s="6" t="s">
        <v>97</v>
      </c>
      <c r="U114" s="7">
        <v>4.3499999999999996</v>
      </c>
    </row>
    <row r="115" spans="1:21" x14ac:dyDescent="0.25">
      <c r="A115" s="6">
        <v>2030934309</v>
      </c>
      <c r="B115" s="6" t="s">
        <v>642</v>
      </c>
      <c r="C115" s="6" t="s">
        <v>641</v>
      </c>
      <c r="D115" s="6"/>
      <c r="E115" s="6" t="s">
        <v>266</v>
      </c>
      <c r="F115" s="6" t="s">
        <v>569</v>
      </c>
      <c r="G115" s="6" t="s">
        <v>571</v>
      </c>
      <c r="H115" s="6"/>
      <c r="I115" s="6" t="s">
        <v>294</v>
      </c>
      <c r="J115" s="6" t="s">
        <v>295</v>
      </c>
      <c r="K115" s="6" t="s">
        <v>1094</v>
      </c>
      <c r="L115" s="6" t="s">
        <v>56</v>
      </c>
      <c r="M115" s="5">
        <v>45909</v>
      </c>
      <c r="N115" s="5">
        <v>45939</v>
      </c>
      <c r="O115" s="7">
        <v>1014.3</v>
      </c>
      <c r="P115" s="6">
        <v>1</v>
      </c>
      <c r="Q115" s="6" t="s">
        <v>57</v>
      </c>
      <c r="R115" s="6" t="s">
        <v>305</v>
      </c>
      <c r="S115" s="9">
        <v>0.28999999999999998</v>
      </c>
      <c r="T115" s="6" t="s">
        <v>97</v>
      </c>
      <c r="U115" s="7">
        <v>294.14999999999998</v>
      </c>
    </row>
    <row r="116" spans="1:21" x14ac:dyDescent="0.25">
      <c r="A116" s="6">
        <v>2031180133</v>
      </c>
      <c r="B116" s="6" t="s">
        <v>237</v>
      </c>
      <c r="C116" s="6" t="s">
        <v>238</v>
      </c>
      <c r="D116" s="6"/>
      <c r="E116" s="6" t="s">
        <v>239</v>
      </c>
      <c r="F116" s="6" t="s">
        <v>106</v>
      </c>
      <c r="G116" s="6" t="s">
        <v>184</v>
      </c>
      <c r="H116" s="6"/>
      <c r="I116" s="6" t="s">
        <v>79</v>
      </c>
      <c r="J116" s="6" t="s">
        <v>80</v>
      </c>
      <c r="K116" s="6" t="s">
        <v>1079</v>
      </c>
      <c r="L116" s="6" t="s">
        <v>56</v>
      </c>
      <c r="M116" s="5">
        <v>45924</v>
      </c>
      <c r="N116" s="5">
        <v>45954</v>
      </c>
      <c r="O116" s="7">
        <v>71.63</v>
      </c>
      <c r="P116" s="6">
        <v>1</v>
      </c>
      <c r="Q116" s="6" t="s">
        <v>57</v>
      </c>
      <c r="R116" s="6" t="s">
        <v>96</v>
      </c>
      <c r="S116" s="9">
        <v>0.75</v>
      </c>
      <c r="T116" s="6" t="s">
        <v>97</v>
      </c>
      <c r="U116" s="7">
        <v>53.72</v>
      </c>
    </row>
    <row r="117" spans="1:21" x14ac:dyDescent="0.25">
      <c r="A117" s="6">
        <v>2031190209</v>
      </c>
      <c r="B117" s="6" t="s">
        <v>240</v>
      </c>
      <c r="C117" s="6" t="s">
        <v>241</v>
      </c>
      <c r="D117" s="6"/>
      <c r="E117" s="6" t="s">
        <v>157</v>
      </c>
      <c r="F117" s="6" t="s">
        <v>106</v>
      </c>
      <c r="G117" s="6" t="s">
        <v>184</v>
      </c>
      <c r="H117" s="6"/>
      <c r="I117" s="6" t="s">
        <v>79</v>
      </c>
      <c r="J117" s="6" t="s">
        <v>80</v>
      </c>
      <c r="K117" s="6" t="s">
        <v>1079</v>
      </c>
      <c r="L117" s="6" t="s">
        <v>56</v>
      </c>
      <c r="M117" s="5">
        <v>45925</v>
      </c>
      <c r="N117" s="5">
        <v>45955</v>
      </c>
      <c r="O117" s="7">
        <v>80.8</v>
      </c>
      <c r="P117" s="6">
        <v>1</v>
      </c>
      <c r="Q117" s="6" t="s">
        <v>57</v>
      </c>
      <c r="R117" s="6" t="s">
        <v>96</v>
      </c>
      <c r="S117" s="9">
        <v>0.75</v>
      </c>
      <c r="T117" s="6" t="s">
        <v>97</v>
      </c>
      <c r="U117" s="7">
        <v>60.6</v>
      </c>
    </row>
    <row r="118" spans="1:21" x14ac:dyDescent="0.25">
      <c r="A118" s="6">
        <v>2031180131</v>
      </c>
      <c r="B118" s="6" t="s">
        <v>237</v>
      </c>
      <c r="C118" s="6" t="s">
        <v>238</v>
      </c>
      <c r="D118" s="6"/>
      <c r="E118" s="6" t="s">
        <v>239</v>
      </c>
      <c r="F118" s="6" t="s">
        <v>306</v>
      </c>
      <c r="G118" s="6" t="s">
        <v>307</v>
      </c>
      <c r="H118" s="6"/>
      <c r="I118" s="6" t="s">
        <v>79</v>
      </c>
      <c r="J118" s="6" t="s">
        <v>80</v>
      </c>
      <c r="K118" s="6" t="s">
        <v>1079</v>
      </c>
      <c r="L118" s="6" t="s">
        <v>56</v>
      </c>
      <c r="M118" s="5">
        <v>45924</v>
      </c>
      <c r="N118" s="5">
        <v>45954</v>
      </c>
      <c r="O118" s="7">
        <v>69.69</v>
      </c>
      <c r="P118" s="6">
        <v>1</v>
      </c>
      <c r="Q118" s="6" t="s">
        <v>57</v>
      </c>
      <c r="R118" s="6" t="s">
        <v>96</v>
      </c>
      <c r="S118" s="8">
        <v>0.375</v>
      </c>
      <c r="T118" s="6" t="s">
        <v>97</v>
      </c>
      <c r="U118" s="7">
        <v>26.13</v>
      </c>
    </row>
    <row r="119" spans="1:21" x14ac:dyDescent="0.25">
      <c r="A119" s="6">
        <v>2031190207</v>
      </c>
      <c r="B119" s="6" t="s">
        <v>240</v>
      </c>
      <c r="C119" s="6" t="s">
        <v>241</v>
      </c>
      <c r="D119" s="6"/>
      <c r="E119" s="6" t="s">
        <v>157</v>
      </c>
      <c r="F119" s="6" t="s">
        <v>306</v>
      </c>
      <c r="G119" s="6" t="s">
        <v>307</v>
      </c>
      <c r="H119" s="6"/>
      <c r="I119" s="6" t="s">
        <v>79</v>
      </c>
      <c r="J119" s="6" t="s">
        <v>80</v>
      </c>
      <c r="K119" s="6" t="s">
        <v>1079</v>
      </c>
      <c r="L119" s="6" t="s">
        <v>56</v>
      </c>
      <c r="M119" s="5">
        <v>45925</v>
      </c>
      <c r="N119" s="5">
        <v>45955</v>
      </c>
      <c r="O119" s="7">
        <v>63.74</v>
      </c>
      <c r="P119" s="6">
        <v>1</v>
      </c>
      <c r="Q119" s="6" t="s">
        <v>57</v>
      </c>
      <c r="R119" s="6" t="s">
        <v>96</v>
      </c>
      <c r="S119" s="8">
        <v>0.375</v>
      </c>
      <c r="T119" s="6" t="s">
        <v>97</v>
      </c>
      <c r="U119" s="7">
        <v>23.9</v>
      </c>
    </row>
    <row r="120" spans="1:21" x14ac:dyDescent="0.25">
      <c r="A120" s="6">
        <v>2031180132</v>
      </c>
      <c r="B120" s="6" t="s">
        <v>237</v>
      </c>
      <c r="C120" s="6" t="s">
        <v>238</v>
      </c>
      <c r="D120" s="6"/>
      <c r="E120" s="6" t="s">
        <v>239</v>
      </c>
      <c r="F120" s="6" t="s">
        <v>441</v>
      </c>
      <c r="G120" s="6" t="s">
        <v>445</v>
      </c>
      <c r="H120" s="6"/>
      <c r="I120" s="6" t="s">
        <v>79</v>
      </c>
      <c r="J120" s="6" t="s">
        <v>80</v>
      </c>
      <c r="K120" s="6" t="s">
        <v>1079</v>
      </c>
      <c r="L120" s="6" t="s">
        <v>56</v>
      </c>
      <c r="M120" s="5">
        <v>45924</v>
      </c>
      <c r="N120" s="5">
        <v>45954</v>
      </c>
      <c r="O120" s="7">
        <v>101.99</v>
      </c>
      <c r="P120" s="6">
        <v>1</v>
      </c>
      <c r="Q120" s="6" t="s">
        <v>57</v>
      </c>
      <c r="R120" s="6" t="s">
        <v>96</v>
      </c>
      <c r="S120" s="9">
        <v>0.7</v>
      </c>
      <c r="T120" s="6" t="s">
        <v>97</v>
      </c>
      <c r="U120" s="7">
        <v>71.39</v>
      </c>
    </row>
    <row r="121" spans="1:21" x14ac:dyDescent="0.25">
      <c r="A121" s="6">
        <v>2031190208</v>
      </c>
      <c r="B121" s="6" t="s">
        <v>240</v>
      </c>
      <c r="C121" s="6" t="s">
        <v>241</v>
      </c>
      <c r="D121" s="6"/>
      <c r="E121" s="6" t="s">
        <v>157</v>
      </c>
      <c r="F121" s="6" t="s">
        <v>441</v>
      </c>
      <c r="G121" s="6" t="s">
        <v>445</v>
      </c>
      <c r="H121" s="6"/>
      <c r="I121" s="6" t="s">
        <v>79</v>
      </c>
      <c r="J121" s="6" t="s">
        <v>80</v>
      </c>
      <c r="K121" s="6" t="s">
        <v>1079</v>
      </c>
      <c r="L121" s="6" t="s">
        <v>56</v>
      </c>
      <c r="M121" s="5">
        <v>45925</v>
      </c>
      <c r="N121" s="5">
        <v>45955</v>
      </c>
      <c r="O121" s="7">
        <v>194.05</v>
      </c>
      <c r="P121" s="6">
        <v>1</v>
      </c>
      <c r="Q121" s="6" t="s">
        <v>57</v>
      </c>
      <c r="R121" s="6" t="s">
        <v>96</v>
      </c>
      <c r="S121" s="9">
        <v>0.7</v>
      </c>
      <c r="T121" s="6" t="s">
        <v>97</v>
      </c>
      <c r="U121" s="7">
        <v>135.84</v>
      </c>
    </row>
    <row r="122" spans="1:21" x14ac:dyDescent="0.25">
      <c r="A122" s="6">
        <v>2030982989</v>
      </c>
      <c r="B122" s="6" t="s">
        <v>672</v>
      </c>
      <c r="C122" s="6" t="s">
        <v>671</v>
      </c>
      <c r="D122" s="6"/>
      <c r="E122" s="6" t="s">
        <v>151</v>
      </c>
      <c r="F122" s="6" t="s">
        <v>106</v>
      </c>
      <c r="G122" s="6" t="s">
        <v>184</v>
      </c>
      <c r="H122" s="6"/>
      <c r="I122" s="6" t="s">
        <v>79</v>
      </c>
      <c r="J122" s="6" t="s">
        <v>80</v>
      </c>
      <c r="K122" s="6" t="s">
        <v>1079</v>
      </c>
      <c r="L122" s="6" t="s">
        <v>56</v>
      </c>
      <c r="M122" s="5">
        <v>45915</v>
      </c>
      <c r="N122" s="5">
        <v>45945</v>
      </c>
      <c r="O122" s="7">
        <v>62.71</v>
      </c>
      <c r="P122" s="6">
        <v>1</v>
      </c>
      <c r="Q122" s="6" t="s">
        <v>57</v>
      </c>
      <c r="R122" s="6" t="s">
        <v>96</v>
      </c>
      <c r="S122" s="9">
        <v>0.75</v>
      </c>
      <c r="T122" s="6" t="s">
        <v>97</v>
      </c>
      <c r="U122" s="7">
        <v>47.03</v>
      </c>
    </row>
    <row r="123" spans="1:21" x14ac:dyDescent="0.25">
      <c r="A123" s="6">
        <v>2030966817</v>
      </c>
      <c r="B123" s="6" t="s">
        <v>673</v>
      </c>
      <c r="C123" s="6" t="s">
        <v>281</v>
      </c>
      <c r="D123" s="6"/>
      <c r="E123" s="6" t="s">
        <v>193</v>
      </c>
      <c r="F123" s="6" t="s">
        <v>306</v>
      </c>
      <c r="G123" s="6" t="s">
        <v>307</v>
      </c>
      <c r="H123" s="6"/>
      <c r="I123" s="6" t="s">
        <v>79</v>
      </c>
      <c r="J123" s="6" t="s">
        <v>80</v>
      </c>
      <c r="K123" s="6" t="s">
        <v>1079</v>
      </c>
      <c r="L123" s="6" t="s">
        <v>56</v>
      </c>
      <c r="M123" s="5">
        <v>45910</v>
      </c>
      <c r="N123" s="5">
        <v>45940</v>
      </c>
      <c r="O123" s="7">
        <v>61.74</v>
      </c>
      <c r="P123" s="6">
        <v>1</v>
      </c>
      <c r="Q123" s="6" t="s">
        <v>57</v>
      </c>
      <c r="R123" s="6" t="s">
        <v>96</v>
      </c>
      <c r="S123" s="8">
        <v>0.375</v>
      </c>
      <c r="T123" s="6" t="s">
        <v>97</v>
      </c>
      <c r="U123" s="7">
        <v>23.15</v>
      </c>
    </row>
    <row r="124" spans="1:21" x14ac:dyDescent="0.25">
      <c r="A124" s="6">
        <v>2030982990</v>
      </c>
      <c r="B124" s="6" t="s">
        <v>672</v>
      </c>
      <c r="C124" s="6" t="s">
        <v>671</v>
      </c>
      <c r="D124" s="6"/>
      <c r="E124" s="6" t="s">
        <v>151</v>
      </c>
      <c r="F124" s="6" t="s">
        <v>306</v>
      </c>
      <c r="G124" s="6" t="s">
        <v>307</v>
      </c>
      <c r="H124" s="6"/>
      <c r="I124" s="6" t="s">
        <v>79</v>
      </c>
      <c r="J124" s="6" t="s">
        <v>80</v>
      </c>
      <c r="K124" s="6" t="s">
        <v>1079</v>
      </c>
      <c r="L124" s="6" t="s">
        <v>56</v>
      </c>
      <c r="M124" s="5">
        <v>45915</v>
      </c>
      <c r="N124" s="5">
        <v>45945</v>
      </c>
      <c r="O124" s="7">
        <v>243.49</v>
      </c>
      <c r="P124" s="6">
        <v>1</v>
      </c>
      <c r="Q124" s="6" t="s">
        <v>57</v>
      </c>
      <c r="R124" s="6" t="s">
        <v>96</v>
      </c>
      <c r="S124" s="8">
        <v>0.375</v>
      </c>
      <c r="T124" s="6" t="s">
        <v>97</v>
      </c>
      <c r="U124" s="7">
        <v>91.31</v>
      </c>
    </row>
    <row r="125" spans="1:21" x14ac:dyDescent="0.25">
      <c r="A125" s="6">
        <v>2030966818</v>
      </c>
      <c r="B125" s="6" t="s">
        <v>673</v>
      </c>
      <c r="C125" s="6" t="s">
        <v>281</v>
      </c>
      <c r="D125" s="6"/>
      <c r="E125" s="6" t="s">
        <v>193</v>
      </c>
      <c r="F125" s="6" t="s">
        <v>441</v>
      </c>
      <c r="G125" s="6" t="s">
        <v>445</v>
      </c>
      <c r="H125" s="6"/>
      <c r="I125" s="6" t="s">
        <v>79</v>
      </c>
      <c r="J125" s="6" t="s">
        <v>80</v>
      </c>
      <c r="K125" s="6" t="s">
        <v>1079</v>
      </c>
      <c r="L125" s="6" t="s">
        <v>56</v>
      </c>
      <c r="M125" s="5">
        <v>45910</v>
      </c>
      <c r="N125" s="5">
        <v>45940</v>
      </c>
      <c r="O125" s="7">
        <v>18.57</v>
      </c>
      <c r="P125" s="6">
        <v>1</v>
      </c>
      <c r="Q125" s="6" t="s">
        <v>57</v>
      </c>
      <c r="R125" s="6" t="s">
        <v>96</v>
      </c>
      <c r="S125" s="9">
        <v>0.7</v>
      </c>
      <c r="T125" s="6" t="s">
        <v>97</v>
      </c>
      <c r="U125" s="7">
        <v>13</v>
      </c>
    </row>
    <row r="126" spans="1:21" s="6" customFormat="1" x14ac:dyDescent="0.25">
      <c r="A126" s="6">
        <v>2030982991</v>
      </c>
      <c r="B126" s="6" t="s">
        <v>672</v>
      </c>
      <c r="C126" s="6" t="s">
        <v>671</v>
      </c>
      <c r="E126" s="6" t="s">
        <v>151</v>
      </c>
      <c r="F126" s="6" t="s">
        <v>441</v>
      </c>
      <c r="G126" s="6" t="s">
        <v>445</v>
      </c>
      <c r="I126" s="6" t="s">
        <v>79</v>
      </c>
      <c r="J126" s="6" t="s">
        <v>80</v>
      </c>
      <c r="K126" s="6" t="s">
        <v>1079</v>
      </c>
      <c r="L126" s="6" t="s">
        <v>56</v>
      </c>
      <c r="M126" s="5">
        <v>45915</v>
      </c>
      <c r="N126" s="5">
        <v>45945</v>
      </c>
      <c r="O126" s="7">
        <v>94.01</v>
      </c>
      <c r="P126" s="6">
        <v>1</v>
      </c>
      <c r="Q126" s="6" t="s">
        <v>57</v>
      </c>
      <c r="R126" s="6" t="s">
        <v>96</v>
      </c>
      <c r="S126" s="9">
        <v>0.7</v>
      </c>
      <c r="T126" s="6" t="s">
        <v>97</v>
      </c>
      <c r="U126" s="7">
        <v>65.81</v>
      </c>
    </row>
    <row r="127" spans="1:21" s="6" customFormat="1" x14ac:dyDescent="0.25">
      <c r="A127" s="6">
        <v>2031089212</v>
      </c>
      <c r="B127" s="6" t="s">
        <v>422</v>
      </c>
      <c r="C127" s="6" t="s">
        <v>423</v>
      </c>
      <c r="E127" s="6" t="s">
        <v>93</v>
      </c>
      <c r="F127" s="6" t="s">
        <v>306</v>
      </c>
      <c r="G127" s="6" t="s">
        <v>307</v>
      </c>
      <c r="I127" s="6" t="s">
        <v>424</v>
      </c>
      <c r="J127" s="6" t="s">
        <v>425</v>
      </c>
      <c r="K127" s="6" t="s">
        <v>1083</v>
      </c>
      <c r="L127" s="6" t="s">
        <v>56</v>
      </c>
      <c r="M127" s="5">
        <v>45931</v>
      </c>
      <c r="N127" s="5">
        <v>45962</v>
      </c>
      <c r="O127" s="7">
        <v>53.87</v>
      </c>
      <c r="P127" s="6">
        <v>1</v>
      </c>
      <c r="Q127" s="6" t="s">
        <v>57</v>
      </c>
      <c r="R127" s="6" t="s">
        <v>96</v>
      </c>
      <c r="S127" s="8">
        <v>0.375</v>
      </c>
      <c r="T127" s="6" t="s">
        <v>97</v>
      </c>
      <c r="U127" s="7">
        <v>20.2</v>
      </c>
    </row>
    <row r="128" spans="1:21" s="6" customFormat="1" x14ac:dyDescent="0.25">
      <c r="A128" s="6">
        <v>2031089211</v>
      </c>
      <c r="B128" s="6" t="s">
        <v>422</v>
      </c>
      <c r="C128" s="6" t="s">
        <v>423</v>
      </c>
      <c r="E128" s="6" t="s">
        <v>93</v>
      </c>
      <c r="F128" s="6" t="s">
        <v>441</v>
      </c>
      <c r="G128" s="6" t="s">
        <v>445</v>
      </c>
      <c r="I128" s="6" t="s">
        <v>424</v>
      </c>
      <c r="J128" s="6" t="s">
        <v>425</v>
      </c>
      <c r="K128" s="6" t="s">
        <v>1083</v>
      </c>
      <c r="L128" s="6" t="s">
        <v>56</v>
      </c>
      <c r="M128" s="5">
        <v>45931</v>
      </c>
      <c r="N128" s="5">
        <v>45962</v>
      </c>
      <c r="O128" s="7">
        <v>110.16</v>
      </c>
      <c r="P128" s="6">
        <v>1</v>
      </c>
      <c r="Q128" s="6" t="s">
        <v>57</v>
      </c>
      <c r="R128" s="6" t="s">
        <v>96</v>
      </c>
      <c r="S128" s="9">
        <v>0.7</v>
      </c>
      <c r="T128" s="6" t="s">
        <v>97</v>
      </c>
      <c r="U128" s="7">
        <v>77.11</v>
      </c>
    </row>
    <row r="129" spans="1:21" s="6" customFormat="1" x14ac:dyDescent="0.25">
      <c r="A129" s="6">
        <v>2031142845</v>
      </c>
      <c r="B129" s="6" t="s">
        <v>428</v>
      </c>
      <c r="C129" s="6" t="s">
        <v>429</v>
      </c>
      <c r="E129" s="6" t="s">
        <v>188</v>
      </c>
      <c r="F129" s="6" t="s">
        <v>306</v>
      </c>
      <c r="G129" s="6" t="s">
        <v>307</v>
      </c>
      <c r="I129" s="6" t="s">
        <v>122</v>
      </c>
      <c r="J129" s="6" t="s">
        <v>123</v>
      </c>
      <c r="K129" s="6" t="s">
        <v>1085</v>
      </c>
      <c r="L129" s="6" t="s">
        <v>56</v>
      </c>
      <c r="M129" s="5">
        <v>45919</v>
      </c>
      <c r="N129" s="5">
        <v>45949</v>
      </c>
      <c r="O129" s="7">
        <v>35.14</v>
      </c>
      <c r="P129" s="6">
        <v>1</v>
      </c>
      <c r="Q129" s="6" t="s">
        <v>57</v>
      </c>
      <c r="R129" s="6" t="s">
        <v>96</v>
      </c>
      <c r="S129" s="8">
        <v>0.375</v>
      </c>
      <c r="T129" s="6" t="s">
        <v>97</v>
      </c>
      <c r="U129" s="7">
        <v>13.18</v>
      </c>
    </row>
    <row r="130" spans="1:21" s="6" customFormat="1" x14ac:dyDescent="0.25">
      <c r="A130" s="6">
        <v>2031143403</v>
      </c>
      <c r="B130" s="6" t="s">
        <v>164</v>
      </c>
      <c r="C130" s="6" t="s">
        <v>303</v>
      </c>
      <c r="E130" s="6" t="s">
        <v>115</v>
      </c>
      <c r="F130" s="6" t="s">
        <v>306</v>
      </c>
      <c r="G130" s="6" t="s">
        <v>307</v>
      </c>
      <c r="I130" s="6" t="s">
        <v>122</v>
      </c>
      <c r="J130" s="6" t="s">
        <v>123</v>
      </c>
      <c r="K130" s="6" t="s">
        <v>1085</v>
      </c>
      <c r="L130" s="6" t="s">
        <v>56</v>
      </c>
      <c r="M130" s="5">
        <v>45919</v>
      </c>
      <c r="N130" s="5">
        <v>45949</v>
      </c>
      <c r="O130" s="7">
        <v>88.79</v>
      </c>
      <c r="P130" s="6">
        <v>1</v>
      </c>
      <c r="Q130" s="6" t="s">
        <v>57</v>
      </c>
      <c r="R130" s="6" t="s">
        <v>96</v>
      </c>
      <c r="S130" s="8">
        <v>0.375</v>
      </c>
      <c r="T130" s="6" t="s">
        <v>97</v>
      </c>
      <c r="U130" s="7">
        <v>33.299999999999997</v>
      </c>
    </row>
    <row r="131" spans="1:21" x14ac:dyDescent="0.25">
      <c r="A131" s="6">
        <v>2031142846</v>
      </c>
      <c r="B131" s="6" t="s">
        <v>428</v>
      </c>
      <c r="C131" s="6" t="s">
        <v>429</v>
      </c>
      <c r="D131" s="6"/>
      <c r="E131" s="6" t="s">
        <v>188</v>
      </c>
      <c r="F131" s="6" t="s">
        <v>441</v>
      </c>
      <c r="G131" s="6" t="s">
        <v>442</v>
      </c>
      <c r="H131" s="6"/>
      <c r="I131" s="6" t="s">
        <v>122</v>
      </c>
      <c r="J131" s="6" t="s">
        <v>123</v>
      </c>
      <c r="K131" s="6" t="s">
        <v>1085</v>
      </c>
      <c r="L131" s="6" t="s">
        <v>56</v>
      </c>
      <c r="M131" s="5">
        <v>45919</v>
      </c>
      <c r="N131" s="5">
        <v>45949</v>
      </c>
      <c r="O131" s="7">
        <v>8.9600000000000009</v>
      </c>
      <c r="P131" s="6">
        <v>1</v>
      </c>
      <c r="Q131" s="6" t="s">
        <v>57</v>
      </c>
      <c r="R131" s="6" t="s">
        <v>96</v>
      </c>
      <c r="S131" s="9">
        <v>0.9</v>
      </c>
      <c r="T131" s="6" t="s">
        <v>97</v>
      </c>
      <c r="U131" s="7">
        <v>8.06</v>
      </c>
    </row>
  </sheetData>
  <sortState xmlns:xlrd2="http://schemas.microsoft.com/office/spreadsheetml/2017/richdata2" ref="A2:AW70">
    <sortCondition ref="K2:K7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D0CB-AF57-406A-9E27-3191D44C8A2A}">
  <dimension ref="A1:AZ60"/>
  <sheetViews>
    <sheetView topLeftCell="A22" workbookViewId="0">
      <selection activeCell="G65" sqref="G65"/>
    </sheetView>
  </sheetViews>
  <sheetFormatPr defaultRowHeight="15" x14ac:dyDescent="0.25"/>
  <cols>
    <col min="1" max="1" width="11" bestFit="1" customWidth="1"/>
    <col min="2" max="2" width="12.28515625" bestFit="1" customWidth="1"/>
    <col min="3" max="3" width="13.28515625" bestFit="1" customWidth="1"/>
    <col min="4" max="4" width="20.28515625" bestFit="1" customWidth="1"/>
    <col min="5" max="5" width="3.85546875" bestFit="1" customWidth="1"/>
    <col min="6" max="6" width="18.140625" bestFit="1" customWidth="1"/>
    <col min="7" max="7" width="25.5703125" customWidth="1"/>
    <col min="8" max="8" width="15" bestFit="1" customWidth="1"/>
    <col min="9" max="9" width="8.85546875" customWidth="1"/>
    <col min="10" max="10" width="11.28515625" bestFit="1" customWidth="1"/>
    <col min="11" max="11" width="13.28515625" bestFit="1" customWidth="1"/>
    <col min="12" max="12" width="13.85546875" bestFit="1" customWidth="1"/>
    <col min="13" max="13" width="13.85546875" customWidth="1"/>
    <col min="14" max="14" width="9.42578125" bestFit="1" customWidth="1"/>
    <col min="15" max="15" width="10.42578125" bestFit="1" customWidth="1"/>
    <col min="16" max="16" width="9.85546875" bestFit="1" customWidth="1"/>
    <col min="17" max="17" width="2" bestFit="1" customWidth="1"/>
    <col min="18" max="18" width="7.140625" bestFit="1" customWidth="1"/>
    <col min="19" max="19" width="9.85546875" bestFit="1" customWidth="1"/>
    <col min="20" max="20" width="8.28515625" bestFit="1" customWidth="1"/>
    <col min="21" max="21" width="8.28515625" customWidth="1"/>
  </cols>
  <sheetData>
    <row r="1" spans="1:52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H1" t="s">
        <v>10</v>
      </c>
      <c r="K1" t="s">
        <v>11</v>
      </c>
      <c r="L1" t="s">
        <v>12</v>
      </c>
      <c r="M1" t="s">
        <v>1074</v>
      </c>
      <c r="N1" t="s">
        <v>14</v>
      </c>
      <c r="O1" t="s">
        <v>15</v>
      </c>
      <c r="P1" t="s">
        <v>16</v>
      </c>
      <c r="Q1" t="s">
        <v>17</v>
      </c>
      <c r="R1" t="s">
        <v>20</v>
      </c>
      <c r="S1" t="s">
        <v>26</v>
      </c>
      <c r="T1" t="s">
        <v>36</v>
      </c>
    </row>
    <row r="2" spans="1:52" x14ac:dyDescent="0.25">
      <c r="A2" s="6">
        <v>2030981719</v>
      </c>
      <c r="B2" s="6" t="s">
        <v>761</v>
      </c>
      <c r="C2" s="6" t="s">
        <v>760</v>
      </c>
      <c r="D2" s="6" t="str">
        <f>CONCATENATE(C2, " ",B2)</f>
        <v>KATHERINE RODRICKS</v>
      </c>
      <c r="E2" s="6" t="s">
        <v>93</v>
      </c>
      <c r="F2" s="6" t="s">
        <v>430</v>
      </c>
      <c r="G2" s="6" t="s">
        <v>438</v>
      </c>
      <c r="H2" s="6">
        <v>7470776</v>
      </c>
      <c r="I2" s="6" t="s">
        <v>1144</v>
      </c>
      <c r="J2" s="6" t="str">
        <f>CONCATENATE(H2,I2)</f>
        <v>7470776AV6</v>
      </c>
      <c r="K2" s="6" t="s">
        <v>200</v>
      </c>
      <c r="L2" s="6" t="s">
        <v>201</v>
      </c>
      <c r="M2" s="6" t="s">
        <v>1093</v>
      </c>
      <c r="N2" s="5">
        <v>45920</v>
      </c>
      <c r="O2" s="5">
        <v>45950</v>
      </c>
      <c r="P2" s="7">
        <v>200.65</v>
      </c>
      <c r="Q2" s="6">
        <v>1</v>
      </c>
      <c r="R2" s="9">
        <v>0.38</v>
      </c>
      <c r="S2" s="7">
        <v>457.5</v>
      </c>
      <c r="T2" s="7">
        <v>76.25</v>
      </c>
      <c r="U2" s="7">
        <f>T2/6</f>
        <v>12.708333333333334</v>
      </c>
      <c r="V2" s="6" t="s">
        <v>431</v>
      </c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</row>
    <row r="3" spans="1:52" x14ac:dyDescent="0.25">
      <c r="A3" s="6">
        <v>2030985508</v>
      </c>
      <c r="B3" s="6" t="s">
        <v>276</v>
      </c>
      <c r="C3" s="6" t="s">
        <v>421</v>
      </c>
      <c r="D3" s="6" t="str">
        <f t="shared" ref="D3:D60" si="0">CONCATENATE(C3, " ",B3)</f>
        <v>COLLEEN MURPHY</v>
      </c>
      <c r="E3" s="6" t="s">
        <v>93</v>
      </c>
      <c r="F3" s="6" t="s">
        <v>430</v>
      </c>
      <c r="G3" s="6" t="s">
        <v>438</v>
      </c>
      <c r="H3" s="6">
        <v>8814784</v>
      </c>
      <c r="I3" s="6" t="s">
        <v>1144</v>
      </c>
      <c r="J3" s="6" t="str">
        <f t="shared" ref="J3:J60" si="1">CONCATENATE(H3,I3)</f>
        <v>8814784AV6</v>
      </c>
      <c r="K3" s="6" t="s">
        <v>595</v>
      </c>
      <c r="L3" s="6" t="s">
        <v>596</v>
      </c>
      <c r="M3" s="6" t="s">
        <v>1095</v>
      </c>
      <c r="N3" s="5">
        <v>45912</v>
      </c>
      <c r="O3" s="5">
        <v>45942</v>
      </c>
      <c r="P3" s="7">
        <v>371.07</v>
      </c>
      <c r="Q3" s="6">
        <v>1</v>
      </c>
      <c r="R3" s="9">
        <v>0.38</v>
      </c>
      <c r="S3" s="7">
        <v>846.06</v>
      </c>
      <c r="T3" s="7">
        <v>141.01</v>
      </c>
      <c r="U3" s="7">
        <f t="shared" ref="U3:U60" si="2">T3/6</f>
        <v>23.501666666666665</v>
      </c>
      <c r="V3" s="6" t="s">
        <v>431</v>
      </c>
    </row>
    <row r="4" spans="1:52" s="6" customFormat="1" x14ac:dyDescent="0.25">
      <c r="A4" s="6">
        <v>2031136068</v>
      </c>
      <c r="B4" s="6" t="s">
        <v>302</v>
      </c>
      <c r="C4" s="6" t="s">
        <v>303</v>
      </c>
      <c r="D4" s="6" t="str">
        <f t="shared" si="0"/>
        <v>ADAM MAX</v>
      </c>
      <c r="E4" s="6" t="s">
        <v>93</v>
      </c>
      <c r="F4" s="6" t="s">
        <v>430</v>
      </c>
      <c r="G4" s="6" t="s">
        <v>438</v>
      </c>
      <c r="H4" s="6">
        <v>18201929</v>
      </c>
      <c r="I4" s="6" t="s">
        <v>1144</v>
      </c>
      <c r="J4" s="6" t="str">
        <f t="shared" si="1"/>
        <v>18201929AV6</v>
      </c>
      <c r="K4" s="6" t="s">
        <v>210</v>
      </c>
      <c r="L4" s="6" t="s">
        <v>211</v>
      </c>
      <c r="M4" s="6" t="s">
        <v>1081</v>
      </c>
      <c r="N4" s="5">
        <v>45919</v>
      </c>
      <c r="O4" s="5">
        <v>45949</v>
      </c>
      <c r="P4" s="7">
        <v>115.38</v>
      </c>
      <c r="Q4" s="6">
        <v>1</v>
      </c>
      <c r="R4" s="9">
        <v>0.38</v>
      </c>
      <c r="S4" s="7">
        <v>263.04000000000002</v>
      </c>
      <c r="T4" s="7">
        <v>43.84</v>
      </c>
      <c r="U4" s="7">
        <f t="shared" si="2"/>
        <v>7.3066666666666675</v>
      </c>
      <c r="V4" s="6" t="s">
        <v>431</v>
      </c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</row>
    <row r="5" spans="1:52" s="6" customFormat="1" x14ac:dyDescent="0.25">
      <c r="A5" s="6">
        <v>2030954480</v>
      </c>
      <c r="B5" s="6" t="s">
        <v>764</v>
      </c>
      <c r="C5" s="6" t="s">
        <v>335</v>
      </c>
      <c r="D5" s="6" t="str">
        <f t="shared" si="0"/>
        <v>SAMUEL ISAACSON</v>
      </c>
      <c r="E5" s="6" t="s">
        <v>93</v>
      </c>
      <c r="F5" s="6" t="s">
        <v>430</v>
      </c>
      <c r="G5" s="6" t="s">
        <v>438</v>
      </c>
      <c r="H5" s="6">
        <v>18201929</v>
      </c>
      <c r="I5" s="6" t="s">
        <v>1144</v>
      </c>
      <c r="J5" s="6" t="str">
        <f t="shared" si="1"/>
        <v>18201929AV6</v>
      </c>
      <c r="K5" s="6" t="s">
        <v>210</v>
      </c>
      <c r="L5" s="6" t="s">
        <v>211</v>
      </c>
      <c r="M5" s="6" t="s">
        <v>1081</v>
      </c>
      <c r="N5" s="5">
        <v>45910</v>
      </c>
      <c r="O5" s="5">
        <v>45940</v>
      </c>
      <c r="P5" s="7">
        <v>172.55</v>
      </c>
      <c r="Q5" s="6">
        <v>1</v>
      </c>
      <c r="R5" s="9">
        <v>0.38</v>
      </c>
      <c r="S5" s="7">
        <v>393.42</v>
      </c>
      <c r="T5" s="7">
        <v>65.569999999999993</v>
      </c>
      <c r="U5" s="7">
        <f t="shared" si="2"/>
        <v>10.928333333333333</v>
      </c>
      <c r="V5" s="6" t="s">
        <v>431</v>
      </c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</row>
    <row r="6" spans="1:52" s="6" customFormat="1" x14ac:dyDescent="0.25">
      <c r="A6" s="6">
        <v>2030981720</v>
      </c>
      <c r="B6" s="6" t="s">
        <v>761</v>
      </c>
      <c r="C6" s="6" t="s">
        <v>760</v>
      </c>
      <c r="D6" s="6" t="str">
        <f t="shared" si="0"/>
        <v>KATHERINE RODRICKS</v>
      </c>
      <c r="E6" s="6" t="s">
        <v>93</v>
      </c>
      <c r="F6" s="6" t="s">
        <v>430</v>
      </c>
      <c r="G6" s="6" t="s">
        <v>439</v>
      </c>
      <c r="H6" s="6">
        <v>7470776</v>
      </c>
      <c r="I6" s="6" t="s">
        <v>1144</v>
      </c>
      <c r="J6" s="6" t="str">
        <f t="shared" si="1"/>
        <v>7470776AV6</v>
      </c>
      <c r="K6" s="6" t="s">
        <v>200</v>
      </c>
      <c r="L6" s="6" t="s">
        <v>201</v>
      </c>
      <c r="M6" s="6" t="s">
        <v>1093</v>
      </c>
      <c r="N6" s="5">
        <v>45920</v>
      </c>
      <c r="O6" s="5">
        <v>45950</v>
      </c>
      <c r="P6" s="7">
        <v>7.09</v>
      </c>
      <c r="Q6" s="6">
        <v>1</v>
      </c>
      <c r="R6" s="9">
        <v>0.38</v>
      </c>
      <c r="S6" s="7">
        <v>16.14</v>
      </c>
      <c r="T6" s="7">
        <v>2.69</v>
      </c>
      <c r="U6" s="7">
        <f t="shared" si="2"/>
        <v>0.44833333333333331</v>
      </c>
      <c r="V6" s="6" t="s">
        <v>431</v>
      </c>
    </row>
    <row r="7" spans="1:52" s="6" customFormat="1" x14ac:dyDescent="0.25">
      <c r="A7" s="6">
        <v>2031136069</v>
      </c>
      <c r="B7" s="6" t="s">
        <v>302</v>
      </c>
      <c r="C7" s="6" t="s">
        <v>303</v>
      </c>
      <c r="D7" s="6" t="str">
        <f t="shared" si="0"/>
        <v>ADAM MAX</v>
      </c>
      <c r="E7" s="6" t="s">
        <v>93</v>
      </c>
      <c r="F7" s="6" t="s">
        <v>430</v>
      </c>
      <c r="G7" s="6" t="s">
        <v>439</v>
      </c>
      <c r="H7" s="6">
        <v>18201929</v>
      </c>
      <c r="I7" s="6" t="s">
        <v>1144</v>
      </c>
      <c r="J7" s="6" t="str">
        <f t="shared" si="1"/>
        <v>18201929AV6</v>
      </c>
      <c r="K7" s="6" t="s">
        <v>210</v>
      </c>
      <c r="L7" s="6" t="s">
        <v>211</v>
      </c>
      <c r="M7" s="6" t="s">
        <v>1081</v>
      </c>
      <c r="N7" s="5">
        <v>45919</v>
      </c>
      <c r="O7" s="5">
        <v>45949</v>
      </c>
      <c r="P7" s="7">
        <v>7.09</v>
      </c>
      <c r="Q7" s="6">
        <v>1</v>
      </c>
      <c r="R7" s="9">
        <v>0.38</v>
      </c>
      <c r="S7" s="7">
        <v>16.14</v>
      </c>
      <c r="T7" s="7">
        <v>2.69</v>
      </c>
      <c r="U7" s="7">
        <f t="shared" si="2"/>
        <v>0.44833333333333331</v>
      </c>
      <c r="V7" s="6" t="s">
        <v>431</v>
      </c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</row>
    <row r="8" spans="1:52" s="6" customFormat="1" x14ac:dyDescent="0.25">
      <c r="A8" s="6">
        <v>2030954481</v>
      </c>
      <c r="B8" s="6" t="s">
        <v>764</v>
      </c>
      <c r="C8" s="6" t="s">
        <v>335</v>
      </c>
      <c r="D8" s="6" t="str">
        <f t="shared" si="0"/>
        <v>SAMUEL ISAACSON</v>
      </c>
      <c r="E8" s="6" t="s">
        <v>93</v>
      </c>
      <c r="F8" s="6" t="s">
        <v>430</v>
      </c>
      <c r="G8" s="6" t="s">
        <v>439</v>
      </c>
      <c r="H8" s="6">
        <v>18201929</v>
      </c>
      <c r="I8" s="6" t="s">
        <v>1144</v>
      </c>
      <c r="J8" s="6" t="str">
        <f t="shared" si="1"/>
        <v>18201929AV6</v>
      </c>
      <c r="K8" s="6" t="s">
        <v>210</v>
      </c>
      <c r="L8" s="6" t="s">
        <v>211</v>
      </c>
      <c r="M8" s="6" t="s">
        <v>1081</v>
      </c>
      <c r="N8" s="5">
        <v>45910</v>
      </c>
      <c r="O8" s="5">
        <v>45940</v>
      </c>
      <c r="P8" s="7">
        <v>7.09</v>
      </c>
      <c r="Q8" s="6">
        <v>1</v>
      </c>
      <c r="R8" s="9">
        <v>0.38</v>
      </c>
      <c r="S8" s="7">
        <v>16.14</v>
      </c>
      <c r="T8" s="7">
        <v>2.69</v>
      </c>
      <c r="U8" s="7">
        <f t="shared" si="2"/>
        <v>0.44833333333333331</v>
      </c>
      <c r="V8" s="6" t="s">
        <v>431</v>
      </c>
    </row>
    <row r="9" spans="1:52" s="6" customFormat="1" x14ac:dyDescent="0.25">
      <c r="A9" s="6">
        <v>2030945124</v>
      </c>
      <c r="B9" s="6" t="s">
        <v>547</v>
      </c>
      <c r="C9" s="6" t="s">
        <v>683</v>
      </c>
      <c r="D9" s="6" t="str">
        <f t="shared" si="0"/>
        <v>RENAE WILLIAMS</v>
      </c>
      <c r="E9" s="6" t="s">
        <v>93</v>
      </c>
      <c r="F9" s="6" t="s">
        <v>106</v>
      </c>
      <c r="G9" s="6" t="s">
        <v>184</v>
      </c>
      <c r="H9" s="6">
        <v>8325282</v>
      </c>
      <c r="I9" s="6" t="s">
        <v>1144</v>
      </c>
      <c r="J9" s="6" t="str">
        <f t="shared" si="1"/>
        <v>8325282AV6</v>
      </c>
      <c r="K9" s="6" t="s">
        <v>262</v>
      </c>
      <c r="L9" s="6" t="s">
        <v>263</v>
      </c>
      <c r="M9" s="6" t="s">
        <v>1091</v>
      </c>
      <c r="N9" s="5">
        <v>45909</v>
      </c>
      <c r="O9" s="5">
        <v>45939</v>
      </c>
      <c r="P9" s="7">
        <v>47.13</v>
      </c>
      <c r="Q9" s="6">
        <v>1</v>
      </c>
      <c r="R9" s="9">
        <v>0.75</v>
      </c>
      <c r="S9" s="7">
        <v>212.1</v>
      </c>
      <c r="T9" s="7">
        <v>35.35</v>
      </c>
      <c r="U9" s="7">
        <f t="shared" si="2"/>
        <v>5.8916666666666666</v>
      </c>
      <c r="V9" s="6" t="s">
        <v>1141</v>
      </c>
    </row>
    <row r="10" spans="1:52" x14ac:dyDescent="0.25">
      <c r="A10" s="6">
        <v>2030965243</v>
      </c>
      <c r="B10" s="6" t="s">
        <v>1061</v>
      </c>
      <c r="C10" s="6" t="s">
        <v>126</v>
      </c>
      <c r="D10" s="6" t="str">
        <f t="shared" si="0"/>
        <v>REBECCA FALING</v>
      </c>
      <c r="E10" s="6" t="s">
        <v>209</v>
      </c>
      <c r="F10" s="6" t="s">
        <v>106</v>
      </c>
      <c r="G10" s="6" t="s">
        <v>184</v>
      </c>
      <c r="H10" s="6">
        <v>18201929</v>
      </c>
      <c r="I10" s="6" t="s">
        <v>1144</v>
      </c>
      <c r="J10" s="6" t="str">
        <f t="shared" si="1"/>
        <v>18201929AV6</v>
      </c>
      <c r="K10" s="6" t="s">
        <v>210</v>
      </c>
      <c r="L10" s="6" t="s">
        <v>211</v>
      </c>
      <c r="M10" s="6" t="s">
        <v>1081</v>
      </c>
      <c r="N10" s="5">
        <v>45931</v>
      </c>
      <c r="O10" s="5">
        <v>45962</v>
      </c>
      <c r="P10" s="7">
        <v>112.15</v>
      </c>
      <c r="Q10" s="6">
        <v>1</v>
      </c>
      <c r="R10" s="9">
        <v>0.75</v>
      </c>
      <c r="S10" s="7">
        <v>504.66</v>
      </c>
      <c r="T10" s="7">
        <v>84.11</v>
      </c>
      <c r="U10" s="7">
        <f t="shared" si="2"/>
        <v>14.018333333333333</v>
      </c>
      <c r="V10" s="6" t="s">
        <v>1141</v>
      </c>
    </row>
    <row r="11" spans="1:52" x14ac:dyDescent="0.25">
      <c r="A11" s="6">
        <v>2031190209</v>
      </c>
      <c r="B11" s="6" t="s">
        <v>240</v>
      </c>
      <c r="C11" s="6" t="s">
        <v>241</v>
      </c>
      <c r="D11" s="6" t="str">
        <f t="shared" si="0"/>
        <v>JANICE SEMPRINI</v>
      </c>
      <c r="E11" s="6" t="s">
        <v>157</v>
      </c>
      <c r="F11" s="6" t="s">
        <v>106</v>
      </c>
      <c r="G11" s="6" t="s">
        <v>184</v>
      </c>
      <c r="H11" s="6">
        <v>16633294</v>
      </c>
      <c r="I11" s="6" t="s">
        <v>1144</v>
      </c>
      <c r="J11" s="6" t="str">
        <f t="shared" si="1"/>
        <v>16633294AV6</v>
      </c>
      <c r="K11" s="6" t="s">
        <v>79</v>
      </c>
      <c r="L11" s="6" t="s">
        <v>80</v>
      </c>
      <c r="M11" s="6" t="s">
        <v>1079</v>
      </c>
      <c r="N11" s="5">
        <v>45925</v>
      </c>
      <c r="O11" s="5">
        <v>45955</v>
      </c>
      <c r="P11" s="7">
        <v>80.8</v>
      </c>
      <c r="Q11" s="6">
        <v>1</v>
      </c>
      <c r="R11" s="9">
        <v>0.75</v>
      </c>
      <c r="S11" s="7">
        <v>363.6</v>
      </c>
      <c r="T11" s="7">
        <v>60.6</v>
      </c>
      <c r="U11" s="7">
        <f t="shared" si="2"/>
        <v>10.1</v>
      </c>
      <c r="V11" s="6" t="s">
        <v>1141</v>
      </c>
    </row>
    <row r="12" spans="1:52" x14ac:dyDescent="0.25">
      <c r="A12" s="6">
        <v>2031180133</v>
      </c>
      <c r="B12" s="6" t="s">
        <v>237</v>
      </c>
      <c r="C12" s="6" t="s">
        <v>238</v>
      </c>
      <c r="D12" s="6" t="str">
        <f t="shared" si="0"/>
        <v>MARGARET BALDWIN</v>
      </c>
      <c r="E12" s="6" t="s">
        <v>239</v>
      </c>
      <c r="F12" s="6" t="s">
        <v>106</v>
      </c>
      <c r="G12" s="6" t="s">
        <v>184</v>
      </c>
      <c r="H12" s="6">
        <v>16633294</v>
      </c>
      <c r="I12" s="6" t="s">
        <v>1144</v>
      </c>
      <c r="J12" s="6" t="str">
        <f t="shared" si="1"/>
        <v>16633294AV6</v>
      </c>
      <c r="K12" s="6" t="s">
        <v>79</v>
      </c>
      <c r="L12" s="6" t="s">
        <v>80</v>
      </c>
      <c r="M12" s="6" t="s">
        <v>1079</v>
      </c>
      <c r="N12" s="5">
        <v>45924</v>
      </c>
      <c r="O12" s="5">
        <v>45954</v>
      </c>
      <c r="P12" s="7">
        <v>71.63</v>
      </c>
      <c r="Q12" s="6">
        <v>1</v>
      </c>
      <c r="R12" s="9">
        <v>0.75</v>
      </c>
      <c r="S12" s="7">
        <v>322.32</v>
      </c>
      <c r="T12" s="7">
        <v>53.72</v>
      </c>
      <c r="U12" s="7">
        <f t="shared" si="2"/>
        <v>8.9533333333333331</v>
      </c>
      <c r="V12" s="6" t="s">
        <v>1141</v>
      </c>
    </row>
    <row r="13" spans="1:52" x14ac:dyDescent="0.25">
      <c r="A13" s="6">
        <v>2030982989</v>
      </c>
      <c r="B13" s="6" t="s">
        <v>672</v>
      </c>
      <c r="C13" s="6" t="s">
        <v>671</v>
      </c>
      <c r="D13" s="6" t="str">
        <f t="shared" si="0"/>
        <v>STUART ELMAN</v>
      </c>
      <c r="E13" s="6" t="s">
        <v>151</v>
      </c>
      <c r="F13" s="6" t="s">
        <v>106</v>
      </c>
      <c r="G13" s="6" t="s">
        <v>184</v>
      </c>
      <c r="H13" s="6">
        <v>16633294</v>
      </c>
      <c r="I13" s="6" t="s">
        <v>1144</v>
      </c>
      <c r="J13" s="6" t="str">
        <f t="shared" si="1"/>
        <v>16633294AV6</v>
      </c>
      <c r="K13" s="6" t="s">
        <v>79</v>
      </c>
      <c r="L13" s="6" t="s">
        <v>80</v>
      </c>
      <c r="M13" s="6" t="s">
        <v>1079</v>
      </c>
      <c r="N13" s="5">
        <v>45915</v>
      </c>
      <c r="O13" s="5">
        <v>45945</v>
      </c>
      <c r="P13" s="7">
        <v>62.71</v>
      </c>
      <c r="Q13" s="6">
        <v>1</v>
      </c>
      <c r="R13" s="9">
        <v>0.75</v>
      </c>
      <c r="S13" s="7">
        <v>282.18</v>
      </c>
      <c r="T13" s="7">
        <v>47.03</v>
      </c>
      <c r="U13" s="7">
        <f t="shared" si="2"/>
        <v>7.8383333333333338</v>
      </c>
      <c r="V13" s="6" t="s">
        <v>1141</v>
      </c>
    </row>
    <row r="14" spans="1:52" x14ac:dyDescent="0.25">
      <c r="A14" s="6">
        <v>2030981721</v>
      </c>
      <c r="B14" s="6" t="s">
        <v>761</v>
      </c>
      <c r="C14" s="6" t="s">
        <v>760</v>
      </c>
      <c r="D14" s="6" t="str">
        <f t="shared" si="0"/>
        <v>KATHERINE RODRICKS</v>
      </c>
      <c r="E14" s="6" t="s">
        <v>93</v>
      </c>
      <c r="F14" s="6" t="s">
        <v>106</v>
      </c>
      <c r="G14" s="6" t="s">
        <v>107</v>
      </c>
      <c r="H14" s="6">
        <v>7470776</v>
      </c>
      <c r="I14" s="6" t="s">
        <v>1144</v>
      </c>
      <c r="J14" s="6" t="str">
        <f t="shared" si="1"/>
        <v>7470776AV6</v>
      </c>
      <c r="K14" s="6" t="s">
        <v>200</v>
      </c>
      <c r="L14" s="6" t="s">
        <v>201</v>
      </c>
      <c r="M14" s="6" t="s">
        <v>1093</v>
      </c>
      <c r="N14" s="5">
        <v>45920</v>
      </c>
      <c r="O14" s="5">
        <v>45950</v>
      </c>
      <c r="P14" s="7">
        <v>78.790000000000006</v>
      </c>
      <c r="Q14" s="6">
        <v>1</v>
      </c>
      <c r="R14" s="9">
        <v>0.9</v>
      </c>
      <c r="S14" s="7">
        <v>425.46</v>
      </c>
      <c r="T14" s="7">
        <v>70.91</v>
      </c>
      <c r="U14" s="7">
        <f t="shared" si="2"/>
        <v>11.818333333333333</v>
      </c>
      <c r="V14" s="6" t="s">
        <v>1142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</row>
    <row r="15" spans="1:52" x14ac:dyDescent="0.25">
      <c r="A15" s="6">
        <v>2031017069</v>
      </c>
      <c r="B15" s="6" t="s">
        <v>639</v>
      </c>
      <c r="C15" s="6" t="s">
        <v>49</v>
      </c>
      <c r="D15" s="6" t="str">
        <f t="shared" si="0"/>
        <v>MICHAEL DECKARD</v>
      </c>
      <c r="E15" s="6" t="s">
        <v>180</v>
      </c>
      <c r="F15" s="6" t="s">
        <v>106</v>
      </c>
      <c r="G15" s="6" t="s">
        <v>107</v>
      </c>
      <c r="H15" s="6">
        <v>20724564</v>
      </c>
      <c r="I15" s="6" t="s">
        <v>1144</v>
      </c>
      <c r="J15" s="6" t="str">
        <f t="shared" si="1"/>
        <v>20724564AV6</v>
      </c>
      <c r="K15" s="6" t="s">
        <v>299</v>
      </c>
      <c r="L15" s="6" t="s">
        <v>300</v>
      </c>
      <c r="M15" s="6" t="s">
        <v>1080</v>
      </c>
      <c r="N15" s="5">
        <v>45913</v>
      </c>
      <c r="O15" s="5">
        <v>45943</v>
      </c>
      <c r="P15" s="7">
        <v>55</v>
      </c>
      <c r="Q15" s="6">
        <v>1</v>
      </c>
      <c r="R15" s="9">
        <v>0.9</v>
      </c>
      <c r="S15" s="7">
        <v>297</v>
      </c>
      <c r="T15" s="7">
        <v>49.5</v>
      </c>
      <c r="U15" s="7">
        <f t="shared" si="2"/>
        <v>8.25</v>
      </c>
      <c r="V15" s="6" t="s">
        <v>1142</v>
      </c>
    </row>
    <row r="16" spans="1:52" x14ac:dyDescent="0.25">
      <c r="A16" s="6">
        <v>2030945123</v>
      </c>
      <c r="B16" s="6" t="s">
        <v>547</v>
      </c>
      <c r="C16" s="6" t="s">
        <v>683</v>
      </c>
      <c r="D16" s="6" t="str">
        <f t="shared" si="0"/>
        <v>RENAE WILLIAMS</v>
      </c>
      <c r="E16" s="6" t="s">
        <v>93</v>
      </c>
      <c r="F16" s="6" t="s">
        <v>441</v>
      </c>
      <c r="G16" s="6" t="s">
        <v>451</v>
      </c>
      <c r="H16" s="6">
        <v>8325282</v>
      </c>
      <c r="I16" s="6" t="s">
        <v>1144</v>
      </c>
      <c r="J16" s="6" t="str">
        <f t="shared" si="1"/>
        <v>8325282AV6</v>
      </c>
      <c r="K16" s="6" t="s">
        <v>262</v>
      </c>
      <c r="L16" s="6" t="s">
        <v>263</v>
      </c>
      <c r="M16" s="6" t="s">
        <v>1091</v>
      </c>
      <c r="N16" s="5">
        <v>45909</v>
      </c>
      <c r="O16" s="5">
        <v>45939</v>
      </c>
      <c r="P16" s="7">
        <v>25.08</v>
      </c>
      <c r="Q16" s="6">
        <v>1</v>
      </c>
      <c r="R16" s="9">
        <v>0.42</v>
      </c>
      <c r="S16" s="7">
        <v>63.18</v>
      </c>
      <c r="T16" s="7">
        <v>10.53</v>
      </c>
      <c r="U16" s="7">
        <f t="shared" si="2"/>
        <v>1.7549999999999999</v>
      </c>
      <c r="V16" t="s">
        <v>451</v>
      </c>
    </row>
    <row r="17" spans="1:52" x14ac:dyDescent="0.25">
      <c r="A17" s="6">
        <v>2030962019</v>
      </c>
      <c r="B17" s="6" t="s">
        <v>676</v>
      </c>
      <c r="C17" s="6" t="s">
        <v>374</v>
      </c>
      <c r="D17" s="6" t="str">
        <f t="shared" si="0"/>
        <v>ELIZABETH LIGHT</v>
      </c>
      <c r="E17" s="6" t="s">
        <v>180</v>
      </c>
      <c r="F17" s="6" t="s">
        <v>441</v>
      </c>
      <c r="G17" s="6" t="s">
        <v>451</v>
      </c>
      <c r="H17" s="6">
        <v>20724564</v>
      </c>
      <c r="I17" s="6" t="s">
        <v>1144</v>
      </c>
      <c r="J17" s="6" t="str">
        <f t="shared" si="1"/>
        <v>20724564AV6</v>
      </c>
      <c r="K17" s="6" t="s">
        <v>299</v>
      </c>
      <c r="L17" s="6" t="s">
        <v>300</v>
      </c>
      <c r="M17" s="6" t="s">
        <v>1080</v>
      </c>
      <c r="N17" s="5">
        <v>45911</v>
      </c>
      <c r="O17" s="5">
        <v>45941</v>
      </c>
      <c r="P17" s="7">
        <v>62.3</v>
      </c>
      <c r="Q17" s="6">
        <v>1</v>
      </c>
      <c r="R17" s="9">
        <v>0.42</v>
      </c>
      <c r="S17" s="7">
        <v>157.02000000000001</v>
      </c>
      <c r="T17" s="7">
        <v>26.17</v>
      </c>
      <c r="U17" s="7">
        <f t="shared" si="2"/>
        <v>4.3616666666666672</v>
      </c>
      <c r="V17" t="s">
        <v>451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</row>
    <row r="18" spans="1:52" x14ac:dyDescent="0.25">
      <c r="A18" s="6">
        <v>2030981722</v>
      </c>
      <c r="B18" s="6" t="s">
        <v>761</v>
      </c>
      <c r="C18" s="6" t="s">
        <v>760</v>
      </c>
      <c r="D18" s="6" t="str">
        <f t="shared" si="0"/>
        <v>KATHERINE RODRICKS</v>
      </c>
      <c r="E18" s="6" t="s">
        <v>93</v>
      </c>
      <c r="F18" s="6" t="s">
        <v>243</v>
      </c>
      <c r="G18" s="6" t="s">
        <v>261</v>
      </c>
      <c r="H18" s="6">
        <v>7470776</v>
      </c>
      <c r="I18" s="6" t="s">
        <v>1144</v>
      </c>
      <c r="J18" s="6" t="str">
        <f t="shared" si="1"/>
        <v>7470776AV6</v>
      </c>
      <c r="K18" s="6" t="s">
        <v>200</v>
      </c>
      <c r="L18" s="6" t="s">
        <v>201</v>
      </c>
      <c r="M18" s="6" t="s">
        <v>1093</v>
      </c>
      <c r="N18" s="5">
        <v>45920</v>
      </c>
      <c r="O18" s="5">
        <v>45950</v>
      </c>
      <c r="P18" s="7">
        <v>15</v>
      </c>
      <c r="Q18" s="6">
        <v>1</v>
      </c>
      <c r="R18" s="9">
        <v>0.38</v>
      </c>
      <c r="S18" s="7">
        <v>34.200000000000003</v>
      </c>
      <c r="T18" s="7">
        <v>5.7</v>
      </c>
      <c r="U18" s="7">
        <f t="shared" si="2"/>
        <v>0.95000000000000007</v>
      </c>
      <c r="V18" s="6" t="s">
        <v>431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</row>
    <row r="19" spans="1:52" x14ac:dyDescent="0.25">
      <c r="A19" s="6">
        <v>2030985509</v>
      </c>
      <c r="B19" s="6" t="s">
        <v>276</v>
      </c>
      <c r="C19" s="6" t="s">
        <v>421</v>
      </c>
      <c r="D19" s="6" t="str">
        <f t="shared" si="0"/>
        <v>COLLEEN MURPHY</v>
      </c>
      <c r="E19" s="6" t="s">
        <v>93</v>
      </c>
      <c r="F19" s="6" t="s">
        <v>243</v>
      </c>
      <c r="G19" s="6" t="s">
        <v>261</v>
      </c>
      <c r="H19" s="6">
        <v>8814784</v>
      </c>
      <c r="I19" s="6" t="s">
        <v>1144</v>
      </c>
      <c r="J19" s="6" t="str">
        <f t="shared" si="1"/>
        <v>8814784AV6</v>
      </c>
      <c r="K19" s="6" t="s">
        <v>595</v>
      </c>
      <c r="L19" s="6" t="s">
        <v>596</v>
      </c>
      <c r="M19" s="6" t="s">
        <v>1095</v>
      </c>
      <c r="N19" s="5">
        <v>45912</v>
      </c>
      <c r="O19" s="5">
        <v>45942</v>
      </c>
      <c r="P19" s="7">
        <v>15</v>
      </c>
      <c r="Q19" s="6">
        <v>1</v>
      </c>
      <c r="R19" s="9">
        <v>0.38</v>
      </c>
      <c r="S19" s="7">
        <v>34.200000000000003</v>
      </c>
      <c r="T19" s="7">
        <v>5.7</v>
      </c>
      <c r="U19" s="7">
        <f t="shared" si="2"/>
        <v>0.95000000000000007</v>
      </c>
      <c r="V19" s="6" t="s">
        <v>431</v>
      </c>
    </row>
    <row r="20" spans="1:52" x14ac:dyDescent="0.25">
      <c r="A20" s="6">
        <v>2031136070</v>
      </c>
      <c r="B20" s="6" t="s">
        <v>302</v>
      </c>
      <c r="C20" s="6" t="s">
        <v>303</v>
      </c>
      <c r="D20" s="6" t="str">
        <f t="shared" si="0"/>
        <v>ADAM MAX</v>
      </c>
      <c r="E20" s="6" t="s">
        <v>93</v>
      </c>
      <c r="F20" s="6" t="s">
        <v>243</v>
      </c>
      <c r="G20" s="6" t="s">
        <v>261</v>
      </c>
      <c r="H20" s="6">
        <v>18201929</v>
      </c>
      <c r="I20" s="6" t="s">
        <v>1144</v>
      </c>
      <c r="J20" s="6" t="str">
        <f t="shared" si="1"/>
        <v>18201929AV6</v>
      </c>
      <c r="K20" s="6" t="s">
        <v>210</v>
      </c>
      <c r="L20" s="6" t="s">
        <v>211</v>
      </c>
      <c r="M20" s="6" t="s">
        <v>1081</v>
      </c>
      <c r="N20" s="5">
        <v>45919</v>
      </c>
      <c r="O20" s="5">
        <v>45949</v>
      </c>
      <c r="P20" s="7">
        <v>15</v>
      </c>
      <c r="Q20" s="6">
        <v>1</v>
      </c>
      <c r="R20" s="9">
        <v>0.38</v>
      </c>
      <c r="S20" s="7">
        <v>34.200000000000003</v>
      </c>
      <c r="T20" s="7">
        <v>5.7</v>
      </c>
      <c r="U20" s="7">
        <f t="shared" si="2"/>
        <v>0.95000000000000007</v>
      </c>
      <c r="V20" s="6" t="s">
        <v>431</v>
      </c>
    </row>
    <row r="21" spans="1:52" x14ac:dyDescent="0.25">
      <c r="A21" s="6">
        <v>2030954483</v>
      </c>
      <c r="B21" s="6" t="s">
        <v>764</v>
      </c>
      <c r="C21" s="6" t="s">
        <v>335</v>
      </c>
      <c r="D21" s="6" t="str">
        <f t="shared" si="0"/>
        <v>SAMUEL ISAACSON</v>
      </c>
      <c r="E21" s="6" t="s">
        <v>93</v>
      </c>
      <c r="F21" s="6" t="s">
        <v>243</v>
      </c>
      <c r="G21" s="6" t="s">
        <v>261</v>
      </c>
      <c r="H21" s="6">
        <v>18201929</v>
      </c>
      <c r="I21" s="6" t="s">
        <v>1144</v>
      </c>
      <c r="J21" s="6" t="str">
        <f t="shared" si="1"/>
        <v>18201929AV6</v>
      </c>
      <c r="K21" s="6" t="s">
        <v>210</v>
      </c>
      <c r="L21" s="6" t="s">
        <v>211</v>
      </c>
      <c r="M21" s="6" t="s">
        <v>1081</v>
      </c>
      <c r="N21" s="5">
        <v>45910</v>
      </c>
      <c r="O21" s="5">
        <v>45940</v>
      </c>
      <c r="P21" s="7">
        <v>15</v>
      </c>
      <c r="Q21" s="6">
        <v>1</v>
      </c>
      <c r="R21" s="9">
        <v>0.38</v>
      </c>
      <c r="S21" s="7">
        <v>34.200000000000003</v>
      </c>
      <c r="T21" s="7">
        <v>5.7</v>
      </c>
      <c r="U21" s="7">
        <f t="shared" si="2"/>
        <v>0.95000000000000007</v>
      </c>
      <c r="V21" s="6" t="s">
        <v>431</v>
      </c>
    </row>
    <row r="22" spans="1:52" s="6" customFormat="1" x14ac:dyDescent="0.25">
      <c r="A22" s="6">
        <v>2031110933</v>
      </c>
      <c r="B22" s="6" t="s">
        <v>296</v>
      </c>
      <c r="C22" s="6" t="s">
        <v>297</v>
      </c>
      <c r="D22" s="6" t="str">
        <f t="shared" si="0"/>
        <v>MAKENNA BERTSCH</v>
      </c>
      <c r="E22" s="6" t="s">
        <v>180</v>
      </c>
      <c r="F22" s="6" t="s">
        <v>243</v>
      </c>
      <c r="G22" s="6" t="s">
        <v>298</v>
      </c>
      <c r="H22" s="6">
        <v>20724564</v>
      </c>
      <c r="I22" s="6" t="s">
        <v>1144</v>
      </c>
      <c r="J22" s="6" t="str">
        <f t="shared" si="1"/>
        <v>20724564AV6</v>
      </c>
      <c r="K22" s="6" t="s">
        <v>299</v>
      </c>
      <c r="L22" s="6" t="s">
        <v>300</v>
      </c>
      <c r="M22" s="6" t="s">
        <v>1080</v>
      </c>
      <c r="N22" s="5">
        <v>45918</v>
      </c>
      <c r="O22" s="5">
        <v>45948</v>
      </c>
      <c r="P22" s="7">
        <v>15</v>
      </c>
      <c r="Q22" s="6">
        <v>1</v>
      </c>
      <c r="R22" s="9">
        <v>0.19</v>
      </c>
      <c r="S22" s="7">
        <v>17.100000000000001</v>
      </c>
      <c r="T22" s="7">
        <v>2.85</v>
      </c>
      <c r="U22" s="7">
        <f t="shared" si="2"/>
        <v>0.47500000000000003</v>
      </c>
      <c r="V22" s="6" t="s">
        <v>252</v>
      </c>
    </row>
    <row r="23" spans="1:52" s="6" customFormat="1" x14ac:dyDescent="0.25">
      <c r="A23" s="6">
        <v>2031017071</v>
      </c>
      <c r="B23" s="6" t="s">
        <v>639</v>
      </c>
      <c r="C23" s="6" t="s">
        <v>49</v>
      </c>
      <c r="D23" s="6" t="str">
        <f t="shared" si="0"/>
        <v>MICHAEL DECKARD</v>
      </c>
      <c r="E23" s="6" t="s">
        <v>180</v>
      </c>
      <c r="F23" s="6" t="s">
        <v>243</v>
      </c>
      <c r="G23" s="6" t="s">
        <v>298</v>
      </c>
      <c r="H23" s="6">
        <v>20724564</v>
      </c>
      <c r="I23" s="6" t="s">
        <v>1144</v>
      </c>
      <c r="J23" s="6" t="str">
        <f t="shared" si="1"/>
        <v>20724564AV6</v>
      </c>
      <c r="K23" s="6" t="s">
        <v>299</v>
      </c>
      <c r="L23" s="6" t="s">
        <v>300</v>
      </c>
      <c r="M23" s="6" t="s">
        <v>1080</v>
      </c>
      <c r="N23" s="5">
        <v>45913</v>
      </c>
      <c r="O23" s="5">
        <v>45943</v>
      </c>
      <c r="P23" s="7">
        <v>15</v>
      </c>
      <c r="Q23" s="6">
        <v>1</v>
      </c>
      <c r="R23" s="9">
        <v>0.19</v>
      </c>
      <c r="S23" s="7">
        <v>17.100000000000001</v>
      </c>
      <c r="T23" s="7">
        <v>2.85</v>
      </c>
      <c r="U23" s="7">
        <f t="shared" si="2"/>
        <v>0.47500000000000003</v>
      </c>
      <c r="V23" s="6" t="s">
        <v>252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</row>
    <row r="24" spans="1:52" s="6" customFormat="1" x14ac:dyDescent="0.25">
      <c r="A24" s="6">
        <v>2030945125</v>
      </c>
      <c r="B24" s="6" t="s">
        <v>547</v>
      </c>
      <c r="C24" s="6" t="s">
        <v>683</v>
      </c>
      <c r="D24" s="6" t="str">
        <f t="shared" si="0"/>
        <v>RENAE WILLIAMS</v>
      </c>
      <c r="E24" s="6" t="s">
        <v>93</v>
      </c>
      <c r="F24" s="6" t="s">
        <v>243</v>
      </c>
      <c r="G24" s="6" t="s">
        <v>249</v>
      </c>
      <c r="H24" s="6">
        <v>8325282</v>
      </c>
      <c r="I24" s="6" t="s">
        <v>1144</v>
      </c>
      <c r="J24" s="6" t="str">
        <f t="shared" si="1"/>
        <v>8325282AV6</v>
      </c>
      <c r="K24" s="6" t="s">
        <v>262</v>
      </c>
      <c r="L24" s="6" t="s">
        <v>263</v>
      </c>
      <c r="M24" s="6" t="s">
        <v>1091</v>
      </c>
      <c r="N24" s="5">
        <v>45909</v>
      </c>
      <c r="O24" s="5">
        <v>45939</v>
      </c>
      <c r="P24" s="7">
        <v>15</v>
      </c>
      <c r="Q24" s="6">
        <v>1</v>
      </c>
      <c r="R24" s="9">
        <v>0.38</v>
      </c>
      <c r="S24" s="7">
        <v>34.200000000000003</v>
      </c>
      <c r="T24" s="7">
        <v>5.7</v>
      </c>
      <c r="U24" s="7">
        <f t="shared" si="2"/>
        <v>0.95000000000000007</v>
      </c>
      <c r="V24" s="6" t="s">
        <v>431</v>
      </c>
    </row>
    <row r="25" spans="1:52" s="6" customFormat="1" x14ac:dyDescent="0.25">
      <c r="A25" s="6">
        <v>2030934310</v>
      </c>
      <c r="B25" s="6" t="s">
        <v>642</v>
      </c>
      <c r="C25" s="6" t="s">
        <v>641</v>
      </c>
      <c r="D25" s="6" t="str">
        <f t="shared" si="0"/>
        <v>JOANNA STERLING</v>
      </c>
      <c r="E25" s="6" t="s">
        <v>266</v>
      </c>
      <c r="F25" s="6" t="s">
        <v>243</v>
      </c>
      <c r="G25" s="6" t="s">
        <v>244</v>
      </c>
      <c r="H25" s="6">
        <v>19200754</v>
      </c>
      <c r="I25" s="6" t="s">
        <v>1144</v>
      </c>
      <c r="J25" s="6" t="str">
        <f t="shared" si="1"/>
        <v>19200754AV6</v>
      </c>
      <c r="K25" s="6" t="s">
        <v>294</v>
      </c>
      <c r="L25" s="6" t="s">
        <v>295</v>
      </c>
      <c r="M25" s="6" t="s">
        <v>1094</v>
      </c>
      <c r="N25" s="5">
        <v>45909</v>
      </c>
      <c r="O25" s="5">
        <v>45939</v>
      </c>
      <c r="P25" s="7">
        <v>15</v>
      </c>
      <c r="Q25" s="6">
        <v>1</v>
      </c>
      <c r="R25" s="9">
        <v>0.28999999999999998</v>
      </c>
      <c r="S25" s="7">
        <v>26.1</v>
      </c>
      <c r="T25" s="7">
        <v>4.3499999999999996</v>
      </c>
      <c r="U25" s="7">
        <f t="shared" si="2"/>
        <v>0.72499999999999998</v>
      </c>
      <c r="V25" t="s">
        <v>1143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</row>
    <row r="26" spans="1:52" s="6" customFormat="1" x14ac:dyDescent="0.25">
      <c r="A26" s="6">
        <v>2030945122</v>
      </c>
      <c r="B26" s="6" t="s">
        <v>547</v>
      </c>
      <c r="C26" s="6" t="s">
        <v>683</v>
      </c>
      <c r="D26" s="6" t="str">
        <f t="shared" si="0"/>
        <v>RENAE WILLIAMS</v>
      </c>
      <c r="E26" s="6" t="s">
        <v>93</v>
      </c>
      <c r="F26" s="6" t="s">
        <v>430</v>
      </c>
      <c r="G26" s="6" t="s">
        <v>431</v>
      </c>
      <c r="H26" s="6">
        <v>8325282</v>
      </c>
      <c r="I26" s="6" t="s">
        <v>1144</v>
      </c>
      <c r="J26" s="6" t="str">
        <f t="shared" si="1"/>
        <v>8325282AV6</v>
      </c>
      <c r="K26" s="6" t="s">
        <v>262</v>
      </c>
      <c r="L26" s="6" t="s">
        <v>263</v>
      </c>
      <c r="M26" s="6" t="s">
        <v>1091</v>
      </c>
      <c r="N26" s="5">
        <v>45909</v>
      </c>
      <c r="O26" s="5">
        <v>45939</v>
      </c>
      <c r="P26" s="7">
        <v>19.48</v>
      </c>
      <c r="Q26" s="6">
        <v>1</v>
      </c>
      <c r="R26" s="9">
        <v>0.38</v>
      </c>
      <c r="S26" s="7">
        <v>44.4</v>
      </c>
      <c r="T26" s="7">
        <v>7.4</v>
      </c>
      <c r="U26" s="7">
        <f t="shared" si="2"/>
        <v>1.2333333333333334</v>
      </c>
      <c r="V26" s="6" t="s">
        <v>431</v>
      </c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</row>
    <row r="27" spans="1:52" s="6" customFormat="1" x14ac:dyDescent="0.25">
      <c r="A27" s="6">
        <v>2031136067</v>
      </c>
      <c r="B27" s="6" t="s">
        <v>302</v>
      </c>
      <c r="C27" s="6" t="s">
        <v>303</v>
      </c>
      <c r="D27" s="6" t="str">
        <f t="shared" si="0"/>
        <v>ADAM MAX</v>
      </c>
      <c r="E27" s="6" t="s">
        <v>93</v>
      </c>
      <c r="F27" s="6" t="s">
        <v>243</v>
      </c>
      <c r="G27" s="6" t="s">
        <v>304</v>
      </c>
      <c r="H27" s="6">
        <v>18201929</v>
      </c>
      <c r="I27" s="6" t="s">
        <v>1144</v>
      </c>
      <c r="J27" s="6" t="str">
        <f t="shared" si="1"/>
        <v>18201929AV6</v>
      </c>
      <c r="K27" s="6" t="s">
        <v>210</v>
      </c>
      <c r="L27" s="6" t="s">
        <v>211</v>
      </c>
      <c r="M27" s="6" t="s">
        <v>1081</v>
      </c>
      <c r="N27" s="5">
        <v>45919</v>
      </c>
      <c r="O27" s="5">
        <v>45949</v>
      </c>
      <c r="P27" s="7">
        <v>50.89</v>
      </c>
      <c r="Q27" s="6">
        <v>1</v>
      </c>
      <c r="R27" s="9">
        <v>0.38</v>
      </c>
      <c r="S27" s="7">
        <v>116.04</v>
      </c>
      <c r="T27" s="7">
        <v>19.34</v>
      </c>
      <c r="U27" s="7">
        <f t="shared" si="2"/>
        <v>3.2233333333333332</v>
      </c>
      <c r="V27" s="6" t="s">
        <v>431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</row>
    <row r="28" spans="1:52" x14ac:dyDescent="0.25">
      <c r="A28" s="6">
        <v>2030954482</v>
      </c>
      <c r="B28" s="6" t="s">
        <v>764</v>
      </c>
      <c r="C28" s="6" t="s">
        <v>335</v>
      </c>
      <c r="D28" s="6" t="str">
        <f t="shared" si="0"/>
        <v>SAMUEL ISAACSON</v>
      </c>
      <c r="E28" s="6" t="s">
        <v>93</v>
      </c>
      <c r="F28" s="6" t="s">
        <v>243</v>
      </c>
      <c r="G28" s="6" t="s">
        <v>304</v>
      </c>
      <c r="H28" s="6">
        <v>18201929</v>
      </c>
      <c r="I28" s="6" t="s">
        <v>1144</v>
      </c>
      <c r="J28" s="6" t="str">
        <f t="shared" si="1"/>
        <v>18201929AV6</v>
      </c>
      <c r="K28" s="6" t="s">
        <v>210</v>
      </c>
      <c r="L28" s="6" t="s">
        <v>211</v>
      </c>
      <c r="M28" s="6" t="s">
        <v>1081</v>
      </c>
      <c r="N28" s="5">
        <v>45910</v>
      </c>
      <c r="O28" s="5">
        <v>45940</v>
      </c>
      <c r="P28" s="7">
        <v>35.04</v>
      </c>
      <c r="Q28" s="6">
        <v>1</v>
      </c>
      <c r="R28" s="9">
        <v>0.38</v>
      </c>
      <c r="S28" s="7">
        <v>79.92</v>
      </c>
      <c r="T28" s="7">
        <v>13.32</v>
      </c>
      <c r="U28" s="7">
        <f t="shared" si="2"/>
        <v>2.2200000000000002</v>
      </c>
      <c r="V28" s="6" t="s">
        <v>431</v>
      </c>
    </row>
    <row r="29" spans="1:52" x14ac:dyDescent="0.25">
      <c r="A29" s="6">
        <v>2031110932</v>
      </c>
      <c r="B29" s="6" t="s">
        <v>296</v>
      </c>
      <c r="C29" s="6" t="s">
        <v>297</v>
      </c>
      <c r="D29" s="6" t="str">
        <f t="shared" si="0"/>
        <v>MAKENNA BERTSCH</v>
      </c>
      <c r="E29" s="6" t="s">
        <v>180</v>
      </c>
      <c r="F29" s="6" t="s">
        <v>569</v>
      </c>
      <c r="G29" s="6" t="s">
        <v>572</v>
      </c>
      <c r="H29" s="6">
        <v>20724564</v>
      </c>
      <c r="I29" s="6" t="s">
        <v>1144</v>
      </c>
      <c r="J29" s="6" t="str">
        <f t="shared" si="1"/>
        <v>20724564AV6</v>
      </c>
      <c r="K29" s="6" t="s">
        <v>299</v>
      </c>
      <c r="L29" s="6" t="s">
        <v>300</v>
      </c>
      <c r="M29" s="6" t="s">
        <v>1080</v>
      </c>
      <c r="N29" s="5">
        <v>45918</v>
      </c>
      <c r="O29" s="5">
        <v>45948</v>
      </c>
      <c r="P29" s="7">
        <v>271.95999999999998</v>
      </c>
      <c r="Q29" s="6">
        <v>1</v>
      </c>
      <c r="R29" s="9">
        <v>0.19</v>
      </c>
      <c r="S29" s="7">
        <v>310.02</v>
      </c>
      <c r="T29" s="7">
        <v>51.67</v>
      </c>
      <c r="U29" s="7">
        <f t="shared" si="2"/>
        <v>8.6116666666666664</v>
      </c>
      <c r="V29" t="s">
        <v>645</v>
      </c>
    </row>
    <row r="30" spans="1:52" x14ac:dyDescent="0.25">
      <c r="A30" s="6">
        <v>2031017070</v>
      </c>
      <c r="B30" s="6" t="s">
        <v>639</v>
      </c>
      <c r="C30" s="6" t="s">
        <v>49</v>
      </c>
      <c r="D30" s="6" t="str">
        <f t="shared" si="0"/>
        <v>MICHAEL DECKARD</v>
      </c>
      <c r="E30" s="6" t="s">
        <v>180</v>
      </c>
      <c r="F30" s="6" t="s">
        <v>569</v>
      </c>
      <c r="G30" s="6" t="s">
        <v>572</v>
      </c>
      <c r="H30" s="6">
        <v>20724564</v>
      </c>
      <c r="I30" s="6" t="s">
        <v>1144</v>
      </c>
      <c r="J30" s="6" t="str">
        <f t="shared" si="1"/>
        <v>20724564AV6</v>
      </c>
      <c r="K30" s="6" t="s">
        <v>299</v>
      </c>
      <c r="L30" s="6" t="s">
        <v>300</v>
      </c>
      <c r="M30" s="6" t="s">
        <v>1080</v>
      </c>
      <c r="N30" s="5">
        <v>45913</v>
      </c>
      <c r="O30" s="5">
        <v>45943</v>
      </c>
      <c r="P30" s="7">
        <v>262.94</v>
      </c>
      <c r="Q30" s="6">
        <v>1</v>
      </c>
      <c r="R30" s="9">
        <v>0.19</v>
      </c>
      <c r="S30" s="7">
        <v>299.76</v>
      </c>
      <c r="T30" s="7">
        <v>49.96</v>
      </c>
      <c r="U30" s="7">
        <f t="shared" si="2"/>
        <v>8.3266666666666662</v>
      </c>
      <c r="V30" t="s">
        <v>645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</row>
    <row r="31" spans="1:52" s="6" customFormat="1" x14ac:dyDescent="0.25">
      <c r="A31" s="6">
        <v>2030934309</v>
      </c>
      <c r="B31" s="6" t="s">
        <v>642</v>
      </c>
      <c r="C31" s="6" t="s">
        <v>641</v>
      </c>
      <c r="D31" s="6" t="str">
        <f t="shared" si="0"/>
        <v>JOANNA STERLING</v>
      </c>
      <c r="E31" s="6" t="s">
        <v>266</v>
      </c>
      <c r="F31" s="6" t="s">
        <v>569</v>
      </c>
      <c r="G31" s="6" t="s">
        <v>571</v>
      </c>
      <c r="H31" s="6">
        <v>19200754</v>
      </c>
      <c r="I31" s="6" t="s">
        <v>1144</v>
      </c>
      <c r="J31" s="6" t="str">
        <f t="shared" si="1"/>
        <v>19200754AV6</v>
      </c>
      <c r="K31" s="6" t="s">
        <v>294</v>
      </c>
      <c r="L31" s="6" t="s">
        <v>295</v>
      </c>
      <c r="M31" s="6" t="s">
        <v>1094</v>
      </c>
      <c r="N31" s="5">
        <v>45909</v>
      </c>
      <c r="O31" s="5">
        <v>45939</v>
      </c>
      <c r="P31" s="7">
        <v>1014.3</v>
      </c>
      <c r="Q31" s="6">
        <v>1</v>
      </c>
      <c r="R31" s="9">
        <v>0.28999999999999998</v>
      </c>
      <c r="S31" s="7">
        <v>1764.9</v>
      </c>
      <c r="T31" s="7">
        <v>294.14999999999998</v>
      </c>
      <c r="U31" s="7">
        <f t="shared" si="2"/>
        <v>49.024999999999999</v>
      </c>
      <c r="V31" t="s">
        <v>571</v>
      </c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</row>
    <row r="32" spans="1:52" s="6" customFormat="1" x14ac:dyDescent="0.25">
      <c r="A32" s="6">
        <v>2030846038</v>
      </c>
      <c r="B32" s="6" t="s">
        <v>414</v>
      </c>
      <c r="C32" s="6" t="s">
        <v>415</v>
      </c>
      <c r="D32" s="6" t="str">
        <f t="shared" si="0"/>
        <v>ANNETTE COMPTON</v>
      </c>
      <c r="E32" s="6" t="s">
        <v>115</v>
      </c>
      <c r="F32" s="6" t="s">
        <v>441</v>
      </c>
      <c r="G32" s="6" t="s">
        <v>445</v>
      </c>
      <c r="H32" s="6">
        <v>21421111</v>
      </c>
      <c r="I32" s="6" t="s">
        <v>1144</v>
      </c>
      <c r="J32" s="6" t="str">
        <f t="shared" si="1"/>
        <v>21421111AV6</v>
      </c>
      <c r="K32" s="6" t="s">
        <v>158</v>
      </c>
      <c r="L32" s="6" t="s">
        <v>159</v>
      </c>
      <c r="M32" s="6" t="s">
        <v>1096</v>
      </c>
      <c r="N32" s="5">
        <v>45913</v>
      </c>
      <c r="O32" s="5">
        <v>45943</v>
      </c>
      <c r="P32" s="7">
        <v>28.38</v>
      </c>
      <c r="Q32" s="6">
        <v>1</v>
      </c>
      <c r="R32" s="9">
        <v>0.7</v>
      </c>
      <c r="S32" s="7">
        <v>119.22</v>
      </c>
      <c r="T32" s="7">
        <v>19.87</v>
      </c>
      <c r="U32" s="7">
        <f t="shared" si="2"/>
        <v>3.311666666666667</v>
      </c>
      <c r="V32" s="6" t="s">
        <v>445</v>
      </c>
    </row>
    <row r="33" spans="1:52" s="6" customFormat="1" x14ac:dyDescent="0.25">
      <c r="A33" s="6">
        <v>2030954164</v>
      </c>
      <c r="B33" s="6" t="s">
        <v>680</v>
      </c>
      <c r="C33" s="6" t="s">
        <v>679</v>
      </c>
      <c r="D33" s="6" t="str">
        <f t="shared" si="0"/>
        <v>TERRICA HENDRIX</v>
      </c>
      <c r="E33" s="6" t="s">
        <v>115</v>
      </c>
      <c r="F33" s="6" t="s">
        <v>441</v>
      </c>
      <c r="G33" s="6" t="s">
        <v>445</v>
      </c>
      <c r="H33" s="6">
        <v>21421111</v>
      </c>
      <c r="I33" s="6" t="s">
        <v>1144</v>
      </c>
      <c r="J33" s="6" t="str">
        <f t="shared" si="1"/>
        <v>21421111AV6</v>
      </c>
      <c r="K33" s="6" t="s">
        <v>158</v>
      </c>
      <c r="L33" s="6" t="s">
        <v>159</v>
      </c>
      <c r="M33" s="6" t="s">
        <v>1096</v>
      </c>
      <c r="N33" s="5">
        <v>45911</v>
      </c>
      <c r="O33" s="5">
        <v>45941</v>
      </c>
      <c r="P33" s="7">
        <v>28.38</v>
      </c>
      <c r="Q33" s="6">
        <v>1</v>
      </c>
      <c r="R33" s="9">
        <v>0.7</v>
      </c>
      <c r="S33" s="7">
        <v>119.22</v>
      </c>
      <c r="T33" s="7">
        <v>19.87</v>
      </c>
      <c r="U33" s="7">
        <f t="shared" si="2"/>
        <v>3.311666666666667</v>
      </c>
      <c r="V33" s="6" t="s">
        <v>445</v>
      </c>
    </row>
    <row r="34" spans="1:52" s="6" customFormat="1" x14ac:dyDescent="0.25">
      <c r="A34" s="6">
        <v>2031017068</v>
      </c>
      <c r="B34" s="6" t="s">
        <v>639</v>
      </c>
      <c r="C34" s="6" t="s">
        <v>49</v>
      </c>
      <c r="D34" s="6" t="str">
        <f t="shared" si="0"/>
        <v>MICHAEL DECKARD</v>
      </c>
      <c r="E34" s="6" t="s">
        <v>180</v>
      </c>
      <c r="F34" s="6" t="s">
        <v>441</v>
      </c>
      <c r="G34" s="6" t="s">
        <v>445</v>
      </c>
      <c r="H34" s="6">
        <v>20724564</v>
      </c>
      <c r="I34" s="6" t="s">
        <v>1144</v>
      </c>
      <c r="J34" s="6" t="str">
        <f t="shared" si="1"/>
        <v>20724564AV6</v>
      </c>
      <c r="K34" s="6" t="s">
        <v>299</v>
      </c>
      <c r="L34" s="6" t="s">
        <v>300</v>
      </c>
      <c r="M34" s="6" t="s">
        <v>1080</v>
      </c>
      <c r="N34" s="5">
        <v>45913</v>
      </c>
      <c r="O34" s="5">
        <v>45943</v>
      </c>
      <c r="P34" s="7">
        <v>14.92</v>
      </c>
      <c r="Q34" s="6">
        <v>1</v>
      </c>
      <c r="R34" s="9">
        <v>0.7</v>
      </c>
      <c r="S34" s="7">
        <v>62.64</v>
      </c>
      <c r="T34" s="7">
        <v>10.44</v>
      </c>
      <c r="U34" s="7">
        <f t="shared" si="2"/>
        <v>1.74</v>
      </c>
      <c r="V34" s="6" t="s">
        <v>445</v>
      </c>
    </row>
    <row r="35" spans="1:52" s="6" customFormat="1" x14ac:dyDescent="0.25">
      <c r="A35" s="6">
        <v>2031097276</v>
      </c>
      <c r="B35" s="6" t="s">
        <v>100</v>
      </c>
      <c r="C35" s="6" t="s">
        <v>101</v>
      </c>
      <c r="D35" s="6" t="str">
        <f t="shared" si="0"/>
        <v>DEBBIE BEAUPRE</v>
      </c>
      <c r="E35" s="6" t="s">
        <v>93</v>
      </c>
      <c r="F35" s="6" t="s">
        <v>441</v>
      </c>
      <c r="G35" s="6" t="s">
        <v>445</v>
      </c>
      <c r="H35" s="6">
        <v>8812322</v>
      </c>
      <c r="I35" s="6" t="s">
        <v>1144</v>
      </c>
      <c r="J35" s="6" t="str">
        <f t="shared" si="1"/>
        <v>8812322AV6</v>
      </c>
      <c r="K35" s="6" t="s">
        <v>94</v>
      </c>
      <c r="L35" s="6" t="s">
        <v>95</v>
      </c>
      <c r="M35" s="6" t="s">
        <v>1075</v>
      </c>
      <c r="N35" s="5">
        <v>45931</v>
      </c>
      <c r="O35" s="5">
        <v>45962</v>
      </c>
      <c r="P35" s="7">
        <v>52</v>
      </c>
      <c r="Q35" s="6">
        <v>1</v>
      </c>
      <c r="R35" s="9">
        <v>0.7</v>
      </c>
      <c r="S35" s="7">
        <v>218.4</v>
      </c>
      <c r="T35" s="7">
        <v>36.4</v>
      </c>
      <c r="U35" s="7">
        <f t="shared" si="2"/>
        <v>6.0666666666666664</v>
      </c>
      <c r="V35" s="6" t="s">
        <v>445</v>
      </c>
    </row>
    <row r="36" spans="1:52" s="6" customFormat="1" x14ac:dyDescent="0.25">
      <c r="A36" s="6">
        <v>2031085259</v>
      </c>
      <c r="B36" s="6" t="s">
        <v>566</v>
      </c>
      <c r="C36" s="6" t="s">
        <v>92</v>
      </c>
      <c r="D36" s="6" t="str">
        <f t="shared" si="0"/>
        <v>BRIAN HOSKINS</v>
      </c>
      <c r="E36" s="6" t="s">
        <v>93</v>
      </c>
      <c r="F36" s="6" t="s">
        <v>441</v>
      </c>
      <c r="G36" s="6" t="s">
        <v>445</v>
      </c>
      <c r="H36" s="6">
        <v>18828278</v>
      </c>
      <c r="I36" s="6" t="s">
        <v>1144</v>
      </c>
      <c r="J36" s="6" t="str">
        <f t="shared" si="1"/>
        <v>18828278AV6</v>
      </c>
      <c r="K36" s="6" t="s">
        <v>352</v>
      </c>
      <c r="L36" s="6" t="s">
        <v>49</v>
      </c>
      <c r="M36" s="6" t="s">
        <v>1088</v>
      </c>
      <c r="N36" s="5">
        <v>45931</v>
      </c>
      <c r="O36" s="5">
        <v>45962</v>
      </c>
      <c r="P36" s="7">
        <v>262.74</v>
      </c>
      <c r="Q36" s="6">
        <v>1</v>
      </c>
      <c r="R36" s="9">
        <v>0.7</v>
      </c>
      <c r="S36" s="7">
        <v>1103.52</v>
      </c>
      <c r="T36" s="7">
        <v>183.92</v>
      </c>
      <c r="U36" s="7">
        <f t="shared" si="2"/>
        <v>30.653333333333332</v>
      </c>
      <c r="V36" s="6" t="s">
        <v>445</v>
      </c>
    </row>
    <row r="37" spans="1:52" s="6" customFormat="1" x14ac:dyDescent="0.25">
      <c r="A37" s="6">
        <v>2031110050</v>
      </c>
      <c r="B37" s="6" t="s">
        <v>567</v>
      </c>
      <c r="C37" s="6" t="s">
        <v>568</v>
      </c>
      <c r="D37" s="6" t="str">
        <f t="shared" si="0"/>
        <v>EMUJIN ENKHBOLD</v>
      </c>
      <c r="E37" s="6" t="s">
        <v>93</v>
      </c>
      <c r="F37" s="6" t="s">
        <v>441</v>
      </c>
      <c r="G37" s="6" t="s">
        <v>445</v>
      </c>
      <c r="H37" s="6">
        <v>20220688</v>
      </c>
      <c r="I37" s="6" t="s">
        <v>1144</v>
      </c>
      <c r="J37" s="6" t="str">
        <f t="shared" si="1"/>
        <v>20220688AV6</v>
      </c>
      <c r="K37" s="6" t="s">
        <v>467</v>
      </c>
      <c r="L37" s="6" t="s">
        <v>468</v>
      </c>
      <c r="M37" s="6" t="s">
        <v>1087</v>
      </c>
      <c r="N37" s="5">
        <v>45918</v>
      </c>
      <c r="O37" s="5">
        <v>45948</v>
      </c>
      <c r="P37" s="7">
        <v>18.45</v>
      </c>
      <c r="Q37" s="6">
        <v>1</v>
      </c>
      <c r="R37" s="9">
        <v>0.7</v>
      </c>
      <c r="S37" s="7">
        <v>77.52</v>
      </c>
      <c r="T37" s="7">
        <v>12.92</v>
      </c>
      <c r="U37" s="7">
        <f t="shared" si="2"/>
        <v>2.1533333333333333</v>
      </c>
      <c r="V37" s="6" t="s">
        <v>445</v>
      </c>
    </row>
    <row r="38" spans="1:52" s="6" customFormat="1" x14ac:dyDescent="0.25">
      <c r="A38" s="6">
        <v>2031073871</v>
      </c>
      <c r="B38" s="6" t="s">
        <v>564</v>
      </c>
      <c r="C38" s="6" t="s">
        <v>565</v>
      </c>
      <c r="D38" s="6" t="str">
        <f t="shared" si="0"/>
        <v>ENKHJARGAL NYAMJAV</v>
      </c>
      <c r="E38" s="6" t="s">
        <v>93</v>
      </c>
      <c r="F38" s="6" t="s">
        <v>441</v>
      </c>
      <c r="G38" s="6" t="s">
        <v>445</v>
      </c>
      <c r="H38" s="6">
        <v>20220688</v>
      </c>
      <c r="I38" s="6" t="s">
        <v>1144</v>
      </c>
      <c r="J38" s="6" t="str">
        <f t="shared" si="1"/>
        <v>20220688AV6</v>
      </c>
      <c r="K38" s="6" t="s">
        <v>467</v>
      </c>
      <c r="L38" s="6" t="s">
        <v>468</v>
      </c>
      <c r="M38" s="6" t="s">
        <v>1087</v>
      </c>
      <c r="N38" s="5">
        <v>45916</v>
      </c>
      <c r="O38" s="5">
        <v>45946</v>
      </c>
      <c r="P38" s="7">
        <v>96</v>
      </c>
      <c r="Q38" s="6">
        <v>1</v>
      </c>
      <c r="R38" s="9">
        <v>0.7</v>
      </c>
      <c r="S38" s="7">
        <v>403.2</v>
      </c>
      <c r="T38" s="7">
        <v>67.2</v>
      </c>
      <c r="U38" s="7">
        <f t="shared" si="2"/>
        <v>11.200000000000001</v>
      </c>
      <c r="V38" s="6" t="s">
        <v>445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</row>
    <row r="39" spans="1:52" s="6" customFormat="1" x14ac:dyDescent="0.25">
      <c r="A39" s="6">
        <v>2031048164</v>
      </c>
      <c r="B39" s="6" t="s">
        <v>657</v>
      </c>
      <c r="C39" s="6" t="s">
        <v>656</v>
      </c>
      <c r="D39" s="6" t="str">
        <f t="shared" si="0"/>
        <v>SEMBI MONGOL</v>
      </c>
      <c r="E39" s="6" t="s">
        <v>93</v>
      </c>
      <c r="F39" s="6" t="s">
        <v>441</v>
      </c>
      <c r="G39" s="6" t="s">
        <v>445</v>
      </c>
      <c r="H39" s="6">
        <v>20220688</v>
      </c>
      <c r="I39" s="6" t="s">
        <v>1144</v>
      </c>
      <c r="J39" s="6" t="str">
        <f t="shared" si="1"/>
        <v>20220688AV6</v>
      </c>
      <c r="K39" s="6" t="s">
        <v>467</v>
      </c>
      <c r="L39" s="6" t="s">
        <v>468</v>
      </c>
      <c r="M39" s="6" t="s">
        <v>1087</v>
      </c>
      <c r="N39" s="5">
        <v>45914</v>
      </c>
      <c r="O39" s="5">
        <v>45944</v>
      </c>
      <c r="P39" s="7">
        <v>160.29</v>
      </c>
      <c r="Q39" s="6">
        <v>1</v>
      </c>
      <c r="R39" s="9">
        <v>0.7</v>
      </c>
      <c r="S39" s="7">
        <v>673.2</v>
      </c>
      <c r="T39" s="7">
        <v>112.2</v>
      </c>
      <c r="U39" s="7">
        <f t="shared" si="2"/>
        <v>18.7</v>
      </c>
      <c r="V39" s="6" t="s">
        <v>445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</row>
    <row r="40" spans="1:52" x14ac:dyDescent="0.25">
      <c r="A40" s="6">
        <v>2030966818</v>
      </c>
      <c r="B40" s="6" t="s">
        <v>673</v>
      </c>
      <c r="C40" s="6" t="s">
        <v>281</v>
      </c>
      <c r="D40" s="6" t="str">
        <f t="shared" si="0"/>
        <v>ANDREW BURLEY</v>
      </c>
      <c r="E40" s="6" t="s">
        <v>193</v>
      </c>
      <c r="F40" s="6" t="s">
        <v>441</v>
      </c>
      <c r="G40" s="6" t="s">
        <v>445</v>
      </c>
      <c r="H40" s="6">
        <v>16633294</v>
      </c>
      <c r="I40" s="6" t="s">
        <v>1144</v>
      </c>
      <c r="J40" s="6" t="str">
        <f t="shared" si="1"/>
        <v>16633294AV6</v>
      </c>
      <c r="K40" s="6" t="s">
        <v>79</v>
      </c>
      <c r="L40" s="6" t="s">
        <v>80</v>
      </c>
      <c r="M40" s="6" t="s">
        <v>1079</v>
      </c>
      <c r="N40" s="5">
        <v>45910</v>
      </c>
      <c r="O40" s="5">
        <v>45940</v>
      </c>
      <c r="P40" s="7">
        <v>18.57</v>
      </c>
      <c r="Q40" s="6">
        <v>1</v>
      </c>
      <c r="R40" s="9">
        <v>0.7</v>
      </c>
      <c r="S40" s="7">
        <v>78</v>
      </c>
      <c r="T40" s="7">
        <v>13</v>
      </c>
      <c r="U40" s="7">
        <f t="shared" si="2"/>
        <v>2.1666666666666665</v>
      </c>
      <c r="V40" s="6" t="s">
        <v>445</v>
      </c>
    </row>
    <row r="41" spans="1:52" x14ac:dyDescent="0.25">
      <c r="A41" s="6">
        <v>2031190208</v>
      </c>
      <c r="B41" s="6" t="s">
        <v>240</v>
      </c>
      <c r="C41" s="6" t="s">
        <v>241</v>
      </c>
      <c r="D41" s="6" t="str">
        <f t="shared" si="0"/>
        <v>JANICE SEMPRINI</v>
      </c>
      <c r="E41" s="6" t="s">
        <v>157</v>
      </c>
      <c r="F41" s="6" t="s">
        <v>441</v>
      </c>
      <c r="G41" s="6" t="s">
        <v>445</v>
      </c>
      <c r="H41" s="6">
        <v>16633294</v>
      </c>
      <c r="I41" s="6" t="s">
        <v>1144</v>
      </c>
      <c r="J41" s="6" t="str">
        <f t="shared" si="1"/>
        <v>16633294AV6</v>
      </c>
      <c r="K41" s="6" t="s">
        <v>79</v>
      </c>
      <c r="L41" s="6" t="s">
        <v>80</v>
      </c>
      <c r="M41" s="6" t="s">
        <v>1079</v>
      </c>
      <c r="N41" s="5">
        <v>45925</v>
      </c>
      <c r="O41" s="5">
        <v>45955</v>
      </c>
      <c r="P41" s="7">
        <v>194.05</v>
      </c>
      <c r="Q41" s="6">
        <v>1</v>
      </c>
      <c r="R41" s="9">
        <v>0.7</v>
      </c>
      <c r="S41" s="7">
        <v>815.04</v>
      </c>
      <c r="T41" s="7">
        <v>135.84</v>
      </c>
      <c r="U41" s="7">
        <f t="shared" si="2"/>
        <v>22.64</v>
      </c>
      <c r="V41" s="6" t="s">
        <v>445</v>
      </c>
    </row>
    <row r="42" spans="1:52" x14ac:dyDescent="0.25">
      <c r="A42" s="6">
        <v>2031180132</v>
      </c>
      <c r="B42" s="6" t="s">
        <v>237</v>
      </c>
      <c r="C42" s="6" t="s">
        <v>238</v>
      </c>
      <c r="D42" s="6" t="str">
        <f t="shared" si="0"/>
        <v>MARGARET BALDWIN</v>
      </c>
      <c r="E42" s="6" t="s">
        <v>239</v>
      </c>
      <c r="F42" s="6" t="s">
        <v>441</v>
      </c>
      <c r="G42" s="6" t="s">
        <v>445</v>
      </c>
      <c r="H42" s="6">
        <v>16633294</v>
      </c>
      <c r="I42" s="6" t="s">
        <v>1144</v>
      </c>
      <c r="J42" s="6" t="str">
        <f t="shared" si="1"/>
        <v>16633294AV6</v>
      </c>
      <c r="K42" s="6" t="s">
        <v>79</v>
      </c>
      <c r="L42" s="6" t="s">
        <v>80</v>
      </c>
      <c r="M42" s="6" t="s">
        <v>1079</v>
      </c>
      <c r="N42" s="5">
        <v>45924</v>
      </c>
      <c r="O42" s="5">
        <v>45954</v>
      </c>
      <c r="P42" s="7">
        <v>101.99</v>
      </c>
      <c r="Q42" s="6">
        <v>1</v>
      </c>
      <c r="R42" s="9">
        <v>0.7</v>
      </c>
      <c r="S42" s="7">
        <v>428.34</v>
      </c>
      <c r="T42" s="7">
        <v>71.39</v>
      </c>
      <c r="U42" s="7">
        <f t="shared" si="2"/>
        <v>11.898333333333333</v>
      </c>
      <c r="V42" s="6" t="s">
        <v>445</v>
      </c>
    </row>
    <row r="43" spans="1:52" x14ac:dyDescent="0.25">
      <c r="A43" s="6">
        <v>2030982991</v>
      </c>
      <c r="B43" s="6" t="s">
        <v>672</v>
      </c>
      <c r="C43" s="6" t="s">
        <v>671</v>
      </c>
      <c r="D43" s="6" t="str">
        <f t="shared" si="0"/>
        <v>STUART ELMAN</v>
      </c>
      <c r="E43" s="6" t="s">
        <v>151</v>
      </c>
      <c r="F43" s="6" t="s">
        <v>441</v>
      </c>
      <c r="G43" s="6" t="s">
        <v>445</v>
      </c>
      <c r="H43" s="6">
        <v>16633294</v>
      </c>
      <c r="I43" s="6" t="s">
        <v>1144</v>
      </c>
      <c r="J43" s="6" t="str">
        <f t="shared" si="1"/>
        <v>16633294AV6</v>
      </c>
      <c r="K43" s="6" t="s">
        <v>79</v>
      </c>
      <c r="L43" s="6" t="s">
        <v>80</v>
      </c>
      <c r="M43" s="6" t="s">
        <v>1079</v>
      </c>
      <c r="N43" s="5">
        <v>45915</v>
      </c>
      <c r="O43" s="5">
        <v>45945</v>
      </c>
      <c r="P43" s="7">
        <v>94.01</v>
      </c>
      <c r="Q43" s="6">
        <v>1</v>
      </c>
      <c r="R43" s="9">
        <v>0.7</v>
      </c>
      <c r="S43" s="7">
        <v>394.86</v>
      </c>
      <c r="T43" s="7">
        <v>65.81</v>
      </c>
      <c r="U43" s="7">
        <f t="shared" si="2"/>
        <v>10.968333333333334</v>
      </c>
      <c r="V43" s="6" t="s">
        <v>445</v>
      </c>
    </row>
    <row r="44" spans="1:52" x14ac:dyDescent="0.25">
      <c r="A44" s="6">
        <v>2031089211</v>
      </c>
      <c r="B44" s="6" t="s">
        <v>422</v>
      </c>
      <c r="C44" s="6" t="s">
        <v>423</v>
      </c>
      <c r="D44" s="6" t="str">
        <f t="shared" si="0"/>
        <v>ROSA CANTORE</v>
      </c>
      <c r="E44" s="6" t="s">
        <v>93</v>
      </c>
      <c r="F44" s="6" t="s">
        <v>441</v>
      </c>
      <c r="G44" s="6" t="s">
        <v>445</v>
      </c>
      <c r="H44" s="6">
        <v>17126004</v>
      </c>
      <c r="I44" s="6" t="s">
        <v>1144</v>
      </c>
      <c r="J44" s="6" t="str">
        <f t="shared" si="1"/>
        <v>17126004AV6</v>
      </c>
      <c r="K44" s="6" t="s">
        <v>424</v>
      </c>
      <c r="L44" s="6" t="s">
        <v>425</v>
      </c>
      <c r="M44" s="6" t="s">
        <v>1083</v>
      </c>
      <c r="N44" s="5">
        <v>45931</v>
      </c>
      <c r="O44" s="5">
        <v>45962</v>
      </c>
      <c r="P44" s="7">
        <v>110.16</v>
      </c>
      <c r="Q44" s="6">
        <v>1</v>
      </c>
      <c r="R44" s="9">
        <v>0.7</v>
      </c>
      <c r="S44" s="7">
        <v>462.66</v>
      </c>
      <c r="T44" s="7">
        <v>77.11</v>
      </c>
      <c r="U44" s="7">
        <f t="shared" si="2"/>
        <v>12.851666666666667</v>
      </c>
      <c r="V44" s="6" t="s">
        <v>445</v>
      </c>
    </row>
    <row r="45" spans="1:52" x14ac:dyDescent="0.25">
      <c r="A45" s="6">
        <v>2030945328</v>
      </c>
      <c r="B45" s="6" t="s">
        <v>682</v>
      </c>
      <c r="C45" s="6" t="s">
        <v>49</v>
      </c>
      <c r="D45" s="6" t="str">
        <f t="shared" si="0"/>
        <v>MICHAEL ITURBE</v>
      </c>
      <c r="E45" s="6" t="s">
        <v>93</v>
      </c>
      <c r="F45" s="6" t="s">
        <v>441</v>
      </c>
      <c r="G45" s="6" t="s">
        <v>445</v>
      </c>
      <c r="H45" s="6">
        <v>20212926</v>
      </c>
      <c r="I45" s="6" t="s">
        <v>1144</v>
      </c>
      <c r="J45" s="6" t="str">
        <f t="shared" si="1"/>
        <v>20212926AV6</v>
      </c>
      <c r="K45" s="6" t="s">
        <v>681</v>
      </c>
      <c r="L45" s="6" t="s">
        <v>558</v>
      </c>
      <c r="M45" s="6" t="s">
        <v>1101</v>
      </c>
      <c r="N45" s="5">
        <v>45915</v>
      </c>
      <c r="O45" s="5">
        <v>45945</v>
      </c>
      <c r="P45" s="7">
        <v>27.5</v>
      </c>
      <c r="Q45" s="6">
        <v>1</v>
      </c>
      <c r="R45" s="9">
        <v>0.7</v>
      </c>
      <c r="S45" s="7">
        <v>115.5</v>
      </c>
      <c r="T45" s="7">
        <v>19.25</v>
      </c>
      <c r="U45" s="7">
        <f t="shared" si="2"/>
        <v>3.2083333333333335</v>
      </c>
      <c r="V45" s="6" t="s">
        <v>445</v>
      </c>
    </row>
    <row r="46" spans="1:52" x14ac:dyDescent="0.25">
      <c r="A46" s="6">
        <v>2030935971</v>
      </c>
      <c r="B46" s="6" t="s">
        <v>689</v>
      </c>
      <c r="C46" s="6" t="s">
        <v>688</v>
      </c>
      <c r="D46" s="6" t="str">
        <f t="shared" si="0"/>
        <v>DENISA KWITSCHAU</v>
      </c>
      <c r="E46" s="6" t="s">
        <v>93</v>
      </c>
      <c r="F46" s="6" t="s">
        <v>306</v>
      </c>
      <c r="G46" s="6" t="s">
        <v>307</v>
      </c>
      <c r="H46" s="6">
        <v>7470776</v>
      </c>
      <c r="I46" s="6" t="s">
        <v>1144</v>
      </c>
      <c r="J46" s="6" t="str">
        <f t="shared" si="1"/>
        <v>7470776AV6</v>
      </c>
      <c r="K46" s="6" t="s">
        <v>200</v>
      </c>
      <c r="L46" s="6" t="s">
        <v>201</v>
      </c>
      <c r="M46" s="6" t="s">
        <v>1093</v>
      </c>
      <c r="N46" s="5">
        <v>45931</v>
      </c>
      <c r="O46" s="5">
        <v>45962</v>
      </c>
      <c r="P46" s="7">
        <v>149.87</v>
      </c>
      <c r="Q46" s="6">
        <v>1</v>
      </c>
      <c r="R46" s="8">
        <v>0.375</v>
      </c>
      <c r="S46" s="7">
        <v>337.2</v>
      </c>
      <c r="T46" s="7">
        <v>56.2</v>
      </c>
      <c r="U46" s="7">
        <f t="shared" si="2"/>
        <v>9.3666666666666671</v>
      </c>
      <c r="V46" t="s">
        <v>307</v>
      </c>
    </row>
    <row r="47" spans="1:52" x14ac:dyDescent="0.25">
      <c r="A47" s="6">
        <v>2030846037</v>
      </c>
      <c r="B47" s="6" t="s">
        <v>414</v>
      </c>
      <c r="C47" s="6" t="s">
        <v>415</v>
      </c>
      <c r="D47" s="6" t="str">
        <f t="shared" si="0"/>
        <v>ANNETTE COMPTON</v>
      </c>
      <c r="E47" s="6" t="s">
        <v>115</v>
      </c>
      <c r="F47" s="6" t="s">
        <v>306</v>
      </c>
      <c r="G47" s="6" t="s">
        <v>307</v>
      </c>
      <c r="H47" s="6">
        <v>21421111</v>
      </c>
      <c r="I47" s="6" t="s">
        <v>1144</v>
      </c>
      <c r="J47" s="6" t="str">
        <f t="shared" si="1"/>
        <v>21421111AV6</v>
      </c>
      <c r="K47" s="6" t="s">
        <v>158</v>
      </c>
      <c r="L47" s="6" t="s">
        <v>159</v>
      </c>
      <c r="M47" s="6" t="s">
        <v>1096</v>
      </c>
      <c r="N47" s="5">
        <v>45913</v>
      </c>
      <c r="O47" s="5">
        <v>45943</v>
      </c>
      <c r="P47" s="7">
        <v>28.38</v>
      </c>
      <c r="Q47" s="6">
        <v>1</v>
      </c>
      <c r="R47" s="8">
        <v>0.375</v>
      </c>
      <c r="S47" s="7">
        <v>63.84</v>
      </c>
      <c r="T47" s="7">
        <v>10.64</v>
      </c>
      <c r="U47" s="7">
        <f t="shared" si="2"/>
        <v>1.7733333333333334</v>
      </c>
      <c r="V47" t="s">
        <v>307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</row>
    <row r="48" spans="1:52" x14ac:dyDescent="0.25">
      <c r="A48" s="6">
        <v>2031017067</v>
      </c>
      <c r="B48" s="6" t="s">
        <v>639</v>
      </c>
      <c r="C48" s="6" t="s">
        <v>49</v>
      </c>
      <c r="D48" s="6" t="str">
        <f t="shared" si="0"/>
        <v>MICHAEL DECKARD</v>
      </c>
      <c r="E48" s="6" t="s">
        <v>180</v>
      </c>
      <c r="F48" s="6" t="s">
        <v>306</v>
      </c>
      <c r="G48" s="6" t="s">
        <v>307</v>
      </c>
      <c r="H48" s="6">
        <v>20724564</v>
      </c>
      <c r="I48" s="6" t="s">
        <v>1144</v>
      </c>
      <c r="J48" s="6" t="str">
        <f t="shared" si="1"/>
        <v>20724564AV6</v>
      </c>
      <c r="K48" s="6" t="s">
        <v>299</v>
      </c>
      <c r="L48" s="6" t="s">
        <v>300</v>
      </c>
      <c r="M48" s="6" t="s">
        <v>1080</v>
      </c>
      <c r="N48" s="5">
        <v>45913</v>
      </c>
      <c r="O48" s="5">
        <v>45943</v>
      </c>
      <c r="P48" s="7">
        <v>58.15</v>
      </c>
      <c r="Q48" s="6">
        <v>1</v>
      </c>
      <c r="R48" s="8">
        <v>0.375</v>
      </c>
      <c r="S48" s="7">
        <v>130.86000000000001</v>
      </c>
      <c r="T48" s="7">
        <v>21.81</v>
      </c>
      <c r="U48" s="7">
        <f t="shared" si="2"/>
        <v>3.6349999999999998</v>
      </c>
      <c r="V48" t="s">
        <v>307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</row>
    <row r="49" spans="1:52" x14ac:dyDescent="0.25">
      <c r="A49" s="6">
        <v>2030966817</v>
      </c>
      <c r="B49" s="6" t="s">
        <v>673</v>
      </c>
      <c r="C49" s="6" t="s">
        <v>281</v>
      </c>
      <c r="D49" s="6" t="str">
        <f t="shared" si="0"/>
        <v>ANDREW BURLEY</v>
      </c>
      <c r="E49" s="6" t="s">
        <v>193</v>
      </c>
      <c r="F49" s="6" t="s">
        <v>306</v>
      </c>
      <c r="G49" s="6" t="s">
        <v>307</v>
      </c>
      <c r="H49" s="6">
        <v>16633294</v>
      </c>
      <c r="I49" s="6" t="s">
        <v>1144</v>
      </c>
      <c r="J49" s="6" t="str">
        <f t="shared" si="1"/>
        <v>16633294AV6</v>
      </c>
      <c r="K49" s="6" t="s">
        <v>79</v>
      </c>
      <c r="L49" s="6" t="s">
        <v>80</v>
      </c>
      <c r="M49" s="6" t="s">
        <v>1079</v>
      </c>
      <c r="N49" s="5">
        <v>45910</v>
      </c>
      <c r="O49" s="5">
        <v>45940</v>
      </c>
      <c r="P49" s="7">
        <v>61.74</v>
      </c>
      <c r="Q49" s="6">
        <v>1</v>
      </c>
      <c r="R49" s="8">
        <v>0.375</v>
      </c>
      <c r="S49" s="7">
        <v>138.9</v>
      </c>
      <c r="T49" s="7">
        <v>23.15</v>
      </c>
      <c r="U49" s="7">
        <f t="shared" si="2"/>
        <v>3.8583333333333329</v>
      </c>
      <c r="V49" t="s">
        <v>307</v>
      </c>
    </row>
    <row r="50" spans="1:52" x14ac:dyDescent="0.25">
      <c r="A50" s="6">
        <v>2031190207</v>
      </c>
      <c r="B50" s="6" t="s">
        <v>240</v>
      </c>
      <c r="C50" s="6" t="s">
        <v>241</v>
      </c>
      <c r="D50" s="6" t="str">
        <f t="shared" si="0"/>
        <v>JANICE SEMPRINI</v>
      </c>
      <c r="E50" s="6" t="s">
        <v>157</v>
      </c>
      <c r="F50" s="6" t="s">
        <v>306</v>
      </c>
      <c r="G50" s="6" t="s">
        <v>307</v>
      </c>
      <c r="H50" s="6">
        <v>16633294</v>
      </c>
      <c r="I50" s="6" t="s">
        <v>1144</v>
      </c>
      <c r="J50" s="6" t="str">
        <f t="shared" si="1"/>
        <v>16633294AV6</v>
      </c>
      <c r="K50" s="6" t="s">
        <v>79</v>
      </c>
      <c r="L50" s="6" t="s">
        <v>80</v>
      </c>
      <c r="M50" s="6" t="s">
        <v>1079</v>
      </c>
      <c r="N50" s="5">
        <v>45925</v>
      </c>
      <c r="O50" s="5">
        <v>45955</v>
      </c>
      <c r="P50" s="7">
        <v>63.74</v>
      </c>
      <c r="Q50" s="6">
        <v>1</v>
      </c>
      <c r="R50" s="8">
        <v>0.375</v>
      </c>
      <c r="S50" s="7">
        <v>143.4</v>
      </c>
      <c r="T50" s="7">
        <v>23.9</v>
      </c>
      <c r="U50" s="7">
        <f t="shared" si="2"/>
        <v>3.9833333333333329</v>
      </c>
      <c r="V50" t="s">
        <v>307</v>
      </c>
    </row>
    <row r="51" spans="1:52" x14ac:dyDescent="0.25">
      <c r="A51" s="6">
        <v>2031180131</v>
      </c>
      <c r="B51" s="6" t="s">
        <v>237</v>
      </c>
      <c r="C51" s="6" t="s">
        <v>238</v>
      </c>
      <c r="D51" s="6" t="str">
        <f t="shared" si="0"/>
        <v>MARGARET BALDWIN</v>
      </c>
      <c r="E51" s="6" t="s">
        <v>239</v>
      </c>
      <c r="F51" s="6" t="s">
        <v>306</v>
      </c>
      <c r="G51" s="6" t="s">
        <v>307</v>
      </c>
      <c r="H51" s="6">
        <v>16633294</v>
      </c>
      <c r="I51" s="6" t="s">
        <v>1144</v>
      </c>
      <c r="J51" s="6" t="str">
        <f t="shared" si="1"/>
        <v>16633294AV6</v>
      </c>
      <c r="K51" s="6" t="s">
        <v>79</v>
      </c>
      <c r="L51" s="6" t="s">
        <v>80</v>
      </c>
      <c r="M51" s="6" t="s">
        <v>1079</v>
      </c>
      <c r="N51" s="5">
        <v>45924</v>
      </c>
      <c r="O51" s="5">
        <v>45954</v>
      </c>
      <c r="P51" s="7">
        <v>69.69</v>
      </c>
      <c r="Q51" s="6">
        <v>1</v>
      </c>
      <c r="R51" s="8">
        <v>0.375</v>
      </c>
      <c r="S51" s="7">
        <v>156.78</v>
      </c>
      <c r="T51" s="7">
        <v>26.13</v>
      </c>
      <c r="U51" s="7">
        <f t="shared" si="2"/>
        <v>4.3549999999999995</v>
      </c>
      <c r="V51" t="s">
        <v>307</v>
      </c>
    </row>
    <row r="52" spans="1:52" x14ac:dyDescent="0.25">
      <c r="A52" s="6">
        <v>2030982990</v>
      </c>
      <c r="B52" s="6" t="s">
        <v>672</v>
      </c>
      <c r="C52" s="6" t="s">
        <v>671</v>
      </c>
      <c r="D52" s="6" t="str">
        <f t="shared" si="0"/>
        <v>STUART ELMAN</v>
      </c>
      <c r="E52" s="6" t="s">
        <v>151</v>
      </c>
      <c r="F52" s="6" t="s">
        <v>306</v>
      </c>
      <c r="G52" s="6" t="s">
        <v>307</v>
      </c>
      <c r="H52" s="6">
        <v>16633294</v>
      </c>
      <c r="I52" s="6" t="s">
        <v>1144</v>
      </c>
      <c r="J52" s="6" t="str">
        <f t="shared" si="1"/>
        <v>16633294AV6</v>
      </c>
      <c r="K52" s="6" t="s">
        <v>79</v>
      </c>
      <c r="L52" s="6" t="s">
        <v>80</v>
      </c>
      <c r="M52" s="6" t="s">
        <v>1079</v>
      </c>
      <c r="N52" s="5">
        <v>45915</v>
      </c>
      <c r="O52" s="5">
        <v>45945</v>
      </c>
      <c r="P52" s="7">
        <v>243.49</v>
      </c>
      <c r="Q52" s="6">
        <v>1</v>
      </c>
      <c r="R52" s="8">
        <v>0.375</v>
      </c>
      <c r="S52" s="7">
        <v>547.86</v>
      </c>
      <c r="T52" s="7">
        <v>91.31</v>
      </c>
      <c r="U52" s="7">
        <f t="shared" si="2"/>
        <v>15.218333333333334</v>
      </c>
      <c r="V52" t="s">
        <v>307</v>
      </c>
    </row>
    <row r="53" spans="1:52" x14ac:dyDescent="0.25">
      <c r="A53" s="6">
        <v>2031089212</v>
      </c>
      <c r="B53" s="6" t="s">
        <v>422</v>
      </c>
      <c r="C53" s="6" t="s">
        <v>423</v>
      </c>
      <c r="D53" s="6" t="str">
        <f t="shared" si="0"/>
        <v>ROSA CANTORE</v>
      </c>
      <c r="E53" s="6" t="s">
        <v>93</v>
      </c>
      <c r="F53" s="6" t="s">
        <v>306</v>
      </c>
      <c r="G53" s="6" t="s">
        <v>307</v>
      </c>
      <c r="H53" s="6">
        <v>17126004</v>
      </c>
      <c r="I53" s="6" t="s">
        <v>1144</v>
      </c>
      <c r="J53" s="6" t="str">
        <f t="shared" si="1"/>
        <v>17126004AV6</v>
      </c>
      <c r="K53" s="6" t="s">
        <v>424</v>
      </c>
      <c r="L53" s="6" t="s">
        <v>425</v>
      </c>
      <c r="M53" s="6" t="s">
        <v>1083</v>
      </c>
      <c r="N53" s="5">
        <v>45931</v>
      </c>
      <c r="O53" s="5">
        <v>45962</v>
      </c>
      <c r="P53" s="7">
        <v>53.87</v>
      </c>
      <c r="Q53" s="6">
        <v>1</v>
      </c>
      <c r="R53" s="8">
        <v>0.375</v>
      </c>
      <c r="S53" s="7">
        <v>121.2</v>
      </c>
      <c r="T53" s="7">
        <v>20.2</v>
      </c>
      <c r="U53" s="7">
        <f t="shared" si="2"/>
        <v>3.3666666666666667</v>
      </c>
      <c r="V53" t="s">
        <v>307</v>
      </c>
    </row>
    <row r="54" spans="1:52" x14ac:dyDescent="0.25">
      <c r="A54" s="6">
        <v>2031143403</v>
      </c>
      <c r="B54" s="6" t="s">
        <v>164</v>
      </c>
      <c r="C54" s="6" t="s">
        <v>303</v>
      </c>
      <c r="D54" s="6" t="str">
        <f t="shared" si="0"/>
        <v>ADAM MARTINEZ</v>
      </c>
      <c r="E54" s="6" t="s">
        <v>115</v>
      </c>
      <c r="F54" s="6" t="s">
        <v>306</v>
      </c>
      <c r="G54" s="6" t="s">
        <v>307</v>
      </c>
      <c r="H54" s="6">
        <v>371819</v>
      </c>
      <c r="I54" s="6" t="s">
        <v>1144</v>
      </c>
      <c r="J54" s="6" t="str">
        <f t="shared" si="1"/>
        <v>371819AV6</v>
      </c>
      <c r="K54" s="6" t="s">
        <v>122</v>
      </c>
      <c r="L54" s="6" t="s">
        <v>123</v>
      </c>
      <c r="M54" s="6" t="s">
        <v>1085</v>
      </c>
      <c r="N54" s="5">
        <v>45919</v>
      </c>
      <c r="O54" s="5">
        <v>45949</v>
      </c>
      <c r="P54" s="7">
        <v>88.79</v>
      </c>
      <c r="Q54" s="6">
        <v>1</v>
      </c>
      <c r="R54" s="8">
        <v>0.375</v>
      </c>
      <c r="S54" s="7">
        <v>199.8</v>
      </c>
      <c r="T54" s="7">
        <v>33.299999999999997</v>
      </c>
      <c r="U54" s="7">
        <f t="shared" si="2"/>
        <v>5.55</v>
      </c>
      <c r="V54" t="s">
        <v>307</v>
      </c>
    </row>
    <row r="55" spans="1:52" x14ac:dyDescent="0.25">
      <c r="A55" s="6">
        <v>2031142845</v>
      </c>
      <c r="B55" s="6" t="s">
        <v>428</v>
      </c>
      <c r="C55" s="6" t="s">
        <v>429</v>
      </c>
      <c r="D55" s="6" t="str">
        <f t="shared" si="0"/>
        <v>LUCINDA OCHOA</v>
      </c>
      <c r="E55" s="6" t="s">
        <v>188</v>
      </c>
      <c r="F55" s="6" t="s">
        <v>306</v>
      </c>
      <c r="G55" s="6" t="s">
        <v>307</v>
      </c>
      <c r="H55" s="6">
        <v>371819</v>
      </c>
      <c r="I55" s="6" t="s">
        <v>1144</v>
      </c>
      <c r="J55" s="6" t="str">
        <f t="shared" si="1"/>
        <v>371819AV6</v>
      </c>
      <c r="K55" s="6" t="s">
        <v>122</v>
      </c>
      <c r="L55" s="6" t="s">
        <v>123</v>
      </c>
      <c r="M55" s="6" t="s">
        <v>1085</v>
      </c>
      <c r="N55" s="5">
        <v>45919</v>
      </c>
      <c r="O55" s="5">
        <v>45949</v>
      </c>
      <c r="P55" s="7">
        <v>35.14</v>
      </c>
      <c r="Q55" s="6">
        <v>1</v>
      </c>
      <c r="R55" s="8">
        <v>0.375</v>
      </c>
      <c r="S55" s="7">
        <v>79.08</v>
      </c>
      <c r="T55" s="7">
        <v>13.18</v>
      </c>
      <c r="U55" s="7">
        <f t="shared" si="2"/>
        <v>2.1966666666666668</v>
      </c>
      <c r="V55" t="s">
        <v>307</v>
      </c>
    </row>
    <row r="56" spans="1:52" x14ac:dyDescent="0.25">
      <c r="A56" s="6">
        <v>2030935972</v>
      </c>
      <c r="B56" s="6" t="s">
        <v>689</v>
      </c>
      <c r="C56" s="6" t="s">
        <v>688</v>
      </c>
      <c r="D56" s="6" t="str">
        <f t="shared" si="0"/>
        <v>DENISA KWITSCHAU</v>
      </c>
      <c r="E56" s="6" t="s">
        <v>93</v>
      </c>
      <c r="F56" s="6" t="s">
        <v>441</v>
      </c>
      <c r="G56" s="6" t="s">
        <v>442</v>
      </c>
      <c r="H56" s="6">
        <v>7470776</v>
      </c>
      <c r="I56" s="6" t="s">
        <v>1144</v>
      </c>
      <c r="J56" s="6" t="str">
        <f t="shared" si="1"/>
        <v>7470776AV6</v>
      </c>
      <c r="K56" s="6" t="s">
        <v>200</v>
      </c>
      <c r="L56" s="6" t="s">
        <v>201</v>
      </c>
      <c r="M56" s="6" t="s">
        <v>1093</v>
      </c>
      <c r="N56" s="5">
        <v>45931</v>
      </c>
      <c r="O56" s="5">
        <v>45962</v>
      </c>
      <c r="P56" s="7">
        <v>155.25</v>
      </c>
      <c r="Q56" s="6">
        <v>1</v>
      </c>
      <c r="R56" s="9">
        <v>0.9</v>
      </c>
      <c r="S56" s="7">
        <v>838.32</v>
      </c>
      <c r="T56" s="7">
        <v>139.72</v>
      </c>
      <c r="U56" s="7">
        <f t="shared" si="2"/>
        <v>23.286666666666665</v>
      </c>
      <c r="V56" t="s">
        <v>442</v>
      </c>
    </row>
    <row r="57" spans="1:52" x14ac:dyDescent="0.25">
      <c r="A57" s="6">
        <v>2031142846</v>
      </c>
      <c r="B57" s="6" t="s">
        <v>428</v>
      </c>
      <c r="C57" s="6" t="s">
        <v>429</v>
      </c>
      <c r="D57" s="6" t="str">
        <f t="shared" si="0"/>
        <v>LUCINDA OCHOA</v>
      </c>
      <c r="E57" s="6" t="s">
        <v>188</v>
      </c>
      <c r="F57" s="6" t="s">
        <v>441</v>
      </c>
      <c r="G57" s="6" t="s">
        <v>442</v>
      </c>
      <c r="H57" s="6">
        <v>371819</v>
      </c>
      <c r="I57" s="6" t="s">
        <v>1144</v>
      </c>
      <c r="J57" s="6" t="str">
        <f t="shared" si="1"/>
        <v>371819AV6</v>
      </c>
      <c r="K57" s="6" t="s">
        <v>122</v>
      </c>
      <c r="L57" s="6" t="s">
        <v>123</v>
      </c>
      <c r="M57" s="6" t="s">
        <v>1085</v>
      </c>
      <c r="N57" s="5">
        <v>45919</v>
      </c>
      <c r="O57" s="5">
        <v>45949</v>
      </c>
      <c r="P57" s="7">
        <v>8.9600000000000009</v>
      </c>
      <c r="Q57" s="6">
        <v>1</v>
      </c>
      <c r="R57" s="9">
        <v>0.9</v>
      </c>
      <c r="S57" s="7">
        <v>48.36</v>
      </c>
      <c r="T57" s="7">
        <v>8.06</v>
      </c>
      <c r="U57" s="7">
        <f t="shared" si="2"/>
        <v>1.3433333333333335</v>
      </c>
      <c r="V57" t="s">
        <v>442</v>
      </c>
    </row>
    <row r="58" spans="1:52" x14ac:dyDescent="0.25">
      <c r="A58" s="6">
        <v>2031074191</v>
      </c>
      <c r="B58" s="6" t="s">
        <v>91</v>
      </c>
      <c r="C58" s="6" t="s">
        <v>92</v>
      </c>
      <c r="D58" s="6" t="str">
        <f t="shared" si="0"/>
        <v>BRIAN RILEY</v>
      </c>
      <c r="E58" s="6" t="s">
        <v>93</v>
      </c>
      <c r="F58" s="6" t="s">
        <v>52</v>
      </c>
      <c r="G58" s="6" t="s">
        <v>78</v>
      </c>
      <c r="H58" s="6">
        <v>8812322</v>
      </c>
      <c r="I58" s="6" t="s">
        <v>1144</v>
      </c>
      <c r="J58" s="6" t="str">
        <f t="shared" si="1"/>
        <v>8812322AV6</v>
      </c>
      <c r="K58" s="6" t="s">
        <v>94</v>
      </c>
      <c r="L58" s="6" t="s">
        <v>95</v>
      </c>
      <c r="M58" s="6" t="s">
        <v>1075</v>
      </c>
      <c r="N58" s="5">
        <v>45931</v>
      </c>
      <c r="O58" s="5">
        <v>45962</v>
      </c>
      <c r="P58" s="7">
        <v>129.97</v>
      </c>
      <c r="Q58" s="6">
        <v>1</v>
      </c>
      <c r="R58" s="9">
        <v>0.6</v>
      </c>
      <c r="S58" s="7">
        <v>467.88</v>
      </c>
      <c r="T58" s="7">
        <v>77.98</v>
      </c>
      <c r="U58" s="7">
        <f t="shared" si="2"/>
        <v>12.996666666666668</v>
      </c>
      <c r="V58" s="6" t="s">
        <v>78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</row>
    <row r="59" spans="1:52" x14ac:dyDescent="0.25">
      <c r="A59" s="6">
        <v>2031097277</v>
      </c>
      <c r="B59" s="6" t="s">
        <v>100</v>
      </c>
      <c r="C59" s="6" t="s">
        <v>101</v>
      </c>
      <c r="D59" s="6" t="str">
        <f t="shared" si="0"/>
        <v>DEBBIE BEAUPRE</v>
      </c>
      <c r="E59" s="6" t="s">
        <v>93</v>
      </c>
      <c r="F59" s="6" t="s">
        <v>52</v>
      </c>
      <c r="G59" s="6" t="s">
        <v>78</v>
      </c>
      <c r="H59" s="6">
        <v>8812322</v>
      </c>
      <c r="I59" s="6" t="s">
        <v>1144</v>
      </c>
      <c r="J59" s="6" t="str">
        <f t="shared" si="1"/>
        <v>8812322AV6</v>
      </c>
      <c r="K59" s="6" t="s">
        <v>94</v>
      </c>
      <c r="L59" s="6" t="s">
        <v>95</v>
      </c>
      <c r="M59" s="6" t="s">
        <v>1075</v>
      </c>
      <c r="N59" s="5">
        <v>45931</v>
      </c>
      <c r="O59" s="5">
        <v>45962</v>
      </c>
      <c r="P59" s="7">
        <v>90.95</v>
      </c>
      <c r="Q59" s="6">
        <v>1</v>
      </c>
      <c r="R59" s="9">
        <v>0.6</v>
      </c>
      <c r="S59" s="7">
        <v>327.42</v>
      </c>
      <c r="T59" s="7">
        <v>54.57</v>
      </c>
      <c r="U59" s="7">
        <f t="shared" si="2"/>
        <v>9.0950000000000006</v>
      </c>
      <c r="V59" s="6" t="s">
        <v>78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</row>
    <row r="60" spans="1:52" x14ac:dyDescent="0.25">
      <c r="A60" s="6">
        <v>2031094286</v>
      </c>
      <c r="B60" s="6" t="s">
        <v>98</v>
      </c>
      <c r="C60" s="6" t="s">
        <v>99</v>
      </c>
      <c r="D60" s="6" t="str">
        <f t="shared" si="0"/>
        <v>DONALD BYRD</v>
      </c>
      <c r="E60" s="6" t="s">
        <v>93</v>
      </c>
      <c r="F60" s="6" t="s">
        <v>52</v>
      </c>
      <c r="G60" s="6" t="s">
        <v>78</v>
      </c>
      <c r="H60" s="6">
        <v>8812322</v>
      </c>
      <c r="I60" s="6" t="s">
        <v>1144</v>
      </c>
      <c r="J60" s="6" t="str">
        <f t="shared" si="1"/>
        <v>8812322AV6</v>
      </c>
      <c r="K60" s="6" t="s">
        <v>94</v>
      </c>
      <c r="L60" s="6" t="s">
        <v>95</v>
      </c>
      <c r="M60" s="6" t="s">
        <v>1075</v>
      </c>
      <c r="N60" s="5">
        <v>45931</v>
      </c>
      <c r="O60" s="5">
        <v>45962</v>
      </c>
      <c r="P60" s="7">
        <v>129.97</v>
      </c>
      <c r="Q60" s="6">
        <v>1</v>
      </c>
      <c r="R60" s="9">
        <v>0.6</v>
      </c>
      <c r="S60" s="7">
        <v>467.88</v>
      </c>
      <c r="T60" s="7">
        <v>77.98</v>
      </c>
      <c r="U60" s="7">
        <f t="shared" si="2"/>
        <v>12.996666666666668</v>
      </c>
      <c r="V60" s="6" t="s">
        <v>78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</row>
  </sheetData>
  <sortState xmlns:xlrd2="http://schemas.microsoft.com/office/spreadsheetml/2017/richdata2" ref="A2:AZ134">
    <sortCondition ref="G2:G134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28D4-8FAA-4586-9FD0-A13B1D0B2C25}">
  <dimension ref="A1:AV876"/>
  <sheetViews>
    <sheetView workbookViewId="0">
      <selection sqref="A1:XFD1048576"/>
    </sheetView>
  </sheetViews>
  <sheetFormatPr defaultRowHeight="15" x14ac:dyDescent="0.25"/>
  <cols>
    <col min="1" max="1" width="27.28515625" bestFit="1" customWidth="1"/>
    <col min="2" max="2" width="5.140625" bestFit="1" customWidth="1"/>
    <col min="3" max="3" width="24.42578125" bestFit="1" customWidth="1"/>
    <col min="4" max="4" width="11" bestFit="1" customWidth="1"/>
    <col min="5" max="5" width="22.140625" bestFit="1" customWidth="1"/>
    <col min="6" max="6" width="22.42578125" bestFit="1" customWidth="1"/>
    <col min="7" max="7" width="22.85546875" bestFit="1" customWidth="1"/>
    <col min="8" max="8" width="5.28515625" bestFit="1" customWidth="1"/>
    <col min="9" max="9" width="18.140625" bestFit="1" customWidth="1"/>
    <col min="10" max="10" width="42.42578125" bestFit="1" customWidth="1"/>
    <col min="11" max="11" width="15" bestFit="1" customWidth="1"/>
    <col min="12" max="12" width="16.28515625" bestFit="1" customWidth="1"/>
    <col min="13" max="13" width="13.85546875" bestFit="1" customWidth="1"/>
    <col min="14" max="14" width="26.42578125" bestFit="1" customWidth="1"/>
    <col min="15" max="15" width="12.140625" bestFit="1" customWidth="1"/>
    <col min="16" max="16" width="12.5703125" bestFit="1" customWidth="1"/>
    <col min="17" max="17" width="12" bestFit="1" customWidth="1"/>
    <col min="18" max="18" width="15.85546875" bestFit="1" customWidth="1"/>
    <col min="19" max="19" width="7.28515625" bestFit="1" customWidth="1"/>
    <col min="20" max="20" width="12.5703125" bestFit="1" customWidth="1"/>
    <col min="21" max="21" width="9.7109375" bestFit="1" customWidth="1"/>
    <col min="22" max="22" width="11.140625" bestFit="1" customWidth="1"/>
    <col min="23" max="23" width="9.85546875" bestFit="1" customWidth="1"/>
    <col min="24" max="24" width="13.85546875" bestFit="1" customWidth="1"/>
    <col min="25" max="25" width="8.28515625" bestFit="1" customWidth="1"/>
    <col min="26" max="26" width="15" bestFit="1" customWidth="1"/>
    <col min="27" max="27" width="12.140625" bestFit="1" customWidth="1"/>
    <col min="28" max="28" width="15.85546875" bestFit="1" customWidth="1"/>
    <col min="29" max="29" width="9.7109375" bestFit="1" customWidth="1"/>
    <col min="30" max="30" width="14.5703125" bestFit="1" customWidth="1"/>
    <col min="31" max="31" width="10.140625" bestFit="1" customWidth="1"/>
    <col min="32" max="32" width="11.42578125" bestFit="1" customWidth="1"/>
    <col min="33" max="33" width="13.28515625" bestFit="1" customWidth="1"/>
    <col min="34" max="34" width="14.140625" bestFit="1" customWidth="1"/>
    <col min="35" max="35" width="15.85546875" bestFit="1" customWidth="1"/>
    <col min="36" max="36" width="13.85546875" bestFit="1" customWidth="1"/>
    <col min="37" max="37" width="16.42578125" bestFit="1" customWidth="1"/>
    <col min="38" max="38" width="12.85546875" bestFit="1" customWidth="1"/>
    <col min="39" max="39" width="19" bestFit="1" customWidth="1"/>
    <col min="40" max="40" width="20.85546875" bestFit="1" customWidth="1"/>
    <col min="41" max="41" width="15.7109375" bestFit="1" customWidth="1"/>
    <col min="42" max="42" width="20" bestFit="1" customWidth="1"/>
    <col min="43" max="43" width="22.42578125" bestFit="1" customWidth="1"/>
    <col min="44" max="44" width="30" bestFit="1" customWidth="1"/>
    <col min="45" max="45" width="22" bestFit="1" customWidth="1"/>
    <col min="46" max="46" width="21.140625" bestFit="1" customWidth="1"/>
    <col min="47" max="47" width="17.7109375" bestFit="1" customWidth="1"/>
    <col min="48" max="48" width="11.425781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1074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</row>
    <row r="2" spans="1:48" x14ac:dyDescent="0.25">
      <c r="A2" s="1">
        <v>45922</v>
      </c>
      <c r="B2" t="s">
        <v>47</v>
      </c>
      <c r="C2">
        <v>649163</v>
      </c>
      <c r="D2">
        <v>2016875098</v>
      </c>
      <c r="E2" t="s">
        <v>448</v>
      </c>
      <c r="F2" t="s">
        <v>449</v>
      </c>
      <c r="G2" t="s">
        <v>50</v>
      </c>
      <c r="H2" t="s">
        <v>450</v>
      </c>
      <c r="I2" t="s">
        <v>441</v>
      </c>
      <c r="J2" t="s">
        <v>451</v>
      </c>
      <c r="K2">
        <v>652037</v>
      </c>
      <c r="L2" t="s">
        <v>309</v>
      </c>
      <c r="M2" t="s">
        <v>303</v>
      </c>
      <c r="N2" t="s">
        <v>1092</v>
      </c>
      <c r="O2" t="s">
        <v>56</v>
      </c>
      <c r="P2" s="1">
        <v>44887</v>
      </c>
      <c r="Q2" s="1">
        <v>45952</v>
      </c>
      <c r="R2" s="2">
        <v>93.84</v>
      </c>
      <c r="S2">
        <v>1</v>
      </c>
      <c r="T2" t="s">
        <v>57</v>
      </c>
      <c r="U2" t="s">
        <v>58</v>
      </c>
      <c r="V2" s="4">
        <v>0.09</v>
      </c>
      <c r="W2" s="2">
        <v>0</v>
      </c>
      <c r="X2">
        <v>0</v>
      </c>
      <c r="Y2" t="s">
        <v>59</v>
      </c>
      <c r="Z2" t="s">
        <v>60</v>
      </c>
      <c r="AA2">
        <v>0</v>
      </c>
      <c r="AB2" s="2">
        <v>0</v>
      </c>
      <c r="AC2" s="2">
        <v>0</v>
      </c>
      <c r="AD2" s="4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8.4499999999999993</v>
      </c>
      <c r="AN2" s="2">
        <v>8.4499999999999993</v>
      </c>
      <c r="AO2" s="2">
        <v>0</v>
      </c>
      <c r="AP2" s="2">
        <v>0</v>
      </c>
      <c r="AQ2" s="2">
        <v>0</v>
      </c>
    </row>
    <row r="3" spans="1:48" x14ac:dyDescent="0.25">
      <c r="A3" s="1">
        <v>45915</v>
      </c>
      <c r="B3" t="s">
        <v>47</v>
      </c>
      <c r="C3">
        <v>649163</v>
      </c>
      <c r="D3">
        <v>2020174611</v>
      </c>
      <c r="E3" t="s">
        <v>748</v>
      </c>
      <c r="F3" t="s">
        <v>747</v>
      </c>
      <c r="G3" t="s">
        <v>50</v>
      </c>
      <c r="H3" t="s">
        <v>214</v>
      </c>
      <c r="I3" t="s">
        <v>106</v>
      </c>
      <c r="J3" t="s">
        <v>107</v>
      </c>
      <c r="K3">
        <v>652037</v>
      </c>
      <c r="L3" t="s">
        <v>309</v>
      </c>
      <c r="M3" t="s">
        <v>303</v>
      </c>
      <c r="N3" t="s">
        <v>1092</v>
      </c>
      <c r="O3" t="s">
        <v>56</v>
      </c>
      <c r="P3" s="1">
        <v>45214</v>
      </c>
      <c r="Q3" s="1">
        <v>45945</v>
      </c>
      <c r="R3" s="2">
        <v>246.44</v>
      </c>
      <c r="S3">
        <v>1</v>
      </c>
      <c r="T3" t="s">
        <v>57</v>
      </c>
      <c r="U3" t="s">
        <v>58</v>
      </c>
      <c r="V3" s="4">
        <v>0.1</v>
      </c>
      <c r="W3" s="2">
        <v>0</v>
      </c>
      <c r="X3">
        <v>0</v>
      </c>
      <c r="Y3" t="s">
        <v>59</v>
      </c>
      <c r="Z3" t="s">
        <v>60</v>
      </c>
      <c r="AA3">
        <v>0</v>
      </c>
      <c r="AB3" s="2">
        <v>0</v>
      </c>
      <c r="AC3" s="2">
        <v>0</v>
      </c>
      <c r="AD3" s="4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24.64</v>
      </c>
      <c r="AN3" s="2">
        <v>24.64</v>
      </c>
      <c r="AO3" s="2">
        <v>0</v>
      </c>
      <c r="AP3" s="2">
        <v>0</v>
      </c>
      <c r="AQ3" s="2">
        <v>0</v>
      </c>
    </row>
    <row r="4" spans="1:48" x14ac:dyDescent="0.25">
      <c r="A4" s="1">
        <v>45915</v>
      </c>
      <c r="B4" t="s">
        <v>47</v>
      </c>
      <c r="C4">
        <v>649163</v>
      </c>
      <c r="D4">
        <v>2030501934</v>
      </c>
      <c r="E4" t="s">
        <v>697</v>
      </c>
      <c r="F4" t="s">
        <v>277</v>
      </c>
      <c r="G4" t="s">
        <v>50</v>
      </c>
      <c r="H4" t="s">
        <v>214</v>
      </c>
      <c r="I4" t="s">
        <v>106</v>
      </c>
      <c r="J4" t="s">
        <v>107</v>
      </c>
      <c r="K4">
        <v>652037</v>
      </c>
      <c r="L4" t="s">
        <v>309</v>
      </c>
      <c r="M4" t="s">
        <v>303</v>
      </c>
      <c r="N4" t="s">
        <v>1092</v>
      </c>
      <c r="O4" t="s">
        <v>56</v>
      </c>
      <c r="P4" s="1">
        <v>45884</v>
      </c>
      <c r="Q4" s="1">
        <v>45945</v>
      </c>
      <c r="R4" s="2">
        <v>77.959999999999994</v>
      </c>
      <c r="S4">
        <v>1</v>
      </c>
      <c r="T4" t="s">
        <v>57</v>
      </c>
      <c r="U4" t="s">
        <v>58</v>
      </c>
      <c r="V4" s="4">
        <v>0.9</v>
      </c>
      <c r="W4" s="2">
        <v>0</v>
      </c>
      <c r="X4">
        <v>0</v>
      </c>
      <c r="Y4" t="s">
        <v>70</v>
      </c>
      <c r="Z4" t="s">
        <v>60</v>
      </c>
      <c r="AA4">
        <v>0</v>
      </c>
      <c r="AB4" s="2">
        <v>0</v>
      </c>
      <c r="AC4" s="2">
        <v>0</v>
      </c>
      <c r="AD4" s="4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70.16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</row>
    <row r="5" spans="1:48" x14ac:dyDescent="0.25">
      <c r="A5" s="1">
        <v>45915</v>
      </c>
      <c r="B5" t="s">
        <v>47</v>
      </c>
      <c r="C5">
        <v>649163</v>
      </c>
      <c r="D5">
        <v>2029174126</v>
      </c>
      <c r="E5" t="s">
        <v>942</v>
      </c>
      <c r="F5" t="s">
        <v>941</v>
      </c>
      <c r="G5" t="s">
        <v>50</v>
      </c>
      <c r="H5" t="s">
        <v>214</v>
      </c>
      <c r="I5" t="s">
        <v>441</v>
      </c>
      <c r="J5" t="s">
        <v>442</v>
      </c>
      <c r="K5">
        <v>652037</v>
      </c>
      <c r="L5" t="s">
        <v>309</v>
      </c>
      <c r="M5" t="s">
        <v>303</v>
      </c>
      <c r="N5" t="s">
        <v>1092</v>
      </c>
      <c r="O5" t="s">
        <v>56</v>
      </c>
      <c r="P5" s="1">
        <v>45809</v>
      </c>
      <c r="Q5" s="1">
        <v>45962</v>
      </c>
      <c r="R5" s="2">
        <v>41.88</v>
      </c>
      <c r="S5">
        <v>1</v>
      </c>
      <c r="T5" t="s">
        <v>57</v>
      </c>
      <c r="U5" t="s">
        <v>58</v>
      </c>
      <c r="V5" s="4">
        <v>0.9</v>
      </c>
      <c r="W5" s="2">
        <v>0</v>
      </c>
      <c r="X5">
        <v>0</v>
      </c>
      <c r="Y5" t="s">
        <v>70</v>
      </c>
      <c r="Z5" t="s">
        <v>60</v>
      </c>
      <c r="AA5">
        <v>0</v>
      </c>
      <c r="AB5" s="2">
        <v>0</v>
      </c>
      <c r="AC5" s="2">
        <v>0</v>
      </c>
      <c r="AD5" s="4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37.69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</row>
    <row r="6" spans="1:48" x14ac:dyDescent="0.25">
      <c r="A6" s="1">
        <v>45915</v>
      </c>
      <c r="B6" t="s">
        <v>47</v>
      </c>
      <c r="C6">
        <v>649163</v>
      </c>
      <c r="D6">
        <v>2016841042</v>
      </c>
      <c r="E6" t="s">
        <v>154</v>
      </c>
      <c r="F6" t="s">
        <v>818</v>
      </c>
      <c r="G6" t="s">
        <v>50</v>
      </c>
      <c r="H6" t="s">
        <v>408</v>
      </c>
      <c r="I6" t="s">
        <v>430</v>
      </c>
      <c r="J6" t="s">
        <v>88</v>
      </c>
      <c r="K6">
        <v>652037</v>
      </c>
      <c r="L6" t="s">
        <v>309</v>
      </c>
      <c r="M6" t="s">
        <v>303</v>
      </c>
      <c r="N6" t="s">
        <v>1092</v>
      </c>
      <c r="O6" t="s">
        <v>56</v>
      </c>
      <c r="P6" s="1">
        <v>44883</v>
      </c>
      <c r="Q6" s="1">
        <v>45948</v>
      </c>
      <c r="R6" s="2">
        <v>97.79</v>
      </c>
      <c r="S6">
        <v>1</v>
      </c>
      <c r="T6" t="s">
        <v>57</v>
      </c>
      <c r="U6" t="s">
        <v>58</v>
      </c>
      <c r="V6" s="3">
        <v>6.5000000000000002E-2</v>
      </c>
      <c r="W6" s="2">
        <v>0</v>
      </c>
      <c r="X6">
        <v>0</v>
      </c>
      <c r="Y6" t="s">
        <v>59</v>
      </c>
      <c r="Z6" t="s">
        <v>60</v>
      </c>
      <c r="AA6">
        <v>0</v>
      </c>
      <c r="AB6" s="2">
        <v>0</v>
      </c>
      <c r="AC6" s="2">
        <v>0</v>
      </c>
      <c r="AD6" s="4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6.36</v>
      </c>
      <c r="AN6" s="2">
        <v>6.36</v>
      </c>
      <c r="AO6" s="2">
        <v>0</v>
      </c>
      <c r="AP6" s="2">
        <v>0</v>
      </c>
      <c r="AQ6" s="2">
        <v>0</v>
      </c>
    </row>
    <row r="7" spans="1:48" x14ac:dyDescent="0.25">
      <c r="A7" s="1">
        <v>45915</v>
      </c>
      <c r="B7" t="s">
        <v>47</v>
      </c>
      <c r="D7">
        <v>2020174612</v>
      </c>
      <c r="E7" t="s">
        <v>748</v>
      </c>
      <c r="F7" t="s">
        <v>747</v>
      </c>
      <c r="G7" t="s">
        <v>50</v>
      </c>
      <c r="H7" t="s">
        <v>214</v>
      </c>
      <c r="I7" t="s">
        <v>441</v>
      </c>
      <c r="J7" t="s">
        <v>545</v>
      </c>
      <c r="L7" t="s">
        <v>309</v>
      </c>
      <c r="M7" t="s">
        <v>303</v>
      </c>
      <c r="N7" t="s">
        <v>1092</v>
      </c>
      <c r="O7" t="s">
        <v>56</v>
      </c>
      <c r="P7" s="1">
        <v>45214</v>
      </c>
      <c r="Q7" s="1">
        <v>45945</v>
      </c>
      <c r="R7" s="2">
        <v>24.61</v>
      </c>
      <c r="S7">
        <v>1</v>
      </c>
      <c r="T7" t="s">
        <v>57</v>
      </c>
      <c r="U7" t="s">
        <v>58</v>
      </c>
      <c r="V7" s="4">
        <v>0.15</v>
      </c>
      <c r="W7" s="2">
        <v>0</v>
      </c>
      <c r="X7">
        <v>0</v>
      </c>
      <c r="Y7" t="s">
        <v>59</v>
      </c>
      <c r="Z7" t="s">
        <v>60</v>
      </c>
      <c r="AA7">
        <v>0</v>
      </c>
      <c r="AB7" s="2">
        <v>0</v>
      </c>
      <c r="AC7" s="2">
        <v>0</v>
      </c>
      <c r="AD7" s="4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3.69</v>
      </c>
      <c r="AN7" s="2">
        <v>3.69</v>
      </c>
      <c r="AO7" s="2">
        <v>0</v>
      </c>
      <c r="AP7" s="2">
        <v>0</v>
      </c>
      <c r="AQ7" s="2">
        <v>0</v>
      </c>
    </row>
    <row r="8" spans="1:48" x14ac:dyDescent="0.25">
      <c r="A8" s="1">
        <v>45915</v>
      </c>
      <c r="B8" t="s">
        <v>47</v>
      </c>
      <c r="D8">
        <v>2030501935</v>
      </c>
      <c r="E8" t="s">
        <v>697</v>
      </c>
      <c r="F8" t="s">
        <v>277</v>
      </c>
      <c r="G8" t="s">
        <v>50</v>
      </c>
      <c r="H8" t="s">
        <v>214</v>
      </c>
      <c r="I8" t="s">
        <v>441</v>
      </c>
      <c r="J8" t="s">
        <v>545</v>
      </c>
      <c r="L8" t="s">
        <v>309</v>
      </c>
      <c r="M8" t="s">
        <v>303</v>
      </c>
      <c r="N8" t="s">
        <v>1092</v>
      </c>
      <c r="O8" t="s">
        <v>56</v>
      </c>
      <c r="P8" s="1">
        <v>45884</v>
      </c>
      <c r="Q8" s="1">
        <v>45945</v>
      </c>
      <c r="R8" s="2">
        <v>24.61</v>
      </c>
      <c r="S8">
        <v>1</v>
      </c>
      <c r="T8" t="s">
        <v>57</v>
      </c>
      <c r="U8" t="s">
        <v>58</v>
      </c>
      <c r="V8" s="4">
        <v>0.7</v>
      </c>
      <c r="W8" s="2">
        <v>0</v>
      </c>
      <c r="X8">
        <v>0</v>
      </c>
      <c r="Y8" t="s">
        <v>70</v>
      </c>
      <c r="Z8" t="s">
        <v>60</v>
      </c>
      <c r="AA8">
        <v>0</v>
      </c>
      <c r="AB8" s="2">
        <v>0</v>
      </c>
      <c r="AC8" s="2">
        <v>0</v>
      </c>
      <c r="AD8" s="4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17.23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</row>
    <row r="9" spans="1:48" x14ac:dyDescent="0.25">
      <c r="A9" s="1">
        <v>45915</v>
      </c>
      <c r="B9" t="s">
        <v>47</v>
      </c>
      <c r="C9">
        <v>649163</v>
      </c>
      <c r="D9">
        <v>2030560164</v>
      </c>
      <c r="E9" t="s">
        <v>693</v>
      </c>
      <c r="F9" t="s">
        <v>692</v>
      </c>
      <c r="G9" t="s">
        <v>50</v>
      </c>
      <c r="H9" t="s">
        <v>214</v>
      </c>
      <c r="I9" t="s">
        <v>441</v>
      </c>
      <c r="J9" t="s">
        <v>451</v>
      </c>
      <c r="K9">
        <v>652037</v>
      </c>
      <c r="L9" t="s">
        <v>309</v>
      </c>
      <c r="M9" t="s">
        <v>303</v>
      </c>
      <c r="N9" t="s">
        <v>1092</v>
      </c>
      <c r="O9" t="s">
        <v>56</v>
      </c>
      <c r="P9" s="1">
        <v>45888</v>
      </c>
      <c r="Q9" s="1">
        <v>45949</v>
      </c>
      <c r="R9" s="2">
        <v>43.86</v>
      </c>
      <c r="S9">
        <v>1</v>
      </c>
      <c r="T9" t="s">
        <v>57</v>
      </c>
      <c r="U9" t="s">
        <v>58</v>
      </c>
      <c r="V9" s="4">
        <v>0.42</v>
      </c>
      <c r="W9" s="2">
        <v>0</v>
      </c>
      <c r="X9">
        <v>0</v>
      </c>
      <c r="Y9" t="s">
        <v>70</v>
      </c>
      <c r="Z9" t="s">
        <v>60</v>
      </c>
      <c r="AA9">
        <v>0</v>
      </c>
      <c r="AB9" s="2">
        <v>0</v>
      </c>
      <c r="AC9" s="2">
        <v>0</v>
      </c>
      <c r="AD9" s="4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18.420000000000002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</row>
    <row r="10" spans="1:48" x14ac:dyDescent="0.25">
      <c r="A10" s="1">
        <v>45915</v>
      </c>
      <c r="B10" t="s">
        <v>47</v>
      </c>
      <c r="C10">
        <v>649163</v>
      </c>
      <c r="D10">
        <v>2030560165</v>
      </c>
      <c r="E10" t="s">
        <v>693</v>
      </c>
      <c r="F10" t="s">
        <v>692</v>
      </c>
      <c r="G10" t="s">
        <v>50</v>
      </c>
      <c r="H10" t="s">
        <v>214</v>
      </c>
      <c r="I10" t="s">
        <v>441</v>
      </c>
      <c r="J10" t="s">
        <v>442</v>
      </c>
      <c r="K10">
        <v>652037</v>
      </c>
      <c r="L10" t="s">
        <v>309</v>
      </c>
      <c r="M10" t="s">
        <v>303</v>
      </c>
      <c r="N10" t="s">
        <v>1092</v>
      </c>
      <c r="O10" t="s">
        <v>56</v>
      </c>
      <c r="P10" s="1">
        <v>45888</v>
      </c>
      <c r="Q10" s="1">
        <v>45949</v>
      </c>
      <c r="R10" s="2">
        <v>128.69</v>
      </c>
      <c r="S10">
        <v>1</v>
      </c>
      <c r="T10" t="s">
        <v>57</v>
      </c>
      <c r="U10" t="s">
        <v>58</v>
      </c>
      <c r="V10" s="4">
        <v>0.9</v>
      </c>
      <c r="W10" s="2">
        <v>0</v>
      </c>
      <c r="X10">
        <v>0</v>
      </c>
      <c r="Y10" t="s">
        <v>70</v>
      </c>
      <c r="Z10" t="s">
        <v>60</v>
      </c>
      <c r="AA10">
        <v>0</v>
      </c>
      <c r="AB10" s="2">
        <v>0</v>
      </c>
      <c r="AC10" s="2">
        <v>0</v>
      </c>
      <c r="AD10" s="4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115.82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</row>
    <row r="11" spans="1:48" x14ac:dyDescent="0.25">
      <c r="A11" s="1">
        <v>45922</v>
      </c>
      <c r="B11" t="s">
        <v>47</v>
      </c>
      <c r="C11">
        <v>649163</v>
      </c>
      <c r="D11">
        <v>2030217704</v>
      </c>
      <c r="E11" t="s">
        <v>280</v>
      </c>
      <c r="F11" t="s">
        <v>281</v>
      </c>
      <c r="G11" t="s">
        <v>50</v>
      </c>
      <c r="H11" t="s">
        <v>93</v>
      </c>
      <c r="I11" t="s">
        <v>243</v>
      </c>
      <c r="J11" t="s">
        <v>249</v>
      </c>
      <c r="K11">
        <v>768887</v>
      </c>
      <c r="L11" t="s">
        <v>282</v>
      </c>
      <c r="M11" t="s">
        <v>283</v>
      </c>
      <c r="N11" t="s">
        <v>1111</v>
      </c>
      <c r="O11" t="s">
        <v>56</v>
      </c>
      <c r="P11" s="1">
        <v>45870</v>
      </c>
      <c r="Q11" s="1">
        <v>45931</v>
      </c>
      <c r="R11" s="2">
        <v>-1</v>
      </c>
      <c r="S11">
        <v>1</v>
      </c>
      <c r="T11" t="s">
        <v>57</v>
      </c>
      <c r="U11" t="s">
        <v>58</v>
      </c>
      <c r="V11" s="4">
        <v>0.38</v>
      </c>
      <c r="W11" s="2">
        <v>0</v>
      </c>
      <c r="X11">
        <v>-1</v>
      </c>
      <c r="Y11" t="s">
        <v>70</v>
      </c>
      <c r="Z11" t="s">
        <v>60</v>
      </c>
      <c r="AA11">
        <v>0</v>
      </c>
      <c r="AB11" s="2">
        <v>0</v>
      </c>
      <c r="AC11" s="2">
        <v>0</v>
      </c>
      <c r="AD11" s="4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-0.38</v>
      </c>
      <c r="AN11" s="2">
        <v>-0.38</v>
      </c>
      <c r="AO11" s="2">
        <v>0</v>
      </c>
      <c r="AP11" s="2">
        <v>0</v>
      </c>
      <c r="AQ11" s="2">
        <v>0</v>
      </c>
    </row>
    <row r="12" spans="1:48" x14ac:dyDescent="0.25">
      <c r="A12" s="1">
        <v>45922</v>
      </c>
      <c r="B12" t="s">
        <v>47</v>
      </c>
      <c r="C12">
        <v>649163</v>
      </c>
      <c r="D12">
        <v>2030495950</v>
      </c>
      <c r="E12" t="s">
        <v>284</v>
      </c>
      <c r="F12" t="s">
        <v>285</v>
      </c>
      <c r="G12" t="s">
        <v>50</v>
      </c>
      <c r="H12" t="s">
        <v>93</v>
      </c>
      <c r="I12" t="s">
        <v>243</v>
      </c>
      <c r="J12" t="s">
        <v>261</v>
      </c>
      <c r="K12">
        <v>768887</v>
      </c>
      <c r="L12" t="s">
        <v>282</v>
      </c>
      <c r="M12" t="s">
        <v>283</v>
      </c>
      <c r="N12" t="s">
        <v>1111</v>
      </c>
      <c r="O12" t="s">
        <v>56</v>
      </c>
      <c r="P12" s="1">
        <v>45884</v>
      </c>
      <c r="Q12" s="1">
        <v>45945</v>
      </c>
      <c r="R12" s="2">
        <v>-11</v>
      </c>
      <c r="S12">
        <v>1</v>
      </c>
      <c r="T12" t="s">
        <v>57</v>
      </c>
      <c r="U12" t="s">
        <v>58</v>
      </c>
      <c r="V12" s="4">
        <v>0.38</v>
      </c>
      <c r="W12" s="2">
        <v>0</v>
      </c>
      <c r="X12">
        <v>-1</v>
      </c>
      <c r="Y12" t="s">
        <v>70</v>
      </c>
      <c r="Z12" t="s">
        <v>60</v>
      </c>
      <c r="AA12">
        <v>0</v>
      </c>
      <c r="AB12" s="2">
        <v>0</v>
      </c>
      <c r="AC12" s="2">
        <v>0</v>
      </c>
      <c r="AD12" s="4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-4.18</v>
      </c>
      <c r="AN12" s="2">
        <v>-4.18</v>
      </c>
      <c r="AO12" s="2">
        <v>0</v>
      </c>
      <c r="AP12" s="2">
        <v>0</v>
      </c>
      <c r="AQ12" s="2">
        <v>0</v>
      </c>
    </row>
    <row r="13" spans="1:48" x14ac:dyDescent="0.25">
      <c r="A13" s="1">
        <v>45922</v>
      </c>
      <c r="B13" t="s">
        <v>47</v>
      </c>
      <c r="C13">
        <v>649163</v>
      </c>
      <c r="D13">
        <v>2028402356</v>
      </c>
      <c r="E13" t="s">
        <v>371</v>
      </c>
      <c r="F13" t="s">
        <v>372</v>
      </c>
      <c r="G13" t="s">
        <v>50</v>
      </c>
      <c r="H13" t="s">
        <v>93</v>
      </c>
      <c r="I13" t="s">
        <v>306</v>
      </c>
      <c r="J13" t="s">
        <v>307</v>
      </c>
      <c r="K13">
        <v>768887</v>
      </c>
      <c r="L13" t="s">
        <v>282</v>
      </c>
      <c r="M13" t="s">
        <v>283</v>
      </c>
      <c r="N13" t="s">
        <v>1111</v>
      </c>
      <c r="O13" t="s">
        <v>56</v>
      </c>
      <c r="P13" s="1">
        <v>45762</v>
      </c>
      <c r="Q13" s="1">
        <v>45945</v>
      </c>
      <c r="R13" s="2">
        <v>-59.51</v>
      </c>
      <c r="S13">
        <v>1</v>
      </c>
      <c r="T13" t="s">
        <v>57</v>
      </c>
      <c r="U13" t="s">
        <v>58</v>
      </c>
      <c r="V13" s="3">
        <v>0.375</v>
      </c>
      <c r="W13" s="2">
        <v>0</v>
      </c>
      <c r="X13">
        <v>-1</v>
      </c>
      <c r="Y13" t="s">
        <v>70</v>
      </c>
      <c r="Z13" t="s">
        <v>60</v>
      </c>
      <c r="AA13">
        <v>0</v>
      </c>
      <c r="AB13" s="2">
        <v>0</v>
      </c>
      <c r="AC13" s="2">
        <v>0</v>
      </c>
      <c r="AD13" s="4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-22.32</v>
      </c>
      <c r="AN13" s="2">
        <v>-22.32</v>
      </c>
      <c r="AO13" s="2">
        <v>0</v>
      </c>
      <c r="AP13" s="2">
        <v>0</v>
      </c>
      <c r="AQ13" s="2">
        <v>0</v>
      </c>
    </row>
    <row r="14" spans="1:48" x14ac:dyDescent="0.25">
      <c r="A14" s="1">
        <v>45922</v>
      </c>
      <c r="B14" t="s">
        <v>47</v>
      </c>
      <c r="C14">
        <v>649163</v>
      </c>
      <c r="D14">
        <v>2030217702</v>
      </c>
      <c r="E14" t="s">
        <v>280</v>
      </c>
      <c r="F14" t="s">
        <v>281</v>
      </c>
      <c r="G14" t="s">
        <v>50</v>
      </c>
      <c r="H14" t="s">
        <v>93</v>
      </c>
      <c r="I14" t="s">
        <v>430</v>
      </c>
      <c r="J14" t="s">
        <v>431</v>
      </c>
      <c r="K14">
        <v>768887</v>
      </c>
      <c r="L14" t="s">
        <v>282</v>
      </c>
      <c r="M14" t="s">
        <v>283</v>
      </c>
      <c r="N14" t="s">
        <v>1111</v>
      </c>
      <c r="O14" t="s">
        <v>56</v>
      </c>
      <c r="P14" s="1">
        <v>45870</v>
      </c>
      <c r="Q14" s="1">
        <v>45931</v>
      </c>
      <c r="R14" s="2">
        <v>-0.93</v>
      </c>
      <c r="S14">
        <v>1</v>
      </c>
      <c r="T14" t="s">
        <v>57</v>
      </c>
      <c r="U14" t="s">
        <v>58</v>
      </c>
      <c r="V14" s="4">
        <v>0.38</v>
      </c>
      <c r="W14" s="2">
        <v>0</v>
      </c>
      <c r="X14">
        <v>-1</v>
      </c>
      <c r="Y14" t="s">
        <v>70</v>
      </c>
      <c r="Z14" t="s">
        <v>60</v>
      </c>
      <c r="AA14">
        <v>0</v>
      </c>
      <c r="AB14" s="2">
        <v>0</v>
      </c>
      <c r="AC14" s="2">
        <v>0</v>
      </c>
      <c r="AD14" s="4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-0.35</v>
      </c>
      <c r="AN14" s="2">
        <v>-0.35</v>
      </c>
      <c r="AO14" s="2">
        <v>0</v>
      </c>
      <c r="AP14" s="2">
        <v>0</v>
      </c>
      <c r="AQ14" s="2">
        <v>0</v>
      </c>
    </row>
    <row r="15" spans="1:48" x14ac:dyDescent="0.25">
      <c r="A15" s="1">
        <v>45922</v>
      </c>
      <c r="B15" t="s">
        <v>47</v>
      </c>
      <c r="C15">
        <v>649163</v>
      </c>
      <c r="D15">
        <v>2030495947</v>
      </c>
      <c r="E15" t="s">
        <v>284</v>
      </c>
      <c r="F15" t="s">
        <v>285</v>
      </c>
      <c r="G15" t="s">
        <v>50</v>
      </c>
      <c r="H15" t="s">
        <v>93</v>
      </c>
      <c r="I15" t="s">
        <v>430</v>
      </c>
      <c r="J15" t="s">
        <v>438</v>
      </c>
      <c r="K15">
        <v>768887</v>
      </c>
      <c r="L15" t="s">
        <v>282</v>
      </c>
      <c r="M15" t="s">
        <v>283</v>
      </c>
      <c r="N15" t="s">
        <v>1111</v>
      </c>
      <c r="O15" t="s">
        <v>56</v>
      </c>
      <c r="P15" s="1">
        <v>45884</v>
      </c>
      <c r="Q15" s="1">
        <v>45945</v>
      </c>
      <c r="R15" s="2">
        <v>-133.03</v>
      </c>
      <c r="S15">
        <v>1</v>
      </c>
      <c r="T15" t="s">
        <v>57</v>
      </c>
      <c r="U15" t="s">
        <v>58</v>
      </c>
      <c r="V15" s="4">
        <v>0.38</v>
      </c>
      <c r="W15" s="2">
        <v>0</v>
      </c>
      <c r="X15">
        <v>-1</v>
      </c>
      <c r="Y15" t="s">
        <v>70</v>
      </c>
      <c r="Z15" t="s">
        <v>60</v>
      </c>
      <c r="AA15">
        <v>0</v>
      </c>
      <c r="AB15" s="2">
        <v>0</v>
      </c>
      <c r="AC15" s="2">
        <v>0</v>
      </c>
      <c r="AD15" s="4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-50.55</v>
      </c>
      <c r="AN15" s="2">
        <v>-50.55</v>
      </c>
      <c r="AO15" s="2">
        <v>0</v>
      </c>
      <c r="AP15" s="2">
        <v>0</v>
      </c>
      <c r="AQ15" s="2">
        <v>0</v>
      </c>
    </row>
    <row r="16" spans="1:48" x14ac:dyDescent="0.25">
      <c r="A16" s="1">
        <v>45922</v>
      </c>
      <c r="B16" t="s">
        <v>47</v>
      </c>
      <c r="C16">
        <v>649163</v>
      </c>
      <c r="D16">
        <v>2030495948</v>
      </c>
      <c r="E16" t="s">
        <v>284</v>
      </c>
      <c r="F16" t="s">
        <v>285</v>
      </c>
      <c r="G16" t="s">
        <v>50</v>
      </c>
      <c r="H16" t="s">
        <v>93</v>
      </c>
      <c r="I16" t="s">
        <v>430</v>
      </c>
      <c r="J16" t="s">
        <v>439</v>
      </c>
      <c r="K16">
        <v>768887</v>
      </c>
      <c r="L16" t="s">
        <v>282</v>
      </c>
      <c r="M16" t="s">
        <v>283</v>
      </c>
      <c r="N16" t="s">
        <v>1111</v>
      </c>
      <c r="O16" t="s">
        <v>56</v>
      </c>
      <c r="P16" s="1">
        <v>45884</v>
      </c>
      <c r="Q16" s="1">
        <v>45945</v>
      </c>
      <c r="R16" s="2">
        <v>-5.2</v>
      </c>
      <c r="S16">
        <v>1</v>
      </c>
      <c r="T16" t="s">
        <v>57</v>
      </c>
      <c r="U16" t="s">
        <v>58</v>
      </c>
      <c r="V16" s="4">
        <v>0.38</v>
      </c>
      <c r="W16" s="2">
        <v>0</v>
      </c>
      <c r="X16">
        <v>-1</v>
      </c>
      <c r="Y16" t="s">
        <v>70</v>
      </c>
      <c r="Z16" t="s">
        <v>60</v>
      </c>
      <c r="AA16">
        <v>0</v>
      </c>
      <c r="AB16" s="2">
        <v>0</v>
      </c>
      <c r="AC16" s="2">
        <v>0</v>
      </c>
      <c r="AD16" s="4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-1.98</v>
      </c>
      <c r="AN16" s="2">
        <v>-1.98</v>
      </c>
      <c r="AO16" s="2">
        <v>0</v>
      </c>
      <c r="AP16" s="2">
        <v>0</v>
      </c>
      <c r="AQ16" s="2">
        <v>0</v>
      </c>
    </row>
    <row r="17" spans="1:43" x14ac:dyDescent="0.25">
      <c r="A17" s="1">
        <v>45922</v>
      </c>
      <c r="B17" t="s">
        <v>47</v>
      </c>
      <c r="C17">
        <v>649163</v>
      </c>
      <c r="D17">
        <v>2025022512</v>
      </c>
      <c r="E17" t="s">
        <v>282</v>
      </c>
      <c r="F17" t="s">
        <v>283</v>
      </c>
      <c r="G17" t="s">
        <v>50</v>
      </c>
      <c r="H17" t="s">
        <v>93</v>
      </c>
      <c r="I17" t="s">
        <v>441</v>
      </c>
      <c r="J17" t="s">
        <v>445</v>
      </c>
      <c r="K17">
        <v>768887</v>
      </c>
      <c r="L17" t="s">
        <v>282</v>
      </c>
      <c r="M17" t="s">
        <v>283</v>
      </c>
      <c r="N17" t="s">
        <v>1111</v>
      </c>
      <c r="O17" t="s">
        <v>56</v>
      </c>
      <c r="P17" s="1">
        <v>45561</v>
      </c>
      <c r="Q17" s="1">
        <v>45956</v>
      </c>
      <c r="R17" s="2">
        <v>122.22</v>
      </c>
      <c r="S17">
        <v>1</v>
      </c>
      <c r="T17" t="s">
        <v>57</v>
      </c>
      <c r="U17" t="s">
        <v>58</v>
      </c>
      <c r="V17" s="4">
        <v>0.15</v>
      </c>
      <c r="W17" s="2">
        <v>0</v>
      </c>
      <c r="X17">
        <v>0</v>
      </c>
      <c r="Y17" t="s">
        <v>59</v>
      </c>
      <c r="Z17" t="s">
        <v>60</v>
      </c>
      <c r="AA17">
        <v>0</v>
      </c>
      <c r="AB17" s="2">
        <v>0</v>
      </c>
      <c r="AC17" s="2">
        <v>0</v>
      </c>
      <c r="AD17" s="4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18.329999999999998</v>
      </c>
      <c r="AN17" s="2">
        <v>18.329999999999998</v>
      </c>
      <c r="AO17" s="2">
        <v>0</v>
      </c>
      <c r="AP17" s="2">
        <v>0</v>
      </c>
      <c r="AQ17" s="2">
        <v>0</v>
      </c>
    </row>
    <row r="18" spans="1:43" x14ac:dyDescent="0.25">
      <c r="A18" s="1">
        <v>45922</v>
      </c>
      <c r="B18" t="s">
        <v>47</v>
      </c>
      <c r="C18">
        <v>649163</v>
      </c>
      <c r="D18">
        <v>2026734001</v>
      </c>
      <c r="E18" t="s">
        <v>483</v>
      </c>
      <c r="F18" t="s">
        <v>260</v>
      </c>
      <c r="G18" t="s">
        <v>50</v>
      </c>
      <c r="H18" t="s">
        <v>151</v>
      </c>
      <c r="I18" t="s">
        <v>441</v>
      </c>
      <c r="J18" t="s">
        <v>445</v>
      </c>
      <c r="K18">
        <v>768887</v>
      </c>
      <c r="L18" t="s">
        <v>282</v>
      </c>
      <c r="M18" t="s">
        <v>283</v>
      </c>
      <c r="N18" t="s">
        <v>1111</v>
      </c>
      <c r="O18" t="s">
        <v>56</v>
      </c>
      <c r="P18" s="1">
        <v>45681</v>
      </c>
      <c r="Q18" s="1">
        <v>45924</v>
      </c>
      <c r="R18" s="2">
        <v>22.19</v>
      </c>
      <c r="S18">
        <v>1</v>
      </c>
      <c r="T18" t="s">
        <v>57</v>
      </c>
      <c r="U18" t="s">
        <v>58</v>
      </c>
      <c r="V18" s="4">
        <v>0.7</v>
      </c>
      <c r="W18" s="2">
        <v>0</v>
      </c>
      <c r="X18">
        <v>0</v>
      </c>
      <c r="Y18" t="s">
        <v>70</v>
      </c>
      <c r="Z18" t="s">
        <v>60</v>
      </c>
      <c r="AA18">
        <v>0</v>
      </c>
      <c r="AB18" s="2">
        <v>0</v>
      </c>
      <c r="AC18" s="2">
        <v>0</v>
      </c>
      <c r="AD18" s="4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15.53</v>
      </c>
      <c r="AN18" s="2">
        <v>15.53</v>
      </c>
      <c r="AO18" s="2">
        <v>0</v>
      </c>
      <c r="AP18" s="2">
        <v>0</v>
      </c>
      <c r="AQ18" s="2">
        <v>0</v>
      </c>
    </row>
    <row r="19" spans="1:43" x14ac:dyDescent="0.25">
      <c r="A19" s="1">
        <v>45922</v>
      </c>
      <c r="B19" t="s">
        <v>47</v>
      </c>
      <c r="C19">
        <v>649163</v>
      </c>
      <c r="D19">
        <v>2026734001</v>
      </c>
      <c r="E19" t="s">
        <v>483</v>
      </c>
      <c r="F19" t="s">
        <v>260</v>
      </c>
      <c r="G19" t="s">
        <v>50</v>
      </c>
      <c r="H19" t="s">
        <v>151</v>
      </c>
      <c r="I19" t="s">
        <v>441</v>
      </c>
      <c r="J19" t="s">
        <v>445</v>
      </c>
      <c r="K19">
        <v>768887</v>
      </c>
      <c r="L19" t="s">
        <v>282</v>
      </c>
      <c r="M19" t="s">
        <v>283</v>
      </c>
      <c r="N19" t="s">
        <v>1111</v>
      </c>
      <c r="O19" t="s">
        <v>56</v>
      </c>
      <c r="P19" s="1">
        <v>45681</v>
      </c>
      <c r="Q19" s="1">
        <v>45954</v>
      </c>
      <c r="R19" s="2">
        <v>22.19</v>
      </c>
      <c r="S19">
        <v>1</v>
      </c>
      <c r="T19" t="s">
        <v>57</v>
      </c>
      <c r="U19" t="s">
        <v>58</v>
      </c>
      <c r="V19" s="4">
        <v>0.7</v>
      </c>
      <c r="W19" s="2">
        <v>0</v>
      </c>
      <c r="X19">
        <v>0</v>
      </c>
      <c r="Y19" t="s">
        <v>70</v>
      </c>
      <c r="Z19" t="s">
        <v>60</v>
      </c>
      <c r="AA19">
        <v>0</v>
      </c>
      <c r="AB19" s="2">
        <v>0</v>
      </c>
      <c r="AC19" s="2">
        <v>0</v>
      </c>
      <c r="AD19" s="4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15.53</v>
      </c>
      <c r="AN19" s="2">
        <v>15.53</v>
      </c>
      <c r="AO19" s="2">
        <v>0</v>
      </c>
      <c r="AP19" s="2">
        <v>0</v>
      </c>
      <c r="AQ19" s="2">
        <v>0</v>
      </c>
    </row>
    <row r="20" spans="1:43" x14ac:dyDescent="0.25">
      <c r="A20" s="1">
        <v>45922</v>
      </c>
      <c r="B20" t="s">
        <v>47</v>
      </c>
      <c r="C20">
        <v>649163</v>
      </c>
      <c r="D20">
        <v>2028402355</v>
      </c>
      <c r="E20" t="s">
        <v>371</v>
      </c>
      <c r="F20" t="s">
        <v>372</v>
      </c>
      <c r="G20" t="s">
        <v>50</v>
      </c>
      <c r="H20" t="s">
        <v>93</v>
      </c>
      <c r="I20" t="s">
        <v>441</v>
      </c>
      <c r="J20" t="s">
        <v>445</v>
      </c>
      <c r="K20">
        <v>768887</v>
      </c>
      <c r="L20" t="s">
        <v>282</v>
      </c>
      <c r="M20" t="s">
        <v>283</v>
      </c>
      <c r="N20" t="s">
        <v>1111</v>
      </c>
      <c r="O20" t="s">
        <v>56</v>
      </c>
      <c r="P20" s="1">
        <v>45762</v>
      </c>
      <c r="Q20" s="1">
        <v>45945</v>
      </c>
      <c r="R20" s="2">
        <v>-105.02</v>
      </c>
      <c r="S20">
        <v>1</v>
      </c>
      <c r="T20" t="s">
        <v>57</v>
      </c>
      <c r="U20" t="s">
        <v>58</v>
      </c>
      <c r="V20" s="4">
        <v>0.7</v>
      </c>
      <c r="W20" s="2">
        <v>0</v>
      </c>
      <c r="X20">
        <v>-1</v>
      </c>
      <c r="Y20" t="s">
        <v>70</v>
      </c>
      <c r="Z20" t="s">
        <v>60</v>
      </c>
      <c r="AA20">
        <v>0</v>
      </c>
      <c r="AB20" s="2">
        <v>0</v>
      </c>
      <c r="AC20" s="2">
        <v>0</v>
      </c>
      <c r="AD20" s="4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-73.510000000000005</v>
      </c>
      <c r="AN20" s="2">
        <v>-73.510000000000005</v>
      </c>
      <c r="AO20" s="2">
        <v>0</v>
      </c>
      <c r="AP20" s="2">
        <v>0</v>
      </c>
      <c r="AQ20" s="2">
        <v>0</v>
      </c>
    </row>
    <row r="21" spans="1:43" x14ac:dyDescent="0.25">
      <c r="A21" s="1">
        <v>45922</v>
      </c>
      <c r="B21" t="s">
        <v>47</v>
      </c>
      <c r="C21">
        <v>649163</v>
      </c>
      <c r="D21">
        <v>2029041858</v>
      </c>
      <c r="E21" t="s">
        <v>507</v>
      </c>
      <c r="F21" t="s">
        <v>331</v>
      </c>
      <c r="G21" t="s">
        <v>50</v>
      </c>
      <c r="H21" t="s">
        <v>93</v>
      </c>
      <c r="I21" t="s">
        <v>441</v>
      </c>
      <c r="J21" t="s">
        <v>445</v>
      </c>
      <c r="K21">
        <v>768887</v>
      </c>
      <c r="L21" t="s">
        <v>282</v>
      </c>
      <c r="M21" t="s">
        <v>283</v>
      </c>
      <c r="N21" t="s">
        <v>1111</v>
      </c>
      <c r="O21" t="s">
        <v>56</v>
      </c>
      <c r="P21" s="1">
        <v>45798</v>
      </c>
      <c r="Q21" s="1">
        <v>45951</v>
      </c>
      <c r="R21" s="2">
        <v>103.18</v>
      </c>
      <c r="S21">
        <v>1</v>
      </c>
      <c r="T21" t="s">
        <v>57</v>
      </c>
      <c r="U21" t="s">
        <v>58</v>
      </c>
      <c r="V21" s="4">
        <v>0.7</v>
      </c>
      <c r="W21" s="2">
        <v>0</v>
      </c>
      <c r="X21">
        <v>0</v>
      </c>
      <c r="Y21" t="s">
        <v>70</v>
      </c>
      <c r="Z21" t="s">
        <v>60</v>
      </c>
      <c r="AA21">
        <v>0</v>
      </c>
      <c r="AB21" s="2">
        <v>0</v>
      </c>
      <c r="AC21" s="2">
        <v>0</v>
      </c>
      <c r="AD21" s="4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72.23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</row>
    <row r="22" spans="1:43" x14ac:dyDescent="0.25">
      <c r="A22" s="1">
        <v>45922</v>
      </c>
      <c r="B22" t="s">
        <v>47</v>
      </c>
      <c r="C22">
        <v>649163</v>
      </c>
      <c r="D22">
        <v>2029546224</v>
      </c>
      <c r="E22" t="s">
        <v>282</v>
      </c>
      <c r="F22" t="s">
        <v>283</v>
      </c>
      <c r="G22" t="s">
        <v>50</v>
      </c>
      <c r="H22" t="s">
        <v>93</v>
      </c>
      <c r="I22" t="s">
        <v>441</v>
      </c>
      <c r="J22" t="s">
        <v>445</v>
      </c>
      <c r="K22">
        <v>768887</v>
      </c>
      <c r="L22" t="s">
        <v>282</v>
      </c>
      <c r="M22" t="s">
        <v>283</v>
      </c>
      <c r="N22" t="s">
        <v>1111</v>
      </c>
      <c r="O22" t="s">
        <v>56</v>
      </c>
      <c r="P22" s="1">
        <v>45828</v>
      </c>
      <c r="Q22" s="1">
        <v>45950</v>
      </c>
      <c r="R22" s="2">
        <v>118</v>
      </c>
      <c r="S22">
        <v>1</v>
      </c>
      <c r="T22" t="s">
        <v>57</v>
      </c>
      <c r="U22" t="s">
        <v>58</v>
      </c>
      <c r="V22" s="4">
        <v>0.7</v>
      </c>
      <c r="W22" s="2">
        <v>0</v>
      </c>
      <c r="X22">
        <v>0</v>
      </c>
      <c r="Y22" t="s">
        <v>70</v>
      </c>
      <c r="Z22" t="s">
        <v>60</v>
      </c>
      <c r="AA22">
        <v>0</v>
      </c>
      <c r="AB22" s="2">
        <v>0</v>
      </c>
      <c r="AC22" s="2">
        <v>0</v>
      </c>
      <c r="AD22" s="4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82.6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</row>
    <row r="23" spans="1:43" x14ac:dyDescent="0.25">
      <c r="A23" s="1">
        <v>45922</v>
      </c>
      <c r="B23" t="s">
        <v>47</v>
      </c>
      <c r="C23">
        <v>649163</v>
      </c>
      <c r="D23">
        <v>2030217703</v>
      </c>
      <c r="E23" t="s">
        <v>280</v>
      </c>
      <c r="F23" t="s">
        <v>281</v>
      </c>
      <c r="G23" t="s">
        <v>50</v>
      </c>
      <c r="H23" t="s">
        <v>93</v>
      </c>
      <c r="I23" t="s">
        <v>441</v>
      </c>
      <c r="J23" t="s">
        <v>445</v>
      </c>
      <c r="K23">
        <v>768887</v>
      </c>
      <c r="L23" t="s">
        <v>282</v>
      </c>
      <c r="M23" t="s">
        <v>283</v>
      </c>
      <c r="N23" t="s">
        <v>1111</v>
      </c>
      <c r="O23" t="s">
        <v>56</v>
      </c>
      <c r="P23" s="1">
        <v>45870</v>
      </c>
      <c r="Q23" s="1">
        <v>45931</v>
      </c>
      <c r="R23" s="2">
        <v>-6.39</v>
      </c>
      <c r="S23">
        <v>1</v>
      </c>
      <c r="T23" t="s">
        <v>57</v>
      </c>
      <c r="U23" t="s">
        <v>58</v>
      </c>
      <c r="V23" s="4">
        <v>0.7</v>
      </c>
      <c r="W23" s="2">
        <v>0</v>
      </c>
      <c r="X23">
        <v>-1</v>
      </c>
      <c r="Y23" t="s">
        <v>70</v>
      </c>
      <c r="Z23" t="s">
        <v>60</v>
      </c>
      <c r="AA23">
        <v>0</v>
      </c>
      <c r="AB23" s="2">
        <v>0</v>
      </c>
      <c r="AC23" s="2">
        <v>0</v>
      </c>
      <c r="AD23" s="4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-4.47</v>
      </c>
      <c r="AN23" s="2">
        <v>-4.47</v>
      </c>
      <c r="AO23" s="2">
        <v>0</v>
      </c>
      <c r="AP23" s="2">
        <v>0</v>
      </c>
      <c r="AQ23" s="2">
        <v>0</v>
      </c>
    </row>
    <row r="24" spans="1:43" x14ac:dyDescent="0.25">
      <c r="A24" s="1">
        <v>45922</v>
      </c>
      <c r="B24" t="s">
        <v>47</v>
      </c>
      <c r="C24">
        <v>649163</v>
      </c>
      <c r="D24">
        <v>2030218150</v>
      </c>
      <c r="E24" t="s">
        <v>331</v>
      </c>
      <c r="F24" t="s">
        <v>281</v>
      </c>
      <c r="G24" t="s">
        <v>50</v>
      </c>
      <c r="H24" t="s">
        <v>93</v>
      </c>
      <c r="I24" t="s">
        <v>441</v>
      </c>
      <c r="J24" t="s">
        <v>445</v>
      </c>
      <c r="K24">
        <v>768887</v>
      </c>
      <c r="L24" t="s">
        <v>282</v>
      </c>
      <c r="M24" t="s">
        <v>283</v>
      </c>
      <c r="N24" t="s">
        <v>1111</v>
      </c>
      <c r="O24" t="s">
        <v>230</v>
      </c>
      <c r="P24" s="1">
        <v>45870</v>
      </c>
      <c r="Q24" s="1">
        <v>45931</v>
      </c>
      <c r="R24" s="2">
        <v>-235.88</v>
      </c>
      <c r="S24">
        <v>1</v>
      </c>
      <c r="T24" t="s">
        <v>57</v>
      </c>
      <c r="U24" t="s">
        <v>58</v>
      </c>
      <c r="V24" s="4">
        <v>0.7</v>
      </c>
      <c r="W24" s="2">
        <v>0</v>
      </c>
      <c r="X24">
        <v>-1</v>
      </c>
      <c r="Y24" t="s">
        <v>70</v>
      </c>
      <c r="Z24" t="s">
        <v>60</v>
      </c>
      <c r="AA24">
        <v>0</v>
      </c>
      <c r="AB24" s="2">
        <v>0</v>
      </c>
      <c r="AC24" s="2">
        <v>0</v>
      </c>
      <c r="AD24" s="4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-165.12</v>
      </c>
      <c r="AN24" s="2">
        <v>-165.12</v>
      </c>
      <c r="AO24" s="2">
        <v>0</v>
      </c>
      <c r="AP24" s="2">
        <v>0</v>
      </c>
      <c r="AQ24" s="2">
        <v>0</v>
      </c>
    </row>
    <row r="25" spans="1:43" x14ac:dyDescent="0.25">
      <c r="A25" s="1">
        <v>45922</v>
      </c>
      <c r="B25" t="s">
        <v>47</v>
      </c>
      <c r="C25">
        <v>649163</v>
      </c>
      <c r="D25">
        <v>2030495949</v>
      </c>
      <c r="E25" t="s">
        <v>284</v>
      </c>
      <c r="F25" t="s">
        <v>285</v>
      </c>
      <c r="G25" t="s">
        <v>50</v>
      </c>
      <c r="H25" t="s">
        <v>93</v>
      </c>
      <c r="I25" t="s">
        <v>441</v>
      </c>
      <c r="J25" t="s">
        <v>445</v>
      </c>
      <c r="K25">
        <v>768887</v>
      </c>
      <c r="L25" t="s">
        <v>282</v>
      </c>
      <c r="M25" t="s">
        <v>283</v>
      </c>
      <c r="N25" t="s">
        <v>1111</v>
      </c>
      <c r="O25" t="s">
        <v>56</v>
      </c>
      <c r="P25" s="1">
        <v>45884</v>
      </c>
      <c r="Q25" s="1">
        <v>45945</v>
      </c>
      <c r="R25" s="2">
        <v>-53.36</v>
      </c>
      <c r="S25">
        <v>1</v>
      </c>
      <c r="T25" t="s">
        <v>57</v>
      </c>
      <c r="U25" t="s">
        <v>58</v>
      </c>
      <c r="V25" s="4">
        <v>0.7</v>
      </c>
      <c r="W25" s="2">
        <v>0</v>
      </c>
      <c r="X25">
        <v>-1</v>
      </c>
      <c r="Y25" t="s">
        <v>70</v>
      </c>
      <c r="Z25" t="s">
        <v>60</v>
      </c>
      <c r="AA25">
        <v>0</v>
      </c>
      <c r="AB25" s="2">
        <v>0</v>
      </c>
      <c r="AC25" s="2">
        <v>0</v>
      </c>
      <c r="AD25" s="4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-37.35</v>
      </c>
      <c r="AN25" s="2">
        <v>-37.35</v>
      </c>
      <c r="AO25" s="2">
        <v>0</v>
      </c>
      <c r="AP25" s="2">
        <v>0</v>
      </c>
      <c r="AQ25" s="2">
        <v>0</v>
      </c>
    </row>
    <row r="26" spans="1:43" x14ac:dyDescent="0.25">
      <c r="A26" s="1">
        <v>45915</v>
      </c>
      <c r="B26" t="s">
        <v>47</v>
      </c>
      <c r="C26">
        <v>649163</v>
      </c>
      <c r="D26">
        <v>2027115500</v>
      </c>
      <c r="E26" t="s">
        <v>987</v>
      </c>
      <c r="F26" t="s">
        <v>986</v>
      </c>
      <c r="G26" t="s">
        <v>50</v>
      </c>
      <c r="H26" t="s">
        <v>93</v>
      </c>
      <c r="I26" t="s">
        <v>106</v>
      </c>
      <c r="J26" t="s">
        <v>107</v>
      </c>
      <c r="K26">
        <v>768887</v>
      </c>
      <c r="L26" t="s">
        <v>282</v>
      </c>
      <c r="M26" t="s">
        <v>283</v>
      </c>
      <c r="N26" t="s">
        <v>1111</v>
      </c>
      <c r="O26" t="s">
        <v>56</v>
      </c>
      <c r="P26" s="1">
        <v>45703</v>
      </c>
      <c r="Q26" s="1">
        <v>45945</v>
      </c>
      <c r="R26" s="2">
        <v>13.92</v>
      </c>
      <c r="S26">
        <v>1</v>
      </c>
      <c r="T26" t="s">
        <v>57</v>
      </c>
      <c r="U26" t="s">
        <v>58</v>
      </c>
      <c r="V26" s="4">
        <v>0.9</v>
      </c>
      <c r="W26" s="2">
        <v>0</v>
      </c>
      <c r="X26">
        <v>0</v>
      </c>
      <c r="Y26" t="s">
        <v>70</v>
      </c>
      <c r="Z26" t="s">
        <v>60</v>
      </c>
      <c r="AA26">
        <v>0</v>
      </c>
      <c r="AB26" s="2">
        <v>0</v>
      </c>
      <c r="AC26" s="2">
        <v>0</v>
      </c>
      <c r="AD26" s="4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12.53</v>
      </c>
      <c r="AN26" s="2">
        <v>12.53</v>
      </c>
      <c r="AO26" s="2">
        <v>0</v>
      </c>
      <c r="AP26" s="2">
        <v>0</v>
      </c>
      <c r="AQ26" s="2">
        <v>0</v>
      </c>
    </row>
    <row r="27" spans="1:43" x14ac:dyDescent="0.25">
      <c r="A27" s="1">
        <v>45915</v>
      </c>
      <c r="B27" t="s">
        <v>47</v>
      </c>
      <c r="C27">
        <v>649163</v>
      </c>
      <c r="D27">
        <v>2030028580</v>
      </c>
      <c r="E27" t="s">
        <v>769</v>
      </c>
      <c r="F27" t="s">
        <v>321</v>
      </c>
      <c r="G27" t="s">
        <v>50</v>
      </c>
      <c r="H27" t="s">
        <v>93</v>
      </c>
      <c r="I27" t="s">
        <v>243</v>
      </c>
      <c r="J27" t="s">
        <v>261</v>
      </c>
      <c r="K27">
        <v>768887</v>
      </c>
      <c r="L27" t="s">
        <v>282</v>
      </c>
      <c r="M27" t="s">
        <v>283</v>
      </c>
      <c r="N27" t="s">
        <v>1111</v>
      </c>
      <c r="O27" t="s">
        <v>56</v>
      </c>
      <c r="P27" s="1">
        <v>45857</v>
      </c>
      <c r="Q27" s="1">
        <v>45949</v>
      </c>
      <c r="R27" s="2">
        <v>15</v>
      </c>
      <c r="S27">
        <v>1</v>
      </c>
      <c r="T27" t="s">
        <v>57</v>
      </c>
      <c r="U27" t="s">
        <v>58</v>
      </c>
      <c r="V27" s="4">
        <v>0.38</v>
      </c>
      <c r="W27" s="2">
        <v>0</v>
      </c>
      <c r="X27">
        <v>0</v>
      </c>
      <c r="Y27" t="s">
        <v>70</v>
      </c>
      <c r="Z27" t="s">
        <v>60</v>
      </c>
      <c r="AA27">
        <v>0</v>
      </c>
      <c r="AB27" s="2">
        <v>0</v>
      </c>
      <c r="AC27" s="2">
        <v>0</v>
      </c>
      <c r="AD27" s="4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5.7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</row>
    <row r="28" spans="1:43" x14ac:dyDescent="0.25">
      <c r="A28" s="1">
        <v>45915</v>
      </c>
      <c r="B28" t="s">
        <v>47</v>
      </c>
      <c r="C28">
        <v>649163</v>
      </c>
      <c r="D28">
        <v>2030495950</v>
      </c>
      <c r="E28" t="s">
        <v>284</v>
      </c>
      <c r="F28" t="s">
        <v>285</v>
      </c>
      <c r="G28" t="s">
        <v>50</v>
      </c>
      <c r="H28" t="s">
        <v>93</v>
      </c>
      <c r="I28" t="s">
        <v>243</v>
      </c>
      <c r="J28" t="s">
        <v>261</v>
      </c>
      <c r="K28">
        <v>768887</v>
      </c>
      <c r="L28" t="s">
        <v>282</v>
      </c>
      <c r="M28" t="s">
        <v>283</v>
      </c>
      <c r="N28" t="s">
        <v>1111</v>
      </c>
      <c r="O28" t="s">
        <v>56</v>
      </c>
      <c r="P28" s="1">
        <v>45884</v>
      </c>
      <c r="Q28" s="1">
        <v>45945</v>
      </c>
      <c r="R28" s="2">
        <v>15</v>
      </c>
      <c r="S28">
        <v>1</v>
      </c>
      <c r="T28" t="s">
        <v>57</v>
      </c>
      <c r="U28" t="s">
        <v>58</v>
      </c>
      <c r="V28" s="4">
        <v>0.38</v>
      </c>
      <c r="W28" s="2">
        <v>0</v>
      </c>
      <c r="X28">
        <v>0</v>
      </c>
      <c r="Y28" t="s">
        <v>70</v>
      </c>
      <c r="Z28" t="s">
        <v>60</v>
      </c>
      <c r="AA28">
        <v>0</v>
      </c>
      <c r="AB28" s="2">
        <v>0</v>
      </c>
      <c r="AC28" s="2">
        <v>0</v>
      </c>
      <c r="AD28" s="4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5.7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</row>
    <row r="29" spans="1:43" x14ac:dyDescent="0.25">
      <c r="A29" s="1">
        <v>45915</v>
      </c>
      <c r="B29" t="s">
        <v>47</v>
      </c>
      <c r="C29">
        <v>649163</v>
      </c>
      <c r="D29">
        <v>2027115501</v>
      </c>
      <c r="E29" t="s">
        <v>987</v>
      </c>
      <c r="F29" t="s">
        <v>986</v>
      </c>
      <c r="G29" t="s">
        <v>50</v>
      </c>
      <c r="H29" t="s">
        <v>93</v>
      </c>
      <c r="I29" t="s">
        <v>441</v>
      </c>
      <c r="J29" t="s">
        <v>445</v>
      </c>
      <c r="K29">
        <v>768887</v>
      </c>
      <c r="L29" t="s">
        <v>282</v>
      </c>
      <c r="M29" t="s">
        <v>283</v>
      </c>
      <c r="N29" t="s">
        <v>1111</v>
      </c>
      <c r="O29" t="s">
        <v>56</v>
      </c>
      <c r="P29" s="1">
        <v>45703</v>
      </c>
      <c r="Q29" s="1">
        <v>45945</v>
      </c>
      <c r="R29" s="2">
        <v>41.44</v>
      </c>
      <c r="S29">
        <v>1</v>
      </c>
      <c r="T29" t="s">
        <v>57</v>
      </c>
      <c r="U29" t="s">
        <v>58</v>
      </c>
      <c r="V29" s="4">
        <v>0.7</v>
      </c>
      <c r="W29" s="2">
        <v>0</v>
      </c>
      <c r="X29">
        <v>0</v>
      </c>
      <c r="Y29" t="s">
        <v>70</v>
      </c>
      <c r="Z29" t="s">
        <v>60</v>
      </c>
      <c r="AA29">
        <v>0</v>
      </c>
      <c r="AB29" s="2">
        <v>0</v>
      </c>
      <c r="AC29" s="2">
        <v>0</v>
      </c>
      <c r="AD29" s="4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29.01</v>
      </c>
      <c r="AN29" s="2">
        <v>29.01</v>
      </c>
      <c r="AO29" s="2">
        <v>0</v>
      </c>
      <c r="AP29" s="2">
        <v>0</v>
      </c>
      <c r="AQ29" s="2">
        <v>0</v>
      </c>
    </row>
    <row r="30" spans="1:43" x14ac:dyDescent="0.25">
      <c r="A30" s="1">
        <v>45915</v>
      </c>
      <c r="B30" t="s">
        <v>47</v>
      </c>
      <c r="C30">
        <v>649163</v>
      </c>
      <c r="D30">
        <v>2028402355</v>
      </c>
      <c r="E30" t="s">
        <v>371</v>
      </c>
      <c r="F30" t="s">
        <v>372</v>
      </c>
      <c r="G30" t="s">
        <v>50</v>
      </c>
      <c r="H30" t="s">
        <v>93</v>
      </c>
      <c r="I30" t="s">
        <v>441</v>
      </c>
      <c r="J30" t="s">
        <v>445</v>
      </c>
      <c r="K30">
        <v>768887</v>
      </c>
      <c r="L30" t="s">
        <v>282</v>
      </c>
      <c r="M30" t="s">
        <v>283</v>
      </c>
      <c r="N30" t="s">
        <v>1111</v>
      </c>
      <c r="O30" t="s">
        <v>56</v>
      </c>
      <c r="P30" s="1">
        <v>45762</v>
      </c>
      <c r="Q30" s="1">
        <v>45945</v>
      </c>
      <c r="R30" s="2">
        <v>105.02</v>
      </c>
      <c r="S30">
        <v>1</v>
      </c>
      <c r="T30" t="s">
        <v>57</v>
      </c>
      <c r="U30" t="s">
        <v>58</v>
      </c>
      <c r="V30" s="4">
        <v>0.7</v>
      </c>
      <c r="W30" s="2">
        <v>0</v>
      </c>
      <c r="X30">
        <v>0</v>
      </c>
      <c r="Y30" t="s">
        <v>70</v>
      </c>
      <c r="Z30" t="s">
        <v>60</v>
      </c>
      <c r="AA30">
        <v>0</v>
      </c>
      <c r="AB30" s="2">
        <v>0</v>
      </c>
      <c r="AC30" s="2">
        <v>0</v>
      </c>
      <c r="AD30" s="4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73.510000000000005</v>
      </c>
      <c r="AN30" s="2">
        <v>73.510000000000005</v>
      </c>
      <c r="AO30" s="2">
        <v>0</v>
      </c>
      <c r="AP30" s="2">
        <v>0</v>
      </c>
      <c r="AQ30" s="2">
        <v>0</v>
      </c>
    </row>
    <row r="31" spans="1:43" x14ac:dyDescent="0.25">
      <c r="A31" s="1">
        <v>45915</v>
      </c>
      <c r="B31" t="s">
        <v>47</v>
      </c>
      <c r="C31">
        <v>649163</v>
      </c>
      <c r="D31">
        <v>2026649714</v>
      </c>
      <c r="E31" t="s">
        <v>282</v>
      </c>
      <c r="F31" t="s">
        <v>283</v>
      </c>
      <c r="G31" t="s">
        <v>50</v>
      </c>
      <c r="H31" t="s">
        <v>93</v>
      </c>
      <c r="I31" t="s">
        <v>306</v>
      </c>
      <c r="J31" t="s">
        <v>307</v>
      </c>
      <c r="K31">
        <v>768887</v>
      </c>
      <c r="L31" t="s">
        <v>282</v>
      </c>
      <c r="M31" t="s">
        <v>283</v>
      </c>
      <c r="N31" t="s">
        <v>1111</v>
      </c>
      <c r="O31" t="s">
        <v>56</v>
      </c>
      <c r="P31" s="1">
        <v>45675</v>
      </c>
      <c r="Q31" s="1">
        <v>45948</v>
      </c>
      <c r="R31" s="2">
        <v>57.44</v>
      </c>
      <c r="S31">
        <v>1</v>
      </c>
      <c r="T31" t="s">
        <v>57</v>
      </c>
      <c r="U31" t="s">
        <v>58</v>
      </c>
      <c r="V31" s="3">
        <v>0.375</v>
      </c>
      <c r="W31" s="2">
        <v>0</v>
      </c>
      <c r="X31">
        <v>0</v>
      </c>
      <c r="Y31" t="s">
        <v>70</v>
      </c>
      <c r="Z31" t="s">
        <v>60</v>
      </c>
      <c r="AA31">
        <v>0</v>
      </c>
      <c r="AB31" s="2">
        <v>0</v>
      </c>
      <c r="AC31" s="2">
        <v>0</v>
      </c>
      <c r="AD31" s="4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21.54</v>
      </c>
      <c r="AN31" s="2">
        <v>21.54</v>
      </c>
      <c r="AO31" s="2">
        <v>0</v>
      </c>
      <c r="AP31" s="2">
        <v>0</v>
      </c>
      <c r="AQ31" s="2">
        <v>0</v>
      </c>
    </row>
    <row r="32" spans="1:43" x14ac:dyDescent="0.25">
      <c r="A32" s="1">
        <v>45915</v>
      </c>
      <c r="B32" t="s">
        <v>47</v>
      </c>
      <c r="C32">
        <v>649163</v>
      </c>
      <c r="D32">
        <v>2028402356</v>
      </c>
      <c r="E32" t="s">
        <v>371</v>
      </c>
      <c r="F32" t="s">
        <v>372</v>
      </c>
      <c r="G32" t="s">
        <v>50</v>
      </c>
      <c r="H32" t="s">
        <v>93</v>
      </c>
      <c r="I32" t="s">
        <v>306</v>
      </c>
      <c r="J32" t="s">
        <v>307</v>
      </c>
      <c r="K32">
        <v>768887</v>
      </c>
      <c r="L32" t="s">
        <v>282</v>
      </c>
      <c r="M32" t="s">
        <v>283</v>
      </c>
      <c r="N32" t="s">
        <v>1111</v>
      </c>
      <c r="O32" t="s">
        <v>56</v>
      </c>
      <c r="P32" s="1">
        <v>45762</v>
      </c>
      <c r="Q32" s="1">
        <v>45945</v>
      </c>
      <c r="R32" s="2">
        <v>59.51</v>
      </c>
      <c r="S32">
        <v>1</v>
      </c>
      <c r="T32" t="s">
        <v>57</v>
      </c>
      <c r="U32" t="s">
        <v>58</v>
      </c>
      <c r="V32" s="3">
        <v>0.375</v>
      </c>
      <c r="W32" s="2">
        <v>0</v>
      </c>
      <c r="X32">
        <v>0</v>
      </c>
      <c r="Y32" t="s">
        <v>70</v>
      </c>
      <c r="Z32" t="s">
        <v>60</v>
      </c>
      <c r="AA32">
        <v>0</v>
      </c>
      <c r="AB32" s="2">
        <v>0</v>
      </c>
      <c r="AC32" s="2">
        <v>0</v>
      </c>
      <c r="AD32" s="4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22.32</v>
      </c>
      <c r="AN32" s="2">
        <v>22.32</v>
      </c>
      <c r="AO32" s="2">
        <v>0</v>
      </c>
      <c r="AP32" s="2">
        <v>0</v>
      </c>
      <c r="AQ32" s="2">
        <v>0</v>
      </c>
    </row>
    <row r="33" spans="1:44" x14ac:dyDescent="0.25">
      <c r="A33" s="1">
        <v>45915</v>
      </c>
      <c r="B33" t="s">
        <v>47</v>
      </c>
      <c r="C33">
        <v>649163</v>
      </c>
      <c r="D33">
        <v>2030495947</v>
      </c>
      <c r="E33" t="s">
        <v>284</v>
      </c>
      <c r="F33" t="s">
        <v>285</v>
      </c>
      <c r="G33" t="s">
        <v>50</v>
      </c>
      <c r="H33" t="s">
        <v>93</v>
      </c>
      <c r="I33" t="s">
        <v>430</v>
      </c>
      <c r="J33" t="s">
        <v>438</v>
      </c>
      <c r="K33">
        <v>768887</v>
      </c>
      <c r="L33" t="s">
        <v>282</v>
      </c>
      <c r="M33" t="s">
        <v>283</v>
      </c>
      <c r="N33" t="s">
        <v>1111</v>
      </c>
      <c r="O33" t="s">
        <v>56</v>
      </c>
      <c r="P33" s="1">
        <v>45884</v>
      </c>
      <c r="Q33" s="1">
        <v>45945</v>
      </c>
      <c r="R33" s="2">
        <v>181.4</v>
      </c>
      <c r="S33">
        <v>1</v>
      </c>
      <c r="T33" t="s">
        <v>57</v>
      </c>
      <c r="U33" t="s">
        <v>58</v>
      </c>
      <c r="V33" s="4">
        <v>0.38</v>
      </c>
      <c r="W33" s="2">
        <v>0</v>
      </c>
      <c r="X33">
        <v>0</v>
      </c>
      <c r="Y33" t="s">
        <v>70</v>
      </c>
      <c r="Z33" t="s">
        <v>60</v>
      </c>
      <c r="AA33">
        <v>0</v>
      </c>
      <c r="AB33" s="2">
        <v>0</v>
      </c>
      <c r="AC33" s="2">
        <v>0</v>
      </c>
      <c r="AD33" s="4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68.930000000000007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</row>
    <row r="34" spans="1:44" x14ac:dyDescent="0.25">
      <c r="A34" s="1">
        <v>45915</v>
      </c>
      <c r="B34" t="s">
        <v>47</v>
      </c>
      <c r="C34">
        <v>649163</v>
      </c>
      <c r="D34">
        <v>2030028578</v>
      </c>
      <c r="E34" t="s">
        <v>769</v>
      </c>
      <c r="F34" t="s">
        <v>321</v>
      </c>
      <c r="G34" t="s">
        <v>50</v>
      </c>
      <c r="H34" t="s">
        <v>93</v>
      </c>
      <c r="I34" t="s">
        <v>430</v>
      </c>
      <c r="J34" t="s">
        <v>439</v>
      </c>
      <c r="K34">
        <v>768887</v>
      </c>
      <c r="L34" t="s">
        <v>282</v>
      </c>
      <c r="M34" t="s">
        <v>283</v>
      </c>
      <c r="N34" t="s">
        <v>1111</v>
      </c>
      <c r="O34" t="s">
        <v>56</v>
      </c>
      <c r="P34" s="1">
        <v>45857</v>
      </c>
      <c r="Q34" s="1">
        <v>45949</v>
      </c>
      <c r="R34" s="2">
        <v>7.09</v>
      </c>
      <c r="S34">
        <v>1</v>
      </c>
      <c r="T34" t="s">
        <v>57</v>
      </c>
      <c r="U34" t="s">
        <v>58</v>
      </c>
      <c r="V34" s="4">
        <v>0.38</v>
      </c>
      <c r="W34" s="2">
        <v>0</v>
      </c>
      <c r="X34">
        <v>0</v>
      </c>
      <c r="Y34" t="s">
        <v>70</v>
      </c>
      <c r="Z34" t="s">
        <v>60</v>
      </c>
      <c r="AA34">
        <v>0</v>
      </c>
      <c r="AB34" s="2">
        <v>0</v>
      </c>
      <c r="AC34" s="2">
        <v>0</v>
      </c>
      <c r="AD34" s="4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2.69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</row>
    <row r="35" spans="1:44" x14ac:dyDescent="0.25">
      <c r="A35" s="1">
        <v>45915</v>
      </c>
      <c r="B35" t="s">
        <v>47</v>
      </c>
      <c r="C35">
        <v>649163</v>
      </c>
      <c r="D35">
        <v>2030028579</v>
      </c>
      <c r="E35" t="s">
        <v>769</v>
      </c>
      <c r="F35" t="s">
        <v>321</v>
      </c>
      <c r="G35" t="s">
        <v>50</v>
      </c>
      <c r="H35" t="s">
        <v>93</v>
      </c>
      <c r="I35" t="s">
        <v>430</v>
      </c>
      <c r="J35" t="s">
        <v>438</v>
      </c>
      <c r="K35">
        <v>768887</v>
      </c>
      <c r="L35" t="s">
        <v>282</v>
      </c>
      <c r="M35" t="s">
        <v>283</v>
      </c>
      <c r="N35" t="s">
        <v>1111</v>
      </c>
      <c r="O35" t="s">
        <v>56</v>
      </c>
      <c r="P35" s="1">
        <v>45857</v>
      </c>
      <c r="Q35" s="1">
        <v>45949</v>
      </c>
      <c r="R35" s="2">
        <v>530.48</v>
      </c>
      <c r="S35">
        <v>1</v>
      </c>
      <c r="T35" t="s">
        <v>57</v>
      </c>
      <c r="U35" t="s">
        <v>58</v>
      </c>
      <c r="V35" s="4">
        <v>0.38</v>
      </c>
      <c r="W35" s="2">
        <v>0</v>
      </c>
      <c r="X35">
        <v>0</v>
      </c>
      <c r="Y35" t="s">
        <v>70</v>
      </c>
      <c r="Z35" t="s">
        <v>60</v>
      </c>
      <c r="AA35">
        <v>0</v>
      </c>
      <c r="AB35" s="2">
        <v>0</v>
      </c>
      <c r="AC35" s="2">
        <v>0</v>
      </c>
      <c r="AD35" s="4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201.58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</row>
    <row r="36" spans="1:44" x14ac:dyDescent="0.25">
      <c r="A36" s="1">
        <v>45915</v>
      </c>
      <c r="B36" t="s">
        <v>47</v>
      </c>
      <c r="C36">
        <v>649163</v>
      </c>
      <c r="D36">
        <v>2030495948</v>
      </c>
      <c r="E36" t="s">
        <v>284</v>
      </c>
      <c r="F36" t="s">
        <v>285</v>
      </c>
      <c r="G36" t="s">
        <v>50</v>
      </c>
      <c r="H36" t="s">
        <v>93</v>
      </c>
      <c r="I36" t="s">
        <v>430</v>
      </c>
      <c r="J36" t="s">
        <v>439</v>
      </c>
      <c r="K36">
        <v>768887</v>
      </c>
      <c r="L36" t="s">
        <v>282</v>
      </c>
      <c r="M36" t="s">
        <v>283</v>
      </c>
      <c r="N36" t="s">
        <v>1111</v>
      </c>
      <c r="O36" t="s">
        <v>56</v>
      </c>
      <c r="P36" s="1">
        <v>45884</v>
      </c>
      <c r="Q36" s="1">
        <v>45945</v>
      </c>
      <c r="R36" s="2">
        <v>7.09</v>
      </c>
      <c r="S36">
        <v>1</v>
      </c>
      <c r="T36" t="s">
        <v>57</v>
      </c>
      <c r="U36" t="s">
        <v>58</v>
      </c>
      <c r="V36" s="4">
        <v>0.38</v>
      </c>
      <c r="W36" s="2">
        <v>0</v>
      </c>
      <c r="X36">
        <v>0</v>
      </c>
      <c r="Y36" t="s">
        <v>70</v>
      </c>
      <c r="Z36" t="s">
        <v>60</v>
      </c>
      <c r="AA36">
        <v>0</v>
      </c>
      <c r="AB36" s="2">
        <v>0</v>
      </c>
      <c r="AC36" s="2">
        <v>0</v>
      </c>
      <c r="AD36" s="4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2.69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</row>
    <row r="37" spans="1:44" x14ac:dyDescent="0.25">
      <c r="A37" s="1">
        <v>45915</v>
      </c>
      <c r="B37" t="s">
        <v>47</v>
      </c>
      <c r="C37">
        <v>649163</v>
      </c>
      <c r="D37">
        <v>2024905824</v>
      </c>
      <c r="E37" t="s">
        <v>728</v>
      </c>
      <c r="F37" t="s">
        <v>727</v>
      </c>
      <c r="G37" t="s">
        <v>50</v>
      </c>
      <c r="H37" t="s">
        <v>93</v>
      </c>
      <c r="I37" t="s">
        <v>441</v>
      </c>
      <c r="J37" t="s">
        <v>445</v>
      </c>
      <c r="K37">
        <v>768887</v>
      </c>
      <c r="L37" t="s">
        <v>282</v>
      </c>
      <c r="M37" t="s">
        <v>283</v>
      </c>
      <c r="N37" t="s">
        <v>1111</v>
      </c>
      <c r="O37" t="s">
        <v>56</v>
      </c>
      <c r="P37" s="1">
        <v>45553</v>
      </c>
      <c r="Q37" s="1">
        <v>45948</v>
      </c>
      <c r="R37" s="2">
        <v>40.74</v>
      </c>
      <c r="S37">
        <v>1</v>
      </c>
      <c r="T37" t="s">
        <v>57</v>
      </c>
      <c r="U37" t="s">
        <v>58</v>
      </c>
      <c r="V37" s="4">
        <v>0.15</v>
      </c>
      <c r="W37" s="2">
        <v>0</v>
      </c>
      <c r="X37">
        <v>0</v>
      </c>
      <c r="Y37" t="s">
        <v>59</v>
      </c>
      <c r="Z37" t="s">
        <v>60</v>
      </c>
      <c r="AA37">
        <v>0</v>
      </c>
      <c r="AB37" s="2">
        <v>0</v>
      </c>
      <c r="AC37" s="2">
        <v>0</v>
      </c>
      <c r="AD37" s="4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6.11</v>
      </c>
      <c r="AN37" s="2">
        <v>6.11</v>
      </c>
      <c r="AO37" s="2">
        <v>0</v>
      </c>
      <c r="AP37" s="2">
        <v>0</v>
      </c>
      <c r="AQ37" s="2">
        <v>0</v>
      </c>
    </row>
    <row r="38" spans="1:44" x14ac:dyDescent="0.25">
      <c r="A38" s="1">
        <v>45915</v>
      </c>
      <c r="B38" t="s">
        <v>47</v>
      </c>
      <c r="C38">
        <v>649163</v>
      </c>
      <c r="D38">
        <v>2030495949</v>
      </c>
      <c r="E38" t="s">
        <v>284</v>
      </c>
      <c r="F38" t="s">
        <v>285</v>
      </c>
      <c r="G38" t="s">
        <v>50</v>
      </c>
      <c r="H38" t="s">
        <v>93</v>
      </c>
      <c r="I38" t="s">
        <v>441</v>
      </c>
      <c r="J38" t="s">
        <v>445</v>
      </c>
      <c r="K38">
        <v>768887</v>
      </c>
      <c r="L38" t="s">
        <v>282</v>
      </c>
      <c r="M38" t="s">
        <v>283</v>
      </c>
      <c r="N38" t="s">
        <v>1111</v>
      </c>
      <c r="O38" t="s">
        <v>56</v>
      </c>
      <c r="P38" s="1">
        <v>45884</v>
      </c>
      <c r="Q38" s="1">
        <v>45945</v>
      </c>
      <c r="R38" s="2">
        <v>72.760000000000005</v>
      </c>
      <c r="S38">
        <v>1</v>
      </c>
      <c r="T38" t="s">
        <v>57</v>
      </c>
      <c r="U38" t="s">
        <v>58</v>
      </c>
      <c r="V38" s="4">
        <v>0.7</v>
      </c>
      <c r="W38" s="2">
        <v>0</v>
      </c>
      <c r="X38">
        <v>0</v>
      </c>
      <c r="Y38" t="s">
        <v>70</v>
      </c>
      <c r="Z38" t="s">
        <v>60</v>
      </c>
      <c r="AA38">
        <v>0</v>
      </c>
      <c r="AB38" s="2">
        <v>0</v>
      </c>
      <c r="AC38" s="2">
        <v>0</v>
      </c>
      <c r="AD38" s="4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50.93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</row>
    <row r="39" spans="1:44" x14ac:dyDescent="0.25">
      <c r="A39" s="1">
        <v>45922</v>
      </c>
      <c r="B39" t="s">
        <v>602</v>
      </c>
      <c r="C39">
        <v>649163</v>
      </c>
      <c r="D39">
        <v>2030218150</v>
      </c>
      <c r="E39" t="s">
        <v>331</v>
      </c>
      <c r="F39" t="s">
        <v>281</v>
      </c>
      <c r="G39" t="s">
        <v>50</v>
      </c>
      <c r="I39" t="s">
        <v>441</v>
      </c>
      <c r="J39" t="s">
        <v>445</v>
      </c>
      <c r="K39">
        <v>649163</v>
      </c>
      <c r="L39" t="s">
        <v>282</v>
      </c>
      <c r="M39" t="s">
        <v>283</v>
      </c>
      <c r="N39" t="s">
        <v>1111</v>
      </c>
      <c r="O39" t="s">
        <v>230</v>
      </c>
      <c r="P39" s="1">
        <v>45870</v>
      </c>
      <c r="R39" s="2">
        <v>0</v>
      </c>
      <c r="AB39" s="2">
        <v>495.35</v>
      </c>
      <c r="AC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165.12</v>
      </c>
      <c r="AN39" s="2">
        <v>-330.23</v>
      </c>
      <c r="AO39" s="2">
        <v>-330.23</v>
      </c>
      <c r="AP39" s="2">
        <v>0</v>
      </c>
      <c r="AQ39" s="2">
        <v>0</v>
      </c>
      <c r="AR39" t="s">
        <v>603</v>
      </c>
    </row>
    <row r="40" spans="1:44" x14ac:dyDescent="0.25">
      <c r="A40" s="1">
        <v>45915</v>
      </c>
      <c r="B40" t="s">
        <v>602</v>
      </c>
      <c r="C40">
        <v>16912722</v>
      </c>
      <c r="D40">
        <v>2029966004</v>
      </c>
      <c r="E40" t="s">
        <v>55</v>
      </c>
      <c r="F40" t="s">
        <v>615</v>
      </c>
      <c r="G40" t="s">
        <v>50</v>
      </c>
      <c r="I40" t="s">
        <v>441</v>
      </c>
      <c r="J40" t="s">
        <v>445</v>
      </c>
      <c r="K40">
        <v>16912722</v>
      </c>
      <c r="L40" t="s">
        <v>282</v>
      </c>
      <c r="M40" t="s">
        <v>283</v>
      </c>
      <c r="N40" t="s">
        <v>1111</v>
      </c>
      <c r="O40" t="s">
        <v>230</v>
      </c>
      <c r="P40" s="1">
        <v>45854</v>
      </c>
      <c r="R40" s="2">
        <v>0</v>
      </c>
      <c r="AB40" s="2">
        <v>305.58999999999997</v>
      </c>
      <c r="AC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50.93</v>
      </c>
      <c r="AN40" s="2">
        <v>-254.66</v>
      </c>
      <c r="AO40" s="2">
        <v>-254.66</v>
      </c>
      <c r="AP40" s="2">
        <v>0</v>
      </c>
      <c r="AQ40" s="2">
        <v>0</v>
      </c>
      <c r="AR40" t="s">
        <v>605</v>
      </c>
    </row>
    <row r="41" spans="1:44" x14ac:dyDescent="0.25">
      <c r="A41" s="1">
        <v>45922</v>
      </c>
      <c r="B41" t="s">
        <v>47</v>
      </c>
      <c r="C41">
        <v>649163</v>
      </c>
      <c r="D41">
        <v>2029620629</v>
      </c>
      <c r="E41" t="s">
        <v>198</v>
      </c>
      <c r="F41" t="s">
        <v>199</v>
      </c>
      <c r="G41" t="s">
        <v>50</v>
      </c>
      <c r="H41" t="s">
        <v>93</v>
      </c>
      <c r="I41" t="s">
        <v>106</v>
      </c>
      <c r="J41" t="s">
        <v>107</v>
      </c>
      <c r="K41">
        <v>824062</v>
      </c>
      <c r="L41" t="s">
        <v>200</v>
      </c>
      <c r="M41" t="s">
        <v>201</v>
      </c>
      <c r="N41" t="s">
        <v>1093</v>
      </c>
      <c r="O41" t="s">
        <v>56</v>
      </c>
      <c r="P41" s="1">
        <v>45833</v>
      </c>
      <c r="Q41" s="1">
        <v>45955</v>
      </c>
      <c r="R41" s="2">
        <v>145.06</v>
      </c>
      <c r="S41">
        <v>1</v>
      </c>
      <c r="T41" t="s">
        <v>57</v>
      </c>
      <c r="U41" t="s">
        <v>58</v>
      </c>
      <c r="V41" s="4">
        <v>0.9</v>
      </c>
      <c r="W41" s="2">
        <v>0</v>
      </c>
      <c r="X41">
        <v>0</v>
      </c>
      <c r="Y41" t="s">
        <v>70</v>
      </c>
      <c r="Z41" t="s">
        <v>60</v>
      </c>
      <c r="AA41">
        <v>0</v>
      </c>
      <c r="AB41" s="2">
        <v>0</v>
      </c>
      <c r="AC41" s="2">
        <v>0</v>
      </c>
      <c r="AD41" s="4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130.55000000000001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</row>
    <row r="42" spans="1:44" x14ac:dyDescent="0.25">
      <c r="A42" s="1">
        <v>45922</v>
      </c>
      <c r="B42" t="s">
        <v>47</v>
      </c>
      <c r="C42">
        <v>649163</v>
      </c>
      <c r="D42">
        <v>2030145092</v>
      </c>
      <c r="E42" t="s">
        <v>222</v>
      </c>
      <c r="F42" t="s">
        <v>223</v>
      </c>
      <c r="G42" t="s">
        <v>50</v>
      </c>
      <c r="H42" t="s">
        <v>93</v>
      </c>
      <c r="I42" t="s">
        <v>106</v>
      </c>
      <c r="J42" t="s">
        <v>107</v>
      </c>
      <c r="K42">
        <v>824062</v>
      </c>
      <c r="L42" t="s">
        <v>200</v>
      </c>
      <c r="M42" t="s">
        <v>201</v>
      </c>
      <c r="N42" t="s">
        <v>1093</v>
      </c>
      <c r="O42" t="s">
        <v>56</v>
      </c>
      <c r="P42" s="1">
        <v>45864</v>
      </c>
      <c r="Q42" s="1">
        <v>45956</v>
      </c>
      <c r="R42" s="2">
        <v>62.71</v>
      </c>
      <c r="S42">
        <v>1</v>
      </c>
      <c r="T42" t="s">
        <v>57</v>
      </c>
      <c r="U42" t="s">
        <v>58</v>
      </c>
      <c r="V42" s="4">
        <v>0.9</v>
      </c>
      <c r="W42" s="2">
        <v>0</v>
      </c>
      <c r="X42">
        <v>0</v>
      </c>
      <c r="Y42" t="s">
        <v>70</v>
      </c>
      <c r="Z42" t="s">
        <v>60</v>
      </c>
      <c r="AA42">
        <v>0</v>
      </c>
      <c r="AB42" s="2">
        <v>0</v>
      </c>
      <c r="AC42" s="2">
        <v>0</v>
      </c>
      <c r="AD42" s="4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56.44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</row>
    <row r="43" spans="1:44" x14ac:dyDescent="0.25">
      <c r="A43" s="1">
        <v>45922</v>
      </c>
      <c r="B43" t="s">
        <v>47</v>
      </c>
      <c r="C43">
        <v>649163</v>
      </c>
      <c r="D43">
        <v>2029620631</v>
      </c>
      <c r="E43" t="s">
        <v>198</v>
      </c>
      <c r="F43" t="s">
        <v>199</v>
      </c>
      <c r="G43" t="s">
        <v>50</v>
      </c>
      <c r="H43" t="s">
        <v>93</v>
      </c>
      <c r="I43" t="s">
        <v>243</v>
      </c>
      <c r="J43" t="s">
        <v>261</v>
      </c>
      <c r="K43">
        <v>824062</v>
      </c>
      <c r="L43" t="s">
        <v>200</v>
      </c>
      <c r="M43" t="s">
        <v>201</v>
      </c>
      <c r="N43" t="s">
        <v>1093</v>
      </c>
      <c r="O43" t="s">
        <v>56</v>
      </c>
      <c r="P43" s="1">
        <v>45833</v>
      </c>
      <c r="Q43" s="1">
        <v>45955</v>
      </c>
      <c r="R43" s="2">
        <v>15</v>
      </c>
      <c r="S43">
        <v>1</v>
      </c>
      <c r="T43" t="s">
        <v>57</v>
      </c>
      <c r="U43" t="s">
        <v>58</v>
      </c>
      <c r="V43" s="4">
        <v>0.38</v>
      </c>
      <c r="W43" s="2">
        <v>0</v>
      </c>
      <c r="X43">
        <v>0</v>
      </c>
      <c r="Y43" t="s">
        <v>70</v>
      </c>
      <c r="Z43" t="s">
        <v>60</v>
      </c>
      <c r="AA43">
        <v>0</v>
      </c>
      <c r="AB43" s="2">
        <v>0</v>
      </c>
      <c r="AC43" s="2">
        <v>0</v>
      </c>
      <c r="AD43" s="4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5.7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</row>
    <row r="44" spans="1:44" x14ac:dyDescent="0.25">
      <c r="A44" s="1">
        <v>45922</v>
      </c>
      <c r="B44" t="s">
        <v>47</v>
      </c>
      <c r="C44">
        <v>649163</v>
      </c>
      <c r="D44">
        <v>2028005040</v>
      </c>
      <c r="E44" t="s">
        <v>369</v>
      </c>
      <c r="F44" t="s">
        <v>370</v>
      </c>
      <c r="G44" t="s">
        <v>50</v>
      </c>
      <c r="H44" t="s">
        <v>93</v>
      </c>
      <c r="I44" t="s">
        <v>306</v>
      </c>
      <c r="J44" t="s">
        <v>307</v>
      </c>
      <c r="K44">
        <v>824062</v>
      </c>
      <c r="L44" t="s">
        <v>200</v>
      </c>
      <c r="M44" t="s">
        <v>201</v>
      </c>
      <c r="N44" t="s">
        <v>1093</v>
      </c>
      <c r="O44" t="s">
        <v>56</v>
      </c>
      <c r="P44" s="1">
        <v>45741</v>
      </c>
      <c r="Q44" s="1">
        <v>45955</v>
      </c>
      <c r="R44" s="2">
        <v>184.68</v>
      </c>
      <c r="S44">
        <v>1</v>
      </c>
      <c r="T44" t="s">
        <v>57</v>
      </c>
      <c r="U44" t="s">
        <v>58</v>
      </c>
      <c r="V44" s="3">
        <v>0.375</v>
      </c>
      <c r="W44" s="2">
        <v>0</v>
      </c>
      <c r="X44">
        <v>0</v>
      </c>
      <c r="Y44" t="s">
        <v>70</v>
      </c>
      <c r="Z44" t="s">
        <v>60</v>
      </c>
      <c r="AA44">
        <v>0</v>
      </c>
      <c r="AB44" s="2">
        <v>0</v>
      </c>
      <c r="AC44" s="2">
        <v>0</v>
      </c>
      <c r="AD44" s="4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69.260000000000005</v>
      </c>
      <c r="AN44" s="2">
        <v>69.260000000000005</v>
      </c>
      <c r="AO44" s="2">
        <v>0</v>
      </c>
      <c r="AP44" s="2">
        <v>0</v>
      </c>
      <c r="AQ44" s="2">
        <v>0</v>
      </c>
    </row>
    <row r="45" spans="1:44" x14ac:dyDescent="0.25">
      <c r="A45" s="1">
        <v>45922</v>
      </c>
      <c r="B45" t="s">
        <v>47</v>
      </c>
      <c r="C45">
        <v>649163</v>
      </c>
      <c r="D45">
        <v>2028000915</v>
      </c>
      <c r="E45" t="s">
        <v>435</v>
      </c>
      <c r="F45" t="s">
        <v>436</v>
      </c>
      <c r="G45" t="s">
        <v>50</v>
      </c>
      <c r="H45" t="s">
        <v>437</v>
      </c>
      <c r="I45" t="s">
        <v>430</v>
      </c>
      <c r="J45" t="s">
        <v>438</v>
      </c>
      <c r="K45">
        <v>824062</v>
      </c>
      <c r="L45" t="s">
        <v>200</v>
      </c>
      <c r="M45" t="s">
        <v>201</v>
      </c>
      <c r="N45" t="s">
        <v>1093</v>
      </c>
      <c r="O45" t="s">
        <v>56</v>
      </c>
      <c r="P45" s="1">
        <v>45770</v>
      </c>
      <c r="Q45" s="1">
        <v>45953</v>
      </c>
      <c r="R45" s="2">
        <v>131.32</v>
      </c>
      <c r="S45">
        <v>1</v>
      </c>
      <c r="T45" t="s">
        <v>57</v>
      </c>
      <c r="U45" t="s">
        <v>58</v>
      </c>
      <c r="V45" s="4">
        <v>0.38</v>
      </c>
      <c r="W45" s="2">
        <v>0</v>
      </c>
      <c r="X45">
        <v>0</v>
      </c>
      <c r="Y45" t="s">
        <v>70</v>
      </c>
      <c r="Z45" t="s">
        <v>60</v>
      </c>
      <c r="AA45">
        <v>0</v>
      </c>
      <c r="AB45" s="2">
        <v>0</v>
      </c>
      <c r="AC45" s="2">
        <v>0</v>
      </c>
      <c r="AD45" s="4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49.9</v>
      </c>
      <c r="AN45" s="2">
        <v>49.9</v>
      </c>
      <c r="AO45" s="2">
        <v>0</v>
      </c>
      <c r="AP45" s="2">
        <v>0</v>
      </c>
      <c r="AQ45" s="2">
        <v>0</v>
      </c>
    </row>
    <row r="46" spans="1:44" x14ac:dyDescent="0.25">
      <c r="A46" s="1">
        <v>45922</v>
      </c>
      <c r="B46" t="s">
        <v>47</v>
      </c>
      <c r="C46">
        <v>649163</v>
      </c>
      <c r="D46">
        <v>2028000916</v>
      </c>
      <c r="E46" t="s">
        <v>435</v>
      </c>
      <c r="F46" t="s">
        <v>436</v>
      </c>
      <c r="G46" t="s">
        <v>50</v>
      </c>
      <c r="H46" t="s">
        <v>437</v>
      </c>
      <c r="I46" t="s">
        <v>430</v>
      </c>
      <c r="J46" t="s">
        <v>439</v>
      </c>
      <c r="K46">
        <v>824062</v>
      </c>
      <c r="L46" t="s">
        <v>200</v>
      </c>
      <c r="M46" t="s">
        <v>201</v>
      </c>
      <c r="N46" t="s">
        <v>1093</v>
      </c>
      <c r="O46" t="s">
        <v>56</v>
      </c>
      <c r="P46" s="1">
        <v>45770</v>
      </c>
      <c r="Q46" s="1">
        <v>45953</v>
      </c>
      <c r="R46" s="2">
        <v>7.09</v>
      </c>
      <c r="S46">
        <v>1</v>
      </c>
      <c r="T46" t="s">
        <v>57</v>
      </c>
      <c r="U46" t="s">
        <v>58</v>
      </c>
      <c r="V46" s="4">
        <v>0.38</v>
      </c>
      <c r="W46" s="2">
        <v>0</v>
      </c>
      <c r="X46">
        <v>0</v>
      </c>
      <c r="Y46" t="s">
        <v>70</v>
      </c>
      <c r="Z46" t="s">
        <v>60</v>
      </c>
      <c r="AA46">
        <v>0</v>
      </c>
      <c r="AB46" s="2">
        <v>0</v>
      </c>
      <c r="AC46" s="2">
        <v>0</v>
      </c>
      <c r="AD46" s="4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2.69</v>
      </c>
      <c r="AN46" s="2">
        <v>2.69</v>
      </c>
      <c r="AO46" s="2">
        <v>0</v>
      </c>
      <c r="AP46" s="2">
        <v>0</v>
      </c>
      <c r="AQ46" s="2">
        <v>0</v>
      </c>
    </row>
    <row r="47" spans="1:44" x14ac:dyDescent="0.25">
      <c r="A47" s="1">
        <v>45922</v>
      </c>
      <c r="B47" t="s">
        <v>47</v>
      </c>
      <c r="C47">
        <v>649163</v>
      </c>
      <c r="D47">
        <v>2029620627</v>
      </c>
      <c r="E47" t="s">
        <v>198</v>
      </c>
      <c r="F47" t="s">
        <v>199</v>
      </c>
      <c r="G47" t="s">
        <v>50</v>
      </c>
      <c r="H47" t="s">
        <v>93</v>
      </c>
      <c r="I47" t="s">
        <v>430</v>
      </c>
      <c r="J47" t="s">
        <v>438</v>
      </c>
      <c r="K47">
        <v>824062</v>
      </c>
      <c r="L47" t="s">
        <v>200</v>
      </c>
      <c r="M47" t="s">
        <v>201</v>
      </c>
      <c r="N47" t="s">
        <v>1093</v>
      </c>
      <c r="O47" t="s">
        <v>56</v>
      </c>
      <c r="P47" s="1">
        <v>45833</v>
      </c>
      <c r="Q47" s="1">
        <v>45955</v>
      </c>
      <c r="R47" s="2">
        <v>226.98</v>
      </c>
      <c r="S47">
        <v>1</v>
      </c>
      <c r="T47" t="s">
        <v>57</v>
      </c>
      <c r="U47" t="s">
        <v>58</v>
      </c>
      <c r="V47" s="4">
        <v>0.38</v>
      </c>
      <c r="W47" s="2">
        <v>0</v>
      </c>
      <c r="X47">
        <v>0</v>
      </c>
      <c r="Y47" t="s">
        <v>70</v>
      </c>
      <c r="Z47" t="s">
        <v>60</v>
      </c>
      <c r="AA47">
        <v>0</v>
      </c>
      <c r="AB47" s="2">
        <v>0</v>
      </c>
      <c r="AC47" s="2">
        <v>0</v>
      </c>
      <c r="AD47" s="4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86.25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</row>
    <row r="48" spans="1:44" x14ac:dyDescent="0.25">
      <c r="A48" s="1">
        <v>45922</v>
      </c>
      <c r="B48" t="s">
        <v>47</v>
      </c>
      <c r="C48">
        <v>649163</v>
      </c>
      <c r="D48">
        <v>2029620628</v>
      </c>
      <c r="E48" t="s">
        <v>198</v>
      </c>
      <c r="F48" t="s">
        <v>199</v>
      </c>
      <c r="G48" t="s">
        <v>50</v>
      </c>
      <c r="H48" t="s">
        <v>93</v>
      </c>
      <c r="I48" t="s">
        <v>430</v>
      </c>
      <c r="J48" t="s">
        <v>439</v>
      </c>
      <c r="K48">
        <v>824062</v>
      </c>
      <c r="L48" t="s">
        <v>200</v>
      </c>
      <c r="M48" t="s">
        <v>201</v>
      </c>
      <c r="N48" t="s">
        <v>1093</v>
      </c>
      <c r="O48" t="s">
        <v>56</v>
      </c>
      <c r="P48" s="1">
        <v>45833</v>
      </c>
      <c r="Q48" s="1">
        <v>45955</v>
      </c>
      <c r="R48" s="2">
        <v>7.09</v>
      </c>
      <c r="S48">
        <v>1</v>
      </c>
      <c r="T48" t="s">
        <v>57</v>
      </c>
      <c r="U48" t="s">
        <v>58</v>
      </c>
      <c r="V48" s="4">
        <v>0.38</v>
      </c>
      <c r="W48" s="2">
        <v>0</v>
      </c>
      <c r="X48">
        <v>0</v>
      </c>
      <c r="Y48" t="s">
        <v>70</v>
      </c>
      <c r="Z48" t="s">
        <v>60</v>
      </c>
      <c r="AA48">
        <v>0</v>
      </c>
      <c r="AB48" s="2">
        <v>0</v>
      </c>
      <c r="AC48" s="2">
        <v>0</v>
      </c>
      <c r="AD48" s="4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2.69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</row>
    <row r="49" spans="1:43" x14ac:dyDescent="0.25">
      <c r="A49" s="1">
        <v>45922</v>
      </c>
      <c r="B49" t="s">
        <v>47</v>
      </c>
      <c r="C49">
        <v>649163</v>
      </c>
      <c r="D49">
        <v>2028000917</v>
      </c>
      <c r="E49" t="s">
        <v>435</v>
      </c>
      <c r="F49" t="s">
        <v>436</v>
      </c>
      <c r="G49" t="s">
        <v>50</v>
      </c>
      <c r="H49" t="s">
        <v>437</v>
      </c>
      <c r="I49" t="s">
        <v>441</v>
      </c>
      <c r="J49" t="s">
        <v>445</v>
      </c>
      <c r="K49">
        <v>824062</v>
      </c>
      <c r="L49" t="s">
        <v>200</v>
      </c>
      <c r="M49" t="s">
        <v>201</v>
      </c>
      <c r="N49" t="s">
        <v>1093</v>
      </c>
      <c r="O49" t="s">
        <v>56</v>
      </c>
      <c r="P49" s="1">
        <v>45770</v>
      </c>
      <c r="Q49" s="1">
        <v>45953</v>
      </c>
      <c r="R49" s="2">
        <v>54.98</v>
      </c>
      <c r="S49">
        <v>1</v>
      </c>
      <c r="T49" t="s">
        <v>57</v>
      </c>
      <c r="U49" t="s">
        <v>58</v>
      </c>
      <c r="V49" s="4">
        <v>0.7</v>
      </c>
      <c r="W49" s="2">
        <v>0</v>
      </c>
      <c r="X49">
        <v>0</v>
      </c>
      <c r="Y49" t="s">
        <v>70</v>
      </c>
      <c r="Z49" t="s">
        <v>60</v>
      </c>
      <c r="AA49">
        <v>0</v>
      </c>
      <c r="AB49" s="2">
        <v>0</v>
      </c>
      <c r="AC49" s="2">
        <v>0</v>
      </c>
      <c r="AD49" s="4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38.49</v>
      </c>
      <c r="AN49" s="2">
        <v>38.49</v>
      </c>
      <c r="AO49" s="2">
        <v>0</v>
      </c>
      <c r="AP49" s="2">
        <v>0</v>
      </c>
      <c r="AQ49" s="2">
        <v>0</v>
      </c>
    </row>
    <row r="50" spans="1:43" x14ac:dyDescent="0.25">
      <c r="A50" s="1">
        <v>45922</v>
      </c>
      <c r="B50" t="s">
        <v>47</v>
      </c>
      <c r="C50">
        <v>649163</v>
      </c>
      <c r="D50">
        <v>2028005041</v>
      </c>
      <c r="E50" t="s">
        <v>369</v>
      </c>
      <c r="F50" t="s">
        <v>370</v>
      </c>
      <c r="G50" t="s">
        <v>50</v>
      </c>
      <c r="H50" t="s">
        <v>93</v>
      </c>
      <c r="I50" t="s">
        <v>441</v>
      </c>
      <c r="J50" t="s">
        <v>445</v>
      </c>
      <c r="K50">
        <v>824062</v>
      </c>
      <c r="L50" t="s">
        <v>200</v>
      </c>
      <c r="M50" t="s">
        <v>201</v>
      </c>
      <c r="N50" t="s">
        <v>1093</v>
      </c>
      <c r="O50" t="s">
        <v>56</v>
      </c>
      <c r="P50" s="1">
        <v>45741</v>
      </c>
      <c r="Q50" s="1">
        <v>45955</v>
      </c>
      <c r="R50" s="2">
        <v>15.75</v>
      </c>
      <c r="S50">
        <v>1</v>
      </c>
      <c r="T50" t="s">
        <v>57</v>
      </c>
      <c r="U50" t="s">
        <v>58</v>
      </c>
      <c r="V50" s="4">
        <v>0.7</v>
      </c>
      <c r="W50" s="2">
        <v>0</v>
      </c>
      <c r="X50">
        <v>0</v>
      </c>
      <c r="Y50" t="s">
        <v>70</v>
      </c>
      <c r="Z50" t="s">
        <v>60</v>
      </c>
      <c r="AA50">
        <v>0</v>
      </c>
      <c r="AB50" s="2">
        <v>0</v>
      </c>
      <c r="AC50" s="2">
        <v>0</v>
      </c>
      <c r="AD50" s="4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11.02</v>
      </c>
      <c r="AN50" s="2">
        <v>11.02</v>
      </c>
      <c r="AO50" s="2">
        <v>0</v>
      </c>
      <c r="AP50" s="2">
        <v>0</v>
      </c>
      <c r="AQ50" s="2">
        <v>0</v>
      </c>
    </row>
    <row r="51" spans="1:43" x14ac:dyDescent="0.25">
      <c r="A51" s="1">
        <v>45922</v>
      </c>
      <c r="B51" t="s">
        <v>47</v>
      </c>
      <c r="C51">
        <v>649163</v>
      </c>
      <c r="D51">
        <v>2029620630</v>
      </c>
      <c r="E51" t="s">
        <v>198</v>
      </c>
      <c r="F51" t="s">
        <v>199</v>
      </c>
      <c r="G51" t="s">
        <v>50</v>
      </c>
      <c r="H51" t="s">
        <v>93</v>
      </c>
      <c r="I51" t="s">
        <v>441</v>
      </c>
      <c r="J51" t="s">
        <v>445</v>
      </c>
      <c r="K51">
        <v>824062</v>
      </c>
      <c r="L51" t="s">
        <v>200</v>
      </c>
      <c r="M51" t="s">
        <v>201</v>
      </c>
      <c r="N51" t="s">
        <v>1093</v>
      </c>
      <c r="O51" t="s">
        <v>56</v>
      </c>
      <c r="P51" s="1">
        <v>45833</v>
      </c>
      <c r="Q51" s="1">
        <v>45955</v>
      </c>
      <c r="R51" s="2">
        <v>11.5</v>
      </c>
      <c r="S51">
        <v>1</v>
      </c>
      <c r="T51" t="s">
        <v>57</v>
      </c>
      <c r="U51" t="s">
        <v>58</v>
      </c>
      <c r="V51" s="4">
        <v>0.7</v>
      </c>
      <c r="W51" s="2">
        <v>0</v>
      </c>
      <c r="X51">
        <v>0</v>
      </c>
      <c r="Y51" t="s">
        <v>70</v>
      </c>
      <c r="Z51" t="s">
        <v>60</v>
      </c>
      <c r="AA51">
        <v>0</v>
      </c>
      <c r="AB51" s="2">
        <v>0</v>
      </c>
      <c r="AC51" s="2">
        <v>0</v>
      </c>
      <c r="AD51" s="4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8.0500000000000007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</row>
    <row r="52" spans="1:43" x14ac:dyDescent="0.25">
      <c r="A52" s="1">
        <v>45922</v>
      </c>
      <c r="B52" t="s">
        <v>47</v>
      </c>
      <c r="C52">
        <v>649163</v>
      </c>
      <c r="D52">
        <v>2030145093</v>
      </c>
      <c r="E52" t="s">
        <v>222</v>
      </c>
      <c r="F52" t="s">
        <v>223</v>
      </c>
      <c r="G52" t="s">
        <v>50</v>
      </c>
      <c r="H52" t="s">
        <v>93</v>
      </c>
      <c r="I52" t="s">
        <v>441</v>
      </c>
      <c r="J52" t="s">
        <v>445</v>
      </c>
      <c r="K52">
        <v>824062</v>
      </c>
      <c r="L52" t="s">
        <v>200</v>
      </c>
      <c r="M52" t="s">
        <v>201</v>
      </c>
      <c r="N52" t="s">
        <v>1093</v>
      </c>
      <c r="O52" t="s">
        <v>56</v>
      </c>
      <c r="P52" s="1">
        <v>45864</v>
      </c>
      <c r="Q52" s="1">
        <v>45956</v>
      </c>
      <c r="R52" s="2">
        <v>102.7</v>
      </c>
      <c r="S52">
        <v>1</v>
      </c>
      <c r="T52" t="s">
        <v>57</v>
      </c>
      <c r="U52" t="s">
        <v>58</v>
      </c>
      <c r="V52" s="4">
        <v>0.7</v>
      </c>
      <c r="W52" s="2">
        <v>0</v>
      </c>
      <c r="X52">
        <v>0</v>
      </c>
      <c r="Y52" t="s">
        <v>70</v>
      </c>
      <c r="Z52" t="s">
        <v>60</v>
      </c>
      <c r="AA52">
        <v>0</v>
      </c>
      <c r="AB52" s="2">
        <v>0</v>
      </c>
      <c r="AC52" s="2">
        <v>0</v>
      </c>
      <c r="AD52" s="4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71.89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</row>
    <row r="53" spans="1:43" x14ac:dyDescent="0.25">
      <c r="A53" s="1">
        <v>45915</v>
      </c>
      <c r="B53" t="s">
        <v>47</v>
      </c>
      <c r="C53">
        <v>649163</v>
      </c>
      <c r="D53">
        <v>2027080634</v>
      </c>
      <c r="E53" t="s">
        <v>435</v>
      </c>
      <c r="F53" t="s">
        <v>1058</v>
      </c>
      <c r="G53" t="s">
        <v>50</v>
      </c>
      <c r="H53" t="s">
        <v>437</v>
      </c>
      <c r="I53" t="s">
        <v>243</v>
      </c>
      <c r="J53" t="s">
        <v>244</v>
      </c>
      <c r="K53">
        <v>824062</v>
      </c>
      <c r="L53" t="s">
        <v>200</v>
      </c>
      <c r="M53" t="s">
        <v>201</v>
      </c>
      <c r="N53" t="s">
        <v>1093</v>
      </c>
      <c r="O53" t="s">
        <v>56</v>
      </c>
      <c r="P53" s="1">
        <v>45701</v>
      </c>
      <c r="Q53" s="1">
        <v>45943</v>
      </c>
      <c r="R53" s="2">
        <v>15</v>
      </c>
      <c r="S53">
        <v>1</v>
      </c>
      <c r="T53" t="s">
        <v>57</v>
      </c>
      <c r="U53" t="s">
        <v>58</v>
      </c>
      <c r="V53" s="4">
        <v>0.28999999999999998</v>
      </c>
      <c r="W53" s="2">
        <v>0</v>
      </c>
      <c r="X53">
        <v>0</v>
      </c>
      <c r="Y53" t="s">
        <v>70</v>
      </c>
      <c r="Z53" t="s">
        <v>60</v>
      </c>
      <c r="AA53">
        <v>0</v>
      </c>
      <c r="AB53" s="2">
        <v>0</v>
      </c>
      <c r="AC53" s="2">
        <v>0</v>
      </c>
      <c r="AD53" s="4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4.3499999999999996</v>
      </c>
      <c r="AN53" s="2">
        <v>4.3499999999999996</v>
      </c>
      <c r="AO53" s="2">
        <v>0</v>
      </c>
      <c r="AP53" s="2">
        <v>0</v>
      </c>
      <c r="AQ53" s="2">
        <v>0</v>
      </c>
    </row>
    <row r="54" spans="1:43" x14ac:dyDescent="0.25">
      <c r="A54" s="1">
        <v>45915</v>
      </c>
      <c r="B54" t="s">
        <v>47</v>
      </c>
      <c r="C54">
        <v>649163</v>
      </c>
      <c r="D54">
        <v>2029486077</v>
      </c>
      <c r="E54" t="s">
        <v>776</v>
      </c>
      <c r="F54" t="s">
        <v>775</v>
      </c>
      <c r="G54" t="s">
        <v>50</v>
      </c>
      <c r="H54" t="s">
        <v>93</v>
      </c>
      <c r="I54" t="s">
        <v>243</v>
      </c>
      <c r="J54" t="s">
        <v>261</v>
      </c>
      <c r="K54">
        <v>824062</v>
      </c>
      <c r="L54" t="s">
        <v>200</v>
      </c>
      <c r="M54" t="s">
        <v>201</v>
      </c>
      <c r="N54" t="s">
        <v>1093</v>
      </c>
      <c r="O54" t="s">
        <v>56</v>
      </c>
      <c r="P54" s="1">
        <v>45825</v>
      </c>
      <c r="Q54" s="1">
        <v>45947</v>
      </c>
      <c r="R54" s="2">
        <v>15</v>
      </c>
      <c r="S54">
        <v>1</v>
      </c>
      <c r="T54" t="s">
        <v>57</v>
      </c>
      <c r="U54" t="s">
        <v>58</v>
      </c>
      <c r="V54" s="4">
        <v>0.38</v>
      </c>
      <c r="W54" s="2">
        <v>0</v>
      </c>
      <c r="X54">
        <v>0</v>
      </c>
      <c r="Y54" t="s">
        <v>70</v>
      </c>
      <c r="Z54" t="s">
        <v>60</v>
      </c>
      <c r="AA54">
        <v>0</v>
      </c>
      <c r="AB54" s="2">
        <v>0</v>
      </c>
      <c r="AC54" s="2">
        <v>0</v>
      </c>
      <c r="AD54" s="4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5.7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</row>
    <row r="55" spans="1:43" x14ac:dyDescent="0.25">
      <c r="A55" s="1">
        <v>45915</v>
      </c>
      <c r="B55" t="s">
        <v>47</v>
      </c>
      <c r="C55">
        <v>649163</v>
      </c>
      <c r="D55">
        <v>2029486074</v>
      </c>
      <c r="E55" t="s">
        <v>776</v>
      </c>
      <c r="F55" t="s">
        <v>775</v>
      </c>
      <c r="G55" t="s">
        <v>50</v>
      </c>
      <c r="H55" t="s">
        <v>93</v>
      </c>
      <c r="I55" t="s">
        <v>441</v>
      </c>
      <c r="J55" t="s">
        <v>445</v>
      </c>
      <c r="K55">
        <v>824062</v>
      </c>
      <c r="L55" t="s">
        <v>200</v>
      </c>
      <c r="M55" t="s">
        <v>201</v>
      </c>
      <c r="N55" t="s">
        <v>1093</v>
      </c>
      <c r="O55" t="s">
        <v>56</v>
      </c>
      <c r="P55" s="1">
        <v>45825</v>
      </c>
      <c r="Q55" s="1">
        <v>45947</v>
      </c>
      <c r="R55" s="2">
        <v>34.68</v>
      </c>
      <c r="S55">
        <v>1</v>
      </c>
      <c r="T55" t="s">
        <v>57</v>
      </c>
      <c r="U55" t="s">
        <v>58</v>
      </c>
      <c r="V55" s="4">
        <v>0.7</v>
      </c>
      <c r="W55" s="2">
        <v>0</v>
      </c>
      <c r="X55">
        <v>0</v>
      </c>
      <c r="Y55" t="s">
        <v>70</v>
      </c>
      <c r="Z55" t="s">
        <v>60</v>
      </c>
      <c r="AA55">
        <v>0</v>
      </c>
      <c r="AB55" s="2">
        <v>0</v>
      </c>
      <c r="AC55" s="2">
        <v>0</v>
      </c>
      <c r="AD55" s="4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24.28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</row>
    <row r="56" spans="1:43" x14ac:dyDescent="0.25">
      <c r="A56" s="1">
        <v>45915</v>
      </c>
      <c r="B56" t="s">
        <v>47</v>
      </c>
      <c r="C56">
        <v>649163</v>
      </c>
      <c r="D56">
        <v>2029486075</v>
      </c>
      <c r="E56" t="s">
        <v>776</v>
      </c>
      <c r="F56" t="s">
        <v>775</v>
      </c>
      <c r="G56" t="s">
        <v>50</v>
      </c>
      <c r="H56" t="s">
        <v>93</v>
      </c>
      <c r="I56" t="s">
        <v>430</v>
      </c>
      <c r="J56" t="s">
        <v>438</v>
      </c>
      <c r="K56">
        <v>824062</v>
      </c>
      <c r="L56" t="s">
        <v>200</v>
      </c>
      <c r="M56" t="s">
        <v>201</v>
      </c>
      <c r="N56" t="s">
        <v>1093</v>
      </c>
      <c r="O56" t="s">
        <v>56</v>
      </c>
      <c r="P56" s="1">
        <v>45825</v>
      </c>
      <c r="Q56" s="1">
        <v>45947</v>
      </c>
      <c r="R56" s="2">
        <v>139</v>
      </c>
      <c r="S56">
        <v>1</v>
      </c>
      <c r="T56" t="s">
        <v>57</v>
      </c>
      <c r="U56" t="s">
        <v>58</v>
      </c>
      <c r="V56" s="4">
        <v>0.38</v>
      </c>
      <c r="W56" s="2">
        <v>0</v>
      </c>
      <c r="X56">
        <v>0</v>
      </c>
      <c r="Y56" t="s">
        <v>70</v>
      </c>
      <c r="Z56" t="s">
        <v>60</v>
      </c>
      <c r="AA56">
        <v>0</v>
      </c>
      <c r="AB56" s="2">
        <v>0</v>
      </c>
      <c r="AC56" s="2">
        <v>0</v>
      </c>
      <c r="AD56" s="4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52.82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</row>
    <row r="57" spans="1:43" x14ac:dyDescent="0.25">
      <c r="A57" s="1">
        <v>45915</v>
      </c>
      <c r="B57" t="s">
        <v>47</v>
      </c>
      <c r="C57">
        <v>649163</v>
      </c>
      <c r="D57">
        <v>2029486076</v>
      </c>
      <c r="E57" t="s">
        <v>776</v>
      </c>
      <c r="F57" t="s">
        <v>775</v>
      </c>
      <c r="G57" t="s">
        <v>50</v>
      </c>
      <c r="H57" t="s">
        <v>93</v>
      </c>
      <c r="I57" t="s">
        <v>430</v>
      </c>
      <c r="J57" t="s">
        <v>439</v>
      </c>
      <c r="K57">
        <v>824062</v>
      </c>
      <c r="L57" t="s">
        <v>200</v>
      </c>
      <c r="M57" t="s">
        <v>201</v>
      </c>
      <c r="N57" t="s">
        <v>1093</v>
      </c>
      <c r="O57" t="s">
        <v>56</v>
      </c>
      <c r="P57" s="1">
        <v>45825</v>
      </c>
      <c r="Q57" s="1">
        <v>45947</v>
      </c>
      <c r="R57" s="2">
        <v>7.09</v>
      </c>
      <c r="S57">
        <v>1</v>
      </c>
      <c r="T57" t="s">
        <v>57</v>
      </c>
      <c r="U57" t="s">
        <v>58</v>
      </c>
      <c r="V57" s="4">
        <v>0.38</v>
      </c>
      <c r="W57" s="2">
        <v>0</v>
      </c>
      <c r="X57">
        <v>0</v>
      </c>
      <c r="Y57" t="s">
        <v>70</v>
      </c>
      <c r="Z57" t="s">
        <v>60</v>
      </c>
      <c r="AA57">
        <v>0</v>
      </c>
      <c r="AB57" s="2">
        <v>0</v>
      </c>
      <c r="AC57" s="2">
        <v>0</v>
      </c>
      <c r="AD57" s="4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2.69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</row>
    <row r="58" spans="1:43" x14ac:dyDescent="0.25">
      <c r="A58" s="1">
        <v>45915</v>
      </c>
      <c r="B58" t="s">
        <v>47</v>
      </c>
      <c r="C58">
        <v>649163</v>
      </c>
      <c r="D58">
        <v>2030519283</v>
      </c>
      <c r="E58" t="s">
        <v>694</v>
      </c>
      <c r="F58" t="s">
        <v>109</v>
      </c>
      <c r="G58" t="s">
        <v>50</v>
      </c>
      <c r="H58" t="s">
        <v>93</v>
      </c>
      <c r="I58" t="s">
        <v>441</v>
      </c>
      <c r="J58" t="s">
        <v>442</v>
      </c>
      <c r="K58">
        <v>824062</v>
      </c>
      <c r="L58" t="s">
        <v>200</v>
      </c>
      <c r="M58" t="s">
        <v>201</v>
      </c>
      <c r="N58" t="s">
        <v>1093</v>
      </c>
      <c r="O58" t="s">
        <v>56</v>
      </c>
      <c r="P58" s="1">
        <v>45885</v>
      </c>
      <c r="Q58" s="1">
        <v>45946</v>
      </c>
      <c r="R58" s="2">
        <v>242.88</v>
      </c>
      <c r="S58">
        <v>1</v>
      </c>
      <c r="T58" t="s">
        <v>57</v>
      </c>
      <c r="U58" t="s">
        <v>58</v>
      </c>
      <c r="V58" s="4">
        <v>0.9</v>
      </c>
      <c r="W58" s="2">
        <v>0</v>
      </c>
      <c r="X58">
        <v>0</v>
      </c>
      <c r="Y58" t="s">
        <v>70</v>
      </c>
      <c r="Z58" t="s">
        <v>60</v>
      </c>
      <c r="AA58">
        <v>0</v>
      </c>
      <c r="AB58" s="2">
        <v>0</v>
      </c>
      <c r="AC58" s="2">
        <v>0</v>
      </c>
      <c r="AD58" s="4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218.59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</row>
    <row r="59" spans="1:43" x14ac:dyDescent="0.25">
      <c r="A59" s="1">
        <v>45922</v>
      </c>
      <c r="B59" t="s">
        <v>47</v>
      </c>
      <c r="C59">
        <v>649163</v>
      </c>
      <c r="D59">
        <v>2026584086</v>
      </c>
      <c r="E59" t="s">
        <v>66</v>
      </c>
      <c r="F59" t="s">
        <v>67</v>
      </c>
      <c r="G59" t="s">
        <v>50</v>
      </c>
      <c r="H59" t="s">
        <v>51</v>
      </c>
      <c r="I59" t="s">
        <v>52</v>
      </c>
      <c r="J59" t="s">
        <v>53</v>
      </c>
      <c r="K59">
        <v>649247</v>
      </c>
      <c r="L59" t="s">
        <v>68</v>
      </c>
      <c r="M59" t="s">
        <v>69</v>
      </c>
      <c r="N59" t="s">
        <v>1076</v>
      </c>
      <c r="O59" t="s">
        <v>56</v>
      </c>
      <c r="P59" s="1">
        <v>45689</v>
      </c>
      <c r="Q59" s="1">
        <v>45931</v>
      </c>
      <c r="R59" s="2">
        <v>-52.69</v>
      </c>
      <c r="S59">
        <v>1</v>
      </c>
      <c r="T59" t="s">
        <v>57</v>
      </c>
      <c r="U59" t="s">
        <v>58</v>
      </c>
      <c r="V59" s="4">
        <v>0.6</v>
      </c>
      <c r="W59" s="2">
        <v>0</v>
      </c>
      <c r="X59">
        <v>-1</v>
      </c>
      <c r="Y59" t="s">
        <v>70</v>
      </c>
      <c r="Z59" t="s">
        <v>60</v>
      </c>
      <c r="AA59">
        <v>0</v>
      </c>
      <c r="AB59" s="2">
        <v>0</v>
      </c>
      <c r="AC59" s="2">
        <v>0</v>
      </c>
      <c r="AD59" s="4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-31.61</v>
      </c>
      <c r="AN59" s="2">
        <v>-31.61</v>
      </c>
      <c r="AO59" s="2">
        <v>0</v>
      </c>
      <c r="AP59" s="2">
        <v>0</v>
      </c>
      <c r="AQ59" s="2">
        <v>0</v>
      </c>
    </row>
    <row r="60" spans="1:43" x14ac:dyDescent="0.25">
      <c r="A60" s="1">
        <v>45922</v>
      </c>
      <c r="B60" t="s">
        <v>47</v>
      </c>
      <c r="C60">
        <v>649163</v>
      </c>
      <c r="D60">
        <v>2021544238</v>
      </c>
      <c r="E60" t="s">
        <v>326</v>
      </c>
      <c r="F60" t="s">
        <v>327</v>
      </c>
      <c r="G60" t="s">
        <v>50</v>
      </c>
      <c r="H60" t="s">
        <v>51</v>
      </c>
      <c r="I60" t="s">
        <v>306</v>
      </c>
      <c r="J60" t="s">
        <v>307</v>
      </c>
      <c r="K60">
        <v>649247</v>
      </c>
      <c r="L60" t="s">
        <v>68</v>
      </c>
      <c r="M60" t="s">
        <v>69</v>
      </c>
      <c r="N60" t="s">
        <v>1076</v>
      </c>
      <c r="O60" t="s">
        <v>56</v>
      </c>
      <c r="P60" s="1">
        <v>45317</v>
      </c>
      <c r="Q60" s="1">
        <v>45956</v>
      </c>
      <c r="R60" s="2">
        <v>39.979999999999997</v>
      </c>
      <c r="S60">
        <v>1</v>
      </c>
      <c r="T60" t="s">
        <v>57</v>
      </c>
      <c r="U60" t="s">
        <v>58</v>
      </c>
      <c r="V60" s="4">
        <v>0.06</v>
      </c>
      <c r="W60" s="2">
        <v>0</v>
      </c>
      <c r="X60">
        <v>0</v>
      </c>
      <c r="Y60" t="s">
        <v>59</v>
      </c>
      <c r="Z60" t="s">
        <v>60</v>
      </c>
      <c r="AA60">
        <v>0</v>
      </c>
      <c r="AB60" s="2">
        <v>0</v>
      </c>
      <c r="AC60" s="2">
        <v>0</v>
      </c>
      <c r="AD60" s="4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2.4</v>
      </c>
      <c r="AN60" s="2">
        <v>2.4</v>
      </c>
      <c r="AO60" s="2">
        <v>0</v>
      </c>
      <c r="AP60" s="2">
        <v>0</v>
      </c>
      <c r="AQ60" s="2">
        <v>0</v>
      </c>
    </row>
    <row r="61" spans="1:43" x14ac:dyDescent="0.25">
      <c r="A61" s="1">
        <v>45922</v>
      </c>
      <c r="B61" t="s">
        <v>47</v>
      </c>
      <c r="C61">
        <v>649163</v>
      </c>
      <c r="D61">
        <v>2022763331</v>
      </c>
      <c r="E61" t="s">
        <v>328</v>
      </c>
      <c r="F61" t="s">
        <v>329</v>
      </c>
      <c r="G61" t="s">
        <v>50</v>
      </c>
      <c r="H61" t="s">
        <v>51</v>
      </c>
      <c r="I61" t="s">
        <v>306</v>
      </c>
      <c r="J61" t="s">
        <v>307</v>
      </c>
      <c r="K61">
        <v>649247</v>
      </c>
      <c r="L61" t="s">
        <v>68</v>
      </c>
      <c r="M61" t="s">
        <v>69</v>
      </c>
      <c r="N61" t="s">
        <v>1076</v>
      </c>
      <c r="O61" t="s">
        <v>56</v>
      </c>
      <c r="P61" s="1">
        <v>45402</v>
      </c>
      <c r="Q61" s="1">
        <v>45950</v>
      </c>
      <c r="R61" s="2">
        <v>39.979999999999997</v>
      </c>
      <c r="S61">
        <v>1</v>
      </c>
      <c r="T61" t="s">
        <v>57</v>
      </c>
      <c r="U61" t="s">
        <v>58</v>
      </c>
      <c r="V61" s="4">
        <v>0.06</v>
      </c>
      <c r="W61" s="2">
        <v>0</v>
      </c>
      <c r="X61">
        <v>0</v>
      </c>
      <c r="Y61" t="s">
        <v>59</v>
      </c>
      <c r="Z61" t="s">
        <v>60</v>
      </c>
      <c r="AA61">
        <v>0</v>
      </c>
      <c r="AB61" s="2">
        <v>0</v>
      </c>
      <c r="AC61" s="2">
        <v>0</v>
      </c>
      <c r="AD61" s="4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2.4</v>
      </c>
      <c r="AN61" s="2">
        <v>2.4</v>
      </c>
      <c r="AO61" s="2">
        <v>0</v>
      </c>
      <c r="AP61" s="2">
        <v>0</v>
      </c>
      <c r="AQ61" s="2">
        <v>0</v>
      </c>
    </row>
    <row r="62" spans="1:43" x14ac:dyDescent="0.25">
      <c r="A62" s="1">
        <v>45922</v>
      </c>
      <c r="B62" t="s">
        <v>47</v>
      </c>
      <c r="C62">
        <v>649163</v>
      </c>
      <c r="D62">
        <v>2024010323</v>
      </c>
      <c r="E62" t="s">
        <v>432</v>
      </c>
      <c r="F62" t="s">
        <v>281</v>
      </c>
      <c r="G62" t="s">
        <v>50</v>
      </c>
      <c r="H62" t="s">
        <v>51</v>
      </c>
      <c r="I62" t="s">
        <v>430</v>
      </c>
      <c r="J62" t="s">
        <v>431</v>
      </c>
      <c r="K62">
        <v>649247</v>
      </c>
      <c r="L62" t="s">
        <v>68</v>
      </c>
      <c r="M62" t="s">
        <v>69</v>
      </c>
      <c r="N62" t="s">
        <v>1076</v>
      </c>
      <c r="O62" t="s">
        <v>56</v>
      </c>
      <c r="P62" s="1">
        <v>45493</v>
      </c>
      <c r="Q62" s="1">
        <v>45950</v>
      </c>
      <c r="R62" s="2">
        <v>41.73</v>
      </c>
      <c r="S62">
        <v>1</v>
      </c>
      <c r="T62" t="s">
        <v>57</v>
      </c>
      <c r="U62" t="s">
        <v>58</v>
      </c>
      <c r="V62" s="4">
        <v>0.1</v>
      </c>
      <c r="W62" s="2">
        <v>0</v>
      </c>
      <c r="X62">
        <v>0</v>
      </c>
      <c r="Y62" t="s">
        <v>59</v>
      </c>
      <c r="Z62" t="s">
        <v>60</v>
      </c>
      <c r="AA62">
        <v>0</v>
      </c>
      <c r="AB62" s="2">
        <v>0</v>
      </c>
      <c r="AC62" s="2">
        <v>0</v>
      </c>
      <c r="AD62" s="4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4.17</v>
      </c>
      <c r="AN62" s="2">
        <v>4.17</v>
      </c>
      <c r="AO62" s="2">
        <v>0</v>
      </c>
      <c r="AP62" s="2">
        <v>0</v>
      </c>
      <c r="AQ62" s="2">
        <v>0</v>
      </c>
    </row>
    <row r="63" spans="1:43" x14ac:dyDescent="0.25">
      <c r="A63" s="1">
        <v>45915</v>
      </c>
      <c r="B63" t="s">
        <v>47</v>
      </c>
      <c r="C63">
        <v>649163</v>
      </c>
      <c r="D63">
        <v>2017105567</v>
      </c>
      <c r="E63" t="s">
        <v>1051</v>
      </c>
      <c r="F63" t="s">
        <v>1050</v>
      </c>
      <c r="G63" t="s">
        <v>50</v>
      </c>
      <c r="H63" t="s">
        <v>51</v>
      </c>
      <c r="I63" t="s">
        <v>306</v>
      </c>
      <c r="J63" t="s">
        <v>307</v>
      </c>
      <c r="K63">
        <v>649247</v>
      </c>
      <c r="L63" t="s">
        <v>68</v>
      </c>
      <c r="M63" t="s">
        <v>69</v>
      </c>
      <c r="N63" t="s">
        <v>1076</v>
      </c>
      <c r="O63" t="s">
        <v>56</v>
      </c>
      <c r="P63" s="1">
        <v>44911</v>
      </c>
      <c r="Q63" s="1">
        <v>45946</v>
      </c>
      <c r="R63" s="2">
        <v>101.58</v>
      </c>
      <c r="S63">
        <v>1</v>
      </c>
      <c r="T63" t="s">
        <v>57</v>
      </c>
      <c r="U63" t="s">
        <v>58</v>
      </c>
      <c r="V63" s="4">
        <v>0.06</v>
      </c>
      <c r="W63" s="2">
        <v>0</v>
      </c>
      <c r="X63">
        <v>0</v>
      </c>
      <c r="Y63" t="s">
        <v>59</v>
      </c>
      <c r="Z63" t="s">
        <v>60</v>
      </c>
      <c r="AA63">
        <v>0</v>
      </c>
      <c r="AB63" s="2">
        <v>0</v>
      </c>
      <c r="AC63" s="2">
        <v>0</v>
      </c>
      <c r="AD63" s="4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6.09</v>
      </c>
      <c r="AN63" s="2">
        <v>6.09</v>
      </c>
      <c r="AO63" s="2">
        <v>0</v>
      </c>
      <c r="AP63" s="2">
        <v>0</v>
      </c>
      <c r="AQ63" s="2">
        <v>0</v>
      </c>
    </row>
    <row r="64" spans="1:43" x14ac:dyDescent="0.25">
      <c r="A64" s="1">
        <v>45915</v>
      </c>
      <c r="B64" t="s">
        <v>47</v>
      </c>
      <c r="C64">
        <v>649163</v>
      </c>
      <c r="D64">
        <v>2019352254</v>
      </c>
      <c r="E64" t="s">
        <v>1049</v>
      </c>
      <c r="F64" t="s">
        <v>1048</v>
      </c>
      <c r="G64" t="s">
        <v>50</v>
      </c>
      <c r="H64" t="s">
        <v>51</v>
      </c>
      <c r="I64" t="s">
        <v>306</v>
      </c>
      <c r="J64" t="s">
        <v>307</v>
      </c>
      <c r="K64">
        <v>649247</v>
      </c>
      <c r="L64" t="s">
        <v>68</v>
      </c>
      <c r="M64" t="s">
        <v>69</v>
      </c>
      <c r="N64" t="s">
        <v>1076</v>
      </c>
      <c r="O64" t="s">
        <v>56</v>
      </c>
      <c r="P64" s="1">
        <v>45120</v>
      </c>
      <c r="Q64" s="1">
        <v>45943</v>
      </c>
      <c r="R64" s="2">
        <v>49.98</v>
      </c>
      <c r="S64">
        <v>1</v>
      </c>
      <c r="T64" t="s">
        <v>57</v>
      </c>
      <c r="U64" t="s">
        <v>58</v>
      </c>
      <c r="V64" s="4">
        <v>0.06</v>
      </c>
      <c r="W64" s="2">
        <v>0</v>
      </c>
      <c r="X64">
        <v>0</v>
      </c>
      <c r="Y64" t="s">
        <v>59</v>
      </c>
      <c r="Z64" t="s">
        <v>60</v>
      </c>
      <c r="AA64">
        <v>0</v>
      </c>
      <c r="AB64" s="2">
        <v>0</v>
      </c>
      <c r="AC64" s="2">
        <v>0</v>
      </c>
      <c r="AD64" s="4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3</v>
      </c>
      <c r="AN64" s="2">
        <v>3</v>
      </c>
      <c r="AO64" s="2">
        <v>0</v>
      </c>
      <c r="AP64" s="2">
        <v>0</v>
      </c>
      <c r="AQ64" s="2">
        <v>0</v>
      </c>
    </row>
    <row r="65" spans="1:43" x14ac:dyDescent="0.25">
      <c r="A65" s="1">
        <v>45915</v>
      </c>
      <c r="B65" t="s">
        <v>47</v>
      </c>
      <c r="C65">
        <v>649163</v>
      </c>
      <c r="D65">
        <v>2025358290</v>
      </c>
      <c r="E65" t="s">
        <v>1039</v>
      </c>
      <c r="F65" t="s">
        <v>444</v>
      </c>
      <c r="G65" t="s">
        <v>50</v>
      </c>
      <c r="H65" t="s">
        <v>51</v>
      </c>
      <c r="I65" t="s">
        <v>306</v>
      </c>
      <c r="J65" t="s">
        <v>307</v>
      </c>
      <c r="K65">
        <v>649247</v>
      </c>
      <c r="L65" t="s">
        <v>68</v>
      </c>
      <c r="M65" t="s">
        <v>69</v>
      </c>
      <c r="N65" t="s">
        <v>1076</v>
      </c>
      <c r="O65" t="s">
        <v>56</v>
      </c>
      <c r="P65" s="1">
        <v>45583</v>
      </c>
      <c r="Q65" s="1">
        <v>45948</v>
      </c>
      <c r="R65" s="2">
        <v>39.979999999999997</v>
      </c>
      <c r="S65">
        <v>1</v>
      </c>
      <c r="T65" t="s">
        <v>57</v>
      </c>
      <c r="U65" t="s">
        <v>58</v>
      </c>
      <c r="V65" s="3">
        <v>0.375</v>
      </c>
      <c r="W65" s="2">
        <v>0</v>
      </c>
      <c r="X65">
        <v>0</v>
      </c>
      <c r="Y65" t="s">
        <v>70</v>
      </c>
      <c r="Z65" t="s">
        <v>60</v>
      </c>
      <c r="AA65">
        <v>0</v>
      </c>
      <c r="AB65" s="2">
        <v>0</v>
      </c>
      <c r="AC65" s="2">
        <v>0</v>
      </c>
      <c r="AD65" s="4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14.99</v>
      </c>
      <c r="AN65" s="2">
        <v>14.99</v>
      </c>
      <c r="AO65" s="2">
        <v>0</v>
      </c>
      <c r="AP65" s="2">
        <v>0</v>
      </c>
      <c r="AQ65" s="2">
        <v>0</v>
      </c>
    </row>
    <row r="66" spans="1:43" x14ac:dyDescent="0.25">
      <c r="A66" s="1">
        <v>45915</v>
      </c>
      <c r="B66" t="s">
        <v>47</v>
      </c>
      <c r="C66">
        <v>649163</v>
      </c>
      <c r="D66">
        <v>2029358060</v>
      </c>
      <c r="E66" t="s">
        <v>627</v>
      </c>
      <c r="F66" t="s">
        <v>626</v>
      </c>
      <c r="G66" t="s">
        <v>50</v>
      </c>
      <c r="H66" t="s">
        <v>51</v>
      </c>
      <c r="I66" t="s">
        <v>574</v>
      </c>
      <c r="J66" t="s">
        <v>575</v>
      </c>
      <c r="K66">
        <v>649247</v>
      </c>
      <c r="L66" t="s">
        <v>68</v>
      </c>
      <c r="M66" t="s">
        <v>69</v>
      </c>
      <c r="N66" t="s">
        <v>1076</v>
      </c>
      <c r="O66" t="s">
        <v>56</v>
      </c>
      <c r="P66" s="1">
        <v>45817</v>
      </c>
      <c r="Q66" s="1">
        <v>45939</v>
      </c>
      <c r="R66" s="2">
        <v>60.6</v>
      </c>
      <c r="S66">
        <v>1</v>
      </c>
      <c r="T66" t="s">
        <v>57</v>
      </c>
      <c r="U66" t="s">
        <v>58</v>
      </c>
      <c r="V66" s="4">
        <v>0.47</v>
      </c>
      <c r="W66" s="2">
        <v>0</v>
      </c>
      <c r="X66">
        <v>0</v>
      </c>
      <c r="Y66" t="s">
        <v>70</v>
      </c>
      <c r="Z66" t="s">
        <v>60</v>
      </c>
      <c r="AA66">
        <v>0</v>
      </c>
      <c r="AB66" s="2">
        <v>0</v>
      </c>
      <c r="AC66" s="2">
        <v>0</v>
      </c>
      <c r="AD66" s="4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28.48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</row>
    <row r="67" spans="1:43" x14ac:dyDescent="0.25">
      <c r="A67" s="1">
        <v>45922</v>
      </c>
      <c r="B67" t="s">
        <v>47</v>
      </c>
      <c r="C67">
        <v>649163</v>
      </c>
      <c r="D67">
        <v>2029623278</v>
      </c>
      <c r="E67" t="s">
        <v>271</v>
      </c>
      <c r="F67" t="s">
        <v>272</v>
      </c>
      <c r="G67" t="s">
        <v>50</v>
      </c>
      <c r="H67" t="s">
        <v>93</v>
      </c>
      <c r="I67" t="s">
        <v>243</v>
      </c>
      <c r="J67" t="s">
        <v>261</v>
      </c>
      <c r="K67">
        <v>840313</v>
      </c>
      <c r="L67" t="s">
        <v>273</v>
      </c>
      <c r="M67" t="s">
        <v>274</v>
      </c>
      <c r="N67" t="s">
        <v>1110</v>
      </c>
      <c r="O67" t="s">
        <v>56</v>
      </c>
      <c r="P67" s="1">
        <v>45833</v>
      </c>
      <c r="Q67" s="1">
        <v>45955</v>
      </c>
      <c r="R67" s="2">
        <v>15</v>
      </c>
      <c r="S67">
        <v>1</v>
      </c>
      <c r="T67" t="s">
        <v>57</v>
      </c>
      <c r="U67" t="s">
        <v>58</v>
      </c>
      <c r="V67" s="4">
        <v>0.38</v>
      </c>
      <c r="W67" s="2">
        <v>0</v>
      </c>
      <c r="X67">
        <v>0</v>
      </c>
      <c r="Y67" t="s">
        <v>70</v>
      </c>
      <c r="Z67" t="s">
        <v>60</v>
      </c>
      <c r="AA67">
        <v>0</v>
      </c>
      <c r="AB67" s="2">
        <v>0</v>
      </c>
      <c r="AC67" s="2">
        <v>0</v>
      </c>
      <c r="AD67" s="4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5.7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</row>
    <row r="68" spans="1:43" x14ac:dyDescent="0.25">
      <c r="A68" s="1">
        <v>45922</v>
      </c>
      <c r="B68" t="s">
        <v>47</v>
      </c>
      <c r="C68">
        <v>649163</v>
      </c>
      <c r="D68">
        <v>2028419377</v>
      </c>
      <c r="E68" t="s">
        <v>373</v>
      </c>
      <c r="F68" t="s">
        <v>374</v>
      </c>
      <c r="G68" t="s">
        <v>50</v>
      </c>
      <c r="H68" t="s">
        <v>93</v>
      </c>
      <c r="I68" t="s">
        <v>306</v>
      </c>
      <c r="J68" t="s">
        <v>307</v>
      </c>
      <c r="K68">
        <v>840313</v>
      </c>
      <c r="L68" t="s">
        <v>273</v>
      </c>
      <c r="M68" t="s">
        <v>274</v>
      </c>
      <c r="N68" t="s">
        <v>1110</v>
      </c>
      <c r="O68" t="s">
        <v>56</v>
      </c>
      <c r="P68" s="1">
        <v>45767</v>
      </c>
      <c r="Q68" s="1">
        <v>45950</v>
      </c>
      <c r="R68" s="2">
        <v>61.01</v>
      </c>
      <c r="S68">
        <v>1</v>
      </c>
      <c r="T68" t="s">
        <v>57</v>
      </c>
      <c r="U68" t="s">
        <v>58</v>
      </c>
      <c r="V68" s="3">
        <v>0.375</v>
      </c>
      <c r="W68" s="2">
        <v>0</v>
      </c>
      <c r="X68">
        <v>0</v>
      </c>
      <c r="Y68" t="s">
        <v>70</v>
      </c>
      <c r="Z68" t="s">
        <v>60</v>
      </c>
      <c r="AA68">
        <v>0</v>
      </c>
      <c r="AB68" s="2">
        <v>0</v>
      </c>
      <c r="AC68" s="2">
        <v>0</v>
      </c>
      <c r="AD68" s="4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22.88</v>
      </c>
      <c r="AN68" s="2">
        <v>22.88</v>
      </c>
      <c r="AO68" s="2">
        <v>0</v>
      </c>
      <c r="AP68" s="2">
        <v>0</v>
      </c>
      <c r="AQ68" s="2">
        <v>0</v>
      </c>
    </row>
    <row r="69" spans="1:43" x14ac:dyDescent="0.25">
      <c r="A69" s="1">
        <v>45922</v>
      </c>
      <c r="B69" t="s">
        <v>47</v>
      </c>
      <c r="C69">
        <v>649163</v>
      </c>
      <c r="D69">
        <v>2029623274</v>
      </c>
      <c r="E69" t="s">
        <v>271</v>
      </c>
      <c r="F69" t="s">
        <v>272</v>
      </c>
      <c r="G69" t="s">
        <v>50</v>
      </c>
      <c r="H69" t="s">
        <v>93</v>
      </c>
      <c r="I69" t="s">
        <v>430</v>
      </c>
      <c r="J69" t="s">
        <v>438</v>
      </c>
      <c r="K69">
        <v>840313</v>
      </c>
      <c r="L69" t="s">
        <v>273</v>
      </c>
      <c r="M69" t="s">
        <v>274</v>
      </c>
      <c r="N69" t="s">
        <v>1110</v>
      </c>
      <c r="O69" t="s">
        <v>56</v>
      </c>
      <c r="P69" s="1">
        <v>45833</v>
      </c>
      <c r="Q69" s="1">
        <v>45955</v>
      </c>
      <c r="R69" s="2">
        <v>172.55</v>
      </c>
      <c r="S69">
        <v>1</v>
      </c>
      <c r="T69" t="s">
        <v>57</v>
      </c>
      <c r="U69" t="s">
        <v>58</v>
      </c>
      <c r="V69" s="4">
        <v>0.38</v>
      </c>
      <c r="W69" s="2">
        <v>0</v>
      </c>
      <c r="X69">
        <v>0</v>
      </c>
      <c r="Y69" t="s">
        <v>70</v>
      </c>
      <c r="Z69" t="s">
        <v>60</v>
      </c>
      <c r="AA69">
        <v>0</v>
      </c>
      <c r="AB69" s="2">
        <v>0</v>
      </c>
      <c r="AC69" s="2">
        <v>0</v>
      </c>
      <c r="AD69" s="4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65.569999999999993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</row>
    <row r="70" spans="1:43" x14ac:dyDescent="0.25">
      <c r="A70" s="1">
        <v>45922</v>
      </c>
      <c r="B70" t="s">
        <v>47</v>
      </c>
      <c r="C70">
        <v>649163</v>
      </c>
      <c r="D70">
        <v>2029623275</v>
      </c>
      <c r="E70" t="s">
        <v>271</v>
      </c>
      <c r="F70" t="s">
        <v>272</v>
      </c>
      <c r="G70" t="s">
        <v>50</v>
      </c>
      <c r="H70" t="s">
        <v>93</v>
      </c>
      <c r="I70" t="s">
        <v>430</v>
      </c>
      <c r="J70" t="s">
        <v>439</v>
      </c>
      <c r="K70">
        <v>840313</v>
      </c>
      <c r="L70" t="s">
        <v>273</v>
      </c>
      <c r="M70" t="s">
        <v>274</v>
      </c>
      <c r="N70" t="s">
        <v>1110</v>
      </c>
      <c r="O70" t="s">
        <v>56</v>
      </c>
      <c r="P70" s="1">
        <v>45833</v>
      </c>
      <c r="Q70" s="1">
        <v>45955</v>
      </c>
      <c r="R70" s="2">
        <v>7.09</v>
      </c>
      <c r="S70">
        <v>1</v>
      </c>
      <c r="T70" t="s">
        <v>57</v>
      </c>
      <c r="U70" t="s">
        <v>58</v>
      </c>
      <c r="V70" s="4">
        <v>0.38</v>
      </c>
      <c r="W70" s="2">
        <v>0</v>
      </c>
      <c r="X70">
        <v>0</v>
      </c>
      <c r="Y70" t="s">
        <v>70</v>
      </c>
      <c r="Z70" t="s">
        <v>60</v>
      </c>
      <c r="AA70">
        <v>0</v>
      </c>
      <c r="AB70" s="2">
        <v>0</v>
      </c>
      <c r="AC70" s="2">
        <v>0</v>
      </c>
      <c r="AD70" s="4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2.69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</row>
    <row r="71" spans="1:43" x14ac:dyDescent="0.25">
      <c r="A71" s="1">
        <v>45922</v>
      </c>
      <c r="B71" t="s">
        <v>47</v>
      </c>
      <c r="C71">
        <v>649163</v>
      </c>
      <c r="D71">
        <v>2029623276</v>
      </c>
      <c r="E71" t="s">
        <v>271</v>
      </c>
      <c r="F71" t="s">
        <v>272</v>
      </c>
      <c r="G71" t="s">
        <v>50</v>
      </c>
      <c r="H71" t="s">
        <v>93</v>
      </c>
      <c r="I71" t="s">
        <v>430</v>
      </c>
      <c r="J71" t="s">
        <v>431</v>
      </c>
      <c r="K71">
        <v>840313</v>
      </c>
      <c r="L71" t="s">
        <v>273</v>
      </c>
      <c r="M71" t="s">
        <v>274</v>
      </c>
      <c r="N71" t="s">
        <v>1110</v>
      </c>
      <c r="O71" t="s">
        <v>56</v>
      </c>
      <c r="P71" s="1">
        <v>45833</v>
      </c>
      <c r="Q71" s="1">
        <v>45955</v>
      </c>
      <c r="R71" s="2">
        <v>11.71</v>
      </c>
      <c r="S71">
        <v>1</v>
      </c>
      <c r="T71" t="s">
        <v>57</v>
      </c>
      <c r="U71" t="s">
        <v>58</v>
      </c>
      <c r="V71" s="4">
        <v>0.38</v>
      </c>
      <c r="W71" s="2">
        <v>0</v>
      </c>
      <c r="X71">
        <v>0</v>
      </c>
      <c r="Y71" t="s">
        <v>70</v>
      </c>
      <c r="Z71" t="s">
        <v>60</v>
      </c>
      <c r="AA71">
        <v>0</v>
      </c>
      <c r="AB71" s="2">
        <v>0</v>
      </c>
      <c r="AC71" s="2">
        <v>0</v>
      </c>
      <c r="AD71" s="4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4.45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</row>
    <row r="72" spans="1:43" x14ac:dyDescent="0.25">
      <c r="A72" s="1">
        <v>45922</v>
      </c>
      <c r="B72" t="s">
        <v>47</v>
      </c>
      <c r="C72">
        <v>649163</v>
      </c>
      <c r="D72">
        <v>2029623277</v>
      </c>
      <c r="E72" t="s">
        <v>271</v>
      </c>
      <c r="F72" t="s">
        <v>272</v>
      </c>
      <c r="G72" t="s">
        <v>50</v>
      </c>
      <c r="H72" t="s">
        <v>93</v>
      </c>
      <c r="I72" t="s">
        <v>441</v>
      </c>
      <c r="J72" t="s">
        <v>445</v>
      </c>
      <c r="K72">
        <v>840313</v>
      </c>
      <c r="L72" t="s">
        <v>273</v>
      </c>
      <c r="M72" t="s">
        <v>274</v>
      </c>
      <c r="N72" t="s">
        <v>1110</v>
      </c>
      <c r="O72" t="s">
        <v>56</v>
      </c>
      <c r="P72" s="1">
        <v>45833</v>
      </c>
      <c r="Q72" s="1">
        <v>45955</v>
      </c>
      <c r="R72" s="2">
        <v>56.5</v>
      </c>
      <c r="S72">
        <v>1</v>
      </c>
      <c r="T72" t="s">
        <v>57</v>
      </c>
      <c r="U72" t="s">
        <v>58</v>
      </c>
      <c r="V72" s="4">
        <v>0.7</v>
      </c>
      <c r="W72" s="2">
        <v>0</v>
      </c>
      <c r="X72">
        <v>0</v>
      </c>
      <c r="Y72" t="s">
        <v>70</v>
      </c>
      <c r="Z72" t="s">
        <v>60</v>
      </c>
      <c r="AA72">
        <v>0</v>
      </c>
      <c r="AB72" s="2">
        <v>0</v>
      </c>
      <c r="AC72" s="2">
        <v>0</v>
      </c>
      <c r="AD72" s="4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39.549999999999997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</row>
    <row r="73" spans="1:43" x14ac:dyDescent="0.25">
      <c r="A73" s="1">
        <v>45915</v>
      </c>
      <c r="B73" t="s">
        <v>47</v>
      </c>
      <c r="C73">
        <v>649163</v>
      </c>
      <c r="D73">
        <v>2028784372</v>
      </c>
      <c r="E73" t="s">
        <v>858</v>
      </c>
      <c r="F73" t="s">
        <v>857</v>
      </c>
      <c r="G73" t="s">
        <v>50</v>
      </c>
      <c r="H73" t="s">
        <v>93</v>
      </c>
      <c r="I73" t="s">
        <v>441</v>
      </c>
      <c r="J73" t="s">
        <v>442</v>
      </c>
      <c r="K73">
        <v>840313</v>
      </c>
      <c r="L73" t="s">
        <v>273</v>
      </c>
      <c r="M73" t="s">
        <v>274</v>
      </c>
      <c r="N73" t="s">
        <v>1110</v>
      </c>
      <c r="O73" t="s">
        <v>56</v>
      </c>
      <c r="P73" s="1">
        <v>45792</v>
      </c>
      <c r="Q73" s="1">
        <v>45945</v>
      </c>
      <c r="R73" s="2">
        <v>9.5299999999999994</v>
      </c>
      <c r="S73">
        <v>1</v>
      </c>
      <c r="T73" t="s">
        <v>57</v>
      </c>
      <c r="U73" t="s">
        <v>58</v>
      </c>
      <c r="V73" s="4">
        <v>0.9</v>
      </c>
      <c r="W73" s="2">
        <v>0</v>
      </c>
      <c r="X73">
        <v>0</v>
      </c>
      <c r="Y73" t="s">
        <v>70</v>
      </c>
      <c r="Z73" t="s">
        <v>60</v>
      </c>
      <c r="AA73">
        <v>0</v>
      </c>
      <c r="AB73" s="2">
        <v>0</v>
      </c>
      <c r="AC73" s="2">
        <v>0</v>
      </c>
      <c r="AD73" s="4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8.58</v>
      </c>
      <c r="AN73" s="2">
        <v>8.58</v>
      </c>
      <c r="AO73" s="2">
        <v>0</v>
      </c>
      <c r="AP73" s="2">
        <v>0</v>
      </c>
      <c r="AQ73" s="2">
        <v>0</v>
      </c>
    </row>
    <row r="74" spans="1:43" x14ac:dyDescent="0.25">
      <c r="A74" s="1">
        <v>45915</v>
      </c>
      <c r="B74" t="s">
        <v>47</v>
      </c>
      <c r="C74">
        <v>649163</v>
      </c>
      <c r="D74">
        <v>2029880668</v>
      </c>
      <c r="E74" t="s">
        <v>839</v>
      </c>
      <c r="F74" t="s">
        <v>838</v>
      </c>
      <c r="G74" t="s">
        <v>50</v>
      </c>
      <c r="H74" t="s">
        <v>93</v>
      </c>
      <c r="I74" t="s">
        <v>441</v>
      </c>
      <c r="J74" t="s">
        <v>445</v>
      </c>
      <c r="K74">
        <v>840313</v>
      </c>
      <c r="L74" t="s">
        <v>273</v>
      </c>
      <c r="M74" t="s">
        <v>274</v>
      </c>
      <c r="N74" t="s">
        <v>1110</v>
      </c>
      <c r="O74" t="s">
        <v>56</v>
      </c>
      <c r="P74" s="1">
        <v>45848</v>
      </c>
      <c r="Q74" s="1">
        <v>45940</v>
      </c>
      <c r="R74" s="2">
        <v>56.5</v>
      </c>
      <c r="S74">
        <v>1</v>
      </c>
      <c r="T74" t="s">
        <v>57</v>
      </c>
      <c r="U74" t="s">
        <v>58</v>
      </c>
      <c r="V74" s="4">
        <v>0.7</v>
      </c>
      <c r="W74" s="2">
        <v>0</v>
      </c>
      <c r="X74">
        <v>0</v>
      </c>
      <c r="Y74" t="s">
        <v>70</v>
      </c>
      <c r="Z74" t="s">
        <v>60</v>
      </c>
      <c r="AA74">
        <v>0</v>
      </c>
      <c r="AB74" s="2">
        <v>0</v>
      </c>
      <c r="AC74" s="2">
        <v>0</v>
      </c>
      <c r="AD74" s="4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39.549999999999997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</row>
    <row r="75" spans="1:43" x14ac:dyDescent="0.25">
      <c r="A75" s="1">
        <v>45915</v>
      </c>
      <c r="B75" t="s">
        <v>47</v>
      </c>
      <c r="C75">
        <v>649163</v>
      </c>
      <c r="D75">
        <v>2027111487</v>
      </c>
      <c r="E75" t="s">
        <v>886</v>
      </c>
      <c r="F75" t="s">
        <v>349</v>
      </c>
      <c r="G75" t="s">
        <v>50</v>
      </c>
      <c r="H75" t="s">
        <v>93</v>
      </c>
      <c r="I75" t="s">
        <v>306</v>
      </c>
      <c r="J75" t="s">
        <v>307</v>
      </c>
      <c r="K75">
        <v>840313</v>
      </c>
      <c r="L75" t="s">
        <v>273</v>
      </c>
      <c r="M75" t="s">
        <v>274</v>
      </c>
      <c r="N75" t="s">
        <v>1110</v>
      </c>
      <c r="O75" t="s">
        <v>56</v>
      </c>
      <c r="P75" s="1">
        <v>45703</v>
      </c>
      <c r="Q75" s="1">
        <v>45945</v>
      </c>
      <c r="R75" s="2">
        <v>60.94</v>
      </c>
      <c r="S75">
        <v>1</v>
      </c>
      <c r="T75" t="s">
        <v>57</v>
      </c>
      <c r="U75" t="s">
        <v>58</v>
      </c>
      <c r="V75" s="3">
        <v>0.375</v>
      </c>
      <c r="W75" s="2">
        <v>0</v>
      </c>
      <c r="X75">
        <v>0</v>
      </c>
      <c r="Y75" t="s">
        <v>70</v>
      </c>
      <c r="Z75" t="s">
        <v>60</v>
      </c>
      <c r="AA75">
        <v>0</v>
      </c>
      <c r="AB75" s="2">
        <v>0</v>
      </c>
      <c r="AC75" s="2">
        <v>0</v>
      </c>
      <c r="AD75" s="4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22.85</v>
      </c>
      <c r="AN75" s="2">
        <v>22.85</v>
      </c>
      <c r="AO75" s="2">
        <v>0</v>
      </c>
      <c r="AP75" s="2">
        <v>0</v>
      </c>
      <c r="AQ75" s="2">
        <v>0</v>
      </c>
    </row>
    <row r="76" spans="1:43" x14ac:dyDescent="0.25">
      <c r="A76" s="1">
        <v>45915</v>
      </c>
      <c r="B76" t="s">
        <v>47</v>
      </c>
      <c r="C76">
        <v>649163</v>
      </c>
      <c r="D76">
        <v>2028784373</v>
      </c>
      <c r="E76" t="s">
        <v>858</v>
      </c>
      <c r="F76" t="s">
        <v>857</v>
      </c>
      <c r="G76" t="s">
        <v>50</v>
      </c>
      <c r="H76" t="s">
        <v>93</v>
      </c>
      <c r="I76" t="s">
        <v>306</v>
      </c>
      <c r="J76" t="s">
        <v>307</v>
      </c>
      <c r="K76">
        <v>840313</v>
      </c>
      <c r="L76" t="s">
        <v>273</v>
      </c>
      <c r="M76" t="s">
        <v>274</v>
      </c>
      <c r="N76" t="s">
        <v>1110</v>
      </c>
      <c r="O76" t="s">
        <v>56</v>
      </c>
      <c r="P76" s="1">
        <v>45792</v>
      </c>
      <c r="Q76" s="1">
        <v>45945</v>
      </c>
      <c r="R76" s="2">
        <v>57.19</v>
      </c>
      <c r="S76">
        <v>1</v>
      </c>
      <c r="T76" t="s">
        <v>57</v>
      </c>
      <c r="U76" t="s">
        <v>58</v>
      </c>
      <c r="V76" s="3">
        <v>0.375</v>
      </c>
      <c r="W76" s="2">
        <v>0</v>
      </c>
      <c r="X76">
        <v>0</v>
      </c>
      <c r="Y76" t="s">
        <v>70</v>
      </c>
      <c r="Z76" t="s">
        <v>60</v>
      </c>
      <c r="AA76">
        <v>0</v>
      </c>
      <c r="AB76" s="2">
        <v>0</v>
      </c>
      <c r="AC76" s="2">
        <v>0</v>
      </c>
      <c r="AD76" s="4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21.45</v>
      </c>
      <c r="AN76" s="2">
        <v>21.45</v>
      </c>
      <c r="AO76" s="2">
        <v>0</v>
      </c>
      <c r="AP76" s="2">
        <v>0</v>
      </c>
      <c r="AQ76" s="2">
        <v>0</v>
      </c>
    </row>
    <row r="77" spans="1:43" x14ac:dyDescent="0.25">
      <c r="A77" s="1">
        <v>45915</v>
      </c>
      <c r="B77" t="s">
        <v>47</v>
      </c>
      <c r="C77">
        <v>649163</v>
      </c>
      <c r="D77">
        <v>2029880669</v>
      </c>
      <c r="E77" t="s">
        <v>839</v>
      </c>
      <c r="F77" t="s">
        <v>838</v>
      </c>
      <c r="G77" t="s">
        <v>50</v>
      </c>
      <c r="H77" t="s">
        <v>93</v>
      </c>
      <c r="I77" t="s">
        <v>306</v>
      </c>
      <c r="J77" t="s">
        <v>307</v>
      </c>
      <c r="K77">
        <v>840313</v>
      </c>
      <c r="L77" t="s">
        <v>273</v>
      </c>
      <c r="M77" t="s">
        <v>274</v>
      </c>
      <c r="N77" t="s">
        <v>1110</v>
      </c>
      <c r="O77" t="s">
        <v>56</v>
      </c>
      <c r="P77" s="1">
        <v>45848</v>
      </c>
      <c r="Q77" s="1">
        <v>45940</v>
      </c>
      <c r="R77" s="2">
        <v>77.48</v>
      </c>
      <c r="S77">
        <v>1</v>
      </c>
      <c r="T77" t="s">
        <v>57</v>
      </c>
      <c r="U77" t="s">
        <v>58</v>
      </c>
      <c r="V77" s="3">
        <v>0.375</v>
      </c>
      <c r="W77" s="2">
        <v>0</v>
      </c>
      <c r="X77">
        <v>0</v>
      </c>
      <c r="Y77" t="s">
        <v>70</v>
      </c>
      <c r="Z77" t="s">
        <v>60</v>
      </c>
      <c r="AA77">
        <v>0</v>
      </c>
      <c r="AB77" s="2">
        <v>0</v>
      </c>
      <c r="AC77" s="2">
        <v>0</v>
      </c>
      <c r="AD77" s="4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29.06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</row>
    <row r="78" spans="1:43" x14ac:dyDescent="0.25">
      <c r="A78" s="1">
        <v>45915</v>
      </c>
      <c r="B78" t="s">
        <v>47</v>
      </c>
      <c r="C78">
        <v>649163</v>
      </c>
      <c r="D78">
        <v>2030382339</v>
      </c>
      <c r="E78" t="s">
        <v>716</v>
      </c>
      <c r="F78" t="s">
        <v>339</v>
      </c>
      <c r="G78" t="s">
        <v>50</v>
      </c>
      <c r="H78" t="s">
        <v>93</v>
      </c>
      <c r="I78" t="s">
        <v>441</v>
      </c>
      <c r="J78" t="s">
        <v>445</v>
      </c>
      <c r="K78">
        <v>840313</v>
      </c>
      <c r="L78" t="s">
        <v>273</v>
      </c>
      <c r="M78" t="s">
        <v>274</v>
      </c>
      <c r="N78" t="s">
        <v>1110</v>
      </c>
      <c r="O78" t="s">
        <v>56</v>
      </c>
      <c r="P78" s="1">
        <v>45877</v>
      </c>
      <c r="Q78" s="1">
        <v>45938</v>
      </c>
      <c r="R78" s="2">
        <v>-96.02</v>
      </c>
      <c r="S78">
        <v>1</v>
      </c>
      <c r="T78" t="s">
        <v>57</v>
      </c>
      <c r="U78" t="s">
        <v>58</v>
      </c>
      <c r="V78" s="4">
        <v>0.7</v>
      </c>
      <c r="W78" s="2">
        <v>0</v>
      </c>
      <c r="X78">
        <v>-1</v>
      </c>
      <c r="Y78" t="s">
        <v>70</v>
      </c>
      <c r="Z78" t="s">
        <v>60</v>
      </c>
      <c r="AA78">
        <v>0</v>
      </c>
      <c r="AB78" s="2">
        <v>0</v>
      </c>
      <c r="AC78" s="2">
        <v>0</v>
      </c>
      <c r="AD78" s="4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-67.209999999999994</v>
      </c>
      <c r="AN78" s="2">
        <v>-67.209999999999994</v>
      </c>
      <c r="AO78" s="2">
        <v>0</v>
      </c>
      <c r="AP78" s="2">
        <v>0</v>
      </c>
      <c r="AQ78" s="2">
        <v>0</v>
      </c>
    </row>
    <row r="79" spans="1:43" x14ac:dyDescent="0.25">
      <c r="A79" s="1">
        <v>45915</v>
      </c>
      <c r="B79" t="s">
        <v>47</v>
      </c>
      <c r="C79">
        <v>649163</v>
      </c>
      <c r="D79">
        <v>2030382340</v>
      </c>
      <c r="E79" t="s">
        <v>716</v>
      </c>
      <c r="F79" t="s">
        <v>339</v>
      </c>
      <c r="G79" t="s">
        <v>50</v>
      </c>
      <c r="H79" t="s">
        <v>93</v>
      </c>
      <c r="I79" t="s">
        <v>441</v>
      </c>
      <c r="J79" t="s">
        <v>451</v>
      </c>
      <c r="K79">
        <v>840313</v>
      </c>
      <c r="L79" t="s">
        <v>273</v>
      </c>
      <c r="M79" t="s">
        <v>274</v>
      </c>
      <c r="N79" t="s">
        <v>1110</v>
      </c>
      <c r="O79" t="s">
        <v>56</v>
      </c>
      <c r="P79" s="1">
        <v>45877</v>
      </c>
      <c r="Q79" s="1">
        <v>45938</v>
      </c>
      <c r="R79" s="2">
        <v>-102.1</v>
      </c>
      <c r="S79">
        <v>1</v>
      </c>
      <c r="T79" t="s">
        <v>57</v>
      </c>
      <c r="U79" t="s">
        <v>58</v>
      </c>
      <c r="V79" s="4">
        <v>0.42</v>
      </c>
      <c r="W79" s="2">
        <v>0</v>
      </c>
      <c r="X79">
        <v>-1</v>
      </c>
      <c r="Y79" t="s">
        <v>70</v>
      </c>
      <c r="Z79" t="s">
        <v>60</v>
      </c>
      <c r="AA79">
        <v>0</v>
      </c>
      <c r="AB79" s="2">
        <v>0</v>
      </c>
      <c r="AC79" s="2">
        <v>0</v>
      </c>
      <c r="AD79" s="4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-42.88</v>
      </c>
      <c r="AN79" s="2">
        <v>-42.88</v>
      </c>
      <c r="AO79" s="2">
        <v>0</v>
      </c>
      <c r="AP79" s="2">
        <v>0</v>
      </c>
      <c r="AQ79" s="2">
        <v>0</v>
      </c>
    </row>
    <row r="80" spans="1:43" x14ac:dyDescent="0.25">
      <c r="A80" s="1">
        <v>45922</v>
      </c>
      <c r="B80" t="s">
        <v>47</v>
      </c>
      <c r="C80">
        <v>649163</v>
      </c>
      <c r="D80">
        <v>2029034261</v>
      </c>
      <c r="E80" t="s">
        <v>380</v>
      </c>
      <c r="F80" t="s">
        <v>381</v>
      </c>
      <c r="G80" t="s">
        <v>50</v>
      </c>
      <c r="H80" t="s">
        <v>115</v>
      </c>
      <c r="I80" t="s">
        <v>306</v>
      </c>
      <c r="J80" t="s">
        <v>307</v>
      </c>
      <c r="K80">
        <v>806645</v>
      </c>
      <c r="L80" t="s">
        <v>382</v>
      </c>
      <c r="M80" t="s">
        <v>366</v>
      </c>
      <c r="N80" t="s">
        <v>1117</v>
      </c>
      <c r="O80" t="s">
        <v>56</v>
      </c>
      <c r="P80" s="1">
        <v>45798</v>
      </c>
      <c r="Q80" s="1">
        <v>45951</v>
      </c>
      <c r="R80" s="2">
        <v>35.6</v>
      </c>
      <c r="S80">
        <v>1</v>
      </c>
      <c r="T80" t="s">
        <v>57</v>
      </c>
      <c r="U80" t="s">
        <v>58</v>
      </c>
      <c r="V80" s="3">
        <v>0.375</v>
      </c>
      <c r="W80" s="2">
        <v>0</v>
      </c>
      <c r="X80">
        <v>0</v>
      </c>
      <c r="Y80" t="s">
        <v>70</v>
      </c>
      <c r="Z80" t="s">
        <v>60</v>
      </c>
      <c r="AA80">
        <v>0</v>
      </c>
      <c r="AB80" s="2">
        <v>0</v>
      </c>
      <c r="AC80" s="2">
        <v>0</v>
      </c>
      <c r="AD80" s="4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13.35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</row>
    <row r="81" spans="1:43" x14ac:dyDescent="0.25">
      <c r="A81" s="1">
        <v>45922</v>
      </c>
      <c r="B81" t="s">
        <v>47</v>
      </c>
      <c r="C81">
        <v>649163</v>
      </c>
      <c r="D81">
        <v>2029034260</v>
      </c>
      <c r="E81" t="s">
        <v>380</v>
      </c>
      <c r="F81" t="s">
        <v>381</v>
      </c>
      <c r="G81" t="s">
        <v>50</v>
      </c>
      <c r="H81" t="s">
        <v>115</v>
      </c>
      <c r="I81" t="s">
        <v>441</v>
      </c>
      <c r="J81" t="s">
        <v>445</v>
      </c>
      <c r="K81">
        <v>806645</v>
      </c>
      <c r="L81" t="s">
        <v>382</v>
      </c>
      <c r="M81" t="s">
        <v>366</v>
      </c>
      <c r="N81" t="s">
        <v>1117</v>
      </c>
      <c r="O81" t="s">
        <v>56</v>
      </c>
      <c r="P81" s="1">
        <v>45798</v>
      </c>
      <c r="Q81" s="1">
        <v>45951</v>
      </c>
      <c r="R81" s="2">
        <v>48.76</v>
      </c>
      <c r="S81">
        <v>1</v>
      </c>
      <c r="T81" t="s">
        <v>57</v>
      </c>
      <c r="U81" t="s">
        <v>58</v>
      </c>
      <c r="V81" s="4">
        <v>0.7</v>
      </c>
      <c r="W81" s="2">
        <v>0</v>
      </c>
      <c r="X81">
        <v>0</v>
      </c>
      <c r="Y81" t="s">
        <v>70</v>
      </c>
      <c r="Z81" t="s">
        <v>60</v>
      </c>
      <c r="AA81">
        <v>0</v>
      </c>
      <c r="AB81" s="2">
        <v>0</v>
      </c>
      <c r="AC81" s="2">
        <v>0</v>
      </c>
      <c r="AD81" s="4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34.130000000000003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</row>
    <row r="82" spans="1:43" x14ac:dyDescent="0.25">
      <c r="A82" s="1">
        <v>45915</v>
      </c>
      <c r="B82" t="s">
        <v>47</v>
      </c>
      <c r="C82">
        <v>649163</v>
      </c>
      <c r="D82">
        <v>2025744022</v>
      </c>
      <c r="E82" t="s">
        <v>1020</v>
      </c>
      <c r="F82" t="s">
        <v>1019</v>
      </c>
      <c r="G82" t="s">
        <v>50</v>
      </c>
      <c r="H82" t="s">
        <v>93</v>
      </c>
      <c r="I82" t="s">
        <v>441</v>
      </c>
      <c r="J82" t="s">
        <v>445</v>
      </c>
      <c r="K82">
        <v>806645</v>
      </c>
      <c r="L82" t="s">
        <v>382</v>
      </c>
      <c r="M82" t="s">
        <v>366</v>
      </c>
      <c r="N82" t="s">
        <v>1117</v>
      </c>
      <c r="O82" t="s">
        <v>56</v>
      </c>
      <c r="P82" s="1">
        <v>45609</v>
      </c>
      <c r="Q82" s="1">
        <v>45943</v>
      </c>
      <c r="R82" s="2">
        <v>118</v>
      </c>
      <c r="S82">
        <v>1</v>
      </c>
      <c r="T82" t="s">
        <v>57</v>
      </c>
      <c r="U82" t="s">
        <v>58</v>
      </c>
      <c r="V82" s="4">
        <v>0.7</v>
      </c>
      <c r="W82" s="2">
        <v>0</v>
      </c>
      <c r="X82">
        <v>0</v>
      </c>
      <c r="Y82" t="s">
        <v>70</v>
      </c>
      <c r="Z82" t="s">
        <v>60</v>
      </c>
      <c r="AA82">
        <v>0</v>
      </c>
      <c r="AB82" s="2">
        <v>0</v>
      </c>
      <c r="AC82" s="2">
        <v>0</v>
      </c>
      <c r="AD82" s="4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82.6</v>
      </c>
      <c r="AN82" s="2">
        <v>82.6</v>
      </c>
      <c r="AO82" s="2">
        <v>0</v>
      </c>
      <c r="AP82" s="2">
        <v>0</v>
      </c>
      <c r="AQ82" s="2">
        <v>0</v>
      </c>
    </row>
    <row r="83" spans="1:43" x14ac:dyDescent="0.25">
      <c r="A83" s="1">
        <v>45915</v>
      </c>
      <c r="B83" t="s">
        <v>47</v>
      </c>
      <c r="C83">
        <v>649163</v>
      </c>
      <c r="D83">
        <v>2025803057</v>
      </c>
      <c r="E83" t="s">
        <v>1014</v>
      </c>
      <c r="F83" t="s">
        <v>1013</v>
      </c>
      <c r="G83" t="s">
        <v>50</v>
      </c>
      <c r="H83" t="s">
        <v>93</v>
      </c>
      <c r="I83" t="s">
        <v>441</v>
      </c>
      <c r="J83" t="s">
        <v>445</v>
      </c>
      <c r="K83">
        <v>806645</v>
      </c>
      <c r="L83" t="s">
        <v>382</v>
      </c>
      <c r="M83" t="s">
        <v>366</v>
      </c>
      <c r="N83" t="s">
        <v>1117</v>
      </c>
      <c r="O83" t="s">
        <v>56</v>
      </c>
      <c r="P83" s="1">
        <v>45613</v>
      </c>
      <c r="Q83" s="1">
        <v>45947</v>
      </c>
      <c r="R83" s="2">
        <v>41.29</v>
      </c>
      <c r="S83">
        <v>1</v>
      </c>
      <c r="T83" t="s">
        <v>57</v>
      </c>
      <c r="U83" t="s">
        <v>58</v>
      </c>
      <c r="V83" s="4">
        <v>0.7</v>
      </c>
      <c r="W83" s="2">
        <v>0</v>
      </c>
      <c r="X83">
        <v>0</v>
      </c>
      <c r="Y83" t="s">
        <v>70</v>
      </c>
      <c r="Z83" t="s">
        <v>60</v>
      </c>
      <c r="AA83">
        <v>0</v>
      </c>
      <c r="AB83" s="2">
        <v>0</v>
      </c>
      <c r="AC83" s="2">
        <v>0</v>
      </c>
      <c r="AD83" s="4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28.9</v>
      </c>
      <c r="AN83" s="2">
        <v>28.9</v>
      </c>
      <c r="AO83" s="2">
        <v>0</v>
      </c>
      <c r="AP83" s="2">
        <v>0</v>
      </c>
      <c r="AQ83" s="2">
        <v>0</v>
      </c>
    </row>
    <row r="84" spans="1:43" x14ac:dyDescent="0.25">
      <c r="A84" s="1">
        <v>45915</v>
      </c>
      <c r="B84" t="s">
        <v>47</v>
      </c>
      <c r="C84">
        <v>649163</v>
      </c>
      <c r="D84">
        <v>2028962513</v>
      </c>
      <c r="E84" t="s">
        <v>948</v>
      </c>
      <c r="F84" t="s">
        <v>260</v>
      </c>
      <c r="G84" t="s">
        <v>50</v>
      </c>
      <c r="H84" t="s">
        <v>151</v>
      </c>
      <c r="I84" t="s">
        <v>441</v>
      </c>
      <c r="J84" t="s">
        <v>445</v>
      </c>
      <c r="K84">
        <v>806645</v>
      </c>
      <c r="L84" t="s">
        <v>382</v>
      </c>
      <c r="M84" t="s">
        <v>366</v>
      </c>
      <c r="N84" t="s">
        <v>1117</v>
      </c>
      <c r="O84" t="s">
        <v>56</v>
      </c>
      <c r="P84" s="1">
        <v>45793</v>
      </c>
      <c r="Q84" s="1">
        <v>45946</v>
      </c>
      <c r="R84" s="2">
        <v>21.14</v>
      </c>
      <c r="S84">
        <v>1</v>
      </c>
      <c r="T84" t="s">
        <v>57</v>
      </c>
      <c r="U84" t="s">
        <v>58</v>
      </c>
      <c r="V84" s="4">
        <v>0.7</v>
      </c>
      <c r="W84" s="2">
        <v>0</v>
      </c>
      <c r="X84">
        <v>0</v>
      </c>
      <c r="Y84" t="s">
        <v>70</v>
      </c>
      <c r="Z84" t="s">
        <v>60</v>
      </c>
      <c r="AA84">
        <v>0</v>
      </c>
      <c r="AB84" s="2">
        <v>0</v>
      </c>
      <c r="AC84" s="2">
        <v>0</v>
      </c>
      <c r="AD84" s="4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14.8</v>
      </c>
      <c r="AN84" s="2">
        <v>14.8</v>
      </c>
      <c r="AO84" s="2">
        <v>0</v>
      </c>
      <c r="AP84" s="2">
        <v>0</v>
      </c>
      <c r="AQ84" s="2">
        <v>0</v>
      </c>
    </row>
    <row r="85" spans="1:43" x14ac:dyDescent="0.25">
      <c r="A85" s="1">
        <v>45915</v>
      </c>
      <c r="B85" t="s">
        <v>47</v>
      </c>
      <c r="C85">
        <v>649163</v>
      </c>
      <c r="D85">
        <v>2028963797</v>
      </c>
      <c r="E85" t="s">
        <v>851</v>
      </c>
      <c r="F85" t="s">
        <v>850</v>
      </c>
      <c r="G85" t="s">
        <v>50</v>
      </c>
      <c r="H85" t="s">
        <v>93</v>
      </c>
      <c r="I85" t="s">
        <v>441</v>
      </c>
      <c r="J85" t="s">
        <v>445</v>
      </c>
      <c r="K85">
        <v>806645</v>
      </c>
      <c r="L85" t="s">
        <v>382</v>
      </c>
      <c r="M85" t="s">
        <v>366</v>
      </c>
      <c r="N85" t="s">
        <v>1117</v>
      </c>
      <c r="O85" t="s">
        <v>56</v>
      </c>
      <c r="P85" s="1">
        <v>45793</v>
      </c>
      <c r="Q85" s="1">
        <v>45946</v>
      </c>
      <c r="R85" s="2">
        <v>11.5</v>
      </c>
      <c r="S85">
        <v>1</v>
      </c>
      <c r="T85" t="s">
        <v>57</v>
      </c>
      <c r="U85" t="s">
        <v>58</v>
      </c>
      <c r="V85" s="4">
        <v>0.7</v>
      </c>
      <c r="W85" s="2">
        <v>0</v>
      </c>
      <c r="X85">
        <v>0</v>
      </c>
      <c r="Y85" t="s">
        <v>70</v>
      </c>
      <c r="Z85" t="s">
        <v>60</v>
      </c>
      <c r="AA85">
        <v>0</v>
      </c>
      <c r="AB85" s="2">
        <v>0</v>
      </c>
      <c r="AC85" s="2">
        <v>0</v>
      </c>
      <c r="AD85" s="4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8.0500000000000007</v>
      </c>
      <c r="AN85" s="2">
        <v>8.0500000000000007</v>
      </c>
      <c r="AO85" s="2">
        <v>0</v>
      </c>
      <c r="AP85" s="2">
        <v>0</v>
      </c>
      <c r="AQ85" s="2">
        <v>0</v>
      </c>
    </row>
    <row r="86" spans="1:43" x14ac:dyDescent="0.25">
      <c r="A86" s="1">
        <v>45915</v>
      </c>
      <c r="B86" t="s">
        <v>47</v>
      </c>
      <c r="C86">
        <v>649163</v>
      </c>
      <c r="D86">
        <v>2028445565</v>
      </c>
      <c r="E86" t="s">
        <v>869</v>
      </c>
      <c r="F86" t="s">
        <v>556</v>
      </c>
      <c r="G86" t="s">
        <v>50</v>
      </c>
      <c r="H86" t="s">
        <v>93</v>
      </c>
      <c r="I86" t="s">
        <v>306</v>
      </c>
      <c r="J86" t="s">
        <v>307</v>
      </c>
      <c r="K86">
        <v>806645</v>
      </c>
      <c r="L86" t="s">
        <v>382</v>
      </c>
      <c r="M86" t="s">
        <v>366</v>
      </c>
      <c r="N86" t="s">
        <v>1117</v>
      </c>
      <c r="O86" t="s">
        <v>56</v>
      </c>
      <c r="P86" s="1">
        <v>45764</v>
      </c>
      <c r="Q86" s="1">
        <v>45947</v>
      </c>
      <c r="R86" s="2">
        <v>32.520000000000003</v>
      </c>
      <c r="S86">
        <v>1</v>
      </c>
      <c r="T86" t="s">
        <v>57</v>
      </c>
      <c r="U86" t="s">
        <v>58</v>
      </c>
      <c r="V86" s="3">
        <v>0.375</v>
      </c>
      <c r="W86" s="2">
        <v>0</v>
      </c>
      <c r="X86">
        <v>0</v>
      </c>
      <c r="Y86" t="s">
        <v>70</v>
      </c>
      <c r="Z86" t="s">
        <v>60</v>
      </c>
      <c r="AA86">
        <v>0</v>
      </c>
      <c r="AB86" s="2">
        <v>0</v>
      </c>
      <c r="AC86" s="2">
        <v>0</v>
      </c>
      <c r="AD86" s="4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12.2</v>
      </c>
      <c r="AN86" s="2">
        <v>12.2</v>
      </c>
      <c r="AO86" s="2">
        <v>0</v>
      </c>
      <c r="AP86" s="2">
        <v>0</v>
      </c>
      <c r="AQ86" s="2">
        <v>0</v>
      </c>
    </row>
    <row r="87" spans="1:43" x14ac:dyDescent="0.25">
      <c r="A87" s="1">
        <v>45915</v>
      </c>
      <c r="B87" t="s">
        <v>47</v>
      </c>
      <c r="C87">
        <v>649163</v>
      </c>
      <c r="D87">
        <v>2028963798</v>
      </c>
      <c r="E87" t="s">
        <v>851</v>
      </c>
      <c r="F87" t="s">
        <v>850</v>
      </c>
      <c r="G87" t="s">
        <v>50</v>
      </c>
      <c r="H87" t="s">
        <v>93</v>
      </c>
      <c r="I87" t="s">
        <v>306</v>
      </c>
      <c r="J87" t="s">
        <v>307</v>
      </c>
      <c r="K87">
        <v>806645</v>
      </c>
      <c r="L87" t="s">
        <v>382</v>
      </c>
      <c r="M87" t="s">
        <v>366</v>
      </c>
      <c r="N87" t="s">
        <v>1117</v>
      </c>
      <c r="O87" t="s">
        <v>56</v>
      </c>
      <c r="P87" s="1">
        <v>45793</v>
      </c>
      <c r="Q87" s="1">
        <v>45946</v>
      </c>
      <c r="R87" s="2">
        <v>57.19</v>
      </c>
      <c r="S87">
        <v>1</v>
      </c>
      <c r="T87" t="s">
        <v>57</v>
      </c>
      <c r="U87" t="s">
        <v>58</v>
      </c>
      <c r="V87" s="3">
        <v>0.375</v>
      </c>
      <c r="W87" s="2">
        <v>0</v>
      </c>
      <c r="X87">
        <v>0</v>
      </c>
      <c r="Y87" t="s">
        <v>70</v>
      </c>
      <c r="Z87" t="s">
        <v>60</v>
      </c>
      <c r="AA87">
        <v>0</v>
      </c>
      <c r="AB87" s="2">
        <v>0</v>
      </c>
      <c r="AC87" s="2">
        <v>0</v>
      </c>
      <c r="AD87" s="4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21.45</v>
      </c>
      <c r="AN87" s="2">
        <v>21.45</v>
      </c>
      <c r="AO87" s="2">
        <v>0</v>
      </c>
      <c r="AP87" s="2">
        <v>0</v>
      </c>
      <c r="AQ87" s="2">
        <v>0</v>
      </c>
    </row>
    <row r="88" spans="1:43" x14ac:dyDescent="0.25">
      <c r="A88" s="1">
        <v>45922</v>
      </c>
      <c r="B88" t="s">
        <v>47</v>
      </c>
      <c r="C88">
        <v>649163</v>
      </c>
      <c r="D88">
        <v>2029073662</v>
      </c>
      <c r="E88" t="s">
        <v>86</v>
      </c>
      <c r="F88" t="s">
        <v>87</v>
      </c>
      <c r="G88" t="s">
        <v>50</v>
      </c>
      <c r="H88" t="s">
        <v>77</v>
      </c>
      <c r="I88" t="s">
        <v>52</v>
      </c>
      <c r="J88" t="s">
        <v>88</v>
      </c>
      <c r="K88">
        <v>821015</v>
      </c>
      <c r="L88" t="s">
        <v>89</v>
      </c>
      <c r="M88" t="s">
        <v>90</v>
      </c>
      <c r="N88" t="s">
        <v>1104</v>
      </c>
      <c r="O88" t="s">
        <v>56</v>
      </c>
      <c r="P88" s="1">
        <v>45801</v>
      </c>
      <c r="Q88" s="1">
        <v>45954</v>
      </c>
      <c r="R88" s="2">
        <v>50.6</v>
      </c>
      <c r="S88">
        <v>1</v>
      </c>
      <c r="T88" t="s">
        <v>57</v>
      </c>
      <c r="U88" t="s">
        <v>58</v>
      </c>
      <c r="V88" s="4">
        <v>0.6</v>
      </c>
      <c r="W88" s="2">
        <v>0</v>
      </c>
      <c r="X88">
        <v>0</v>
      </c>
      <c r="Y88" t="s">
        <v>70</v>
      </c>
      <c r="Z88" t="s">
        <v>60</v>
      </c>
      <c r="AA88">
        <v>0</v>
      </c>
      <c r="AB88" s="2">
        <v>0</v>
      </c>
      <c r="AC88" s="2">
        <v>0</v>
      </c>
      <c r="AD88" s="4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30.36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</row>
    <row r="89" spans="1:43" x14ac:dyDescent="0.25">
      <c r="A89" s="1">
        <v>45922</v>
      </c>
      <c r="B89" t="s">
        <v>47</v>
      </c>
      <c r="C89">
        <v>649163</v>
      </c>
      <c r="D89">
        <v>2027798220</v>
      </c>
      <c r="E89" t="s">
        <v>365</v>
      </c>
      <c r="F89" t="s">
        <v>366</v>
      </c>
      <c r="G89" t="s">
        <v>50</v>
      </c>
      <c r="H89" t="s">
        <v>93</v>
      </c>
      <c r="I89" t="s">
        <v>306</v>
      </c>
      <c r="J89" t="s">
        <v>307</v>
      </c>
      <c r="K89">
        <v>821015</v>
      </c>
      <c r="L89" t="s">
        <v>89</v>
      </c>
      <c r="M89" t="s">
        <v>90</v>
      </c>
      <c r="N89" t="s">
        <v>1104</v>
      </c>
      <c r="O89" t="s">
        <v>56</v>
      </c>
      <c r="P89" s="1">
        <v>45736</v>
      </c>
      <c r="Q89" s="1">
        <v>45950</v>
      </c>
      <c r="R89" s="2">
        <v>48.61</v>
      </c>
      <c r="S89">
        <v>1</v>
      </c>
      <c r="T89" t="s">
        <v>57</v>
      </c>
      <c r="U89" t="s">
        <v>58</v>
      </c>
      <c r="V89" s="3">
        <v>0.375</v>
      </c>
      <c r="W89" s="2">
        <v>0</v>
      </c>
      <c r="X89">
        <v>0</v>
      </c>
      <c r="Y89" t="s">
        <v>70</v>
      </c>
      <c r="Z89" t="s">
        <v>60</v>
      </c>
      <c r="AA89">
        <v>0</v>
      </c>
      <c r="AB89" s="2">
        <v>0</v>
      </c>
      <c r="AC89" s="2">
        <v>0</v>
      </c>
      <c r="AD89" s="4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18.23</v>
      </c>
      <c r="AN89" s="2">
        <v>18.23</v>
      </c>
      <c r="AO89" s="2">
        <v>0</v>
      </c>
      <c r="AP89" s="2">
        <v>0</v>
      </c>
      <c r="AQ89" s="2">
        <v>0</v>
      </c>
    </row>
    <row r="90" spans="1:43" x14ac:dyDescent="0.25">
      <c r="A90" s="1">
        <v>45922</v>
      </c>
      <c r="B90" t="s">
        <v>47</v>
      </c>
      <c r="C90">
        <v>649163</v>
      </c>
      <c r="D90">
        <v>2027798219</v>
      </c>
      <c r="E90" t="s">
        <v>365</v>
      </c>
      <c r="F90" t="s">
        <v>366</v>
      </c>
      <c r="G90" t="s">
        <v>50</v>
      </c>
      <c r="H90" t="s">
        <v>93</v>
      </c>
      <c r="I90" t="s">
        <v>441</v>
      </c>
      <c r="J90" t="s">
        <v>445</v>
      </c>
      <c r="K90">
        <v>821015</v>
      </c>
      <c r="L90" t="s">
        <v>89</v>
      </c>
      <c r="M90" t="s">
        <v>90</v>
      </c>
      <c r="N90" t="s">
        <v>1104</v>
      </c>
      <c r="O90" t="s">
        <v>56</v>
      </c>
      <c r="P90" s="1">
        <v>45736</v>
      </c>
      <c r="Q90" s="1">
        <v>45950</v>
      </c>
      <c r="R90" s="2">
        <v>77.52</v>
      </c>
      <c r="S90">
        <v>1</v>
      </c>
      <c r="T90" t="s">
        <v>57</v>
      </c>
      <c r="U90" t="s">
        <v>58</v>
      </c>
      <c r="V90" s="4">
        <v>0.7</v>
      </c>
      <c r="W90" s="2">
        <v>0</v>
      </c>
      <c r="X90">
        <v>0</v>
      </c>
      <c r="Y90" t="s">
        <v>70</v>
      </c>
      <c r="Z90" t="s">
        <v>60</v>
      </c>
      <c r="AA90">
        <v>0</v>
      </c>
      <c r="AB90" s="2">
        <v>0</v>
      </c>
      <c r="AC90" s="2">
        <v>0</v>
      </c>
      <c r="AD90" s="4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54.26</v>
      </c>
      <c r="AN90" s="2">
        <v>54.26</v>
      </c>
      <c r="AO90" s="2">
        <v>0</v>
      </c>
      <c r="AP90" s="2">
        <v>0</v>
      </c>
      <c r="AQ90" s="2">
        <v>0</v>
      </c>
    </row>
    <row r="91" spans="1:43" x14ac:dyDescent="0.25">
      <c r="A91" s="1">
        <v>45922</v>
      </c>
      <c r="B91" t="s">
        <v>47</v>
      </c>
      <c r="C91">
        <v>649163</v>
      </c>
      <c r="D91">
        <v>2029073661</v>
      </c>
      <c r="E91" t="s">
        <v>86</v>
      </c>
      <c r="F91" t="s">
        <v>87</v>
      </c>
      <c r="G91" t="s">
        <v>50</v>
      </c>
      <c r="H91" t="s">
        <v>77</v>
      </c>
      <c r="I91" t="s">
        <v>441</v>
      </c>
      <c r="J91" t="s">
        <v>445</v>
      </c>
      <c r="K91">
        <v>821015</v>
      </c>
      <c r="L91" t="s">
        <v>89</v>
      </c>
      <c r="M91" t="s">
        <v>90</v>
      </c>
      <c r="N91" t="s">
        <v>1104</v>
      </c>
      <c r="O91" t="s">
        <v>56</v>
      </c>
      <c r="P91" s="1">
        <v>45801</v>
      </c>
      <c r="Q91" s="1">
        <v>45954</v>
      </c>
      <c r="R91" s="2">
        <v>26.32</v>
      </c>
      <c r="S91">
        <v>1</v>
      </c>
      <c r="T91" t="s">
        <v>57</v>
      </c>
      <c r="U91" t="s">
        <v>58</v>
      </c>
      <c r="V91" s="4">
        <v>0.7</v>
      </c>
      <c r="W91" s="2">
        <v>0</v>
      </c>
      <c r="X91">
        <v>0</v>
      </c>
      <c r="Y91" t="s">
        <v>70</v>
      </c>
      <c r="Z91" t="s">
        <v>60</v>
      </c>
      <c r="AA91">
        <v>0</v>
      </c>
      <c r="AB91" s="2">
        <v>0</v>
      </c>
      <c r="AC91" s="2">
        <v>0</v>
      </c>
      <c r="AD91" s="4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18.420000000000002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</row>
    <row r="92" spans="1:43" x14ac:dyDescent="0.25">
      <c r="A92" s="1">
        <v>45915</v>
      </c>
      <c r="B92" t="s">
        <v>47</v>
      </c>
      <c r="C92">
        <v>649163</v>
      </c>
      <c r="D92">
        <v>2028935096</v>
      </c>
      <c r="E92" t="s">
        <v>958</v>
      </c>
      <c r="F92" t="s">
        <v>957</v>
      </c>
      <c r="G92" t="s">
        <v>50</v>
      </c>
      <c r="H92" t="s">
        <v>151</v>
      </c>
      <c r="I92" t="s">
        <v>106</v>
      </c>
      <c r="J92" t="s">
        <v>184</v>
      </c>
      <c r="K92">
        <v>821015</v>
      </c>
      <c r="L92" t="s">
        <v>89</v>
      </c>
      <c r="M92" t="s">
        <v>90</v>
      </c>
      <c r="N92" t="s">
        <v>1104</v>
      </c>
      <c r="O92" t="s">
        <v>56</v>
      </c>
      <c r="P92" s="1">
        <v>45792</v>
      </c>
      <c r="Q92" s="1">
        <v>45945</v>
      </c>
      <c r="R92" s="2">
        <v>50.98</v>
      </c>
      <c r="S92">
        <v>1</v>
      </c>
      <c r="T92" t="s">
        <v>57</v>
      </c>
      <c r="U92" t="s">
        <v>58</v>
      </c>
      <c r="V92" s="4">
        <v>0.75</v>
      </c>
      <c r="W92" s="2">
        <v>0</v>
      </c>
      <c r="X92">
        <v>0</v>
      </c>
      <c r="Y92" t="s">
        <v>70</v>
      </c>
      <c r="Z92" t="s">
        <v>60</v>
      </c>
      <c r="AA92">
        <v>0</v>
      </c>
      <c r="AB92" s="2">
        <v>0</v>
      </c>
      <c r="AC92" s="2">
        <v>0</v>
      </c>
      <c r="AD92" s="4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38.24</v>
      </c>
      <c r="AN92" s="2">
        <v>38.24</v>
      </c>
      <c r="AO92" s="2">
        <v>0</v>
      </c>
      <c r="AP92" s="2">
        <v>0</v>
      </c>
      <c r="AQ92" s="2">
        <v>0</v>
      </c>
    </row>
    <row r="93" spans="1:43" x14ac:dyDescent="0.25">
      <c r="A93" s="1">
        <v>45915</v>
      </c>
      <c r="B93" t="s">
        <v>47</v>
      </c>
      <c r="C93">
        <v>649163</v>
      </c>
      <c r="D93">
        <v>2028935095</v>
      </c>
      <c r="E93" t="s">
        <v>958</v>
      </c>
      <c r="F93" t="s">
        <v>957</v>
      </c>
      <c r="G93" t="s">
        <v>50</v>
      </c>
      <c r="H93" t="s">
        <v>151</v>
      </c>
      <c r="I93" t="s">
        <v>441</v>
      </c>
      <c r="J93" t="s">
        <v>445</v>
      </c>
      <c r="K93">
        <v>821015</v>
      </c>
      <c r="L93" t="s">
        <v>89</v>
      </c>
      <c r="M93" t="s">
        <v>90</v>
      </c>
      <c r="N93" t="s">
        <v>1104</v>
      </c>
      <c r="O93" t="s">
        <v>56</v>
      </c>
      <c r="P93" s="1">
        <v>45792</v>
      </c>
      <c r="Q93" s="1">
        <v>45945</v>
      </c>
      <c r="R93" s="2">
        <v>10.71</v>
      </c>
      <c r="S93">
        <v>1</v>
      </c>
      <c r="T93" t="s">
        <v>57</v>
      </c>
      <c r="U93" t="s">
        <v>58</v>
      </c>
      <c r="V93" s="4">
        <v>0.7</v>
      </c>
      <c r="W93" s="2">
        <v>0</v>
      </c>
      <c r="X93">
        <v>0</v>
      </c>
      <c r="Y93" t="s">
        <v>70</v>
      </c>
      <c r="Z93" t="s">
        <v>60</v>
      </c>
      <c r="AA93">
        <v>0</v>
      </c>
      <c r="AB93" s="2">
        <v>0</v>
      </c>
      <c r="AC93" s="2">
        <v>0</v>
      </c>
      <c r="AD93" s="4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7.5</v>
      </c>
      <c r="AN93" s="2">
        <v>7.5</v>
      </c>
      <c r="AO93" s="2">
        <v>0</v>
      </c>
      <c r="AP93" s="2">
        <v>0</v>
      </c>
      <c r="AQ93" s="2">
        <v>0</v>
      </c>
    </row>
    <row r="94" spans="1:43" x14ac:dyDescent="0.25">
      <c r="A94" s="1">
        <v>45922</v>
      </c>
      <c r="B94" t="s">
        <v>47</v>
      </c>
      <c r="C94">
        <v>649163</v>
      </c>
      <c r="D94">
        <v>2025842066</v>
      </c>
      <c r="E94" t="s">
        <v>357</v>
      </c>
      <c r="F94" t="s">
        <v>303</v>
      </c>
      <c r="G94" t="s">
        <v>50</v>
      </c>
      <c r="H94" t="s">
        <v>93</v>
      </c>
      <c r="I94" t="s">
        <v>441</v>
      </c>
      <c r="J94" t="s">
        <v>445</v>
      </c>
      <c r="K94">
        <v>768271</v>
      </c>
      <c r="L94" t="s">
        <v>471</v>
      </c>
      <c r="M94" t="s">
        <v>92</v>
      </c>
      <c r="N94" t="s">
        <v>1123</v>
      </c>
      <c r="O94" t="s">
        <v>56</v>
      </c>
      <c r="P94" s="1">
        <v>45616</v>
      </c>
      <c r="Q94" s="1">
        <v>45950</v>
      </c>
      <c r="R94" s="2">
        <v>74.58</v>
      </c>
      <c r="S94">
        <v>1</v>
      </c>
      <c r="T94" t="s">
        <v>57</v>
      </c>
      <c r="U94" t="s">
        <v>58</v>
      </c>
      <c r="V94" s="4">
        <v>0.7</v>
      </c>
      <c r="W94" s="2">
        <v>0</v>
      </c>
      <c r="X94">
        <v>0</v>
      </c>
      <c r="Y94" t="s">
        <v>70</v>
      </c>
      <c r="Z94" t="s">
        <v>60</v>
      </c>
      <c r="AA94">
        <v>0</v>
      </c>
      <c r="AB94" s="2">
        <v>0</v>
      </c>
      <c r="AC94" s="2">
        <v>0</v>
      </c>
      <c r="AD94" s="4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52.21</v>
      </c>
      <c r="AN94" s="2">
        <v>52.21</v>
      </c>
      <c r="AO94" s="2">
        <v>0</v>
      </c>
      <c r="AP94" s="2">
        <v>0</v>
      </c>
      <c r="AQ94" s="2">
        <v>0</v>
      </c>
    </row>
    <row r="95" spans="1:43" x14ac:dyDescent="0.25">
      <c r="A95" s="1">
        <v>45922</v>
      </c>
      <c r="B95" t="s">
        <v>47</v>
      </c>
      <c r="C95">
        <v>649163</v>
      </c>
      <c r="D95">
        <v>2026740151</v>
      </c>
      <c r="E95" t="s">
        <v>71</v>
      </c>
      <c r="F95" t="s">
        <v>72</v>
      </c>
      <c r="G95" t="s">
        <v>50</v>
      </c>
      <c r="H95" t="s">
        <v>51</v>
      </c>
      <c r="I95" t="s">
        <v>52</v>
      </c>
      <c r="J95" t="s">
        <v>53</v>
      </c>
      <c r="K95">
        <v>650218</v>
      </c>
      <c r="L95" t="s">
        <v>73</v>
      </c>
      <c r="M95" t="s">
        <v>74</v>
      </c>
      <c r="N95" t="s">
        <v>1097</v>
      </c>
      <c r="O95" t="s">
        <v>56</v>
      </c>
      <c r="P95" s="1">
        <v>45681</v>
      </c>
      <c r="Q95" s="1">
        <v>45954</v>
      </c>
      <c r="R95" s="2">
        <v>40.159999999999997</v>
      </c>
      <c r="S95">
        <v>1</v>
      </c>
      <c r="T95" t="s">
        <v>57</v>
      </c>
      <c r="U95" t="s">
        <v>58</v>
      </c>
      <c r="V95" s="4">
        <v>0.6</v>
      </c>
      <c r="W95" s="2">
        <v>0</v>
      </c>
      <c r="X95">
        <v>0</v>
      </c>
      <c r="Y95" t="s">
        <v>70</v>
      </c>
      <c r="Z95" t="s">
        <v>60</v>
      </c>
      <c r="AA95">
        <v>0</v>
      </c>
      <c r="AB95" s="2">
        <v>0</v>
      </c>
      <c r="AC95" s="2">
        <v>0</v>
      </c>
      <c r="AD95" s="4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24.1</v>
      </c>
      <c r="AN95" s="2">
        <v>24.1</v>
      </c>
      <c r="AO95" s="2">
        <v>0</v>
      </c>
      <c r="AP95" s="2">
        <v>0</v>
      </c>
      <c r="AQ95" s="2">
        <v>0</v>
      </c>
    </row>
    <row r="96" spans="1:43" x14ac:dyDescent="0.25">
      <c r="A96" s="1">
        <v>45922</v>
      </c>
      <c r="B96" t="s">
        <v>47</v>
      </c>
      <c r="C96">
        <v>649163</v>
      </c>
      <c r="D96">
        <v>2026146812</v>
      </c>
      <c r="E96" t="s">
        <v>253</v>
      </c>
      <c r="F96" t="s">
        <v>254</v>
      </c>
      <c r="G96" t="s">
        <v>50</v>
      </c>
      <c r="H96" t="s">
        <v>255</v>
      </c>
      <c r="I96" t="s">
        <v>243</v>
      </c>
      <c r="J96" t="s">
        <v>249</v>
      </c>
      <c r="K96">
        <v>650218</v>
      </c>
      <c r="L96" t="s">
        <v>73</v>
      </c>
      <c r="M96" t="s">
        <v>74</v>
      </c>
      <c r="N96" t="s">
        <v>1097</v>
      </c>
      <c r="O96" t="s">
        <v>56</v>
      </c>
      <c r="P96" s="1">
        <v>45658</v>
      </c>
      <c r="Q96" s="1">
        <v>45931</v>
      </c>
      <c r="R96" s="2">
        <v>15</v>
      </c>
      <c r="S96">
        <v>1</v>
      </c>
      <c r="T96" t="s">
        <v>57</v>
      </c>
      <c r="U96" t="s">
        <v>58</v>
      </c>
      <c r="V96" s="4">
        <v>0.38</v>
      </c>
      <c r="W96" s="2">
        <v>0</v>
      </c>
      <c r="X96">
        <v>0</v>
      </c>
      <c r="Y96" t="s">
        <v>70</v>
      </c>
      <c r="Z96" t="s">
        <v>60</v>
      </c>
      <c r="AA96">
        <v>0</v>
      </c>
      <c r="AB96" s="2">
        <v>0</v>
      </c>
      <c r="AC96" s="2">
        <v>0</v>
      </c>
      <c r="AD96" s="4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5.7</v>
      </c>
      <c r="AN96" s="2">
        <v>5.7</v>
      </c>
      <c r="AO96" s="2">
        <v>0</v>
      </c>
      <c r="AP96" s="2">
        <v>0</v>
      </c>
      <c r="AQ96" s="2">
        <v>0</v>
      </c>
    </row>
    <row r="97" spans="1:43" x14ac:dyDescent="0.25">
      <c r="A97" s="1">
        <v>45922</v>
      </c>
      <c r="B97" t="s">
        <v>47</v>
      </c>
      <c r="C97">
        <v>649163</v>
      </c>
      <c r="D97">
        <v>2029021816</v>
      </c>
      <c r="E97" t="s">
        <v>267</v>
      </c>
      <c r="F97" t="s">
        <v>268</v>
      </c>
      <c r="G97" t="s">
        <v>50</v>
      </c>
      <c r="H97" t="s">
        <v>151</v>
      </c>
      <c r="I97" t="s">
        <v>243</v>
      </c>
      <c r="J97" t="s">
        <v>249</v>
      </c>
      <c r="K97">
        <v>650218</v>
      </c>
      <c r="L97" t="s">
        <v>73</v>
      </c>
      <c r="M97" t="s">
        <v>74</v>
      </c>
      <c r="N97" t="s">
        <v>1097</v>
      </c>
      <c r="O97" t="s">
        <v>56</v>
      </c>
      <c r="P97" s="1">
        <v>45797</v>
      </c>
      <c r="Q97" s="1">
        <v>45950</v>
      </c>
      <c r="R97" s="2">
        <v>15</v>
      </c>
      <c r="S97">
        <v>1</v>
      </c>
      <c r="T97" t="s">
        <v>57</v>
      </c>
      <c r="U97" t="s">
        <v>58</v>
      </c>
      <c r="V97" s="4">
        <v>0.38</v>
      </c>
      <c r="W97" s="2">
        <v>0</v>
      </c>
      <c r="X97">
        <v>0</v>
      </c>
      <c r="Y97" t="s">
        <v>70</v>
      </c>
      <c r="Z97" t="s">
        <v>60</v>
      </c>
      <c r="AA97">
        <v>0</v>
      </c>
      <c r="AB97" s="2">
        <v>0</v>
      </c>
      <c r="AC97" s="2">
        <v>0</v>
      </c>
      <c r="AD97" s="4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5.7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</row>
    <row r="98" spans="1:43" x14ac:dyDescent="0.25">
      <c r="A98" s="1">
        <v>45922</v>
      </c>
      <c r="B98" t="s">
        <v>47</v>
      </c>
      <c r="C98">
        <v>649163</v>
      </c>
      <c r="D98">
        <v>2030093006</v>
      </c>
      <c r="E98" t="s">
        <v>275</v>
      </c>
      <c r="F98" t="s">
        <v>276</v>
      </c>
      <c r="G98" t="s">
        <v>50</v>
      </c>
      <c r="H98" t="s">
        <v>115</v>
      </c>
      <c r="I98" t="s">
        <v>243</v>
      </c>
      <c r="J98" t="s">
        <v>261</v>
      </c>
      <c r="K98">
        <v>650218</v>
      </c>
      <c r="L98" t="s">
        <v>73</v>
      </c>
      <c r="M98" t="s">
        <v>74</v>
      </c>
      <c r="N98" t="s">
        <v>1097</v>
      </c>
      <c r="O98" t="s">
        <v>56</v>
      </c>
      <c r="P98" s="1">
        <v>45861</v>
      </c>
      <c r="Q98" s="1">
        <v>45953</v>
      </c>
      <c r="R98" s="2">
        <v>15</v>
      </c>
      <c r="S98">
        <v>1</v>
      </c>
      <c r="T98" t="s">
        <v>57</v>
      </c>
      <c r="U98" t="s">
        <v>58</v>
      </c>
      <c r="V98" s="4">
        <v>0.38</v>
      </c>
      <c r="W98" s="2">
        <v>0</v>
      </c>
      <c r="X98">
        <v>0</v>
      </c>
      <c r="Y98" t="s">
        <v>70</v>
      </c>
      <c r="Z98" t="s">
        <v>60</v>
      </c>
      <c r="AA98">
        <v>0</v>
      </c>
      <c r="AB98" s="2">
        <v>0</v>
      </c>
      <c r="AC98" s="2">
        <v>0</v>
      </c>
      <c r="AD98" s="4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5.7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</row>
    <row r="99" spans="1:43" x14ac:dyDescent="0.25">
      <c r="A99" s="1">
        <v>45922</v>
      </c>
      <c r="B99" t="s">
        <v>47</v>
      </c>
      <c r="C99">
        <v>649163</v>
      </c>
      <c r="D99">
        <v>2026146810</v>
      </c>
      <c r="E99" t="s">
        <v>253</v>
      </c>
      <c r="F99" t="s">
        <v>254</v>
      </c>
      <c r="G99" t="s">
        <v>50</v>
      </c>
      <c r="H99" t="s">
        <v>255</v>
      </c>
      <c r="I99" t="s">
        <v>306</v>
      </c>
      <c r="J99" t="s">
        <v>307</v>
      </c>
      <c r="K99">
        <v>650218</v>
      </c>
      <c r="L99" t="s">
        <v>73</v>
      </c>
      <c r="M99" t="s">
        <v>74</v>
      </c>
      <c r="N99" t="s">
        <v>1097</v>
      </c>
      <c r="O99" t="s">
        <v>56</v>
      </c>
      <c r="P99" s="1">
        <v>45658</v>
      </c>
      <c r="Q99" s="1">
        <v>45931</v>
      </c>
      <c r="R99" s="2">
        <v>57.77</v>
      </c>
      <c r="S99">
        <v>1</v>
      </c>
      <c r="T99" t="s">
        <v>57</v>
      </c>
      <c r="U99" t="s">
        <v>58</v>
      </c>
      <c r="V99" s="3">
        <v>0.375</v>
      </c>
      <c r="W99" s="2">
        <v>0</v>
      </c>
      <c r="X99">
        <v>0</v>
      </c>
      <c r="Y99" t="s">
        <v>70</v>
      </c>
      <c r="Z99" t="s">
        <v>60</v>
      </c>
      <c r="AA99">
        <v>0</v>
      </c>
      <c r="AB99" s="2">
        <v>0</v>
      </c>
      <c r="AC99" s="2">
        <v>0</v>
      </c>
      <c r="AD99" s="4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21.66</v>
      </c>
      <c r="AN99" s="2">
        <v>21.66</v>
      </c>
      <c r="AO99" s="2">
        <v>0</v>
      </c>
      <c r="AP99" s="2">
        <v>0</v>
      </c>
      <c r="AQ99" s="2">
        <v>0</v>
      </c>
    </row>
    <row r="100" spans="1:43" x14ac:dyDescent="0.25">
      <c r="A100" s="1">
        <v>45922</v>
      </c>
      <c r="B100" t="s">
        <v>47</v>
      </c>
      <c r="C100">
        <v>649163</v>
      </c>
      <c r="D100">
        <v>2029021815</v>
      </c>
      <c r="E100" t="s">
        <v>267</v>
      </c>
      <c r="F100" t="s">
        <v>268</v>
      </c>
      <c r="G100" t="s">
        <v>50</v>
      </c>
      <c r="H100" t="s">
        <v>151</v>
      </c>
      <c r="I100" t="s">
        <v>306</v>
      </c>
      <c r="J100" t="s">
        <v>307</v>
      </c>
      <c r="K100">
        <v>650218</v>
      </c>
      <c r="L100" t="s">
        <v>73</v>
      </c>
      <c r="M100" t="s">
        <v>74</v>
      </c>
      <c r="N100" t="s">
        <v>1097</v>
      </c>
      <c r="O100" t="s">
        <v>56</v>
      </c>
      <c r="P100" s="1">
        <v>45797</v>
      </c>
      <c r="Q100" s="1">
        <v>45950</v>
      </c>
      <c r="R100" s="2">
        <v>37.130000000000003</v>
      </c>
      <c r="S100">
        <v>1</v>
      </c>
      <c r="T100" t="s">
        <v>57</v>
      </c>
      <c r="U100" t="s">
        <v>58</v>
      </c>
      <c r="V100" s="3">
        <v>0.375</v>
      </c>
      <c r="W100" s="2">
        <v>0</v>
      </c>
      <c r="X100">
        <v>0</v>
      </c>
      <c r="Y100" t="s">
        <v>70</v>
      </c>
      <c r="Z100" t="s">
        <v>60</v>
      </c>
      <c r="AA100">
        <v>0</v>
      </c>
      <c r="AB100" s="2">
        <v>0</v>
      </c>
      <c r="AC100" s="2">
        <v>0</v>
      </c>
      <c r="AD100" s="4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13.92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45922</v>
      </c>
      <c r="B101" t="s">
        <v>47</v>
      </c>
      <c r="C101">
        <v>649163</v>
      </c>
      <c r="D101">
        <v>2030670142</v>
      </c>
      <c r="E101" t="s">
        <v>412</v>
      </c>
      <c r="F101" t="s">
        <v>413</v>
      </c>
      <c r="G101" t="s">
        <v>50</v>
      </c>
      <c r="H101" t="s">
        <v>51</v>
      </c>
      <c r="I101" t="s">
        <v>306</v>
      </c>
      <c r="J101" t="s">
        <v>307</v>
      </c>
      <c r="K101">
        <v>650218</v>
      </c>
      <c r="L101" t="s">
        <v>73</v>
      </c>
      <c r="M101" t="s">
        <v>74</v>
      </c>
      <c r="N101" t="s">
        <v>1097</v>
      </c>
      <c r="O101" t="s">
        <v>56</v>
      </c>
      <c r="P101" s="1">
        <v>45895</v>
      </c>
      <c r="Q101" s="1">
        <v>45956</v>
      </c>
      <c r="R101" s="2">
        <v>36.11</v>
      </c>
      <c r="S101">
        <v>1</v>
      </c>
      <c r="T101" t="s">
        <v>57</v>
      </c>
      <c r="U101" t="s">
        <v>58</v>
      </c>
      <c r="V101" s="3">
        <v>0.375</v>
      </c>
      <c r="W101" s="2">
        <v>0</v>
      </c>
      <c r="X101">
        <v>0</v>
      </c>
      <c r="Y101" t="s">
        <v>70</v>
      </c>
      <c r="Z101" t="s">
        <v>60</v>
      </c>
      <c r="AA101">
        <v>0</v>
      </c>
      <c r="AB101" s="2">
        <v>0</v>
      </c>
      <c r="AC101" s="2">
        <v>0</v>
      </c>
      <c r="AD101" s="4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13.54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45922</v>
      </c>
      <c r="B102" t="s">
        <v>47</v>
      </c>
      <c r="C102">
        <v>649163</v>
      </c>
      <c r="D102">
        <v>2026146811</v>
      </c>
      <c r="E102" t="s">
        <v>253</v>
      </c>
      <c r="F102" t="s">
        <v>254</v>
      </c>
      <c r="G102" t="s">
        <v>50</v>
      </c>
      <c r="H102" t="s">
        <v>255</v>
      </c>
      <c r="I102" t="s">
        <v>430</v>
      </c>
      <c r="J102" t="s">
        <v>431</v>
      </c>
      <c r="K102">
        <v>650218</v>
      </c>
      <c r="L102" t="s">
        <v>73</v>
      </c>
      <c r="M102" t="s">
        <v>74</v>
      </c>
      <c r="N102" t="s">
        <v>1097</v>
      </c>
      <c r="O102" t="s">
        <v>56</v>
      </c>
      <c r="P102" s="1">
        <v>45658</v>
      </c>
      <c r="Q102" s="1">
        <v>45931</v>
      </c>
      <c r="R102" s="2">
        <v>35.35</v>
      </c>
      <c r="S102">
        <v>1</v>
      </c>
      <c r="T102" t="s">
        <v>57</v>
      </c>
      <c r="U102" t="s">
        <v>58</v>
      </c>
      <c r="V102" s="4">
        <v>0.38</v>
      </c>
      <c r="W102" s="2">
        <v>0</v>
      </c>
      <c r="X102">
        <v>0</v>
      </c>
      <c r="Y102" t="s">
        <v>70</v>
      </c>
      <c r="Z102" t="s">
        <v>60</v>
      </c>
      <c r="AA102">
        <v>0</v>
      </c>
      <c r="AB102" s="2">
        <v>0</v>
      </c>
      <c r="AC102" s="2">
        <v>0</v>
      </c>
      <c r="AD102" s="4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13.43</v>
      </c>
      <c r="AN102" s="2">
        <v>13.43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45922</v>
      </c>
      <c r="B103" t="s">
        <v>47</v>
      </c>
      <c r="C103">
        <v>649163</v>
      </c>
      <c r="D103">
        <v>2026740150</v>
      </c>
      <c r="E103" t="s">
        <v>71</v>
      </c>
      <c r="F103" t="s">
        <v>72</v>
      </c>
      <c r="G103" t="s">
        <v>50</v>
      </c>
      <c r="H103" t="s">
        <v>51</v>
      </c>
      <c r="I103" t="s">
        <v>430</v>
      </c>
      <c r="J103" t="s">
        <v>431</v>
      </c>
      <c r="K103">
        <v>650218</v>
      </c>
      <c r="L103" t="s">
        <v>73</v>
      </c>
      <c r="M103" t="s">
        <v>74</v>
      </c>
      <c r="N103" t="s">
        <v>1097</v>
      </c>
      <c r="O103" t="s">
        <v>56</v>
      </c>
      <c r="P103" s="1">
        <v>45681</v>
      </c>
      <c r="Q103" s="1">
        <v>45954</v>
      </c>
      <c r="R103" s="2">
        <v>53.16</v>
      </c>
      <c r="S103">
        <v>1</v>
      </c>
      <c r="T103" t="s">
        <v>57</v>
      </c>
      <c r="U103" t="s">
        <v>58</v>
      </c>
      <c r="V103" s="4">
        <v>0.38</v>
      </c>
      <c r="W103" s="2">
        <v>0</v>
      </c>
      <c r="X103">
        <v>0</v>
      </c>
      <c r="Y103" t="s">
        <v>70</v>
      </c>
      <c r="Z103" t="s">
        <v>60</v>
      </c>
      <c r="AA103">
        <v>0</v>
      </c>
      <c r="AB103" s="2">
        <v>0</v>
      </c>
      <c r="AC103" s="2">
        <v>0</v>
      </c>
      <c r="AD103" s="4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20.2</v>
      </c>
      <c r="AN103" s="2">
        <v>20.2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45922</v>
      </c>
      <c r="B104" t="s">
        <v>47</v>
      </c>
      <c r="C104">
        <v>649163</v>
      </c>
      <c r="D104">
        <v>2029021814</v>
      </c>
      <c r="E104" t="s">
        <v>267</v>
      </c>
      <c r="F104" t="s">
        <v>268</v>
      </c>
      <c r="G104" t="s">
        <v>50</v>
      </c>
      <c r="H104" t="s">
        <v>151</v>
      </c>
      <c r="I104" t="s">
        <v>430</v>
      </c>
      <c r="J104" t="s">
        <v>431</v>
      </c>
      <c r="K104">
        <v>650218</v>
      </c>
      <c r="L104" t="s">
        <v>73</v>
      </c>
      <c r="M104" t="s">
        <v>74</v>
      </c>
      <c r="N104" t="s">
        <v>1097</v>
      </c>
      <c r="O104" t="s">
        <v>56</v>
      </c>
      <c r="P104" s="1">
        <v>45797</v>
      </c>
      <c r="Q104" s="1">
        <v>45950</v>
      </c>
      <c r="R104" s="2">
        <v>20.76</v>
      </c>
      <c r="S104">
        <v>1</v>
      </c>
      <c r="T104" t="s">
        <v>57</v>
      </c>
      <c r="U104" t="s">
        <v>58</v>
      </c>
      <c r="V104" s="4">
        <v>0.38</v>
      </c>
      <c r="W104" s="2">
        <v>0</v>
      </c>
      <c r="X104">
        <v>0</v>
      </c>
      <c r="Y104" t="s">
        <v>70</v>
      </c>
      <c r="Z104" t="s">
        <v>60</v>
      </c>
      <c r="AA104">
        <v>0</v>
      </c>
      <c r="AB104" s="2">
        <v>0</v>
      </c>
      <c r="AC104" s="2">
        <v>0</v>
      </c>
      <c r="AD104" s="4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7.89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45922</v>
      </c>
      <c r="B105" t="s">
        <v>47</v>
      </c>
      <c r="C105">
        <v>649163</v>
      </c>
      <c r="D105">
        <v>2030093004</v>
      </c>
      <c r="E105" t="s">
        <v>275</v>
      </c>
      <c r="F105" t="s">
        <v>276</v>
      </c>
      <c r="G105" t="s">
        <v>50</v>
      </c>
      <c r="H105" t="s">
        <v>115</v>
      </c>
      <c r="I105" t="s">
        <v>430</v>
      </c>
      <c r="J105" t="s">
        <v>438</v>
      </c>
      <c r="K105">
        <v>650218</v>
      </c>
      <c r="L105" t="s">
        <v>73</v>
      </c>
      <c r="M105" t="s">
        <v>74</v>
      </c>
      <c r="N105" t="s">
        <v>1097</v>
      </c>
      <c r="O105" t="s">
        <v>56</v>
      </c>
      <c r="P105" s="1">
        <v>45861</v>
      </c>
      <c r="Q105" s="1">
        <v>45953</v>
      </c>
      <c r="R105" s="2">
        <v>217.56</v>
      </c>
      <c r="S105">
        <v>1</v>
      </c>
      <c r="T105" t="s">
        <v>57</v>
      </c>
      <c r="U105" t="s">
        <v>58</v>
      </c>
      <c r="V105" s="4">
        <v>0.38</v>
      </c>
      <c r="W105" s="2">
        <v>0</v>
      </c>
      <c r="X105">
        <v>0</v>
      </c>
      <c r="Y105" t="s">
        <v>70</v>
      </c>
      <c r="Z105" t="s">
        <v>60</v>
      </c>
      <c r="AA105">
        <v>0</v>
      </c>
      <c r="AB105" s="2">
        <v>0</v>
      </c>
      <c r="AC105" s="2">
        <v>0</v>
      </c>
      <c r="AD105" s="4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82.67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45922</v>
      </c>
      <c r="B106" t="s">
        <v>47</v>
      </c>
      <c r="C106">
        <v>649163</v>
      </c>
      <c r="D106">
        <v>2030093005</v>
      </c>
      <c r="E106" t="s">
        <v>275</v>
      </c>
      <c r="F106" t="s">
        <v>276</v>
      </c>
      <c r="G106" t="s">
        <v>50</v>
      </c>
      <c r="H106" t="s">
        <v>115</v>
      </c>
      <c r="I106" t="s">
        <v>430</v>
      </c>
      <c r="J106" t="s">
        <v>439</v>
      </c>
      <c r="K106">
        <v>650218</v>
      </c>
      <c r="L106" t="s">
        <v>73</v>
      </c>
      <c r="M106" t="s">
        <v>74</v>
      </c>
      <c r="N106" t="s">
        <v>1097</v>
      </c>
      <c r="O106" t="s">
        <v>56</v>
      </c>
      <c r="P106" s="1">
        <v>45861</v>
      </c>
      <c r="Q106" s="1">
        <v>45953</v>
      </c>
      <c r="R106" s="2">
        <v>7.09</v>
      </c>
      <c r="S106">
        <v>1</v>
      </c>
      <c r="T106" t="s">
        <v>57</v>
      </c>
      <c r="U106" t="s">
        <v>58</v>
      </c>
      <c r="V106" s="4">
        <v>0.38</v>
      </c>
      <c r="W106" s="2">
        <v>0</v>
      </c>
      <c r="X106">
        <v>0</v>
      </c>
      <c r="Y106" t="s">
        <v>70</v>
      </c>
      <c r="Z106" t="s">
        <v>60</v>
      </c>
      <c r="AA106">
        <v>0</v>
      </c>
      <c r="AB106" s="2">
        <v>0</v>
      </c>
      <c r="AC106" s="2">
        <v>0</v>
      </c>
      <c r="AD106" s="4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2.69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45922</v>
      </c>
      <c r="B107" t="s">
        <v>47</v>
      </c>
      <c r="C107">
        <v>649163</v>
      </c>
      <c r="D107">
        <v>2030670141</v>
      </c>
      <c r="E107" t="s">
        <v>412</v>
      </c>
      <c r="F107" t="s">
        <v>413</v>
      </c>
      <c r="G107" t="s">
        <v>50</v>
      </c>
      <c r="H107" t="s">
        <v>51</v>
      </c>
      <c r="I107" t="s">
        <v>430</v>
      </c>
      <c r="J107" t="s">
        <v>431</v>
      </c>
      <c r="K107">
        <v>650218</v>
      </c>
      <c r="L107" t="s">
        <v>73</v>
      </c>
      <c r="M107" t="s">
        <v>74</v>
      </c>
      <c r="N107" t="s">
        <v>1097</v>
      </c>
      <c r="O107" t="s">
        <v>56</v>
      </c>
      <c r="P107" s="1">
        <v>45895</v>
      </c>
      <c r="Q107" s="1">
        <v>45956</v>
      </c>
      <c r="R107" s="2">
        <v>21.97</v>
      </c>
      <c r="S107">
        <v>1</v>
      </c>
      <c r="T107" t="s">
        <v>57</v>
      </c>
      <c r="U107" t="s">
        <v>58</v>
      </c>
      <c r="V107" s="4">
        <v>0.38</v>
      </c>
      <c r="W107" s="2">
        <v>0</v>
      </c>
      <c r="X107">
        <v>0</v>
      </c>
      <c r="Y107" t="s">
        <v>70</v>
      </c>
      <c r="Z107" t="s">
        <v>60</v>
      </c>
      <c r="AA107">
        <v>0</v>
      </c>
      <c r="AB107" s="2">
        <v>0</v>
      </c>
      <c r="AC107" s="2">
        <v>0</v>
      </c>
      <c r="AD107" s="4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8.35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45922</v>
      </c>
      <c r="B108" t="s">
        <v>47</v>
      </c>
      <c r="C108">
        <v>649163</v>
      </c>
      <c r="D108">
        <v>2024385927</v>
      </c>
      <c r="E108" t="s">
        <v>547</v>
      </c>
      <c r="F108" t="s">
        <v>580</v>
      </c>
      <c r="G108" t="s">
        <v>50</v>
      </c>
      <c r="H108" t="s">
        <v>51</v>
      </c>
      <c r="I108" t="s">
        <v>574</v>
      </c>
      <c r="J108" t="s">
        <v>575</v>
      </c>
      <c r="K108">
        <v>650218</v>
      </c>
      <c r="L108" t="s">
        <v>73</v>
      </c>
      <c r="M108" t="s">
        <v>74</v>
      </c>
      <c r="N108" t="s">
        <v>1097</v>
      </c>
      <c r="O108" t="s">
        <v>56</v>
      </c>
      <c r="P108" s="1">
        <v>45519</v>
      </c>
      <c r="Q108" s="1">
        <v>45945</v>
      </c>
      <c r="R108" s="2">
        <v>46.07</v>
      </c>
      <c r="S108">
        <v>1</v>
      </c>
      <c r="T108" t="s">
        <v>57</v>
      </c>
      <c r="U108" t="s">
        <v>58</v>
      </c>
      <c r="V108" s="3">
        <v>5.2499999999999998E-2</v>
      </c>
      <c r="W108" s="2">
        <v>0</v>
      </c>
      <c r="X108">
        <v>0</v>
      </c>
      <c r="Y108" t="s">
        <v>59</v>
      </c>
      <c r="Z108" t="s">
        <v>60</v>
      </c>
      <c r="AA108">
        <v>0</v>
      </c>
      <c r="AB108" s="2">
        <v>0</v>
      </c>
      <c r="AC108" s="2">
        <v>0</v>
      </c>
      <c r="AD108" s="4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2.42</v>
      </c>
      <c r="AN108" s="2">
        <v>2.42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45922</v>
      </c>
      <c r="B109" t="s">
        <v>47</v>
      </c>
      <c r="C109">
        <v>649163</v>
      </c>
      <c r="D109">
        <v>2024385928</v>
      </c>
      <c r="E109" t="s">
        <v>547</v>
      </c>
      <c r="F109" t="s">
        <v>580</v>
      </c>
      <c r="G109" t="s">
        <v>50</v>
      </c>
      <c r="H109" t="s">
        <v>51</v>
      </c>
      <c r="I109" t="s">
        <v>574</v>
      </c>
      <c r="J109" t="s">
        <v>581</v>
      </c>
      <c r="K109">
        <v>650218</v>
      </c>
      <c r="L109" t="s">
        <v>73</v>
      </c>
      <c r="M109" t="s">
        <v>74</v>
      </c>
      <c r="N109" t="s">
        <v>1097</v>
      </c>
      <c r="O109" t="s">
        <v>56</v>
      </c>
      <c r="P109" s="1">
        <v>45519</v>
      </c>
      <c r="Q109" s="1">
        <v>45945</v>
      </c>
      <c r="R109" s="2">
        <v>37.36</v>
      </c>
      <c r="S109">
        <v>1</v>
      </c>
      <c r="T109" t="s">
        <v>57</v>
      </c>
      <c r="U109" t="s">
        <v>58</v>
      </c>
      <c r="V109" s="4">
        <v>0.08</v>
      </c>
      <c r="W109" s="2">
        <v>0</v>
      </c>
      <c r="X109">
        <v>0</v>
      </c>
      <c r="Y109" t="s">
        <v>59</v>
      </c>
      <c r="Z109" t="s">
        <v>60</v>
      </c>
      <c r="AA109">
        <v>0</v>
      </c>
      <c r="AB109" s="2">
        <v>0</v>
      </c>
      <c r="AC109" s="2">
        <v>0</v>
      </c>
      <c r="AD109" s="4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2.99</v>
      </c>
      <c r="AN109" s="2">
        <v>2.99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45915</v>
      </c>
      <c r="B110" t="s">
        <v>47</v>
      </c>
      <c r="C110">
        <v>649163</v>
      </c>
      <c r="D110">
        <v>2024382706</v>
      </c>
      <c r="E110" t="s">
        <v>806</v>
      </c>
      <c r="F110" t="s">
        <v>409</v>
      </c>
      <c r="G110" t="s">
        <v>50</v>
      </c>
      <c r="H110" t="s">
        <v>51</v>
      </c>
      <c r="I110" t="s">
        <v>52</v>
      </c>
      <c r="J110" t="s">
        <v>53</v>
      </c>
      <c r="K110">
        <v>650218</v>
      </c>
      <c r="L110" t="s">
        <v>73</v>
      </c>
      <c r="M110" t="s">
        <v>74</v>
      </c>
      <c r="N110" t="s">
        <v>1097</v>
      </c>
      <c r="O110" t="s">
        <v>56</v>
      </c>
      <c r="P110" s="1">
        <v>45519</v>
      </c>
      <c r="Q110" s="1">
        <v>45945</v>
      </c>
      <c r="R110" s="2">
        <v>40.159999999999997</v>
      </c>
      <c r="S110">
        <v>1</v>
      </c>
      <c r="T110" t="s">
        <v>57</v>
      </c>
      <c r="U110" t="s">
        <v>58</v>
      </c>
      <c r="V110" s="3">
        <v>6.5000000000000002E-2</v>
      </c>
      <c r="W110" s="2">
        <v>0</v>
      </c>
      <c r="X110">
        <v>0</v>
      </c>
      <c r="Y110" t="s">
        <v>59</v>
      </c>
      <c r="Z110" t="s">
        <v>60</v>
      </c>
      <c r="AA110">
        <v>0</v>
      </c>
      <c r="AB110" s="2">
        <v>0</v>
      </c>
      <c r="AC110" s="2">
        <v>0</v>
      </c>
      <c r="AD110" s="4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2.61</v>
      </c>
      <c r="AN110" s="2">
        <v>2.61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45915</v>
      </c>
      <c r="B111" t="s">
        <v>47</v>
      </c>
      <c r="C111">
        <v>649163</v>
      </c>
      <c r="D111">
        <v>2024407150</v>
      </c>
      <c r="E111" t="s">
        <v>804</v>
      </c>
      <c r="F111" t="s">
        <v>803</v>
      </c>
      <c r="G111" t="s">
        <v>50</v>
      </c>
      <c r="H111" t="s">
        <v>51</v>
      </c>
      <c r="I111" t="s">
        <v>52</v>
      </c>
      <c r="J111" t="s">
        <v>53</v>
      </c>
      <c r="K111">
        <v>650218</v>
      </c>
      <c r="L111" t="s">
        <v>73</v>
      </c>
      <c r="M111" t="s">
        <v>74</v>
      </c>
      <c r="N111" t="s">
        <v>1097</v>
      </c>
      <c r="O111" t="s">
        <v>56</v>
      </c>
      <c r="P111" s="1">
        <v>45520</v>
      </c>
      <c r="Q111" s="1">
        <v>45946</v>
      </c>
      <c r="R111" s="2">
        <v>56.69</v>
      </c>
      <c r="S111">
        <v>1</v>
      </c>
      <c r="T111" t="s">
        <v>57</v>
      </c>
      <c r="U111" t="s">
        <v>58</v>
      </c>
      <c r="V111" s="3">
        <v>6.5000000000000002E-2</v>
      </c>
      <c r="W111" s="2">
        <v>0</v>
      </c>
      <c r="X111">
        <v>0</v>
      </c>
      <c r="Y111" t="s">
        <v>59</v>
      </c>
      <c r="Z111" t="s">
        <v>60</v>
      </c>
      <c r="AA111">
        <v>0</v>
      </c>
      <c r="AB111" s="2">
        <v>0</v>
      </c>
      <c r="AC111" s="2">
        <v>0</v>
      </c>
      <c r="AD111" s="4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3.68</v>
      </c>
      <c r="AN111" s="2">
        <v>3.68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45915</v>
      </c>
      <c r="B112" t="s">
        <v>47</v>
      </c>
      <c r="C112">
        <v>649163</v>
      </c>
      <c r="D112">
        <v>2025756063</v>
      </c>
      <c r="E112" t="s">
        <v>797</v>
      </c>
      <c r="F112" t="s">
        <v>796</v>
      </c>
      <c r="G112" t="s">
        <v>50</v>
      </c>
      <c r="H112" t="s">
        <v>51</v>
      </c>
      <c r="I112" t="s">
        <v>52</v>
      </c>
      <c r="J112" t="s">
        <v>53</v>
      </c>
      <c r="K112">
        <v>650218</v>
      </c>
      <c r="L112" t="s">
        <v>73</v>
      </c>
      <c r="M112" t="s">
        <v>74</v>
      </c>
      <c r="N112" t="s">
        <v>1097</v>
      </c>
      <c r="O112" t="s">
        <v>56</v>
      </c>
      <c r="P112" s="1">
        <v>45610</v>
      </c>
      <c r="Q112" s="1">
        <v>45944</v>
      </c>
      <c r="R112" s="2">
        <v>46.45</v>
      </c>
      <c r="S112">
        <v>1</v>
      </c>
      <c r="T112" t="s">
        <v>57</v>
      </c>
      <c r="U112" t="s">
        <v>58</v>
      </c>
      <c r="V112" s="4">
        <v>0.6</v>
      </c>
      <c r="W112" s="2">
        <v>0</v>
      </c>
      <c r="X112">
        <v>0</v>
      </c>
      <c r="Y112" t="s">
        <v>70</v>
      </c>
      <c r="Z112" t="s">
        <v>60</v>
      </c>
      <c r="AA112">
        <v>0</v>
      </c>
      <c r="AB112" s="2">
        <v>0</v>
      </c>
      <c r="AC112" s="2">
        <v>0</v>
      </c>
      <c r="AD112" s="4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27.87</v>
      </c>
      <c r="AN112" s="2">
        <v>27.87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45915</v>
      </c>
      <c r="B113" t="s">
        <v>47</v>
      </c>
      <c r="C113">
        <v>649163</v>
      </c>
      <c r="D113">
        <v>2025771713</v>
      </c>
      <c r="E113" t="s">
        <v>1073</v>
      </c>
      <c r="F113" t="s">
        <v>131</v>
      </c>
      <c r="G113" t="s">
        <v>50</v>
      </c>
      <c r="H113" t="s">
        <v>51</v>
      </c>
      <c r="I113" t="s">
        <v>52</v>
      </c>
      <c r="J113" t="s">
        <v>53</v>
      </c>
      <c r="K113">
        <v>650218</v>
      </c>
      <c r="L113" t="s">
        <v>73</v>
      </c>
      <c r="M113" t="s">
        <v>74</v>
      </c>
      <c r="N113" t="s">
        <v>1097</v>
      </c>
      <c r="O113" t="s">
        <v>56</v>
      </c>
      <c r="P113" s="1">
        <v>45611</v>
      </c>
      <c r="Q113" s="1">
        <v>45945</v>
      </c>
      <c r="R113" s="2">
        <v>52.69</v>
      </c>
      <c r="S113">
        <v>1</v>
      </c>
      <c r="T113" t="s">
        <v>57</v>
      </c>
      <c r="U113" t="s">
        <v>58</v>
      </c>
      <c r="V113" s="4">
        <v>0.6</v>
      </c>
      <c r="W113" s="2">
        <v>0</v>
      </c>
      <c r="X113">
        <v>0</v>
      </c>
      <c r="Y113" t="s">
        <v>70</v>
      </c>
      <c r="Z113" t="s">
        <v>60</v>
      </c>
      <c r="AA113">
        <v>0</v>
      </c>
      <c r="AB113" s="2">
        <v>0</v>
      </c>
      <c r="AC113" s="2">
        <v>0</v>
      </c>
      <c r="AD113" s="4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31.61</v>
      </c>
      <c r="AN113" s="2">
        <v>31.61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45915</v>
      </c>
      <c r="B114" t="s">
        <v>47</v>
      </c>
      <c r="C114">
        <v>649163</v>
      </c>
      <c r="D114">
        <v>2023867556</v>
      </c>
      <c r="E114" t="s">
        <v>109</v>
      </c>
      <c r="F114" t="s">
        <v>807</v>
      </c>
      <c r="G114" t="s">
        <v>50</v>
      </c>
      <c r="H114" t="s">
        <v>51</v>
      </c>
      <c r="I114" t="s">
        <v>243</v>
      </c>
      <c r="J114" t="s">
        <v>249</v>
      </c>
      <c r="K114">
        <v>650218</v>
      </c>
      <c r="L114" t="s">
        <v>73</v>
      </c>
      <c r="M114" t="s">
        <v>74</v>
      </c>
      <c r="N114" t="s">
        <v>1097</v>
      </c>
      <c r="O114" t="s">
        <v>56</v>
      </c>
      <c r="P114" s="1">
        <v>45483</v>
      </c>
      <c r="Q114" s="1">
        <v>45940</v>
      </c>
      <c r="R114" s="2">
        <v>15</v>
      </c>
      <c r="S114">
        <v>1</v>
      </c>
      <c r="T114" t="s">
        <v>57</v>
      </c>
      <c r="U114" t="s">
        <v>58</v>
      </c>
      <c r="V114" s="4">
        <v>0.1</v>
      </c>
      <c r="W114" s="2">
        <v>0</v>
      </c>
      <c r="X114">
        <v>0</v>
      </c>
      <c r="Y114" t="s">
        <v>59</v>
      </c>
      <c r="Z114" t="s">
        <v>60</v>
      </c>
      <c r="AA114">
        <v>0</v>
      </c>
      <c r="AB114" s="2">
        <v>0</v>
      </c>
      <c r="AC114" s="2">
        <v>0</v>
      </c>
      <c r="AD114" s="4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1.5</v>
      </c>
      <c r="AN114" s="2">
        <v>1.5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45915</v>
      </c>
      <c r="B115" t="s">
        <v>47</v>
      </c>
      <c r="C115">
        <v>649163</v>
      </c>
      <c r="D115">
        <v>2024853076</v>
      </c>
      <c r="E115" t="s">
        <v>733</v>
      </c>
      <c r="F115" t="s">
        <v>732</v>
      </c>
      <c r="G115" t="s">
        <v>50</v>
      </c>
      <c r="H115" t="s">
        <v>151</v>
      </c>
      <c r="I115" t="s">
        <v>243</v>
      </c>
      <c r="J115" t="s">
        <v>249</v>
      </c>
      <c r="K115">
        <v>650218</v>
      </c>
      <c r="L115" t="s">
        <v>73</v>
      </c>
      <c r="M115" t="s">
        <v>74</v>
      </c>
      <c r="N115" t="s">
        <v>1097</v>
      </c>
      <c r="O115" t="s">
        <v>56</v>
      </c>
      <c r="P115" s="1">
        <v>45550</v>
      </c>
      <c r="Q115" s="1">
        <v>45945</v>
      </c>
      <c r="R115" s="2">
        <v>15</v>
      </c>
      <c r="S115">
        <v>1</v>
      </c>
      <c r="T115" t="s">
        <v>57</v>
      </c>
      <c r="U115" t="s">
        <v>58</v>
      </c>
      <c r="V115" s="4">
        <v>0.1</v>
      </c>
      <c r="W115" s="2">
        <v>0</v>
      </c>
      <c r="X115">
        <v>0</v>
      </c>
      <c r="Y115" t="s">
        <v>59</v>
      </c>
      <c r="Z115" t="s">
        <v>60</v>
      </c>
      <c r="AA115">
        <v>0</v>
      </c>
      <c r="AB115" s="2">
        <v>0</v>
      </c>
      <c r="AC115" s="2">
        <v>0</v>
      </c>
      <c r="AD115" s="4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1.5</v>
      </c>
      <c r="AN115" s="2">
        <v>1.5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45915</v>
      </c>
      <c r="B116" t="s">
        <v>47</v>
      </c>
      <c r="C116">
        <v>649163</v>
      </c>
      <c r="D116">
        <v>2025737165</v>
      </c>
      <c r="E116" t="s">
        <v>798</v>
      </c>
      <c r="F116" t="s">
        <v>339</v>
      </c>
      <c r="G116" t="s">
        <v>50</v>
      </c>
      <c r="H116" t="s">
        <v>63</v>
      </c>
      <c r="I116" t="s">
        <v>243</v>
      </c>
      <c r="J116" t="s">
        <v>249</v>
      </c>
      <c r="K116">
        <v>650218</v>
      </c>
      <c r="L116" t="s">
        <v>73</v>
      </c>
      <c r="M116" t="s">
        <v>74</v>
      </c>
      <c r="N116" t="s">
        <v>1097</v>
      </c>
      <c r="O116" t="s">
        <v>56</v>
      </c>
      <c r="P116" s="1">
        <v>45609</v>
      </c>
      <c r="Q116" s="1">
        <v>45943</v>
      </c>
      <c r="R116" s="2">
        <v>15</v>
      </c>
      <c r="S116">
        <v>1</v>
      </c>
      <c r="T116" t="s">
        <v>57</v>
      </c>
      <c r="U116" t="s">
        <v>58</v>
      </c>
      <c r="V116" s="4">
        <v>0.38</v>
      </c>
      <c r="W116" s="2">
        <v>0</v>
      </c>
      <c r="X116">
        <v>0</v>
      </c>
      <c r="Y116" t="s">
        <v>70</v>
      </c>
      <c r="Z116" t="s">
        <v>60</v>
      </c>
      <c r="AA116">
        <v>0</v>
      </c>
      <c r="AB116" s="2">
        <v>0</v>
      </c>
      <c r="AC116" s="2">
        <v>0</v>
      </c>
      <c r="AD116" s="4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5.7</v>
      </c>
      <c r="AN116" s="2">
        <v>5.7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45915</v>
      </c>
      <c r="B117" t="s">
        <v>47</v>
      </c>
      <c r="C117">
        <v>649163</v>
      </c>
      <c r="D117">
        <v>2027849976</v>
      </c>
      <c r="E117" t="s">
        <v>783</v>
      </c>
      <c r="F117" t="s">
        <v>65</v>
      </c>
      <c r="G117" t="s">
        <v>50</v>
      </c>
      <c r="H117" t="s">
        <v>255</v>
      </c>
      <c r="I117" t="s">
        <v>243</v>
      </c>
      <c r="J117" t="s">
        <v>249</v>
      </c>
      <c r="K117">
        <v>650218</v>
      </c>
      <c r="L117" t="s">
        <v>73</v>
      </c>
      <c r="M117" t="s">
        <v>74</v>
      </c>
      <c r="N117" t="s">
        <v>1097</v>
      </c>
      <c r="O117" t="s">
        <v>56</v>
      </c>
      <c r="P117" s="1">
        <v>45733</v>
      </c>
      <c r="Q117" s="1">
        <v>45947</v>
      </c>
      <c r="R117" s="2">
        <v>15</v>
      </c>
      <c r="S117">
        <v>1</v>
      </c>
      <c r="T117" t="s">
        <v>57</v>
      </c>
      <c r="U117" t="s">
        <v>58</v>
      </c>
      <c r="V117" s="4">
        <v>0.38</v>
      </c>
      <c r="W117" s="2">
        <v>0</v>
      </c>
      <c r="X117">
        <v>0</v>
      </c>
      <c r="Y117" t="s">
        <v>70</v>
      </c>
      <c r="Z117" t="s">
        <v>60</v>
      </c>
      <c r="AA117">
        <v>0</v>
      </c>
      <c r="AB117" s="2">
        <v>0</v>
      </c>
      <c r="AC117" s="2">
        <v>0</v>
      </c>
      <c r="AD117" s="4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5.7</v>
      </c>
      <c r="AN117" s="2">
        <v>5.7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45915</v>
      </c>
      <c r="B118" t="s">
        <v>47</v>
      </c>
      <c r="C118">
        <v>649163</v>
      </c>
      <c r="D118">
        <v>2028565358</v>
      </c>
      <c r="E118" t="s">
        <v>317</v>
      </c>
      <c r="F118" t="s">
        <v>778</v>
      </c>
      <c r="G118" t="s">
        <v>50</v>
      </c>
      <c r="H118" t="s">
        <v>151</v>
      </c>
      <c r="I118" t="s">
        <v>243</v>
      </c>
      <c r="J118" t="s">
        <v>249</v>
      </c>
      <c r="K118">
        <v>650218</v>
      </c>
      <c r="L118" t="s">
        <v>73</v>
      </c>
      <c r="M118" t="s">
        <v>74</v>
      </c>
      <c r="N118" t="s">
        <v>1097</v>
      </c>
      <c r="O118" t="s">
        <v>56</v>
      </c>
      <c r="P118" s="1">
        <v>45777</v>
      </c>
      <c r="Q118" s="1">
        <v>45930</v>
      </c>
      <c r="R118" s="2">
        <v>15</v>
      </c>
      <c r="S118">
        <v>1</v>
      </c>
      <c r="T118" t="s">
        <v>57</v>
      </c>
      <c r="U118" t="s">
        <v>58</v>
      </c>
      <c r="V118" s="4">
        <v>0.38</v>
      </c>
      <c r="W118" s="2">
        <v>0</v>
      </c>
      <c r="X118">
        <v>0</v>
      </c>
      <c r="Y118" t="s">
        <v>70</v>
      </c>
      <c r="Z118" t="s">
        <v>60</v>
      </c>
      <c r="AA118">
        <v>0</v>
      </c>
      <c r="AB118" s="2">
        <v>0</v>
      </c>
      <c r="AC118" s="2">
        <v>0</v>
      </c>
      <c r="AD118" s="4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5.7</v>
      </c>
      <c r="AN118" s="2">
        <v>5.7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45915</v>
      </c>
      <c r="B119" t="s">
        <v>47</v>
      </c>
      <c r="C119">
        <v>649163</v>
      </c>
      <c r="D119">
        <v>2030558289</v>
      </c>
      <c r="E119" t="s">
        <v>378</v>
      </c>
      <c r="F119" t="s">
        <v>117</v>
      </c>
      <c r="G119" t="s">
        <v>50</v>
      </c>
      <c r="H119" t="s">
        <v>157</v>
      </c>
      <c r="I119" t="s">
        <v>243</v>
      </c>
      <c r="J119" t="s">
        <v>261</v>
      </c>
      <c r="K119">
        <v>650218</v>
      </c>
      <c r="L119" t="s">
        <v>73</v>
      </c>
      <c r="M119" t="s">
        <v>74</v>
      </c>
      <c r="N119" t="s">
        <v>1097</v>
      </c>
      <c r="O119" t="s">
        <v>56</v>
      </c>
      <c r="P119" s="1">
        <v>45888</v>
      </c>
      <c r="Q119" s="1">
        <v>45949</v>
      </c>
      <c r="R119" s="2">
        <v>15</v>
      </c>
      <c r="S119">
        <v>1</v>
      </c>
      <c r="T119" t="s">
        <v>57</v>
      </c>
      <c r="U119" t="s">
        <v>58</v>
      </c>
      <c r="V119" s="4">
        <v>0.38</v>
      </c>
      <c r="W119" s="2">
        <v>0</v>
      </c>
      <c r="X119">
        <v>0</v>
      </c>
      <c r="Y119" t="s">
        <v>70</v>
      </c>
      <c r="Z119" t="s">
        <v>60</v>
      </c>
      <c r="AA119">
        <v>0</v>
      </c>
      <c r="AB119" s="2">
        <v>0</v>
      </c>
      <c r="AC119" s="2">
        <v>0</v>
      </c>
      <c r="AD119" s="4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5.7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45915</v>
      </c>
      <c r="B120" t="s">
        <v>47</v>
      </c>
      <c r="C120">
        <v>649163</v>
      </c>
      <c r="D120">
        <v>2023245977</v>
      </c>
      <c r="E120" t="s">
        <v>812</v>
      </c>
      <c r="F120" t="s">
        <v>811</v>
      </c>
      <c r="G120" t="s">
        <v>50</v>
      </c>
      <c r="H120" t="s">
        <v>51</v>
      </c>
      <c r="I120" t="s">
        <v>306</v>
      </c>
      <c r="J120" t="s">
        <v>307</v>
      </c>
      <c r="K120">
        <v>650218</v>
      </c>
      <c r="L120" t="s">
        <v>73</v>
      </c>
      <c r="M120" t="s">
        <v>74</v>
      </c>
      <c r="N120" t="s">
        <v>1097</v>
      </c>
      <c r="O120" t="s">
        <v>56</v>
      </c>
      <c r="P120" s="1">
        <v>45444</v>
      </c>
      <c r="Q120" s="1">
        <v>45931</v>
      </c>
      <c r="R120" s="2">
        <v>24.88</v>
      </c>
      <c r="S120">
        <v>1</v>
      </c>
      <c r="T120" t="s">
        <v>57</v>
      </c>
      <c r="U120" t="s">
        <v>58</v>
      </c>
      <c r="V120" s="4">
        <v>0.06</v>
      </c>
      <c r="W120" s="2">
        <v>0</v>
      </c>
      <c r="X120">
        <v>0</v>
      </c>
      <c r="Y120" t="s">
        <v>59</v>
      </c>
      <c r="Z120" t="s">
        <v>60</v>
      </c>
      <c r="AA120">
        <v>0</v>
      </c>
      <c r="AB120" s="2">
        <v>0</v>
      </c>
      <c r="AC120" s="2">
        <v>0</v>
      </c>
      <c r="AD120" s="4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1.49</v>
      </c>
      <c r="AN120" s="2">
        <v>1.49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45915</v>
      </c>
      <c r="B121" t="s">
        <v>47</v>
      </c>
      <c r="C121">
        <v>649163</v>
      </c>
      <c r="D121">
        <v>2024853073</v>
      </c>
      <c r="E121" t="s">
        <v>733</v>
      </c>
      <c r="F121" t="s">
        <v>732</v>
      </c>
      <c r="G121" t="s">
        <v>50</v>
      </c>
      <c r="H121" t="s">
        <v>151</v>
      </c>
      <c r="I121" t="s">
        <v>306</v>
      </c>
      <c r="J121" t="s">
        <v>307</v>
      </c>
      <c r="K121">
        <v>650218</v>
      </c>
      <c r="L121" t="s">
        <v>73</v>
      </c>
      <c r="M121" t="s">
        <v>74</v>
      </c>
      <c r="N121" t="s">
        <v>1097</v>
      </c>
      <c r="O121" t="s">
        <v>56</v>
      </c>
      <c r="P121" s="1">
        <v>45550</v>
      </c>
      <c r="Q121" s="1">
        <v>45945</v>
      </c>
      <c r="R121" s="2">
        <v>56.53</v>
      </c>
      <c r="S121">
        <v>1</v>
      </c>
      <c r="T121" t="s">
        <v>57</v>
      </c>
      <c r="U121" t="s">
        <v>58</v>
      </c>
      <c r="V121" s="4">
        <v>0.06</v>
      </c>
      <c r="W121" s="2">
        <v>0</v>
      </c>
      <c r="X121">
        <v>0</v>
      </c>
      <c r="Y121" t="s">
        <v>59</v>
      </c>
      <c r="Z121" t="s">
        <v>60</v>
      </c>
      <c r="AA121">
        <v>0</v>
      </c>
      <c r="AB121" s="2">
        <v>0</v>
      </c>
      <c r="AC121" s="2">
        <v>0</v>
      </c>
      <c r="AD121" s="4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3.39</v>
      </c>
      <c r="AN121" s="2">
        <v>3.39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45915</v>
      </c>
      <c r="B122" t="s">
        <v>47</v>
      </c>
      <c r="C122">
        <v>649163</v>
      </c>
      <c r="D122">
        <v>2027849974</v>
      </c>
      <c r="E122" t="s">
        <v>783</v>
      </c>
      <c r="F122" t="s">
        <v>65</v>
      </c>
      <c r="G122" t="s">
        <v>50</v>
      </c>
      <c r="H122" t="s">
        <v>255</v>
      </c>
      <c r="I122" t="s">
        <v>441</v>
      </c>
      <c r="J122" t="s">
        <v>445</v>
      </c>
      <c r="K122">
        <v>650218</v>
      </c>
      <c r="L122" t="s">
        <v>73</v>
      </c>
      <c r="M122" t="s">
        <v>74</v>
      </c>
      <c r="N122" t="s">
        <v>1097</v>
      </c>
      <c r="O122" t="s">
        <v>56</v>
      </c>
      <c r="P122" s="1">
        <v>45733</v>
      </c>
      <c r="Q122" s="1">
        <v>45947</v>
      </c>
      <c r="R122" s="2">
        <v>50.96</v>
      </c>
      <c r="S122">
        <v>1</v>
      </c>
      <c r="T122" t="s">
        <v>57</v>
      </c>
      <c r="U122" t="s">
        <v>58</v>
      </c>
      <c r="V122" s="4">
        <v>0.7</v>
      </c>
      <c r="W122" s="2">
        <v>0</v>
      </c>
      <c r="X122">
        <v>0</v>
      </c>
      <c r="Y122" t="s">
        <v>70</v>
      </c>
      <c r="Z122" t="s">
        <v>60</v>
      </c>
      <c r="AA122">
        <v>0</v>
      </c>
      <c r="AB122" s="2">
        <v>0</v>
      </c>
      <c r="AC122" s="2">
        <v>0</v>
      </c>
      <c r="AD122" s="4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35.67</v>
      </c>
      <c r="AN122" s="2">
        <v>35.67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45915</v>
      </c>
      <c r="B123" t="s">
        <v>47</v>
      </c>
      <c r="C123">
        <v>649163</v>
      </c>
      <c r="D123">
        <v>2028565355</v>
      </c>
      <c r="E123" t="s">
        <v>317</v>
      </c>
      <c r="F123" t="s">
        <v>778</v>
      </c>
      <c r="G123" t="s">
        <v>50</v>
      </c>
      <c r="H123" t="s">
        <v>151</v>
      </c>
      <c r="I123" t="s">
        <v>441</v>
      </c>
      <c r="J123" t="s">
        <v>445</v>
      </c>
      <c r="K123">
        <v>650218</v>
      </c>
      <c r="L123" t="s">
        <v>73</v>
      </c>
      <c r="M123" t="s">
        <v>74</v>
      </c>
      <c r="N123" t="s">
        <v>1097</v>
      </c>
      <c r="O123" t="s">
        <v>56</v>
      </c>
      <c r="P123" s="1">
        <v>45777</v>
      </c>
      <c r="Q123" s="1">
        <v>45930</v>
      </c>
      <c r="R123" s="2">
        <v>30.16</v>
      </c>
      <c r="S123">
        <v>1</v>
      </c>
      <c r="T123" t="s">
        <v>57</v>
      </c>
      <c r="U123" t="s">
        <v>58</v>
      </c>
      <c r="V123" s="4">
        <v>0.7</v>
      </c>
      <c r="W123" s="2">
        <v>0</v>
      </c>
      <c r="X123">
        <v>0</v>
      </c>
      <c r="Y123" t="s">
        <v>70</v>
      </c>
      <c r="Z123" t="s">
        <v>60</v>
      </c>
      <c r="AA123">
        <v>0</v>
      </c>
      <c r="AB123" s="2">
        <v>0</v>
      </c>
      <c r="AC123" s="2">
        <v>0</v>
      </c>
      <c r="AD123" s="4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21.11</v>
      </c>
      <c r="AN123" s="2">
        <v>21.11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45915</v>
      </c>
      <c r="B124" t="s">
        <v>47</v>
      </c>
      <c r="C124">
        <v>649163</v>
      </c>
      <c r="D124">
        <v>2027849975</v>
      </c>
      <c r="E124" t="s">
        <v>783</v>
      </c>
      <c r="F124" t="s">
        <v>65</v>
      </c>
      <c r="G124" t="s">
        <v>50</v>
      </c>
      <c r="H124" t="s">
        <v>255</v>
      </c>
      <c r="I124" t="s">
        <v>306</v>
      </c>
      <c r="J124" t="s">
        <v>307</v>
      </c>
      <c r="K124">
        <v>650218</v>
      </c>
      <c r="L124" t="s">
        <v>73</v>
      </c>
      <c r="M124" t="s">
        <v>74</v>
      </c>
      <c r="N124" t="s">
        <v>1097</v>
      </c>
      <c r="O124" t="s">
        <v>56</v>
      </c>
      <c r="P124" s="1">
        <v>45733</v>
      </c>
      <c r="Q124" s="1">
        <v>45947</v>
      </c>
      <c r="R124" s="2">
        <v>102.55</v>
      </c>
      <c r="S124">
        <v>1</v>
      </c>
      <c r="T124" t="s">
        <v>57</v>
      </c>
      <c r="U124" t="s">
        <v>58</v>
      </c>
      <c r="V124" s="3">
        <v>0.375</v>
      </c>
      <c r="W124" s="2">
        <v>0</v>
      </c>
      <c r="X124">
        <v>0</v>
      </c>
      <c r="Y124" t="s">
        <v>70</v>
      </c>
      <c r="Z124" t="s">
        <v>60</v>
      </c>
      <c r="AA124">
        <v>0</v>
      </c>
      <c r="AB124" s="2">
        <v>0</v>
      </c>
      <c r="AC124" s="2">
        <v>0</v>
      </c>
      <c r="AD124" s="4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38.46</v>
      </c>
      <c r="AN124" s="2">
        <v>38.46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45915</v>
      </c>
      <c r="B125" t="s">
        <v>47</v>
      </c>
      <c r="C125">
        <v>649163</v>
      </c>
      <c r="D125">
        <v>2028565357</v>
      </c>
      <c r="E125" t="s">
        <v>317</v>
      </c>
      <c r="F125" t="s">
        <v>778</v>
      </c>
      <c r="G125" t="s">
        <v>50</v>
      </c>
      <c r="H125" t="s">
        <v>151</v>
      </c>
      <c r="I125" t="s">
        <v>306</v>
      </c>
      <c r="J125" t="s">
        <v>307</v>
      </c>
      <c r="K125">
        <v>650218</v>
      </c>
      <c r="L125" t="s">
        <v>73</v>
      </c>
      <c r="M125" t="s">
        <v>74</v>
      </c>
      <c r="N125" t="s">
        <v>1097</v>
      </c>
      <c r="O125" t="s">
        <v>56</v>
      </c>
      <c r="P125" s="1">
        <v>45777</v>
      </c>
      <c r="Q125" s="1">
        <v>45930</v>
      </c>
      <c r="R125" s="2">
        <v>99.89</v>
      </c>
      <c r="S125">
        <v>1</v>
      </c>
      <c r="T125" t="s">
        <v>57</v>
      </c>
      <c r="U125" t="s">
        <v>58</v>
      </c>
      <c r="V125" s="3">
        <v>0.375</v>
      </c>
      <c r="W125" s="2">
        <v>0</v>
      </c>
      <c r="X125">
        <v>0</v>
      </c>
      <c r="Y125" t="s">
        <v>70</v>
      </c>
      <c r="Z125" t="s">
        <v>60</v>
      </c>
      <c r="AA125">
        <v>0</v>
      </c>
      <c r="AB125" s="2">
        <v>0</v>
      </c>
      <c r="AC125" s="2">
        <v>0</v>
      </c>
      <c r="AD125" s="4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37.46</v>
      </c>
      <c r="AN125" s="2">
        <v>37.46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45915</v>
      </c>
      <c r="B126" t="s">
        <v>47</v>
      </c>
      <c r="C126">
        <v>649163</v>
      </c>
      <c r="D126">
        <v>2023245976</v>
      </c>
      <c r="E126" t="s">
        <v>812</v>
      </c>
      <c r="F126" t="s">
        <v>811</v>
      </c>
      <c r="G126" t="s">
        <v>50</v>
      </c>
      <c r="H126" t="s">
        <v>51</v>
      </c>
      <c r="I126" t="s">
        <v>430</v>
      </c>
      <c r="J126" t="s">
        <v>431</v>
      </c>
      <c r="K126">
        <v>650218</v>
      </c>
      <c r="L126" t="s">
        <v>73</v>
      </c>
      <c r="M126" t="s">
        <v>74</v>
      </c>
      <c r="N126" t="s">
        <v>1097</v>
      </c>
      <c r="O126" t="s">
        <v>56</v>
      </c>
      <c r="P126" s="1">
        <v>45444</v>
      </c>
      <c r="Q126" s="1">
        <v>45931</v>
      </c>
      <c r="R126" s="2">
        <v>22.77</v>
      </c>
      <c r="S126">
        <v>1</v>
      </c>
      <c r="T126" t="s">
        <v>57</v>
      </c>
      <c r="U126" t="s">
        <v>58</v>
      </c>
      <c r="V126" s="4">
        <v>0.1</v>
      </c>
      <c r="W126" s="2">
        <v>0</v>
      </c>
      <c r="X126">
        <v>0</v>
      </c>
      <c r="Y126" t="s">
        <v>59</v>
      </c>
      <c r="Z126" t="s">
        <v>60</v>
      </c>
      <c r="AA126">
        <v>0</v>
      </c>
      <c r="AB126" s="2">
        <v>0</v>
      </c>
      <c r="AC126" s="2">
        <v>0</v>
      </c>
      <c r="AD126" s="4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2.2799999999999998</v>
      </c>
      <c r="AN126" s="2">
        <v>2.2799999999999998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45915</v>
      </c>
      <c r="B127" t="s">
        <v>47</v>
      </c>
      <c r="C127">
        <v>649163</v>
      </c>
      <c r="D127">
        <v>2023867555</v>
      </c>
      <c r="E127" t="s">
        <v>109</v>
      </c>
      <c r="F127" t="s">
        <v>807</v>
      </c>
      <c r="G127" t="s">
        <v>50</v>
      </c>
      <c r="H127" t="s">
        <v>51</v>
      </c>
      <c r="I127" t="s">
        <v>430</v>
      </c>
      <c r="J127" t="s">
        <v>431</v>
      </c>
      <c r="K127">
        <v>650218</v>
      </c>
      <c r="L127" t="s">
        <v>73</v>
      </c>
      <c r="M127" t="s">
        <v>74</v>
      </c>
      <c r="N127" t="s">
        <v>1097</v>
      </c>
      <c r="O127" t="s">
        <v>56</v>
      </c>
      <c r="P127" s="1">
        <v>45483</v>
      </c>
      <c r="Q127" s="1">
        <v>45940</v>
      </c>
      <c r="R127" s="2">
        <v>53.16</v>
      </c>
      <c r="S127">
        <v>1</v>
      </c>
      <c r="T127" t="s">
        <v>57</v>
      </c>
      <c r="U127" t="s">
        <v>58</v>
      </c>
      <c r="V127" s="4">
        <v>0.1</v>
      </c>
      <c r="W127" s="2">
        <v>0</v>
      </c>
      <c r="X127">
        <v>0</v>
      </c>
      <c r="Y127" t="s">
        <v>59</v>
      </c>
      <c r="Z127" t="s">
        <v>60</v>
      </c>
      <c r="AA127">
        <v>0</v>
      </c>
      <c r="AB127" s="2">
        <v>0</v>
      </c>
      <c r="AC127" s="2">
        <v>0</v>
      </c>
      <c r="AD127" s="4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5.32</v>
      </c>
      <c r="AN127" s="2">
        <v>5.32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45915</v>
      </c>
      <c r="B128" t="s">
        <v>47</v>
      </c>
      <c r="C128">
        <v>649163</v>
      </c>
      <c r="D128">
        <v>2024382705</v>
      </c>
      <c r="E128" t="s">
        <v>806</v>
      </c>
      <c r="F128" t="s">
        <v>409</v>
      </c>
      <c r="G128" t="s">
        <v>50</v>
      </c>
      <c r="H128" t="s">
        <v>51</v>
      </c>
      <c r="I128" t="s">
        <v>430</v>
      </c>
      <c r="J128" t="s">
        <v>431</v>
      </c>
      <c r="K128">
        <v>650218</v>
      </c>
      <c r="L128" t="s">
        <v>73</v>
      </c>
      <c r="M128" t="s">
        <v>74</v>
      </c>
      <c r="N128" t="s">
        <v>1097</v>
      </c>
      <c r="O128" t="s">
        <v>56</v>
      </c>
      <c r="P128" s="1">
        <v>45519</v>
      </c>
      <c r="Q128" s="1">
        <v>45945</v>
      </c>
      <c r="R128" s="2">
        <v>27.15</v>
      </c>
      <c r="S128">
        <v>1</v>
      </c>
      <c r="T128" t="s">
        <v>57</v>
      </c>
      <c r="U128" t="s">
        <v>58</v>
      </c>
      <c r="V128" s="4">
        <v>0.1</v>
      </c>
      <c r="W128" s="2">
        <v>0</v>
      </c>
      <c r="X128">
        <v>0</v>
      </c>
      <c r="Y128" t="s">
        <v>59</v>
      </c>
      <c r="Z128" t="s">
        <v>60</v>
      </c>
      <c r="AA128">
        <v>0</v>
      </c>
      <c r="AB128" s="2">
        <v>0</v>
      </c>
      <c r="AC128" s="2">
        <v>0</v>
      </c>
      <c r="AD128" s="4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2.72</v>
      </c>
      <c r="AN128" s="2">
        <v>2.72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45915</v>
      </c>
      <c r="B129" t="s">
        <v>47</v>
      </c>
      <c r="C129">
        <v>649163</v>
      </c>
      <c r="D129">
        <v>2024407151</v>
      </c>
      <c r="E129" t="s">
        <v>804</v>
      </c>
      <c r="F129" t="s">
        <v>803</v>
      </c>
      <c r="G129" t="s">
        <v>50</v>
      </c>
      <c r="H129" t="s">
        <v>51</v>
      </c>
      <c r="I129" t="s">
        <v>430</v>
      </c>
      <c r="J129" t="s">
        <v>431</v>
      </c>
      <c r="K129">
        <v>650218</v>
      </c>
      <c r="L129" t="s">
        <v>73</v>
      </c>
      <c r="M129" t="s">
        <v>74</v>
      </c>
      <c r="N129" t="s">
        <v>1097</v>
      </c>
      <c r="O129" t="s">
        <v>56</v>
      </c>
      <c r="P129" s="1">
        <v>45520</v>
      </c>
      <c r="Q129" s="1">
        <v>45946</v>
      </c>
      <c r="R129" s="2">
        <v>21.97</v>
      </c>
      <c r="S129">
        <v>1</v>
      </c>
      <c r="T129" t="s">
        <v>57</v>
      </c>
      <c r="U129" t="s">
        <v>58</v>
      </c>
      <c r="V129" s="4">
        <v>0.1</v>
      </c>
      <c r="W129" s="2">
        <v>0</v>
      </c>
      <c r="X129">
        <v>0</v>
      </c>
      <c r="Y129" t="s">
        <v>59</v>
      </c>
      <c r="Z129" t="s">
        <v>60</v>
      </c>
      <c r="AA129">
        <v>0</v>
      </c>
      <c r="AB129" s="2">
        <v>0</v>
      </c>
      <c r="AC129" s="2">
        <v>0</v>
      </c>
      <c r="AD129" s="4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2.2000000000000002</v>
      </c>
      <c r="AN129" s="2">
        <v>2.2000000000000002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45915</v>
      </c>
      <c r="B130" t="s">
        <v>47</v>
      </c>
      <c r="C130">
        <v>649163</v>
      </c>
      <c r="D130">
        <v>2024853074</v>
      </c>
      <c r="E130" t="s">
        <v>733</v>
      </c>
      <c r="F130" t="s">
        <v>732</v>
      </c>
      <c r="G130" t="s">
        <v>50</v>
      </c>
      <c r="H130" t="s">
        <v>151</v>
      </c>
      <c r="I130" t="s">
        <v>430</v>
      </c>
      <c r="J130" t="s">
        <v>431</v>
      </c>
      <c r="K130">
        <v>650218</v>
      </c>
      <c r="L130" t="s">
        <v>73</v>
      </c>
      <c r="M130" t="s">
        <v>74</v>
      </c>
      <c r="N130" t="s">
        <v>1097</v>
      </c>
      <c r="O130" t="s">
        <v>56</v>
      </c>
      <c r="P130" s="1">
        <v>45550</v>
      </c>
      <c r="Q130" s="1">
        <v>45945</v>
      </c>
      <c r="R130" s="2">
        <v>35.06</v>
      </c>
      <c r="S130">
        <v>1</v>
      </c>
      <c r="T130" t="s">
        <v>57</v>
      </c>
      <c r="U130" t="s">
        <v>58</v>
      </c>
      <c r="V130" s="4">
        <v>0.1</v>
      </c>
      <c r="W130" s="2">
        <v>0</v>
      </c>
      <c r="X130">
        <v>0</v>
      </c>
      <c r="Y130" t="s">
        <v>59</v>
      </c>
      <c r="Z130" t="s">
        <v>60</v>
      </c>
      <c r="AA130">
        <v>0</v>
      </c>
      <c r="AB130" s="2">
        <v>0</v>
      </c>
      <c r="AC130" s="2">
        <v>0</v>
      </c>
      <c r="AD130" s="4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3.51</v>
      </c>
      <c r="AN130" s="2">
        <v>3.51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45915</v>
      </c>
      <c r="B131" t="s">
        <v>47</v>
      </c>
      <c r="C131">
        <v>649163</v>
      </c>
      <c r="D131">
        <v>2025729949</v>
      </c>
      <c r="E131" t="s">
        <v>799</v>
      </c>
      <c r="F131" t="s">
        <v>62</v>
      </c>
      <c r="G131" t="s">
        <v>50</v>
      </c>
      <c r="H131" t="s">
        <v>51</v>
      </c>
      <c r="I131" t="s">
        <v>430</v>
      </c>
      <c r="J131" t="s">
        <v>431</v>
      </c>
      <c r="K131">
        <v>650218</v>
      </c>
      <c r="L131" t="s">
        <v>73</v>
      </c>
      <c r="M131" t="s">
        <v>74</v>
      </c>
      <c r="N131" t="s">
        <v>1097</v>
      </c>
      <c r="O131" t="s">
        <v>56</v>
      </c>
      <c r="P131" s="1">
        <v>45609</v>
      </c>
      <c r="Q131" s="1">
        <v>45943</v>
      </c>
      <c r="R131" s="2">
        <v>53.16</v>
      </c>
      <c r="S131">
        <v>1</v>
      </c>
      <c r="T131" t="s">
        <v>57</v>
      </c>
      <c r="U131" t="s">
        <v>58</v>
      </c>
      <c r="V131" s="4">
        <v>0.38</v>
      </c>
      <c r="W131" s="2">
        <v>0</v>
      </c>
      <c r="X131">
        <v>0</v>
      </c>
      <c r="Y131" t="s">
        <v>70</v>
      </c>
      <c r="Z131" t="s">
        <v>60</v>
      </c>
      <c r="AA131">
        <v>0</v>
      </c>
      <c r="AB131" s="2">
        <v>0</v>
      </c>
      <c r="AC131" s="2">
        <v>0</v>
      </c>
      <c r="AD131" s="4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20.2</v>
      </c>
      <c r="AN131" s="2">
        <v>20.2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45915</v>
      </c>
      <c r="B132" t="s">
        <v>47</v>
      </c>
      <c r="C132">
        <v>649163</v>
      </c>
      <c r="D132">
        <v>2025737164</v>
      </c>
      <c r="E132" t="s">
        <v>798</v>
      </c>
      <c r="F132" t="s">
        <v>339</v>
      </c>
      <c r="G132" t="s">
        <v>50</v>
      </c>
      <c r="H132" t="s">
        <v>63</v>
      </c>
      <c r="I132" t="s">
        <v>430</v>
      </c>
      <c r="J132" t="s">
        <v>431</v>
      </c>
      <c r="K132">
        <v>650218</v>
      </c>
      <c r="L132" t="s">
        <v>73</v>
      </c>
      <c r="M132" t="s">
        <v>74</v>
      </c>
      <c r="N132" t="s">
        <v>1097</v>
      </c>
      <c r="O132" t="s">
        <v>56</v>
      </c>
      <c r="P132" s="1">
        <v>45609</v>
      </c>
      <c r="Q132" s="1">
        <v>45943</v>
      </c>
      <c r="R132" s="2">
        <v>26.7</v>
      </c>
      <c r="S132">
        <v>1</v>
      </c>
      <c r="T132" t="s">
        <v>57</v>
      </c>
      <c r="U132" t="s">
        <v>58</v>
      </c>
      <c r="V132" s="4">
        <v>0.38</v>
      </c>
      <c r="W132" s="2">
        <v>0</v>
      </c>
      <c r="X132">
        <v>0</v>
      </c>
      <c r="Y132" t="s">
        <v>70</v>
      </c>
      <c r="Z132" t="s">
        <v>60</v>
      </c>
      <c r="AA132">
        <v>0</v>
      </c>
      <c r="AB132" s="2">
        <v>0</v>
      </c>
      <c r="AC132" s="2">
        <v>0</v>
      </c>
      <c r="AD132" s="4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10.15</v>
      </c>
      <c r="AN132" s="2">
        <v>10.15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45915</v>
      </c>
      <c r="B133" t="s">
        <v>47</v>
      </c>
      <c r="C133">
        <v>649163</v>
      </c>
      <c r="D133">
        <v>2025756062</v>
      </c>
      <c r="E133" t="s">
        <v>797</v>
      </c>
      <c r="F133" t="s">
        <v>796</v>
      </c>
      <c r="G133" t="s">
        <v>50</v>
      </c>
      <c r="H133" t="s">
        <v>51</v>
      </c>
      <c r="I133" t="s">
        <v>430</v>
      </c>
      <c r="J133" t="s">
        <v>431</v>
      </c>
      <c r="K133">
        <v>650218</v>
      </c>
      <c r="L133" t="s">
        <v>73</v>
      </c>
      <c r="M133" t="s">
        <v>74</v>
      </c>
      <c r="N133" t="s">
        <v>1097</v>
      </c>
      <c r="O133" t="s">
        <v>56</v>
      </c>
      <c r="P133" s="1">
        <v>45610</v>
      </c>
      <c r="Q133" s="1">
        <v>45944</v>
      </c>
      <c r="R133" s="2">
        <v>33.51</v>
      </c>
      <c r="S133">
        <v>1</v>
      </c>
      <c r="T133" t="s">
        <v>57</v>
      </c>
      <c r="U133" t="s">
        <v>58</v>
      </c>
      <c r="V133" s="4">
        <v>0.38</v>
      </c>
      <c r="W133" s="2">
        <v>0</v>
      </c>
      <c r="X133">
        <v>0</v>
      </c>
      <c r="Y133" t="s">
        <v>70</v>
      </c>
      <c r="Z133" t="s">
        <v>60</v>
      </c>
      <c r="AA133">
        <v>0</v>
      </c>
      <c r="AB133" s="2">
        <v>0</v>
      </c>
      <c r="AC133" s="2">
        <v>0</v>
      </c>
      <c r="AD133" s="4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12.73</v>
      </c>
      <c r="AN133" s="2">
        <v>12.73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45915</v>
      </c>
      <c r="B134" t="s">
        <v>47</v>
      </c>
      <c r="C134">
        <v>649163</v>
      </c>
      <c r="D134">
        <v>2025769233</v>
      </c>
      <c r="E134" t="s">
        <v>795</v>
      </c>
      <c r="F134" t="s">
        <v>794</v>
      </c>
      <c r="G134" t="s">
        <v>50</v>
      </c>
      <c r="H134" t="s">
        <v>51</v>
      </c>
      <c r="I134" t="s">
        <v>430</v>
      </c>
      <c r="J134" t="s">
        <v>78</v>
      </c>
      <c r="K134">
        <v>650218</v>
      </c>
      <c r="L134" t="s">
        <v>73</v>
      </c>
      <c r="M134" t="s">
        <v>74</v>
      </c>
      <c r="N134" t="s">
        <v>1097</v>
      </c>
      <c r="O134" t="s">
        <v>56</v>
      </c>
      <c r="P134" s="1">
        <v>45611</v>
      </c>
      <c r="Q134" s="1">
        <v>45945</v>
      </c>
      <c r="R134" s="2">
        <v>56.46</v>
      </c>
      <c r="S134">
        <v>1</v>
      </c>
      <c r="T134" t="s">
        <v>57</v>
      </c>
      <c r="U134" t="s">
        <v>58</v>
      </c>
      <c r="V134" s="4">
        <v>0.6</v>
      </c>
      <c r="W134" s="2">
        <v>0</v>
      </c>
      <c r="X134">
        <v>0</v>
      </c>
      <c r="Y134" t="s">
        <v>70</v>
      </c>
      <c r="Z134" t="s">
        <v>60</v>
      </c>
      <c r="AA134">
        <v>0</v>
      </c>
      <c r="AB134" s="2">
        <v>0</v>
      </c>
      <c r="AC134" s="2">
        <v>0</v>
      </c>
      <c r="AD134" s="4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33.880000000000003</v>
      </c>
      <c r="AN134" s="2">
        <v>33.880000000000003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45915</v>
      </c>
      <c r="B135" t="s">
        <v>47</v>
      </c>
      <c r="C135">
        <v>649163</v>
      </c>
      <c r="D135">
        <v>2025769234</v>
      </c>
      <c r="E135" t="s">
        <v>795</v>
      </c>
      <c r="F135" t="s">
        <v>794</v>
      </c>
      <c r="G135" t="s">
        <v>50</v>
      </c>
      <c r="H135" t="s">
        <v>51</v>
      </c>
      <c r="I135" t="s">
        <v>430</v>
      </c>
      <c r="J135" t="s">
        <v>431</v>
      </c>
      <c r="K135">
        <v>650218</v>
      </c>
      <c r="L135" t="s">
        <v>73</v>
      </c>
      <c r="M135" t="s">
        <v>74</v>
      </c>
      <c r="N135" t="s">
        <v>1097</v>
      </c>
      <c r="O135" t="s">
        <v>56</v>
      </c>
      <c r="P135" s="1">
        <v>45611</v>
      </c>
      <c r="Q135" s="1">
        <v>45945</v>
      </c>
      <c r="R135" s="2">
        <v>27.15</v>
      </c>
      <c r="S135">
        <v>1</v>
      </c>
      <c r="T135" t="s">
        <v>57</v>
      </c>
      <c r="U135" t="s">
        <v>58</v>
      </c>
      <c r="V135" s="4">
        <v>0.38</v>
      </c>
      <c r="W135" s="2">
        <v>0</v>
      </c>
      <c r="X135">
        <v>0</v>
      </c>
      <c r="Y135" t="s">
        <v>70</v>
      </c>
      <c r="Z135" t="s">
        <v>60</v>
      </c>
      <c r="AA135">
        <v>0</v>
      </c>
      <c r="AB135" s="2">
        <v>0</v>
      </c>
      <c r="AC135" s="2">
        <v>0</v>
      </c>
      <c r="AD135" s="4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10.32</v>
      </c>
      <c r="AN135" s="2">
        <v>10.32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45915</v>
      </c>
      <c r="B136" t="s">
        <v>47</v>
      </c>
      <c r="C136">
        <v>649163</v>
      </c>
      <c r="D136">
        <v>2027849973</v>
      </c>
      <c r="E136" t="s">
        <v>783</v>
      </c>
      <c r="F136" t="s">
        <v>65</v>
      </c>
      <c r="G136" t="s">
        <v>50</v>
      </c>
      <c r="H136" t="s">
        <v>255</v>
      </c>
      <c r="I136" t="s">
        <v>430</v>
      </c>
      <c r="J136" t="s">
        <v>431</v>
      </c>
      <c r="K136">
        <v>650218</v>
      </c>
      <c r="L136" t="s">
        <v>73</v>
      </c>
      <c r="M136" t="s">
        <v>74</v>
      </c>
      <c r="N136" t="s">
        <v>1097</v>
      </c>
      <c r="O136" t="s">
        <v>56</v>
      </c>
      <c r="P136" s="1">
        <v>45733</v>
      </c>
      <c r="Q136" s="1">
        <v>45947</v>
      </c>
      <c r="R136" s="2">
        <v>48.95</v>
      </c>
      <c r="S136">
        <v>1</v>
      </c>
      <c r="T136" t="s">
        <v>57</v>
      </c>
      <c r="U136" t="s">
        <v>58</v>
      </c>
      <c r="V136" s="4">
        <v>0.38</v>
      </c>
      <c r="W136" s="2">
        <v>0</v>
      </c>
      <c r="X136">
        <v>0</v>
      </c>
      <c r="Y136" t="s">
        <v>70</v>
      </c>
      <c r="Z136" t="s">
        <v>60</v>
      </c>
      <c r="AA136">
        <v>0</v>
      </c>
      <c r="AB136" s="2">
        <v>0</v>
      </c>
      <c r="AC136" s="2">
        <v>0</v>
      </c>
      <c r="AD136" s="4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18.600000000000001</v>
      </c>
      <c r="AN136" s="2">
        <v>18.600000000000001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45915</v>
      </c>
      <c r="B137" t="s">
        <v>47</v>
      </c>
      <c r="C137">
        <v>649163</v>
      </c>
      <c r="D137">
        <v>2028565356</v>
      </c>
      <c r="E137" t="s">
        <v>317</v>
      </c>
      <c r="F137" t="s">
        <v>778</v>
      </c>
      <c r="G137" t="s">
        <v>50</v>
      </c>
      <c r="H137" t="s">
        <v>151</v>
      </c>
      <c r="I137" t="s">
        <v>430</v>
      </c>
      <c r="J137" t="s">
        <v>431</v>
      </c>
      <c r="K137">
        <v>650218</v>
      </c>
      <c r="L137" t="s">
        <v>73</v>
      </c>
      <c r="M137" t="s">
        <v>74</v>
      </c>
      <c r="N137" t="s">
        <v>1097</v>
      </c>
      <c r="O137" t="s">
        <v>56</v>
      </c>
      <c r="P137" s="1">
        <v>45777</v>
      </c>
      <c r="Q137" s="1">
        <v>45930</v>
      </c>
      <c r="R137" s="2">
        <v>39.340000000000003</v>
      </c>
      <c r="S137">
        <v>1</v>
      </c>
      <c r="T137" t="s">
        <v>57</v>
      </c>
      <c r="U137" t="s">
        <v>58</v>
      </c>
      <c r="V137" s="4">
        <v>0.38</v>
      </c>
      <c r="W137" s="2">
        <v>0</v>
      </c>
      <c r="X137">
        <v>0</v>
      </c>
      <c r="Y137" t="s">
        <v>70</v>
      </c>
      <c r="Z137" t="s">
        <v>60</v>
      </c>
      <c r="AA137">
        <v>0</v>
      </c>
      <c r="AB137" s="2">
        <v>0</v>
      </c>
      <c r="AC137" s="2">
        <v>0</v>
      </c>
      <c r="AD137" s="4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14.95</v>
      </c>
      <c r="AN137" s="2">
        <v>14.95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45915</v>
      </c>
      <c r="B138" t="s">
        <v>47</v>
      </c>
      <c r="C138">
        <v>649163</v>
      </c>
      <c r="D138">
        <v>2030558287</v>
      </c>
      <c r="E138" t="s">
        <v>378</v>
      </c>
      <c r="F138" t="s">
        <v>117</v>
      </c>
      <c r="G138" t="s">
        <v>50</v>
      </c>
      <c r="H138" t="s">
        <v>157</v>
      </c>
      <c r="I138" t="s">
        <v>430</v>
      </c>
      <c r="J138" t="s">
        <v>438</v>
      </c>
      <c r="K138">
        <v>650218</v>
      </c>
      <c r="L138" t="s">
        <v>73</v>
      </c>
      <c r="M138" t="s">
        <v>74</v>
      </c>
      <c r="N138" t="s">
        <v>1097</v>
      </c>
      <c r="O138" t="s">
        <v>56</v>
      </c>
      <c r="P138" s="1">
        <v>45888</v>
      </c>
      <c r="Q138" s="1">
        <v>45949</v>
      </c>
      <c r="R138" s="2">
        <v>115.38</v>
      </c>
      <c r="S138">
        <v>1</v>
      </c>
      <c r="T138" t="s">
        <v>57</v>
      </c>
      <c r="U138" t="s">
        <v>58</v>
      </c>
      <c r="V138" s="4">
        <v>0.38</v>
      </c>
      <c r="W138" s="2">
        <v>0</v>
      </c>
      <c r="X138">
        <v>0</v>
      </c>
      <c r="Y138" t="s">
        <v>70</v>
      </c>
      <c r="Z138" t="s">
        <v>60</v>
      </c>
      <c r="AA138">
        <v>0</v>
      </c>
      <c r="AB138" s="2">
        <v>0</v>
      </c>
      <c r="AC138" s="2">
        <v>0</v>
      </c>
      <c r="AD138" s="4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43.84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45915</v>
      </c>
      <c r="B139" t="s">
        <v>47</v>
      </c>
      <c r="C139">
        <v>649163</v>
      </c>
      <c r="D139">
        <v>2030558288</v>
      </c>
      <c r="E139" t="s">
        <v>378</v>
      </c>
      <c r="F139" t="s">
        <v>117</v>
      </c>
      <c r="G139" t="s">
        <v>50</v>
      </c>
      <c r="H139" t="s">
        <v>157</v>
      </c>
      <c r="I139" t="s">
        <v>430</v>
      </c>
      <c r="J139" t="s">
        <v>439</v>
      </c>
      <c r="K139">
        <v>650218</v>
      </c>
      <c r="L139" t="s">
        <v>73</v>
      </c>
      <c r="M139" t="s">
        <v>74</v>
      </c>
      <c r="N139" t="s">
        <v>1097</v>
      </c>
      <c r="O139" t="s">
        <v>56</v>
      </c>
      <c r="P139" s="1">
        <v>45888</v>
      </c>
      <c r="Q139" s="1">
        <v>45949</v>
      </c>
      <c r="R139" s="2">
        <v>7.09</v>
      </c>
      <c r="S139">
        <v>1</v>
      </c>
      <c r="T139" t="s">
        <v>57</v>
      </c>
      <c r="U139" t="s">
        <v>58</v>
      </c>
      <c r="V139" s="4">
        <v>0.38</v>
      </c>
      <c r="W139" s="2">
        <v>0</v>
      </c>
      <c r="X139">
        <v>0</v>
      </c>
      <c r="Y139" t="s">
        <v>70</v>
      </c>
      <c r="Z139" t="s">
        <v>60</v>
      </c>
      <c r="AA139">
        <v>0</v>
      </c>
      <c r="AB139" s="2">
        <v>0</v>
      </c>
      <c r="AC139" s="2">
        <v>0</v>
      </c>
      <c r="AD139" s="4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2.69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45915</v>
      </c>
      <c r="B140" t="s">
        <v>47</v>
      </c>
      <c r="C140">
        <v>649163</v>
      </c>
      <c r="D140">
        <v>2024853075</v>
      </c>
      <c r="E140" t="s">
        <v>733</v>
      </c>
      <c r="F140" t="s">
        <v>732</v>
      </c>
      <c r="G140" t="s">
        <v>50</v>
      </c>
      <c r="H140" t="s">
        <v>151</v>
      </c>
      <c r="I140" t="s">
        <v>441</v>
      </c>
      <c r="J140" t="s">
        <v>445</v>
      </c>
      <c r="K140">
        <v>650218</v>
      </c>
      <c r="L140" t="s">
        <v>73</v>
      </c>
      <c r="M140" t="s">
        <v>74</v>
      </c>
      <c r="N140" t="s">
        <v>1097</v>
      </c>
      <c r="O140" t="s">
        <v>56</v>
      </c>
      <c r="P140" s="1">
        <v>45550</v>
      </c>
      <c r="Q140" s="1">
        <v>45945</v>
      </c>
      <c r="R140" s="2">
        <v>18.920000000000002</v>
      </c>
      <c r="S140">
        <v>1</v>
      </c>
      <c r="T140" t="s">
        <v>57</v>
      </c>
      <c r="U140" t="s">
        <v>58</v>
      </c>
      <c r="V140" s="4">
        <v>0.15</v>
      </c>
      <c r="W140" s="2">
        <v>0</v>
      </c>
      <c r="X140">
        <v>0</v>
      </c>
      <c r="Y140" t="s">
        <v>59</v>
      </c>
      <c r="Z140" t="s">
        <v>60</v>
      </c>
      <c r="AA140">
        <v>0</v>
      </c>
      <c r="AB140" s="2">
        <v>0</v>
      </c>
      <c r="AC140" s="2">
        <v>0</v>
      </c>
      <c r="AD140" s="4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2.84</v>
      </c>
      <c r="AN140" s="2">
        <v>2.84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45922</v>
      </c>
      <c r="B141" t="s">
        <v>47</v>
      </c>
      <c r="C141">
        <v>649163</v>
      </c>
      <c r="D141">
        <v>2022279767</v>
      </c>
      <c r="E141" t="s">
        <v>61</v>
      </c>
      <c r="F141" t="s">
        <v>62</v>
      </c>
      <c r="G141" t="s">
        <v>50</v>
      </c>
      <c r="H141" t="s">
        <v>63</v>
      </c>
      <c r="I141" t="s">
        <v>52</v>
      </c>
      <c r="J141" t="s">
        <v>53</v>
      </c>
      <c r="K141">
        <v>649270</v>
      </c>
      <c r="L141" t="s">
        <v>64</v>
      </c>
      <c r="M141" t="s">
        <v>65</v>
      </c>
      <c r="N141" t="s">
        <v>1084</v>
      </c>
      <c r="O141" t="s">
        <v>56</v>
      </c>
      <c r="P141" s="1">
        <v>45371</v>
      </c>
      <c r="Q141" s="1">
        <v>45950</v>
      </c>
      <c r="R141" s="2">
        <v>46.46</v>
      </c>
      <c r="S141">
        <v>1</v>
      </c>
      <c r="T141" t="s">
        <v>57</v>
      </c>
      <c r="U141" t="s">
        <v>58</v>
      </c>
      <c r="V141" s="3">
        <v>2.5000000000000001E-2</v>
      </c>
      <c r="W141" s="2">
        <v>0</v>
      </c>
      <c r="X141">
        <v>0</v>
      </c>
      <c r="Y141" t="s">
        <v>59</v>
      </c>
      <c r="Z141" t="s">
        <v>60</v>
      </c>
      <c r="AA141">
        <v>0</v>
      </c>
      <c r="AB141" s="2">
        <v>0</v>
      </c>
      <c r="AC141" s="2">
        <v>0</v>
      </c>
      <c r="AD141" s="4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1.1599999999999999</v>
      </c>
      <c r="AN141" s="2">
        <v>1.1599999999999999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45922</v>
      </c>
      <c r="B142" t="s">
        <v>47</v>
      </c>
      <c r="C142">
        <v>649163</v>
      </c>
      <c r="D142">
        <v>2030105691</v>
      </c>
      <c r="E142" t="s">
        <v>277</v>
      </c>
      <c r="F142" t="s">
        <v>278</v>
      </c>
      <c r="G142" t="s">
        <v>50</v>
      </c>
      <c r="H142" t="s">
        <v>93</v>
      </c>
      <c r="I142" t="s">
        <v>243</v>
      </c>
      <c r="J142" t="s">
        <v>261</v>
      </c>
      <c r="K142">
        <v>856163</v>
      </c>
      <c r="L142" t="s">
        <v>79</v>
      </c>
      <c r="M142" t="s">
        <v>279</v>
      </c>
      <c r="N142" t="s">
        <v>1102</v>
      </c>
      <c r="O142" t="s">
        <v>56</v>
      </c>
      <c r="P142" s="1">
        <v>45862</v>
      </c>
      <c r="Q142" s="1">
        <v>45954</v>
      </c>
      <c r="R142" s="2">
        <v>15</v>
      </c>
      <c r="S142">
        <v>1</v>
      </c>
      <c r="T142" t="s">
        <v>57</v>
      </c>
      <c r="U142" t="s">
        <v>58</v>
      </c>
      <c r="V142" s="4">
        <v>0.38</v>
      </c>
      <c r="W142" s="2">
        <v>0</v>
      </c>
      <c r="X142">
        <v>0</v>
      </c>
      <c r="Y142" t="s">
        <v>70</v>
      </c>
      <c r="Z142" t="s">
        <v>60</v>
      </c>
      <c r="AA142">
        <v>0</v>
      </c>
      <c r="AB142" s="2">
        <v>0</v>
      </c>
      <c r="AC142" s="2">
        <v>0</v>
      </c>
      <c r="AD142" s="4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5.7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45922</v>
      </c>
      <c r="B143" t="s">
        <v>47</v>
      </c>
      <c r="C143">
        <v>649163</v>
      </c>
      <c r="D143">
        <v>2030591799</v>
      </c>
      <c r="E143" t="s">
        <v>286</v>
      </c>
      <c r="F143" t="s">
        <v>287</v>
      </c>
      <c r="G143" t="s">
        <v>50</v>
      </c>
      <c r="H143" t="s">
        <v>93</v>
      </c>
      <c r="I143" t="s">
        <v>243</v>
      </c>
      <c r="J143" t="s">
        <v>261</v>
      </c>
      <c r="K143">
        <v>856163</v>
      </c>
      <c r="L143" t="s">
        <v>79</v>
      </c>
      <c r="M143" t="s">
        <v>279</v>
      </c>
      <c r="N143" t="s">
        <v>1102</v>
      </c>
      <c r="O143" t="s">
        <v>56</v>
      </c>
      <c r="P143" s="1">
        <v>45890</v>
      </c>
      <c r="Q143" s="1">
        <v>45951</v>
      </c>
      <c r="R143" s="2">
        <v>15</v>
      </c>
      <c r="S143">
        <v>1</v>
      </c>
      <c r="T143" t="s">
        <v>57</v>
      </c>
      <c r="U143" t="s">
        <v>58</v>
      </c>
      <c r="V143" s="4">
        <v>0.38</v>
      </c>
      <c r="W143" s="2">
        <v>0</v>
      </c>
      <c r="X143">
        <v>0</v>
      </c>
      <c r="Y143" t="s">
        <v>70</v>
      </c>
      <c r="Z143" t="s">
        <v>60</v>
      </c>
      <c r="AA143">
        <v>0</v>
      </c>
      <c r="AB143" s="2">
        <v>0</v>
      </c>
      <c r="AC143" s="2">
        <v>0</v>
      </c>
      <c r="AD143" s="4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5.7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45922</v>
      </c>
      <c r="B144" t="s">
        <v>47</v>
      </c>
      <c r="C144">
        <v>649163</v>
      </c>
      <c r="D144">
        <v>2027836412</v>
      </c>
      <c r="E144" t="s">
        <v>367</v>
      </c>
      <c r="F144" t="s">
        <v>368</v>
      </c>
      <c r="G144" t="s">
        <v>50</v>
      </c>
      <c r="H144" t="s">
        <v>121</v>
      </c>
      <c r="I144" t="s">
        <v>306</v>
      </c>
      <c r="J144" t="s">
        <v>307</v>
      </c>
      <c r="K144">
        <v>856163</v>
      </c>
      <c r="L144" t="s">
        <v>79</v>
      </c>
      <c r="M144" t="s">
        <v>279</v>
      </c>
      <c r="N144" t="s">
        <v>1102</v>
      </c>
      <c r="O144" t="s">
        <v>56</v>
      </c>
      <c r="P144" s="1">
        <v>45736</v>
      </c>
      <c r="Q144" s="1">
        <v>45950</v>
      </c>
      <c r="R144" s="2">
        <v>95.66</v>
      </c>
      <c r="S144">
        <v>1</v>
      </c>
      <c r="T144" t="s">
        <v>57</v>
      </c>
      <c r="U144" t="s">
        <v>58</v>
      </c>
      <c r="V144" s="3">
        <v>0.375</v>
      </c>
      <c r="W144" s="2">
        <v>0</v>
      </c>
      <c r="X144">
        <v>0</v>
      </c>
      <c r="Y144" t="s">
        <v>70</v>
      </c>
      <c r="Z144" t="s">
        <v>60</v>
      </c>
      <c r="AA144">
        <v>0</v>
      </c>
      <c r="AB144" s="2">
        <v>0</v>
      </c>
      <c r="AC144" s="2">
        <v>0</v>
      </c>
      <c r="AD144" s="4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35.869999999999997</v>
      </c>
      <c r="AN144" s="2">
        <v>35.869999999999997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45922</v>
      </c>
      <c r="B145" t="s">
        <v>47</v>
      </c>
      <c r="C145">
        <v>649163</v>
      </c>
      <c r="D145">
        <v>2030125458</v>
      </c>
      <c r="E145" t="s">
        <v>396</v>
      </c>
      <c r="F145" t="s">
        <v>397</v>
      </c>
      <c r="G145" t="s">
        <v>50</v>
      </c>
      <c r="H145" t="s">
        <v>115</v>
      </c>
      <c r="I145" t="s">
        <v>306</v>
      </c>
      <c r="J145" t="s">
        <v>307</v>
      </c>
      <c r="K145">
        <v>856163</v>
      </c>
      <c r="L145" t="s">
        <v>79</v>
      </c>
      <c r="M145" t="s">
        <v>279</v>
      </c>
      <c r="N145" t="s">
        <v>1102</v>
      </c>
      <c r="O145" t="s">
        <v>56</v>
      </c>
      <c r="P145" s="1">
        <v>45863</v>
      </c>
      <c r="Q145" s="1">
        <v>45955</v>
      </c>
      <c r="R145" s="2">
        <v>50.3</v>
      </c>
      <c r="S145">
        <v>1</v>
      </c>
      <c r="T145" t="s">
        <v>57</v>
      </c>
      <c r="U145" t="s">
        <v>58</v>
      </c>
      <c r="V145" s="3">
        <v>0.375</v>
      </c>
      <c r="W145" s="2">
        <v>0</v>
      </c>
      <c r="X145">
        <v>0</v>
      </c>
      <c r="Y145" t="s">
        <v>70</v>
      </c>
      <c r="Z145" t="s">
        <v>60</v>
      </c>
      <c r="AA145">
        <v>0</v>
      </c>
      <c r="AB145" s="2">
        <v>0</v>
      </c>
      <c r="AC145" s="2">
        <v>0</v>
      </c>
      <c r="AD145" s="4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18.86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45922</v>
      </c>
      <c r="B146" t="s">
        <v>47</v>
      </c>
      <c r="C146">
        <v>649163</v>
      </c>
      <c r="D146">
        <v>2030105688</v>
      </c>
      <c r="E146" t="s">
        <v>277</v>
      </c>
      <c r="F146" t="s">
        <v>278</v>
      </c>
      <c r="G146" t="s">
        <v>50</v>
      </c>
      <c r="H146" t="s">
        <v>93</v>
      </c>
      <c r="I146" t="s">
        <v>430</v>
      </c>
      <c r="J146" t="s">
        <v>438</v>
      </c>
      <c r="K146">
        <v>856163</v>
      </c>
      <c r="L146" t="s">
        <v>79</v>
      </c>
      <c r="M146" t="s">
        <v>279</v>
      </c>
      <c r="N146" t="s">
        <v>1102</v>
      </c>
      <c r="O146" t="s">
        <v>56</v>
      </c>
      <c r="P146" s="1">
        <v>45862</v>
      </c>
      <c r="Q146" s="1">
        <v>45954</v>
      </c>
      <c r="R146" s="2">
        <v>616.1</v>
      </c>
      <c r="S146">
        <v>1</v>
      </c>
      <c r="T146" t="s">
        <v>57</v>
      </c>
      <c r="U146" t="s">
        <v>58</v>
      </c>
      <c r="V146" s="4">
        <v>0.38</v>
      </c>
      <c r="W146" s="2">
        <v>0</v>
      </c>
      <c r="X146">
        <v>0</v>
      </c>
      <c r="Y146" t="s">
        <v>70</v>
      </c>
      <c r="Z146" t="s">
        <v>60</v>
      </c>
      <c r="AA146">
        <v>0</v>
      </c>
      <c r="AB146" s="2">
        <v>0</v>
      </c>
      <c r="AC146" s="2">
        <v>0</v>
      </c>
      <c r="AD146" s="4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234.12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45922</v>
      </c>
      <c r="B147" t="s">
        <v>47</v>
      </c>
      <c r="C147">
        <v>649163</v>
      </c>
      <c r="D147">
        <v>2030105689</v>
      </c>
      <c r="E147" t="s">
        <v>277</v>
      </c>
      <c r="F147" t="s">
        <v>278</v>
      </c>
      <c r="G147" t="s">
        <v>50</v>
      </c>
      <c r="H147" t="s">
        <v>93</v>
      </c>
      <c r="I147" t="s">
        <v>430</v>
      </c>
      <c r="J147" t="s">
        <v>439</v>
      </c>
      <c r="K147">
        <v>856163</v>
      </c>
      <c r="L147" t="s">
        <v>79</v>
      </c>
      <c r="M147" t="s">
        <v>279</v>
      </c>
      <c r="N147" t="s">
        <v>1102</v>
      </c>
      <c r="O147" t="s">
        <v>56</v>
      </c>
      <c r="P147" s="1">
        <v>45862</v>
      </c>
      <c r="Q147" s="1">
        <v>45954</v>
      </c>
      <c r="R147" s="2">
        <v>7.09</v>
      </c>
      <c r="S147">
        <v>1</v>
      </c>
      <c r="T147" t="s">
        <v>57</v>
      </c>
      <c r="U147" t="s">
        <v>58</v>
      </c>
      <c r="V147" s="4">
        <v>0.38</v>
      </c>
      <c r="W147" s="2">
        <v>0</v>
      </c>
      <c r="X147">
        <v>0</v>
      </c>
      <c r="Y147" t="s">
        <v>70</v>
      </c>
      <c r="Z147" t="s">
        <v>60</v>
      </c>
      <c r="AA147">
        <v>0</v>
      </c>
      <c r="AB147" s="2">
        <v>0</v>
      </c>
      <c r="AC147" s="2">
        <v>0</v>
      </c>
      <c r="AD147" s="4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2.69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45922</v>
      </c>
      <c r="B148" t="s">
        <v>47</v>
      </c>
      <c r="C148">
        <v>649163</v>
      </c>
      <c r="D148">
        <v>2030591796</v>
      </c>
      <c r="E148" t="s">
        <v>286</v>
      </c>
      <c r="F148" t="s">
        <v>287</v>
      </c>
      <c r="G148" t="s">
        <v>50</v>
      </c>
      <c r="H148" t="s">
        <v>93</v>
      </c>
      <c r="I148" t="s">
        <v>430</v>
      </c>
      <c r="J148" t="s">
        <v>438</v>
      </c>
      <c r="K148">
        <v>856163</v>
      </c>
      <c r="L148" t="s">
        <v>79</v>
      </c>
      <c r="M148" t="s">
        <v>279</v>
      </c>
      <c r="N148" t="s">
        <v>1102</v>
      </c>
      <c r="O148" t="s">
        <v>56</v>
      </c>
      <c r="P148" s="1">
        <v>45890</v>
      </c>
      <c r="Q148" s="1">
        <v>45951</v>
      </c>
      <c r="R148" s="2">
        <v>187.73</v>
      </c>
      <c r="S148">
        <v>1</v>
      </c>
      <c r="T148" t="s">
        <v>57</v>
      </c>
      <c r="U148" t="s">
        <v>58</v>
      </c>
      <c r="V148" s="4">
        <v>0.38</v>
      </c>
      <c r="W148" s="2">
        <v>0</v>
      </c>
      <c r="X148">
        <v>0</v>
      </c>
      <c r="Y148" t="s">
        <v>70</v>
      </c>
      <c r="Z148" t="s">
        <v>60</v>
      </c>
      <c r="AA148">
        <v>0</v>
      </c>
      <c r="AB148" s="2">
        <v>0</v>
      </c>
      <c r="AC148" s="2">
        <v>0</v>
      </c>
      <c r="AD148" s="4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71.34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45922</v>
      </c>
      <c r="B149" t="s">
        <v>47</v>
      </c>
      <c r="C149">
        <v>649163</v>
      </c>
      <c r="D149">
        <v>2030591798</v>
      </c>
      <c r="E149" t="s">
        <v>286</v>
      </c>
      <c r="F149" t="s">
        <v>287</v>
      </c>
      <c r="G149" t="s">
        <v>50</v>
      </c>
      <c r="H149" t="s">
        <v>93</v>
      </c>
      <c r="I149" t="s">
        <v>430</v>
      </c>
      <c r="J149" t="s">
        <v>439</v>
      </c>
      <c r="K149">
        <v>856163</v>
      </c>
      <c r="L149" t="s">
        <v>79</v>
      </c>
      <c r="M149" t="s">
        <v>279</v>
      </c>
      <c r="N149" t="s">
        <v>1102</v>
      </c>
      <c r="O149" t="s">
        <v>56</v>
      </c>
      <c r="P149" s="1">
        <v>45890</v>
      </c>
      <c r="Q149" s="1">
        <v>45951</v>
      </c>
      <c r="R149" s="2">
        <v>7.09</v>
      </c>
      <c r="S149">
        <v>1</v>
      </c>
      <c r="T149" t="s">
        <v>57</v>
      </c>
      <c r="U149" t="s">
        <v>58</v>
      </c>
      <c r="V149" s="4">
        <v>0.38</v>
      </c>
      <c r="W149" s="2">
        <v>0</v>
      </c>
      <c r="X149">
        <v>0</v>
      </c>
      <c r="Y149" t="s">
        <v>70</v>
      </c>
      <c r="Z149" t="s">
        <v>60</v>
      </c>
      <c r="AA149">
        <v>0</v>
      </c>
      <c r="AB149" s="2">
        <v>0</v>
      </c>
      <c r="AC149" s="2">
        <v>0</v>
      </c>
      <c r="AD149" s="4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2.69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45922</v>
      </c>
      <c r="B150" t="s">
        <v>47</v>
      </c>
      <c r="C150">
        <v>649163</v>
      </c>
      <c r="D150">
        <v>2030105690</v>
      </c>
      <c r="E150" t="s">
        <v>277</v>
      </c>
      <c r="F150" t="s">
        <v>278</v>
      </c>
      <c r="G150" t="s">
        <v>50</v>
      </c>
      <c r="H150" t="s">
        <v>93</v>
      </c>
      <c r="I150" t="s">
        <v>441</v>
      </c>
      <c r="J150" t="s">
        <v>445</v>
      </c>
      <c r="K150">
        <v>856163</v>
      </c>
      <c r="L150" t="s">
        <v>79</v>
      </c>
      <c r="M150" t="s">
        <v>279</v>
      </c>
      <c r="N150" t="s">
        <v>1102</v>
      </c>
      <c r="O150" t="s">
        <v>56</v>
      </c>
      <c r="P150" s="1">
        <v>45862</v>
      </c>
      <c r="Q150" s="1">
        <v>45954</v>
      </c>
      <c r="R150" s="2">
        <v>245.95</v>
      </c>
      <c r="S150">
        <v>1</v>
      </c>
      <c r="T150" t="s">
        <v>57</v>
      </c>
      <c r="U150" t="s">
        <v>58</v>
      </c>
      <c r="V150" s="4">
        <v>0.7</v>
      </c>
      <c r="W150" s="2">
        <v>0</v>
      </c>
      <c r="X150">
        <v>0</v>
      </c>
      <c r="Y150" t="s">
        <v>70</v>
      </c>
      <c r="Z150" t="s">
        <v>60</v>
      </c>
      <c r="AA150">
        <v>0</v>
      </c>
      <c r="AB150" s="2">
        <v>0</v>
      </c>
      <c r="AC150" s="2">
        <v>0</v>
      </c>
      <c r="AD150" s="4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172.16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45922</v>
      </c>
      <c r="B151" t="s">
        <v>47</v>
      </c>
      <c r="C151">
        <v>649163</v>
      </c>
      <c r="D151">
        <v>2030125457</v>
      </c>
      <c r="E151" t="s">
        <v>396</v>
      </c>
      <c r="F151" t="s">
        <v>397</v>
      </c>
      <c r="G151" t="s">
        <v>50</v>
      </c>
      <c r="H151" t="s">
        <v>115</v>
      </c>
      <c r="I151" t="s">
        <v>441</v>
      </c>
      <c r="J151" t="s">
        <v>445</v>
      </c>
      <c r="K151">
        <v>856163</v>
      </c>
      <c r="L151" t="s">
        <v>79</v>
      </c>
      <c r="M151" t="s">
        <v>279</v>
      </c>
      <c r="N151" t="s">
        <v>1102</v>
      </c>
      <c r="O151" t="s">
        <v>56</v>
      </c>
      <c r="P151" s="1">
        <v>45863</v>
      </c>
      <c r="Q151" s="1">
        <v>45955</v>
      </c>
      <c r="R151" s="2">
        <v>13</v>
      </c>
      <c r="S151">
        <v>1</v>
      </c>
      <c r="T151" t="s">
        <v>57</v>
      </c>
      <c r="U151" t="s">
        <v>58</v>
      </c>
      <c r="V151" s="4">
        <v>0.7</v>
      </c>
      <c r="W151" s="2">
        <v>0</v>
      </c>
      <c r="X151">
        <v>0</v>
      </c>
      <c r="Y151" t="s">
        <v>70</v>
      </c>
      <c r="Z151" t="s">
        <v>60</v>
      </c>
      <c r="AA151">
        <v>0</v>
      </c>
      <c r="AB151" s="2">
        <v>0</v>
      </c>
      <c r="AC151" s="2">
        <v>0</v>
      </c>
      <c r="AD151" s="4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9.1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45922</v>
      </c>
      <c r="B152" t="s">
        <v>47</v>
      </c>
      <c r="C152">
        <v>649163</v>
      </c>
      <c r="D152">
        <v>2030591797</v>
      </c>
      <c r="E152" t="s">
        <v>286</v>
      </c>
      <c r="F152" t="s">
        <v>287</v>
      </c>
      <c r="G152" t="s">
        <v>50</v>
      </c>
      <c r="H152" t="s">
        <v>93</v>
      </c>
      <c r="I152" t="s">
        <v>441</v>
      </c>
      <c r="J152" t="s">
        <v>445</v>
      </c>
      <c r="K152">
        <v>856163</v>
      </c>
      <c r="L152" t="s">
        <v>79</v>
      </c>
      <c r="M152" t="s">
        <v>279</v>
      </c>
      <c r="N152" t="s">
        <v>1102</v>
      </c>
      <c r="O152" t="s">
        <v>56</v>
      </c>
      <c r="P152" s="1">
        <v>45890</v>
      </c>
      <c r="Q152" s="1">
        <v>45951</v>
      </c>
      <c r="R152" s="2">
        <v>112.95</v>
      </c>
      <c r="S152">
        <v>1</v>
      </c>
      <c r="T152" t="s">
        <v>57</v>
      </c>
      <c r="U152" t="s">
        <v>58</v>
      </c>
      <c r="V152" s="4">
        <v>0.7</v>
      </c>
      <c r="W152" s="2">
        <v>0</v>
      </c>
      <c r="X152">
        <v>0</v>
      </c>
      <c r="Y152" t="s">
        <v>70</v>
      </c>
      <c r="Z152" t="s">
        <v>60</v>
      </c>
      <c r="AA152">
        <v>0</v>
      </c>
      <c r="AB152" s="2">
        <v>0</v>
      </c>
      <c r="AC152" s="2">
        <v>0</v>
      </c>
      <c r="AD152" s="4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79.06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45915</v>
      </c>
      <c r="B153" t="s">
        <v>47</v>
      </c>
      <c r="C153">
        <v>649163</v>
      </c>
      <c r="D153">
        <v>2030006366</v>
      </c>
      <c r="E153" t="s">
        <v>154</v>
      </c>
      <c r="F153" t="s">
        <v>772</v>
      </c>
      <c r="G153" t="s">
        <v>50</v>
      </c>
      <c r="H153" t="s">
        <v>93</v>
      </c>
      <c r="I153" t="s">
        <v>243</v>
      </c>
      <c r="J153" t="s">
        <v>261</v>
      </c>
      <c r="K153">
        <v>856163</v>
      </c>
      <c r="L153" t="s">
        <v>79</v>
      </c>
      <c r="M153" t="s">
        <v>279</v>
      </c>
      <c r="N153" t="s">
        <v>1102</v>
      </c>
      <c r="O153" t="s">
        <v>56</v>
      </c>
      <c r="P153" s="1">
        <v>45856</v>
      </c>
      <c r="Q153" s="1">
        <v>45948</v>
      </c>
      <c r="R153" s="2">
        <v>15</v>
      </c>
      <c r="S153">
        <v>1</v>
      </c>
      <c r="T153" t="s">
        <v>57</v>
      </c>
      <c r="U153" t="s">
        <v>58</v>
      </c>
      <c r="V153" s="4">
        <v>0.38</v>
      </c>
      <c r="W153" s="2">
        <v>0</v>
      </c>
      <c r="X153">
        <v>0</v>
      </c>
      <c r="Y153" t="s">
        <v>70</v>
      </c>
      <c r="Z153" t="s">
        <v>60</v>
      </c>
      <c r="AA153">
        <v>0</v>
      </c>
      <c r="AB153" s="2">
        <v>0</v>
      </c>
      <c r="AC153" s="2">
        <v>0</v>
      </c>
      <c r="AD153" s="4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5.7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45915</v>
      </c>
      <c r="B154" t="s">
        <v>47</v>
      </c>
      <c r="C154">
        <v>649163</v>
      </c>
      <c r="D154">
        <v>2030023419</v>
      </c>
      <c r="E154" t="s">
        <v>771</v>
      </c>
      <c r="F154" t="s">
        <v>770</v>
      </c>
      <c r="G154" t="s">
        <v>50</v>
      </c>
      <c r="H154" t="s">
        <v>93</v>
      </c>
      <c r="I154" t="s">
        <v>243</v>
      </c>
      <c r="J154" t="s">
        <v>269</v>
      </c>
      <c r="K154">
        <v>856163</v>
      </c>
      <c r="L154" t="s">
        <v>79</v>
      </c>
      <c r="M154" t="s">
        <v>279</v>
      </c>
      <c r="N154" t="s">
        <v>1102</v>
      </c>
      <c r="O154" t="s">
        <v>56</v>
      </c>
      <c r="P154" s="1">
        <v>45857</v>
      </c>
      <c r="Q154" s="1">
        <v>45949</v>
      </c>
      <c r="R154" s="2">
        <v>15</v>
      </c>
      <c r="S154">
        <v>1</v>
      </c>
      <c r="T154" t="s">
        <v>57</v>
      </c>
      <c r="U154" t="s">
        <v>58</v>
      </c>
      <c r="V154" s="4">
        <v>0.19</v>
      </c>
      <c r="W154" s="2">
        <v>0</v>
      </c>
      <c r="X154">
        <v>0</v>
      </c>
      <c r="Y154" t="s">
        <v>70</v>
      </c>
      <c r="Z154" t="s">
        <v>60</v>
      </c>
      <c r="AA154">
        <v>0</v>
      </c>
      <c r="AB154" s="2">
        <v>0</v>
      </c>
      <c r="AC154" s="2">
        <v>0</v>
      </c>
      <c r="AD154" s="4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2.85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45915</v>
      </c>
      <c r="B155" t="s">
        <v>47</v>
      </c>
      <c r="C155">
        <v>649163</v>
      </c>
      <c r="D155">
        <v>2028937325</v>
      </c>
      <c r="E155" t="s">
        <v>954</v>
      </c>
      <c r="F155" t="s">
        <v>953</v>
      </c>
      <c r="G155" t="s">
        <v>50</v>
      </c>
      <c r="H155" t="s">
        <v>115</v>
      </c>
      <c r="I155" t="s">
        <v>441</v>
      </c>
      <c r="J155" t="s">
        <v>445</v>
      </c>
      <c r="K155">
        <v>856163</v>
      </c>
      <c r="L155" t="s">
        <v>79</v>
      </c>
      <c r="M155" t="s">
        <v>279</v>
      </c>
      <c r="N155" t="s">
        <v>1102</v>
      </c>
      <c r="O155" t="s">
        <v>56</v>
      </c>
      <c r="P155" s="1">
        <v>45792</v>
      </c>
      <c r="Q155" s="1">
        <v>45945</v>
      </c>
      <c r="R155" s="2">
        <v>163.43</v>
      </c>
      <c r="S155">
        <v>1</v>
      </c>
      <c r="T155" t="s">
        <v>57</v>
      </c>
      <c r="U155" t="s">
        <v>58</v>
      </c>
      <c r="V155" s="4">
        <v>0.7</v>
      </c>
      <c r="W155" s="2">
        <v>0</v>
      </c>
      <c r="X155">
        <v>0</v>
      </c>
      <c r="Y155" t="s">
        <v>70</v>
      </c>
      <c r="Z155" t="s">
        <v>60</v>
      </c>
      <c r="AA155">
        <v>0</v>
      </c>
      <c r="AB155" s="2">
        <v>0</v>
      </c>
      <c r="AC155" s="2">
        <v>0</v>
      </c>
      <c r="AD155" s="4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114.4</v>
      </c>
      <c r="AN155" s="2">
        <v>114.4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45915</v>
      </c>
      <c r="B156" t="s">
        <v>47</v>
      </c>
      <c r="C156">
        <v>649163</v>
      </c>
      <c r="D156">
        <v>2030023418</v>
      </c>
      <c r="E156" t="s">
        <v>771</v>
      </c>
      <c r="F156" t="s">
        <v>770</v>
      </c>
      <c r="G156" t="s">
        <v>50</v>
      </c>
      <c r="H156" t="s">
        <v>93</v>
      </c>
      <c r="I156" t="s">
        <v>441</v>
      </c>
      <c r="J156" t="s">
        <v>445</v>
      </c>
      <c r="K156">
        <v>856163</v>
      </c>
      <c r="L156" t="s">
        <v>79</v>
      </c>
      <c r="M156" t="s">
        <v>279</v>
      </c>
      <c r="N156" t="s">
        <v>1102</v>
      </c>
      <c r="O156" t="s">
        <v>56</v>
      </c>
      <c r="P156" s="1">
        <v>45857</v>
      </c>
      <c r="Q156" s="1">
        <v>45949</v>
      </c>
      <c r="R156" s="2">
        <v>198.36</v>
      </c>
      <c r="S156">
        <v>1</v>
      </c>
      <c r="T156" t="s">
        <v>57</v>
      </c>
      <c r="U156" t="s">
        <v>58</v>
      </c>
      <c r="V156" s="4">
        <v>0.7</v>
      </c>
      <c r="W156" s="2">
        <v>0</v>
      </c>
      <c r="X156">
        <v>0</v>
      </c>
      <c r="Y156" t="s">
        <v>70</v>
      </c>
      <c r="Z156" t="s">
        <v>60</v>
      </c>
      <c r="AA156">
        <v>0</v>
      </c>
      <c r="AB156" s="2">
        <v>0</v>
      </c>
      <c r="AC156" s="2">
        <v>0</v>
      </c>
      <c r="AD156" s="4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138.85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45915</v>
      </c>
      <c r="B157" t="s">
        <v>47</v>
      </c>
      <c r="C157">
        <v>649163</v>
      </c>
      <c r="D157">
        <v>2027849004</v>
      </c>
      <c r="E157" t="s">
        <v>879</v>
      </c>
      <c r="F157" t="s">
        <v>857</v>
      </c>
      <c r="G157" t="s">
        <v>50</v>
      </c>
      <c r="H157" t="s">
        <v>93</v>
      </c>
      <c r="I157" t="s">
        <v>306</v>
      </c>
      <c r="J157" t="s">
        <v>307</v>
      </c>
      <c r="K157">
        <v>856163</v>
      </c>
      <c r="L157" t="s">
        <v>79</v>
      </c>
      <c r="M157" t="s">
        <v>279</v>
      </c>
      <c r="N157" t="s">
        <v>1102</v>
      </c>
      <c r="O157" t="s">
        <v>56</v>
      </c>
      <c r="P157" s="1">
        <v>45733</v>
      </c>
      <c r="Q157" s="1">
        <v>45947</v>
      </c>
      <c r="R157" s="2">
        <v>182.73</v>
      </c>
      <c r="S157">
        <v>1</v>
      </c>
      <c r="T157" t="s">
        <v>57</v>
      </c>
      <c r="U157" t="s">
        <v>58</v>
      </c>
      <c r="V157" s="3">
        <v>0.375</v>
      </c>
      <c r="W157" s="2">
        <v>0</v>
      </c>
      <c r="X157">
        <v>0</v>
      </c>
      <c r="Y157" t="s">
        <v>70</v>
      </c>
      <c r="Z157" t="s">
        <v>60</v>
      </c>
      <c r="AA157">
        <v>0</v>
      </c>
      <c r="AB157" s="2">
        <v>0</v>
      </c>
      <c r="AC157" s="2">
        <v>0</v>
      </c>
      <c r="AD157" s="4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68.52</v>
      </c>
      <c r="AN157" s="2">
        <v>68.52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45915</v>
      </c>
      <c r="B158" t="s">
        <v>47</v>
      </c>
      <c r="C158">
        <v>649163</v>
      </c>
      <c r="D158">
        <v>2030006364</v>
      </c>
      <c r="E158" t="s">
        <v>154</v>
      </c>
      <c r="F158" t="s">
        <v>772</v>
      </c>
      <c r="G158" t="s">
        <v>50</v>
      </c>
      <c r="H158" t="s">
        <v>93</v>
      </c>
      <c r="I158" t="s">
        <v>430</v>
      </c>
      <c r="J158" t="s">
        <v>438</v>
      </c>
      <c r="K158">
        <v>856163</v>
      </c>
      <c r="L158" t="s">
        <v>79</v>
      </c>
      <c r="M158" t="s">
        <v>279</v>
      </c>
      <c r="N158" t="s">
        <v>1102</v>
      </c>
      <c r="O158" t="s">
        <v>56</v>
      </c>
      <c r="P158" s="1">
        <v>45856</v>
      </c>
      <c r="Q158" s="1">
        <v>45948</v>
      </c>
      <c r="R158" s="2">
        <v>284.87</v>
      </c>
      <c r="S158">
        <v>1</v>
      </c>
      <c r="T158" t="s">
        <v>57</v>
      </c>
      <c r="U158" t="s">
        <v>58</v>
      </c>
      <c r="V158" s="4">
        <v>0.38</v>
      </c>
      <c r="W158" s="2">
        <v>0</v>
      </c>
      <c r="X158">
        <v>0</v>
      </c>
      <c r="Y158" t="s">
        <v>70</v>
      </c>
      <c r="Z158" t="s">
        <v>60</v>
      </c>
      <c r="AA158">
        <v>0</v>
      </c>
      <c r="AB158" s="2">
        <v>0</v>
      </c>
      <c r="AC158" s="2">
        <v>0</v>
      </c>
      <c r="AD158" s="4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108.25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45915</v>
      </c>
      <c r="B159" t="s">
        <v>47</v>
      </c>
      <c r="C159">
        <v>649163</v>
      </c>
      <c r="D159">
        <v>2030006365</v>
      </c>
      <c r="E159" t="s">
        <v>154</v>
      </c>
      <c r="F159" t="s">
        <v>772</v>
      </c>
      <c r="G159" t="s">
        <v>50</v>
      </c>
      <c r="H159" t="s">
        <v>93</v>
      </c>
      <c r="I159" t="s">
        <v>430</v>
      </c>
      <c r="J159" t="s">
        <v>439</v>
      </c>
      <c r="K159">
        <v>856163</v>
      </c>
      <c r="L159" t="s">
        <v>79</v>
      </c>
      <c r="M159" t="s">
        <v>279</v>
      </c>
      <c r="N159" t="s">
        <v>1102</v>
      </c>
      <c r="O159" t="s">
        <v>56</v>
      </c>
      <c r="P159" s="1">
        <v>45856</v>
      </c>
      <c r="Q159" s="1">
        <v>45948</v>
      </c>
      <c r="R159" s="2">
        <v>7.09</v>
      </c>
      <c r="S159">
        <v>1</v>
      </c>
      <c r="T159" t="s">
        <v>57</v>
      </c>
      <c r="U159" t="s">
        <v>58</v>
      </c>
      <c r="V159" s="4">
        <v>0.38</v>
      </c>
      <c r="W159" s="2">
        <v>0</v>
      </c>
      <c r="X159">
        <v>0</v>
      </c>
      <c r="Y159" t="s">
        <v>70</v>
      </c>
      <c r="Z159" t="s">
        <v>60</v>
      </c>
      <c r="AA159">
        <v>0</v>
      </c>
      <c r="AB159" s="2">
        <v>0</v>
      </c>
      <c r="AC159" s="2">
        <v>0</v>
      </c>
      <c r="AD159" s="4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2.69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45915</v>
      </c>
      <c r="B160" t="s">
        <v>47</v>
      </c>
      <c r="C160">
        <v>649163</v>
      </c>
      <c r="D160">
        <v>2030023417</v>
      </c>
      <c r="E160" t="s">
        <v>771</v>
      </c>
      <c r="F160" t="s">
        <v>770</v>
      </c>
      <c r="G160" t="s">
        <v>50</v>
      </c>
      <c r="H160" t="s">
        <v>93</v>
      </c>
      <c r="I160" t="s">
        <v>430</v>
      </c>
      <c r="J160" t="s">
        <v>440</v>
      </c>
      <c r="K160">
        <v>856163</v>
      </c>
      <c r="L160" t="s">
        <v>79</v>
      </c>
      <c r="M160" t="s">
        <v>279</v>
      </c>
      <c r="N160" t="s">
        <v>1102</v>
      </c>
      <c r="O160" t="s">
        <v>56</v>
      </c>
      <c r="P160" s="1">
        <v>45857</v>
      </c>
      <c r="Q160" s="1">
        <v>45949</v>
      </c>
      <c r="R160" s="2">
        <v>316.91000000000003</v>
      </c>
      <c r="S160">
        <v>1</v>
      </c>
      <c r="T160" t="s">
        <v>57</v>
      </c>
      <c r="U160" t="s">
        <v>58</v>
      </c>
      <c r="V160" s="4">
        <v>0.19</v>
      </c>
      <c r="W160" s="2">
        <v>0</v>
      </c>
      <c r="X160">
        <v>0</v>
      </c>
      <c r="Y160" t="s">
        <v>70</v>
      </c>
      <c r="Z160" t="s">
        <v>60</v>
      </c>
      <c r="AA160">
        <v>0</v>
      </c>
      <c r="AB160" s="2">
        <v>0</v>
      </c>
      <c r="AC160" s="2">
        <v>0</v>
      </c>
      <c r="AD160" s="4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60.21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45922</v>
      </c>
      <c r="B161" t="s">
        <v>47</v>
      </c>
      <c r="C161">
        <v>649163</v>
      </c>
      <c r="D161">
        <v>2029036918</v>
      </c>
      <c r="E161" t="s">
        <v>383</v>
      </c>
      <c r="F161" t="s">
        <v>280</v>
      </c>
      <c r="G161" t="s">
        <v>50</v>
      </c>
      <c r="H161" t="s">
        <v>121</v>
      </c>
      <c r="I161" t="s">
        <v>306</v>
      </c>
      <c r="J161" t="s">
        <v>307</v>
      </c>
      <c r="K161">
        <v>813184</v>
      </c>
      <c r="L161" t="s">
        <v>194</v>
      </c>
      <c r="M161" t="s">
        <v>195</v>
      </c>
      <c r="N161" t="s">
        <v>1118</v>
      </c>
      <c r="O161" t="s">
        <v>56</v>
      </c>
      <c r="P161" s="1">
        <v>45798</v>
      </c>
      <c r="Q161" s="1">
        <v>45951</v>
      </c>
      <c r="R161" s="2">
        <v>59.41</v>
      </c>
      <c r="S161">
        <v>1</v>
      </c>
      <c r="T161" t="s">
        <v>57</v>
      </c>
      <c r="U161" t="s">
        <v>58</v>
      </c>
      <c r="V161" s="3">
        <v>0.375</v>
      </c>
      <c r="W161" s="2">
        <v>0</v>
      </c>
      <c r="X161">
        <v>0</v>
      </c>
      <c r="Y161" t="s">
        <v>70</v>
      </c>
      <c r="Z161" t="s">
        <v>60</v>
      </c>
      <c r="AA161">
        <v>0</v>
      </c>
      <c r="AB161" s="2">
        <v>0</v>
      </c>
      <c r="AC161" s="2">
        <v>0</v>
      </c>
      <c r="AD161" s="4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22.28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45922</v>
      </c>
      <c r="B162" t="s">
        <v>47</v>
      </c>
      <c r="C162">
        <v>649163</v>
      </c>
      <c r="D162">
        <v>2030601614</v>
      </c>
      <c r="E162" t="s">
        <v>409</v>
      </c>
      <c r="F162" t="s">
        <v>410</v>
      </c>
      <c r="G162" t="s">
        <v>50</v>
      </c>
      <c r="H162" t="s">
        <v>93</v>
      </c>
      <c r="I162" t="s">
        <v>306</v>
      </c>
      <c r="J162" t="s">
        <v>307</v>
      </c>
      <c r="K162">
        <v>813184</v>
      </c>
      <c r="L162" t="s">
        <v>194</v>
      </c>
      <c r="M162" t="s">
        <v>195</v>
      </c>
      <c r="N162" t="s">
        <v>1118</v>
      </c>
      <c r="O162" t="s">
        <v>56</v>
      </c>
      <c r="P162" s="1">
        <v>45891</v>
      </c>
      <c r="Q162" s="1">
        <v>45952</v>
      </c>
      <c r="R162" s="2">
        <v>63.37</v>
      </c>
      <c r="S162">
        <v>1</v>
      </c>
      <c r="T162" t="s">
        <v>57</v>
      </c>
      <c r="U162" t="s">
        <v>58</v>
      </c>
      <c r="V162" s="3">
        <v>0.375</v>
      </c>
      <c r="W162" s="2">
        <v>0</v>
      </c>
      <c r="X162">
        <v>0</v>
      </c>
      <c r="Y162" t="s">
        <v>70</v>
      </c>
      <c r="Z162" t="s">
        <v>60</v>
      </c>
      <c r="AA162">
        <v>0</v>
      </c>
      <c r="AB162" s="2">
        <v>0</v>
      </c>
      <c r="AC162" s="2">
        <v>0</v>
      </c>
      <c r="AD162" s="4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23.76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45922</v>
      </c>
      <c r="B163" t="s">
        <v>47</v>
      </c>
      <c r="C163">
        <v>649163</v>
      </c>
      <c r="D163">
        <v>2029036919</v>
      </c>
      <c r="E163" t="s">
        <v>383</v>
      </c>
      <c r="F163" t="s">
        <v>280</v>
      </c>
      <c r="G163" t="s">
        <v>50</v>
      </c>
      <c r="H163" t="s">
        <v>121</v>
      </c>
      <c r="I163" t="s">
        <v>441</v>
      </c>
      <c r="J163" t="s">
        <v>445</v>
      </c>
      <c r="K163">
        <v>813184</v>
      </c>
      <c r="L163" t="s">
        <v>194</v>
      </c>
      <c r="M163" t="s">
        <v>195</v>
      </c>
      <c r="N163" t="s">
        <v>1118</v>
      </c>
      <c r="O163" t="s">
        <v>56</v>
      </c>
      <c r="P163" s="1">
        <v>45798</v>
      </c>
      <c r="Q163" s="1">
        <v>45951</v>
      </c>
      <c r="R163" s="2">
        <v>11.5</v>
      </c>
      <c r="S163">
        <v>1</v>
      </c>
      <c r="T163" t="s">
        <v>57</v>
      </c>
      <c r="U163" t="s">
        <v>58</v>
      </c>
      <c r="V163" s="4">
        <v>0.7</v>
      </c>
      <c r="W163" s="2">
        <v>0</v>
      </c>
      <c r="X163">
        <v>0</v>
      </c>
      <c r="Y163" t="s">
        <v>70</v>
      </c>
      <c r="Z163" t="s">
        <v>60</v>
      </c>
      <c r="AA163">
        <v>0</v>
      </c>
      <c r="AB163" s="2">
        <v>0</v>
      </c>
      <c r="AC163" s="2">
        <v>0</v>
      </c>
      <c r="AD163" s="4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8.0500000000000007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45922</v>
      </c>
      <c r="B164" t="s">
        <v>47</v>
      </c>
      <c r="C164">
        <v>649163</v>
      </c>
      <c r="D164">
        <v>2029057172</v>
      </c>
      <c r="E164" t="s">
        <v>508</v>
      </c>
      <c r="F164" t="s">
        <v>509</v>
      </c>
      <c r="G164" t="s">
        <v>50</v>
      </c>
      <c r="H164" t="s">
        <v>121</v>
      </c>
      <c r="I164" t="s">
        <v>441</v>
      </c>
      <c r="J164" t="s">
        <v>445</v>
      </c>
      <c r="K164">
        <v>813184</v>
      </c>
      <c r="L164" t="s">
        <v>194</v>
      </c>
      <c r="M164" t="s">
        <v>195</v>
      </c>
      <c r="N164" t="s">
        <v>1118</v>
      </c>
      <c r="O164" t="s">
        <v>56</v>
      </c>
      <c r="P164" s="1">
        <v>45799</v>
      </c>
      <c r="Q164" s="1">
        <v>45952</v>
      </c>
      <c r="R164" s="2">
        <v>78.73</v>
      </c>
      <c r="S164">
        <v>1</v>
      </c>
      <c r="T164" t="s">
        <v>57</v>
      </c>
      <c r="U164" t="s">
        <v>58</v>
      </c>
      <c r="V164" s="4">
        <v>0.7</v>
      </c>
      <c r="W164" s="2">
        <v>0</v>
      </c>
      <c r="X164">
        <v>0</v>
      </c>
      <c r="Y164" t="s">
        <v>70</v>
      </c>
      <c r="Z164" t="s">
        <v>60</v>
      </c>
      <c r="AA164">
        <v>0</v>
      </c>
      <c r="AB164" s="2">
        <v>0</v>
      </c>
      <c r="AC164" s="2">
        <v>0</v>
      </c>
      <c r="AD164" s="4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55.11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45922</v>
      </c>
      <c r="B165" t="s">
        <v>47</v>
      </c>
      <c r="C165">
        <v>649163</v>
      </c>
      <c r="D165">
        <v>2029544666</v>
      </c>
      <c r="E165" t="s">
        <v>191</v>
      </c>
      <c r="F165" t="s">
        <v>192</v>
      </c>
      <c r="G165" t="s">
        <v>50</v>
      </c>
      <c r="H165" t="s">
        <v>193</v>
      </c>
      <c r="I165" t="s">
        <v>441</v>
      </c>
      <c r="J165" t="s">
        <v>445</v>
      </c>
      <c r="K165">
        <v>813184</v>
      </c>
      <c r="L165" t="s">
        <v>194</v>
      </c>
      <c r="M165" t="s">
        <v>195</v>
      </c>
      <c r="N165" t="s">
        <v>1118</v>
      </c>
      <c r="O165" t="s">
        <v>56</v>
      </c>
      <c r="P165" s="1">
        <v>45828</v>
      </c>
      <c r="Q165" s="1">
        <v>45950</v>
      </c>
      <c r="R165" s="2">
        <v>28.87</v>
      </c>
      <c r="S165">
        <v>1</v>
      </c>
      <c r="T165" t="s">
        <v>57</v>
      </c>
      <c r="U165" t="s">
        <v>58</v>
      </c>
      <c r="V165" s="4">
        <v>0.7</v>
      </c>
      <c r="W165" s="2">
        <v>0</v>
      </c>
      <c r="X165">
        <v>0</v>
      </c>
      <c r="Y165" t="s">
        <v>70</v>
      </c>
      <c r="Z165" t="s">
        <v>60</v>
      </c>
      <c r="AA165">
        <v>0</v>
      </c>
      <c r="AB165" s="2">
        <v>0</v>
      </c>
      <c r="AC165" s="2">
        <v>0</v>
      </c>
      <c r="AD165" s="4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20.21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45922</v>
      </c>
      <c r="B166" t="s">
        <v>47</v>
      </c>
      <c r="C166">
        <v>649163</v>
      </c>
      <c r="D166">
        <v>2030581492</v>
      </c>
      <c r="E166" t="s">
        <v>548</v>
      </c>
      <c r="F166" t="s">
        <v>549</v>
      </c>
      <c r="G166" t="s">
        <v>50</v>
      </c>
      <c r="H166" t="s">
        <v>93</v>
      </c>
      <c r="I166" t="s">
        <v>441</v>
      </c>
      <c r="J166" t="s">
        <v>445</v>
      </c>
      <c r="K166">
        <v>813184</v>
      </c>
      <c r="L166" t="s">
        <v>194</v>
      </c>
      <c r="M166" t="s">
        <v>195</v>
      </c>
      <c r="N166" t="s">
        <v>1118</v>
      </c>
      <c r="O166" t="s">
        <v>56</v>
      </c>
      <c r="P166" s="1">
        <v>45890</v>
      </c>
      <c r="Q166" s="1">
        <v>45951</v>
      </c>
      <c r="R166" s="2">
        <v>204.04</v>
      </c>
      <c r="S166">
        <v>1</v>
      </c>
      <c r="T166" t="s">
        <v>57</v>
      </c>
      <c r="U166" t="s">
        <v>58</v>
      </c>
      <c r="V166" s="4">
        <v>0.7</v>
      </c>
      <c r="W166" s="2">
        <v>0</v>
      </c>
      <c r="X166">
        <v>0</v>
      </c>
      <c r="Y166" t="s">
        <v>70</v>
      </c>
      <c r="Z166" t="s">
        <v>60</v>
      </c>
      <c r="AA166">
        <v>0</v>
      </c>
      <c r="AB166" s="2">
        <v>0</v>
      </c>
      <c r="AC166" s="2">
        <v>0</v>
      </c>
      <c r="AD166" s="4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142.83000000000001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45915</v>
      </c>
      <c r="B167" t="s">
        <v>47</v>
      </c>
      <c r="C167">
        <v>649163</v>
      </c>
      <c r="D167">
        <v>2028470694</v>
      </c>
      <c r="E167" t="s">
        <v>972</v>
      </c>
      <c r="F167" t="s">
        <v>485</v>
      </c>
      <c r="G167" t="s">
        <v>50</v>
      </c>
      <c r="H167" t="s">
        <v>121</v>
      </c>
      <c r="I167" t="s">
        <v>106</v>
      </c>
      <c r="J167" t="s">
        <v>116</v>
      </c>
      <c r="K167">
        <v>813184</v>
      </c>
      <c r="L167" t="s">
        <v>194</v>
      </c>
      <c r="M167" t="s">
        <v>195</v>
      </c>
      <c r="N167" t="s">
        <v>1118</v>
      </c>
      <c r="O167" t="s">
        <v>56</v>
      </c>
      <c r="P167" s="1">
        <v>45765</v>
      </c>
      <c r="Q167" s="1">
        <v>45948</v>
      </c>
      <c r="R167" s="2">
        <v>60.28</v>
      </c>
      <c r="S167">
        <v>1</v>
      </c>
      <c r="T167" t="s">
        <v>57</v>
      </c>
      <c r="U167" t="s">
        <v>58</v>
      </c>
      <c r="V167" s="4">
        <v>0.75</v>
      </c>
      <c r="W167" s="2">
        <v>0</v>
      </c>
      <c r="X167">
        <v>0</v>
      </c>
      <c r="Y167" t="s">
        <v>70</v>
      </c>
      <c r="Z167" t="s">
        <v>60</v>
      </c>
      <c r="AA167">
        <v>0</v>
      </c>
      <c r="AB167" s="2">
        <v>0</v>
      </c>
      <c r="AC167" s="2">
        <v>0</v>
      </c>
      <c r="AD167" s="4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45.21</v>
      </c>
      <c r="AN167" s="2">
        <v>45.21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45915</v>
      </c>
      <c r="B168" t="s">
        <v>47</v>
      </c>
      <c r="C168">
        <v>649163</v>
      </c>
      <c r="D168">
        <v>2026659432</v>
      </c>
      <c r="E168" t="s">
        <v>989</v>
      </c>
      <c r="F168" t="s">
        <v>988</v>
      </c>
      <c r="G168" t="s">
        <v>50</v>
      </c>
      <c r="H168" t="s">
        <v>93</v>
      </c>
      <c r="I168" t="s">
        <v>441</v>
      </c>
      <c r="J168" t="s">
        <v>445</v>
      </c>
      <c r="K168">
        <v>813184</v>
      </c>
      <c r="L168" t="s">
        <v>194</v>
      </c>
      <c r="M168" t="s">
        <v>195</v>
      </c>
      <c r="N168" t="s">
        <v>1118</v>
      </c>
      <c r="O168" t="s">
        <v>56</v>
      </c>
      <c r="P168" s="1">
        <v>45675</v>
      </c>
      <c r="Q168" s="1">
        <v>45948</v>
      </c>
      <c r="R168" s="2">
        <v>355.56</v>
      </c>
      <c r="S168">
        <v>1</v>
      </c>
      <c r="T168" t="s">
        <v>57</v>
      </c>
      <c r="U168" t="s">
        <v>58</v>
      </c>
      <c r="V168" s="4">
        <v>0.7</v>
      </c>
      <c r="W168" s="2">
        <v>0</v>
      </c>
      <c r="X168">
        <v>0</v>
      </c>
      <c r="Y168" t="s">
        <v>70</v>
      </c>
      <c r="Z168" t="s">
        <v>60</v>
      </c>
      <c r="AA168">
        <v>0</v>
      </c>
      <c r="AB168" s="2">
        <v>0</v>
      </c>
      <c r="AC168" s="2">
        <v>0</v>
      </c>
      <c r="AD168" s="4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248.89</v>
      </c>
      <c r="AN168" s="2">
        <v>248.89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45915</v>
      </c>
      <c r="B169" t="s">
        <v>47</v>
      </c>
      <c r="C169">
        <v>649163</v>
      </c>
      <c r="D169">
        <v>2027301089</v>
      </c>
      <c r="E169" t="s">
        <v>980</v>
      </c>
      <c r="F169" t="s">
        <v>870</v>
      </c>
      <c r="G169" t="s">
        <v>50</v>
      </c>
      <c r="H169" t="s">
        <v>93</v>
      </c>
      <c r="I169" t="s">
        <v>441</v>
      </c>
      <c r="J169" t="s">
        <v>445</v>
      </c>
      <c r="K169">
        <v>813184</v>
      </c>
      <c r="L169" t="s">
        <v>194</v>
      </c>
      <c r="M169" t="s">
        <v>195</v>
      </c>
      <c r="N169" t="s">
        <v>1118</v>
      </c>
      <c r="O169" t="s">
        <v>230</v>
      </c>
      <c r="P169" s="1">
        <v>45713</v>
      </c>
      <c r="Q169" s="1">
        <v>45925</v>
      </c>
      <c r="R169" s="2">
        <v>-5.94</v>
      </c>
      <c r="S169">
        <v>1</v>
      </c>
      <c r="T169" t="s">
        <v>57</v>
      </c>
      <c r="U169" t="s">
        <v>58</v>
      </c>
      <c r="V169" s="4">
        <v>0.7</v>
      </c>
      <c r="W169" s="2">
        <v>0</v>
      </c>
      <c r="X169">
        <v>-1</v>
      </c>
      <c r="Y169" t="s">
        <v>70</v>
      </c>
      <c r="Z169" t="s">
        <v>60</v>
      </c>
      <c r="AA169">
        <v>0</v>
      </c>
      <c r="AB169" s="2">
        <v>0</v>
      </c>
      <c r="AC169" s="2">
        <v>0</v>
      </c>
      <c r="AD169" s="4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-4.16</v>
      </c>
      <c r="AN169" s="2">
        <v>-4.16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45915</v>
      </c>
      <c r="B170" t="s">
        <v>47</v>
      </c>
      <c r="C170">
        <v>649163</v>
      </c>
      <c r="D170">
        <v>2028470693</v>
      </c>
      <c r="E170" t="s">
        <v>972</v>
      </c>
      <c r="F170" t="s">
        <v>485</v>
      </c>
      <c r="G170" t="s">
        <v>50</v>
      </c>
      <c r="H170" t="s">
        <v>121</v>
      </c>
      <c r="I170" t="s">
        <v>441</v>
      </c>
      <c r="J170" t="s">
        <v>445</v>
      </c>
      <c r="K170">
        <v>813184</v>
      </c>
      <c r="L170" t="s">
        <v>194</v>
      </c>
      <c r="M170" t="s">
        <v>195</v>
      </c>
      <c r="N170" t="s">
        <v>1118</v>
      </c>
      <c r="O170" t="s">
        <v>56</v>
      </c>
      <c r="P170" s="1">
        <v>45765</v>
      </c>
      <c r="Q170" s="1">
        <v>45948</v>
      </c>
      <c r="R170" s="2">
        <v>159.16999999999999</v>
      </c>
      <c r="S170">
        <v>1</v>
      </c>
      <c r="T170" t="s">
        <v>57</v>
      </c>
      <c r="U170" t="s">
        <v>58</v>
      </c>
      <c r="V170" s="4">
        <v>0.7</v>
      </c>
      <c r="W170" s="2">
        <v>0</v>
      </c>
      <c r="X170">
        <v>0</v>
      </c>
      <c r="Y170" t="s">
        <v>70</v>
      </c>
      <c r="Z170" t="s">
        <v>60</v>
      </c>
      <c r="AA170">
        <v>0</v>
      </c>
      <c r="AB170" s="2">
        <v>0</v>
      </c>
      <c r="AC170" s="2">
        <v>0</v>
      </c>
      <c r="AD170" s="4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111.42</v>
      </c>
      <c r="AN170" s="2">
        <v>111.42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45915</v>
      </c>
      <c r="B171" t="s">
        <v>47</v>
      </c>
      <c r="C171">
        <v>649163</v>
      </c>
      <c r="D171">
        <v>2028471502</v>
      </c>
      <c r="E171" t="s">
        <v>971</v>
      </c>
      <c r="F171" t="s">
        <v>970</v>
      </c>
      <c r="G171" t="s">
        <v>50</v>
      </c>
      <c r="H171" t="s">
        <v>121</v>
      </c>
      <c r="I171" t="s">
        <v>441</v>
      </c>
      <c r="J171" t="s">
        <v>445</v>
      </c>
      <c r="K171">
        <v>813184</v>
      </c>
      <c r="L171" t="s">
        <v>194</v>
      </c>
      <c r="M171" t="s">
        <v>195</v>
      </c>
      <c r="N171" t="s">
        <v>1118</v>
      </c>
      <c r="O171" t="s">
        <v>56</v>
      </c>
      <c r="P171" s="1">
        <v>45765</v>
      </c>
      <c r="Q171" s="1">
        <v>45948</v>
      </c>
      <c r="R171" s="2">
        <v>41.98</v>
      </c>
      <c r="S171">
        <v>1</v>
      </c>
      <c r="T171" t="s">
        <v>57</v>
      </c>
      <c r="U171" t="s">
        <v>58</v>
      </c>
      <c r="V171" s="4">
        <v>0.7</v>
      </c>
      <c r="W171" s="2">
        <v>0</v>
      </c>
      <c r="X171">
        <v>0</v>
      </c>
      <c r="Y171" t="s">
        <v>70</v>
      </c>
      <c r="Z171" t="s">
        <v>60</v>
      </c>
      <c r="AA171">
        <v>0</v>
      </c>
      <c r="AB171" s="2">
        <v>0</v>
      </c>
      <c r="AC171" s="2">
        <v>0</v>
      </c>
      <c r="AD171" s="4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29.39</v>
      </c>
      <c r="AN171" s="2">
        <v>29.39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45915</v>
      </c>
      <c r="B172" t="s">
        <v>47</v>
      </c>
      <c r="C172">
        <v>649163</v>
      </c>
      <c r="D172">
        <v>2028930864</v>
      </c>
      <c r="E172" t="s">
        <v>961</v>
      </c>
      <c r="F172" t="s">
        <v>960</v>
      </c>
      <c r="G172" t="s">
        <v>50</v>
      </c>
      <c r="H172" t="s">
        <v>121</v>
      </c>
      <c r="I172" t="s">
        <v>441</v>
      </c>
      <c r="J172" t="s">
        <v>445</v>
      </c>
      <c r="K172">
        <v>813184</v>
      </c>
      <c r="L172" t="s">
        <v>194</v>
      </c>
      <c r="M172" t="s">
        <v>195</v>
      </c>
      <c r="N172" t="s">
        <v>1118</v>
      </c>
      <c r="O172" t="s">
        <v>56</v>
      </c>
      <c r="P172" s="1">
        <v>45793</v>
      </c>
      <c r="Q172" s="1">
        <v>45946</v>
      </c>
      <c r="R172" s="2">
        <v>107.87</v>
      </c>
      <c r="S172">
        <v>1</v>
      </c>
      <c r="T172" t="s">
        <v>57</v>
      </c>
      <c r="U172" t="s">
        <v>58</v>
      </c>
      <c r="V172" s="4">
        <v>0.7</v>
      </c>
      <c r="W172" s="2">
        <v>0</v>
      </c>
      <c r="X172">
        <v>0</v>
      </c>
      <c r="Y172" t="s">
        <v>70</v>
      </c>
      <c r="Z172" t="s">
        <v>60</v>
      </c>
      <c r="AA172">
        <v>0</v>
      </c>
      <c r="AB172" s="2">
        <v>0</v>
      </c>
      <c r="AC172" s="2">
        <v>0</v>
      </c>
      <c r="AD172" s="4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75.510000000000005</v>
      </c>
      <c r="AN172" s="2">
        <v>75.510000000000005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45915</v>
      </c>
      <c r="B173" t="s">
        <v>47</v>
      </c>
      <c r="C173">
        <v>649163</v>
      </c>
      <c r="D173">
        <v>2028931111</v>
      </c>
      <c r="E173" t="s">
        <v>959</v>
      </c>
      <c r="F173" t="s">
        <v>374</v>
      </c>
      <c r="G173" t="s">
        <v>50</v>
      </c>
      <c r="H173" t="s">
        <v>121</v>
      </c>
      <c r="I173" t="s">
        <v>441</v>
      </c>
      <c r="J173" t="s">
        <v>445</v>
      </c>
      <c r="K173">
        <v>813184</v>
      </c>
      <c r="L173" t="s">
        <v>194</v>
      </c>
      <c r="M173" t="s">
        <v>195</v>
      </c>
      <c r="N173" t="s">
        <v>1118</v>
      </c>
      <c r="O173" t="s">
        <v>56</v>
      </c>
      <c r="P173" s="1">
        <v>45793</v>
      </c>
      <c r="Q173" s="1">
        <v>45946</v>
      </c>
      <c r="R173" s="2">
        <v>107.87</v>
      </c>
      <c r="S173">
        <v>1</v>
      </c>
      <c r="T173" t="s">
        <v>57</v>
      </c>
      <c r="U173" t="s">
        <v>58</v>
      </c>
      <c r="V173" s="4">
        <v>0.7</v>
      </c>
      <c r="W173" s="2">
        <v>0</v>
      </c>
      <c r="X173">
        <v>0</v>
      </c>
      <c r="Y173" t="s">
        <v>70</v>
      </c>
      <c r="Z173" t="s">
        <v>60</v>
      </c>
      <c r="AA173">
        <v>0</v>
      </c>
      <c r="AB173" s="2">
        <v>0</v>
      </c>
      <c r="AC173" s="2">
        <v>0</v>
      </c>
      <c r="AD173" s="4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75.510000000000005</v>
      </c>
      <c r="AN173" s="2">
        <v>75.510000000000005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45915</v>
      </c>
      <c r="B174" t="s">
        <v>47</v>
      </c>
      <c r="C174">
        <v>649163</v>
      </c>
      <c r="D174">
        <v>2028937037</v>
      </c>
      <c r="E174" t="s">
        <v>956</v>
      </c>
      <c r="F174" t="s">
        <v>955</v>
      </c>
      <c r="G174" t="s">
        <v>50</v>
      </c>
      <c r="H174" t="s">
        <v>121</v>
      </c>
      <c r="I174" t="s">
        <v>441</v>
      </c>
      <c r="J174" t="s">
        <v>445</v>
      </c>
      <c r="K174">
        <v>813184</v>
      </c>
      <c r="L174" t="s">
        <v>194</v>
      </c>
      <c r="M174" t="s">
        <v>195</v>
      </c>
      <c r="N174" t="s">
        <v>1118</v>
      </c>
      <c r="O174" t="s">
        <v>56</v>
      </c>
      <c r="P174" s="1">
        <v>45793</v>
      </c>
      <c r="Q174" s="1">
        <v>45946</v>
      </c>
      <c r="R174" s="2">
        <v>107.87</v>
      </c>
      <c r="S174">
        <v>1</v>
      </c>
      <c r="T174" t="s">
        <v>57</v>
      </c>
      <c r="U174" t="s">
        <v>58</v>
      </c>
      <c r="V174" s="4">
        <v>0.7</v>
      </c>
      <c r="W174" s="2">
        <v>0</v>
      </c>
      <c r="X174">
        <v>0</v>
      </c>
      <c r="Y174" t="s">
        <v>70</v>
      </c>
      <c r="Z174" t="s">
        <v>60</v>
      </c>
      <c r="AA174">
        <v>0</v>
      </c>
      <c r="AB174" s="2">
        <v>0</v>
      </c>
      <c r="AC174" s="2">
        <v>0</v>
      </c>
      <c r="AD174" s="4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75.510000000000005</v>
      </c>
      <c r="AN174" s="2">
        <v>75.510000000000005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45915</v>
      </c>
      <c r="B175" t="s">
        <v>47</v>
      </c>
      <c r="C175">
        <v>649163</v>
      </c>
      <c r="D175">
        <v>2028946855</v>
      </c>
      <c r="E175" t="s">
        <v>950</v>
      </c>
      <c r="F175" t="s">
        <v>949</v>
      </c>
      <c r="G175" t="s">
        <v>50</v>
      </c>
      <c r="H175" t="s">
        <v>121</v>
      </c>
      <c r="I175" t="s">
        <v>441</v>
      </c>
      <c r="J175" t="s">
        <v>445</v>
      </c>
      <c r="K175">
        <v>813184</v>
      </c>
      <c r="L175" t="s">
        <v>194</v>
      </c>
      <c r="M175" t="s">
        <v>195</v>
      </c>
      <c r="N175" t="s">
        <v>1118</v>
      </c>
      <c r="O175" t="s">
        <v>56</v>
      </c>
      <c r="P175" s="1">
        <v>45793</v>
      </c>
      <c r="Q175" s="1">
        <v>45946</v>
      </c>
      <c r="R175" s="2">
        <v>19</v>
      </c>
      <c r="S175">
        <v>1</v>
      </c>
      <c r="T175" t="s">
        <v>57</v>
      </c>
      <c r="U175" t="s">
        <v>58</v>
      </c>
      <c r="V175" s="4">
        <v>0.7</v>
      </c>
      <c r="W175" s="2">
        <v>0</v>
      </c>
      <c r="X175">
        <v>0</v>
      </c>
      <c r="Y175" t="s">
        <v>70</v>
      </c>
      <c r="Z175" t="s">
        <v>60</v>
      </c>
      <c r="AA175">
        <v>0</v>
      </c>
      <c r="AB175" s="2">
        <v>0</v>
      </c>
      <c r="AC175" s="2">
        <v>0</v>
      </c>
      <c r="AD175" s="4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13.3</v>
      </c>
      <c r="AN175" s="2">
        <v>13.3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45915</v>
      </c>
      <c r="B176" t="s">
        <v>47</v>
      </c>
      <c r="C176">
        <v>649163</v>
      </c>
      <c r="D176">
        <v>2029949953</v>
      </c>
      <c r="E176" t="s">
        <v>920</v>
      </c>
      <c r="F176" t="s">
        <v>49</v>
      </c>
      <c r="G176" t="s">
        <v>50</v>
      </c>
      <c r="H176" t="s">
        <v>151</v>
      </c>
      <c r="I176" t="s">
        <v>441</v>
      </c>
      <c r="J176" t="s">
        <v>445</v>
      </c>
      <c r="K176">
        <v>813184</v>
      </c>
      <c r="L176" t="s">
        <v>194</v>
      </c>
      <c r="M176" t="s">
        <v>195</v>
      </c>
      <c r="N176" t="s">
        <v>1118</v>
      </c>
      <c r="O176" t="s">
        <v>56</v>
      </c>
      <c r="P176" s="1">
        <v>45853</v>
      </c>
      <c r="Q176" s="1">
        <v>45945</v>
      </c>
      <c r="R176" s="2">
        <v>31.1</v>
      </c>
      <c r="S176">
        <v>1</v>
      </c>
      <c r="T176" t="s">
        <v>57</v>
      </c>
      <c r="U176" t="s">
        <v>58</v>
      </c>
      <c r="V176" s="4">
        <v>0.7</v>
      </c>
      <c r="W176" s="2">
        <v>0</v>
      </c>
      <c r="X176">
        <v>0</v>
      </c>
      <c r="Y176" t="s">
        <v>70</v>
      </c>
      <c r="Z176" t="s">
        <v>60</v>
      </c>
      <c r="AA176">
        <v>0</v>
      </c>
      <c r="AB176" s="2">
        <v>0</v>
      </c>
      <c r="AC176" s="2">
        <v>0</v>
      </c>
      <c r="AD176" s="4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21.77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45915</v>
      </c>
      <c r="B177" t="s">
        <v>47</v>
      </c>
      <c r="C177">
        <v>649163</v>
      </c>
      <c r="D177">
        <v>2029994615</v>
      </c>
      <c r="E177" t="s">
        <v>907</v>
      </c>
      <c r="F177" t="s">
        <v>906</v>
      </c>
      <c r="G177" t="s">
        <v>50</v>
      </c>
      <c r="H177" t="s">
        <v>157</v>
      </c>
      <c r="I177" t="s">
        <v>441</v>
      </c>
      <c r="J177" t="s">
        <v>445</v>
      </c>
      <c r="K177">
        <v>813184</v>
      </c>
      <c r="L177" t="s">
        <v>194</v>
      </c>
      <c r="M177" t="s">
        <v>195</v>
      </c>
      <c r="N177" t="s">
        <v>1118</v>
      </c>
      <c r="O177" t="s">
        <v>56</v>
      </c>
      <c r="P177" s="1">
        <v>45855</v>
      </c>
      <c r="Q177" s="1">
        <v>45947</v>
      </c>
      <c r="R177" s="2">
        <v>28.45</v>
      </c>
      <c r="S177">
        <v>1</v>
      </c>
      <c r="T177" t="s">
        <v>57</v>
      </c>
      <c r="U177" t="s">
        <v>58</v>
      </c>
      <c r="V177" s="4">
        <v>0.7</v>
      </c>
      <c r="W177" s="2">
        <v>0</v>
      </c>
      <c r="X177">
        <v>0</v>
      </c>
      <c r="Y177" t="s">
        <v>70</v>
      </c>
      <c r="Z177" t="s">
        <v>60</v>
      </c>
      <c r="AA177">
        <v>0</v>
      </c>
      <c r="AB177" s="2">
        <v>0</v>
      </c>
      <c r="AC177" s="2">
        <v>0</v>
      </c>
      <c r="AD177" s="4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19.920000000000002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45922</v>
      </c>
      <c r="B178" t="s">
        <v>47</v>
      </c>
      <c r="C178">
        <v>649163</v>
      </c>
      <c r="D178">
        <v>2029544667</v>
      </c>
      <c r="E178" t="s">
        <v>191</v>
      </c>
      <c r="F178" t="s">
        <v>192</v>
      </c>
      <c r="G178" t="s">
        <v>50</v>
      </c>
      <c r="H178" t="s">
        <v>193</v>
      </c>
      <c r="I178" t="s">
        <v>106</v>
      </c>
      <c r="J178" t="s">
        <v>184</v>
      </c>
      <c r="K178">
        <v>813184</v>
      </c>
      <c r="L178" t="s">
        <v>194</v>
      </c>
      <c r="M178" t="s">
        <v>195</v>
      </c>
      <c r="N178" t="s">
        <v>1118</v>
      </c>
      <c r="O178" t="s">
        <v>56</v>
      </c>
      <c r="P178" s="1">
        <v>45828</v>
      </c>
      <c r="Q178" s="1">
        <v>45950</v>
      </c>
      <c r="R178" s="2">
        <v>76.900000000000006</v>
      </c>
      <c r="S178">
        <v>1</v>
      </c>
      <c r="T178" t="s">
        <v>57</v>
      </c>
      <c r="U178" t="s">
        <v>96</v>
      </c>
      <c r="V178" s="4">
        <v>0.75</v>
      </c>
      <c r="W178" s="2">
        <v>0</v>
      </c>
      <c r="X178">
        <v>0</v>
      </c>
      <c r="Y178" t="s">
        <v>70</v>
      </c>
      <c r="Z178" t="s">
        <v>97</v>
      </c>
      <c r="AA178">
        <v>0</v>
      </c>
      <c r="AB178" s="2">
        <v>0</v>
      </c>
      <c r="AC178" s="2">
        <v>0</v>
      </c>
      <c r="AD178" s="4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57.68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45915</v>
      </c>
      <c r="B179" t="s">
        <v>47</v>
      </c>
      <c r="C179">
        <v>649163</v>
      </c>
      <c r="D179">
        <v>2028615204</v>
      </c>
      <c r="E179" t="s">
        <v>861</v>
      </c>
      <c r="F179" t="s">
        <v>293</v>
      </c>
      <c r="G179" t="s">
        <v>50</v>
      </c>
      <c r="H179" t="s">
        <v>115</v>
      </c>
      <c r="I179" t="s">
        <v>441</v>
      </c>
      <c r="J179" t="s">
        <v>445</v>
      </c>
      <c r="K179">
        <v>822733</v>
      </c>
      <c r="L179" t="s">
        <v>860</v>
      </c>
      <c r="M179" t="s">
        <v>859</v>
      </c>
      <c r="N179" t="s">
        <v>1138</v>
      </c>
      <c r="O179" t="s">
        <v>56</v>
      </c>
      <c r="P179" s="1">
        <v>45784</v>
      </c>
      <c r="Q179" s="1">
        <v>45937</v>
      </c>
      <c r="R179" s="2">
        <v>-150.66</v>
      </c>
      <c r="S179">
        <v>1</v>
      </c>
      <c r="T179" t="s">
        <v>57</v>
      </c>
      <c r="U179" t="s">
        <v>58</v>
      </c>
      <c r="V179" s="4">
        <v>0.7</v>
      </c>
      <c r="W179" s="2">
        <v>0</v>
      </c>
      <c r="X179">
        <v>-1</v>
      </c>
      <c r="Y179" t="s">
        <v>70</v>
      </c>
      <c r="Z179" t="s">
        <v>60</v>
      </c>
      <c r="AA179">
        <v>0</v>
      </c>
      <c r="AB179" s="2">
        <v>0</v>
      </c>
      <c r="AC179" s="2">
        <v>0</v>
      </c>
      <c r="AD179" s="4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-105.46</v>
      </c>
      <c r="AN179" s="2">
        <v>-105.46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45915</v>
      </c>
      <c r="B180" t="s">
        <v>47</v>
      </c>
      <c r="C180">
        <v>649163</v>
      </c>
      <c r="D180">
        <v>2028615205</v>
      </c>
      <c r="E180" t="s">
        <v>861</v>
      </c>
      <c r="F180" t="s">
        <v>293</v>
      </c>
      <c r="G180" t="s">
        <v>50</v>
      </c>
      <c r="H180" t="s">
        <v>115</v>
      </c>
      <c r="I180" t="s">
        <v>441</v>
      </c>
      <c r="J180" t="s">
        <v>442</v>
      </c>
      <c r="K180">
        <v>822733</v>
      </c>
      <c r="L180" t="s">
        <v>860</v>
      </c>
      <c r="M180" t="s">
        <v>859</v>
      </c>
      <c r="N180" t="s">
        <v>1138</v>
      </c>
      <c r="O180" t="s">
        <v>56</v>
      </c>
      <c r="P180" s="1">
        <v>45784</v>
      </c>
      <c r="Q180" s="1">
        <v>45937</v>
      </c>
      <c r="R180" s="2">
        <v>-42.42</v>
      </c>
      <c r="S180">
        <v>1</v>
      </c>
      <c r="T180" t="s">
        <v>57</v>
      </c>
      <c r="U180" t="s">
        <v>58</v>
      </c>
      <c r="V180" s="4">
        <v>0.9</v>
      </c>
      <c r="W180" s="2">
        <v>0</v>
      </c>
      <c r="X180">
        <v>-1</v>
      </c>
      <c r="Y180" t="s">
        <v>70</v>
      </c>
      <c r="Z180" t="s">
        <v>60</v>
      </c>
      <c r="AA180">
        <v>0</v>
      </c>
      <c r="AB180" s="2">
        <v>0</v>
      </c>
      <c r="AC180" s="2">
        <v>0</v>
      </c>
      <c r="AD180" s="4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-38.18</v>
      </c>
      <c r="AN180" s="2">
        <v>-38.18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45915</v>
      </c>
      <c r="B181" t="s">
        <v>47</v>
      </c>
      <c r="C181">
        <v>649163</v>
      </c>
      <c r="D181">
        <v>2028782159</v>
      </c>
      <c r="E181" t="s">
        <v>969</v>
      </c>
      <c r="F181" t="s">
        <v>968</v>
      </c>
      <c r="G181" t="s">
        <v>50</v>
      </c>
      <c r="H181" t="s">
        <v>115</v>
      </c>
      <c r="I181" t="s">
        <v>441</v>
      </c>
      <c r="J181" t="s">
        <v>445</v>
      </c>
      <c r="K181">
        <v>822733</v>
      </c>
      <c r="L181" t="s">
        <v>860</v>
      </c>
      <c r="M181" t="s">
        <v>859</v>
      </c>
      <c r="N181" t="s">
        <v>1138</v>
      </c>
      <c r="O181" t="s">
        <v>56</v>
      </c>
      <c r="P181" s="1">
        <v>45792</v>
      </c>
      <c r="Q181" s="1">
        <v>45945</v>
      </c>
      <c r="R181" s="2">
        <v>48.76</v>
      </c>
      <c r="S181">
        <v>1</v>
      </c>
      <c r="T181" t="s">
        <v>57</v>
      </c>
      <c r="U181" t="s">
        <v>58</v>
      </c>
      <c r="V181" s="4">
        <v>0.7</v>
      </c>
      <c r="W181" s="2">
        <v>0</v>
      </c>
      <c r="X181">
        <v>0</v>
      </c>
      <c r="Y181" t="s">
        <v>70</v>
      </c>
      <c r="Z181" t="s">
        <v>60</v>
      </c>
      <c r="AA181">
        <v>0</v>
      </c>
      <c r="AB181" s="2">
        <v>0</v>
      </c>
      <c r="AC181" s="2">
        <v>0</v>
      </c>
      <c r="AD181" s="4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34.130000000000003</v>
      </c>
      <c r="AN181" s="2">
        <v>34.130000000000003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45915</v>
      </c>
      <c r="B182" t="s">
        <v>47</v>
      </c>
      <c r="C182">
        <v>649163</v>
      </c>
      <c r="D182">
        <v>2029410874</v>
      </c>
      <c r="E182" t="s">
        <v>934</v>
      </c>
      <c r="F182" t="s">
        <v>933</v>
      </c>
      <c r="G182" t="s">
        <v>50</v>
      </c>
      <c r="H182" t="s">
        <v>115</v>
      </c>
      <c r="I182" t="s">
        <v>441</v>
      </c>
      <c r="J182" t="s">
        <v>445</v>
      </c>
      <c r="K182">
        <v>822733</v>
      </c>
      <c r="L182" t="s">
        <v>860</v>
      </c>
      <c r="M182" t="s">
        <v>859</v>
      </c>
      <c r="N182" t="s">
        <v>1138</v>
      </c>
      <c r="O182" t="s">
        <v>56</v>
      </c>
      <c r="P182" s="1">
        <v>45821</v>
      </c>
      <c r="Q182" s="1">
        <v>45943</v>
      </c>
      <c r="R182" s="2">
        <v>48.76</v>
      </c>
      <c r="S182">
        <v>1</v>
      </c>
      <c r="T182" t="s">
        <v>57</v>
      </c>
      <c r="U182" t="s">
        <v>58</v>
      </c>
      <c r="V182" s="4">
        <v>0.7</v>
      </c>
      <c r="W182" s="2">
        <v>0</v>
      </c>
      <c r="X182">
        <v>0</v>
      </c>
      <c r="Y182" t="s">
        <v>70</v>
      </c>
      <c r="Z182" t="s">
        <v>60</v>
      </c>
      <c r="AA182">
        <v>0</v>
      </c>
      <c r="AB182" s="2">
        <v>0</v>
      </c>
      <c r="AC182" s="2">
        <v>0</v>
      </c>
      <c r="AD182" s="4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34.130000000000003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45915</v>
      </c>
      <c r="B183" t="s">
        <v>47</v>
      </c>
      <c r="C183">
        <v>649163</v>
      </c>
      <c r="D183">
        <v>2028615203</v>
      </c>
      <c r="E183" t="s">
        <v>861</v>
      </c>
      <c r="F183" t="s">
        <v>293</v>
      </c>
      <c r="G183" t="s">
        <v>50</v>
      </c>
      <c r="H183" t="s">
        <v>115</v>
      </c>
      <c r="I183" t="s">
        <v>306</v>
      </c>
      <c r="J183" t="s">
        <v>307</v>
      </c>
      <c r="K183">
        <v>822733</v>
      </c>
      <c r="L183" t="s">
        <v>860</v>
      </c>
      <c r="M183" t="s">
        <v>859</v>
      </c>
      <c r="N183" t="s">
        <v>1138</v>
      </c>
      <c r="O183" t="s">
        <v>56</v>
      </c>
      <c r="P183" s="1">
        <v>45784</v>
      </c>
      <c r="Q183" s="1">
        <v>45937</v>
      </c>
      <c r="R183" s="2">
        <v>-19.45</v>
      </c>
      <c r="S183">
        <v>1</v>
      </c>
      <c r="T183" t="s">
        <v>57</v>
      </c>
      <c r="U183" t="s">
        <v>58</v>
      </c>
      <c r="V183" s="3">
        <v>0.375</v>
      </c>
      <c r="W183" s="2">
        <v>0</v>
      </c>
      <c r="X183">
        <v>-1</v>
      </c>
      <c r="Y183" t="s">
        <v>70</v>
      </c>
      <c r="Z183" t="s">
        <v>60</v>
      </c>
      <c r="AA183">
        <v>0</v>
      </c>
      <c r="AB183" s="2">
        <v>0</v>
      </c>
      <c r="AC183" s="2">
        <v>0</v>
      </c>
      <c r="AD183" s="4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-7.29</v>
      </c>
      <c r="AN183" s="2">
        <v>-7.29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45915</v>
      </c>
      <c r="B184" t="s">
        <v>47</v>
      </c>
      <c r="C184">
        <v>649163</v>
      </c>
      <c r="D184">
        <v>2030574907</v>
      </c>
      <c r="E184" t="s">
        <v>609</v>
      </c>
      <c r="F184" t="s">
        <v>608</v>
      </c>
      <c r="G184" t="s">
        <v>50</v>
      </c>
      <c r="H184" t="s">
        <v>188</v>
      </c>
      <c r="I184" t="s">
        <v>106</v>
      </c>
      <c r="J184" t="s">
        <v>184</v>
      </c>
      <c r="K184">
        <v>669316</v>
      </c>
      <c r="L184" t="s">
        <v>420</v>
      </c>
      <c r="M184" t="s">
        <v>421</v>
      </c>
      <c r="N184" t="s">
        <v>1082</v>
      </c>
      <c r="O184" t="s">
        <v>230</v>
      </c>
      <c r="P184" s="1">
        <v>45901</v>
      </c>
      <c r="Q184" s="1">
        <v>45931</v>
      </c>
      <c r="R184" s="2">
        <v>-70.12</v>
      </c>
      <c r="S184">
        <v>1</v>
      </c>
      <c r="T184" t="s">
        <v>57</v>
      </c>
      <c r="U184" t="s">
        <v>58</v>
      </c>
      <c r="V184" s="4">
        <v>0.75</v>
      </c>
      <c r="W184" s="2">
        <v>0</v>
      </c>
      <c r="X184">
        <v>-1</v>
      </c>
      <c r="Y184" t="s">
        <v>70</v>
      </c>
      <c r="Z184" t="s">
        <v>60</v>
      </c>
      <c r="AA184">
        <v>0</v>
      </c>
      <c r="AB184" s="2">
        <v>0</v>
      </c>
      <c r="AC184" s="2">
        <v>0</v>
      </c>
      <c r="AD184" s="4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-52.59</v>
      </c>
      <c r="AN184" s="2">
        <v>-52.59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45915</v>
      </c>
      <c r="B185" t="s">
        <v>47</v>
      </c>
      <c r="C185">
        <v>649163</v>
      </c>
      <c r="D185">
        <v>2024372430</v>
      </c>
      <c r="E185" t="s">
        <v>654</v>
      </c>
      <c r="F185" t="s">
        <v>653</v>
      </c>
      <c r="G185" t="s">
        <v>50</v>
      </c>
      <c r="H185" t="s">
        <v>652</v>
      </c>
      <c r="I185" t="s">
        <v>243</v>
      </c>
      <c r="J185" t="s">
        <v>244</v>
      </c>
      <c r="K185">
        <v>669316</v>
      </c>
      <c r="L185" t="s">
        <v>420</v>
      </c>
      <c r="M185" t="s">
        <v>421</v>
      </c>
      <c r="N185" t="s">
        <v>1082</v>
      </c>
      <c r="O185" t="s">
        <v>56</v>
      </c>
      <c r="P185" s="1">
        <v>45518</v>
      </c>
      <c r="Q185" s="1">
        <v>45944</v>
      </c>
      <c r="R185" s="2">
        <v>15</v>
      </c>
      <c r="S185">
        <v>1</v>
      </c>
      <c r="T185" t="s">
        <v>57</v>
      </c>
      <c r="U185" t="s">
        <v>58</v>
      </c>
      <c r="V185" s="4">
        <v>0.28999999999999998</v>
      </c>
      <c r="W185" s="2">
        <v>0</v>
      </c>
      <c r="X185">
        <v>0</v>
      </c>
      <c r="Y185" t="s">
        <v>59</v>
      </c>
      <c r="Z185" t="s">
        <v>60</v>
      </c>
      <c r="AA185">
        <v>0</v>
      </c>
      <c r="AB185" s="2">
        <v>0</v>
      </c>
      <c r="AC185" s="2">
        <v>0</v>
      </c>
      <c r="AD185" s="4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4.3499999999999996</v>
      </c>
      <c r="AN185" s="2">
        <v>4.3499999999999996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45915</v>
      </c>
      <c r="B186" t="s">
        <v>47</v>
      </c>
      <c r="C186">
        <v>649163</v>
      </c>
      <c r="D186">
        <v>2030244228</v>
      </c>
      <c r="E186" t="s">
        <v>822</v>
      </c>
      <c r="F186" t="s">
        <v>821</v>
      </c>
      <c r="G186" t="s">
        <v>50</v>
      </c>
      <c r="H186" t="s">
        <v>93</v>
      </c>
      <c r="I186" t="s">
        <v>441</v>
      </c>
      <c r="J186" t="s">
        <v>445</v>
      </c>
      <c r="K186">
        <v>669316</v>
      </c>
      <c r="L186" t="s">
        <v>420</v>
      </c>
      <c r="M186" t="s">
        <v>421</v>
      </c>
      <c r="N186" t="s">
        <v>1082</v>
      </c>
      <c r="O186" t="s">
        <v>56</v>
      </c>
      <c r="P186" s="1">
        <v>45870</v>
      </c>
      <c r="Q186" s="1">
        <v>45931</v>
      </c>
      <c r="R186" s="2">
        <v>41.29</v>
      </c>
      <c r="S186">
        <v>1</v>
      </c>
      <c r="T186" t="s">
        <v>57</v>
      </c>
      <c r="U186" t="s">
        <v>58</v>
      </c>
      <c r="V186" s="4">
        <v>0.7</v>
      </c>
      <c r="W186" s="2">
        <v>0</v>
      </c>
      <c r="X186">
        <v>0</v>
      </c>
      <c r="Y186" t="s">
        <v>70</v>
      </c>
      <c r="Z186" t="s">
        <v>60</v>
      </c>
      <c r="AA186">
        <v>0</v>
      </c>
      <c r="AB186" s="2">
        <v>0</v>
      </c>
      <c r="AC186" s="2">
        <v>0</v>
      </c>
      <c r="AD186" s="4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28.9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45915</v>
      </c>
      <c r="B187" t="s">
        <v>47</v>
      </c>
      <c r="C187">
        <v>649163</v>
      </c>
      <c r="D187">
        <v>2027082733</v>
      </c>
      <c r="E187" t="s">
        <v>888</v>
      </c>
      <c r="F187" t="s">
        <v>803</v>
      </c>
      <c r="G187" t="s">
        <v>50</v>
      </c>
      <c r="H187" t="s">
        <v>93</v>
      </c>
      <c r="I187" t="s">
        <v>306</v>
      </c>
      <c r="J187" t="s">
        <v>307</v>
      </c>
      <c r="K187">
        <v>669316</v>
      </c>
      <c r="L187" t="s">
        <v>420</v>
      </c>
      <c r="M187" t="s">
        <v>421</v>
      </c>
      <c r="N187" t="s">
        <v>1082</v>
      </c>
      <c r="O187" t="s">
        <v>56</v>
      </c>
      <c r="P187" s="1">
        <v>45701</v>
      </c>
      <c r="Q187" s="1">
        <v>45943</v>
      </c>
      <c r="R187" s="2">
        <v>61.01</v>
      </c>
      <c r="S187">
        <v>1</v>
      </c>
      <c r="T187" t="s">
        <v>57</v>
      </c>
      <c r="U187" t="s">
        <v>58</v>
      </c>
      <c r="V187" s="3">
        <v>0.375</v>
      </c>
      <c r="W187" s="2">
        <v>0</v>
      </c>
      <c r="X187">
        <v>0</v>
      </c>
      <c r="Y187" t="s">
        <v>70</v>
      </c>
      <c r="Z187" t="s">
        <v>60</v>
      </c>
      <c r="AA187">
        <v>0</v>
      </c>
      <c r="AB187" s="2">
        <v>0</v>
      </c>
      <c r="AC187" s="2">
        <v>0</v>
      </c>
      <c r="AD187" s="4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22.88</v>
      </c>
      <c r="AN187" s="2">
        <v>22.88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45915</v>
      </c>
      <c r="B188" t="s">
        <v>47</v>
      </c>
      <c r="C188">
        <v>649163</v>
      </c>
      <c r="D188">
        <v>2028948018</v>
      </c>
      <c r="E188" t="s">
        <v>852</v>
      </c>
      <c r="F188" t="s">
        <v>277</v>
      </c>
      <c r="G188" t="s">
        <v>50</v>
      </c>
      <c r="H188" t="s">
        <v>93</v>
      </c>
      <c r="I188" t="s">
        <v>306</v>
      </c>
      <c r="J188" t="s">
        <v>307</v>
      </c>
      <c r="K188">
        <v>669316</v>
      </c>
      <c r="L188" t="s">
        <v>420</v>
      </c>
      <c r="M188" t="s">
        <v>421</v>
      </c>
      <c r="N188" t="s">
        <v>1082</v>
      </c>
      <c r="O188" t="s">
        <v>56</v>
      </c>
      <c r="P188" s="1">
        <v>45793</v>
      </c>
      <c r="Q188" s="1">
        <v>45946</v>
      </c>
      <c r="R188" s="2">
        <v>182.73</v>
      </c>
      <c r="S188">
        <v>1</v>
      </c>
      <c r="T188" t="s">
        <v>57</v>
      </c>
      <c r="U188" t="s">
        <v>58</v>
      </c>
      <c r="V188" s="3">
        <v>0.375</v>
      </c>
      <c r="W188" s="2">
        <v>0</v>
      </c>
      <c r="X188">
        <v>0</v>
      </c>
      <c r="Y188" t="s">
        <v>70</v>
      </c>
      <c r="Z188" t="s">
        <v>60</v>
      </c>
      <c r="AA188">
        <v>0</v>
      </c>
      <c r="AB188" s="2">
        <v>0</v>
      </c>
      <c r="AC188" s="2">
        <v>0</v>
      </c>
      <c r="AD188" s="4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68.52</v>
      </c>
      <c r="AN188" s="2">
        <v>68.52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45915</v>
      </c>
      <c r="B189" t="s">
        <v>47</v>
      </c>
      <c r="C189">
        <v>649163</v>
      </c>
      <c r="D189">
        <v>2030244227</v>
      </c>
      <c r="E189" t="s">
        <v>822</v>
      </c>
      <c r="F189" t="s">
        <v>821</v>
      </c>
      <c r="G189" t="s">
        <v>50</v>
      </c>
      <c r="H189" t="s">
        <v>93</v>
      </c>
      <c r="I189" t="s">
        <v>306</v>
      </c>
      <c r="J189" t="s">
        <v>307</v>
      </c>
      <c r="K189">
        <v>669316</v>
      </c>
      <c r="L189" t="s">
        <v>420</v>
      </c>
      <c r="M189" t="s">
        <v>421</v>
      </c>
      <c r="N189" t="s">
        <v>1082</v>
      </c>
      <c r="O189" t="s">
        <v>56</v>
      </c>
      <c r="P189" s="1">
        <v>45870</v>
      </c>
      <c r="Q189" s="1">
        <v>45931</v>
      </c>
      <c r="R189" s="2">
        <v>60.48</v>
      </c>
      <c r="S189">
        <v>1</v>
      </c>
      <c r="T189" t="s">
        <v>57</v>
      </c>
      <c r="U189" t="s">
        <v>58</v>
      </c>
      <c r="V189" s="3">
        <v>0.375</v>
      </c>
      <c r="W189" s="2">
        <v>0</v>
      </c>
      <c r="X189">
        <v>0</v>
      </c>
      <c r="Y189" t="s">
        <v>70</v>
      </c>
      <c r="Z189" t="s">
        <v>60</v>
      </c>
      <c r="AA189">
        <v>0</v>
      </c>
      <c r="AB189" s="2">
        <v>0</v>
      </c>
      <c r="AC189" s="2">
        <v>0</v>
      </c>
      <c r="AD189" s="4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22.68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45915</v>
      </c>
      <c r="B190" t="s">
        <v>47</v>
      </c>
      <c r="C190">
        <v>649163</v>
      </c>
      <c r="D190">
        <v>2030574908</v>
      </c>
      <c r="E190" t="s">
        <v>609</v>
      </c>
      <c r="F190" t="s">
        <v>608</v>
      </c>
      <c r="G190" t="s">
        <v>50</v>
      </c>
      <c r="H190" t="s">
        <v>188</v>
      </c>
      <c r="I190" t="s">
        <v>306</v>
      </c>
      <c r="J190" t="s">
        <v>307</v>
      </c>
      <c r="K190">
        <v>669316</v>
      </c>
      <c r="L190" t="s">
        <v>420</v>
      </c>
      <c r="M190" t="s">
        <v>421</v>
      </c>
      <c r="N190" t="s">
        <v>1082</v>
      </c>
      <c r="O190" t="s">
        <v>230</v>
      </c>
      <c r="P190" s="1">
        <v>45901</v>
      </c>
      <c r="Q190" s="1">
        <v>45931</v>
      </c>
      <c r="R190" s="2">
        <v>-59.16</v>
      </c>
      <c r="S190">
        <v>1</v>
      </c>
      <c r="T190" t="s">
        <v>57</v>
      </c>
      <c r="U190" t="s">
        <v>58</v>
      </c>
      <c r="V190" s="3">
        <v>0.375</v>
      </c>
      <c r="W190" s="2">
        <v>0</v>
      </c>
      <c r="X190">
        <v>-1</v>
      </c>
      <c r="Y190" t="s">
        <v>70</v>
      </c>
      <c r="Z190" t="s">
        <v>60</v>
      </c>
      <c r="AA190">
        <v>0</v>
      </c>
      <c r="AB190" s="2">
        <v>0</v>
      </c>
      <c r="AC190" s="2">
        <v>0</v>
      </c>
      <c r="AD190" s="4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-22.18</v>
      </c>
      <c r="AN190" s="2">
        <v>-22.18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45915</v>
      </c>
      <c r="B191" t="s">
        <v>47</v>
      </c>
      <c r="C191">
        <v>649163</v>
      </c>
      <c r="D191">
        <v>2030574906</v>
      </c>
      <c r="E191" t="s">
        <v>609</v>
      </c>
      <c r="F191" t="s">
        <v>608</v>
      </c>
      <c r="G191" t="s">
        <v>50</v>
      </c>
      <c r="H191" t="s">
        <v>188</v>
      </c>
      <c r="I191" t="s">
        <v>441</v>
      </c>
      <c r="J191" t="s">
        <v>445</v>
      </c>
      <c r="K191">
        <v>669316</v>
      </c>
      <c r="L191" t="s">
        <v>420</v>
      </c>
      <c r="M191" t="s">
        <v>421</v>
      </c>
      <c r="N191" t="s">
        <v>1082</v>
      </c>
      <c r="O191" t="s">
        <v>230</v>
      </c>
      <c r="P191" s="1">
        <v>45901</v>
      </c>
      <c r="Q191" s="1">
        <v>45931</v>
      </c>
      <c r="R191" s="2">
        <v>-33.54</v>
      </c>
      <c r="S191">
        <v>1</v>
      </c>
      <c r="T191" t="s">
        <v>57</v>
      </c>
      <c r="U191" t="s">
        <v>58</v>
      </c>
      <c r="V191" s="4">
        <v>0.7</v>
      </c>
      <c r="W191" s="2">
        <v>0</v>
      </c>
      <c r="X191">
        <v>-1</v>
      </c>
      <c r="Y191" t="s">
        <v>70</v>
      </c>
      <c r="Z191" t="s">
        <v>60</v>
      </c>
      <c r="AA191">
        <v>0</v>
      </c>
      <c r="AB191" s="2">
        <v>0</v>
      </c>
      <c r="AC191" s="2">
        <v>0</v>
      </c>
      <c r="AD191" s="4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-23.48</v>
      </c>
      <c r="AN191" s="2">
        <v>-23.48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45915</v>
      </c>
      <c r="B192" t="s">
        <v>47</v>
      </c>
      <c r="C192">
        <v>649163</v>
      </c>
      <c r="D192">
        <v>2024372431</v>
      </c>
      <c r="E192" t="s">
        <v>654</v>
      </c>
      <c r="F192" t="s">
        <v>653</v>
      </c>
      <c r="G192" t="s">
        <v>50</v>
      </c>
      <c r="H192" t="s">
        <v>652</v>
      </c>
      <c r="I192" t="s">
        <v>569</v>
      </c>
      <c r="J192" t="s">
        <v>571</v>
      </c>
      <c r="K192">
        <v>669316</v>
      </c>
      <c r="L192" t="s">
        <v>420</v>
      </c>
      <c r="M192" t="s">
        <v>421</v>
      </c>
      <c r="N192" t="s">
        <v>1082</v>
      </c>
      <c r="O192" t="s">
        <v>56</v>
      </c>
      <c r="P192" s="1">
        <v>45882</v>
      </c>
      <c r="Q192" s="1">
        <v>45943</v>
      </c>
      <c r="R192" s="2">
        <v>315.83999999999997</v>
      </c>
      <c r="S192">
        <v>1</v>
      </c>
      <c r="T192" t="s">
        <v>57</v>
      </c>
      <c r="U192" t="s">
        <v>58</v>
      </c>
      <c r="V192" s="4">
        <v>0.28999999999999998</v>
      </c>
      <c r="W192" s="2">
        <v>0</v>
      </c>
      <c r="X192">
        <v>0</v>
      </c>
      <c r="Y192" t="s">
        <v>70</v>
      </c>
      <c r="Z192" t="s">
        <v>60</v>
      </c>
      <c r="AA192">
        <v>0</v>
      </c>
      <c r="AB192" s="2">
        <v>0</v>
      </c>
      <c r="AC192" s="2">
        <v>0</v>
      </c>
      <c r="AD192" s="4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91.59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</row>
    <row r="193" spans="1:44" x14ac:dyDescent="0.25">
      <c r="A193" s="1">
        <v>45915</v>
      </c>
      <c r="B193" t="s">
        <v>602</v>
      </c>
      <c r="C193">
        <v>649163</v>
      </c>
      <c r="D193">
        <v>2030574908</v>
      </c>
      <c r="E193" t="s">
        <v>609</v>
      </c>
      <c r="F193" t="s">
        <v>608</v>
      </c>
      <c r="G193" t="s">
        <v>50</v>
      </c>
      <c r="I193" t="s">
        <v>306</v>
      </c>
      <c r="J193" t="s">
        <v>307</v>
      </c>
      <c r="K193">
        <v>649163</v>
      </c>
      <c r="L193" t="s">
        <v>420</v>
      </c>
      <c r="M193" t="s">
        <v>421</v>
      </c>
      <c r="N193" t="s">
        <v>1082</v>
      </c>
      <c r="O193" t="s">
        <v>230</v>
      </c>
      <c r="P193" s="1">
        <v>45901</v>
      </c>
      <c r="R193" s="2">
        <v>0</v>
      </c>
      <c r="AB193" s="2">
        <v>133.11000000000001</v>
      </c>
      <c r="AC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22.19</v>
      </c>
      <c r="AN193" s="2">
        <v>-110.92</v>
      </c>
      <c r="AO193" s="2">
        <v>-110.92</v>
      </c>
      <c r="AP193" s="2">
        <v>0</v>
      </c>
      <c r="AQ193" s="2">
        <v>0</v>
      </c>
      <c r="AR193" t="s">
        <v>605</v>
      </c>
    </row>
    <row r="194" spans="1:44" x14ac:dyDescent="0.25">
      <c r="A194" s="1">
        <v>45915</v>
      </c>
      <c r="B194" t="s">
        <v>602</v>
      </c>
      <c r="C194">
        <v>649163</v>
      </c>
      <c r="D194">
        <v>2030574907</v>
      </c>
      <c r="E194" t="s">
        <v>609</v>
      </c>
      <c r="F194" t="s">
        <v>608</v>
      </c>
      <c r="G194" t="s">
        <v>50</v>
      </c>
      <c r="I194" t="s">
        <v>106</v>
      </c>
      <c r="J194" t="s">
        <v>184</v>
      </c>
      <c r="K194">
        <v>649163</v>
      </c>
      <c r="L194" t="s">
        <v>420</v>
      </c>
      <c r="M194" t="s">
        <v>421</v>
      </c>
      <c r="N194" t="s">
        <v>1082</v>
      </c>
      <c r="O194" t="s">
        <v>230</v>
      </c>
      <c r="P194" s="1">
        <v>45901</v>
      </c>
      <c r="R194" s="2">
        <v>0</v>
      </c>
      <c r="AB194" s="2">
        <v>315.54000000000002</v>
      </c>
      <c r="AC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52.59</v>
      </c>
      <c r="AN194" s="2">
        <v>-262.95</v>
      </c>
      <c r="AO194" s="2">
        <v>-262.95</v>
      </c>
      <c r="AP194" s="2">
        <v>0</v>
      </c>
      <c r="AQ194" s="2">
        <v>0</v>
      </c>
      <c r="AR194" t="s">
        <v>605</v>
      </c>
    </row>
    <row r="195" spans="1:44" x14ac:dyDescent="0.25">
      <c r="A195" s="1">
        <v>45915</v>
      </c>
      <c r="B195" t="s">
        <v>602</v>
      </c>
      <c r="C195">
        <v>649163</v>
      </c>
      <c r="D195">
        <v>2030574906</v>
      </c>
      <c r="E195" t="s">
        <v>609</v>
      </c>
      <c r="F195" t="s">
        <v>608</v>
      </c>
      <c r="G195" t="s">
        <v>50</v>
      </c>
      <c r="I195" t="s">
        <v>441</v>
      </c>
      <c r="J195" t="s">
        <v>445</v>
      </c>
      <c r="K195">
        <v>649163</v>
      </c>
      <c r="L195" t="s">
        <v>420</v>
      </c>
      <c r="M195" t="s">
        <v>421</v>
      </c>
      <c r="N195" t="s">
        <v>1082</v>
      </c>
      <c r="O195" t="s">
        <v>230</v>
      </c>
      <c r="P195" s="1">
        <v>45901</v>
      </c>
      <c r="R195" s="2">
        <v>0</v>
      </c>
      <c r="AB195" s="2">
        <v>140.87</v>
      </c>
      <c r="AC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23.48</v>
      </c>
      <c r="AN195" s="2">
        <v>-117.39</v>
      </c>
      <c r="AO195" s="2">
        <v>-117.39</v>
      </c>
      <c r="AP195" s="2">
        <v>0</v>
      </c>
      <c r="AQ195" s="2">
        <v>0</v>
      </c>
      <c r="AR195" t="s">
        <v>605</v>
      </c>
    </row>
    <row r="196" spans="1:44" x14ac:dyDescent="0.25">
      <c r="A196" s="1">
        <v>45922</v>
      </c>
      <c r="B196" t="s">
        <v>47</v>
      </c>
      <c r="C196">
        <v>649163</v>
      </c>
      <c r="D196">
        <v>2028533940</v>
      </c>
      <c r="E196" t="s">
        <v>259</v>
      </c>
      <c r="F196" t="s">
        <v>260</v>
      </c>
      <c r="G196" t="s">
        <v>50</v>
      </c>
      <c r="H196" t="s">
        <v>93</v>
      </c>
      <c r="I196" t="s">
        <v>243</v>
      </c>
      <c r="J196" t="s">
        <v>261</v>
      </c>
      <c r="K196">
        <v>820873</v>
      </c>
      <c r="L196" t="s">
        <v>262</v>
      </c>
      <c r="M196" t="s">
        <v>263</v>
      </c>
      <c r="N196" t="s">
        <v>1091</v>
      </c>
      <c r="O196" t="s">
        <v>56</v>
      </c>
      <c r="P196" s="1">
        <v>45770</v>
      </c>
      <c r="Q196" s="1">
        <v>45953</v>
      </c>
      <c r="R196" s="2">
        <v>15</v>
      </c>
      <c r="S196">
        <v>1</v>
      </c>
      <c r="T196" t="s">
        <v>57</v>
      </c>
      <c r="U196" t="s">
        <v>58</v>
      </c>
      <c r="V196" s="4">
        <v>0.38</v>
      </c>
      <c r="W196" s="2">
        <v>0</v>
      </c>
      <c r="X196">
        <v>0</v>
      </c>
      <c r="Y196" t="s">
        <v>70</v>
      </c>
      <c r="Z196" t="s">
        <v>60</v>
      </c>
      <c r="AA196">
        <v>0</v>
      </c>
      <c r="AB196" s="2">
        <v>0</v>
      </c>
      <c r="AC196" s="2">
        <v>0</v>
      </c>
      <c r="AD196" s="4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5.7</v>
      </c>
      <c r="AN196" s="2">
        <v>5.7</v>
      </c>
      <c r="AO196" s="2">
        <v>0</v>
      </c>
      <c r="AP196" s="2">
        <v>0</v>
      </c>
      <c r="AQ196" s="2">
        <v>0</v>
      </c>
    </row>
    <row r="197" spans="1:44" x14ac:dyDescent="0.25">
      <c r="A197" s="1">
        <v>45922</v>
      </c>
      <c r="B197" t="s">
        <v>47</v>
      </c>
      <c r="C197">
        <v>649163</v>
      </c>
      <c r="D197">
        <v>2028533939</v>
      </c>
      <c r="E197" t="s">
        <v>259</v>
      </c>
      <c r="F197" t="s">
        <v>260</v>
      </c>
      <c r="G197" t="s">
        <v>50</v>
      </c>
      <c r="H197" t="s">
        <v>93</v>
      </c>
      <c r="I197" t="s">
        <v>430</v>
      </c>
      <c r="J197" t="s">
        <v>438</v>
      </c>
      <c r="K197">
        <v>820873</v>
      </c>
      <c r="L197" t="s">
        <v>262</v>
      </c>
      <c r="M197" t="s">
        <v>263</v>
      </c>
      <c r="N197" t="s">
        <v>1091</v>
      </c>
      <c r="O197" t="s">
        <v>56</v>
      </c>
      <c r="P197" s="1">
        <v>45770</v>
      </c>
      <c r="Q197" s="1">
        <v>45953</v>
      </c>
      <c r="R197" s="2">
        <v>139</v>
      </c>
      <c r="S197">
        <v>1</v>
      </c>
      <c r="T197" t="s">
        <v>57</v>
      </c>
      <c r="U197" t="s">
        <v>58</v>
      </c>
      <c r="V197" s="4">
        <v>0.38</v>
      </c>
      <c r="W197" s="2">
        <v>0</v>
      </c>
      <c r="X197">
        <v>0</v>
      </c>
      <c r="Y197" t="s">
        <v>70</v>
      </c>
      <c r="Z197" t="s">
        <v>60</v>
      </c>
      <c r="AA197">
        <v>0</v>
      </c>
      <c r="AB197" s="2">
        <v>0</v>
      </c>
      <c r="AC197" s="2">
        <v>0</v>
      </c>
      <c r="AD197" s="4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52.82</v>
      </c>
      <c r="AN197" s="2">
        <v>52.82</v>
      </c>
      <c r="AO197" s="2">
        <v>0</v>
      </c>
      <c r="AP197" s="2">
        <v>0</v>
      </c>
      <c r="AQ197" s="2">
        <v>0</v>
      </c>
    </row>
    <row r="198" spans="1:44" x14ac:dyDescent="0.25">
      <c r="A198" s="1">
        <v>45915</v>
      </c>
      <c r="B198" t="s">
        <v>47</v>
      </c>
      <c r="C198">
        <v>649163</v>
      </c>
      <c r="D198">
        <v>2027176337</v>
      </c>
      <c r="E198" t="s">
        <v>259</v>
      </c>
      <c r="F198" t="s">
        <v>594</v>
      </c>
      <c r="G198" t="s">
        <v>50</v>
      </c>
      <c r="H198" t="s">
        <v>93</v>
      </c>
      <c r="I198" t="s">
        <v>106</v>
      </c>
      <c r="J198" t="s">
        <v>116</v>
      </c>
      <c r="K198">
        <v>820873</v>
      </c>
      <c r="L198" t="s">
        <v>262</v>
      </c>
      <c r="M198" t="s">
        <v>263</v>
      </c>
      <c r="N198" t="s">
        <v>1091</v>
      </c>
      <c r="O198" t="s">
        <v>56</v>
      </c>
      <c r="P198" s="1">
        <v>45707</v>
      </c>
      <c r="Q198" s="1">
        <v>45949</v>
      </c>
      <c r="R198" s="2">
        <v>114.3</v>
      </c>
      <c r="S198">
        <v>1</v>
      </c>
      <c r="T198" t="s">
        <v>57</v>
      </c>
      <c r="U198" t="s">
        <v>58</v>
      </c>
      <c r="V198" s="4">
        <v>0.75</v>
      </c>
      <c r="W198" s="2">
        <v>0</v>
      </c>
      <c r="X198">
        <v>0</v>
      </c>
      <c r="Y198" t="s">
        <v>70</v>
      </c>
      <c r="Z198" t="s">
        <v>60</v>
      </c>
      <c r="AA198">
        <v>0</v>
      </c>
      <c r="AB198" s="2">
        <v>0</v>
      </c>
      <c r="AC198" s="2">
        <v>0</v>
      </c>
      <c r="AD198" s="4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85.72</v>
      </c>
      <c r="AN198" s="2">
        <v>85.72</v>
      </c>
      <c r="AO198" s="2">
        <v>0</v>
      </c>
      <c r="AP198" s="2">
        <v>0</v>
      </c>
      <c r="AQ198" s="2">
        <v>0</v>
      </c>
    </row>
    <row r="199" spans="1:44" x14ac:dyDescent="0.25">
      <c r="A199" s="1">
        <v>45915</v>
      </c>
      <c r="B199" t="s">
        <v>47</v>
      </c>
      <c r="C199">
        <v>649163</v>
      </c>
      <c r="D199">
        <v>2027895298</v>
      </c>
      <c r="E199" t="s">
        <v>976</v>
      </c>
      <c r="F199" t="s">
        <v>975</v>
      </c>
      <c r="G199" t="s">
        <v>50</v>
      </c>
      <c r="H199" t="s">
        <v>93</v>
      </c>
      <c r="I199" t="s">
        <v>106</v>
      </c>
      <c r="J199" t="s">
        <v>116</v>
      </c>
      <c r="K199">
        <v>820873</v>
      </c>
      <c r="L199" t="s">
        <v>262</v>
      </c>
      <c r="M199" t="s">
        <v>263</v>
      </c>
      <c r="N199" t="s">
        <v>1091</v>
      </c>
      <c r="O199" t="s">
        <v>56</v>
      </c>
      <c r="P199" s="1">
        <v>45735</v>
      </c>
      <c r="Q199" s="1">
        <v>45949</v>
      </c>
      <c r="R199" s="2">
        <v>166.25</v>
      </c>
      <c r="S199">
        <v>1</v>
      </c>
      <c r="T199" t="s">
        <v>57</v>
      </c>
      <c r="U199" t="s">
        <v>58</v>
      </c>
      <c r="V199" s="4">
        <v>0.75</v>
      </c>
      <c r="W199" s="2">
        <v>0</v>
      </c>
      <c r="X199">
        <v>0</v>
      </c>
      <c r="Y199" t="s">
        <v>70</v>
      </c>
      <c r="Z199" t="s">
        <v>60</v>
      </c>
      <c r="AA199">
        <v>0</v>
      </c>
      <c r="AB199" s="2">
        <v>0</v>
      </c>
      <c r="AC199" s="2">
        <v>0</v>
      </c>
      <c r="AD199" s="4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124.69</v>
      </c>
      <c r="AN199" s="2">
        <v>124.69</v>
      </c>
      <c r="AO199" s="2">
        <v>0</v>
      </c>
      <c r="AP199" s="2">
        <v>0</v>
      </c>
      <c r="AQ199" s="2">
        <v>0</v>
      </c>
    </row>
    <row r="200" spans="1:44" x14ac:dyDescent="0.25">
      <c r="A200" s="1">
        <v>45915</v>
      </c>
      <c r="B200" t="s">
        <v>47</v>
      </c>
      <c r="C200">
        <v>649163</v>
      </c>
      <c r="D200">
        <v>2027895299</v>
      </c>
      <c r="E200" t="s">
        <v>976</v>
      </c>
      <c r="F200" t="s">
        <v>975</v>
      </c>
      <c r="G200" t="s">
        <v>50</v>
      </c>
      <c r="H200" t="s">
        <v>93</v>
      </c>
      <c r="I200" t="s">
        <v>441</v>
      </c>
      <c r="J200" t="s">
        <v>445</v>
      </c>
      <c r="K200">
        <v>820873</v>
      </c>
      <c r="L200" t="s">
        <v>262</v>
      </c>
      <c r="M200" t="s">
        <v>263</v>
      </c>
      <c r="N200" t="s">
        <v>1091</v>
      </c>
      <c r="O200" t="s">
        <v>56</v>
      </c>
      <c r="P200" s="1">
        <v>45735</v>
      </c>
      <c r="Q200" s="1">
        <v>45949</v>
      </c>
      <c r="R200" s="2">
        <v>62.75</v>
      </c>
      <c r="S200">
        <v>1</v>
      </c>
      <c r="T200" t="s">
        <v>57</v>
      </c>
      <c r="U200" t="s">
        <v>58</v>
      </c>
      <c r="V200" s="4">
        <v>0.7</v>
      </c>
      <c r="W200" s="2">
        <v>0</v>
      </c>
      <c r="X200">
        <v>0</v>
      </c>
      <c r="Y200" t="s">
        <v>70</v>
      </c>
      <c r="Z200" t="s">
        <v>60</v>
      </c>
      <c r="AA200">
        <v>0</v>
      </c>
      <c r="AB200" s="2">
        <v>0</v>
      </c>
      <c r="AC200" s="2">
        <v>0</v>
      </c>
      <c r="AD200" s="4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43.92</v>
      </c>
      <c r="AN200" s="2">
        <v>43.92</v>
      </c>
      <c r="AO200" s="2">
        <v>0</v>
      </c>
      <c r="AP200" s="2">
        <v>0</v>
      </c>
      <c r="AQ200" s="2">
        <v>0</v>
      </c>
    </row>
    <row r="201" spans="1:44" x14ac:dyDescent="0.25">
      <c r="A201" s="1">
        <v>45915</v>
      </c>
      <c r="B201" t="s">
        <v>47</v>
      </c>
      <c r="C201">
        <v>649163</v>
      </c>
      <c r="D201">
        <v>2028471687</v>
      </c>
      <c r="E201" t="s">
        <v>259</v>
      </c>
      <c r="F201" t="s">
        <v>594</v>
      </c>
      <c r="G201" t="s">
        <v>50</v>
      </c>
      <c r="H201" t="s">
        <v>93</v>
      </c>
      <c r="I201" t="s">
        <v>441</v>
      </c>
      <c r="J201" t="s">
        <v>445</v>
      </c>
      <c r="K201">
        <v>820873</v>
      </c>
      <c r="L201" t="s">
        <v>262</v>
      </c>
      <c r="M201" t="s">
        <v>263</v>
      </c>
      <c r="N201" t="s">
        <v>1091</v>
      </c>
      <c r="O201" t="s">
        <v>56</v>
      </c>
      <c r="P201" s="1">
        <v>45765</v>
      </c>
      <c r="Q201" s="1">
        <v>45948</v>
      </c>
      <c r="R201" s="2">
        <v>51</v>
      </c>
      <c r="S201">
        <v>1</v>
      </c>
      <c r="T201" t="s">
        <v>57</v>
      </c>
      <c r="U201" t="s">
        <v>58</v>
      </c>
      <c r="V201" s="4">
        <v>0.7</v>
      </c>
      <c r="W201" s="2">
        <v>0</v>
      </c>
      <c r="X201">
        <v>0</v>
      </c>
      <c r="Y201" t="s">
        <v>70</v>
      </c>
      <c r="Z201" t="s">
        <v>60</v>
      </c>
      <c r="AA201">
        <v>0</v>
      </c>
      <c r="AB201" s="2">
        <v>0</v>
      </c>
      <c r="AC201" s="2">
        <v>0</v>
      </c>
      <c r="AD201" s="4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35.700000000000003</v>
      </c>
      <c r="AN201" s="2">
        <v>35.700000000000003</v>
      </c>
      <c r="AO201" s="2">
        <v>0</v>
      </c>
      <c r="AP201" s="2">
        <v>0</v>
      </c>
      <c r="AQ201" s="2">
        <v>0</v>
      </c>
    </row>
    <row r="202" spans="1:44" x14ac:dyDescent="0.25">
      <c r="A202" s="1">
        <v>45922</v>
      </c>
      <c r="B202" t="s">
        <v>47</v>
      </c>
      <c r="C202">
        <v>649163</v>
      </c>
      <c r="D202">
        <v>2021476042</v>
      </c>
      <c r="E202" t="s">
        <v>320</v>
      </c>
      <c r="F202" t="s">
        <v>321</v>
      </c>
      <c r="G202" t="s">
        <v>50</v>
      </c>
      <c r="H202" t="s">
        <v>51</v>
      </c>
      <c r="I202" t="s">
        <v>306</v>
      </c>
      <c r="J202" t="s">
        <v>307</v>
      </c>
      <c r="K202">
        <v>728134</v>
      </c>
      <c r="L202" t="s">
        <v>322</v>
      </c>
      <c r="M202" t="s">
        <v>323</v>
      </c>
      <c r="N202" t="s">
        <v>1115</v>
      </c>
      <c r="O202" t="s">
        <v>56</v>
      </c>
      <c r="P202" s="1">
        <v>45311</v>
      </c>
      <c r="Q202" s="1">
        <v>45950</v>
      </c>
      <c r="R202" s="2">
        <v>49.98</v>
      </c>
      <c r="S202">
        <v>1</v>
      </c>
      <c r="T202" t="s">
        <v>57</v>
      </c>
      <c r="U202" t="s">
        <v>58</v>
      </c>
      <c r="V202" s="4">
        <v>0.06</v>
      </c>
      <c r="W202" s="2">
        <v>0</v>
      </c>
      <c r="X202">
        <v>0</v>
      </c>
      <c r="Y202" t="s">
        <v>59</v>
      </c>
      <c r="Z202" t="s">
        <v>60</v>
      </c>
      <c r="AA202">
        <v>0</v>
      </c>
      <c r="AB202" s="2">
        <v>0</v>
      </c>
      <c r="AC202" s="2">
        <v>0</v>
      </c>
      <c r="AD202" s="4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3</v>
      </c>
      <c r="AN202" s="2">
        <v>3</v>
      </c>
      <c r="AO202" s="2">
        <v>0</v>
      </c>
      <c r="AP202" s="2">
        <v>0</v>
      </c>
      <c r="AQ202" s="2">
        <v>0</v>
      </c>
    </row>
    <row r="203" spans="1:44" x14ac:dyDescent="0.25">
      <c r="A203" s="1">
        <v>45922</v>
      </c>
      <c r="B203" t="s">
        <v>47</v>
      </c>
      <c r="C203">
        <v>649163</v>
      </c>
      <c r="D203">
        <v>2026682935</v>
      </c>
      <c r="E203" t="s">
        <v>353</v>
      </c>
      <c r="F203" t="s">
        <v>354</v>
      </c>
      <c r="G203" t="s">
        <v>50</v>
      </c>
      <c r="H203" t="s">
        <v>51</v>
      </c>
      <c r="I203" t="s">
        <v>306</v>
      </c>
      <c r="J203" t="s">
        <v>307</v>
      </c>
      <c r="K203">
        <v>728134</v>
      </c>
      <c r="L203" t="s">
        <v>322</v>
      </c>
      <c r="M203" t="s">
        <v>323</v>
      </c>
      <c r="N203" t="s">
        <v>1115</v>
      </c>
      <c r="O203" t="s">
        <v>56</v>
      </c>
      <c r="P203" s="1">
        <v>45678</v>
      </c>
      <c r="Q203" s="1">
        <v>45951</v>
      </c>
      <c r="R203" s="2">
        <v>39.979999999999997</v>
      </c>
      <c r="S203">
        <v>1</v>
      </c>
      <c r="T203" t="s">
        <v>57</v>
      </c>
      <c r="U203" t="s">
        <v>58</v>
      </c>
      <c r="V203" s="3">
        <v>0.375</v>
      </c>
      <c r="W203" s="2">
        <v>0</v>
      </c>
      <c r="X203">
        <v>0</v>
      </c>
      <c r="Y203" t="s">
        <v>70</v>
      </c>
      <c r="Z203" t="s">
        <v>60</v>
      </c>
      <c r="AA203">
        <v>0</v>
      </c>
      <c r="AB203" s="2">
        <v>0</v>
      </c>
      <c r="AC203" s="2">
        <v>0</v>
      </c>
      <c r="AD203" s="4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14.99</v>
      </c>
      <c r="AN203" s="2">
        <v>14.99</v>
      </c>
      <c r="AO203" s="2">
        <v>0</v>
      </c>
      <c r="AP203" s="2">
        <v>0</v>
      </c>
      <c r="AQ203" s="2">
        <v>0</v>
      </c>
    </row>
    <row r="204" spans="1:44" x14ac:dyDescent="0.25">
      <c r="A204" s="1">
        <v>45922</v>
      </c>
      <c r="B204" t="s">
        <v>47</v>
      </c>
      <c r="C204">
        <v>649163</v>
      </c>
      <c r="D204">
        <v>2026696631</v>
      </c>
      <c r="E204" t="s">
        <v>355</v>
      </c>
      <c r="F204" t="s">
        <v>356</v>
      </c>
      <c r="G204" t="s">
        <v>50</v>
      </c>
      <c r="H204" t="s">
        <v>51</v>
      </c>
      <c r="I204" t="s">
        <v>306</v>
      </c>
      <c r="J204" t="s">
        <v>307</v>
      </c>
      <c r="K204">
        <v>728134</v>
      </c>
      <c r="L204" t="s">
        <v>322</v>
      </c>
      <c r="M204" t="s">
        <v>323</v>
      </c>
      <c r="N204" t="s">
        <v>1115</v>
      </c>
      <c r="O204" t="s">
        <v>56</v>
      </c>
      <c r="P204" s="1">
        <v>45679</v>
      </c>
      <c r="Q204" s="1">
        <v>45952</v>
      </c>
      <c r="R204" s="2">
        <v>81.58</v>
      </c>
      <c r="S204">
        <v>1</v>
      </c>
      <c r="T204" t="s">
        <v>57</v>
      </c>
      <c r="U204" t="s">
        <v>58</v>
      </c>
      <c r="V204" s="3">
        <v>0.375</v>
      </c>
      <c r="W204" s="2">
        <v>0</v>
      </c>
      <c r="X204">
        <v>0</v>
      </c>
      <c r="Y204" t="s">
        <v>70</v>
      </c>
      <c r="Z204" t="s">
        <v>60</v>
      </c>
      <c r="AA204">
        <v>0</v>
      </c>
      <c r="AB204" s="2">
        <v>0</v>
      </c>
      <c r="AC204" s="2">
        <v>0</v>
      </c>
      <c r="AD204" s="4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30.59</v>
      </c>
      <c r="AN204" s="2">
        <v>30.59</v>
      </c>
      <c r="AO204" s="2">
        <v>0</v>
      </c>
      <c r="AP204" s="2">
        <v>0</v>
      </c>
      <c r="AQ204" s="2">
        <v>0</v>
      </c>
    </row>
    <row r="205" spans="1:44" x14ac:dyDescent="0.25">
      <c r="A205" s="1">
        <v>45922</v>
      </c>
      <c r="B205" t="s">
        <v>47</v>
      </c>
      <c r="C205">
        <v>649163</v>
      </c>
      <c r="D205">
        <v>2026211393</v>
      </c>
      <c r="E205" t="s">
        <v>587</v>
      </c>
      <c r="F205" t="s">
        <v>588</v>
      </c>
      <c r="G205" t="s">
        <v>50</v>
      </c>
      <c r="H205" t="s">
        <v>51</v>
      </c>
      <c r="I205" t="s">
        <v>574</v>
      </c>
      <c r="J205" t="s">
        <v>575</v>
      </c>
      <c r="K205">
        <v>728134</v>
      </c>
      <c r="L205" t="s">
        <v>322</v>
      </c>
      <c r="M205" t="s">
        <v>323</v>
      </c>
      <c r="N205" t="s">
        <v>1115</v>
      </c>
      <c r="O205" t="s">
        <v>56</v>
      </c>
      <c r="P205" s="1">
        <v>45644</v>
      </c>
      <c r="Q205" s="1">
        <v>45948</v>
      </c>
      <c r="R205" s="2">
        <v>45.54</v>
      </c>
      <c r="S205">
        <v>1</v>
      </c>
      <c r="T205" t="s">
        <v>57</v>
      </c>
      <c r="U205" t="s">
        <v>58</v>
      </c>
      <c r="V205" s="4">
        <v>0.47</v>
      </c>
      <c r="W205" s="2">
        <v>0</v>
      </c>
      <c r="X205">
        <v>0</v>
      </c>
      <c r="Y205" t="s">
        <v>70</v>
      </c>
      <c r="Z205" t="s">
        <v>60</v>
      </c>
      <c r="AA205">
        <v>0</v>
      </c>
      <c r="AB205" s="2">
        <v>0</v>
      </c>
      <c r="AC205" s="2">
        <v>0</v>
      </c>
      <c r="AD205" s="4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21.4</v>
      </c>
      <c r="AN205" s="2">
        <v>21.4</v>
      </c>
      <c r="AO205" s="2">
        <v>0</v>
      </c>
      <c r="AP205" s="2">
        <v>0</v>
      </c>
      <c r="AQ205" s="2">
        <v>0</v>
      </c>
    </row>
    <row r="206" spans="1:44" x14ac:dyDescent="0.25">
      <c r="A206" s="1">
        <v>45922</v>
      </c>
      <c r="B206" t="s">
        <v>47</v>
      </c>
      <c r="C206">
        <v>649163</v>
      </c>
      <c r="D206">
        <v>2026212129</v>
      </c>
      <c r="E206" t="s">
        <v>589</v>
      </c>
      <c r="F206" t="s">
        <v>349</v>
      </c>
      <c r="G206" t="s">
        <v>50</v>
      </c>
      <c r="H206" t="s">
        <v>51</v>
      </c>
      <c r="I206" t="s">
        <v>574</v>
      </c>
      <c r="J206" t="s">
        <v>575</v>
      </c>
      <c r="K206">
        <v>728134</v>
      </c>
      <c r="L206" t="s">
        <v>322</v>
      </c>
      <c r="M206" t="s">
        <v>323</v>
      </c>
      <c r="N206" t="s">
        <v>1115</v>
      </c>
      <c r="O206" t="s">
        <v>56</v>
      </c>
      <c r="P206" s="1">
        <v>45644</v>
      </c>
      <c r="Q206" s="1">
        <v>45948</v>
      </c>
      <c r="R206" s="2">
        <v>45.54</v>
      </c>
      <c r="S206">
        <v>1</v>
      </c>
      <c r="T206" t="s">
        <v>57</v>
      </c>
      <c r="U206" t="s">
        <v>58</v>
      </c>
      <c r="V206" s="4">
        <v>0.47</v>
      </c>
      <c r="W206" s="2">
        <v>0</v>
      </c>
      <c r="X206">
        <v>0</v>
      </c>
      <c r="Y206" t="s">
        <v>70</v>
      </c>
      <c r="Z206" t="s">
        <v>60</v>
      </c>
      <c r="AA206">
        <v>0</v>
      </c>
      <c r="AB206" s="2">
        <v>0</v>
      </c>
      <c r="AC206" s="2">
        <v>0</v>
      </c>
      <c r="AD206" s="4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21.4</v>
      </c>
      <c r="AN206" s="2">
        <v>21.4</v>
      </c>
      <c r="AO206" s="2">
        <v>0</v>
      </c>
      <c r="AP206" s="2">
        <v>0</v>
      </c>
      <c r="AQ206" s="2">
        <v>0</v>
      </c>
    </row>
    <row r="207" spans="1:44" x14ac:dyDescent="0.25">
      <c r="A207" s="1">
        <v>45922</v>
      </c>
      <c r="B207" t="s">
        <v>47</v>
      </c>
      <c r="C207">
        <v>649163</v>
      </c>
      <c r="D207">
        <v>2026607392</v>
      </c>
      <c r="E207" t="s">
        <v>590</v>
      </c>
      <c r="F207" t="s">
        <v>514</v>
      </c>
      <c r="G207" t="s">
        <v>50</v>
      </c>
      <c r="H207" t="s">
        <v>51</v>
      </c>
      <c r="I207" t="s">
        <v>574</v>
      </c>
      <c r="J207" t="s">
        <v>575</v>
      </c>
      <c r="K207">
        <v>728134</v>
      </c>
      <c r="L207" t="s">
        <v>322</v>
      </c>
      <c r="M207" t="s">
        <v>323</v>
      </c>
      <c r="N207" t="s">
        <v>1115</v>
      </c>
      <c r="O207" t="s">
        <v>56</v>
      </c>
      <c r="P207" s="1">
        <v>45673</v>
      </c>
      <c r="Q207" s="1">
        <v>45946</v>
      </c>
      <c r="R207" s="2">
        <v>78.83</v>
      </c>
      <c r="S207">
        <v>1</v>
      </c>
      <c r="T207" t="s">
        <v>57</v>
      </c>
      <c r="U207" t="s">
        <v>58</v>
      </c>
      <c r="V207" s="4">
        <v>0.47</v>
      </c>
      <c r="W207" s="2">
        <v>0</v>
      </c>
      <c r="X207">
        <v>0</v>
      </c>
      <c r="Y207" t="s">
        <v>70</v>
      </c>
      <c r="Z207" t="s">
        <v>60</v>
      </c>
      <c r="AA207">
        <v>0</v>
      </c>
      <c r="AB207" s="2">
        <v>0</v>
      </c>
      <c r="AC207" s="2">
        <v>0</v>
      </c>
      <c r="AD207" s="4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37.049999999999997</v>
      </c>
      <c r="AN207" s="2">
        <v>37.049999999999997</v>
      </c>
      <c r="AO207" s="2">
        <v>0</v>
      </c>
      <c r="AP207" s="2">
        <v>0</v>
      </c>
      <c r="AQ207" s="2">
        <v>0</v>
      </c>
    </row>
    <row r="208" spans="1:44" x14ac:dyDescent="0.25">
      <c r="A208" s="1">
        <v>45915</v>
      </c>
      <c r="B208" t="s">
        <v>47</v>
      </c>
      <c r="C208">
        <v>649163</v>
      </c>
      <c r="D208">
        <v>2021470237</v>
      </c>
      <c r="E208" t="s">
        <v>1042</v>
      </c>
      <c r="F208" t="s">
        <v>153</v>
      </c>
      <c r="G208" t="s">
        <v>50</v>
      </c>
      <c r="H208" t="s">
        <v>51</v>
      </c>
      <c r="I208" t="s">
        <v>306</v>
      </c>
      <c r="J208" t="s">
        <v>307</v>
      </c>
      <c r="K208">
        <v>728134</v>
      </c>
      <c r="L208" t="s">
        <v>322</v>
      </c>
      <c r="M208" t="s">
        <v>323</v>
      </c>
      <c r="N208" t="s">
        <v>1115</v>
      </c>
      <c r="O208" t="s">
        <v>56</v>
      </c>
      <c r="P208" s="1">
        <v>45310</v>
      </c>
      <c r="Q208" s="1">
        <v>45949</v>
      </c>
      <c r="R208" s="2">
        <v>60.89</v>
      </c>
      <c r="S208">
        <v>1</v>
      </c>
      <c r="T208" t="s">
        <v>57</v>
      </c>
      <c r="U208" t="s">
        <v>58</v>
      </c>
      <c r="V208" s="4">
        <v>0.06</v>
      </c>
      <c r="W208" s="2">
        <v>0</v>
      </c>
      <c r="X208">
        <v>0</v>
      </c>
      <c r="Y208" t="s">
        <v>59</v>
      </c>
      <c r="Z208" t="s">
        <v>60</v>
      </c>
      <c r="AA208">
        <v>0</v>
      </c>
      <c r="AB208" s="2">
        <v>0</v>
      </c>
      <c r="AC208" s="2">
        <v>0</v>
      </c>
      <c r="AD208" s="4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3.65</v>
      </c>
      <c r="AN208" s="2">
        <v>3.65</v>
      </c>
      <c r="AO208" s="2">
        <v>0</v>
      </c>
      <c r="AP208" s="2">
        <v>0</v>
      </c>
      <c r="AQ208" s="2">
        <v>0</v>
      </c>
    </row>
    <row r="209" spans="1:44" x14ac:dyDescent="0.25">
      <c r="A209" s="1">
        <v>45915</v>
      </c>
      <c r="B209" t="s">
        <v>47</v>
      </c>
      <c r="C209">
        <v>649163</v>
      </c>
      <c r="D209">
        <v>2026146921</v>
      </c>
      <c r="E209" t="s">
        <v>621</v>
      </c>
      <c r="F209" t="s">
        <v>1034</v>
      </c>
      <c r="G209" t="s">
        <v>50</v>
      </c>
      <c r="H209" t="s">
        <v>51</v>
      </c>
      <c r="I209" t="s">
        <v>306</v>
      </c>
      <c r="J209" t="s">
        <v>307</v>
      </c>
      <c r="K209">
        <v>728134</v>
      </c>
      <c r="L209" t="s">
        <v>322</v>
      </c>
      <c r="M209" t="s">
        <v>323</v>
      </c>
      <c r="N209" t="s">
        <v>1115</v>
      </c>
      <c r="O209" t="s">
        <v>56</v>
      </c>
      <c r="P209" s="1">
        <v>45639</v>
      </c>
      <c r="Q209" s="1">
        <v>45943</v>
      </c>
      <c r="R209" s="2">
        <v>39.979999999999997</v>
      </c>
      <c r="S209">
        <v>1</v>
      </c>
      <c r="T209" t="s">
        <v>57</v>
      </c>
      <c r="U209" t="s">
        <v>58</v>
      </c>
      <c r="V209" s="3">
        <v>0.375</v>
      </c>
      <c r="W209" s="2">
        <v>0</v>
      </c>
      <c r="X209">
        <v>0</v>
      </c>
      <c r="Y209" t="s">
        <v>70</v>
      </c>
      <c r="Z209" t="s">
        <v>60</v>
      </c>
      <c r="AA209">
        <v>0</v>
      </c>
      <c r="AB209" s="2">
        <v>0</v>
      </c>
      <c r="AC209" s="2">
        <v>0</v>
      </c>
      <c r="AD209" s="4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14.99</v>
      </c>
      <c r="AN209" s="2">
        <v>14.99</v>
      </c>
      <c r="AO209" s="2">
        <v>0</v>
      </c>
      <c r="AP209" s="2">
        <v>0</v>
      </c>
      <c r="AQ209" s="2">
        <v>0</v>
      </c>
    </row>
    <row r="210" spans="1:44" x14ac:dyDescent="0.25">
      <c r="A210" s="1">
        <v>45915</v>
      </c>
      <c r="B210" t="s">
        <v>47</v>
      </c>
      <c r="C210">
        <v>649163</v>
      </c>
      <c r="D210">
        <v>2026585511</v>
      </c>
      <c r="E210" t="s">
        <v>1032</v>
      </c>
      <c r="F210" t="s">
        <v>265</v>
      </c>
      <c r="G210" t="s">
        <v>50</v>
      </c>
      <c r="H210" t="s">
        <v>51</v>
      </c>
      <c r="I210" t="s">
        <v>306</v>
      </c>
      <c r="J210" t="s">
        <v>307</v>
      </c>
      <c r="K210">
        <v>728134</v>
      </c>
      <c r="L210" t="s">
        <v>322</v>
      </c>
      <c r="M210" t="s">
        <v>323</v>
      </c>
      <c r="N210" t="s">
        <v>1115</v>
      </c>
      <c r="O210" t="s">
        <v>56</v>
      </c>
      <c r="P210" s="1">
        <v>45672</v>
      </c>
      <c r="Q210" s="1">
        <v>45945</v>
      </c>
      <c r="R210" s="2">
        <v>149.46</v>
      </c>
      <c r="S210">
        <v>1</v>
      </c>
      <c r="T210" t="s">
        <v>57</v>
      </c>
      <c r="U210" t="s">
        <v>58</v>
      </c>
      <c r="V210" s="3">
        <v>0.375</v>
      </c>
      <c r="W210" s="2">
        <v>0</v>
      </c>
      <c r="X210">
        <v>0</v>
      </c>
      <c r="Y210" t="s">
        <v>70</v>
      </c>
      <c r="Z210" t="s">
        <v>60</v>
      </c>
      <c r="AA210">
        <v>0</v>
      </c>
      <c r="AB210" s="2">
        <v>0</v>
      </c>
      <c r="AC210" s="2">
        <v>0</v>
      </c>
      <c r="AD210" s="4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56.05</v>
      </c>
      <c r="AN210" s="2">
        <v>56.05</v>
      </c>
      <c r="AO210" s="2">
        <v>0</v>
      </c>
      <c r="AP210" s="2">
        <v>0</v>
      </c>
      <c r="AQ210" s="2">
        <v>0</v>
      </c>
    </row>
    <row r="211" spans="1:44" x14ac:dyDescent="0.25">
      <c r="A211" s="1">
        <v>45915</v>
      </c>
      <c r="B211" t="s">
        <v>47</v>
      </c>
      <c r="C211">
        <v>649163</v>
      </c>
      <c r="D211">
        <v>2026603256</v>
      </c>
      <c r="E211" t="s">
        <v>896</v>
      </c>
      <c r="F211" t="s">
        <v>145</v>
      </c>
      <c r="G211" t="s">
        <v>50</v>
      </c>
      <c r="H211" t="s">
        <v>51</v>
      </c>
      <c r="I211" t="s">
        <v>306</v>
      </c>
      <c r="J211" t="s">
        <v>307</v>
      </c>
      <c r="K211">
        <v>728134</v>
      </c>
      <c r="L211" t="s">
        <v>322</v>
      </c>
      <c r="M211" t="s">
        <v>323</v>
      </c>
      <c r="N211" t="s">
        <v>1115</v>
      </c>
      <c r="O211" t="s">
        <v>56</v>
      </c>
      <c r="P211" s="1">
        <v>45673</v>
      </c>
      <c r="Q211" s="1">
        <v>45946</v>
      </c>
      <c r="R211" s="2">
        <v>49.98</v>
      </c>
      <c r="S211">
        <v>1</v>
      </c>
      <c r="T211" t="s">
        <v>57</v>
      </c>
      <c r="U211" t="s">
        <v>58</v>
      </c>
      <c r="V211" s="3">
        <v>0.375</v>
      </c>
      <c r="W211" s="2">
        <v>0</v>
      </c>
      <c r="X211">
        <v>0</v>
      </c>
      <c r="Y211" t="s">
        <v>70</v>
      </c>
      <c r="Z211" t="s">
        <v>60</v>
      </c>
      <c r="AA211">
        <v>0</v>
      </c>
      <c r="AB211" s="2">
        <v>0</v>
      </c>
      <c r="AC211" s="2">
        <v>0</v>
      </c>
      <c r="AD211" s="4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18.739999999999998</v>
      </c>
      <c r="AN211" s="2">
        <v>18.739999999999998</v>
      </c>
      <c r="AO211" s="2">
        <v>0</v>
      </c>
      <c r="AP211" s="2">
        <v>0</v>
      </c>
      <c r="AQ211" s="2">
        <v>0</v>
      </c>
    </row>
    <row r="212" spans="1:44" x14ac:dyDescent="0.25">
      <c r="A212" s="1">
        <v>45915</v>
      </c>
      <c r="B212" t="s">
        <v>47</v>
      </c>
      <c r="C212">
        <v>649163</v>
      </c>
      <c r="D212">
        <v>2027883494</v>
      </c>
      <c r="E212" t="s">
        <v>317</v>
      </c>
      <c r="F212" t="s">
        <v>876</v>
      </c>
      <c r="G212" t="s">
        <v>50</v>
      </c>
      <c r="H212" t="s">
        <v>51</v>
      </c>
      <c r="I212" t="s">
        <v>306</v>
      </c>
      <c r="J212" t="s">
        <v>307</v>
      </c>
      <c r="K212">
        <v>728134</v>
      </c>
      <c r="L212" t="s">
        <v>322</v>
      </c>
      <c r="M212" t="s">
        <v>323</v>
      </c>
      <c r="N212" t="s">
        <v>1115</v>
      </c>
      <c r="O212" t="s">
        <v>56</v>
      </c>
      <c r="P212" s="1">
        <v>45735</v>
      </c>
      <c r="Q212" s="1">
        <v>45949</v>
      </c>
      <c r="R212" s="2">
        <v>49.98</v>
      </c>
      <c r="S212">
        <v>1</v>
      </c>
      <c r="T212" t="s">
        <v>57</v>
      </c>
      <c r="U212" t="s">
        <v>58</v>
      </c>
      <c r="V212" s="3">
        <v>0.375</v>
      </c>
      <c r="W212" s="2">
        <v>0</v>
      </c>
      <c r="X212">
        <v>0</v>
      </c>
      <c r="Y212" t="s">
        <v>70</v>
      </c>
      <c r="Z212" t="s">
        <v>60</v>
      </c>
      <c r="AA212">
        <v>0</v>
      </c>
      <c r="AB212" s="2">
        <v>0</v>
      </c>
      <c r="AC212" s="2">
        <v>0</v>
      </c>
      <c r="AD212" s="4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18.739999999999998</v>
      </c>
      <c r="AN212" s="2">
        <v>18.739999999999998</v>
      </c>
      <c r="AO212" s="2">
        <v>0</v>
      </c>
      <c r="AP212" s="2">
        <v>0</v>
      </c>
      <c r="AQ212" s="2">
        <v>0</v>
      </c>
    </row>
    <row r="213" spans="1:44" x14ac:dyDescent="0.25">
      <c r="A213" s="1">
        <v>45915</v>
      </c>
      <c r="B213" t="s">
        <v>47</v>
      </c>
      <c r="C213">
        <v>649163</v>
      </c>
      <c r="D213">
        <v>2021071542</v>
      </c>
      <c r="E213" t="s">
        <v>350</v>
      </c>
      <c r="F213" t="s">
        <v>633</v>
      </c>
      <c r="G213" t="s">
        <v>50</v>
      </c>
      <c r="H213" t="s">
        <v>51</v>
      </c>
      <c r="I213" t="s">
        <v>574</v>
      </c>
      <c r="J213" t="s">
        <v>575</v>
      </c>
      <c r="K213">
        <v>728134</v>
      </c>
      <c r="L213" t="s">
        <v>322</v>
      </c>
      <c r="M213" t="s">
        <v>323</v>
      </c>
      <c r="N213" t="s">
        <v>1115</v>
      </c>
      <c r="O213" t="s">
        <v>56</v>
      </c>
      <c r="P213" s="1">
        <v>45273</v>
      </c>
      <c r="Q213" s="1">
        <v>45943</v>
      </c>
      <c r="R213" s="2">
        <v>98.83</v>
      </c>
      <c r="S213">
        <v>1</v>
      </c>
      <c r="T213" t="s">
        <v>57</v>
      </c>
      <c r="U213" t="s">
        <v>58</v>
      </c>
      <c r="V213" s="3">
        <v>5.2499999999999998E-2</v>
      </c>
      <c r="W213" s="2">
        <v>0</v>
      </c>
      <c r="X213">
        <v>0</v>
      </c>
      <c r="Y213" t="s">
        <v>59</v>
      </c>
      <c r="Z213" t="s">
        <v>60</v>
      </c>
      <c r="AA213">
        <v>0</v>
      </c>
      <c r="AB213" s="2">
        <v>0</v>
      </c>
      <c r="AC213" s="2">
        <v>0</v>
      </c>
      <c r="AD213" s="4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5.19</v>
      </c>
      <c r="AN213" s="2">
        <v>5.19</v>
      </c>
      <c r="AO213" s="2">
        <v>0</v>
      </c>
      <c r="AP213" s="2">
        <v>0</v>
      </c>
      <c r="AQ213" s="2">
        <v>0</v>
      </c>
    </row>
    <row r="214" spans="1:44" x14ac:dyDescent="0.25">
      <c r="A214" s="1">
        <v>45915</v>
      </c>
      <c r="B214" t="s">
        <v>47</v>
      </c>
      <c r="C214">
        <v>649163</v>
      </c>
      <c r="D214">
        <v>2021761961</v>
      </c>
      <c r="E214" t="s">
        <v>632</v>
      </c>
      <c r="F214" t="s">
        <v>62</v>
      </c>
      <c r="G214" t="s">
        <v>50</v>
      </c>
      <c r="H214" t="s">
        <v>51</v>
      </c>
      <c r="I214" t="s">
        <v>574</v>
      </c>
      <c r="J214" t="s">
        <v>575</v>
      </c>
      <c r="K214">
        <v>728134</v>
      </c>
      <c r="L214" t="s">
        <v>322</v>
      </c>
      <c r="M214" t="s">
        <v>323</v>
      </c>
      <c r="N214" t="s">
        <v>1115</v>
      </c>
      <c r="O214" t="s">
        <v>56</v>
      </c>
      <c r="P214" s="1">
        <v>45335</v>
      </c>
      <c r="Q214" s="1">
        <v>45943</v>
      </c>
      <c r="R214" s="2">
        <v>43.59</v>
      </c>
      <c r="S214">
        <v>1</v>
      </c>
      <c r="T214" t="s">
        <v>57</v>
      </c>
      <c r="U214" t="s">
        <v>58</v>
      </c>
      <c r="V214" s="3">
        <v>5.2499999999999998E-2</v>
      </c>
      <c r="W214" s="2">
        <v>0</v>
      </c>
      <c r="X214">
        <v>0</v>
      </c>
      <c r="Y214" t="s">
        <v>59</v>
      </c>
      <c r="Z214" t="s">
        <v>60</v>
      </c>
      <c r="AA214">
        <v>0</v>
      </c>
      <c r="AB214" s="2">
        <v>0</v>
      </c>
      <c r="AC214" s="2">
        <v>0</v>
      </c>
      <c r="AD214" s="4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2.29</v>
      </c>
      <c r="AN214" s="2">
        <v>2.29</v>
      </c>
      <c r="AO214" s="2">
        <v>0</v>
      </c>
      <c r="AP214" s="2">
        <v>0</v>
      </c>
      <c r="AQ214" s="2">
        <v>0</v>
      </c>
    </row>
    <row r="215" spans="1:44" x14ac:dyDescent="0.25">
      <c r="A215" s="1">
        <v>45915</v>
      </c>
      <c r="B215" t="s">
        <v>47</v>
      </c>
      <c r="C215">
        <v>649163</v>
      </c>
      <c r="D215">
        <v>2026164939</v>
      </c>
      <c r="E215" t="s">
        <v>631</v>
      </c>
      <c r="F215" t="s">
        <v>630</v>
      </c>
      <c r="G215" t="s">
        <v>50</v>
      </c>
      <c r="H215" t="s">
        <v>51</v>
      </c>
      <c r="I215" t="s">
        <v>574</v>
      </c>
      <c r="J215" t="s">
        <v>575</v>
      </c>
      <c r="K215">
        <v>728134</v>
      </c>
      <c r="L215" t="s">
        <v>322</v>
      </c>
      <c r="M215" t="s">
        <v>323</v>
      </c>
      <c r="N215" t="s">
        <v>1115</v>
      </c>
      <c r="O215" t="s">
        <v>56</v>
      </c>
      <c r="P215" s="1">
        <v>45640</v>
      </c>
      <c r="Q215" s="1">
        <v>45944</v>
      </c>
      <c r="R215" s="2">
        <v>122.9</v>
      </c>
      <c r="S215">
        <v>1</v>
      </c>
      <c r="T215" t="s">
        <v>57</v>
      </c>
      <c r="U215" t="s">
        <v>58</v>
      </c>
      <c r="V215" s="4">
        <v>0.47</v>
      </c>
      <c r="W215" s="2">
        <v>0</v>
      </c>
      <c r="X215">
        <v>0</v>
      </c>
      <c r="Y215" t="s">
        <v>70</v>
      </c>
      <c r="Z215" t="s">
        <v>60</v>
      </c>
      <c r="AA215">
        <v>0</v>
      </c>
      <c r="AB215" s="2">
        <v>0</v>
      </c>
      <c r="AC215" s="2">
        <v>0</v>
      </c>
      <c r="AD215" s="4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57.76</v>
      </c>
      <c r="AN215" s="2">
        <v>57.76</v>
      </c>
      <c r="AO215" s="2">
        <v>0</v>
      </c>
      <c r="AP215" s="2">
        <v>0</v>
      </c>
      <c r="AQ215" s="2">
        <v>0</v>
      </c>
    </row>
    <row r="216" spans="1:44" x14ac:dyDescent="0.25">
      <c r="A216" s="1">
        <v>45915</v>
      </c>
      <c r="B216" t="s">
        <v>47</v>
      </c>
      <c r="C216">
        <v>649163</v>
      </c>
      <c r="D216">
        <v>2028973238</v>
      </c>
      <c r="E216" t="s">
        <v>621</v>
      </c>
      <c r="F216" t="s">
        <v>368</v>
      </c>
      <c r="G216" t="s">
        <v>50</v>
      </c>
      <c r="H216" t="s">
        <v>51</v>
      </c>
      <c r="I216" t="s">
        <v>574</v>
      </c>
      <c r="J216" t="s">
        <v>575</v>
      </c>
      <c r="K216">
        <v>728134</v>
      </c>
      <c r="L216" t="s">
        <v>322</v>
      </c>
      <c r="M216" t="s">
        <v>323</v>
      </c>
      <c r="N216" t="s">
        <v>1115</v>
      </c>
      <c r="O216" t="s">
        <v>230</v>
      </c>
      <c r="P216" s="1">
        <v>45809</v>
      </c>
      <c r="Q216" s="1">
        <v>45931</v>
      </c>
      <c r="R216" s="2">
        <v>-232.35</v>
      </c>
      <c r="S216">
        <v>1</v>
      </c>
      <c r="T216" t="s">
        <v>57</v>
      </c>
      <c r="U216" t="s">
        <v>58</v>
      </c>
      <c r="V216" s="4">
        <v>0.47</v>
      </c>
      <c r="W216" s="2">
        <v>0</v>
      </c>
      <c r="X216">
        <v>-1</v>
      </c>
      <c r="Y216" t="s">
        <v>70</v>
      </c>
      <c r="Z216" t="s">
        <v>60</v>
      </c>
      <c r="AA216">
        <v>0</v>
      </c>
      <c r="AB216" s="2">
        <v>0</v>
      </c>
      <c r="AC216" s="2">
        <v>0</v>
      </c>
      <c r="AD216" s="4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-109.2</v>
      </c>
      <c r="AN216" s="2">
        <v>-109.2</v>
      </c>
      <c r="AO216" s="2">
        <v>0</v>
      </c>
      <c r="AP216" s="2">
        <v>0</v>
      </c>
      <c r="AQ216" s="2">
        <v>0</v>
      </c>
    </row>
    <row r="217" spans="1:44" x14ac:dyDescent="0.25">
      <c r="A217" s="1">
        <v>45922</v>
      </c>
      <c r="B217" t="s">
        <v>47</v>
      </c>
      <c r="C217">
        <v>649163</v>
      </c>
      <c r="D217">
        <v>2029303774</v>
      </c>
      <c r="E217" t="s">
        <v>597</v>
      </c>
      <c r="F217" t="s">
        <v>598</v>
      </c>
      <c r="G217" t="s">
        <v>50</v>
      </c>
      <c r="H217" t="s">
        <v>51</v>
      </c>
      <c r="I217" t="s">
        <v>574</v>
      </c>
      <c r="J217" t="s">
        <v>575</v>
      </c>
      <c r="K217">
        <v>728134</v>
      </c>
      <c r="L217" t="s">
        <v>322</v>
      </c>
      <c r="M217" t="s">
        <v>323</v>
      </c>
      <c r="N217" t="s">
        <v>1115</v>
      </c>
      <c r="O217" t="s">
        <v>56</v>
      </c>
      <c r="P217" s="1">
        <v>45798</v>
      </c>
      <c r="Q217" s="1">
        <v>45951</v>
      </c>
      <c r="R217" s="2">
        <v>37.32</v>
      </c>
      <c r="S217">
        <v>1</v>
      </c>
      <c r="T217" t="s">
        <v>57</v>
      </c>
      <c r="U217" t="s">
        <v>599</v>
      </c>
      <c r="V217" s="4">
        <v>0.47</v>
      </c>
      <c r="W217" s="2">
        <v>0</v>
      </c>
      <c r="X217">
        <v>0</v>
      </c>
      <c r="Y217" t="s">
        <v>70</v>
      </c>
      <c r="Z217" t="s">
        <v>97</v>
      </c>
      <c r="AA217">
        <v>0</v>
      </c>
      <c r="AB217" s="2">
        <v>0</v>
      </c>
      <c r="AC217" s="2">
        <v>0</v>
      </c>
      <c r="AD217" s="4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17.54</v>
      </c>
      <c r="AN217" s="2">
        <v>17.54</v>
      </c>
      <c r="AO217" s="2">
        <v>0</v>
      </c>
      <c r="AP217" s="2">
        <v>0</v>
      </c>
      <c r="AQ217" s="2">
        <v>0</v>
      </c>
    </row>
    <row r="218" spans="1:44" x14ac:dyDescent="0.25">
      <c r="A218" s="1">
        <v>45915</v>
      </c>
      <c r="B218" t="s">
        <v>602</v>
      </c>
      <c r="C218">
        <v>649163</v>
      </c>
      <c r="D218">
        <v>2028973238</v>
      </c>
      <c r="E218" t="s">
        <v>621</v>
      </c>
      <c r="F218" t="s">
        <v>368</v>
      </c>
      <c r="G218" t="s">
        <v>50</v>
      </c>
      <c r="I218" t="s">
        <v>574</v>
      </c>
      <c r="J218" t="s">
        <v>575</v>
      </c>
      <c r="K218">
        <v>649163</v>
      </c>
      <c r="L218" t="s">
        <v>322</v>
      </c>
      <c r="M218" t="s">
        <v>323</v>
      </c>
      <c r="N218" t="s">
        <v>1115</v>
      </c>
      <c r="O218" t="s">
        <v>230</v>
      </c>
      <c r="P218" s="1">
        <v>45809</v>
      </c>
      <c r="R218" s="2">
        <v>0</v>
      </c>
      <c r="AB218" s="2">
        <v>290.18</v>
      </c>
      <c r="AC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193.45</v>
      </c>
      <c r="AN218" s="2">
        <v>-96.73</v>
      </c>
      <c r="AO218" s="2">
        <v>-96.73</v>
      </c>
      <c r="AP218" s="2">
        <v>0</v>
      </c>
      <c r="AQ218" s="2">
        <v>0</v>
      </c>
      <c r="AR218" t="s">
        <v>605</v>
      </c>
    </row>
    <row r="219" spans="1:44" x14ac:dyDescent="0.25">
      <c r="A219" s="1">
        <v>45915</v>
      </c>
      <c r="B219" t="s">
        <v>47</v>
      </c>
      <c r="C219">
        <v>649163</v>
      </c>
      <c r="D219">
        <v>2029995395</v>
      </c>
      <c r="E219" t="s">
        <v>651</v>
      </c>
      <c r="F219" t="s">
        <v>179</v>
      </c>
      <c r="G219" t="s">
        <v>50</v>
      </c>
      <c r="H219" t="s">
        <v>151</v>
      </c>
      <c r="I219" t="s">
        <v>243</v>
      </c>
      <c r="J219" t="s">
        <v>244</v>
      </c>
      <c r="K219">
        <v>877182</v>
      </c>
      <c r="L219" t="s">
        <v>650</v>
      </c>
      <c r="M219" t="s">
        <v>649</v>
      </c>
      <c r="N219" t="s">
        <v>1135</v>
      </c>
      <c r="O219" t="s">
        <v>56</v>
      </c>
      <c r="P219" s="1">
        <v>45855</v>
      </c>
      <c r="Q219" s="1">
        <v>45947</v>
      </c>
      <c r="R219" s="2">
        <v>15</v>
      </c>
      <c r="S219">
        <v>1</v>
      </c>
      <c r="T219" t="s">
        <v>57</v>
      </c>
      <c r="U219" t="s">
        <v>58</v>
      </c>
      <c r="V219" s="4">
        <v>0.28999999999999998</v>
      </c>
      <c r="W219" s="2">
        <v>0</v>
      </c>
      <c r="X219">
        <v>0</v>
      </c>
      <c r="Y219" t="s">
        <v>70</v>
      </c>
      <c r="Z219" t="s">
        <v>60</v>
      </c>
      <c r="AA219">
        <v>0</v>
      </c>
      <c r="AB219" s="2">
        <v>0</v>
      </c>
      <c r="AC219" s="2">
        <v>0</v>
      </c>
      <c r="AD219" s="4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4.3499999999999996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</row>
    <row r="220" spans="1:44" x14ac:dyDescent="0.25">
      <c r="A220" s="1">
        <v>45915</v>
      </c>
      <c r="B220" t="s">
        <v>47</v>
      </c>
      <c r="D220">
        <v>2029995394</v>
      </c>
      <c r="E220" t="s">
        <v>651</v>
      </c>
      <c r="F220" t="s">
        <v>179</v>
      </c>
      <c r="G220" t="s">
        <v>50</v>
      </c>
      <c r="H220" t="s">
        <v>151</v>
      </c>
      <c r="I220" t="s">
        <v>441</v>
      </c>
      <c r="J220" t="s">
        <v>545</v>
      </c>
      <c r="L220" t="s">
        <v>650</v>
      </c>
      <c r="M220" t="s">
        <v>649</v>
      </c>
      <c r="N220" t="s">
        <v>1135</v>
      </c>
      <c r="O220" t="s">
        <v>56</v>
      </c>
      <c r="P220" s="1">
        <v>45855</v>
      </c>
      <c r="Q220" s="1">
        <v>45947</v>
      </c>
      <c r="R220" s="2">
        <v>25.73</v>
      </c>
      <c r="S220">
        <v>1</v>
      </c>
      <c r="T220" t="s">
        <v>57</v>
      </c>
      <c r="U220" t="s">
        <v>58</v>
      </c>
      <c r="V220" s="4">
        <v>0.7</v>
      </c>
      <c r="W220" s="2">
        <v>0</v>
      </c>
      <c r="X220">
        <v>0</v>
      </c>
      <c r="Y220" t="s">
        <v>70</v>
      </c>
      <c r="Z220" t="s">
        <v>60</v>
      </c>
      <c r="AA220">
        <v>0</v>
      </c>
      <c r="AB220" s="2">
        <v>0</v>
      </c>
      <c r="AC220" s="2">
        <v>0</v>
      </c>
      <c r="AD220" s="4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18.010000000000002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</row>
    <row r="221" spans="1:44" x14ac:dyDescent="0.25">
      <c r="A221" s="1">
        <v>45915</v>
      </c>
      <c r="B221" t="s">
        <v>47</v>
      </c>
      <c r="C221">
        <v>649163</v>
      </c>
      <c r="D221">
        <v>2029995393</v>
      </c>
      <c r="E221" t="s">
        <v>651</v>
      </c>
      <c r="F221" t="s">
        <v>179</v>
      </c>
      <c r="G221" t="s">
        <v>50</v>
      </c>
      <c r="H221" t="s">
        <v>151</v>
      </c>
      <c r="I221" t="s">
        <v>569</v>
      </c>
      <c r="J221" t="s">
        <v>571</v>
      </c>
      <c r="K221">
        <v>877182</v>
      </c>
      <c r="L221" t="s">
        <v>650</v>
      </c>
      <c r="M221" t="s">
        <v>649</v>
      </c>
      <c r="N221" t="s">
        <v>1135</v>
      </c>
      <c r="O221" t="s">
        <v>56</v>
      </c>
      <c r="P221" s="1">
        <v>45855</v>
      </c>
      <c r="Q221" s="1">
        <v>45947</v>
      </c>
      <c r="R221" s="2">
        <v>154.38</v>
      </c>
      <c r="S221">
        <v>1</v>
      </c>
      <c r="T221" t="s">
        <v>57</v>
      </c>
      <c r="U221" t="s">
        <v>58</v>
      </c>
      <c r="V221" s="4">
        <v>0.28999999999999998</v>
      </c>
      <c r="W221" s="2">
        <v>0</v>
      </c>
      <c r="X221">
        <v>0</v>
      </c>
      <c r="Y221" t="s">
        <v>70</v>
      </c>
      <c r="Z221" t="s">
        <v>60</v>
      </c>
      <c r="AA221">
        <v>0</v>
      </c>
      <c r="AB221" s="2">
        <v>0</v>
      </c>
      <c r="AC221" s="2">
        <v>0</v>
      </c>
      <c r="AD221" s="4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44.77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</row>
    <row r="222" spans="1:44" x14ac:dyDescent="0.25">
      <c r="A222" s="1">
        <v>45915</v>
      </c>
      <c r="B222" t="s">
        <v>47</v>
      </c>
      <c r="C222">
        <v>649163</v>
      </c>
      <c r="D222">
        <v>2026572545</v>
      </c>
      <c r="E222" t="s">
        <v>629</v>
      </c>
      <c r="F222" t="s">
        <v>628</v>
      </c>
      <c r="G222" t="s">
        <v>50</v>
      </c>
      <c r="H222" t="s">
        <v>93</v>
      </c>
      <c r="I222" t="s">
        <v>441</v>
      </c>
      <c r="J222" t="s">
        <v>445</v>
      </c>
      <c r="K222">
        <v>764123</v>
      </c>
      <c r="L222" t="s">
        <v>629</v>
      </c>
      <c r="M222" t="s">
        <v>628</v>
      </c>
      <c r="N222" t="s">
        <v>1137</v>
      </c>
      <c r="O222" t="s">
        <v>56</v>
      </c>
      <c r="P222" s="1">
        <v>45671</v>
      </c>
      <c r="Q222" s="1">
        <v>45944</v>
      </c>
      <c r="R222" s="2">
        <v>26.5</v>
      </c>
      <c r="S222">
        <v>1</v>
      </c>
      <c r="T222" t="s">
        <v>57</v>
      </c>
      <c r="U222" t="s">
        <v>58</v>
      </c>
      <c r="V222" s="4">
        <v>0.7</v>
      </c>
      <c r="W222" s="2">
        <v>0</v>
      </c>
      <c r="X222">
        <v>0</v>
      </c>
      <c r="Y222" t="s">
        <v>70</v>
      </c>
      <c r="Z222" t="s">
        <v>60</v>
      </c>
      <c r="AA222">
        <v>0</v>
      </c>
      <c r="AB222" s="2">
        <v>0</v>
      </c>
      <c r="AC222" s="2">
        <v>0</v>
      </c>
      <c r="AD222" s="4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18.55</v>
      </c>
      <c r="AN222" s="2">
        <v>18.55</v>
      </c>
      <c r="AO222" s="2">
        <v>0</v>
      </c>
      <c r="AP222" s="2">
        <v>0</v>
      </c>
      <c r="AQ222" s="2">
        <v>0</v>
      </c>
    </row>
    <row r="223" spans="1:44" x14ac:dyDescent="0.25">
      <c r="A223" s="1">
        <v>45915</v>
      </c>
      <c r="B223" t="s">
        <v>47</v>
      </c>
      <c r="C223">
        <v>649163</v>
      </c>
      <c r="D223">
        <v>2027767677</v>
      </c>
      <c r="E223" t="s">
        <v>880</v>
      </c>
      <c r="F223" t="s">
        <v>114</v>
      </c>
      <c r="G223" t="s">
        <v>50</v>
      </c>
      <c r="H223" t="s">
        <v>121</v>
      </c>
      <c r="I223" t="s">
        <v>441</v>
      </c>
      <c r="J223" t="s">
        <v>445</v>
      </c>
      <c r="K223">
        <v>764123</v>
      </c>
      <c r="L223" t="s">
        <v>629</v>
      </c>
      <c r="M223" t="s">
        <v>628</v>
      </c>
      <c r="N223" t="s">
        <v>1137</v>
      </c>
      <c r="O223" t="s">
        <v>56</v>
      </c>
      <c r="P223" s="1">
        <v>45729</v>
      </c>
      <c r="Q223" s="1">
        <v>45943</v>
      </c>
      <c r="R223" s="2">
        <v>56.55</v>
      </c>
      <c r="S223">
        <v>1</v>
      </c>
      <c r="T223" t="s">
        <v>57</v>
      </c>
      <c r="U223" t="s">
        <v>58</v>
      </c>
      <c r="V223" s="4">
        <v>0.7</v>
      </c>
      <c r="W223" s="2">
        <v>0</v>
      </c>
      <c r="X223">
        <v>0</v>
      </c>
      <c r="Y223" t="s">
        <v>70</v>
      </c>
      <c r="Z223" t="s">
        <v>60</v>
      </c>
      <c r="AA223">
        <v>0</v>
      </c>
      <c r="AB223" s="2">
        <v>0</v>
      </c>
      <c r="AC223" s="2">
        <v>0</v>
      </c>
      <c r="AD223" s="4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39.58</v>
      </c>
      <c r="AN223" s="2">
        <v>39.58</v>
      </c>
      <c r="AO223" s="2">
        <v>0</v>
      </c>
      <c r="AP223" s="2">
        <v>0</v>
      </c>
      <c r="AQ223" s="2">
        <v>0</v>
      </c>
    </row>
    <row r="224" spans="1:44" x14ac:dyDescent="0.25">
      <c r="A224" s="1">
        <v>45915</v>
      </c>
      <c r="B224" t="s">
        <v>47</v>
      </c>
      <c r="C224">
        <v>649163</v>
      </c>
      <c r="D224">
        <v>2027767676</v>
      </c>
      <c r="E224" t="s">
        <v>880</v>
      </c>
      <c r="F224" t="s">
        <v>114</v>
      </c>
      <c r="G224" t="s">
        <v>50</v>
      </c>
      <c r="H224" t="s">
        <v>121</v>
      </c>
      <c r="I224" t="s">
        <v>306</v>
      </c>
      <c r="J224" t="s">
        <v>307</v>
      </c>
      <c r="K224">
        <v>764123</v>
      </c>
      <c r="L224" t="s">
        <v>629</v>
      </c>
      <c r="M224" t="s">
        <v>628</v>
      </c>
      <c r="N224" t="s">
        <v>1137</v>
      </c>
      <c r="O224" t="s">
        <v>56</v>
      </c>
      <c r="P224" s="1">
        <v>45729</v>
      </c>
      <c r="Q224" s="1">
        <v>45943</v>
      </c>
      <c r="R224" s="2">
        <v>66.650000000000006</v>
      </c>
      <c r="S224">
        <v>1</v>
      </c>
      <c r="T224" t="s">
        <v>57</v>
      </c>
      <c r="U224" t="s">
        <v>58</v>
      </c>
      <c r="V224" s="3">
        <v>0.375</v>
      </c>
      <c r="W224" s="2">
        <v>0</v>
      </c>
      <c r="X224">
        <v>0</v>
      </c>
      <c r="Y224" t="s">
        <v>70</v>
      </c>
      <c r="Z224" t="s">
        <v>60</v>
      </c>
      <c r="AA224">
        <v>0</v>
      </c>
      <c r="AB224" s="2">
        <v>0</v>
      </c>
      <c r="AC224" s="2">
        <v>0</v>
      </c>
      <c r="AD224" s="4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24.99</v>
      </c>
      <c r="AN224" s="2">
        <v>24.99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45915</v>
      </c>
      <c r="B225" t="s">
        <v>47</v>
      </c>
      <c r="C225">
        <v>649163</v>
      </c>
      <c r="D225">
        <v>2026572544</v>
      </c>
      <c r="E225" t="s">
        <v>629</v>
      </c>
      <c r="F225" t="s">
        <v>628</v>
      </c>
      <c r="G225" t="s">
        <v>50</v>
      </c>
      <c r="H225" t="s">
        <v>93</v>
      </c>
      <c r="I225" t="s">
        <v>574</v>
      </c>
      <c r="J225" t="s">
        <v>575</v>
      </c>
      <c r="K225">
        <v>764123</v>
      </c>
      <c r="L225" t="s">
        <v>629</v>
      </c>
      <c r="M225" t="s">
        <v>628</v>
      </c>
      <c r="N225" t="s">
        <v>1137</v>
      </c>
      <c r="O225" t="s">
        <v>56</v>
      </c>
      <c r="P225" s="1">
        <v>45671</v>
      </c>
      <c r="Q225" s="1">
        <v>45944</v>
      </c>
      <c r="R225" s="2">
        <v>55.04</v>
      </c>
      <c r="S225">
        <v>1</v>
      </c>
      <c r="T225" t="s">
        <v>57</v>
      </c>
      <c r="U225" t="s">
        <v>58</v>
      </c>
      <c r="V225" s="4">
        <v>0.47</v>
      </c>
      <c r="W225" s="2">
        <v>0</v>
      </c>
      <c r="X225">
        <v>0</v>
      </c>
      <c r="Y225" t="s">
        <v>70</v>
      </c>
      <c r="Z225" t="s">
        <v>60</v>
      </c>
      <c r="AA225">
        <v>0</v>
      </c>
      <c r="AB225" s="2">
        <v>0</v>
      </c>
      <c r="AC225" s="2">
        <v>0</v>
      </c>
      <c r="AD225" s="4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25.87</v>
      </c>
      <c r="AN225" s="2">
        <v>25.87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45922</v>
      </c>
      <c r="B226" t="s">
        <v>47</v>
      </c>
      <c r="C226">
        <v>649163</v>
      </c>
      <c r="D226">
        <v>2030716398</v>
      </c>
      <c r="E226" t="s">
        <v>600</v>
      </c>
      <c r="F226" t="s">
        <v>601</v>
      </c>
      <c r="G226" t="s">
        <v>50</v>
      </c>
      <c r="H226" t="s">
        <v>93</v>
      </c>
      <c r="I226" t="s">
        <v>574</v>
      </c>
      <c r="J226" t="s">
        <v>575</v>
      </c>
      <c r="K226">
        <v>814033</v>
      </c>
      <c r="L226" t="s">
        <v>595</v>
      </c>
      <c r="M226" t="s">
        <v>596</v>
      </c>
      <c r="N226" t="s">
        <v>1095</v>
      </c>
      <c r="O226" t="s">
        <v>56</v>
      </c>
      <c r="P226" s="1">
        <v>45901</v>
      </c>
      <c r="Q226" s="1">
        <v>45931</v>
      </c>
      <c r="R226" s="2">
        <v>-84.15</v>
      </c>
      <c r="S226">
        <v>1</v>
      </c>
      <c r="T226" t="s">
        <v>57</v>
      </c>
      <c r="U226" t="s">
        <v>58</v>
      </c>
      <c r="V226" s="4">
        <v>0.47</v>
      </c>
      <c r="W226" s="2">
        <v>0</v>
      </c>
      <c r="X226">
        <v>-1</v>
      </c>
      <c r="Y226" t="s">
        <v>70</v>
      </c>
      <c r="Z226" t="s">
        <v>60</v>
      </c>
      <c r="AA226">
        <v>0</v>
      </c>
      <c r="AB226" s="2">
        <v>0</v>
      </c>
      <c r="AC226" s="2">
        <v>0</v>
      </c>
      <c r="AD226" s="4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-39.549999999999997</v>
      </c>
      <c r="AN226" s="2">
        <v>-39.549999999999997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45915</v>
      </c>
      <c r="B227" t="s">
        <v>47</v>
      </c>
      <c r="C227">
        <v>649163</v>
      </c>
      <c r="D227">
        <v>2029968822</v>
      </c>
      <c r="E227" t="s">
        <v>123</v>
      </c>
      <c r="F227" t="s">
        <v>109</v>
      </c>
      <c r="G227" t="s">
        <v>50</v>
      </c>
      <c r="H227" t="s">
        <v>93</v>
      </c>
      <c r="I227" t="s">
        <v>441</v>
      </c>
      <c r="J227" t="s">
        <v>451</v>
      </c>
      <c r="K227">
        <v>814033</v>
      </c>
      <c r="L227" t="s">
        <v>595</v>
      </c>
      <c r="M227" t="s">
        <v>596</v>
      </c>
      <c r="N227" t="s">
        <v>1095</v>
      </c>
      <c r="O227" t="s">
        <v>56</v>
      </c>
      <c r="P227" s="1">
        <v>45854</v>
      </c>
      <c r="Q227" s="1">
        <v>45946</v>
      </c>
      <c r="R227" s="2">
        <v>25.08</v>
      </c>
      <c r="S227">
        <v>1</v>
      </c>
      <c r="T227" t="s">
        <v>57</v>
      </c>
      <c r="U227" t="s">
        <v>58</v>
      </c>
      <c r="V227" s="4">
        <v>0.42</v>
      </c>
      <c r="W227" s="2">
        <v>0</v>
      </c>
      <c r="X227">
        <v>0</v>
      </c>
      <c r="Y227" t="s">
        <v>70</v>
      </c>
      <c r="Z227" t="s">
        <v>60</v>
      </c>
      <c r="AA227">
        <v>0</v>
      </c>
      <c r="AB227" s="2">
        <v>0</v>
      </c>
      <c r="AC227" s="2">
        <v>0</v>
      </c>
      <c r="AD227" s="4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10.53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45915</v>
      </c>
      <c r="B228" t="s">
        <v>47</v>
      </c>
      <c r="C228">
        <v>649163</v>
      </c>
      <c r="D228">
        <v>2029968823</v>
      </c>
      <c r="E228" t="s">
        <v>123</v>
      </c>
      <c r="F228" t="s">
        <v>109</v>
      </c>
      <c r="G228" t="s">
        <v>50</v>
      </c>
      <c r="H228" t="s">
        <v>93</v>
      </c>
      <c r="I228" t="s">
        <v>441</v>
      </c>
      <c r="J228" t="s">
        <v>445</v>
      </c>
      <c r="K228">
        <v>814033</v>
      </c>
      <c r="L228" t="s">
        <v>595</v>
      </c>
      <c r="M228" t="s">
        <v>596</v>
      </c>
      <c r="N228" t="s">
        <v>1095</v>
      </c>
      <c r="O228" t="s">
        <v>56</v>
      </c>
      <c r="P228" s="1">
        <v>45854</v>
      </c>
      <c r="Q228" s="1">
        <v>45946</v>
      </c>
      <c r="R228" s="2">
        <v>62.8</v>
      </c>
      <c r="S228">
        <v>1</v>
      </c>
      <c r="T228" t="s">
        <v>57</v>
      </c>
      <c r="U228" t="s">
        <v>58</v>
      </c>
      <c r="V228" s="4">
        <v>0.7</v>
      </c>
      <c r="W228" s="2">
        <v>0</v>
      </c>
      <c r="X228">
        <v>0</v>
      </c>
      <c r="Y228" t="s">
        <v>70</v>
      </c>
      <c r="Z228" t="s">
        <v>60</v>
      </c>
      <c r="AA228">
        <v>0</v>
      </c>
      <c r="AB228" s="2">
        <v>0</v>
      </c>
      <c r="AC228" s="2">
        <v>0</v>
      </c>
      <c r="AD228" s="4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43.96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45915</v>
      </c>
      <c r="B229" t="s">
        <v>47</v>
      </c>
      <c r="C229">
        <v>649163</v>
      </c>
      <c r="D229">
        <v>2030716398</v>
      </c>
      <c r="E229" t="s">
        <v>600</v>
      </c>
      <c r="F229" t="s">
        <v>601</v>
      </c>
      <c r="G229" t="s">
        <v>50</v>
      </c>
      <c r="H229" t="s">
        <v>93</v>
      </c>
      <c r="I229" t="s">
        <v>574</v>
      </c>
      <c r="J229" t="s">
        <v>575</v>
      </c>
      <c r="K229">
        <v>814033</v>
      </c>
      <c r="L229" t="s">
        <v>595</v>
      </c>
      <c r="M229" t="s">
        <v>596</v>
      </c>
      <c r="N229" t="s">
        <v>1095</v>
      </c>
      <c r="O229" t="s">
        <v>56</v>
      </c>
      <c r="P229" s="1">
        <v>45901</v>
      </c>
      <c r="Q229" s="1">
        <v>45931</v>
      </c>
      <c r="R229" s="2">
        <v>84.15</v>
      </c>
      <c r="S229">
        <v>1</v>
      </c>
      <c r="T229" t="s">
        <v>57</v>
      </c>
      <c r="U229" t="s">
        <v>58</v>
      </c>
      <c r="V229" s="4">
        <v>0.47</v>
      </c>
      <c r="W229" s="2">
        <v>0</v>
      </c>
      <c r="X229">
        <v>0</v>
      </c>
      <c r="Y229" t="s">
        <v>70</v>
      </c>
      <c r="Z229" t="s">
        <v>60</v>
      </c>
      <c r="AA229">
        <v>0</v>
      </c>
      <c r="AB229" s="2">
        <v>0</v>
      </c>
      <c r="AC229" s="2">
        <v>0</v>
      </c>
      <c r="AD229" s="4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39.549999999999997</v>
      </c>
      <c r="AN229" s="2">
        <v>39.549999999999997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45922</v>
      </c>
      <c r="B230" t="s">
        <v>47</v>
      </c>
      <c r="C230">
        <v>649163</v>
      </c>
      <c r="D230">
        <v>2029251415</v>
      </c>
      <c r="E230" t="s">
        <v>593</v>
      </c>
      <c r="F230" t="s">
        <v>594</v>
      </c>
      <c r="G230" t="s">
        <v>50</v>
      </c>
      <c r="H230" t="s">
        <v>93</v>
      </c>
      <c r="I230" t="s">
        <v>574</v>
      </c>
      <c r="J230" t="s">
        <v>575</v>
      </c>
      <c r="K230">
        <v>814033</v>
      </c>
      <c r="L230" t="s">
        <v>595</v>
      </c>
      <c r="M230" t="s">
        <v>596</v>
      </c>
      <c r="N230" t="s">
        <v>1095</v>
      </c>
      <c r="O230" t="s">
        <v>56</v>
      </c>
      <c r="P230" s="1">
        <v>45824</v>
      </c>
      <c r="Q230" s="1">
        <v>45946</v>
      </c>
      <c r="R230" s="2">
        <v>73.39</v>
      </c>
      <c r="S230">
        <v>1</v>
      </c>
      <c r="T230" t="s">
        <v>57</v>
      </c>
      <c r="U230" t="s">
        <v>96</v>
      </c>
      <c r="V230" s="4">
        <v>0.47</v>
      </c>
      <c r="W230" s="2">
        <v>0</v>
      </c>
      <c r="X230">
        <v>0</v>
      </c>
      <c r="Y230" t="s">
        <v>70</v>
      </c>
      <c r="Z230" t="s">
        <v>97</v>
      </c>
      <c r="AA230">
        <v>0</v>
      </c>
      <c r="AB230" s="2">
        <v>0</v>
      </c>
      <c r="AC230" s="2">
        <v>0</v>
      </c>
      <c r="AD230" s="4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34.49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45922</v>
      </c>
      <c r="B231" t="s">
        <v>47</v>
      </c>
      <c r="C231">
        <v>649163</v>
      </c>
      <c r="D231">
        <v>2028963882</v>
      </c>
      <c r="E231" t="s">
        <v>375</v>
      </c>
      <c r="F231" t="s">
        <v>376</v>
      </c>
      <c r="G231" t="s">
        <v>50</v>
      </c>
      <c r="H231" t="s">
        <v>93</v>
      </c>
      <c r="I231" t="s">
        <v>306</v>
      </c>
      <c r="J231" t="s">
        <v>307</v>
      </c>
      <c r="K231">
        <v>812656</v>
      </c>
      <c r="L231" t="s">
        <v>338</v>
      </c>
      <c r="M231" t="s">
        <v>377</v>
      </c>
      <c r="N231" t="s">
        <v>1086</v>
      </c>
      <c r="O231" t="s">
        <v>56</v>
      </c>
      <c r="P231" s="1">
        <v>45801</v>
      </c>
      <c r="Q231" s="1">
        <v>45954</v>
      </c>
      <c r="R231" s="2">
        <v>67.19</v>
      </c>
      <c r="S231">
        <v>1</v>
      </c>
      <c r="T231" t="s">
        <v>57</v>
      </c>
      <c r="U231" t="s">
        <v>58</v>
      </c>
      <c r="V231" s="3">
        <v>0.375</v>
      </c>
      <c r="W231" s="2">
        <v>0</v>
      </c>
      <c r="X231">
        <v>0</v>
      </c>
      <c r="Y231" t="s">
        <v>70</v>
      </c>
      <c r="Z231" t="s">
        <v>60</v>
      </c>
      <c r="AA231">
        <v>0</v>
      </c>
      <c r="AB231" s="2">
        <v>0</v>
      </c>
      <c r="AC231" s="2">
        <v>0</v>
      </c>
      <c r="AD231" s="4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25.2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45922</v>
      </c>
      <c r="B232" t="s">
        <v>47</v>
      </c>
      <c r="C232">
        <v>649163</v>
      </c>
      <c r="D232">
        <v>2028547423</v>
      </c>
      <c r="E232" t="s">
        <v>492</v>
      </c>
      <c r="F232" t="s">
        <v>62</v>
      </c>
      <c r="G232" t="s">
        <v>50</v>
      </c>
      <c r="H232" t="s">
        <v>93</v>
      </c>
      <c r="I232" t="s">
        <v>441</v>
      </c>
      <c r="J232" t="s">
        <v>445</v>
      </c>
      <c r="K232">
        <v>812656</v>
      </c>
      <c r="L232" t="s">
        <v>338</v>
      </c>
      <c r="M232" t="s">
        <v>377</v>
      </c>
      <c r="N232" t="s">
        <v>1086</v>
      </c>
      <c r="O232" t="s">
        <v>56</v>
      </c>
      <c r="P232" s="1">
        <v>45770</v>
      </c>
      <c r="Q232" s="1">
        <v>45953</v>
      </c>
      <c r="R232" s="2">
        <v>35.700000000000003</v>
      </c>
      <c r="S232">
        <v>1</v>
      </c>
      <c r="T232" t="s">
        <v>57</v>
      </c>
      <c r="U232" t="s">
        <v>58</v>
      </c>
      <c r="V232" s="4">
        <v>0.7</v>
      </c>
      <c r="W232" s="2">
        <v>0</v>
      </c>
      <c r="X232">
        <v>0</v>
      </c>
      <c r="Y232" t="s">
        <v>70</v>
      </c>
      <c r="Z232" t="s">
        <v>60</v>
      </c>
      <c r="AA232">
        <v>0</v>
      </c>
      <c r="AB232" s="2">
        <v>0</v>
      </c>
      <c r="AC232" s="2">
        <v>0</v>
      </c>
      <c r="AD232" s="4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24.99</v>
      </c>
      <c r="AN232" s="2">
        <v>24.99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45922</v>
      </c>
      <c r="B233" t="s">
        <v>47</v>
      </c>
      <c r="C233">
        <v>649163</v>
      </c>
      <c r="D233">
        <v>2028963883</v>
      </c>
      <c r="E233" t="s">
        <v>375</v>
      </c>
      <c r="F233" t="s">
        <v>376</v>
      </c>
      <c r="G233" t="s">
        <v>50</v>
      </c>
      <c r="H233" t="s">
        <v>93</v>
      </c>
      <c r="I233" t="s">
        <v>441</v>
      </c>
      <c r="J233" t="s">
        <v>445</v>
      </c>
      <c r="K233">
        <v>812656</v>
      </c>
      <c r="L233" t="s">
        <v>338</v>
      </c>
      <c r="M233" t="s">
        <v>377</v>
      </c>
      <c r="N233" t="s">
        <v>1086</v>
      </c>
      <c r="O233" t="s">
        <v>56</v>
      </c>
      <c r="P233" s="1">
        <v>45801</v>
      </c>
      <c r="Q233" s="1">
        <v>45954</v>
      </c>
      <c r="R233" s="2">
        <v>42.38</v>
      </c>
      <c r="S233">
        <v>1</v>
      </c>
      <c r="T233" t="s">
        <v>57</v>
      </c>
      <c r="U233" t="s">
        <v>58</v>
      </c>
      <c r="V233" s="4">
        <v>0.7</v>
      </c>
      <c r="W233" s="2">
        <v>0</v>
      </c>
      <c r="X233">
        <v>0</v>
      </c>
      <c r="Y233" t="s">
        <v>70</v>
      </c>
      <c r="Z233" t="s">
        <v>60</v>
      </c>
      <c r="AA233">
        <v>0</v>
      </c>
      <c r="AB233" s="2">
        <v>0</v>
      </c>
      <c r="AC233" s="2">
        <v>0</v>
      </c>
      <c r="AD233" s="4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29.67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45922</v>
      </c>
      <c r="B234" t="s">
        <v>47</v>
      </c>
      <c r="C234">
        <v>649163</v>
      </c>
      <c r="D234">
        <v>2029112078</v>
      </c>
      <c r="E234" t="s">
        <v>513</v>
      </c>
      <c r="F234" t="s">
        <v>514</v>
      </c>
      <c r="G234" t="s">
        <v>50</v>
      </c>
      <c r="H234" t="s">
        <v>93</v>
      </c>
      <c r="I234" t="s">
        <v>441</v>
      </c>
      <c r="J234" t="s">
        <v>445</v>
      </c>
      <c r="K234">
        <v>812656</v>
      </c>
      <c r="L234" t="s">
        <v>338</v>
      </c>
      <c r="M234" t="s">
        <v>377</v>
      </c>
      <c r="N234" t="s">
        <v>1086</v>
      </c>
      <c r="O234" t="s">
        <v>56</v>
      </c>
      <c r="P234" s="1">
        <v>45802</v>
      </c>
      <c r="Q234" s="1">
        <v>45955</v>
      </c>
      <c r="R234" s="2">
        <v>46.08</v>
      </c>
      <c r="S234">
        <v>1</v>
      </c>
      <c r="T234" t="s">
        <v>57</v>
      </c>
      <c r="U234" t="s">
        <v>58</v>
      </c>
      <c r="V234" s="4">
        <v>0.7</v>
      </c>
      <c r="W234" s="2">
        <v>0</v>
      </c>
      <c r="X234">
        <v>0</v>
      </c>
      <c r="Y234" t="s">
        <v>70</v>
      </c>
      <c r="Z234" t="s">
        <v>60</v>
      </c>
      <c r="AA234">
        <v>0</v>
      </c>
      <c r="AB234" s="2">
        <v>0</v>
      </c>
      <c r="AC234" s="2">
        <v>0</v>
      </c>
      <c r="AD234" s="4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32.26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45922</v>
      </c>
      <c r="B235" t="s">
        <v>47</v>
      </c>
      <c r="C235">
        <v>649163</v>
      </c>
      <c r="D235">
        <v>2030613892</v>
      </c>
      <c r="E235" t="s">
        <v>554</v>
      </c>
      <c r="F235" t="s">
        <v>555</v>
      </c>
      <c r="G235" t="s">
        <v>50</v>
      </c>
      <c r="H235" t="s">
        <v>93</v>
      </c>
      <c r="I235" t="s">
        <v>441</v>
      </c>
      <c r="J235" t="s">
        <v>445</v>
      </c>
      <c r="K235">
        <v>812656</v>
      </c>
      <c r="L235" t="s">
        <v>338</v>
      </c>
      <c r="M235" t="s">
        <v>377</v>
      </c>
      <c r="N235" t="s">
        <v>1086</v>
      </c>
      <c r="O235" t="s">
        <v>56</v>
      </c>
      <c r="P235" s="1">
        <v>45891</v>
      </c>
      <c r="Q235" s="1">
        <v>45952</v>
      </c>
      <c r="R235" s="2">
        <v>110.16</v>
      </c>
      <c r="S235">
        <v>1</v>
      </c>
      <c r="T235" t="s">
        <v>57</v>
      </c>
      <c r="U235" t="s">
        <v>58</v>
      </c>
      <c r="V235" s="4">
        <v>0.7</v>
      </c>
      <c r="W235" s="2">
        <v>0</v>
      </c>
      <c r="X235">
        <v>0</v>
      </c>
      <c r="Y235" t="s">
        <v>70</v>
      </c>
      <c r="Z235" t="s">
        <v>60</v>
      </c>
      <c r="AA235">
        <v>0</v>
      </c>
      <c r="AB235" s="2">
        <v>0</v>
      </c>
      <c r="AC235" s="2">
        <v>0</v>
      </c>
      <c r="AD235" s="4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77.11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45915</v>
      </c>
      <c r="B236" t="s">
        <v>47</v>
      </c>
      <c r="C236">
        <v>649163</v>
      </c>
      <c r="D236">
        <v>2026179999</v>
      </c>
      <c r="E236" t="s">
        <v>1007</v>
      </c>
      <c r="F236" t="s">
        <v>1006</v>
      </c>
      <c r="G236" t="s">
        <v>50</v>
      </c>
      <c r="H236" t="s">
        <v>93</v>
      </c>
      <c r="I236" t="s">
        <v>441</v>
      </c>
      <c r="J236" t="s">
        <v>445</v>
      </c>
      <c r="K236">
        <v>812656</v>
      </c>
      <c r="L236" t="s">
        <v>338</v>
      </c>
      <c r="M236" t="s">
        <v>377</v>
      </c>
      <c r="N236" t="s">
        <v>1086</v>
      </c>
      <c r="O236" t="s">
        <v>56</v>
      </c>
      <c r="P236" s="1">
        <v>45641</v>
      </c>
      <c r="Q236" s="1">
        <v>45945</v>
      </c>
      <c r="R236" s="2">
        <v>31.6</v>
      </c>
      <c r="S236">
        <v>1</v>
      </c>
      <c r="T236" t="s">
        <v>57</v>
      </c>
      <c r="U236" t="s">
        <v>58</v>
      </c>
      <c r="V236" s="4">
        <v>0.7</v>
      </c>
      <c r="W236" s="2">
        <v>0</v>
      </c>
      <c r="X236">
        <v>0</v>
      </c>
      <c r="Y236" t="s">
        <v>70</v>
      </c>
      <c r="Z236" t="s">
        <v>60</v>
      </c>
      <c r="AA236">
        <v>0</v>
      </c>
      <c r="AB236" s="2">
        <v>0</v>
      </c>
      <c r="AC236" s="2">
        <v>0</v>
      </c>
      <c r="AD236" s="4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22.12</v>
      </c>
      <c r="AN236" s="2">
        <v>22.12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45915</v>
      </c>
      <c r="B237" t="s">
        <v>47</v>
      </c>
      <c r="C237">
        <v>649163</v>
      </c>
      <c r="D237">
        <v>2027167981</v>
      </c>
      <c r="E237" t="s">
        <v>983</v>
      </c>
      <c r="F237" t="s">
        <v>982</v>
      </c>
      <c r="G237" t="s">
        <v>50</v>
      </c>
      <c r="H237" t="s">
        <v>93</v>
      </c>
      <c r="I237" t="s">
        <v>441</v>
      </c>
      <c r="J237" t="s">
        <v>445</v>
      </c>
      <c r="K237">
        <v>812656</v>
      </c>
      <c r="L237" t="s">
        <v>338</v>
      </c>
      <c r="M237" t="s">
        <v>377</v>
      </c>
      <c r="N237" t="s">
        <v>1086</v>
      </c>
      <c r="O237" t="s">
        <v>56</v>
      </c>
      <c r="P237" s="1">
        <v>45706</v>
      </c>
      <c r="Q237" s="1">
        <v>45948</v>
      </c>
      <c r="R237" s="2">
        <v>80.16</v>
      </c>
      <c r="S237">
        <v>1</v>
      </c>
      <c r="T237" t="s">
        <v>57</v>
      </c>
      <c r="U237" t="s">
        <v>58</v>
      </c>
      <c r="V237" s="4">
        <v>0.7</v>
      </c>
      <c r="W237" s="2">
        <v>0</v>
      </c>
      <c r="X237">
        <v>0</v>
      </c>
      <c r="Y237" t="s">
        <v>70</v>
      </c>
      <c r="Z237" t="s">
        <v>60</v>
      </c>
      <c r="AA237">
        <v>0</v>
      </c>
      <c r="AB237" s="2">
        <v>0</v>
      </c>
      <c r="AC237" s="2">
        <v>0</v>
      </c>
      <c r="AD237" s="4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56.11</v>
      </c>
      <c r="AN237" s="2">
        <v>56.11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45915</v>
      </c>
      <c r="B238" t="s">
        <v>47</v>
      </c>
      <c r="C238">
        <v>649163</v>
      </c>
      <c r="D238">
        <v>2028881458</v>
      </c>
      <c r="E238" t="s">
        <v>850</v>
      </c>
      <c r="F238" t="s">
        <v>967</v>
      </c>
      <c r="G238" t="s">
        <v>50</v>
      </c>
      <c r="H238" t="s">
        <v>93</v>
      </c>
      <c r="I238" t="s">
        <v>441</v>
      </c>
      <c r="J238" t="s">
        <v>445</v>
      </c>
      <c r="K238">
        <v>812656</v>
      </c>
      <c r="L238" t="s">
        <v>338</v>
      </c>
      <c r="M238" t="s">
        <v>377</v>
      </c>
      <c r="N238" t="s">
        <v>1086</v>
      </c>
      <c r="O238" t="s">
        <v>56</v>
      </c>
      <c r="P238" s="1">
        <v>45793</v>
      </c>
      <c r="Q238" s="1">
        <v>45946</v>
      </c>
      <c r="R238" s="2">
        <v>27.19</v>
      </c>
      <c r="S238">
        <v>1</v>
      </c>
      <c r="T238" t="s">
        <v>57</v>
      </c>
      <c r="U238" t="s">
        <v>58</v>
      </c>
      <c r="V238" s="4">
        <v>0.7</v>
      </c>
      <c r="W238" s="2">
        <v>0</v>
      </c>
      <c r="X238">
        <v>0</v>
      </c>
      <c r="Y238" t="s">
        <v>70</v>
      </c>
      <c r="Z238" t="s">
        <v>60</v>
      </c>
      <c r="AA238">
        <v>0</v>
      </c>
      <c r="AB238" s="2">
        <v>0</v>
      </c>
      <c r="AC238" s="2">
        <v>0</v>
      </c>
      <c r="AD238" s="4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19.03</v>
      </c>
      <c r="AN238" s="2">
        <v>19.03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45915</v>
      </c>
      <c r="B239" t="s">
        <v>47</v>
      </c>
      <c r="C239">
        <v>649163</v>
      </c>
      <c r="D239">
        <v>2028995188</v>
      </c>
      <c r="E239" t="s">
        <v>844</v>
      </c>
      <c r="F239" t="s">
        <v>843</v>
      </c>
      <c r="G239" t="s">
        <v>50</v>
      </c>
      <c r="H239" t="s">
        <v>93</v>
      </c>
      <c r="I239" t="s">
        <v>441</v>
      </c>
      <c r="J239" t="s">
        <v>445</v>
      </c>
      <c r="K239">
        <v>812656</v>
      </c>
      <c r="L239" t="s">
        <v>338</v>
      </c>
      <c r="M239" t="s">
        <v>377</v>
      </c>
      <c r="N239" t="s">
        <v>1086</v>
      </c>
      <c r="O239" t="s">
        <v>56</v>
      </c>
      <c r="P239" s="1">
        <v>45795</v>
      </c>
      <c r="Q239" s="1">
        <v>45948</v>
      </c>
      <c r="R239" s="2">
        <v>27.5</v>
      </c>
      <c r="S239">
        <v>1</v>
      </c>
      <c r="T239" t="s">
        <v>57</v>
      </c>
      <c r="U239" t="s">
        <v>58</v>
      </c>
      <c r="V239" s="4">
        <v>0.7</v>
      </c>
      <c r="W239" s="2">
        <v>0</v>
      </c>
      <c r="X239">
        <v>0</v>
      </c>
      <c r="Y239" t="s">
        <v>70</v>
      </c>
      <c r="Z239" t="s">
        <v>60</v>
      </c>
      <c r="AA239">
        <v>0</v>
      </c>
      <c r="AB239" s="2">
        <v>0</v>
      </c>
      <c r="AC239" s="2">
        <v>0</v>
      </c>
      <c r="AD239" s="4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19.25</v>
      </c>
      <c r="AN239" s="2">
        <v>19.25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45915</v>
      </c>
      <c r="B240" t="s">
        <v>47</v>
      </c>
      <c r="C240">
        <v>649163</v>
      </c>
      <c r="D240">
        <v>2029989667</v>
      </c>
      <c r="E240" t="s">
        <v>824</v>
      </c>
      <c r="F240" t="s">
        <v>823</v>
      </c>
      <c r="G240" t="s">
        <v>50</v>
      </c>
      <c r="H240" t="s">
        <v>115</v>
      </c>
      <c r="I240" t="s">
        <v>441</v>
      </c>
      <c r="J240" t="s">
        <v>445</v>
      </c>
      <c r="K240">
        <v>812656</v>
      </c>
      <c r="L240" t="s">
        <v>338</v>
      </c>
      <c r="M240" t="s">
        <v>377</v>
      </c>
      <c r="N240" t="s">
        <v>1086</v>
      </c>
      <c r="O240" t="s">
        <v>56</v>
      </c>
      <c r="P240" s="1">
        <v>45855</v>
      </c>
      <c r="Q240" s="1">
        <v>45947</v>
      </c>
      <c r="R240" s="2">
        <v>13</v>
      </c>
      <c r="S240">
        <v>1</v>
      </c>
      <c r="T240" t="s">
        <v>57</v>
      </c>
      <c r="U240" t="s">
        <v>58</v>
      </c>
      <c r="V240" s="4">
        <v>0.7</v>
      </c>
      <c r="W240" s="2">
        <v>0</v>
      </c>
      <c r="X240">
        <v>0</v>
      </c>
      <c r="Y240" t="s">
        <v>70</v>
      </c>
      <c r="Z240" t="s">
        <v>60</v>
      </c>
      <c r="AA240">
        <v>0</v>
      </c>
      <c r="AB240" s="2">
        <v>0</v>
      </c>
      <c r="AC240" s="2">
        <v>0</v>
      </c>
      <c r="AD240" s="4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9.1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45915</v>
      </c>
      <c r="B241" t="s">
        <v>47</v>
      </c>
      <c r="C241">
        <v>649163</v>
      </c>
      <c r="D241">
        <v>2028995187</v>
      </c>
      <c r="E241" t="s">
        <v>844</v>
      </c>
      <c r="F241" t="s">
        <v>843</v>
      </c>
      <c r="G241" t="s">
        <v>50</v>
      </c>
      <c r="H241" t="s">
        <v>93</v>
      </c>
      <c r="I241" t="s">
        <v>306</v>
      </c>
      <c r="J241" t="s">
        <v>307</v>
      </c>
      <c r="K241">
        <v>812656</v>
      </c>
      <c r="L241" t="s">
        <v>338</v>
      </c>
      <c r="M241" t="s">
        <v>377</v>
      </c>
      <c r="N241" t="s">
        <v>1086</v>
      </c>
      <c r="O241" t="s">
        <v>56</v>
      </c>
      <c r="P241" s="1">
        <v>45795</v>
      </c>
      <c r="Q241" s="1">
        <v>45948</v>
      </c>
      <c r="R241" s="2">
        <v>147.41</v>
      </c>
      <c r="S241">
        <v>1</v>
      </c>
      <c r="T241" t="s">
        <v>57</v>
      </c>
      <c r="U241" t="s">
        <v>58</v>
      </c>
      <c r="V241" s="3">
        <v>0.375</v>
      </c>
      <c r="W241" s="2">
        <v>0</v>
      </c>
      <c r="X241">
        <v>0</v>
      </c>
      <c r="Y241" t="s">
        <v>70</v>
      </c>
      <c r="Z241" t="s">
        <v>60</v>
      </c>
      <c r="AA241">
        <v>0</v>
      </c>
      <c r="AB241" s="2">
        <v>0</v>
      </c>
      <c r="AC241" s="2">
        <v>0</v>
      </c>
      <c r="AD241" s="4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55.28</v>
      </c>
      <c r="AN241" s="2">
        <v>55.28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45915</v>
      </c>
      <c r="B242" t="s">
        <v>47</v>
      </c>
      <c r="C242">
        <v>649163</v>
      </c>
      <c r="D242">
        <v>2029989666</v>
      </c>
      <c r="E242" t="s">
        <v>824</v>
      </c>
      <c r="F242" t="s">
        <v>823</v>
      </c>
      <c r="G242" t="s">
        <v>50</v>
      </c>
      <c r="H242" t="s">
        <v>115</v>
      </c>
      <c r="I242" t="s">
        <v>306</v>
      </c>
      <c r="J242" t="s">
        <v>307</v>
      </c>
      <c r="K242">
        <v>812656</v>
      </c>
      <c r="L242" t="s">
        <v>338</v>
      </c>
      <c r="M242" t="s">
        <v>377</v>
      </c>
      <c r="N242" t="s">
        <v>1086</v>
      </c>
      <c r="O242" t="s">
        <v>56</v>
      </c>
      <c r="P242" s="1">
        <v>45855</v>
      </c>
      <c r="Q242" s="1">
        <v>45947</v>
      </c>
      <c r="R242" s="2">
        <v>50.3</v>
      </c>
      <c r="S242">
        <v>1</v>
      </c>
      <c r="T242" t="s">
        <v>57</v>
      </c>
      <c r="U242" t="s">
        <v>58</v>
      </c>
      <c r="V242" s="3">
        <v>0.375</v>
      </c>
      <c r="W242" s="2">
        <v>0</v>
      </c>
      <c r="X242">
        <v>0</v>
      </c>
      <c r="Y242" t="s">
        <v>70</v>
      </c>
      <c r="Z242" t="s">
        <v>60</v>
      </c>
      <c r="AA242">
        <v>0</v>
      </c>
      <c r="AB242" s="2">
        <v>0</v>
      </c>
      <c r="AC242" s="2">
        <v>0</v>
      </c>
      <c r="AD242" s="4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18.86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45915</v>
      </c>
      <c r="B243" t="s">
        <v>47</v>
      </c>
      <c r="C243">
        <v>649163</v>
      </c>
      <c r="D243">
        <v>2030485608</v>
      </c>
      <c r="E243" t="s">
        <v>703</v>
      </c>
      <c r="F243" t="s">
        <v>702</v>
      </c>
      <c r="G243" t="s">
        <v>50</v>
      </c>
      <c r="H243" t="s">
        <v>157</v>
      </c>
      <c r="I243" t="s">
        <v>243</v>
      </c>
      <c r="J243" t="s">
        <v>244</v>
      </c>
      <c r="K243">
        <v>839913</v>
      </c>
      <c r="L243" t="s">
        <v>701</v>
      </c>
      <c r="M243" t="s">
        <v>700</v>
      </c>
      <c r="N243" t="s">
        <v>1136</v>
      </c>
      <c r="O243" t="s">
        <v>56</v>
      </c>
      <c r="P243" s="1">
        <v>45883</v>
      </c>
      <c r="Q243" s="1">
        <v>45944</v>
      </c>
      <c r="R243" s="2">
        <v>15</v>
      </c>
      <c r="S243">
        <v>1</v>
      </c>
      <c r="T243" t="s">
        <v>57</v>
      </c>
      <c r="U243" t="s">
        <v>58</v>
      </c>
      <c r="V243" s="4">
        <v>0.28999999999999998</v>
      </c>
      <c r="W243" s="2">
        <v>0</v>
      </c>
      <c r="X243">
        <v>0</v>
      </c>
      <c r="Y243" t="s">
        <v>70</v>
      </c>
      <c r="Z243" t="s">
        <v>60</v>
      </c>
      <c r="AA243">
        <v>0</v>
      </c>
      <c r="AB243" s="2">
        <v>0</v>
      </c>
      <c r="AC243" s="2">
        <v>0</v>
      </c>
      <c r="AD243" s="4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4.3499999999999996</v>
      </c>
      <c r="AN243" s="2">
        <v>4.3499999999999996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45915</v>
      </c>
      <c r="B244" t="s">
        <v>47</v>
      </c>
      <c r="C244">
        <v>649163</v>
      </c>
      <c r="D244">
        <v>2030485607</v>
      </c>
      <c r="E244" t="s">
        <v>703</v>
      </c>
      <c r="F244" t="s">
        <v>702</v>
      </c>
      <c r="G244" t="s">
        <v>50</v>
      </c>
      <c r="H244" t="s">
        <v>157</v>
      </c>
      <c r="I244" t="s">
        <v>441</v>
      </c>
      <c r="J244" t="s">
        <v>445</v>
      </c>
      <c r="K244">
        <v>839913</v>
      </c>
      <c r="L244" t="s">
        <v>701</v>
      </c>
      <c r="M244" t="s">
        <v>700</v>
      </c>
      <c r="N244" t="s">
        <v>1136</v>
      </c>
      <c r="O244" t="s">
        <v>56</v>
      </c>
      <c r="P244" s="1">
        <v>45883</v>
      </c>
      <c r="Q244" s="1">
        <v>45944</v>
      </c>
      <c r="R244" s="2">
        <v>46.72</v>
      </c>
      <c r="S244">
        <v>1</v>
      </c>
      <c r="T244" t="s">
        <v>57</v>
      </c>
      <c r="U244" t="s">
        <v>58</v>
      </c>
      <c r="V244" s="4">
        <v>0.7</v>
      </c>
      <c r="W244" s="2">
        <v>0</v>
      </c>
      <c r="X244">
        <v>0</v>
      </c>
      <c r="Y244" t="s">
        <v>70</v>
      </c>
      <c r="Z244" t="s">
        <v>60</v>
      </c>
      <c r="AA244">
        <v>0</v>
      </c>
      <c r="AB244" s="2">
        <v>0</v>
      </c>
      <c r="AC244" s="2">
        <v>0</v>
      </c>
      <c r="AD244" s="4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32.700000000000003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45922</v>
      </c>
      <c r="B245" t="s">
        <v>47</v>
      </c>
      <c r="C245">
        <v>649163</v>
      </c>
      <c r="D245">
        <v>2025333216</v>
      </c>
      <c r="E245" t="s">
        <v>584</v>
      </c>
      <c r="F245" t="s">
        <v>585</v>
      </c>
      <c r="G245" t="s">
        <v>50</v>
      </c>
      <c r="H245" t="s">
        <v>93</v>
      </c>
      <c r="I245" t="s">
        <v>574</v>
      </c>
      <c r="J245" t="s">
        <v>575</v>
      </c>
      <c r="K245">
        <v>766422</v>
      </c>
      <c r="L245" t="s">
        <v>586</v>
      </c>
      <c r="M245" t="s">
        <v>109</v>
      </c>
      <c r="N245" t="s">
        <v>1130</v>
      </c>
      <c r="O245" t="s">
        <v>56</v>
      </c>
      <c r="P245" s="1">
        <v>45581</v>
      </c>
      <c r="Q245" s="1">
        <v>45946</v>
      </c>
      <c r="R245" s="2">
        <v>53.01</v>
      </c>
      <c r="S245">
        <v>1</v>
      </c>
      <c r="T245" t="s">
        <v>57</v>
      </c>
      <c r="U245" t="s">
        <v>58</v>
      </c>
      <c r="V245" s="4">
        <v>0.47</v>
      </c>
      <c r="W245" s="2">
        <v>0</v>
      </c>
      <c r="X245">
        <v>0</v>
      </c>
      <c r="Y245" t="s">
        <v>70</v>
      </c>
      <c r="Z245" t="s">
        <v>60</v>
      </c>
      <c r="AA245">
        <v>0</v>
      </c>
      <c r="AB245" s="2">
        <v>0</v>
      </c>
      <c r="AC245" s="2">
        <v>0</v>
      </c>
      <c r="AD245" s="4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24.91</v>
      </c>
      <c r="AN245" s="2">
        <v>24.91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45922</v>
      </c>
      <c r="B246" t="s">
        <v>47</v>
      </c>
      <c r="C246">
        <v>649163</v>
      </c>
      <c r="D246">
        <v>2016328594</v>
      </c>
      <c r="E246" t="s">
        <v>103</v>
      </c>
      <c r="F246" t="s">
        <v>104</v>
      </c>
      <c r="G246" t="s">
        <v>50</v>
      </c>
      <c r="H246" t="s">
        <v>105</v>
      </c>
      <c r="I246" t="s">
        <v>106</v>
      </c>
      <c r="J246" t="s">
        <v>107</v>
      </c>
      <c r="K246">
        <v>651818</v>
      </c>
      <c r="L246" t="s">
        <v>108</v>
      </c>
      <c r="M246" t="s">
        <v>109</v>
      </c>
      <c r="N246" t="s">
        <v>1098</v>
      </c>
      <c r="O246" t="s">
        <v>56</v>
      </c>
      <c r="P246" s="1">
        <v>44829</v>
      </c>
      <c r="Q246" s="1">
        <v>45955</v>
      </c>
      <c r="R246" s="2">
        <v>85.84</v>
      </c>
      <c r="S246">
        <v>1</v>
      </c>
      <c r="T246" t="s">
        <v>57</v>
      </c>
      <c r="U246" t="s">
        <v>58</v>
      </c>
      <c r="V246" s="4">
        <v>0.1</v>
      </c>
      <c r="W246" s="2">
        <v>0</v>
      </c>
      <c r="X246">
        <v>0</v>
      </c>
      <c r="Y246" t="s">
        <v>59</v>
      </c>
      <c r="Z246" t="s">
        <v>60</v>
      </c>
      <c r="AA246">
        <v>0</v>
      </c>
      <c r="AB246" s="2">
        <v>0</v>
      </c>
      <c r="AC246" s="2">
        <v>0</v>
      </c>
      <c r="AD246" s="4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8.58</v>
      </c>
      <c r="AN246" s="2">
        <v>8.58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45922</v>
      </c>
      <c r="B247" t="s">
        <v>47</v>
      </c>
      <c r="C247">
        <v>649163</v>
      </c>
      <c r="D247">
        <v>2018417444</v>
      </c>
      <c r="E247" t="s">
        <v>110</v>
      </c>
      <c r="F247" t="s">
        <v>111</v>
      </c>
      <c r="G247" t="s">
        <v>50</v>
      </c>
      <c r="H247" t="s">
        <v>112</v>
      </c>
      <c r="I247" t="s">
        <v>106</v>
      </c>
      <c r="J247" t="s">
        <v>107</v>
      </c>
      <c r="K247">
        <v>651818</v>
      </c>
      <c r="L247" t="s">
        <v>108</v>
      </c>
      <c r="M247" t="s">
        <v>109</v>
      </c>
      <c r="N247" t="s">
        <v>1098</v>
      </c>
      <c r="O247" t="s">
        <v>56</v>
      </c>
      <c r="P247" s="1">
        <v>45037</v>
      </c>
      <c r="Q247" s="1">
        <v>45951</v>
      </c>
      <c r="R247" s="2">
        <v>55.33</v>
      </c>
      <c r="S247">
        <v>1</v>
      </c>
      <c r="T247" t="s">
        <v>57</v>
      </c>
      <c r="U247" t="s">
        <v>58</v>
      </c>
      <c r="V247" s="4">
        <v>0.1</v>
      </c>
      <c r="W247" s="2">
        <v>0</v>
      </c>
      <c r="X247">
        <v>0</v>
      </c>
      <c r="Y247" t="s">
        <v>59</v>
      </c>
      <c r="Z247" t="s">
        <v>60</v>
      </c>
      <c r="AA247">
        <v>0</v>
      </c>
      <c r="AB247" s="2">
        <v>0</v>
      </c>
      <c r="AC247" s="2">
        <v>0</v>
      </c>
      <c r="AD247" s="4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5.53</v>
      </c>
      <c r="AN247" s="2">
        <v>5.53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45922</v>
      </c>
      <c r="B248" t="s">
        <v>47</v>
      </c>
      <c r="C248">
        <v>649163</v>
      </c>
      <c r="D248">
        <v>2022682155</v>
      </c>
      <c r="E248" t="s">
        <v>113</v>
      </c>
      <c r="F248" t="s">
        <v>114</v>
      </c>
      <c r="G248" t="s">
        <v>50</v>
      </c>
      <c r="H248" t="s">
        <v>115</v>
      </c>
      <c r="I248" t="s">
        <v>106</v>
      </c>
      <c r="J248" t="s">
        <v>116</v>
      </c>
      <c r="K248">
        <v>651818</v>
      </c>
      <c r="L248" t="s">
        <v>108</v>
      </c>
      <c r="M248" t="s">
        <v>109</v>
      </c>
      <c r="N248" t="s">
        <v>1098</v>
      </c>
      <c r="O248" t="s">
        <v>56</v>
      </c>
      <c r="P248" s="1">
        <v>45418</v>
      </c>
      <c r="Q248" s="1">
        <v>45936</v>
      </c>
      <c r="R248" s="2">
        <v>-38.82</v>
      </c>
      <c r="S248">
        <v>1</v>
      </c>
      <c r="T248" t="s">
        <v>57</v>
      </c>
      <c r="U248" t="s">
        <v>58</v>
      </c>
      <c r="V248" s="4">
        <v>0.1</v>
      </c>
      <c r="W248" s="2">
        <v>0</v>
      </c>
      <c r="X248">
        <v>-1</v>
      </c>
      <c r="Y248" t="s">
        <v>59</v>
      </c>
      <c r="Z248" t="s">
        <v>60</v>
      </c>
      <c r="AA248">
        <v>0</v>
      </c>
      <c r="AB248" s="2">
        <v>0</v>
      </c>
      <c r="AC248" s="2">
        <v>0</v>
      </c>
      <c r="AD248" s="4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-3.88</v>
      </c>
      <c r="AN248" s="2">
        <v>-3.88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45922</v>
      </c>
      <c r="B249" t="s">
        <v>47</v>
      </c>
      <c r="C249">
        <v>649163</v>
      </c>
      <c r="D249">
        <v>2022762069</v>
      </c>
      <c r="E249" t="s">
        <v>67</v>
      </c>
      <c r="F249" t="s">
        <v>117</v>
      </c>
      <c r="G249" t="s">
        <v>50</v>
      </c>
      <c r="H249" t="s">
        <v>77</v>
      </c>
      <c r="I249" t="s">
        <v>106</v>
      </c>
      <c r="J249" t="s">
        <v>107</v>
      </c>
      <c r="K249">
        <v>651818</v>
      </c>
      <c r="L249" t="s">
        <v>108</v>
      </c>
      <c r="M249" t="s">
        <v>109</v>
      </c>
      <c r="N249" t="s">
        <v>1098</v>
      </c>
      <c r="O249" t="s">
        <v>56</v>
      </c>
      <c r="P249" s="1">
        <v>45407</v>
      </c>
      <c r="Q249" s="1">
        <v>45955</v>
      </c>
      <c r="R249" s="2">
        <v>178.58</v>
      </c>
      <c r="S249">
        <v>1</v>
      </c>
      <c r="T249" t="s">
        <v>57</v>
      </c>
      <c r="U249" t="s">
        <v>58</v>
      </c>
      <c r="V249" s="4">
        <v>0.1</v>
      </c>
      <c r="W249" s="2">
        <v>0</v>
      </c>
      <c r="X249">
        <v>0</v>
      </c>
      <c r="Y249" t="s">
        <v>59</v>
      </c>
      <c r="Z249" t="s">
        <v>60</v>
      </c>
      <c r="AA249">
        <v>0</v>
      </c>
      <c r="AB249" s="2">
        <v>0</v>
      </c>
      <c r="AC249" s="2">
        <v>0</v>
      </c>
      <c r="AD249" s="4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17.86</v>
      </c>
      <c r="AN249" s="2">
        <v>17.86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45922</v>
      </c>
      <c r="B250" t="s">
        <v>47</v>
      </c>
      <c r="C250">
        <v>649163</v>
      </c>
      <c r="D250">
        <v>2024462651</v>
      </c>
      <c r="E250" t="s">
        <v>118</v>
      </c>
      <c r="F250" t="s">
        <v>85</v>
      </c>
      <c r="G250" t="s">
        <v>50</v>
      </c>
      <c r="H250" t="s">
        <v>93</v>
      </c>
      <c r="I250" t="s">
        <v>106</v>
      </c>
      <c r="J250" t="s">
        <v>107</v>
      </c>
      <c r="K250">
        <v>651818</v>
      </c>
      <c r="L250" t="s">
        <v>108</v>
      </c>
      <c r="M250" t="s">
        <v>109</v>
      </c>
      <c r="N250" t="s">
        <v>1098</v>
      </c>
      <c r="O250" t="s">
        <v>56</v>
      </c>
      <c r="P250" s="1">
        <v>45524</v>
      </c>
      <c r="Q250" s="1">
        <v>45950</v>
      </c>
      <c r="R250" s="2">
        <v>108.16</v>
      </c>
      <c r="S250">
        <v>1</v>
      </c>
      <c r="T250" t="s">
        <v>57</v>
      </c>
      <c r="U250" t="s">
        <v>58</v>
      </c>
      <c r="V250" s="4">
        <v>0.1</v>
      </c>
      <c r="W250" s="2">
        <v>0</v>
      </c>
      <c r="X250">
        <v>0</v>
      </c>
      <c r="Y250" t="s">
        <v>59</v>
      </c>
      <c r="Z250" t="s">
        <v>60</v>
      </c>
      <c r="AA250">
        <v>0</v>
      </c>
      <c r="AB250" s="2">
        <v>0</v>
      </c>
      <c r="AC250" s="2">
        <v>0</v>
      </c>
      <c r="AD250" s="4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10.82</v>
      </c>
      <c r="AN250" s="2">
        <v>10.82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45922</v>
      </c>
      <c r="B251" t="s">
        <v>47</v>
      </c>
      <c r="C251">
        <v>649163</v>
      </c>
      <c r="D251">
        <v>2025404174</v>
      </c>
      <c r="E251" t="s">
        <v>110</v>
      </c>
      <c r="F251" t="s">
        <v>124</v>
      </c>
      <c r="G251" t="s">
        <v>50</v>
      </c>
      <c r="H251" t="s">
        <v>112</v>
      </c>
      <c r="I251" t="s">
        <v>106</v>
      </c>
      <c r="J251" t="s">
        <v>107</v>
      </c>
      <c r="K251">
        <v>651818</v>
      </c>
      <c r="L251" t="s">
        <v>108</v>
      </c>
      <c r="M251" t="s">
        <v>109</v>
      </c>
      <c r="N251" t="s">
        <v>1098</v>
      </c>
      <c r="O251" t="s">
        <v>56</v>
      </c>
      <c r="P251" s="1">
        <v>45587</v>
      </c>
      <c r="Q251" s="1">
        <v>45952</v>
      </c>
      <c r="R251" s="2">
        <v>253</v>
      </c>
      <c r="S251">
        <v>1</v>
      </c>
      <c r="T251" t="s">
        <v>57</v>
      </c>
      <c r="U251" t="s">
        <v>58</v>
      </c>
      <c r="V251" s="4">
        <v>0.9</v>
      </c>
      <c r="W251" s="2">
        <v>0</v>
      </c>
      <c r="X251">
        <v>0</v>
      </c>
      <c r="Y251" t="s">
        <v>70</v>
      </c>
      <c r="Z251" t="s">
        <v>60</v>
      </c>
      <c r="AA251">
        <v>0</v>
      </c>
      <c r="AB251" s="2">
        <v>0</v>
      </c>
      <c r="AC251" s="2">
        <v>0</v>
      </c>
      <c r="AD251" s="4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227.7</v>
      </c>
      <c r="AN251" s="2">
        <v>227.7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45922</v>
      </c>
      <c r="B252" t="s">
        <v>47</v>
      </c>
      <c r="C252">
        <v>649163</v>
      </c>
      <c r="D252">
        <v>2025693148</v>
      </c>
      <c r="E252" t="s">
        <v>125</v>
      </c>
      <c r="F252" t="s">
        <v>126</v>
      </c>
      <c r="G252" t="s">
        <v>50</v>
      </c>
      <c r="H252" t="s">
        <v>127</v>
      </c>
      <c r="I252" t="s">
        <v>106</v>
      </c>
      <c r="J252" t="s">
        <v>107</v>
      </c>
      <c r="K252">
        <v>651818</v>
      </c>
      <c r="L252" t="s">
        <v>108</v>
      </c>
      <c r="M252" t="s">
        <v>109</v>
      </c>
      <c r="N252" t="s">
        <v>1098</v>
      </c>
      <c r="O252" t="s">
        <v>56</v>
      </c>
      <c r="P252" s="1">
        <v>45648</v>
      </c>
      <c r="Q252" s="1">
        <v>45952</v>
      </c>
      <c r="R252" s="2">
        <v>226.81</v>
      </c>
      <c r="S252">
        <v>1</v>
      </c>
      <c r="T252" t="s">
        <v>57</v>
      </c>
      <c r="U252" t="s">
        <v>58</v>
      </c>
      <c r="V252" s="4">
        <v>0.9</v>
      </c>
      <c r="W252" s="2">
        <v>0</v>
      </c>
      <c r="X252">
        <v>0</v>
      </c>
      <c r="Y252" t="s">
        <v>70</v>
      </c>
      <c r="Z252" t="s">
        <v>60</v>
      </c>
      <c r="AA252">
        <v>0</v>
      </c>
      <c r="AB252" s="2">
        <v>0</v>
      </c>
      <c r="AC252" s="2">
        <v>0</v>
      </c>
      <c r="AD252" s="4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204.13</v>
      </c>
      <c r="AN252" s="2">
        <v>204.13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45922</v>
      </c>
      <c r="B253" t="s">
        <v>47</v>
      </c>
      <c r="C253">
        <v>649163</v>
      </c>
      <c r="D253">
        <v>2025816907</v>
      </c>
      <c r="E253" t="s">
        <v>132</v>
      </c>
      <c r="F253" t="s">
        <v>133</v>
      </c>
      <c r="G253" t="s">
        <v>50</v>
      </c>
      <c r="H253" t="s">
        <v>134</v>
      </c>
      <c r="I253" t="s">
        <v>106</v>
      </c>
      <c r="J253" t="s">
        <v>116</v>
      </c>
      <c r="K253">
        <v>651818</v>
      </c>
      <c r="L253" t="s">
        <v>108</v>
      </c>
      <c r="M253" t="s">
        <v>109</v>
      </c>
      <c r="N253" t="s">
        <v>1098</v>
      </c>
      <c r="O253" t="s">
        <v>56</v>
      </c>
      <c r="P253" s="1">
        <v>45648</v>
      </c>
      <c r="Q253" s="1">
        <v>45952</v>
      </c>
      <c r="R253" s="2">
        <v>116.52</v>
      </c>
      <c r="S253">
        <v>1</v>
      </c>
      <c r="T253" t="s">
        <v>57</v>
      </c>
      <c r="U253" t="s">
        <v>58</v>
      </c>
      <c r="V253" s="4">
        <v>0.75</v>
      </c>
      <c r="W253" s="2">
        <v>0</v>
      </c>
      <c r="X253">
        <v>0</v>
      </c>
      <c r="Y253" t="s">
        <v>70</v>
      </c>
      <c r="Z253" t="s">
        <v>60</v>
      </c>
      <c r="AA253">
        <v>0</v>
      </c>
      <c r="AB253" s="2">
        <v>0</v>
      </c>
      <c r="AC253" s="2">
        <v>0</v>
      </c>
      <c r="AD253" s="4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87.39</v>
      </c>
      <c r="AN253" s="2">
        <v>87.39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45922</v>
      </c>
      <c r="B254" t="s">
        <v>47</v>
      </c>
      <c r="C254">
        <v>649163</v>
      </c>
      <c r="D254">
        <v>2027642345</v>
      </c>
      <c r="E254" t="s">
        <v>162</v>
      </c>
      <c r="F254" t="s">
        <v>163</v>
      </c>
      <c r="G254" t="s">
        <v>50</v>
      </c>
      <c r="H254" t="s">
        <v>127</v>
      </c>
      <c r="I254" t="s">
        <v>106</v>
      </c>
      <c r="J254" t="s">
        <v>107</v>
      </c>
      <c r="K254">
        <v>651818</v>
      </c>
      <c r="L254" t="s">
        <v>108</v>
      </c>
      <c r="M254" t="s">
        <v>109</v>
      </c>
      <c r="N254" t="s">
        <v>1098</v>
      </c>
      <c r="O254" t="s">
        <v>56</v>
      </c>
      <c r="P254" s="1">
        <v>45754</v>
      </c>
      <c r="Q254" s="1">
        <v>45937</v>
      </c>
      <c r="R254" s="2">
        <v>119.92</v>
      </c>
      <c r="S254">
        <v>1</v>
      </c>
      <c r="T254" t="s">
        <v>57</v>
      </c>
      <c r="U254" t="s">
        <v>58</v>
      </c>
      <c r="V254" s="4">
        <v>0.9</v>
      </c>
      <c r="W254" s="2">
        <v>0</v>
      </c>
      <c r="X254">
        <v>0</v>
      </c>
      <c r="Y254" t="s">
        <v>70</v>
      </c>
      <c r="Z254" t="s">
        <v>60</v>
      </c>
      <c r="AA254">
        <v>0</v>
      </c>
      <c r="AB254" s="2">
        <v>0</v>
      </c>
      <c r="AC254" s="2">
        <v>0</v>
      </c>
      <c r="AD254" s="4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107.93</v>
      </c>
      <c r="AN254" s="2">
        <v>107.93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45922</v>
      </c>
      <c r="B255" t="s">
        <v>47</v>
      </c>
      <c r="C255">
        <v>649163</v>
      </c>
      <c r="D255">
        <v>2028857840</v>
      </c>
      <c r="E255" t="s">
        <v>181</v>
      </c>
      <c r="F255" t="s">
        <v>182</v>
      </c>
      <c r="G255" t="s">
        <v>50</v>
      </c>
      <c r="H255" t="s">
        <v>183</v>
      </c>
      <c r="I255" t="s">
        <v>106</v>
      </c>
      <c r="J255" t="s">
        <v>184</v>
      </c>
      <c r="K255">
        <v>651818</v>
      </c>
      <c r="L255" t="s">
        <v>108</v>
      </c>
      <c r="M255" t="s">
        <v>109</v>
      </c>
      <c r="N255" t="s">
        <v>1098</v>
      </c>
      <c r="O255" t="s">
        <v>56</v>
      </c>
      <c r="P255" s="1">
        <v>45789</v>
      </c>
      <c r="Q255" s="1">
        <v>45942</v>
      </c>
      <c r="R255" s="2">
        <v>68.7</v>
      </c>
      <c r="S255">
        <v>1</v>
      </c>
      <c r="T255" t="s">
        <v>57</v>
      </c>
      <c r="U255" t="s">
        <v>58</v>
      </c>
      <c r="V255" s="4">
        <v>0.75</v>
      </c>
      <c r="W255" s="2">
        <v>0</v>
      </c>
      <c r="X255">
        <v>0</v>
      </c>
      <c r="Y255" t="s">
        <v>70</v>
      </c>
      <c r="Z255" t="s">
        <v>60</v>
      </c>
      <c r="AA255">
        <v>0</v>
      </c>
      <c r="AB255" s="2">
        <v>0</v>
      </c>
      <c r="AC255" s="2">
        <v>0</v>
      </c>
      <c r="AD255" s="4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51.52</v>
      </c>
      <c r="AN255" s="2">
        <v>51.52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45922</v>
      </c>
      <c r="B256" t="s">
        <v>47</v>
      </c>
      <c r="C256">
        <v>649163</v>
      </c>
      <c r="D256">
        <v>2030429653</v>
      </c>
      <c r="E256" t="s">
        <v>226</v>
      </c>
      <c r="F256" t="s">
        <v>227</v>
      </c>
      <c r="G256" t="s">
        <v>50</v>
      </c>
      <c r="H256" t="s">
        <v>83</v>
      </c>
      <c r="I256" t="s">
        <v>106</v>
      </c>
      <c r="J256" t="s">
        <v>116</v>
      </c>
      <c r="K256">
        <v>651818</v>
      </c>
      <c r="L256" t="s">
        <v>108</v>
      </c>
      <c r="M256" t="s">
        <v>109</v>
      </c>
      <c r="N256" t="s">
        <v>1098</v>
      </c>
      <c r="O256" t="s">
        <v>56</v>
      </c>
      <c r="P256" s="1">
        <v>45889</v>
      </c>
      <c r="Q256" s="1">
        <v>45950</v>
      </c>
      <c r="R256" s="2">
        <v>132.5</v>
      </c>
      <c r="S256">
        <v>1</v>
      </c>
      <c r="T256" t="s">
        <v>57</v>
      </c>
      <c r="U256" t="s">
        <v>58</v>
      </c>
      <c r="V256" s="4">
        <v>0.75</v>
      </c>
      <c r="W256" s="2">
        <v>0</v>
      </c>
      <c r="X256">
        <v>0</v>
      </c>
      <c r="Y256" t="s">
        <v>70</v>
      </c>
      <c r="Z256" t="s">
        <v>60</v>
      </c>
      <c r="AA256">
        <v>0</v>
      </c>
      <c r="AB256" s="2">
        <v>0</v>
      </c>
      <c r="AC256" s="2">
        <v>0</v>
      </c>
      <c r="AD256" s="4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99.38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45922</v>
      </c>
      <c r="B257" t="s">
        <v>47</v>
      </c>
      <c r="C257">
        <v>649163</v>
      </c>
      <c r="D257">
        <v>2030868834</v>
      </c>
      <c r="E257" t="s">
        <v>234</v>
      </c>
      <c r="F257" t="s">
        <v>109</v>
      </c>
      <c r="G257" t="s">
        <v>50</v>
      </c>
      <c r="H257" t="s">
        <v>134</v>
      </c>
      <c r="I257" t="s">
        <v>106</v>
      </c>
      <c r="J257" t="s">
        <v>107</v>
      </c>
      <c r="K257">
        <v>651818</v>
      </c>
      <c r="L257" t="s">
        <v>108</v>
      </c>
      <c r="M257" t="s">
        <v>109</v>
      </c>
      <c r="N257" t="s">
        <v>1098</v>
      </c>
      <c r="O257" t="s">
        <v>56</v>
      </c>
      <c r="P257" s="1">
        <v>45906</v>
      </c>
      <c r="Q257" s="1">
        <v>45936</v>
      </c>
      <c r="R257" s="2">
        <v>242.05</v>
      </c>
      <c r="S257">
        <v>1</v>
      </c>
      <c r="T257" t="s">
        <v>57</v>
      </c>
      <c r="U257" t="s">
        <v>58</v>
      </c>
      <c r="V257" s="4">
        <v>0.9</v>
      </c>
      <c r="W257" s="2">
        <v>0</v>
      </c>
      <c r="X257">
        <v>0</v>
      </c>
      <c r="Y257" t="s">
        <v>70</v>
      </c>
      <c r="Z257" t="s">
        <v>60</v>
      </c>
      <c r="AA257">
        <v>0</v>
      </c>
      <c r="AB257" s="2">
        <v>0</v>
      </c>
      <c r="AC257" s="2">
        <v>0</v>
      </c>
      <c r="AD257" s="4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217.84</v>
      </c>
      <c r="AN257" s="2">
        <v>217.84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45922</v>
      </c>
      <c r="B258" t="s">
        <v>47</v>
      </c>
      <c r="C258">
        <v>649163</v>
      </c>
      <c r="D258">
        <v>2022974572</v>
      </c>
      <c r="E258" t="s">
        <v>245</v>
      </c>
      <c r="F258" t="s">
        <v>246</v>
      </c>
      <c r="G258" t="s">
        <v>50</v>
      </c>
      <c r="H258" t="s">
        <v>93</v>
      </c>
      <c r="I258" t="s">
        <v>243</v>
      </c>
      <c r="J258" t="s">
        <v>244</v>
      </c>
      <c r="K258">
        <v>651818</v>
      </c>
      <c r="L258" t="s">
        <v>108</v>
      </c>
      <c r="M258" t="s">
        <v>109</v>
      </c>
      <c r="N258" t="s">
        <v>1098</v>
      </c>
      <c r="O258" t="s">
        <v>56</v>
      </c>
      <c r="P258" s="1">
        <v>45433</v>
      </c>
      <c r="Q258" s="1">
        <v>45951</v>
      </c>
      <c r="R258" s="2">
        <v>15</v>
      </c>
      <c r="S258">
        <v>1</v>
      </c>
      <c r="T258" t="s">
        <v>57</v>
      </c>
      <c r="U258" t="s">
        <v>58</v>
      </c>
      <c r="V258" s="4">
        <v>0.28999999999999998</v>
      </c>
      <c r="W258" s="2">
        <v>0</v>
      </c>
      <c r="X258">
        <v>0</v>
      </c>
      <c r="Y258" t="s">
        <v>59</v>
      </c>
      <c r="Z258" t="s">
        <v>60</v>
      </c>
      <c r="AA258">
        <v>0</v>
      </c>
      <c r="AB258" s="2">
        <v>0</v>
      </c>
      <c r="AC258" s="2">
        <v>0</v>
      </c>
      <c r="AD258" s="4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4.3499999999999996</v>
      </c>
      <c r="AN258" s="2">
        <v>4.3499999999999996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45922</v>
      </c>
      <c r="B259" t="s">
        <v>47</v>
      </c>
      <c r="C259">
        <v>649163</v>
      </c>
      <c r="D259">
        <v>2016328595</v>
      </c>
      <c r="E259" t="s">
        <v>103</v>
      </c>
      <c r="F259" t="s">
        <v>104</v>
      </c>
      <c r="G259" t="s">
        <v>50</v>
      </c>
      <c r="H259" t="s">
        <v>105</v>
      </c>
      <c r="I259" t="s">
        <v>306</v>
      </c>
      <c r="J259" t="s">
        <v>307</v>
      </c>
      <c r="K259">
        <v>651818</v>
      </c>
      <c r="L259" t="s">
        <v>108</v>
      </c>
      <c r="M259" t="s">
        <v>109</v>
      </c>
      <c r="N259" t="s">
        <v>1098</v>
      </c>
      <c r="O259" t="s">
        <v>56</v>
      </c>
      <c r="P259" s="1">
        <v>44829</v>
      </c>
      <c r="Q259" s="1">
        <v>45955</v>
      </c>
      <c r="R259" s="2">
        <v>42.47</v>
      </c>
      <c r="S259">
        <v>1</v>
      </c>
      <c r="T259" t="s">
        <v>57</v>
      </c>
      <c r="U259" t="s">
        <v>58</v>
      </c>
      <c r="V259" s="4">
        <v>0.06</v>
      </c>
      <c r="W259" s="2">
        <v>0</v>
      </c>
      <c r="X259">
        <v>0</v>
      </c>
      <c r="Y259" t="s">
        <v>59</v>
      </c>
      <c r="Z259" t="s">
        <v>60</v>
      </c>
      <c r="AA259">
        <v>0</v>
      </c>
      <c r="AB259" s="2">
        <v>0</v>
      </c>
      <c r="AC259" s="2">
        <v>0</v>
      </c>
      <c r="AD259" s="4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2.5499999999999998</v>
      </c>
      <c r="AN259" s="2">
        <v>2.5499999999999998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45922</v>
      </c>
      <c r="B260" t="s">
        <v>47</v>
      </c>
      <c r="C260">
        <v>649163</v>
      </c>
      <c r="D260">
        <v>2024462650</v>
      </c>
      <c r="E260" t="s">
        <v>118</v>
      </c>
      <c r="F260" t="s">
        <v>85</v>
      </c>
      <c r="G260" t="s">
        <v>50</v>
      </c>
      <c r="H260" t="s">
        <v>93</v>
      </c>
      <c r="I260" t="s">
        <v>306</v>
      </c>
      <c r="J260" t="s">
        <v>307</v>
      </c>
      <c r="K260">
        <v>651818</v>
      </c>
      <c r="L260" t="s">
        <v>108</v>
      </c>
      <c r="M260" t="s">
        <v>109</v>
      </c>
      <c r="N260" t="s">
        <v>1098</v>
      </c>
      <c r="O260" t="s">
        <v>56</v>
      </c>
      <c r="P260" s="1">
        <v>45524</v>
      </c>
      <c r="Q260" s="1">
        <v>45950</v>
      </c>
      <c r="R260" s="2">
        <v>42.42</v>
      </c>
      <c r="S260">
        <v>1</v>
      </c>
      <c r="T260" t="s">
        <v>57</v>
      </c>
      <c r="U260" t="s">
        <v>58</v>
      </c>
      <c r="V260" s="4">
        <v>0.06</v>
      </c>
      <c r="W260" s="2">
        <v>0</v>
      </c>
      <c r="X260">
        <v>0</v>
      </c>
      <c r="Y260" t="s">
        <v>59</v>
      </c>
      <c r="Z260" t="s">
        <v>60</v>
      </c>
      <c r="AA260">
        <v>0</v>
      </c>
      <c r="AB260" s="2">
        <v>0</v>
      </c>
      <c r="AC260" s="2">
        <v>0</v>
      </c>
      <c r="AD260" s="4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2.5499999999999998</v>
      </c>
      <c r="AN260" s="2">
        <v>2.5499999999999998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45922</v>
      </c>
      <c r="B261" t="s">
        <v>47</v>
      </c>
      <c r="C261">
        <v>649163</v>
      </c>
      <c r="D261">
        <v>2030429655</v>
      </c>
      <c r="E261" t="s">
        <v>226</v>
      </c>
      <c r="F261" t="s">
        <v>227</v>
      </c>
      <c r="G261" t="s">
        <v>50</v>
      </c>
      <c r="H261" t="s">
        <v>83</v>
      </c>
      <c r="I261" t="s">
        <v>306</v>
      </c>
      <c r="J261" t="s">
        <v>307</v>
      </c>
      <c r="K261">
        <v>651818</v>
      </c>
      <c r="L261" t="s">
        <v>108</v>
      </c>
      <c r="M261" t="s">
        <v>109</v>
      </c>
      <c r="N261" t="s">
        <v>1098</v>
      </c>
      <c r="O261" t="s">
        <v>56</v>
      </c>
      <c r="P261" s="1">
        <v>45889</v>
      </c>
      <c r="Q261" s="1">
        <v>45950</v>
      </c>
      <c r="R261" s="2">
        <v>43.91</v>
      </c>
      <c r="S261">
        <v>1</v>
      </c>
      <c r="T261" t="s">
        <v>57</v>
      </c>
      <c r="U261" t="s">
        <v>58</v>
      </c>
      <c r="V261" s="3">
        <v>0.375</v>
      </c>
      <c r="W261" s="2">
        <v>0</v>
      </c>
      <c r="X261">
        <v>0</v>
      </c>
      <c r="Y261" t="s">
        <v>70</v>
      </c>
      <c r="Z261" t="s">
        <v>60</v>
      </c>
      <c r="AA261">
        <v>0</v>
      </c>
      <c r="AB261" s="2">
        <v>0</v>
      </c>
      <c r="AC261" s="2">
        <v>0</v>
      </c>
      <c r="AD261" s="4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16.47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45922</v>
      </c>
      <c r="B262" t="s">
        <v>47</v>
      </c>
      <c r="C262">
        <v>649163</v>
      </c>
      <c r="D262">
        <v>2027642347</v>
      </c>
      <c r="E262" t="s">
        <v>162</v>
      </c>
      <c r="F262" t="s">
        <v>163</v>
      </c>
      <c r="G262" t="s">
        <v>50</v>
      </c>
      <c r="H262" t="s">
        <v>127</v>
      </c>
      <c r="I262" t="s">
        <v>430</v>
      </c>
      <c r="J262" t="s">
        <v>431</v>
      </c>
      <c r="K262">
        <v>651818</v>
      </c>
      <c r="L262" t="s">
        <v>108</v>
      </c>
      <c r="M262" t="s">
        <v>109</v>
      </c>
      <c r="N262" t="s">
        <v>1098</v>
      </c>
      <c r="O262" t="s">
        <v>56</v>
      </c>
      <c r="P262" s="1">
        <v>45754</v>
      </c>
      <c r="Q262" s="1">
        <v>45937</v>
      </c>
      <c r="R262" s="2">
        <v>21.53</v>
      </c>
      <c r="S262">
        <v>1</v>
      </c>
      <c r="T262" t="s">
        <v>57</v>
      </c>
      <c r="U262" t="s">
        <v>58</v>
      </c>
      <c r="V262" s="4">
        <v>0.38</v>
      </c>
      <c r="W262" s="2">
        <v>0</v>
      </c>
      <c r="X262">
        <v>0</v>
      </c>
      <c r="Y262" t="s">
        <v>70</v>
      </c>
      <c r="Z262" t="s">
        <v>60</v>
      </c>
      <c r="AA262">
        <v>0</v>
      </c>
      <c r="AB262" s="2">
        <v>0</v>
      </c>
      <c r="AC262" s="2">
        <v>0</v>
      </c>
      <c r="AD262" s="4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8.18</v>
      </c>
      <c r="AN262" s="2">
        <v>8.18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45922</v>
      </c>
      <c r="B263" t="s">
        <v>47</v>
      </c>
      <c r="C263">
        <v>649163</v>
      </c>
      <c r="D263">
        <v>2016328596</v>
      </c>
      <c r="E263" t="s">
        <v>103</v>
      </c>
      <c r="F263" t="s">
        <v>104</v>
      </c>
      <c r="G263" t="s">
        <v>50</v>
      </c>
      <c r="H263" t="s">
        <v>105</v>
      </c>
      <c r="I263" t="s">
        <v>441</v>
      </c>
      <c r="J263" t="s">
        <v>442</v>
      </c>
      <c r="K263">
        <v>651818</v>
      </c>
      <c r="L263" t="s">
        <v>108</v>
      </c>
      <c r="M263" t="s">
        <v>109</v>
      </c>
      <c r="N263" t="s">
        <v>1098</v>
      </c>
      <c r="O263" t="s">
        <v>56</v>
      </c>
      <c r="P263" s="1">
        <v>44829</v>
      </c>
      <c r="Q263" s="1">
        <v>45955</v>
      </c>
      <c r="R263" s="2">
        <v>32.42</v>
      </c>
      <c r="S263">
        <v>1</v>
      </c>
      <c r="T263" t="s">
        <v>57</v>
      </c>
      <c r="U263" t="s">
        <v>58</v>
      </c>
      <c r="V263" s="4">
        <v>0.1</v>
      </c>
      <c r="W263" s="2">
        <v>0</v>
      </c>
      <c r="X263">
        <v>0</v>
      </c>
      <c r="Y263" t="s">
        <v>59</v>
      </c>
      <c r="Z263" t="s">
        <v>60</v>
      </c>
      <c r="AA263">
        <v>0</v>
      </c>
      <c r="AB263" s="2">
        <v>0</v>
      </c>
      <c r="AC263" s="2">
        <v>0</v>
      </c>
      <c r="AD263" s="4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3.24</v>
      </c>
      <c r="AN263" s="2">
        <v>3.24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45922</v>
      </c>
      <c r="B264" t="s">
        <v>47</v>
      </c>
      <c r="C264">
        <v>649163</v>
      </c>
      <c r="D264">
        <v>2017608417</v>
      </c>
      <c r="E264" t="s">
        <v>67</v>
      </c>
      <c r="F264" t="s">
        <v>444</v>
      </c>
      <c r="G264" t="s">
        <v>50</v>
      </c>
      <c r="H264" t="s">
        <v>127</v>
      </c>
      <c r="I264" t="s">
        <v>441</v>
      </c>
      <c r="J264" t="s">
        <v>442</v>
      </c>
      <c r="K264">
        <v>651818</v>
      </c>
      <c r="L264" t="s">
        <v>108</v>
      </c>
      <c r="M264" t="s">
        <v>109</v>
      </c>
      <c r="N264" t="s">
        <v>1098</v>
      </c>
      <c r="O264" t="s">
        <v>56</v>
      </c>
      <c r="P264" s="1">
        <v>44983</v>
      </c>
      <c r="Q264" s="1">
        <v>45956</v>
      </c>
      <c r="R264" s="2">
        <v>163.25</v>
      </c>
      <c r="S264">
        <v>1</v>
      </c>
      <c r="T264" t="s">
        <v>57</v>
      </c>
      <c r="U264" t="s">
        <v>58</v>
      </c>
      <c r="V264" s="4">
        <v>0.1</v>
      </c>
      <c r="W264" s="2">
        <v>0</v>
      </c>
      <c r="X264">
        <v>0</v>
      </c>
      <c r="Y264" t="s">
        <v>59</v>
      </c>
      <c r="Z264" t="s">
        <v>60</v>
      </c>
      <c r="AA264">
        <v>0</v>
      </c>
      <c r="AB264" s="2">
        <v>0</v>
      </c>
      <c r="AC264" s="2">
        <v>0</v>
      </c>
      <c r="AD264" s="4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16.32</v>
      </c>
      <c r="AN264" s="2">
        <v>16.32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45922</v>
      </c>
      <c r="B265" t="s">
        <v>47</v>
      </c>
      <c r="C265">
        <v>649163</v>
      </c>
      <c r="D265">
        <v>2018417445</v>
      </c>
      <c r="E265" t="s">
        <v>110</v>
      </c>
      <c r="F265" t="s">
        <v>111</v>
      </c>
      <c r="G265" t="s">
        <v>50</v>
      </c>
      <c r="H265" t="s">
        <v>112</v>
      </c>
      <c r="I265" t="s">
        <v>441</v>
      </c>
      <c r="J265" t="s">
        <v>447</v>
      </c>
      <c r="K265">
        <v>651818</v>
      </c>
      <c r="L265" t="s">
        <v>108</v>
      </c>
      <c r="M265" t="s">
        <v>109</v>
      </c>
      <c r="N265" t="s">
        <v>1098</v>
      </c>
      <c r="O265" t="s">
        <v>56</v>
      </c>
      <c r="P265" s="1">
        <v>45037</v>
      </c>
      <c r="Q265" s="1">
        <v>45951</v>
      </c>
      <c r="R265" s="2">
        <v>25.73</v>
      </c>
      <c r="S265">
        <v>1</v>
      </c>
      <c r="T265" t="s">
        <v>57</v>
      </c>
      <c r="U265" t="s">
        <v>58</v>
      </c>
      <c r="V265" s="4">
        <v>0.15</v>
      </c>
      <c r="W265" s="2">
        <v>0</v>
      </c>
      <c r="X265">
        <v>0</v>
      </c>
      <c r="Y265" t="s">
        <v>59</v>
      </c>
      <c r="Z265" t="s">
        <v>60</v>
      </c>
      <c r="AA265">
        <v>0</v>
      </c>
      <c r="AB265" s="2">
        <v>0</v>
      </c>
      <c r="AC265" s="2">
        <v>0</v>
      </c>
      <c r="AD265" s="4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3.86</v>
      </c>
      <c r="AN265" s="2">
        <v>3.86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45922</v>
      </c>
      <c r="B266" t="s">
        <v>47</v>
      </c>
      <c r="C266">
        <v>649163</v>
      </c>
      <c r="D266">
        <v>2022148752</v>
      </c>
      <c r="E266" t="s">
        <v>457</v>
      </c>
      <c r="F266" t="s">
        <v>458</v>
      </c>
      <c r="G266" t="s">
        <v>50</v>
      </c>
      <c r="H266" t="s">
        <v>400</v>
      </c>
      <c r="I266" t="s">
        <v>441</v>
      </c>
      <c r="J266" t="s">
        <v>442</v>
      </c>
      <c r="K266">
        <v>651818</v>
      </c>
      <c r="L266" t="s">
        <v>108</v>
      </c>
      <c r="M266" t="s">
        <v>109</v>
      </c>
      <c r="N266" t="s">
        <v>1098</v>
      </c>
      <c r="O266" t="s">
        <v>56</v>
      </c>
      <c r="P266" s="1">
        <v>45377</v>
      </c>
      <c r="Q266" s="1">
        <v>45956</v>
      </c>
      <c r="R266" s="2">
        <v>51.31</v>
      </c>
      <c r="S266">
        <v>1</v>
      </c>
      <c r="T266" t="s">
        <v>57</v>
      </c>
      <c r="U266" t="s">
        <v>58</v>
      </c>
      <c r="V266" s="4">
        <v>0.1</v>
      </c>
      <c r="W266" s="2">
        <v>0</v>
      </c>
      <c r="X266">
        <v>0</v>
      </c>
      <c r="Y266" t="s">
        <v>59</v>
      </c>
      <c r="Z266" t="s">
        <v>60</v>
      </c>
      <c r="AA266">
        <v>0</v>
      </c>
      <c r="AB266" s="2">
        <v>0</v>
      </c>
      <c r="AC266" s="2">
        <v>0</v>
      </c>
      <c r="AD266" s="4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5.13</v>
      </c>
      <c r="AN266" s="2">
        <v>5.13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45922</v>
      </c>
      <c r="B267" t="s">
        <v>47</v>
      </c>
      <c r="C267">
        <v>649163</v>
      </c>
      <c r="D267">
        <v>2022682156</v>
      </c>
      <c r="E267" t="s">
        <v>113</v>
      </c>
      <c r="F267" t="s">
        <v>114</v>
      </c>
      <c r="G267" t="s">
        <v>50</v>
      </c>
      <c r="H267" t="s">
        <v>115</v>
      </c>
      <c r="I267" t="s">
        <v>441</v>
      </c>
      <c r="J267" t="s">
        <v>442</v>
      </c>
      <c r="K267">
        <v>651818</v>
      </c>
      <c r="L267" t="s">
        <v>108</v>
      </c>
      <c r="M267" t="s">
        <v>109</v>
      </c>
      <c r="N267" t="s">
        <v>1098</v>
      </c>
      <c r="O267" t="s">
        <v>56</v>
      </c>
      <c r="P267" s="1">
        <v>45418</v>
      </c>
      <c r="Q267" s="1">
        <v>45936</v>
      </c>
      <c r="R267" s="2">
        <v>-23.67</v>
      </c>
      <c r="S267">
        <v>1</v>
      </c>
      <c r="T267" t="s">
        <v>57</v>
      </c>
      <c r="U267" t="s">
        <v>58</v>
      </c>
      <c r="V267" s="4">
        <v>0.1</v>
      </c>
      <c r="W267" s="2">
        <v>0</v>
      </c>
      <c r="X267">
        <v>-1</v>
      </c>
      <c r="Y267" t="s">
        <v>59</v>
      </c>
      <c r="Z267" t="s">
        <v>60</v>
      </c>
      <c r="AA267">
        <v>0</v>
      </c>
      <c r="AB267" s="2">
        <v>0</v>
      </c>
      <c r="AC267" s="2">
        <v>0</v>
      </c>
      <c r="AD267" s="4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-2.37</v>
      </c>
      <c r="AN267" s="2">
        <v>-2.37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45922</v>
      </c>
      <c r="B268" t="s">
        <v>47</v>
      </c>
      <c r="C268">
        <v>649163</v>
      </c>
      <c r="D268">
        <v>2027642346</v>
      </c>
      <c r="E268" t="s">
        <v>162</v>
      </c>
      <c r="F268" t="s">
        <v>163</v>
      </c>
      <c r="G268" t="s">
        <v>50</v>
      </c>
      <c r="H268" t="s">
        <v>127</v>
      </c>
      <c r="I268" t="s">
        <v>441</v>
      </c>
      <c r="J268" t="s">
        <v>447</v>
      </c>
      <c r="K268">
        <v>651818</v>
      </c>
      <c r="L268" t="s">
        <v>108</v>
      </c>
      <c r="M268" t="s">
        <v>109</v>
      </c>
      <c r="N268" t="s">
        <v>1098</v>
      </c>
      <c r="O268" t="s">
        <v>56</v>
      </c>
      <c r="P268" s="1">
        <v>45754</v>
      </c>
      <c r="Q268" s="1">
        <v>45937</v>
      </c>
      <c r="R268" s="2">
        <v>21.44</v>
      </c>
      <c r="S268">
        <v>1</v>
      </c>
      <c r="T268" t="s">
        <v>57</v>
      </c>
      <c r="U268" t="s">
        <v>58</v>
      </c>
      <c r="V268" s="4">
        <v>0.7</v>
      </c>
      <c r="W268" s="2">
        <v>0</v>
      </c>
      <c r="X268">
        <v>0</v>
      </c>
      <c r="Y268" t="s">
        <v>70</v>
      </c>
      <c r="Z268" t="s">
        <v>60</v>
      </c>
      <c r="AA268">
        <v>0</v>
      </c>
      <c r="AB268" s="2">
        <v>0</v>
      </c>
      <c r="AC268" s="2">
        <v>0</v>
      </c>
      <c r="AD268" s="4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15.01</v>
      </c>
      <c r="AN268" s="2">
        <v>15.01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45922</v>
      </c>
      <c r="B269" t="s">
        <v>47</v>
      </c>
      <c r="C269">
        <v>649163</v>
      </c>
      <c r="D269">
        <v>2028857839</v>
      </c>
      <c r="E269" t="s">
        <v>181</v>
      </c>
      <c r="F269" t="s">
        <v>182</v>
      </c>
      <c r="G269" t="s">
        <v>50</v>
      </c>
      <c r="H269" t="s">
        <v>183</v>
      </c>
      <c r="I269" t="s">
        <v>441</v>
      </c>
      <c r="J269" t="s">
        <v>442</v>
      </c>
      <c r="K269">
        <v>651818</v>
      </c>
      <c r="L269" t="s">
        <v>108</v>
      </c>
      <c r="M269" t="s">
        <v>109</v>
      </c>
      <c r="N269" t="s">
        <v>1098</v>
      </c>
      <c r="O269" t="s">
        <v>56</v>
      </c>
      <c r="P269" s="1">
        <v>45789</v>
      </c>
      <c r="Q269" s="1">
        <v>45942</v>
      </c>
      <c r="R269" s="2">
        <v>51.63</v>
      </c>
      <c r="S269">
        <v>1</v>
      </c>
      <c r="T269" t="s">
        <v>57</v>
      </c>
      <c r="U269" t="s">
        <v>58</v>
      </c>
      <c r="V269" s="4">
        <v>0.9</v>
      </c>
      <c r="W269" s="2">
        <v>0</v>
      </c>
      <c r="X269">
        <v>0</v>
      </c>
      <c r="Y269" t="s">
        <v>70</v>
      </c>
      <c r="Z269" t="s">
        <v>60</v>
      </c>
      <c r="AA269">
        <v>0</v>
      </c>
      <c r="AB269" s="2">
        <v>0</v>
      </c>
      <c r="AC269" s="2">
        <v>0</v>
      </c>
      <c r="AD269" s="4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46.47</v>
      </c>
      <c r="AN269" s="2">
        <v>46.47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45922</v>
      </c>
      <c r="B270" t="s">
        <v>47</v>
      </c>
      <c r="C270">
        <v>649163</v>
      </c>
      <c r="D270">
        <v>2030429654</v>
      </c>
      <c r="E270" t="s">
        <v>226</v>
      </c>
      <c r="F270" t="s">
        <v>227</v>
      </c>
      <c r="G270" t="s">
        <v>50</v>
      </c>
      <c r="H270" t="s">
        <v>83</v>
      </c>
      <c r="I270" t="s">
        <v>441</v>
      </c>
      <c r="J270" t="s">
        <v>442</v>
      </c>
      <c r="K270">
        <v>651818</v>
      </c>
      <c r="L270" t="s">
        <v>108</v>
      </c>
      <c r="M270" t="s">
        <v>109</v>
      </c>
      <c r="N270" t="s">
        <v>1098</v>
      </c>
      <c r="O270" t="s">
        <v>56</v>
      </c>
      <c r="P270" s="1">
        <v>45889</v>
      </c>
      <c r="Q270" s="1">
        <v>45950</v>
      </c>
      <c r="R270" s="2">
        <v>51.63</v>
      </c>
      <c r="S270">
        <v>1</v>
      </c>
      <c r="T270" t="s">
        <v>57</v>
      </c>
      <c r="U270" t="s">
        <v>58</v>
      </c>
      <c r="V270" s="4">
        <v>0.9</v>
      </c>
      <c r="W270" s="2">
        <v>0</v>
      </c>
      <c r="X270">
        <v>0</v>
      </c>
      <c r="Y270" t="s">
        <v>70</v>
      </c>
      <c r="Z270" t="s">
        <v>60</v>
      </c>
      <c r="AA270">
        <v>0</v>
      </c>
      <c r="AB270" s="2">
        <v>0</v>
      </c>
      <c r="AC270" s="2">
        <v>0</v>
      </c>
      <c r="AD270" s="4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46.47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45915</v>
      </c>
      <c r="B271" t="s">
        <v>47</v>
      </c>
      <c r="C271">
        <v>649163</v>
      </c>
      <c r="D271">
        <v>2021470574</v>
      </c>
      <c r="E271" t="s">
        <v>1070</v>
      </c>
      <c r="F271" t="s">
        <v>1069</v>
      </c>
      <c r="G271" t="s">
        <v>50</v>
      </c>
      <c r="H271" t="s">
        <v>93</v>
      </c>
      <c r="I271" t="s">
        <v>106</v>
      </c>
      <c r="J271" t="s">
        <v>107</v>
      </c>
      <c r="K271">
        <v>651818</v>
      </c>
      <c r="L271" t="s">
        <v>108</v>
      </c>
      <c r="M271" t="s">
        <v>109</v>
      </c>
      <c r="N271" t="s">
        <v>1098</v>
      </c>
      <c r="O271" t="s">
        <v>56</v>
      </c>
      <c r="P271" s="1">
        <v>45341</v>
      </c>
      <c r="Q271" s="1">
        <v>45949</v>
      </c>
      <c r="R271" s="2">
        <v>103.16</v>
      </c>
      <c r="S271">
        <v>1</v>
      </c>
      <c r="T271" t="s">
        <v>57</v>
      </c>
      <c r="U271" t="s">
        <v>58</v>
      </c>
      <c r="V271" s="4">
        <v>0.1</v>
      </c>
      <c r="W271" s="2">
        <v>0</v>
      </c>
      <c r="X271">
        <v>0</v>
      </c>
      <c r="Y271" t="s">
        <v>59</v>
      </c>
      <c r="Z271" t="s">
        <v>60</v>
      </c>
      <c r="AA271">
        <v>0</v>
      </c>
      <c r="AB271" s="2">
        <v>0</v>
      </c>
      <c r="AC271" s="2">
        <v>0</v>
      </c>
      <c r="AD271" s="4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10.32</v>
      </c>
      <c r="AN271" s="2">
        <v>10.32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45915</v>
      </c>
      <c r="B272" t="s">
        <v>47</v>
      </c>
      <c r="C272">
        <v>649163</v>
      </c>
      <c r="D272">
        <v>2025747991</v>
      </c>
      <c r="E272" t="s">
        <v>1018</v>
      </c>
      <c r="F272" t="s">
        <v>238</v>
      </c>
      <c r="G272" t="s">
        <v>50</v>
      </c>
      <c r="H272" t="s">
        <v>93</v>
      </c>
      <c r="I272" t="s">
        <v>106</v>
      </c>
      <c r="J272" t="s">
        <v>107</v>
      </c>
      <c r="K272">
        <v>651818</v>
      </c>
      <c r="L272" t="s">
        <v>108</v>
      </c>
      <c r="M272" t="s">
        <v>109</v>
      </c>
      <c r="N272" t="s">
        <v>1098</v>
      </c>
      <c r="O272" t="s">
        <v>230</v>
      </c>
      <c r="P272" s="1">
        <v>45664</v>
      </c>
      <c r="Q272" s="1">
        <v>45937</v>
      </c>
      <c r="R272" s="2">
        <v>-75.47</v>
      </c>
      <c r="S272">
        <v>1</v>
      </c>
      <c r="T272" t="s">
        <v>57</v>
      </c>
      <c r="U272" t="s">
        <v>58</v>
      </c>
      <c r="V272" s="4">
        <v>0.9</v>
      </c>
      <c r="W272" s="2">
        <v>0</v>
      </c>
      <c r="X272">
        <v>-1</v>
      </c>
      <c r="Y272" t="s">
        <v>70</v>
      </c>
      <c r="Z272" t="s">
        <v>60</v>
      </c>
      <c r="AA272">
        <v>0</v>
      </c>
      <c r="AB272" s="2">
        <v>0</v>
      </c>
      <c r="AC272" s="2">
        <v>0</v>
      </c>
      <c r="AD272" s="4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-67.92</v>
      </c>
      <c r="AN272" s="2">
        <v>-67.92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45915</v>
      </c>
      <c r="B273" t="s">
        <v>47</v>
      </c>
      <c r="C273">
        <v>649163</v>
      </c>
      <c r="D273">
        <v>2026206373</v>
      </c>
      <c r="E273" t="s">
        <v>998</v>
      </c>
      <c r="F273" t="s">
        <v>997</v>
      </c>
      <c r="G273" t="s">
        <v>50</v>
      </c>
      <c r="H273" t="s">
        <v>115</v>
      </c>
      <c r="I273" t="s">
        <v>106</v>
      </c>
      <c r="J273" t="s">
        <v>116</v>
      </c>
      <c r="K273">
        <v>651818</v>
      </c>
      <c r="L273" t="s">
        <v>108</v>
      </c>
      <c r="M273" t="s">
        <v>109</v>
      </c>
      <c r="N273" t="s">
        <v>1098</v>
      </c>
      <c r="O273" t="s">
        <v>56</v>
      </c>
      <c r="P273" s="1">
        <v>45644</v>
      </c>
      <c r="Q273" s="1">
        <v>45948</v>
      </c>
      <c r="R273" s="2">
        <v>97.8</v>
      </c>
      <c r="S273">
        <v>1</v>
      </c>
      <c r="T273" t="s">
        <v>57</v>
      </c>
      <c r="U273" t="s">
        <v>58</v>
      </c>
      <c r="V273" s="4">
        <v>0.75</v>
      </c>
      <c r="W273" s="2">
        <v>0</v>
      </c>
      <c r="X273">
        <v>0</v>
      </c>
      <c r="Y273" t="s">
        <v>70</v>
      </c>
      <c r="Z273" t="s">
        <v>60</v>
      </c>
      <c r="AA273">
        <v>0</v>
      </c>
      <c r="AB273" s="2">
        <v>0</v>
      </c>
      <c r="AC273" s="2">
        <v>0</v>
      </c>
      <c r="AD273" s="4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73.349999999999994</v>
      </c>
      <c r="AN273" s="2">
        <v>73.349999999999994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45915</v>
      </c>
      <c r="B274" t="s">
        <v>47</v>
      </c>
      <c r="C274">
        <v>649163</v>
      </c>
      <c r="D274">
        <v>2026526003</v>
      </c>
      <c r="E274" t="s">
        <v>1067</v>
      </c>
      <c r="F274" t="s">
        <v>1066</v>
      </c>
      <c r="G274" t="s">
        <v>50</v>
      </c>
      <c r="H274" t="s">
        <v>134</v>
      </c>
      <c r="I274" t="s">
        <v>106</v>
      </c>
      <c r="J274" t="s">
        <v>116</v>
      </c>
      <c r="K274">
        <v>651818</v>
      </c>
      <c r="L274" t="s">
        <v>108</v>
      </c>
      <c r="M274" t="s">
        <v>109</v>
      </c>
      <c r="N274" t="s">
        <v>1098</v>
      </c>
      <c r="O274" t="s">
        <v>56</v>
      </c>
      <c r="P274" s="1">
        <v>45695</v>
      </c>
      <c r="Q274" s="1">
        <v>45937</v>
      </c>
      <c r="R274" s="2">
        <v>-67.099999999999994</v>
      </c>
      <c r="S274">
        <v>1</v>
      </c>
      <c r="T274" t="s">
        <v>57</v>
      </c>
      <c r="U274" t="s">
        <v>58</v>
      </c>
      <c r="V274" s="4">
        <v>0.75</v>
      </c>
      <c r="W274" s="2">
        <v>0</v>
      </c>
      <c r="X274">
        <v>-1</v>
      </c>
      <c r="Y274" t="s">
        <v>70</v>
      </c>
      <c r="Z274" t="s">
        <v>60</v>
      </c>
      <c r="AA274">
        <v>0</v>
      </c>
      <c r="AB274" s="2">
        <v>0</v>
      </c>
      <c r="AC274" s="2">
        <v>0</v>
      </c>
      <c r="AD274" s="4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-50.32</v>
      </c>
      <c r="AN274" s="2">
        <v>-50.32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45915</v>
      </c>
      <c r="B275" t="s">
        <v>47</v>
      </c>
      <c r="C275">
        <v>649163</v>
      </c>
      <c r="D275">
        <v>2027855574</v>
      </c>
      <c r="E275" t="s">
        <v>977</v>
      </c>
      <c r="F275" t="s">
        <v>538</v>
      </c>
      <c r="G275" t="s">
        <v>50</v>
      </c>
      <c r="H275" t="s">
        <v>183</v>
      </c>
      <c r="I275" t="s">
        <v>106</v>
      </c>
      <c r="J275" t="s">
        <v>116</v>
      </c>
      <c r="K275">
        <v>651818</v>
      </c>
      <c r="L275" t="s">
        <v>108</v>
      </c>
      <c r="M275" t="s">
        <v>109</v>
      </c>
      <c r="N275" t="s">
        <v>1098</v>
      </c>
      <c r="O275" t="s">
        <v>56</v>
      </c>
      <c r="P275" s="1">
        <v>45734</v>
      </c>
      <c r="Q275" s="1">
        <v>45948</v>
      </c>
      <c r="R275" s="2">
        <v>75.8</v>
      </c>
      <c r="S275">
        <v>1</v>
      </c>
      <c r="T275" t="s">
        <v>57</v>
      </c>
      <c r="U275" t="s">
        <v>58</v>
      </c>
      <c r="V275" s="4">
        <v>0.75</v>
      </c>
      <c r="W275" s="2">
        <v>0</v>
      </c>
      <c r="X275">
        <v>0</v>
      </c>
      <c r="Y275" t="s">
        <v>70</v>
      </c>
      <c r="Z275" t="s">
        <v>60</v>
      </c>
      <c r="AA275">
        <v>0</v>
      </c>
      <c r="AB275" s="2">
        <v>0</v>
      </c>
      <c r="AC275" s="2">
        <v>0</v>
      </c>
      <c r="AD275" s="4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56.85</v>
      </c>
      <c r="AN275" s="2">
        <v>56.85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45915</v>
      </c>
      <c r="B276" t="s">
        <v>47</v>
      </c>
      <c r="C276">
        <v>649163</v>
      </c>
      <c r="D276">
        <v>2028303459</v>
      </c>
      <c r="E276" t="s">
        <v>154</v>
      </c>
      <c r="F276" t="s">
        <v>1065</v>
      </c>
      <c r="G276" t="s">
        <v>50</v>
      </c>
      <c r="H276" t="s">
        <v>83</v>
      </c>
      <c r="I276" t="s">
        <v>106</v>
      </c>
      <c r="J276" t="s">
        <v>116</v>
      </c>
      <c r="K276">
        <v>651818</v>
      </c>
      <c r="L276" t="s">
        <v>108</v>
      </c>
      <c r="M276" t="s">
        <v>109</v>
      </c>
      <c r="N276" t="s">
        <v>1098</v>
      </c>
      <c r="O276" t="s">
        <v>56</v>
      </c>
      <c r="P276" s="1">
        <v>45762</v>
      </c>
      <c r="Q276" s="1">
        <v>45945</v>
      </c>
      <c r="R276" s="2">
        <v>132.5</v>
      </c>
      <c r="S276">
        <v>1</v>
      </c>
      <c r="T276" t="s">
        <v>57</v>
      </c>
      <c r="U276" t="s">
        <v>58</v>
      </c>
      <c r="V276" s="4">
        <v>0.75</v>
      </c>
      <c r="W276" s="2">
        <v>0</v>
      </c>
      <c r="X276">
        <v>0</v>
      </c>
      <c r="Y276" t="s">
        <v>70</v>
      </c>
      <c r="Z276" t="s">
        <v>60</v>
      </c>
      <c r="AA276">
        <v>0</v>
      </c>
      <c r="AB276" s="2">
        <v>0</v>
      </c>
      <c r="AC276" s="2">
        <v>0</v>
      </c>
      <c r="AD276" s="4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99.38</v>
      </c>
      <c r="AN276" s="2">
        <v>99.38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45915</v>
      </c>
      <c r="B277" t="s">
        <v>47</v>
      </c>
      <c r="C277">
        <v>649163</v>
      </c>
      <c r="D277">
        <v>2030868834</v>
      </c>
      <c r="E277" t="s">
        <v>234</v>
      </c>
      <c r="F277" t="s">
        <v>109</v>
      </c>
      <c r="G277" t="s">
        <v>50</v>
      </c>
      <c r="H277" t="s">
        <v>134</v>
      </c>
      <c r="I277" t="s">
        <v>106</v>
      </c>
      <c r="J277" t="s">
        <v>107</v>
      </c>
      <c r="K277">
        <v>651818</v>
      </c>
      <c r="L277" t="s">
        <v>108</v>
      </c>
      <c r="M277" t="s">
        <v>109</v>
      </c>
      <c r="N277" t="s">
        <v>1098</v>
      </c>
      <c r="O277" t="s">
        <v>230</v>
      </c>
      <c r="P277" s="1">
        <v>45906</v>
      </c>
      <c r="Q277" s="1">
        <v>45936</v>
      </c>
      <c r="R277" s="2">
        <v>-242.05</v>
      </c>
      <c r="S277">
        <v>1</v>
      </c>
      <c r="T277" t="s">
        <v>57</v>
      </c>
      <c r="U277" t="s">
        <v>58</v>
      </c>
      <c r="V277" s="4">
        <v>0.9</v>
      </c>
      <c r="W277" s="2">
        <v>0</v>
      </c>
      <c r="X277">
        <v>-1</v>
      </c>
      <c r="Y277" t="s">
        <v>70</v>
      </c>
      <c r="Z277" t="s">
        <v>60</v>
      </c>
      <c r="AA277">
        <v>0</v>
      </c>
      <c r="AB277" s="2">
        <v>0</v>
      </c>
      <c r="AC277" s="2">
        <v>0</v>
      </c>
      <c r="AD277" s="4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-217.84</v>
      </c>
      <c r="AN277" s="2">
        <v>-217.84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45915</v>
      </c>
      <c r="B278" t="s">
        <v>47</v>
      </c>
      <c r="C278">
        <v>649163</v>
      </c>
      <c r="D278">
        <v>2026141665</v>
      </c>
      <c r="E278" t="s">
        <v>1036</v>
      </c>
      <c r="F278" t="s">
        <v>1035</v>
      </c>
      <c r="G278" t="s">
        <v>50</v>
      </c>
      <c r="H278" t="s">
        <v>93</v>
      </c>
      <c r="I278" t="s">
        <v>306</v>
      </c>
      <c r="J278" t="s">
        <v>307</v>
      </c>
      <c r="K278">
        <v>651818</v>
      </c>
      <c r="L278" t="s">
        <v>108</v>
      </c>
      <c r="M278" t="s">
        <v>109</v>
      </c>
      <c r="N278" t="s">
        <v>1098</v>
      </c>
      <c r="O278" t="s">
        <v>56</v>
      </c>
      <c r="P278" s="1">
        <v>45641</v>
      </c>
      <c r="Q278" s="1">
        <v>45945</v>
      </c>
      <c r="R278" s="2">
        <v>101.87</v>
      </c>
      <c r="S278">
        <v>1</v>
      </c>
      <c r="T278" t="s">
        <v>57</v>
      </c>
      <c r="U278" t="s">
        <v>58</v>
      </c>
      <c r="V278" s="3">
        <v>0.375</v>
      </c>
      <c r="W278" s="2">
        <v>0</v>
      </c>
      <c r="X278">
        <v>0</v>
      </c>
      <c r="Y278" t="s">
        <v>70</v>
      </c>
      <c r="Z278" t="s">
        <v>60</v>
      </c>
      <c r="AA278">
        <v>0</v>
      </c>
      <c r="AB278" s="2">
        <v>0</v>
      </c>
      <c r="AC278" s="2">
        <v>0</v>
      </c>
      <c r="AD278" s="4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38.200000000000003</v>
      </c>
      <c r="AN278" s="2">
        <v>38.200000000000003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45915</v>
      </c>
      <c r="B279" t="s">
        <v>47</v>
      </c>
      <c r="C279">
        <v>649163</v>
      </c>
      <c r="D279">
        <v>2025747992</v>
      </c>
      <c r="E279" t="s">
        <v>1018</v>
      </c>
      <c r="F279" t="s">
        <v>238</v>
      </c>
      <c r="G279" t="s">
        <v>50</v>
      </c>
      <c r="H279" t="s">
        <v>93</v>
      </c>
      <c r="I279" t="s">
        <v>441</v>
      </c>
      <c r="J279" t="s">
        <v>445</v>
      </c>
      <c r="K279">
        <v>651818</v>
      </c>
      <c r="L279" t="s">
        <v>108</v>
      </c>
      <c r="M279" t="s">
        <v>109</v>
      </c>
      <c r="N279" t="s">
        <v>1098</v>
      </c>
      <c r="O279" t="s">
        <v>230</v>
      </c>
      <c r="P279" s="1">
        <v>45664</v>
      </c>
      <c r="Q279" s="1">
        <v>45937</v>
      </c>
      <c r="R279" s="2">
        <v>-126.03</v>
      </c>
      <c r="S279">
        <v>1</v>
      </c>
      <c r="T279" t="s">
        <v>57</v>
      </c>
      <c r="U279" t="s">
        <v>58</v>
      </c>
      <c r="V279" s="4">
        <v>0.7</v>
      </c>
      <c r="W279" s="2">
        <v>0</v>
      </c>
      <c r="X279">
        <v>-1</v>
      </c>
      <c r="Y279" t="s">
        <v>70</v>
      </c>
      <c r="Z279" t="s">
        <v>60</v>
      </c>
      <c r="AA279">
        <v>0</v>
      </c>
      <c r="AB279" s="2">
        <v>0</v>
      </c>
      <c r="AC279" s="2">
        <v>0</v>
      </c>
      <c r="AD279" s="4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-88.22</v>
      </c>
      <c r="AN279" s="2">
        <v>-88.22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45915</v>
      </c>
      <c r="B280" t="s">
        <v>47</v>
      </c>
      <c r="C280">
        <v>649163</v>
      </c>
      <c r="D280">
        <v>2026153889</v>
      </c>
      <c r="E280" t="s">
        <v>1009</v>
      </c>
      <c r="F280" t="s">
        <v>1008</v>
      </c>
      <c r="G280" t="s">
        <v>50</v>
      </c>
      <c r="H280" t="s">
        <v>183</v>
      </c>
      <c r="I280" t="s">
        <v>441</v>
      </c>
      <c r="J280" t="s">
        <v>445</v>
      </c>
      <c r="K280">
        <v>651818</v>
      </c>
      <c r="L280" t="s">
        <v>108</v>
      </c>
      <c r="M280" t="s">
        <v>109</v>
      </c>
      <c r="N280" t="s">
        <v>1098</v>
      </c>
      <c r="O280" t="s">
        <v>56</v>
      </c>
      <c r="P280" s="1">
        <v>45664</v>
      </c>
      <c r="Q280" s="1">
        <v>45937</v>
      </c>
      <c r="R280" s="2">
        <v>60.76</v>
      </c>
      <c r="S280">
        <v>1</v>
      </c>
      <c r="T280" t="s">
        <v>57</v>
      </c>
      <c r="U280" t="s">
        <v>58</v>
      </c>
      <c r="V280" s="4">
        <v>0.7</v>
      </c>
      <c r="W280" s="2">
        <v>0</v>
      </c>
      <c r="X280">
        <v>0</v>
      </c>
      <c r="Y280" t="s">
        <v>70</v>
      </c>
      <c r="Z280" t="s">
        <v>60</v>
      </c>
      <c r="AA280">
        <v>0</v>
      </c>
      <c r="AB280" s="2">
        <v>0</v>
      </c>
      <c r="AC280" s="2">
        <v>0</v>
      </c>
      <c r="AD280" s="4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42.53</v>
      </c>
      <c r="AN280" s="2">
        <v>42.53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45915</v>
      </c>
      <c r="B281" t="s">
        <v>47</v>
      </c>
      <c r="C281">
        <v>649163</v>
      </c>
      <c r="D281">
        <v>2026206372</v>
      </c>
      <c r="E281" t="s">
        <v>998</v>
      </c>
      <c r="F281" t="s">
        <v>997</v>
      </c>
      <c r="G281" t="s">
        <v>50</v>
      </c>
      <c r="H281" t="s">
        <v>115</v>
      </c>
      <c r="I281" t="s">
        <v>441</v>
      </c>
      <c r="J281" t="s">
        <v>442</v>
      </c>
      <c r="K281">
        <v>651818</v>
      </c>
      <c r="L281" t="s">
        <v>108</v>
      </c>
      <c r="M281" t="s">
        <v>109</v>
      </c>
      <c r="N281" t="s">
        <v>1098</v>
      </c>
      <c r="O281" t="s">
        <v>56</v>
      </c>
      <c r="P281" s="1">
        <v>45644</v>
      </c>
      <c r="Q281" s="1">
        <v>45948</v>
      </c>
      <c r="R281" s="2">
        <v>74</v>
      </c>
      <c r="S281">
        <v>1</v>
      </c>
      <c r="T281" t="s">
        <v>57</v>
      </c>
      <c r="U281" t="s">
        <v>58</v>
      </c>
      <c r="V281" s="4">
        <v>0.9</v>
      </c>
      <c r="W281" s="2">
        <v>0</v>
      </c>
      <c r="X281">
        <v>0</v>
      </c>
      <c r="Y281" t="s">
        <v>70</v>
      </c>
      <c r="Z281" t="s">
        <v>60</v>
      </c>
      <c r="AA281">
        <v>0</v>
      </c>
      <c r="AB281" s="2">
        <v>0</v>
      </c>
      <c r="AC281" s="2">
        <v>0</v>
      </c>
      <c r="AD281" s="4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66.599999999999994</v>
      </c>
      <c r="AN281" s="2">
        <v>66.599999999999994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45915</v>
      </c>
      <c r="B282" t="s">
        <v>47</v>
      </c>
      <c r="C282">
        <v>649163</v>
      </c>
      <c r="D282">
        <v>2026219525</v>
      </c>
      <c r="E282" t="s">
        <v>156</v>
      </c>
      <c r="F282" t="s">
        <v>995</v>
      </c>
      <c r="G282" t="s">
        <v>50</v>
      </c>
      <c r="H282" t="s">
        <v>83</v>
      </c>
      <c r="I282" t="s">
        <v>441</v>
      </c>
      <c r="J282" t="s">
        <v>442</v>
      </c>
      <c r="K282">
        <v>651818</v>
      </c>
      <c r="L282" t="s">
        <v>108</v>
      </c>
      <c r="M282" t="s">
        <v>109</v>
      </c>
      <c r="N282" t="s">
        <v>1098</v>
      </c>
      <c r="O282" t="s">
        <v>56</v>
      </c>
      <c r="P282" s="1">
        <v>45669</v>
      </c>
      <c r="Q282" s="1">
        <v>45942</v>
      </c>
      <c r="R282" s="2">
        <v>79.5</v>
      </c>
      <c r="S282">
        <v>1</v>
      </c>
      <c r="T282" t="s">
        <v>57</v>
      </c>
      <c r="U282" t="s">
        <v>58</v>
      </c>
      <c r="V282" s="4">
        <v>0.9</v>
      </c>
      <c r="W282" s="2">
        <v>0</v>
      </c>
      <c r="X282">
        <v>0</v>
      </c>
      <c r="Y282" t="s">
        <v>70</v>
      </c>
      <c r="Z282" t="s">
        <v>60</v>
      </c>
      <c r="AA282">
        <v>0</v>
      </c>
      <c r="AB282" s="2">
        <v>0</v>
      </c>
      <c r="AC282" s="2">
        <v>0</v>
      </c>
      <c r="AD282" s="4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71.55</v>
      </c>
      <c r="AN282" s="2">
        <v>71.55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45915</v>
      </c>
      <c r="B283" t="s">
        <v>47</v>
      </c>
      <c r="C283">
        <v>649163</v>
      </c>
      <c r="D283">
        <v>2027712307</v>
      </c>
      <c r="E283" t="s">
        <v>625</v>
      </c>
      <c r="F283" t="s">
        <v>979</v>
      </c>
      <c r="G283" t="s">
        <v>50</v>
      </c>
      <c r="H283" t="s">
        <v>93</v>
      </c>
      <c r="I283" t="s">
        <v>441</v>
      </c>
      <c r="J283" t="s">
        <v>442</v>
      </c>
      <c r="K283">
        <v>651818</v>
      </c>
      <c r="L283" t="s">
        <v>108</v>
      </c>
      <c r="M283" t="s">
        <v>109</v>
      </c>
      <c r="N283" t="s">
        <v>1098</v>
      </c>
      <c r="O283" t="s">
        <v>56</v>
      </c>
      <c r="P283" s="1">
        <v>45727</v>
      </c>
      <c r="Q283" s="1">
        <v>45941</v>
      </c>
      <c r="R283" s="2">
        <v>-123.44</v>
      </c>
      <c r="S283">
        <v>1</v>
      </c>
      <c r="T283" t="s">
        <v>57</v>
      </c>
      <c r="U283" t="s">
        <v>58</v>
      </c>
      <c r="V283" s="4">
        <v>0.9</v>
      </c>
      <c r="W283" s="2">
        <v>0</v>
      </c>
      <c r="X283">
        <v>-1</v>
      </c>
      <c r="Y283" t="s">
        <v>70</v>
      </c>
      <c r="Z283" t="s">
        <v>60</v>
      </c>
      <c r="AA283">
        <v>0</v>
      </c>
      <c r="AB283" s="2">
        <v>0</v>
      </c>
      <c r="AC283" s="2">
        <v>0</v>
      </c>
      <c r="AD283" s="4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-111.1</v>
      </c>
      <c r="AN283" s="2">
        <v>-111.1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45915</v>
      </c>
      <c r="B284" t="s">
        <v>47</v>
      </c>
      <c r="C284">
        <v>649163</v>
      </c>
      <c r="D284">
        <v>2027855573</v>
      </c>
      <c r="E284" t="s">
        <v>977</v>
      </c>
      <c r="F284" t="s">
        <v>538</v>
      </c>
      <c r="G284" t="s">
        <v>50</v>
      </c>
      <c r="H284" t="s">
        <v>183</v>
      </c>
      <c r="I284" t="s">
        <v>441</v>
      </c>
      <c r="J284" t="s">
        <v>445</v>
      </c>
      <c r="K284">
        <v>651818</v>
      </c>
      <c r="L284" t="s">
        <v>108</v>
      </c>
      <c r="M284" t="s">
        <v>109</v>
      </c>
      <c r="N284" t="s">
        <v>1098</v>
      </c>
      <c r="O284" t="s">
        <v>56</v>
      </c>
      <c r="P284" s="1">
        <v>45734</v>
      </c>
      <c r="Q284" s="1">
        <v>45948</v>
      </c>
      <c r="R284" s="2">
        <v>79.84</v>
      </c>
      <c r="S284">
        <v>1</v>
      </c>
      <c r="T284" t="s">
        <v>57</v>
      </c>
      <c r="U284" t="s">
        <v>58</v>
      </c>
      <c r="V284" s="4">
        <v>0.7</v>
      </c>
      <c r="W284" s="2">
        <v>0</v>
      </c>
      <c r="X284">
        <v>0</v>
      </c>
      <c r="Y284" t="s">
        <v>70</v>
      </c>
      <c r="Z284" t="s">
        <v>60</v>
      </c>
      <c r="AA284">
        <v>0</v>
      </c>
      <c r="AB284" s="2">
        <v>0</v>
      </c>
      <c r="AC284" s="2">
        <v>0</v>
      </c>
      <c r="AD284" s="4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55.89</v>
      </c>
      <c r="AN284" s="2">
        <v>55.89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45915</v>
      </c>
      <c r="B285" t="s">
        <v>47</v>
      </c>
      <c r="C285">
        <v>649163</v>
      </c>
      <c r="D285">
        <v>2018351025</v>
      </c>
      <c r="E285" t="s">
        <v>753</v>
      </c>
      <c r="F285" t="s">
        <v>171</v>
      </c>
      <c r="G285" t="s">
        <v>50</v>
      </c>
      <c r="H285" t="s">
        <v>83</v>
      </c>
      <c r="I285" t="s">
        <v>441</v>
      </c>
      <c r="J285" t="s">
        <v>442</v>
      </c>
      <c r="K285">
        <v>651818</v>
      </c>
      <c r="L285" t="s">
        <v>108</v>
      </c>
      <c r="M285" t="s">
        <v>109</v>
      </c>
      <c r="N285" t="s">
        <v>1098</v>
      </c>
      <c r="O285" t="s">
        <v>56</v>
      </c>
      <c r="P285" s="1">
        <v>45030</v>
      </c>
      <c r="Q285" s="1">
        <v>45944</v>
      </c>
      <c r="R285" s="2">
        <v>29.25</v>
      </c>
      <c r="S285">
        <v>1</v>
      </c>
      <c r="T285" t="s">
        <v>57</v>
      </c>
      <c r="U285" t="s">
        <v>58</v>
      </c>
      <c r="V285" s="4">
        <v>0.1</v>
      </c>
      <c r="W285" s="2">
        <v>0</v>
      </c>
      <c r="X285">
        <v>0</v>
      </c>
      <c r="Y285" t="s">
        <v>59</v>
      </c>
      <c r="Z285" t="s">
        <v>60</v>
      </c>
      <c r="AA285">
        <v>0</v>
      </c>
      <c r="AB285" s="2">
        <v>0</v>
      </c>
      <c r="AC285" s="2">
        <v>0</v>
      </c>
      <c r="AD285" s="4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2.92</v>
      </c>
      <c r="AN285" s="2">
        <v>2.92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45915</v>
      </c>
      <c r="B286" t="s">
        <v>47</v>
      </c>
      <c r="C286">
        <v>649163</v>
      </c>
      <c r="D286">
        <v>2018396887</v>
      </c>
      <c r="E286" t="s">
        <v>752</v>
      </c>
      <c r="F286" t="s">
        <v>751</v>
      </c>
      <c r="G286" t="s">
        <v>50</v>
      </c>
      <c r="H286" t="s">
        <v>83</v>
      </c>
      <c r="I286" t="s">
        <v>441</v>
      </c>
      <c r="J286" t="s">
        <v>442</v>
      </c>
      <c r="K286">
        <v>651818</v>
      </c>
      <c r="L286" t="s">
        <v>108</v>
      </c>
      <c r="M286" t="s">
        <v>109</v>
      </c>
      <c r="N286" t="s">
        <v>1098</v>
      </c>
      <c r="O286" t="s">
        <v>56</v>
      </c>
      <c r="P286" s="1">
        <v>45035</v>
      </c>
      <c r="Q286" s="1">
        <v>45949</v>
      </c>
      <c r="R286" s="2">
        <v>58.21</v>
      </c>
      <c r="S286">
        <v>1</v>
      </c>
      <c r="T286" t="s">
        <v>57</v>
      </c>
      <c r="U286" t="s">
        <v>58</v>
      </c>
      <c r="V286" s="4">
        <v>0.1</v>
      </c>
      <c r="W286" s="2">
        <v>0</v>
      </c>
      <c r="X286">
        <v>0</v>
      </c>
      <c r="Y286" t="s">
        <v>59</v>
      </c>
      <c r="Z286" t="s">
        <v>60</v>
      </c>
      <c r="AA286">
        <v>0</v>
      </c>
      <c r="AB286" s="2">
        <v>0</v>
      </c>
      <c r="AC286" s="2">
        <v>0</v>
      </c>
      <c r="AD286" s="4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5.82</v>
      </c>
      <c r="AN286" s="2">
        <v>5.82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45915</v>
      </c>
      <c r="B287" t="s">
        <v>47</v>
      </c>
      <c r="C287">
        <v>649163</v>
      </c>
      <c r="D287">
        <v>2018717179</v>
      </c>
      <c r="E287" t="s">
        <v>154</v>
      </c>
      <c r="F287" t="s">
        <v>750</v>
      </c>
      <c r="G287" t="s">
        <v>50</v>
      </c>
      <c r="H287" t="s">
        <v>93</v>
      </c>
      <c r="I287" t="s">
        <v>441</v>
      </c>
      <c r="J287" t="s">
        <v>442</v>
      </c>
      <c r="K287">
        <v>651818</v>
      </c>
      <c r="L287" t="s">
        <v>108</v>
      </c>
      <c r="M287" t="s">
        <v>109</v>
      </c>
      <c r="N287" t="s">
        <v>1098</v>
      </c>
      <c r="O287" t="s">
        <v>56</v>
      </c>
      <c r="P287" s="1">
        <v>45065</v>
      </c>
      <c r="Q287" s="1">
        <v>45949</v>
      </c>
      <c r="R287" s="2">
        <v>123.44</v>
      </c>
      <c r="S287">
        <v>1</v>
      </c>
      <c r="T287" t="s">
        <v>57</v>
      </c>
      <c r="U287" t="s">
        <v>58</v>
      </c>
      <c r="V287" s="4">
        <v>0.1</v>
      </c>
      <c r="W287" s="2">
        <v>0</v>
      </c>
      <c r="X287">
        <v>0</v>
      </c>
      <c r="Y287" t="s">
        <v>59</v>
      </c>
      <c r="Z287" t="s">
        <v>60</v>
      </c>
      <c r="AA287">
        <v>0</v>
      </c>
      <c r="AB287" s="2">
        <v>0</v>
      </c>
      <c r="AC287" s="2">
        <v>0</v>
      </c>
      <c r="AD287" s="4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12.34</v>
      </c>
      <c r="AN287" s="2">
        <v>12.34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45915</v>
      </c>
      <c r="B288" t="s">
        <v>47</v>
      </c>
      <c r="D288">
        <v>2020780791</v>
      </c>
      <c r="E288" t="s">
        <v>746</v>
      </c>
      <c r="F288" t="s">
        <v>745</v>
      </c>
      <c r="G288" t="s">
        <v>50</v>
      </c>
      <c r="H288" t="s">
        <v>93</v>
      </c>
      <c r="I288" t="s">
        <v>441</v>
      </c>
      <c r="J288" t="s">
        <v>545</v>
      </c>
      <c r="L288" t="s">
        <v>108</v>
      </c>
      <c r="M288" t="s">
        <v>109</v>
      </c>
      <c r="N288" t="s">
        <v>1098</v>
      </c>
      <c r="O288" t="s">
        <v>56</v>
      </c>
      <c r="P288" s="1">
        <v>45245</v>
      </c>
      <c r="Q288" s="1">
        <v>45945</v>
      </c>
      <c r="R288" s="2">
        <v>25.73</v>
      </c>
      <c r="S288">
        <v>1</v>
      </c>
      <c r="T288" t="s">
        <v>57</v>
      </c>
      <c r="U288" t="s">
        <v>58</v>
      </c>
      <c r="V288" s="4">
        <v>0.15</v>
      </c>
      <c r="W288" s="2">
        <v>0</v>
      </c>
      <c r="X288">
        <v>0</v>
      </c>
      <c r="Y288" t="s">
        <v>59</v>
      </c>
      <c r="Z288" t="s">
        <v>60</v>
      </c>
      <c r="AA288">
        <v>0</v>
      </c>
      <c r="AB288" s="2">
        <v>0</v>
      </c>
      <c r="AC288" s="2">
        <v>0</v>
      </c>
      <c r="AD288" s="4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3.86</v>
      </c>
      <c r="AN288" s="2">
        <v>3.86</v>
      </c>
      <c r="AO288" s="2">
        <v>0</v>
      </c>
      <c r="AP288" s="2">
        <v>0</v>
      </c>
      <c r="AQ288" s="2">
        <v>0</v>
      </c>
    </row>
    <row r="289" spans="1:44" x14ac:dyDescent="0.25">
      <c r="A289" s="1">
        <v>45915</v>
      </c>
      <c r="B289" t="s">
        <v>47</v>
      </c>
      <c r="C289">
        <v>649163</v>
      </c>
      <c r="D289">
        <v>2020780792</v>
      </c>
      <c r="E289" t="s">
        <v>746</v>
      </c>
      <c r="F289" t="s">
        <v>745</v>
      </c>
      <c r="G289" t="s">
        <v>50</v>
      </c>
      <c r="H289" t="s">
        <v>93</v>
      </c>
      <c r="I289" t="s">
        <v>441</v>
      </c>
      <c r="J289" t="s">
        <v>442</v>
      </c>
      <c r="K289">
        <v>651818</v>
      </c>
      <c r="L289" t="s">
        <v>108</v>
      </c>
      <c r="M289" t="s">
        <v>109</v>
      </c>
      <c r="N289" t="s">
        <v>1098</v>
      </c>
      <c r="O289" t="s">
        <v>56</v>
      </c>
      <c r="P289" s="1">
        <v>45245</v>
      </c>
      <c r="Q289" s="1">
        <v>45945</v>
      </c>
      <c r="R289" s="2">
        <v>51.63</v>
      </c>
      <c r="S289">
        <v>1</v>
      </c>
      <c r="T289" t="s">
        <v>57</v>
      </c>
      <c r="U289" t="s">
        <v>58</v>
      </c>
      <c r="V289" s="4">
        <v>0.1</v>
      </c>
      <c r="W289" s="2">
        <v>0</v>
      </c>
      <c r="X289">
        <v>0</v>
      </c>
      <c r="Y289" t="s">
        <v>59</v>
      </c>
      <c r="Z289" t="s">
        <v>60</v>
      </c>
      <c r="AA289">
        <v>0</v>
      </c>
      <c r="AB289" s="2">
        <v>0</v>
      </c>
      <c r="AC289" s="2">
        <v>0</v>
      </c>
      <c r="AD289" s="4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5.16</v>
      </c>
      <c r="AN289" s="2">
        <v>5.16</v>
      </c>
      <c r="AO289" s="2">
        <v>0</v>
      </c>
      <c r="AP289" s="2">
        <v>0</v>
      </c>
      <c r="AQ289" s="2">
        <v>0</v>
      </c>
    </row>
    <row r="290" spans="1:44" x14ac:dyDescent="0.25">
      <c r="A290" s="1">
        <v>45915</v>
      </c>
      <c r="B290" t="s">
        <v>47</v>
      </c>
      <c r="C290">
        <v>649163</v>
      </c>
      <c r="D290">
        <v>2021598259</v>
      </c>
      <c r="E290" t="s">
        <v>742</v>
      </c>
      <c r="F290" t="s">
        <v>741</v>
      </c>
      <c r="G290" t="s">
        <v>50</v>
      </c>
      <c r="H290" t="s">
        <v>93</v>
      </c>
      <c r="I290" t="s">
        <v>441</v>
      </c>
      <c r="J290" t="s">
        <v>442</v>
      </c>
      <c r="K290">
        <v>651818</v>
      </c>
      <c r="L290" t="s">
        <v>108</v>
      </c>
      <c r="M290" t="s">
        <v>109</v>
      </c>
      <c r="N290" t="s">
        <v>1098</v>
      </c>
      <c r="O290" t="s">
        <v>56</v>
      </c>
      <c r="P290" s="1">
        <v>45341</v>
      </c>
      <c r="Q290" s="1">
        <v>45949</v>
      </c>
      <c r="R290" s="2">
        <v>163.25</v>
      </c>
      <c r="S290">
        <v>1</v>
      </c>
      <c r="T290" t="s">
        <v>57</v>
      </c>
      <c r="U290" t="s">
        <v>58</v>
      </c>
      <c r="V290" s="4">
        <v>0.1</v>
      </c>
      <c r="W290" s="2">
        <v>0</v>
      </c>
      <c r="X290">
        <v>0</v>
      </c>
      <c r="Y290" t="s">
        <v>59</v>
      </c>
      <c r="Z290" t="s">
        <v>60</v>
      </c>
      <c r="AA290">
        <v>0</v>
      </c>
      <c r="AB290" s="2">
        <v>0</v>
      </c>
      <c r="AC290" s="2">
        <v>0</v>
      </c>
      <c r="AD290" s="4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16.32</v>
      </c>
      <c r="AN290" s="2">
        <v>16.32</v>
      </c>
      <c r="AO290" s="2">
        <v>0</v>
      </c>
      <c r="AP290" s="2">
        <v>0</v>
      </c>
      <c r="AQ290" s="2">
        <v>0</v>
      </c>
    </row>
    <row r="291" spans="1:44" x14ac:dyDescent="0.25">
      <c r="A291" s="1">
        <v>45915</v>
      </c>
      <c r="B291" t="s">
        <v>47</v>
      </c>
      <c r="C291">
        <v>649163</v>
      </c>
      <c r="D291">
        <v>2022748694</v>
      </c>
      <c r="E291" t="s">
        <v>739</v>
      </c>
      <c r="F291" t="s">
        <v>123</v>
      </c>
      <c r="G291" t="s">
        <v>50</v>
      </c>
      <c r="H291" t="s">
        <v>51</v>
      </c>
      <c r="I291" t="s">
        <v>441</v>
      </c>
      <c r="J291" t="s">
        <v>442</v>
      </c>
      <c r="K291">
        <v>651818</v>
      </c>
      <c r="L291" t="s">
        <v>108</v>
      </c>
      <c r="M291" t="s">
        <v>109</v>
      </c>
      <c r="N291" t="s">
        <v>1098</v>
      </c>
      <c r="O291" t="s">
        <v>56</v>
      </c>
      <c r="P291" s="1">
        <v>45400</v>
      </c>
      <c r="Q291" s="1">
        <v>45948</v>
      </c>
      <c r="R291" s="2">
        <v>112.25</v>
      </c>
      <c r="S291">
        <v>1</v>
      </c>
      <c r="T291" t="s">
        <v>57</v>
      </c>
      <c r="U291" t="s">
        <v>58</v>
      </c>
      <c r="V291" s="4">
        <v>0.1</v>
      </c>
      <c r="W291" s="2">
        <v>0</v>
      </c>
      <c r="X291">
        <v>0</v>
      </c>
      <c r="Y291" t="s">
        <v>59</v>
      </c>
      <c r="Z291" t="s">
        <v>60</v>
      </c>
      <c r="AA291">
        <v>0</v>
      </c>
      <c r="AB291" s="2">
        <v>0</v>
      </c>
      <c r="AC291" s="2">
        <v>0</v>
      </c>
      <c r="AD291" s="4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11.22</v>
      </c>
      <c r="AN291" s="2">
        <v>11.22</v>
      </c>
      <c r="AO291" s="2">
        <v>0</v>
      </c>
      <c r="AP291" s="2">
        <v>0</v>
      </c>
      <c r="AQ291" s="2">
        <v>0</v>
      </c>
    </row>
    <row r="292" spans="1:44" x14ac:dyDescent="0.25">
      <c r="A292" s="1">
        <v>45915</v>
      </c>
      <c r="B292" t="s">
        <v>602</v>
      </c>
      <c r="C292">
        <v>649163</v>
      </c>
      <c r="D292">
        <v>2030868834</v>
      </c>
      <c r="E292" t="s">
        <v>234</v>
      </c>
      <c r="F292" t="s">
        <v>109</v>
      </c>
      <c r="G292" t="s">
        <v>50</v>
      </c>
      <c r="I292" t="s">
        <v>106</v>
      </c>
      <c r="J292" t="s">
        <v>107</v>
      </c>
      <c r="K292">
        <v>649163</v>
      </c>
      <c r="L292" t="s">
        <v>108</v>
      </c>
      <c r="M292" t="s">
        <v>109</v>
      </c>
      <c r="N292" t="s">
        <v>1098</v>
      </c>
      <c r="O292" t="s">
        <v>230</v>
      </c>
      <c r="P292" s="1">
        <v>45906</v>
      </c>
      <c r="R292" s="2">
        <v>0</v>
      </c>
      <c r="AB292" s="2">
        <v>1307.07</v>
      </c>
      <c r="AC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217.85</v>
      </c>
      <c r="AN292" s="2">
        <v>-1089.22</v>
      </c>
      <c r="AO292" s="2">
        <v>-1089.22</v>
      </c>
      <c r="AP292" s="2">
        <v>0</v>
      </c>
      <c r="AQ292" s="2">
        <v>0</v>
      </c>
      <c r="AR292" t="s">
        <v>605</v>
      </c>
    </row>
    <row r="293" spans="1:44" x14ac:dyDescent="0.25">
      <c r="A293" s="1">
        <v>45922</v>
      </c>
      <c r="B293" t="s">
        <v>47</v>
      </c>
      <c r="C293">
        <v>649163</v>
      </c>
      <c r="D293">
        <v>2026262566</v>
      </c>
      <c r="E293" t="s">
        <v>139</v>
      </c>
      <c r="F293" t="s">
        <v>140</v>
      </c>
      <c r="G293" t="s">
        <v>50</v>
      </c>
      <c r="H293" t="s">
        <v>141</v>
      </c>
      <c r="I293" t="s">
        <v>106</v>
      </c>
      <c r="J293" t="s">
        <v>107</v>
      </c>
      <c r="K293">
        <v>816021</v>
      </c>
      <c r="L293" t="s">
        <v>142</v>
      </c>
      <c r="M293" t="s">
        <v>143</v>
      </c>
      <c r="N293" t="s">
        <v>1107</v>
      </c>
      <c r="O293" t="s">
        <v>56</v>
      </c>
      <c r="P293" s="1">
        <v>45647</v>
      </c>
      <c r="Q293" s="1">
        <v>45951</v>
      </c>
      <c r="R293" s="2">
        <v>31.71</v>
      </c>
      <c r="S293">
        <v>1</v>
      </c>
      <c r="T293" t="s">
        <v>57</v>
      </c>
      <c r="U293" t="s">
        <v>58</v>
      </c>
      <c r="V293" s="4">
        <v>0.9</v>
      </c>
      <c r="W293" s="2">
        <v>0</v>
      </c>
      <c r="X293">
        <v>0</v>
      </c>
      <c r="Y293" t="s">
        <v>70</v>
      </c>
      <c r="Z293" t="s">
        <v>60</v>
      </c>
      <c r="AA293">
        <v>0</v>
      </c>
      <c r="AB293" s="2">
        <v>0</v>
      </c>
      <c r="AC293" s="2">
        <v>0</v>
      </c>
      <c r="AD293" s="4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28.54</v>
      </c>
      <c r="AN293" s="2">
        <v>28.54</v>
      </c>
      <c r="AO293" s="2">
        <v>0</v>
      </c>
      <c r="AP293" s="2">
        <v>0</v>
      </c>
      <c r="AQ293" s="2">
        <v>0</v>
      </c>
    </row>
    <row r="294" spans="1:44" x14ac:dyDescent="0.25">
      <c r="A294" s="1">
        <v>45922</v>
      </c>
      <c r="B294" t="s">
        <v>47</v>
      </c>
      <c r="C294">
        <v>649163</v>
      </c>
      <c r="D294">
        <v>2026295211</v>
      </c>
      <c r="E294" t="s">
        <v>144</v>
      </c>
      <c r="F294" t="s">
        <v>145</v>
      </c>
      <c r="G294" t="s">
        <v>50</v>
      </c>
      <c r="H294" t="s">
        <v>141</v>
      </c>
      <c r="I294" t="s">
        <v>106</v>
      </c>
      <c r="J294" t="s">
        <v>146</v>
      </c>
      <c r="K294">
        <v>816021</v>
      </c>
      <c r="L294" t="s">
        <v>142</v>
      </c>
      <c r="M294" t="s">
        <v>143</v>
      </c>
      <c r="N294" t="s">
        <v>1107</v>
      </c>
      <c r="O294" t="s">
        <v>56</v>
      </c>
      <c r="P294" s="1">
        <v>45650</v>
      </c>
      <c r="Q294" s="1">
        <v>45954</v>
      </c>
      <c r="R294" s="2">
        <v>42.22</v>
      </c>
      <c r="S294">
        <v>1</v>
      </c>
      <c r="T294" t="s">
        <v>57</v>
      </c>
      <c r="U294" t="s">
        <v>58</v>
      </c>
      <c r="V294" s="4">
        <v>0.65</v>
      </c>
      <c r="W294" s="2">
        <v>0</v>
      </c>
      <c r="X294">
        <v>0</v>
      </c>
      <c r="Y294" t="s">
        <v>70</v>
      </c>
      <c r="Z294" t="s">
        <v>60</v>
      </c>
      <c r="AA294">
        <v>0</v>
      </c>
      <c r="AB294" s="2">
        <v>0</v>
      </c>
      <c r="AC294" s="2">
        <v>0</v>
      </c>
      <c r="AD294" s="4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27.44</v>
      </c>
      <c r="AN294" s="2">
        <v>27.44</v>
      </c>
      <c r="AO294" s="2">
        <v>0</v>
      </c>
      <c r="AP294" s="2">
        <v>0</v>
      </c>
      <c r="AQ294" s="2">
        <v>0</v>
      </c>
    </row>
    <row r="295" spans="1:44" x14ac:dyDescent="0.25">
      <c r="A295" s="1">
        <v>45922</v>
      </c>
      <c r="B295" t="s">
        <v>47</v>
      </c>
      <c r="C295">
        <v>649163</v>
      </c>
      <c r="D295">
        <v>2027010992</v>
      </c>
      <c r="E295" t="s">
        <v>154</v>
      </c>
      <c r="F295" t="s">
        <v>155</v>
      </c>
      <c r="G295" t="s">
        <v>50</v>
      </c>
      <c r="H295" t="s">
        <v>141</v>
      </c>
      <c r="I295" t="s">
        <v>106</v>
      </c>
      <c r="J295" t="s">
        <v>146</v>
      </c>
      <c r="K295">
        <v>816021</v>
      </c>
      <c r="L295" t="s">
        <v>142</v>
      </c>
      <c r="M295" t="s">
        <v>143</v>
      </c>
      <c r="N295" t="s">
        <v>1107</v>
      </c>
      <c r="O295" t="s">
        <v>56</v>
      </c>
      <c r="P295" s="1">
        <v>45697</v>
      </c>
      <c r="Q295" s="1">
        <v>45939</v>
      </c>
      <c r="R295" s="2">
        <v>47.01</v>
      </c>
      <c r="S295">
        <v>1</v>
      </c>
      <c r="T295" t="s">
        <v>57</v>
      </c>
      <c r="U295" t="s">
        <v>58</v>
      </c>
      <c r="V295" s="4">
        <v>0.65</v>
      </c>
      <c r="W295" s="2">
        <v>0</v>
      </c>
      <c r="X295">
        <v>0</v>
      </c>
      <c r="Y295" t="s">
        <v>70</v>
      </c>
      <c r="Z295" t="s">
        <v>60</v>
      </c>
      <c r="AA295">
        <v>0</v>
      </c>
      <c r="AB295" s="2">
        <v>0</v>
      </c>
      <c r="AC295" s="2">
        <v>0</v>
      </c>
      <c r="AD295" s="4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30.56</v>
      </c>
      <c r="AN295" s="2">
        <v>30.56</v>
      </c>
      <c r="AO295" s="2">
        <v>0</v>
      </c>
      <c r="AP295" s="2">
        <v>0</v>
      </c>
      <c r="AQ295" s="2">
        <v>0</v>
      </c>
    </row>
    <row r="296" spans="1:44" x14ac:dyDescent="0.25">
      <c r="A296" s="1">
        <v>45922</v>
      </c>
      <c r="B296" t="s">
        <v>47</v>
      </c>
      <c r="C296">
        <v>649163</v>
      </c>
      <c r="D296">
        <v>2027867339</v>
      </c>
      <c r="E296" t="s">
        <v>164</v>
      </c>
      <c r="F296" t="s">
        <v>165</v>
      </c>
      <c r="G296" t="s">
        <v>50</v>
      </c>
      <c r="H296" t="s">
        <v>141</v>
      </c>
      <c r="I296" t="s">
        <v>106</v>
      </c>
      <c r="J296" t="s">
        <v>107</v>
      </c>
      <c r="K296">
        <v>816021</v>
      </c>
      <c r="L296" t="s">
        <v>142</v>
      </c>
      <c r="M296" t="s">
        <v>143</v>
      </c>
      <c r="N296" t="s">
        <v>1107</v>
      </c>
      <c r="O296" t="s">
        <v>56</v>
      </c>
      <c r="P296" s="1">
        <v>45736</v>
      </c>
      <c r="Q296" s="1">
        <v>45950</v>
      </c>
      <c r="R296" s="2">
        <v>59.42</v>
      </c>
      <c r="S296">
        <v>1</v>
      </c>
      <c r="T296" t="s">
        <v>57</v>
      </c>
      <c r="U296" t="s">
        <v>58</v>
      </c>
      <c r="V296" s="4">
        <v>0.9</v>
      </c>
      <c r="W296" s="2">
        <v>0</v>
      </c>
      <c r="X296">
        <v>0</v>
      </c>
      <c r="Y296" t="s">
        <v>70</v>
      </c>
      <c r="Z296" t="s">
        <v>60</v>
      </c>
      <c r="AA296">
        <v>0</v>
      </c>
      <c r="AB296" s="2">
        <v>0</v>
      </c>
      <c r="AC296" s="2">
        <v>0</v>
      </c>
      <c r="AD296" s="4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53.48</v>
      </c>
      <c r="AN296" s="2">
        <v>53.48</v>
      </c>
      <c r="AO296" s="2">
        <v>0</v>
      </c>
      <c r="AP296" s="2">
        <v>0</v>
      </c>
      <c r="AQ296" s="2">
        <v>0</v>
      </c>
    </row>
    <row r="297" spans="1:44" x14ac:dyDescent="0.25">
      <c r="A297" s="1">
        <v>45922</v>
      </c>
      <c r="B297" t="s">
        <v>47</v>
      </c>
      <c r="C297">
        <v>649163</v>
      </c>
      <c r="D297">
        <v>2027913474</v>
      </c>
      <c r="E297" t="s">
        <v>166</v>
      </c>
      <c r="F297" t="s">
        <v>167</v>
      </c>
      <c r="G297" t="s">
        <v>50</v>
      </c>
      <c r="H297" t="s">
        <v>141</v>
      </c>
      <c r="I297" t="s">
        <v>106</v>
      </c>
      <c r="J297" t="s">
        <v>107</v>
      </c>
      <c r="K297">
        <v>816021</v>
      </c>
      <c r="L297" t="s">
        <v>142</v>
      </c>
      <c r="M297" t="s">
        <v>143</v>
      </c>
      <c r="N297" t="s">
        <v>1107</v>
      </c>
      <c r="O297" t="s">
        <v>56</v>
      </c>
      <c r="P297" s="1">
        <v>45738</v>
      </c>
      <c r="Q297" s="1">
        <v>45952</v>
      </c>
      <c r="R297" s="2">
        <v>111.54</v>
      </c>
      <c r="S297">
        <v>1</v>
      </c>
      <c r="T297" t="s">
        <v>57</v>
      </c>
      <c r="U297" t="s">
        <v>58</v>
      </c>
      <c r="V297" s="4">
        <v>0.9</v>
      </c>
      <c r="W297" s="2">
        <v>0</v>
      </c>
      <c r="X297">
        <v>0</v>
      </c>
      <c r="Y297" t="s">
        <v>70</v>
      </c>
      <c r="Z297" t="s">
        <v>60</v>
      </c>
      <c r="AA297">
        <v>0</v>
      </c>
      <c r="AB297" s="2">
        <v>0</v>
      </c>
      <c r="AC297" s="2">
        <v>0</v>
      </c>
      <c r="AD297" s="4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100.39</v>
      </c>
      <c r="AN297" s="2">
        <v>100.39</v>
      </c>
      <c r="AO297" s="2">
        <v>0</v>
      </c>
      <c r="AP297" s="2">
        <v>0</v>
      </c>
      <c r="AQ297" s="2">
        <v>0</v>
      </c>
    </row>
    <row r="298" spans="1:44" x14ac:dyDescent="0.25">
      <c r="A298" s="1">
        <v>45922</v>
      </c>
      <c r="B298" t="s">
        <v>47</v>
      </c>
      <c r="C298">
        <v>649163</v>
      </c>
      <c r="D298">
        <v>2028004036</v>
      </c>
      <c r="E298" t="s">
        <v>172</v>
      </c>
      <c r="F298" t="s">
        <v>173</v>
      </c>
      <c r="G298" t="s">
        <v>50</v>
      </c>
      <c r="H298" t="s">
        <v>141</v>
      </c>
      <c r="I298" t="s">
        <v>106</v>
      </c>
      <c r="J298" t="s">
        <v>146</v>
      </c>
      <c r="K298">
        <v>816021</v>
      </c>
      <c r="L298" t="s">
        <v>142</v>
      </c>
      <c r="M298" t="s">
        <v>143</v>
      </c>
      <c r="N298" t="s">
        <v>1107</v>
      </c>
      <c r="O298" t="s">
        <v>56</v>
      </c>
      <c r="P298" s="1">
        <v>45741</v>
      </c>
      <c r="Q298" s="1">
        <v>45955</v>
      </c>
      <c r="R298" s="2">
        <v>21.96</v>
      </c>
      <c r="S298">
        <v>1</v>
      </c>
      <c r="T298" t="s">
        <v>57</v>
      </c>
      <c r="U298" t="s">
        <v>58</v>
      </c>
      <c r="V298" s="4">
        <v>0.65</v>
      </c>
      <c r="W298" s="2">
        <v>0</v>
      </c>
      <c r="X298">
        <v>0</v>
      </c>
      <c r="Y298" t="s">
        <v>70</v>
      </c>
      <c r="Z298" t="s">
        <v>60</v>
      </c>
      <c r="AA298">
        <v>0</v>
      </c>
      <c r="AB298" s="2">
        <v>0</v>
      </c>
      <c r="AC298" s="2">
        <v>0</v>
      </c>
      <c r="AD298" s="4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14.27</v>
      </c>
      <c r="AN298" s="2">
        <v>14.27</v>
      </c>
      <c r="AO298" s="2">
        <v>0</v>
      </c>
      <c r="AP298" s="2">
        <v>0</v>
      </c>
      <c r="AQ298" s="2">
        <v>0</v>
      </c>
    </row>
    <row r="299" spans="1:44" x14ac:dyDescent="0.25">
      <c r="A299" s="1">
        <v>45922</v>
      </c>
      <c r="B299" t="s">
        <v>47</v>
      </c>
      <c r="C299">
        <v>649163</v>
      </c>
      <c r="D299">
        <v>2028466943</v>
      </c>
      <c r="E299" t="s">
        <v>176</v>
      </c>
      <c r="F299" t="s">
        <v>177</v>
      </c>
      <c r="G299" t="s">
        <v>50</v>
      </c>
      <c r="H299" t="s">
        <v>141</v>
      </c>
      <c r="I299" t="s">
        <v>106</v>
      </c>
      <c r="J299" t="s">
        <v>107</v>
      </c>
      <c r="K299">
        <v>816021</v>
      </c>
      <c r="L299" t="s">
        <v>142</v>
      </c>
      <c r="M299" t="s">
        <v>143</v>
      </c>
      <c r="N299" t="s">
        <v>1107</v>
      </c>
      <c r="O299" t="s">
        <v>56</v>
      </c>
      <c r="P299" s="1">
        <v>45767</v>
      </c>
      <c r="Q299" s="1">
        <v>45950</v>
      </c>
      <c r="R299" s="2">
        <v>31.08</v>
      </c>
      <c r="S299">
        <v>1</v>
      </c>
      <c r="T299" t="s">
        <v>57</v>
      </c>
      <c r="U299" t="s">
        <v>58</v>
      </c>
      <c r="V299" s="4">
        <v>0.9</v>
      </c>
      <c r="W299" s="2">
        <v>0</v>
      </c>
      <c r="X299">
        <v>0</v>
      </c>
      <c r="Y299" t="s">
        <v>70</v>
      </c>
      <c r="Z299" t="s">
        <v>60</v>
      </c>
      <c r="AA299">
        <v>0</v>
      </c>
      <c r="AB299" s="2">
        <v>0</v>
      </c>
      <c r="AC299" s="2">
        <v>0</v>
      </c>
      <c r="AD299" s="4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27.97</v>
      </c>
      <c r="AN299" s="2">
        <v>27.97</v>
      </c>
      <c r="AO299" s="2">
        <v>0</v>
      </c>
      <c r="AP299" s="2">
        <v>0</v>
      </c>
      <c r="AQ299" s="2">
        <v>0</v>
      </c>
    </row>
    <row r="300" spans="1:44" x14ac:dyDescent="0.25">
      <c r="A300" s="1">
        <v>45922</v>
      </c>
      <c r="B300" t="s">
        <v>47</v>
      </c>
      <c r="C300">
        <v>649163</v>
      </c>
      <c r="D300">
        <v>2027867337</v>
      </c>
      <c r="E300" t="s">
        <v>164</v>
      </c>
      <c r="F300" t="s">
        <v>165</v>
      </c>
      <c r="G300" t="s">
        <v>50</v>
      </c>
      <c r="H300" t="s">
        <v>141</v>
      </c>
      <c r="I300" t="s">
        <v>306</v>
      </c>
      <c r="J300" t="s">
        <v>307</v>
      </c>
      <c r="K300">
        <v>816021</v>
      </c>
      <c r="L300" t="s">
        <v>142</v>
      </c>
      <c r="M300" t="s">
        <v>143</v>
      </c>
      <c r="N300" t="s">
        <v>1107</v>
      </c>
      <c r="O300" t="s">
        <v>56</v>
      </c>
      <c r="P300" s="1">
        <v>45736</v>
      </c>
      <c r="Q300" s="1">
        <v>45950</v>
      </c>
      <c r="R300" s="2">
        <v>45.39</v>
      </c>
      <c r="S300">
        <v>1</v>
      </c>
      <c r="T300" t="s">
        <v>57</v>
      </c>
      <c r="U300" t="s">
        <v>58</v>
      </c>
      <c r="V300" s="3">
        <v>0.375</v>
      </c>
      <c r="W300" s="2">
        <v>0</v>
      </c>
      <c r="X300">
        <v>0</v>
      </c>
      <c r="Y300" t="s">
        <v>70</v>
      </c>
      <c r="Z300" t="s">
        <v>60</v>
      </c>
      <c r="AA300">
        <v>0</v>
      </c>
      <c r="AB300" s="2">
        <v>0</v>
      </c>
      <c r="AC300" s="2">
        <v>0</v>
      </c>
      <c r="AD300" s="4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17.02</v>
      </c>
      <c r="AN300" s="2">
        <v>17.02</v>
      </c>
      <c r="AO300" s="2">
        <v>0</v>
      </c>
      <c r="AP300" s="2">
        <v>0</v>
      </c>
      <c r="AQ300" s="2">
        <v>0</v>
      </c>
    </row>
    <row r="301" spans="1:44" x14ac:dyDescent="0.25">
      <c r="A301" s="1">
        <v>45922</v>
      </c>
      <c r="B301" t="s">
        <v>47</v>
      </c>
      <c r="C301">
        <v>649163</v>
      </c>
      <c r="D301">
        <v>2028466946</v>
      </c>
      <c r="E301" t="s">
        <v>176</v>
      </c>
      <c r="F301" t="s">
        <v>177</v>
      </c>
      <c r="G301" t="s">
        <v>50</v>
      </c>
      <c r="H301" t="s">
        <v>141</v>
      </c>
      <c r="I301" t="s">
        <v>306</v>
      </c>
      <c r="J301" t="s">
        <v>307</v>
      </c>
      <c r="K301">
        <v>816021</v>
      </c>
      <c r="L301" t="s">
        <v>142</v>
      </c>
      <c r="M301" t="s">
        <v>143</v>
      </c>
      <c r="N301" t="s">
        <v>1107</v>
      </c>
      <c r="O301" t="s">
        <v>56</v>
      </c>
      <c r="P301" s="1">
        <v>45767</v>
      </c>
      <c r="Q301" s="1">
        <v>45950</v>
      </c>
      <c r="R301" s="2">
        <v>38.74</v>
      </c>
      <c r="S301">
        <v>1</v>
      </c>
      <c r="T301" t="s">
        <v>57</v>
      </c>
      <c r="U301" t="s">
        <v>58</v>
      </c>
      <c r="V301" s="3">
        <v>0.375</v>
      </c>
      <c r="W301" s="2">
        <v>0</v>
      </c>
      <c r="X301">
        <v>0</v>
      </c>
      <c r="Y301" t="s">
        <v>70</v>
      </c>
      <c r="Z301" t="s">
        <v>60</v>
      </c>
      <c r="AA301">
        <v>0</v>
      </c>
      <c r="AB301" s="2">
        <v>0</v>
      </c>
      <c r="AC301" s="2">
        <v>0</v>
      </c>
      <c r="AD301" s="4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14.53</v>
      </c>
      <c r="AN301" s="2">
        <v>14.53</v>
      </c>
      <c r="AO301" s="2">
        <v>0</v>
      </c>
      <c r="AP301" s="2">
        <v>0</v>
      </c>
      <c r="AQ301" s="2">
        <v>0</v>
      </c>
    </row>
    <row r="302" spans="1:44" x14ac:dyDescent="0.25">
      <c r="A302" s="1">
        <v>45922</v>
      </c>
      <c r="B302" t="s">
        <v>47</v>
      </c>
      <c r="C302">
        <v>649163</v>
      </c>
      <c r="D302">
        <v>2026262564</v>
      </c>
      <c r="E302" t="s">
        <v>139</v>
      </c>
      <c r="F302" t="s">
        <v>140</v>
      </c>
      <c r="G302" t="s">
        <v>50</v>
      </c>
      <c r="H302" t="s">
        <v>141</v>
      </c>
      <c r="I302" t="s">
        <v>430</v>
      </c>
      <c r="J302" t="s">
        <v>431</v>
      </c>
      <c r="K302">
        <v>816021</v>
      </c>
      <c r="L302" t="s">
        <v>142</v>
      </c>
      <c r="M302" t="s">
        <v>143</v>
      </c>
      <c r="N302" t="s">
        <v>1107</v>
      </c>
      <c r="O302" t="s">
        <v>56</v>
      </c>
      <c r="P302" s="1">
        <v>45647</v>
      </c>
      <c r="Q302" s="1">
        <v>45951</v>
      </c>
      <c r="R302" s="2">
        <v>16.91</v>
      </c>
      <c r="S302">
        <v>1</v>
      </c>
      <c r="T302" t="s">
        <v>57</v>
      </c>
      <c r="U302" t="s">
        <v>58</v>
      </c>
      <c r="V302" s="4">
        <v>0.38</v>
      </c>
      <c r="W302" s="2">
        <v>0</v>
      </c>
      <c r="X302">
        <v>0</v>
      </c>
      <c r="Y302" t="s">
        <v>70</v>
      </c>
      <c r="Z302" t="s">
        <v>60</v>
      </c>
      <c r="AA302">
        <v>0</v>
      </c>
      <c r="AB302" s="2">
        <v>0</v>
      </c>
      <c r="AC302" s="2">
        <v>0</v>
      </c>
      <c r="AD302" s="4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6.43</v>
      </c>
      <c r="AN302" s="2">
        <v>6.43</v>
      </c>
      <c r="AO302" s="2">
        <v>0</v>
      </c>
      <c r="AP302" s="2">
        <v>0</v>
      </c>
      <c r="AQ302" s="2">
        <v>0</v>
      </c>
    </row>
    <row r="303" spans="1:44" x14ac:dyDescent="0.25">
      <c r="A303" s="1">
        <v>45922</v>
      </c>
      <c r="B303" t="s">
        <v>47</v>
      </c>
      <c r="C303">
        <v>649163</v>
      </c>
      <c r="D303">
        <v>2027010990</v>
      </c>
      <c r="E303" t="s">
        <v>154</v>
      </c>
      <c r="F303" t="s">
        <v>155</v>
      </c>
      <c r="G303" t="s">
        <v>50</v>
      </c>
      <c r="H303" t="s">
        <v>141</v>
      </c>
      <c r="I303" t="s">
        <v>430</v>
      </c>
      <c r="J303" t="s">
        <v>431</v>
      </c>
      <c r="K303">
        <v>816021</v>
      </c>
      <c r="L303" t="s">
        <v>142</v>
      </c>
      <c r="M303" t="s">
        <v>143</v>
      </c>
      <c r="N303" t="s">
        <v>1107</v>
      </c>
      <c r="O303" t="s">
        <v>56</v>
      </c>
      <c r="P303" s="1">
        <v>45697</v>
      </c>
      <c r="Q303" s="1">
        <v>45939</v>
      </c>
      <c r="R303" s="2">
        <v>29.31</v>
      </c>
      <c r="S303">
        <v>1</v>
      </c>
      <c r="T303" t="s">
        <v>57</v>
      </c>
      <c r="U303" t="s">
        <v>58</v>
      </c>
      <c r="V303" s="4">
        <v>0.38</v>
      </c>
      <c r="W303" s="2">
        <v>0</v>
      </c>
      <c r="X303">
        <v>0</v>
      </c>
      <c r="Y303" t="s">
        <v>70</v>
      </c>
      <c r="Z303" t="s">
        <v>60</v>
      </c>
      <c r="AA303">
        <v>0</v>
      </c>
      <c r="AB303" s="2">
        <v>0</v>
      </c>
      <c r="AC303" s="2">
        <v>0</v>
      </c>
      <c r="AD303" s="4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11.14</v>
      </c>
      <c r="AN303" s="2">
        <v>11.14</v>
      </c>
      <c r="AO303" s="2">
        <v>0</v>
      </c>
      <c r="AP303" s="2">
        <v>0</v>
      </c>
      <c r="AQ303" s="2">
        <v>0</v>
      </c>
    </row>
    <row r="304" spans="1:44" x14ac:dyDescent="0.25">
      <c r="A304" s="1">
        <v>45922</v>
      </c>
      <c r="B304" t="s">
        <v>47</v>
      </c>
      <c r="C304">
        <v>649163</v>
      </c>
      <c r="D304">
        <v>2027867340</v>
      </c>
      <c r="E304" t="s">
        <v>164</v>
      </c>
      <c r="F304" t="s">
        <v>165</v>
      </c>
      <c r="G304" t="s">
        <v>50</v>
      </c>
      <c r="H304" t="s">
        <v>141</v>
      </c>
      <c r="I304" t="s">
        <v>430</v>
      </c>
      <c r="J304" t="s">
        <v>431</v>
      </c>
      <c r="K304">
        <v>816021</v>
      </c>
      <c r="L304" t="s">
        <v>142</v>
      </c>
      <c r="M304" t="s">
        <v>143</v>
      </c>
      <c r="N304" t="s">
        <v>1107</v>
      </c>
      <c r="O304" t="s">
        <v>56</v>
      </c>
      <c r="P304" s="1">
        <v>45736</v>
      </c>
      <c r="Q304" s="1">
        <v>45950</v>
      </c>
      <c r="R304" s="2">
        <v>16.91</v>
      </c>
      <c r="S304">
        <v>1</v>
      </c>
      <c r="T304" t="s">
        <v>57</v>
      </c>
      <c r="U304" t="s">
        <v>58</v>
      </c>
      <c r="V304" s="4">
        <v>0.38</v>
      </c>
      <c r="W304" s="2">
        <v>0</v>
      </c>
      <c r="X304">
        <v>0</v>
      </c>
      <c r="Y304" t="s">
        <v>70</v>
      </c>
      <c r="Z304" t="s">
        <v>60</v>
      </c>
      <c r="AA304">
        <v>0</v>
      </c>
      <c r="AB304" s="2">
        <v>0</v>
      </c>
      <c r="AC304" s="2">
        <v>0</v>
      </c>
      <c r="AD304" s="4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6.43</v>
      </c>
      <c r="AN304" s="2">
        <v>6.43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45922</v>
      </c>
      <c r="B305" t="s">
        <v>47</v>
      </c>
      <c r="C305">
        <v>649163</v>
      </c>
      <c r="D305">
        <v>2027913473</v>
      </c>
      <c r="E305" t="s">
        <v>166</v>
      </c>
      <c r="F305" t="s">
        <v>167</v>
      </c>
      <c r="G305" t="s">
        <v>50</v>
      </c>
      <c r="H305" t="s">
        <v>141</v>
      </c>
      <c r="I305" t="s">
        <v>430</v>
      </c>
      <c r="J305" t="s">
        <v>431</v>
      </c>
      <c r="K305">
        <v>816021</v>
      </c>
      <c r="L305" t="s">
        <v>142</v>
      </c>
      <c r="M305" t="s">
        <v>143</v>
      </c>
      <c r="N305" t="s">
        <v>1107</v>
      </c>
      <c r="O305" t="s">
        <v>56</v>
      </c>
      <c r="P305" s="1">
        <v>45738</v>
      </c>
      <c r="Q305" s="1">
        <v>45952</v>
      </c>
      <c r="R305" s="2">
        <v>40.270000000000003</v>
      </c>
      <c r="S305">
        <v>1</v>
      </c>
      <c r="T305" t="s">
        <v>57</v>
      </c>
      <c r="U305" t="s">
        <v>58</v>
      </c>
      <c r="V305" s="4">
        <v>0.38</v>
      </c>
      <c r="W305" s="2">
        <v>0</v>
      </c>
      <c r="X305">
        <v>0</v>
      </c>
      <c r="Y305" t="s">
        <v>70</v>
      </c>
      <c r="Z305" t="s">
        <v>60</v>
      </c>
      <c r="AA305">
        <v>0</v>
      </c>
      <c r="AB305" s="2">
        <v>0</v>
      </c>
      <c r="AC305" s="2">
        <v>0</v>
      </c>
      <c r="AD305" s="4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15.3</v>
      </c>
      <c r="AN305" s="2">
        <v>15.3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45922</v>
      </c>
      <c r="B306" t="s">
        <v>47</v>
      </c>
      <c r="C306">
        <v>649163</v>
      </c>
      <c r="D306">
        <v>2028466945</v>
      </c>
      <c r="E306" t="s">
        <v>176</v>
      </c>
      <c r="F306" t="s">
        <v>177</v>
      </c>
      <c r="G306" t="s">
        <v>50</v>
      </c>
      <c r="H306" t="s">
        <v>141</v>
      </c>
      <c r="I306" t="s">
        <v>430</v>
      </c>
      <c r="J306" t="s">
        <v>431</v>
      </c>
      <c r="K306">
        <v>816021</v>
      </c>
      <c r="L306" t="s">
        <v>142</v>
      </c>
      <c r="M306" t="s">
        <v>143</v>
      </c>
      <c r="N306" t="s">
        <v>1107</v>
      </c>
      <c r="O306" t="s">
        <v>56</v>
      </c>
      <c r="P306" s="1">
        <v>45767</v>
      </c>
      <c r="Q306" s="1">
        <v>45950</v>
      </c>
      <c r="R306" s="2">
        <v>19.39</v>
      </c>
      <c r="S306">
        <v>1</v>
      </c>
      <c r="T306" t="s">
        <v>57</v>
      </c>
      <c r="U306" t="s">
        <v>58</v>
      </c>
      <c r="V306" s="4">
        <v>0.38</v>
      </c>
      <c r="W306" s="2">
        <v>0</v>
      </c>
      <c r="X306">
        <v>0</v>
      </c>
      <c r="Y306" t="s">
        <v>70</v>
      </c>
      <c r="Z306" t="s">
        <v>60</v>
      </c>
      <c r="AA306">
        <v>0</v>
      </c>
      <c r="AB306" s="2">
        <v>0</v>
      </c>
      <c r="AC306" s="2">
        <v>0</v>
      </c>
      <c r="AD306" s="4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7.37</v>
      </c>
      <c r="AN306" s="2">
        <v>7.37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45922</v>
      </c>
      <c r="B307" t="s">
        <v>47</v>
      </c>
      <c r="C307">
        <v>649163</v>
      </c>
      <c r="D307">
        <v>2026262565</v>
      </c>
      <c r="E307" t="s">
        <v>139</v>
      </c>
      <c r="F307" t="s">
        <v>140</v>
      </c>
      <c r="G307" t="s">
        <v>50</v>
      </c>
      <c r="H307" t="s">
        <v>141</v>
      </c>
      <c r="I307" t="s">
        <v>441</v>
      </c>
      <c r="J307" t="s">
        <v>445</v>
      </c>
      <c r="K307">
        <v>816021</v>
      </c>
      <c r="L307" t="s">
        <v>142</v>
      </c>
      <c r="M307" t="s">
        <v>143</v>
      </c>
      <c r="N307" t="s">
        <v>1107</v>
      </c>
      <c r="O307" t="s">
        <v>56</v>
      </c>
      <c r="P307" s="1">
        <v>45647</v>
      </c>
      <c r="Q307" s="1">
        <v>45951</v>
      </c>
      <c r="R307" s="2">
        <v>9.1</v>
      </c>
      <c r="S307">
        <v>1</v>
      </c>
      <c r="T307" t="s">
        <v>57</v>
      </c>
      <c r="U307" t="s">
        <v>58</v>
      </c>
      <c r="V307" s="4">
        <v>0.7</v>
      </c>
      <c r="W307" s="2">
        <v>0</v>
      </c>
      <c r="X307">
        <v>0</v>
      </c>
      <c r="Y307" t="s">
        <v>70</v>
      </c>
      <c r="Z307" t="s">
        <v>60</v>
      </c>
      <c r="AA307">
        <v>0</v>
      </c>
      <c r="AB307" s="2">
        <v>0</v>
      </c>
      <c r="AC307" s="2">
        <v>0</v>
      </c>
      <c r="AD307" s="4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6.37</v>
      </c>
      <c r="AN307" s="2">
        <v>6.37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45922</v>
      </c>
      <c r="B308" t="s">
        <v>47</v>
      </c>
      <c r="C308">
        <v>649163</v>
      </c>
      <c r="D308">
        <v>2026262567</v>
      </c>
      <c r="E308" t="s">
        <v>139</v>
      </c>
      <c r="F308" t="s">
        <v>140</v>
      </c>
      <c r="G308" t="s">
        <v>50</v>
      </c>
      <c r="H308" t="s">
        <v>141</v>
      </c>
      <c r="I308" t="s">
        <v>441</v>
      </c>
      <c r="J308" t="s">
        <v>447</v>
      </c>
      <c r="K308">
        <v>816021</v>
      </c>
      <c r="L308" t="s">
        <v>142</v>
      </c>
      <c r="M308" t="s">
        <v>143</v>
      </c>
      <c r="N308" t="s">
        <v>1107</v>
      </c>
      <c r="O308" t="s">
        <v>56</v>
      </c>
      <c r="P308" s="1">
        <v>45647</v>
      </c>
      <c r="Q308" s="1">
        <v>45951</v>
      </c>
      <c r="R308" s="2">
        <v>6.3</v>
      </c>
      <c r="S308">
        <v>1</v>
      </c>
      <c r="T308" t="s">
        <v>57</v>
      </c>
      <c r="U308" t="s">
        <v>58</v>
      </c>
      <c r="V308" s="4">
        <v>0.7</v>
      </c>
      <c r="W308" s="2">
        <v>0</v>
      </c>
      <c r="X308">
        <v>0</v>
      </c>
      <c r="Y308" t="s">
        <v>70</v>
      </c>
      <c r="Z308" t="s">
        <v>60</v>
      </c>
      <c r="AA308">
        <v>0</v>
      </c>
      <c r="AB308" s="2">
        <v>0</v>
      </c>
      <c r="AC308" s="2">
        <v>0</v>
      </c>
      <c r="AD308" s="4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4.41</v>
      </c>
      <c r="AN308" s="2">
        <v>4.41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45922</v>
      </c>
      <c r="B309" t="s">
        <v>47</v>
      </c>
      <c r="C309">
        <v>649163</v>
      </c>
      <c r="D309">
        <v>2026295209</v>
      </c>
      <c r="E309" t="s">
        <v>144</v>
      </c>
      <c r="F309" t="s">
        <v>145</v>
      </c>
      <c r="G309" t="s">
        <v>50</v>
      </c>
      <c r="H309" t="s">
        <v>141</v>
      </c>
      <c r="I309" t="s">
        <v>441</v>
      </c>
      <c r="J309" t="s">
        <v>445</v>
      </c>
      <c r="K309">
        <v>816021</v>
      </c>
      <c r="L309" t="s">
        <v>142</v>
      </c>
      <c r="M309" t="s">
        <v>143</v>
      </c>
      <c r="N309" t="s">
        <v>1107</v>
      </c>
      <c r="O309" t="s">
        <v>56</v>
      </c>
      <c r="P309" s="1">
        <v>45650</v>
      </c>
      <c r="Q309" s="1">
        <v>45954</v>
      </c>
      <c r="R309" s="2">
        <v>18.28</v>
      </c>
      <c r="S309">
        <v>1</v>
      </c>
      <c r="T309" t="s">
        <v>57</v>
      </c>
      <c r="U309" t="s">
        <v>58</v>
      </c>
      <c r="V309" s="4">
        <v>0.7</v>
      </c>
      <c r="W309" s="2">
        <v>0</v>
      </c>
      <c r="X309">
        <v>0</v>
      </c>
      <c r="Y309" t="s">
        <v>70</v>
      </c>
      <c r="Z309" t="s">
        <v>60</v>
      </c>
      <c r="AA309">
        <v>0</v>
      </c>
      <c r="AB309" s="2">
        <v>0</v>
      </c>
      <c r="AC309" s="2">
        <v>0</v>
      </c>
      <c r="AD309" s="4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12.8</v>
      </c>
      <c r="AN309" s="2">
        <v>12.8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45922</v>
      </c>
      <c r="B310" t="s">
        <v>47</v>
      </c>
      <c r="C310">
        <v>649163</v>
      </c>
      <c r="D310">
        <v>2026295210</v>
      </c>
      <c r="E310" t="s">
        <v>144</v>
      </c>
      <c r="F310" t="s">
        <v>145</v>
      </c>
      <c r="G310" t="s">
        <v>50</v>
      </c>
      <c r="H310" t="s">
        <v>141</v>
      </c>
      <c r="I310" t="s">
        <v>441</v>
      </c>
      <c r="J310" t="s">
        <v>447</v>
      </c>
      <c r="K310">
        <v>816021</v>
      </c>
      <c r="L310" t="s">
        <v>142</v>
      </c>
      <c r="M310" t="s">
        <v>143</v>
      </c>
      <c r="N310" t="s">
        <v>1107</v>
      </c>
      <c r="O310" t="s">
        <v>56</v>
      </c>
      <c r="P310" s="1">
        <v>45650</v>
      </c>
      <c r="Q310" s="1">
        <v>45954</v>
      </c>
      <c r="R310" s="2">
        <v>14.65</v>
      </c>
      <c r="S310">
        <v>1</v>
      </c>
      <c r="T310" t="s">
        <v>57</v>
      </c>
      <c r="U310" t="s">
        <v>58</v>
      </c>
      <c r="V310" s="4">
        <v>0.7</v>
      </c>
      <c r="W310" s="2">
        <v>0</v>
      </c>
      <c r="X310">
        <v>0</v>
      </c>
      <c r="Y310" t="s">
        <v>70</v>
      </c>
      <c r="Z310" t="s">
        <v>60</v>
      </c>
      <c r="AA310">
        <v>0</v>
      </c>
      <c r="AB310" s="2">
        <v>0</v>
      </c>
      <c r="AC310" s="2">
        <v>0</v>
      </c>
      <c r="AD310" s="4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10.26</v>
      </c>
      <c r="AN310" s="2">
        <v>10.26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45922</v>
      </c>
      <c r="B311" t="s">
        <v>47</v>
      </c>
      <c r="C311">
        <v>649163</v>
      </c>
      <c r="D311">
        <v>2027010991</v>
      </c>
      <c r="E311" t="s">
        <v>154</v>
      </c>
      <c r="F311" t="s">
        <v>155</v>
      </c>
      <c r="G311" t="s">
        <v>50</v>
      </c>
      <c r="H311" t="s">
        <v>141</v>
      </c>
      <c r="I311" t="s">
        <v>441</v>
      </c>
      <c r="J311" t="s">
        <v>445</v>
      </c>
      <c r="K311">
        <v>816021</v>
      </c>
      <c r="L311" t="s">
        <v>142</v>
      </c>
      <c r="M311" t="s">
        <v>143</v>
      </c>
      <c r="N311" t="s">
        <v>1107</v>
      </c>
      <c r="O311" t="s">
        <v>56</v>
      </c>
      <c r="P311" s="1">
        <v>45697</v>
      </c>
      <c r="Q311" s="1">
        <v>45939</v>
      </c>
      <c r="R311" s="2">
        <v>9.6999999999999993</v>
      </c>
      <c r="S311">
        <v>1</v>
      </c>
      <c r="T311" t="s">
        <v>57</v>
      </c>
      <c r="U311" t="s">
        <v>58</v>
      </c>
      <c r="V311" s="4">
        <v>0.7</v>
      </c>
      <c r="W311" s="2">
        <v>0</v>
      </c>
      <c r="X311">
        <v>0</v>
      </c>
      <c r="Y311" t="s">
        <v>70</v>
      </c>
      <c r="Z311" t="s">
        <v>60</v>
      </c>
      <c r="AA311">
        <v>0</v>
      </c>
      <c r="AB311" s="2">
        <v>0</v>
      </c>
      <c r="AC311" s="2">
        <v>0</v>
      </c>
      <c r="AD311" s="4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6.79</v>
      </c>
      <c r="AN311" s="2">
        <v>6.79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45922</v>
      </c>
      <c r="B312" t="s">
        <v>47</v>
      </c>
      <c r="C312">
        <v>649163</v>
      </c>
      <c r="D312">
        <v>2027010993</v>
      </c>
      <c r="E312" t="s">
        <v>154</v>
      </c>
      <c r="F312" t="s">
        <v>155</v>
      </c>
      <c r="G312" t="s">
        <v>50</v>
      </c>
      <c r="H312" t="s">
        <v>141</v>
      </c>
      <c r="I312" t="s">
        <v>441</v>
      </c>
      <c r="J312" t="s">
        <v>447</v>
      </c>
      <c r="K312">
        <v>816021</v>
      </c>
      <c r="L312" t="s">
        <v>142</v>
      </c>
      <c r="M312" t="s">
        <v>143</v>
      </c>
      <c r="N312" t="s">
        <v>1107</v>
      </c>
      <c r="O312" t="s">
        <v>56</v>
      </c>
      <c r="P312" s="1">
        <v>45697</v>
      </c>
      <c r="Q312" s="1">
        <v>45939</v>
      </c>
      <c r="R312" s="2">
        <v>6.3</v>
      </c>
      <c r="S312">
        <v>1</v>
      </c>
      <c r="T312" t="s">
        <v>57</v>
      </c>
      <c r="U312" t="s">
        <v>58</v>
      </c>
      <c r="V312" s="4">
        <v>0.7</v>
      </c>
      <c r="W312" s="2">
        <v>0</v>
      </c>
      <c r="X312">
        <v>0</v>
      </c>
      <c r="Y312" t="s">
        <v>70</v>
      </c>
      <c r="Z312" t="s">
        <v>60</v>
      </c>
      <c r="AA312">
        <v>0</v>
      </c>
      <c r="AB312" s="2">
        <v>0</v>
      </c>
      <c r="AC312" s="2">
        <v>0</v>
      </c>
      <c r="AD312" s="4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4.41</v>
      </c>
      <c r="AN312" s="2">
        <v>4.41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45922</v>
      </c>
      <c r="B313" t="s">
        <v>47</v>
      </c>
      <c r="C313">
        <v>649163</v>
      </c>
      <c r="D313">
        <v>2027867338</v>
      </c>
      <c r="E313" t="s">
        <v>164</v>
      </c>
      <c r="F313" t="s">
        <v>165</v>
      </c>
      <c r="G313" t="s">
        <v>50</v>
      </c>
      <c r="H313" t="s">
        <v>141</v>
      </c>
      <c r="I313" t="s">
        <v>441</v>
      </c>
      <c r="J313" t="s">
        <v>445</v>
      </c>
      <c r="K313">
        <v>816021</v>
      </c>
      <c r="L313" t="s">
        <v>142</v>
      </c>
      <c r="M313" t="s">
        <v>143</v>
      </c>
      <c r="N313" t="s">
        <v>1107</v>
      </c>
      <c r="O313" t="s">
        <v>56</v>
      </c>
      <c r="P313" s="1">
        <v>45736</v>
      </c>
      <c r="Q313" s="1">
        <v>45950</v>
      </c>
      <c r="R313" s="2">
        <v>9.1</v>
      </c>
      <c r="S313">
        <v>1</v>
      </c>
      <c r="T313" t="s">
        <v>57</v>
      </c>
      <c r="U313" t="s">
        <v>58</v>
      </c>
      <c r="V313" s="4">
        <v>0.7</v>
      </c>
      <c r="W313" s="2">
        <v>0</v>
      </c>
      <c r="X313">
        <v>0</v>
      </c>
      <c r="Y313" t="s">
        <v>70</v>
      </c>
      <c r="Z313" t="s">
        <v>60</v>
      </c>
      <c r="AA313">
        <v>0</v>
      </c>
      <c r="AB313" s="2">
        <v>0</v>
      </c>
      <c r="AC313" s="2">
        <v>0</v>
      </c>
      <c r="AD313" s="4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6.37</v>
      </c>
      <c r="AN313" s="2">
        <v>6.37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45922</v>
      </c>
      <c r="B314" t="s">
        <v>47</v>
      </c>
      <c r="C314">
        <v>649163</v>
      </c>
      <c r="D314">
        <v>2027913472</v>
      </c>
      <c r="E314" t="s">
        <v>166</v>
      </c>
      <c r="F314" t="s">
        <v>167</v>
      </c>
      <c r="G314" t="s">
        <v>50</v>
      </c>
      <c r="H314" t="s">
        <v>141</v>
      </c>
      <c r="I314" t="s">
        <v>441</v>
      </c>
      <c r="J314" t="s">
        <v>445</v>
      </c>
      <c r="K314">
        <v>816021</v>
      </c>
      <c r="L314" t="s">
        <v>142</v>
      </c>
      <c r="M314" t="s">
        <v>143</v>
      </c>
      <c r="N314" t="s">
        <v>1107</v>
      </c>
      <c r="O314" t="s">
        <v>56</v>
      </c>
      <c r="P314" s="1">
        <v>45738</v>
      </c>
      <c r="Q314" s="1">
        <v>45952</v>
      </c>
      <c r="R314" s="2">
        <v>7.89</v>
      </c>
      <c r="S314">
        <v>1</v>
      </c>
      <c r="T314" t="s">
        <v>57</v>
      </c>
      <c r="U314" t="s">
        <v>58</v>
      </c>
      <c r="V314" s="4">
        <v>0.7</v>
      </c>
      <c r="W314" s="2">
        <v>0</v>
      </c>
      <c r="X314">
        <v>0</v>
      </c>
      <c r="Y314" t="s">
        <v>70</v>
      </c>
      <c r="Z314" t="s">
        <v>60</v>
      </c>
      <c r="AA314">
        <v>0</v>
      </c>
      <c r="AB314" s="2">
        <v>0</v>
      </c>
      <c r="AC314" s="2">
        <v>0</v>
      </c>
      <c r="AD314" s="4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5.52</v>
      </c>
      <c r="AN314" s="2">
        <v>5.52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45922</v>
      </c>
      <c r="B315" t="s">
        <v>47</v>
      </c>
      <c r="C315">
        <v>649163</v>
      </c>
      <c r="D315">
        <v>2028004035</v>
      </c>
      <c r="E315" t="s">
        <v>172</v>
      </c>
      <c r="F315" t="s">
        <v>173</v>
      </c>
      <c r="G315" t="s">
        <v>50</v>
      </c>
      <c r="H315" t="s">
        <v>141</v>
      </c>
      <c r="I315" t="s">
        <v>441</v>
      </c>
      <c r="J315" t="s">
        <v>445</v>
      </c>
      <c r="K315">
        <v>816021</v>
      </c>
      <c r="L315" t="s">
        <v>142</v>
      </c>
      <c r="M315" t="s">
        <v>143</v>
      </c>
      <c r="N315" t="s">
        <v>1107</v>
      </c>
      <c r="O315" t="s">
        <v>56</v>
      </c>
      <c r="P315" s="1">
        <v>45741</v>
      </c>
      <c r="Q315" s="1">
        <v>45955</v>
      </c>
      <c r="R315" s="2">
        <v>9.1</v>
      </c>
      <c r="S315">
        <v>1</v>
      </c>
      <c r="T315" t="s">
        <v>57</v>
      </c>
      <c r="U315" t="s">
        <v>58</v>
      </c>
      <c r="V315" s="4">
        <v>0.7</v>
      </c>
      <c r="W315" s="2">
        <v>0</v>
      </c>
      <c r="X315">
        <v>0</v>
      </c>
      <c r="Y315" t="s">
        <v>70</v>
      </c>
      <c r="Z315" t="s">
        <v>60</v>
      </c>
      <c r="AA315">
        <v>0</v>
      </c>
      <c r="AB315" s="2">
        <v>0</v>
      </c>
      <c r="AC315" s="2">
        <v>0</v>
      </c>
      <c r="AD315" s="4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6.37</v>
      </c>
      <c r="AN315" s="2">
        <v>6.37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45922</v>
      </c>
      <c r="B316" t="s">
        <v>47</v>
      </c>
      <c r="C316">
        <v>649163</v>
      </c>
      <c r="D316">
        <v>2028466944</v>
      </c>
      <c r="E316" t="s">
        <v>176</v>
      </c>
      <c r="F316" t="s">
        <v>177</v>
      </c>
      <c r="G316" t="s">
        <v>50</v>
      </c>
      <c r="H316" t="s">
        <v>141</v>
      </c>
      <c r="I316" t="s">
        <v>441</v>
      </c>
      <c r="J316" t="s">
        <v>445</v>
      </c>
      <c r="K316">
        <v>816021</v>
      </c>
      <c r="L316" t="s">
        <v>142</v>
      </c>
      <c r="M316" t="s">
        <v>143</v>
      </c>
      <c r="N316" t="s">
        <v>1107</v>
      </c>
      <c r="O316" t="s">
        <v>56</v>
      </c>
      <c r="P316" s="1">
        <v>45767</v>
      </c>
      <c r="Q316" s="1">
        <v>45950</v>
      </c>
      <c r="R316" s="2">
        <v>9.6999999999999993</v>
      </c>
      <c r="S316">
        <v>1</v>
      </c>
      <c r="T316" t="s">
        <v>57</v>
      </c>
      <c r="U316" t="s">
        <v>58</v>
      </c>
      <c r="V316" s="4">
        <v>0.7</v>
      </c>
      <c r="W316" s="2">
        <v>0</v>
      </c>
      <c r="X316">
        <v>0</v>
      </c>
      <c r="Y316" t="s">
        <v>70</v>
      </c>
      <c r="Z316" t="s">
        <v>60</v>
      </c>
      <c r="AA316">
        <v>0</v>
      </c>
      <c r="AB316" s="2">
        <v>0</v>
      </c>
      <c r="AC316" s="2">
        <v>0</v>
      </c>
      <c r="AD316" s="4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6.79</v>
      </c>
      <c r="AN316" s="2">
        <v>6.79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45915</v>
      </c>
      <c r="B317" t="s">
        <v>47</v>
      </c>
      <c r="C317">
        <v>649163</v>
      </c>
      <c r="D317">
        <v>2026180758</v>
      </c>
      <c r="E317" t="s">
        <v>1005</v>
      </c>
      <c r="F317" t="s">
        <v>1004</v>
      </c>
      <c r="G317" t="s">
        <v>50</v>
      </c>
      <c r="H317" t="s">
        <v>141</v>
      </c>
      <c r="I317" t="s">
        <v>106</v>
      </c>
      <c r="J317" t="s">
        <v>146</v>
      </c>
      <c r="K317">
        <v>816021</v>
      </c>
      <c r="L317" t="s">
        <v>142</v>
      </c>
      <c r="M317" t="s">
        <v>143</v>
      </c>
      <c r="N317" t="s">
        <v>1107</v>
      </c>
      <c r="O317" t="s">
        <v>56</v>
      </c>
      <c r="P317" s="1">
        <v>45641</v>
      </c>
      <c r="Q317" s="1">
        <v>45945</v>
      </c>
      <c r="R317" s="2">
        <v>18.7</v>
      </c>
      <c r="S317">
        <v>1</v>
      </c>
      <c r="T317" t="s">
        <v>57</v>
      </c>
      <c r="U317" t="s">
        <v>58</v>
      </c>
      <c r="V317" s="4">
        <v>0.65</v>
      </c>
      <c r="W317" s="2">
        <v>0</v>
      </c>
      <c r="X317">
        <v>0</v>
      </c>
      <c r="Y317" t="s">
        <v>70</v>
      </c>
      <c r="Z317" t="s">
        <v>60</v>
      </c>
      <c r="AA317">
        <v>0</v>
      </c>
      <c r="AB317" s="2">
        <v>0</v>
      </c>
      <c r="AC317" s="2">
        <v>0</v>
      </c>
      <c r="AD317" s="4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12.16</v>
      </c>
      <c r="AN317" s="2">
        <v>12.16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45915</v>
      </c>
      <c r="B318" t="s">
        <v>47</v>
      </c>
      <c r="C318">
        <v>649163</v>
      </c>
      <c r="D318">
        <v>2026184418</v>
      </c>
      <c r="E318" t="s">
        <v>1003</v>
      </c>
      <c r="F318" t="s">
        <v>394</v>
      </c>
      <c r="G318" t="s">
        <v>50</v>
      </c>
      <c r="H318" t="s">
        <v>141</v>
      </c>
      <c r="I318" t="s">
        <v>106</v>
      </c>
      <c r="J318" t="s">
        <v>146</v>
      </c>
      <c r="K318">
        <v>816021</v>
      </c>
      <c r="L318" t="s">
        <v>142</v>
      </c>
      <c r="M318" t="s">
        <v>143</v>
      </c>
      <c r="N318" t="s">
        <v>1107</v>
      </c>
      <c r="O318" t="s">
        <v>56</v>
      </c>
      <c r="P318" s="1">
        <v>45641</v>
      </c>
      <c r="Q318" s="1">
        <v>45945</v>
      </c>
      <c r="R318" s="2">
        <v>45.51</v>
      </c>
      <c r="S318">
        <v>1</v>
      </c>
      <c r="T318" t="s">
        <v>57</v>
      </c>
      <c r="U318" t="s">
        <v>58</v>
      </c>
      <c r="V318" s="4">
        <v>0.65</v>
      </c>
      <c r="W318" s="2">
        <v>0</v>
      </c>
      <c r="X318">
        <v>0</v>
      </c>
      <c r="Y318" t="s">
        <v>70</v>
      </c>
      <c r="Z318" t="s">
        <v>60</v>
      </c>
      <c r="AA318">
        <v>0</v>
      </c>
      <c r="AB318" s="2">
        <v>0</v>
      </c>
      <c r="AC318" s="2">
        <v>0</v>
      </c>
      <c r="AD318" s="4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29.58</v>
      </c>
      <c r="AN318" s="2">
        <v>29.58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45915</v>
      </c>
      <c r="B319" t="s">
        <v>47</v>
      </c>
      <c r="C319">
        <v>649163</v>
      </c>
      <c r="D319">
        <v>2029067255</v>
      </c>
      <c r="E319" t="s">
        <v>620</v>
      </c>
      <c r="F319" t="s">
        <v>619</v>
      </c>
      <c r="G319" t="s">
        <v>50</v>
      </c>
      <c r="H319" t="s">
        <v>141</v>
      </c>
      <c r="I319" t="s">
        <v>106</v>
      </c>
      <c r="J319" t="s">
        <v>146</v>
      </c>
      <c r="K319">
        <v>816021</v>
      </c>
      <c r="L319" t="s">
        <v>142</v>
      </c>
      <c r="M319" t="s">
        <v>143</v>
      </c>
      <c r="N319" t="s">
        <v>1107</v>
      </c>
      <c r="O319" t="s">
        <v>230</v>
      </c>
      <c r="P319" s="1">
        <v>45809</v>
      </c>
      <c r="Q319" s="1">
        <v>45931</v>
      </c>
      <c r="R319" s="2">
        <v>-17.350000000000001</v>
      </c>
      <c r="S319">
        <v>1</v>
      </c>
      <c r="T319" t="s">
        <v>57</v>
      </c>
      <c r="U319" t="s">
        <v>58</v>
      </c>
      <c r="V319" s="4">
        <v>0.65</v>
      </c>
      <c r="W319" s="2">
        <v>0</v>
      </c>
      <c r="X319">
        <v>-1</v>
      </c>
      <c r="Y319" t="s">
        <v>70</v>
      </c>
      <c r="Z319" t="s">
        <v>60</v>
      </c>
      <c r="AA319">
        <v>0</v>
      </c>
      <c r="AB319" s="2">
        <v>0</v>
      </c>
      <c r="AC319" s="2">
        <v>0</v>
      </c>
      <c r="AD319" s="4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-11.28</v>
      </c>
      <c r="AN319" s="2">
        <v>-11.28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45915</v>
      </c>
      <c r="B320" t="s">
        <v>47</v>
      </c>
      <c r="C320">
        <v>649163</v>
      </c>
      <c r="D320">
        <v>2029969605</v>
      </c>
      <c r="E320" t="s">
        <v>831</v>
      </c>
      <c r="F320" t="s">
        <v>830</v>
      </c>
      <c r="G320" t="s">
        <v>50</v>
      </c>
      <c r="H320" t="s">
        <v>141</v>
      </c>
      <c r="I320" t="s">
        <v>106</v>
      </c>
      <c r="J320" t="s">
        <v>184</v>
      </c>
      <c r="K320">
        <v>816021</v>
      </c>
      <c r="L320" t="s">
        <v>142</v>
      </c>
      <c r="M320" t="s">
        <v>143</v>
      </c>
      <c r="N320" t="s">
        <v>1107</v>
      </c>
      <c r="O320" t="s">
        <v>56</v>
      </c>
      <c r="P320" s="1">
        <v>45854</v>
      </c>
      <c r="Q320" s="1">
        <v>45946</v>
      </c>
      <c r="R320" s="2">
        <v>52.84</v>
      </c>
      <c r="S320">
        <v>1</v>
      </c>
      <c r="T320" t="s">
        <v>57</v>
      </c>
      <c r="U320" t="s">
        <v>58</v>
      </c>
      <c r="V320" s="4">
        <v>0.75</v>
      </c>
      <c r="W320" s="2">
        <v>0</v>
      </c>
      <c r="X320">
        <v>0</v>
      </c>
      <c r="Y320" t="s">
        <v>70</v>
      </c>
      <c r="Z320" t="s">
        <v>60</v>
      </c>
      <c r="AA320">
        <v>0</v>
      </c>
      <c r="AB320" s="2">
        <v>0</v>
      </c>
      <c r="AC320" s="2">
        <v>0</v>
      </c>
      <c r="AD320" s="4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39.630000000000003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</row>
    <row r="321" spans="1:44" x14ac:dyDescent="0.25">
      <c r="A321" s="1">
        <v>45915</v>
      </c>
      <c r="B321" t="s">
        <v>47</v>
      </c>
      <c r="C321">
        <v>649163</v>
      </c>
      <c r="D321">
        <v>2030455582</v>
      </c>
      <c r="E321" t="s">
        <v>710</v>
      </c>
      <c r="F321" t="s">
        <v>398</v>
      </c>
      <c r="G321" t="s">
        <v>50</v>
      </c>
      <c r="H321" t="s">
        <v>141</v>
      </c>
      <c r="I321" t="s">
        <v>106</v>
      </c>
      <c r="J321" t="s">
        <v>146</v>
      </c>
      <c r="K321">
        <v>816021</v>
      </c>
      <c r="L321" t="s">
        <v>142</v>
      </c>
      <c r="M321" t="s">
        <v>143</v>
      </c>
      <c r="N321" t="s">
        <v>1107</v>
      </c>
      <c r="O321" t="s">
        <v>56</v>
      </c>
      <c r="P321" s="1">
        <v>45882</v>
      </c>
      <c r="Q321" s="1">
        <v>45943</v>
      </c>
      <c r="R321" s="2">
        <v>29.88</v>
      </c>
      <c r="S321">
        <v>1</v>
      </c>
      <c r="T321" t="s">
        <v>57</v>
      </c>
      <c r="U321" t="s">
        <v>58</v>
      </c>
      <c r="V321" s="4">
        <v>0.65</v>
      </c>
      <c r="W321" s="2">
        <v>0</v>
      </c>
      <c r="X321">
        <v>0</v>
      </c>
      <c r="Y321" t="s">
        <v>70</v>
      </c>
      <c r="Z321" t="s">
        <v>60</v>
      </c>
      <c r="AA321">
        <v>0</v>
      </c>
      <c r="AB321" s="2">
        <v>0</v>
      </c>
      <c r="AC321" s="2">
        <v>0</v>
      </c>
      <c r="AD321" s="4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19.420000000000002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</row>
    <row r="322" spans="1:44" x14ac:dyDescent="0.25">
      <c r="A322" s="1">
        <v>45915</v>
      </c>
      <c r="B322" t="s">
        <v>47</v>
      </c>
      <c r="C322">
        <v>649163</v>
      </c>
      <c r="D322">
        <v>2026180757</v>
      </c>
      <c r="E322" t="s">
        <v>1005</v>
      </c>
      <c r="F322" t="s">
        <v>1004</v>
      </c>
      <c r="G322" t="s">
        <v>50</v>
      </c>
      <c r="H322" t="s">
        <v>141</v>
      </c>
      <c r="I322" t="s">
        <v>441</v>
      </c>
      <c r="J322" t="s">
        <v>445</v>
      </c>
      <c r="K322">
        <v>816021</v>
      </c>
      <c r="L322" t="s">
        <v>142</v>
      </c>
      <c r="M322" t="s">
        <v>143</v>
      </c>
      <c r="N322" t="s">
        <v>1107</v>
      </c>
      <c r="O322" t="s">
        <v>56</v>
      </c>
      <c r="P322" s="1">
        <v>45641</v>
      </c>
      <c r="Q322" s="1">
        <v>45945</v>
      </c>
      <c r="R322" s="2">
        <v>9.1</v>
      </c>
      <c r="S322">
        <v>1</v>
      </c>
      <c r="T322" t="s">
        <v>57</v>
      </c>
      <c r="U322" t="s">
        <v>58</v>
      </c>
      <c r="V322" s="4">
        <v>0.7</v>
      </c>
      <c r="W322" s="2">
        <v>0</v>
      </c>
      <c r="X322">
        <v>0</v>
      </c>
      <c r="Y322" t="s">
        <v>70</v>
      </c>
      <c r="Z322" t="s">
        <v>60</v>
      </c>
      <c r="AA322">
        <v>0</v>
      </c>
      <c r="AB322" s="2">
        <v>0</v>
      </c>
      <c r="AC322" s="2">
        <v>0</v>
      </c>
      <c r="AD322" s="4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6.37</v>
      </c>
      <c r="AN322" s="2">
        <v>6.37</v>
      </c>
      <c r="AO322" s="2">
        <v>0</v>
      </c>
      <c r="AP322" s="2">
        <v>0</v>
      </c>
      <c r="AQ322" s="2">
        <v>0</v>
      </c>
    </row>
    <row r="323" spans="1:44" x14ac:dyDescent="0.25">
      <c r="A323" s="1">
        <v>45915</v>
      </c>
      <c r="B323" t="s">
        <v>47</v>
      </c>
      <c r="C323">
        <v>649163</v>
      </c>
      <c r="D323">
        <v>2026184417</v>
      </c>
      <c r="E323" t="s">
        <v>1003</v>
      </c>
      <c r="F323" t="s">
        <v>394</v>
      </c>
      <c r="G323" t="s">
        <v>50</v>
      </c>
      <c r="H323" t="s">
        <v>141</v>
      </c>
      <c r="I323" t="s">
        <v>441</v>
      </c>
      <c r="J323" t="s">
        <v>445</v>
      </c>
      <c r="K323">
        <v>816021</v>
      </c>
      <c r="L323" t="s">
        <v>142</v>
      </c>
      <c r="M323" t="s">
        <v>143</v>
      </c>
      <c r="N323" t="s">
        <v>1107</v>
      </c>
      <c r="O323" t="s">
        <v>56</v>
      </c>
      <c r="P323" s="1">
        <v>45641</v>
      </c>
      <c r="Q323" s="1">
        <v>45945</v>
      </c>
      <c r="R323" s="2">
        <v>9.1</v>
      </c>
      <c r="S323">
        <v>1</v>
      </c>
      <c r="T323" t="s">
        <v>57</v>
      </c>
      <c r="U323" t="s">
        <v>58</v>
      </c>
      <c r="V323" s="4">
        <v>0.7</v>
      </c>
      <c r="W323" s="2">
        <v>0</v>
      </c>
      <c r="X323">
        <v>0</v>
      </c>
      <c r="Y323" t="s">
        <v>70</v>
      </c>
      <c r="Z323" t="s">
        <v>60</v>
      </c>
      <c r="AA323">
        <v>0</v>
      </c>
      <c r="AB323" s="2">
        <v>0</v>
      </c>
      <c r="AC323" s="2">
        <v>0</v>
      </c>
      <c r="AD323" s="4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6.37</v>
      </c>
      <c r="AN323" s="2">
        <v>6.37</v>
      </c>
      <c r="AO323" s="2">
        <v>0</v>
      </c>
      <c r="AP323" s="2">
        <v>0</v>
      </c>
      <c r="AQ323" s="2">
        <v>0</v>
      </c>
    </row>
    <row r="324" spans="1:44" x14ac:dyDescent="0.25">
      <c r="A324" s="1">
        <v>45915</v>
      </c>
      <c r="B324" t="s">
        <v>47</v>
      </c>
      <c r="C324">
        <v>649163</v>
      </c>
      <c r="D324">
        <v>2027072202</v>
      </c>
      <c r="E324" t="s">
        <v>889</v>
      </c>
      <c r="F324" t="s">
        <v>67</v>
      </c>
      <c r="G324" t="s">
        <v>50</v>
      </c>
      <c r="H324" t="s">
        <v>141</v>
      </c>
      <c r="I324" t="s">
        <v>441</v>
      </c>
      <c r="J324" t="s">
        <v>445</v>
      </c>
      <c r="K324">
        <v>816021</v>
      </c>
      <c r="L324" t="s">
        <v>142</v>
      </c>
      <c r="M324" t="s">
        <v>143</v>
      </c>
      <c r="N324" t="s">
        <v>1107</v>
      </c>
      <c r="O324" t="s">
        <v>56</v>
      </c>
      <c r="P324" s="1">
        <v>45703</v>
      </c>
      <c r="Q324" s="1">
        <v>45945</v>
      </c>
      <c r="R324" s="2">
        <v>18.2</v>
      </c>
      <c r="S324">
        <v>1</v>
      </c>
      <c r="T324" t="s">
        <v>57</v>
      </c>
      <c r="U324" t="s">
        <v>58</v>
      </c>
      <c r="V324" s="4">
        <v>0.7</v>
      </c>
      <c r="W324" s="2">
        <v>0</v>
      </c>
      <c r="X324">
        <v>0</v>
      </c>
      <c r="Y324" t="s">
        <v>70</v>
      </c>
      <c r="Z324" t="s">
        <v>60</v>
      </c>
      <c r="AA324">
        <v>0</v>
      </c>
      <c r="AB324" s="2">
        <v>0</v>
      </c>
      <c r="AC324" s="2">
        <v>0</v>
      </c>
      <c r="AD324" s="4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12.74</v>
      </c>
      <c r="AN324" s="2">
        <v>12.74</v>
      </c>
      <c r="AO324" s="2">
        <v>0</v>
      </c>
      <c r="AP324" s="2">
        <v>0</v>
      </c>
      <c r="AQ324" s="2">
        <v>0</v>
      </c>
    </row>
    <row r="325" spans="1:44" x14ac:dyDescent="0.25">
      <c r="A325" s="1">
        <v>45915</v>
      </c>
      <c r="B325" t="s">
        <v>47</v>
      </c>
      <c r="C325">
        <v>649163</v>
      </c>
      <c r="D325">
        <v>2029067254</v>
      </c>
      <c r="E325" t="s">
        <v>620</v>
      </c>
      <c r="F325" t="s">
        <v>619</v>
      </c>
      <c r="G325" t="s">
        <v>50</v>
      </c>
      <c r="H325" t="s">
        <v>141</v>
      </c>
      <c r="I325" t="s">
        <v>441</v>
      </c>
      <c r="J325" t="s">
        <v>445</v>
      </c>
      <c r="K325">
        <v>816021</v>
      </c>
      <c r="L325" t="s">
        <v>142</v>
      </c>
      <c r="M325" t="s">
        <v>143</v>
      </c>
      <c r="N325" t="s">
        <v>1107</v>
      </c>
      <c r="O325" t="s">
        <v>230</v>
      </c>
      <c r="P325" s="1">
        <v>45809</v>
      </c>
      <c r="Q325" s="1">
        <v>45931</v>
      </c>
      <c r="R325" s="2">
        <v>-13.64</v>
      </c>
      <c r="S325">
        <v>1</v>
      </c>
      <c r="T325" t="s">
        <v>57</v>
      </c>
      <c r="U325" t="s">
        <v>58</v>
      </c>
      <c r="V325" s="4">
        <v>0.7</v>
      </c>
      <c r="W325" s="2">
        <v>0</v>
      </c>
      <c r="X325">
        <v>-1</v>
      </c>
      <c r="Y325" t="s">
        <v>70</v>
      </c>
      <c r="Z325" t="s">
        <v>60</v>
      </c>
      <c r="AA325">
        <v>0</v>
      </c>
      <c r="AB325" s="2">
        <v>0</v>
      </c>
      <c r="AC325" s="2">
        <v>0</v>
      </c>
      <c r="AD325" s="4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-9.5500000000000007</v>
      </c>
      <c r="AN325" s="2">
        <v>-9.5500000000000007</v>
      </c>
      <c r="AO325" s="2">
        <v>0</v>
      </c>
      <c r="AP325" s="2">
        <v>0</v>
      </c>
      <c r="AQ325" s="2">
        <v>0</v>
      </c>
    </row>
    <row r="326" spans="1:44" x14ac:dyDescent="0.25">
      <c r="A326" s="1">
        <v>45915</v>
      </c>
      <c r="B326" t="s">
        <v>47</v>
      </c>
      <c r="C326">
        <v>649163</v>
      </c>
      <c r="D326">
        <v>2029969604</v>
      </c>
      <c r="E326" t="s">
        <v>831</v>
      </c>
      <c r="F326" t="s">
        <v>830</v>
      </c>
      <c r="G326" t="s">
        <v>50</v>
      </c>
      <c r="H326" t="s">
        <v>141</v>
      </c>
      <c r="I326" t="s">
        <v>441</v>
      </c>
      <c r="J326" t="s">
        <v>445</v>
      </c>
      <c r="K326">
        <v>816021</v>
      </c>
      <c r="L326" t="s">
        <v>142</v>
      </c>
      <c r="M326" t="s">
        <v>143</v>
      </c>
      <c r="N326" t="s">
        <v>1107</v>
      </c>
      <c r="O326" t="s">
        <v>56</v>
      </c>
      <c r="P326" s="1">
        <v>45854</v>
      </c>
      <c r="Q326" s="1">
        <v>45946</v>
      </c>
      <c r="R326" s="2">
        <v>9.1</v>
      </c>
      <c r="S326">
        <v>1</v>
      </c>
      <c r="T326" t="s">
        <v>57</v>
      </c>
      <c r="U326" t="s">
        <v>58</v>
      </c>
      <c r="V326" s="4">
        <v>0.7</v>
      </c>
      <c r="W326" s="2">
        <v>0</v>
      </c>
      <c r="X326">
        <v>0</v>
      </c>
      <c r="Y326" t="s">
        <v>70</v>
      </c>
      <c r="Z326" t="s">
        <v>60</v>
      </c>
      <c r="AA326">
        <v>0</v>
      </c>
      <c r="AB326" s="2">
        <v>0</v>
      </c>
      <c r="AC326" s="2">
        <v>0</v>
      </c>
      <c r="AD326" s="4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6.37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</row>
    <row r="327" spans="1:44" x14ac:dyDescent="0.25">
      <c r="A327" s="1">
        <v>45915</v>
      </c>
      <c r="B327" t="s">
        <v>47</v>
      </c>
      <c r="C327">
        <v>649163</v>
      </c>
      <c r="D327">
        <v>2027072201</v>
      </c>
      <c r="E327" t="s">
        <v>889</v>
      </c>
      <c r="F327" t="s">
        <v>67</v>
      </c>
      <c r="G327" t="s">
        <v>50</v>
      </c>
      <c r="H327" t="s">
        <v>141</v>
      </c>
      <c r="I327" t="s">
        <v>306</v>
      </c>
      <c r="J327" t="s">
        <v>307</v>
      </c>
      <c r="K327">
        <v>816021</v>
      </c>
      <c r="L327" t="s">
        <v>142</v>
      </c>
      <c r="M327" t="s">
        <v>143</v>
      </c>
      <c r="N327" t="s">
        <v>1107</v>
      </c>
      <c r="O327" t="s">
        <v>56</v>
      </c>
      <c r="P327" s="1">
        <v>45703</v>
      </c>
      <c r="Q327" s="1">
        <v>45945</v>
      </c>
      <c r="R327" s="2">
        <v>102.21</v>
      </c>
      <c r="S327">
        <v>1</v>
      </c>
      <c r="T327" t="s">
        <v>57</v>
      </c>
      <c r="U327" t="s">
        <v>58</v>
      </c>
      <c r="V327" s="3">
        <v>0.375</v>
      </c>
      <c r="W327" s="2">
        <v>0</v>
      </c>
      <c r="X327">
        <v>0</v>
      </c>
      <c r="Y327" t="s">
        <v>70</v>
      </c>
      <c r="Z327" t="s">
        <v>60</v>
      </c>
      <c r="AA327">
        <v>0</v>
      </c>
      <c r="AB327" s="2">
        <v>0</v>
      </c>
      <c r="AC327" s="2">
        <v>0</v>
      </c>
      <c r="AD327" s="4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38.33</v>
      </c>
      <c r="AN327" s="2">
        <v>38.33</v>
      </c>
      <c r="AO327" s="2">
        <v>0</v>
      </c>
      <c r="AP327" s="2">
        <v>0</v>
      </c>
      <c r="AQ327" s="2">
        <v>0</v>
      </c>
    </row>
    <row r="328" spans="1:44" x14ac:dyDescent="0.25">
      <c r="A328" s="1">
        <v>45915</v>
      </c>
      <c r="B328" t="s">
        <v>47</v>
      </c>
      <c r="C328">
        <v>649163</v>
      </c>
      <c r="D328">
        <v>2029969606</v>
      </c>
      <c r="E328" t="s">
        <v>831</v>
      </c>
      <c r="F328" t="s">
        <v>830</v>
      </c>
      <c r="G328" t="s">
        <v>50</v>
      </c>
      <c r="H328" t="s">
        <v>141</v>
      </c>
      <c r="I328" t="s">
        <v>306</v>
      </c>
      <c r="J328" t="s">
        <v>307</v>
      </c>
      <c r="K328">
        <v>816021</v>
      </c>
      <c r="L328" t="s">
        <v>142</v>
      </c>
      <c r="M328" t="s">
        <v>143</v>
      </c>
      <c r="N328" t="s">
        <v>1107</v>
      </c>
      <c r="O328" t="s">
        <v>56</v>
      </c>
      <c r="P328" s="1">
        <v>45854</v>
      </c>
      <c r="Q328" s="1">
        <v>45946</v>
      </c>
      <c r="R328" s="2">
        <v>63.62</v>
      </c>
      <c r="S328">
        <v>1</v>
      </c>
      <c r="T328" t="s">
        <v>57</v>
      </c>
      <c r="U328" t="s">
        <v>58</v>
      </c>
      <c r="V328" s="3">
        <v>0.375</v>
      </c>
      <c r="W328" s="2">
        <v>0</v>
      </c>
      <c r="X328">
        <v>0</v>
      </c>
      <c r="Y328" t="s">
        <v>70</v>
      </c>
      <c r="Z328" t="s">
        <v>60</v>
      </c>
      <c r="AA328">
        <v>0</v>
      </c>
      <c r="AB328" s="2">
        <v>0</v>
      </c>
      <c r="AC328" s="2">
        <v>0</v>
      </c>
      <c r="AD328" s="4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23.86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</row>
    <row r="329" spans="1:44" x14ac:dyDescent="0.25">
      <c r="A329" s="1">
        <v>45915</v>
      </c>
      <c r="B329" t="s">
        <v>47</v>
      </c>
      <c r="C329">
        <v>649163</v>
      </c>
      <c r="D329">
        <v>2030455580</v>
      </c>
      <c r="E329" t="s">
        <v>710</v>
      </c>
      <c r="F329" t="s">
        <v>398</v>
      </c>
      <c r="G329" t="s">
        <v>50</v>
      </c>
      <c r="H329" t="s">
        <v>141</v>
      </c>
      <c r="I329" t="s">
        <v>306</v>
      </c>
      <c r="J329" t="s">
        <v>307</v>
      </c>
      <c r="K329">
        <v>816021</v>
      </c>
      <c r="L329" t="s">
        <v>142</v>
      </c>
      <c r="M329" t="s">
        <v>143</v>
      </c>
      <c r="N329" t="s">
        <v>1107</v>
      </c>
      <c r="O329" t="s">
        <v>56</v>
      </c>
      <c r="P329" s="1">
        <v>45882</v>
      </c>
      <c r="Q329" s="1">
        <v>45943</v>
      </c>
      <c r="R329" s="2">
        <v>160.85</v>
      </c>
      <c r="S329">
        <v>1</v>
      </c>
      <c r="T329" t="s">
        <v>57</v>
      </c>
      <c r="U329" t="s">
        <v>58</v>
      </c>
      <c r="V329" s="3">
        <v>0.375</v>
      </c>
      <c r="W329" s="2">
        <v>0</v>
      </c>
      <c r="X329">
        <v>0</v>
      </c>
      <c r="Y329" t="s">
        <v>70</v>
      </c>
      <c r="Z329" t="s">
        <v>60</v>
      </c>
      <c r="AA329">
        <v>0</v>
      </c>
      <c r="AB329" s="2">
        <v>0</v>
      </c>
      <c r="AC329" s="2">
        <v>0</v>
      </c>
      <c r="AD329" s="4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60.32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</row>
    <row r="330" spans="1:44" x14ac:dyDescent="0.25">
      <c r="A330" s="1">
        <v>45915</v>
      </c>
      <c r="B330" t="s">
        <v>47</v>
      </c>
      <c r="C330">
        <v>649163</v>
      </c>
      <c r="D330">
        <v>2030455579</v>
      </c>
      <c r="E330" t="s">
        <v>710</v>
      </c>
      <c r="F330" t="s">
        <v>398</v>
      </c>
      <c r="G330" t="s">
        <v>50</v>
      </c>
      <c r="H330" t="s">
        <v>141</v>
      </c>
      <c r="I330" t="s">
        <v>430</v>
      </c>
      <c r="J330" t="s">
        <v>431</v>
      </c>
      <c r="K330">
        <v>816021</v>
      </c>
      <c r="L330" t="s">
        <v>142</v>
      </c>
      <c r="M330" t="s">
        <v>143</v>
      </c>
      <c r="N330" t="s">
        <v>1107</v>
      </c>
      <c r="O330" t="s">
        <v>56</v>
      </c>
      <c r="P330" s="1">
        <v>45882</v>
      </c>
      <c r="Q330" s="1">
        <v>45943</v>
      </c>
      <c r="R330" s="2">
        <v>60.5</v>
      </c>
      <c r="S330">
        <v>1</v>
      </c>
      <c r="T330" t="s">
        <v>57</v>
      </c>
      <c r="U330" t="s">
        <v>58</v>
      </c>
      <c r="V330" s="4">
        <v>0.38</v>
      </c>
      <c r="W330" s="2">
        <v>0</v>
      </c>
      <c r="X330">
        <v>0</v>
      </c>
      <c r="Y330" t="s">
        <v>70</v>
      </c>
      <c r="Z330" t="s">
        <v>60</v>
      </c>
      <c r="AA330">
        <v>0</v>
      </c>
      <c r="AB330" s="2">
        <v>0</v>
      </c>
      <c r="AC330" s="2">
        <v>0</v>
      </c>
      <c r="AD330" s="4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22.99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</row>
    <row r="331" spans="1:44" x14ac:dyDescent="0.25">
      <c r="A331" s="1">
        <v>45915</v>
      </c>
      <c r="B331" t="s">
        <v>47</v>
      </c>
      <c r="C331">
        <v>649163</v>
      </c>
      <c r="D331">
        <v>2030455581</v>
      </c>
      <c r="E331" t="s">
        <v>710</v>
      </c>
      <c r="F331" t="s">
        <v>398</v>
      </c>
      <c r="G331" t="s">
        <v>50</v>
      </c>
      <c r="H331" t="s">
        <v>141</v>
      </c>
      <c r="I331" t="s">
        <v>441</v>
      </c>
      <c r="J331" t="s">
        <v>445</v>
      </c>
      <c r="K331">
        <v>816021</v>
      </c>
      <c r="L331" t="s">
        <v>142</v>
      </c>
      <c r="M331" t="s">
        <v>143</v>
      </c>
      <c r="N331" t="s">
        <v>1107</v>
      </c>
      <c r="O331" t="s">
        <v>56</v>
      </c>
      <c r="P331" s="1">
        <v>45882</v>
      </c>
      <c r="Q331" s="1">
        <v>45943</v>
      </c>
      <c r="R331" s="2">
        <v>27.38</v>
      </c>
      <c r="S331">
        <v>1</v>
      </c>
      <c r="T331" t="s">
        <v>57</v>
      </c>
      <c r="U331" t="s">
        <v>58</v>
      </c>
      <c r="V331" s="4">
        <v>0.7</v>
      </c>
      <c r="W331" s="2">
        <v>0</v>
      </c>
      <c r="X331">
        <v>0</v>
      </c>
      <c r="Y331" t="s">
        <v>70</v>
      </c>
      <c r="Z331" t="s">
        <v>60</v>
      </c>
      <c r="AA331">
        <v>0</v>
      </c>
      <c r="AB331" s="2">
        <v>0</v>
      </c>
      <c r="AC331" s="2">
        <v>0</v>
      </c>
      <c r="AD331" s="4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19.170000000000002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</row>
    <row r="332" spans="1:44" x14ac:dyDescent="0.25">
      <c r="A332" s="1">
        <v>45915</v>
      </c>
      <c r="B332" t="s">
        <v>47</v>
      </c>
      <c r="C332">
        <v>649163</v>
      </c>
      <c r="D332">
        <v>2030455583</v>
      </c>
      <c r="E332" t="s">
        <v>710</v>
      </c>
      <c r="F332" t="s">
        <v>398</v>
      </c>
      <c r="G332" t="s">
        <v>50</v>
      </c>
      <c r="H332" t="s">
        <v>141</v>
      </c>
      <c r="I332" t="s">
        <v>441</v>
      </c>
      <c r="J332" t="s">
        <v>442</v>
      </c>
      <c r="K332">
        <v>816021</v>
      </c>
      <c r="L332" t="s">
        <v>142</v>
      </c>
      <c r="M332" t="s">
        <v>143</v>
      </c>
      <c r="N332" t="s">
        <v>1107</v>
      </c>
      <c r="O332" t="s">
        <v>56</v>
      </c>
      <c r="P332" s="1">
        <v>45882</v>
      </c>
      <c r="Q332" s="1">
        <v>45943</v>
      </c>
      <c r="R332" s="2">
        <v>52.92</v>
      </c>
      <c r="S332">
        <v>1</v>
      </c>
      <c r="T332" t="s">
        <v>57</v>
      </c>
      <c r="U332" t="s">
        <v>58</v>
      </c>
      <c r="V332" s="4">
        <v>0.9</v>
      </c>
      <c r="W332" s="2">
        <v>0</v>
      </c>
      <c r="X332">
        <v>0</v>
      </c>
      <c r="Y332" t="s">
        <v>70</v>
      </c>
      <c r="Z332" t="s">
        <v>60</v>
      </c>
      <c r="AA332">
        <v>0</v>
      </c>
      <c r="AB332" s="2">
        <v>0</v>
      </c>
      <c r="AC332" s="2">
        <v>0</v>
      </c>
      <c r="AD332" s="4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47.63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</row>
    <row r="333" spans="1:44" x14ac:dyDescent="0.25">
      <c r="A333" s="1">
        <v>45915</v>
      </c>
      <c r="B333" t="s">
        <v>602</v>
      </c>
      <c r="C333">
        <v>649163</v>
      </c>
      <c r="D333">
        <v>2029067254</v>
      </c>
      <c r="E333" t="s">
        <v>620</v>
      </c>
      <c r="F333" t="s">
        <v>619</v>
      </c>
      <c r="G333" t="s">
        <v>50</v>
      </c>
      <c r="I333" t="s">
        <v>441</v>
      </c>
      <c r="J333" t="s">
        <v>445</v>
      </c>
      <c r="K333">
        <v>649163</v>
      </c>
      <c r="L333" t="s">
        <v>142</v>
      </c>
      <c r="M333" t="s">
        <v>143</v>
      </c>
      <c r="N333" t="s">
        <v>1107</v>
      </c>
      <c r="O333" t="s">
        <v>230</v>
      </c>
      <c r="P333" s="1">
        <v>45809</v>
      </c>
      <c r="R333" s="2">
        <v>0</v>
      </c>
      <c r="AB333" s="2">
        <v>81.86</v>
      </c>
      <c r="AC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54.57</v>
      </c>
      <c r="AN333" s="2">
        <v>-27.29</v>
      </c>
      <c r="AO333" s="2">
        <v>-27.29</v>
      </c>
      <c r="AP333" s="2">
        <v>0</v>
      </c>
      <c r="AQ333" s="2">
        <v>0</v>
      </c>
      <c r="AR333" t="s">
        <v>605</v>
      </c>
    </row>
    <row r="334" spans="1:44" x14ac:dyDescent="0.25">
      <c r="A334" s="1">
        <v>45915</v>
      </c>
      <c r="B334" t="s">
        <v>602</v>
      </c>
      <c r="C334">
        <v>649163</v>
      </c>
      <c r="D334">
        <v>2029067255</v>
      </c>
      <c r="E334" t="s">
        <v>620</v>
      </c>
      <c r="F334" t="s">
        <v>619</v>
      </c>
      <c r="G334" t="s">
        <v>50</v>
      </c>
      <c r="I334" t="s">
        <v>106</v>
      </c>
      <c r="J334" t="s">
        <v>146</v>
      </c>
      <c r="K334">
        <v>649163</v>
      </c>
      <c r="L334" t="s">
        <v>142</v>
      </c>
      <c r="M334" t="s">
        <v>143</v>
      </c>
      <c r="N334" t="s">
        <v>1107</v>
      </c>
      <c r="O334" t="s">
        <v>230</v>
      </c>
      <c r="P334" s="1">
        <v>45809</v>
      </c>
      <c r="R334" s="2">
        <v>0</v>
      </c>
      <c r="AB334" s="2">
        <v>96.64</v>
      </c>
      <c r="AC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64.430000000000007</v>
      </c>
      <c r="AN334" s="2">
        <v>-32.21</v>
      </c>
      <c r="AO334" s="2">
        <v>-32.21</v>
      </c>
      <c r="AP334" s="2">
        <v>0</v>
      </c>
      <c r="AQ334" s="2">
        <v>0</v>
      </c>
      <c r="AR334" t="s">
        <v>605</v>
      </c>
    </row>
    <row r="335" spans="1:44" x14ac:dyDescent="0.25">
      <c r="A335" s="1">
        <v>45915</v>
      </c>
      <c r="B335" t="s">
        <v>602</v>
      </c>
      <c r="C335">
        <v>16865615</v>
      </c>
      <c r="D335">
        <v>2029416122</v>
      </c>
      <c r="E335" t="s">
        <v>618</v>
      </c>
      <c r="F335" t="s">
        <v>617</v>
      </c>
      <c r="G335" t="s">
        <v>50</v>
      </c>
      <c r="I335" t="s">
        <v>306</v>
      </c>
      <c r="J335" t="s">
        <v>307</v>
      </c>
      <c r="K335">
        <v>16865615</v>
      </c>
      <c r="L335" t="s">
        <v>142</v>
      </c>
      <c r="M335" t="s">
        <v>143</v>
      </c>
      <c r="N335" t="s">
        <v>1107</v>
      </c>
      <c r="O335" t="s">
        <v>230</v>
      </c>
      <c r="P335" s="1">
        <v>45824</v>
      </c>
      <c r="R335" s="2">
        <v>0</v>
      </c>
      <c r="AB335" s="2">
        <v>140.51</v>
      </c>
      <c r="AC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46.84</v>
      </c>
      <c r="AN335" s="2">
        <v>-93.67</v>
      </c>
      <c r="AO335" s="2">
        <v>-93.67</v>
      </c>
      <c r="AP335" s="2">
        <v>0</v>
      </c>
      <c r="AQ335" s="2">
        <v>0</v>
      </c>
      <c r="AR335" t="s">
        <v>605</v>
      </c>
    </row>
    <row r="336" spans="1:44" x14ac:dyDescent="0.25">
      <c r="A336" s="1">
        <v>45915</v>
      </c>
      <c r="B336" t="s">
        <v>602</v>
      </c>
      <c r="C336">
        <v>16865615</v>
      </c>
      <c r="D336">
        <v>2029416123</v>
      </c>
      <c r="E336" t="s">
        <v>618</v>
      </c>
      <c r="F336" t="s">
        <v>617</v>
      </c>
      <c r="G336" t="s">
        <v>50</v>
      </c>
      <c r="I336" t="s">
        <v>430</v>
      </c>
      <c r="J336" t="s">
        <v>438</v>
      </c>
      <c r="K336">
        <v>16865615</v>
      </c>
      <c r="L336" t="s">
        <v>142</v>
      </c>
      <c r="M336" t="s">
        <v>143</v>
      </c>
      <c r="N336" t="s">
        <v>1107</v>
      </c>
      <c r="O336" t="s">
        <v>230</v>
      </c>
      <c r="P336" s="1">
        <v>45824</v>
      </c>
      <c r="R336" s="2">
        <v>0</v>
      </c>
      <c r="AB336" s="2">
        <v>465.62</v>
      </c>
      <c r="AC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155.21</v>
      </c>
      <c r="AN336" s="2">
        <v>-310.41000000000003</v>
      </c>
      <c r="AO336" s="2">
        <v>-310.41000000000003</v>
      </c>
      <c r="AP336" s="2">
        <v>0</v>
      </c>
      <c r="AQ336" s="2">
        <v>0</v>
      </c>
      <c r="AR336" t="s">
        <v>605</v>
      </c>
    </row>
    <row r="337" spans="1:44" x14ac:dyDescent="0.25">
      <c r="A337" s="1">
        <v>45915</v>
      </c>
      <c r="B337" t="s">
        <v>602</v>
      </c>
      <c r="C337">
        <v>16865615</v>
      </c>
      <c r="D337">
        <v>2029416125</v>
      </c>
      <c r="E337" t="s">
        <v>618</v>
      </c>
      <c r="F337" t="s">
        <v>617</v>
      </c>
      <c r="G337" t="s">
        <v>50</v>
      </c>
      <c r="I337" t="s">
        <v>430</v>
      </c>
      <c r="J337" t="s">
        <v>439</v>
      </c>
      <c r="K337">
        <v>16865615</v>
      </c>
      <c r="L337" t="s">
        <v>142</v>
      </c>
      <c r="M337" t="s">
        <v>143</v>
      </c>
      <c r="N337" t="s">
        <v>1107</v>
      </c>
      <c r="O337" t="s">
        <v>230</v>
      </c>
      <c r="P337" s="1">
        <v>45824</v>
      </c>
      <c r="R337" s="2">
        <v>0</v>
      </c>
      <c r="AB337" s="2">
        <v>16.170000000000002</v>
      </c>
      <c r="AC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5.39</v>
      </c>
      <c r="AN337" s="2">
        <v>-10.78</v>
      </c>
      <c r="AO337" s="2">
        <v>-10.78</v>
      </c>
      <c r="AP337" s="2">
        <v>0</v>
      </c>
      <c r="AQ337" s="2">
        <v>0</v>
      </c>
      <c r="AR337" t="s">
        <v>605</v>
      </c>
    </row>
    <row r="338" spans="1:44" x14ac:dyDescent="0.25">
      <c r="A338" s="1">
        <v>45915</v>
      </c>
      <c r="B338" t="s">
        <v>602</v>
      </c>
      <c r="C338">
        <v>16865615</v>
      </c>
      <c r="D338">
        <v>2029416126</v>
      </c>
      <c r="E338" t="s">
        <v>618</v>
      </c>
      <c r="F338" t="s">
        <v>617</v>
      </c>
      <c r="G338" t="s">
        <v>50</v>
      </c>
      <c r="I338" t="s">
        <v>441</v>
      </c>
      <c r="J338" t="s">
        <v>445</v>
      </c>
      <c r="K338">
        <v>16865615</v>
      </c>
      <c r="L338" t="s">
        <v>142</v>
      </c>
      <c r="M338" t="s">
        <v>143</v>
      </c>
      <c r="N338" t="s">
        <v>1107</v>
      </c>
      <c r="O338" t="s">
        <v>230</v>
      </c>
      <c r="P338" s="1">
        <v>45824</v>
      </c>
      <c r="R338" s="2">
        <v>0</v>
      </c>
      <c r="AB338" s="2">
        <v>38.22</v>
      </c>
      <c r="AC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12.74</v>
      </c>
      <c r="AN338" s="2">
        <v>-25.48</v>
      </c>
      <c r="AO338" s="2">
        <v>-25.48</v>
      </c>
      <c r="AP338" s="2">
        <v>0</v>
      </c>
      <c r="AQ338" s="2">
        <v>0</v>
      </c>
      <c r="AR338" t="s">
        <v>605</v>
      </c>
    </row>
    <row r="339" spans="1:44" x14ac:dyDescent="0.25">
      <c r="A339" s="1">
        <v>45915</v>
      </c>
      <c r="B339" t="s">
        <v>47</v>
      </c>
      <c r="C339">
        <v>649163</v>
      </c>
      <c r="D339">
        <v>2030474678</v>
      </c>
      <c r="E339" t="s">
        <v>709</v>
      </c>
      <c r="F339" t="s">
        <v>708</v>
      </c>
      <c r="G339" t="s">
        <v>50</v>
      </c>
      <c r="H339" t="s">
        <v>151</v>
      </c>
      <c r="I339" t="s">
        <v>441</v>
      </c>
      <c r="J339" t="s">
        <v>445</v>
      </c>
      <c r="K339">
        <v>878036</v>
      </c>
      <c r="L339" t="s">
        <v>707</v>
      </c>
      <c r="M339" t="s">
        <v>706</v>
      </c>
      <c r="N339" t="s">
        <v>1140</v>
      </c>
      <c r="O339" t="s">
        <v>56</v>
      </c>
      <c r="P339" s="1">
        <v>45884</v>
      </c>
      <c r="Q339" s="1">
        <v>45945</v>
      </c>
      <c r="R339" s="2">
        <v>55.61</v>
      </c>
      <c r="S339">
        <v>1</v>
      </c>
      <c r="T339" t="s">
        <v>57</v>
      </c>
      <c r="U339" t="s">
        <v>58</v>
      </c>
      <c r="V339" s="4">
        <v>0.7</v>
      </c>
      <c r="W339" s="2">
        <v>0</v>
      </c>
      <c r="X339">
        <v>0</v>
      </c>
      <c r="Y339" t="s">
        <v>70</v>
      </c>
      <c r="Z339" t="s">
        <v>60</v>
      </c>
      <c r="AA339">
        <v>0</v>
      </c>
      <c r="AB339" s="2">
        <v>0</v>
      </c>
      <c r="AC339" s="2">
        <v>0</v>
      </c>
      <c r="AD339" s="4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38.93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</row>
    <row r="340" spans="1:44" x14ac:dyDescent="0.25">
      <c r="A340" s="1">
        <v>45922</v>
      </c>
      <c r="B340" t="s">
        <v>47</v>
      </c>
      <c r="C340">
        <v>649163</v>
      </c>
      <c r="D340">
        <v>2027965834</v>
      </c>
      <c r="E340" t="s">
        <v>168</v>
      </c>
      <c r="F340" t="s">
        <v>169</v>
      </c>
      <c r="G340" t="s">
        <v>50</v>
      </c>
      <c r="H340" t="s">
        <v>151</v>
      </c>
      <c r="I340" t="s">
        <v>106</v>
      </c>
      <c r="J340" t="s">
        <v>146</v>
      </c>
      <c r="K340">
        <v>812782</v>
      </c>
      <c r="L340" t="s">
        <v>170</v>
      </c>
      <c r="M340" t="s">
        <v>171</v>
      </c>
      <c r="N340" t="s">
        <v>1108</v>
      </c>
      <c r="O340" t="s">
        <v>56</v>
      </c>
      <c r="P340" s="1">
        <v>45738</v>
      </c>
      <c r="Q340" s="1">
        <v>45952</v>
      </c>
      <c r="R340" s="2">
        <v>8.64</v>
      </c>
      <c r="S340">
        <v>1</v>
      </c>
      <c r="T340" t="s">
        <v>57</v>
      </c>
      <c r="U340" t="s">
        <v>58</v>
      </c>
      <c r="V340" s="4">
        <v>0.65</v>
      </c>
      <c r="W340" s="2">
        <v>0</v>
      </c>
      <c r="X340">
        <v>0</v>
      </c>
      <c r="Y340" t="s">
        <v>70</v>
      </c>
      <c r="Z340" t="s">
        <v>60</v>
      </c>
      <c r="AA340">
        <v>0</v>
      </c>
      <c r="AB340" s="2">
        <v>0</v>
      </c>
      <c r="AC340" s="2">
        <v>0</v>
      </c>
      <c r="AD340" s="4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5.62</v>
      </c>
      <c r="AN340" s="2">
        <v>5.62</v>
      </c>
      <c r="AO340" s="2">
        <v>0</v>
      </c>
      <c r="AP340" s="2">
        <v>0</v>
      </c>
      <c r="AQ340" s="2">
        <v>0</v>
      </c>
    </row>
    <row r="341" spans="1:44" x14ac:dyDescent="0.25">
      <c r="A341" s="1">
        <v>45922</v>
      </c>
      <c r="B341" t="s">
        <v>47</v>
      </c>
      <c r="C341">
        <v>649163</v>
      </c>
      <c r="D341">
        <v>2027965833</v>
      </c>
      <c r="E341" t="s">
        <v>168</v>
      </c>
      <c r="F341" t="s">
        <v>169</v>
      </c>
      <c r="G341" t="s">
        <v>50</v>
      </c>
      <c r="H341" t="s">
        <v>151</v>
      </c>
      <c r="I341" t="s">
        <v>441</v>
      </c>
      <c r="J341" t="s">
        <v>445</v>
      </c>
      <c r="K341">
        <v>812782</v>
      </c>
      <c r="L341" t="s">
        <v>170</v>
      </c>
      <c r="M341" t="s">
        <v>171</v>
      </c>
      <c r="N341" t="s">
        <v>1108</v>
      </c>
      <c r="O341" t="s">
        <v>56</v>
      </c>
      <c r="P341" s="1">
        <v>45738</v>
      </c>
      <c r="Q341" s="1">
        <v>45952</v>
      </c>
      <c r="R341" s="2">
        <v>17.07</v>
      </c>
      <c r="S341">
        <v>1</v>
      </c>
      <c r="T341" t="s">
        <v>57</v>
      </c>
      <c r="U341" t="s">
        <v>58</v>
      </c>
      <c r="V341" s="4">
        <v>0.7</v>
      </c>
      <c r="W341" s="2">
        <v>0</v>
      </c>
      <c r="X341">
        <v>0</v>
      </c>
      <c r="Y341" t="s">
        <v>70</v>
      </c>
      <c r="Z341" t="s">
        <v>60</v>
      </c>
      <c r="AA341">
        <v>0</v>
      </c>
      <c r="AB341" s="2">
        <v>0</v>
      </c>
      <c r="AC341" s="2">
        <v>0</v>
      </c>
      <c r="AD341" s="4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11.95</v>
      </c>
      <c r="AN341" s="2">
        <v>11.95</v>
      </c>
      <c r="AO341" s="2">
        <v>0</v>
      </c>
      <c r="AP341" s="2">
        <v>0</v>
      </c>
      <c r="AQ341" s="2">
        <v>0</v>
      </c>
    </row>
    <row r="342" spans="1:44" x14ac:dyDescent="0.25">
      <c r="A342" s="1">
        <v>45915</v>
      </c>
      <c r="B342" t="s">
        <v>47</v>
      </c>
      <c r="C342">
        <v>649163</v>
      </c>
      <c r="D342">
        <v>2029434655</v>
      </c>
      <c r="E342" t="s">
        <v>930</v>
      </c>
      <c r="F342" t="s">
        <v>760</v>
      </c>
      <c r="G342" t="s">
        <v>50</v>
      </c>
      <c r="H342" t="s">
        <v>151</v>
      </c>
      <c r="I342" t="s">
        <v>441</v>
      </c>
      <c r="J342" t="s">
        <v>445</v>
      </c>
      <c r="K342">
        <v>812782</v>
      </c>
      <c r="L342" t="s">
        <v>170</v>
      </c>
      <c r="M342" t="s">
        <v>171</v>
      </c>
      <c r="N342" t="s">
        <v>1108</v>
      </c>
      <c r="O342" t="s">
        <v>56</v>
      </c>
      <c r="P342" s="1">
        <v>45821</v>
      </c>
      <c r="Q342" s="1">
        <v>45943</v>
      </c>
      <c r="R342" s="2">
        <v>83.79</v>
      </c>
      <c r="S342">
        <v>1</v>
      </c>
      <c r="T342" t="s">
        <v>57</v>
      </c>
      <c r="U342" t="s">
        <v>58</v>
      </c>
      <c r="V342" s="4">
        <v>0.7</v>
      </c>
      <c r="W342" s="2">
        <v>0</v>
      </c>
      <c r="X342">
        <v>0</v>
      </c>
      <c r="Y342" t="s">
        <v>70</v>
      </c>
      <c r="Z342" t="s">
        <v>60</v>
      </c>
      <c r="AA342">
        <v>0</v>
      </c>
      <c r="AB342" s="2">
        <v>0</v>
      </c>
      <c r="AC342" s="2">
        <v>0</v>
      </c>
      <c r="AD342" s="4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58.65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</row>
    <row r="343" spans="1:44" x14ac:dyDescent="0.25">
      <c r="A343" s="1">
        <v>45915</v>
      </c>
      <c r="B343" t="s">
        <v>47</v>
      </c>
      <c r="C343">
        <v>649163</v>
      </c>
      <c r="D343">
        <v>2028450758</v>
      </c>
      <c r="E343" t="s">
        <v>868</v>
      </c>
      <c r="F343" t="s">
        <v>867</v>
      </c>
      <c r="G343" t="s">
        <v>50</v>
      </c>
      <c r="H343" t="s">
        <v>93</v>
      </c>
      <c r="I343" t="s">
        <v>306</v>
      </c>
      <c r="J343" t="s">
        <v>307</v>
      </c>
      <c r="K343">
        <v>812782</v>
      </c>
      <c r="L343" t="s">
        <v>170</v>
      </c>
      <c r="M343" t="s">
        <v>171</v>
      </c>
      <c r="N343" t="s">
        <v>1108</v>
      </c>
      <c r="O343" t="s">
        <v>56</v>
      </c>
      <c r="P343" s="1">
        <v>45764</v>
      </c>
      <c r="Q343" s="1">
        <v>45947</v>
      </c>
      <c r="R343" s="2">
        <v>51.01</v>
      </c>
      <c r="S343">
        <v>1</v>
      </c>
      <c r="T343" t="s">
        <v>57</v>
      </c>
      <c r="U343" t="s">
        <v>58</v>
      </c>
      <c r="V343" s="3">
        <v>0.375</v>
      </c>
      <c r="W343" s="2">
        <v>0</v>
      </c>
      <c r="X343">
        <v>0</v>
      </c>
      <c r="Y343" t="s">
        <v>70</v>
      </c>
      <c r="Z343" t="s">
        <v>60</v>
      </c>
      <c r="AA343">
        <v>0</v>
      </c>
      <c r="AB343" s="2">
        <v>0</v>
      </c>
      <c r="AC343" s="2">
        <v>0</v>
      </c>
      <c r="AD343" s="4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19.13</v>
      </c>
      <c r="AN343" s="2">
        <v>19.13</v>
      </c>
      <c r="AO343" s="2">
        <v>0</v>
      </c>
      <c r="AP343" s="2">
        <v>0</v>
      </c>
      <c r="AQ343" s="2">
        <v>0</v>
      </c>
    </row>
    <row r="344" spans="1:44" x14ac:dyDescent="0.25">
      <c r="A344" s="1">
        <v>45922</v>
      </c>
      <c r="B344" t="s">
        <v>47</v>
      </c>
      <c r="C344">
        <v>649163</v>
      </c>
      <c r="D344">
        <v>2030077439</v>
      </c>
      <c r="E344" t="s">
        <v>207</v>
      </c>
      <c r="F344" t="s">
        <v>208</v>
      </c>
      <c r="G344" t="s">
        <v>50</v>
      </c>
      <c r="H344" t="s">
        <v>209</v>
      </c>
      <c r="I344" t="s">
        <v>106</v>
      </c>
      <c r="J344" t="s">
        <v>184</v>
      </c>
      <c r="K344">
        <v>856824</v>
      </c>
      <c r="L344" t="s">
        <v>210</v>
      </c>
      <c r="M344" t="s">
        <v>211</v>
      </c>
      <c r="N344" t="s">
        <v>1081</v>
      </c>
      <c r="O344" t="s">
        <v>56</v>
      </c>
      <c r="P344" s="1">
        <v>45860</v>
      </c>
      <c r="Q344" s="1">
        <v>45952</v>
      </c>
      <c r="R344" s="2">
        <v>48.01</v>
      </c>
      <c r="S344">
        <v>1</v>
      </c>
      <c r="T344" t="s">
        <v>57</v>
      </c>
      <c r="U344" t="s">
        <v>58</v>
      </c>
      <c r="V344" s="4">
        <v>0.75</v>
      </c>
      <c r="W344" s="2">
        <v>0</v>
      </c>
      <c r="X344">
        <v>0</v>
      </c>
      <c r="Y344" t="s">
        <v>70</v>
      </c>
      <c r="Z344" t="s">
        <v>60</v>
      </c>
      <c r="AA344">
        <v>0</v>
      </c>
      <c r="AB344" s="2">
        <v>0</v>
      </c>
      <c r="AC344" s="2">
        <v>0</v>
      </c>
      <c r="AD344" s="4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36.01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</row>
    <row r="345" spans="1:44" x14ac:dyDescent="0.25">
      <c r="A345" s="1">
        <v>45922</v>
      </c>
      <c r="B345" t="s">
        <v>47</v>
      </c>
      <c r="C345">
        <v>649163</v>
      </c>
      <c r="D345">
        <v>2029051888</v>
      </c>
      <c r="E345" t="s">
        <v>160</v>
      </c>
      <c r="F345" t="s">
        <v>270</v>
      </c>
      <c r="G345" t="s">
        <v>50</v>
      </c>
      <c r="H345" t="s">
        <v>115</v>
      </c>
      <c r="I345" t="s">
        <v>243</v>
      </c>
      <c r="J345" t="s">
        <v>244</v>
      </c>
      <c r="K345">
        <v>856824</v>
      </c>
      <c r="L345" t="s">
        <v>210</v>
      </c>
      <c r="M345" t="s">
        <v>211</v>
      </c>
      <c r="N345" t="s">
        <v>1081</v>
      </c>
      <c r="O345" t="s">
        <v>56</v>
      </c>
      <c r="P345" s="1">
        <v>45799</v>
      </c>
      <c r="Q345" s="1">
        <v>45952</v>
      </c>
      <c r="R345" s="2">
        <v>15</v>
      </c>
      <c r="S345">
        <v>1</v>
      </c>
      <c r="T345" t="s">
        <v>57</v>
      </c>
      <c r="U345" t="s">
        <v>58</v>
      </c>
      <c r="V345" s="4">
        <v>0.28999999999999998</v>
      </c>
      <c r="W345" s="2">
        <v>0</v>
      </c>
      <c r="X345">
        <v>0</v>
      </c>
      <c r="Y345" t="s">
        <v>70</v>
      </c>
      <c r="Z345" t="s">
        <v>60</v>
      </c>
      <c r="AA345">
        <v>0</v>
      </c>
      <c r="AB345" s="2">
        <v>0</v>
      </c>
      <c r="AC345" s="2">
        <v>0</v>
      </c>
      <c r="AD345" s="4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4.3499999999999996</v>
      </c>
      <c r="AN345" s="2">
        <v>4.3499999999999996</v>
      </c>
      <c r="AO345" s="2">
        <v>0</v>
      </c>
      <c r="AP345" s="2">
        <v>0</v>
      </c>
      <c r="AQ345" s="2">
        <v>0</v>
      </c>
    </row>
    <row r="346" spans="1:44" x14ac:dyDescent="0.25">
      <c r="A346" s="1">
        <v>45922</v>
      </c>
      <c r="B346" t="s">
        <v>47</v>
      </c>
      <c r="C346">
        <v>649163</v>
      </c>
      <c r="D346">
        <v>2030084096</v>
      </c>
      <c r="E346" t="s">
        <v>532</v>
      </c>
      <c r="F346" t="s">
        <v>533</v>
      </c>
      <c r="G346" t="s">
        <v>50</v>
      </c>
      <c r="H346" t="s">
        <v>93</v>
      </c>
      <c r="I346" t="s">
        <v>441</v>
      </c>
      <c r="J346" t="s">
        <v>451</v>
      </c>
      <c r="K346">
        <v>843573</v>
      </c>
      <c r="L346" t="s">
        <v>534</v>
      </c>
      <c r="M346" t="s">
        <v>535</v>
      </c>
      <c r="N346" t="s">
        <v>1127</v>
      </c>
      <c r="O346" t="s">
        <v>56</v>
      </c>
      <c r="P346" s="1">
        <v>45862</v>
      </c>
      <c r="Q346" s="1">
        <v>45954</v>
      </c>
      <c r="R346" s="2">
        <v>25.08</v>
      </c>
      <c r="S346">
        <v>1</v>
      </c>
      <c r="T346" t="s">
        <v>57</v>
      </c>
      <c r="U346" t="s">
        <v>58</v>
      </c>
      <c r="V346" s="4">
        <v>0.42</v>
      </c>
      <c r="W346" s="2">
        <v>0</v>
      </c>
      <c r="X346">
        <v>0</v>
      </c>
      <c r="Y346" t="s">
        <v>70</v>
      </c>
      <c r="Z346" t="s">
        <v>60</v>
      </c>
      <c r="AA346">
        <v>0</v>
      </c>
      <c r="AB346" s="2">
        <v>0</v>
      </c>
      <c r="AC346" s="2">
        <v>0</v>
      </c>
      <c r="AD346" s="4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10.53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</row>
    <row r="347" spans="1:44" x14ac:dyDescent="0.25">
      <c r="A347" s="1">
        <v>45922</v>
      </c>
      <c r="B347" t="s">
        <v>47</v>
      </c>
      <c r="C347">
        <v>649163</v>
      </c>
      <c r="D347">
        <v>2030084097</v>
      </c>
      <c r="E347" t="s">
        <v>532</v>
      </c>
      <c r="F347" t="s">
        <v>533</v>
      </c>
      <c r="G347" t="s">
        <v>50</v>
      </c>
      <c r="H347" t="s">
        <v>93</v>
      </c>
      <c r="I347" t="s">
        <v>441</v>
      </c>
      <c r="J347" t="s">
        <v>445</v>
      </c>
      <c r="K347">
        <v>843573</v>
      </c>
      <c r="L347" t="s">
        <v>534</v>
      </c>
      <c r="M347" t="s">
        <v>535</v>
      </c>
      <c r="N347" t="s">
        <v>1127</v>
      </c>
      <c r="O347" t="s">
        <v>56</v>
      </c>
      <c r="P347" s="1">
        <v>45862</v>
      </c>
      <c r="Q347" s="1">
        <v>45954</v>
      </c>
      <c r="R347" s="2">
        <v>19</v>
      </c>
      <c r="S347">
        <v>1</v>
      </c>
      <c r="T347" t="s">
        <v>57</v>
      </c>
      <c r="U347" t="s">
        <v>58</v>
      </c>
      <c r="V347" s="4">
        <v>0.7</v>
      </c>
      <c r="W347" s="2">
        <v>0</v>
      </c>
      <c r="X347">
        <v>0</v>
      </c>
      <c r="Y347" t="s">
        <v>70</v>
      </c>
      <c r="Z347" t="s">
        <v>60</v>
      </c>
      <c r="AA347">
        <v>0</v>
      </c>
      <c r="AB347" s="2">
        <v>0</v>
      </c>
      <c r="AC347" s="2">
        <v>0</v>
      </c>
      <c r="AD347" s="4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13.3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</row>
    <row r="348" spans="1:44" x14ac:dyDescent="0.25">
      <c r="A348" s="1">
        <v>45922</v>
      </c>
      <c r="B348" t="s">
        <v>47</v>
      </c>
      <c r="C348">
        <v>649163</v>
      </c>
      <c r="D348">
        <v>2030510930</v>
      </c>
      <c r="E348" t="s">
        <v>546</v>
      </c>
      <c r="F348" t="s">
        <v>547</v>
      </c>
      <c r="G348" t="s">
        <v>50</v>
      </c>
      <c r="H348" t="s">
        <v>93</v>
      </c>
      <c r="I348" t="s">
        <v>441</v>
      </c>
      <c r="J348" t="s">
        <v>445</v>
      </c>
      <c r="K348">
        <v>843573</v>
      </c>
      <c r="L348" t="s">
        <v>534</v>
      </c>
      <c r="M348" t="s">
        <v>535</v>
      </c>
      <c r="N348" t="s">
        <v>1127</v>
      </c>
      <c r="O348" t="s">
        <v>56</v>
      </c>
      <c r="P348" s="1">
        <v>45887</v>
      </c>
      <c r="Q348" s="1">
        <v>45948</v>
      </c>
      <c r="R348" s="2">
        <v>35.06</v>
      </c>
      <c r="S348">
        <v>1</v>
      </c>
      <c r="T348" t="s">
        <v>57</v>
      </c>
      <c r="U348" t="s">
        <v>58</v>
      </c>
      <c r="V348" s="4">
        <v>0.7</v>
      </c>
      <c r="W348" s="2">
        <v>0</v>
      </c>
      <c r="X348">
        <v>0</v>
      </c>
      <c r="Y348" t="s">
        <v>70</v>
      </c>
      <c r="Z348" t="s">
        <v>60</v>
      </c>
      <c r="AA348">
        <v>0</v>
      </c>
      <c r="AB348" s="2">
        <v>0</v>
      </c>
      <c r="AC348" s="2">
        <v>0</v>
      </c>
      <c r="AD348" s="4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24.54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</row>
    <row r="349" spans="1:44" x14ac:dyDescent="0.25">
      <c r="A349" s="1">
        <v>45915</v>
      </c>
      <c r="B349" t="s">
        <v>47</v>
      </c>
      <c r="C349">
        <v>649163</v>
      </c>
      <c r="D349">
        <v>2029402295</v>
      </c>
      <c r="E349" t="s">
        <v>936</v>
      </c>
      <c r="F349" t="s">
        <v>935</v>
      </c>
      <c r="G349" t="s">
        <v>50</v>
      </c>
      <c r="H349" t="s">
        <v>93</v>
      </c>
      <c r="I349" t="s">
        <v>441</v>
      </c>
      <c r="J349" t="s">
        <v>445</v>
      </c>
      <c r="K349">
        <v>843573</v>
      </c>
      <c r="L349" t="s">
        <v>534</v>
      </c>
      <c r="M349" t="s">
        <v>535</v>
      </c>
      <c r="N349" t="s">
        <v>1127</v>
      </c>
      <c r="O349" t="s">
        <v>56</v>
      </c>
      <c r="P349" s="1">
        <v>45821</v>
      </c>
      <c r="Q349" s="1">
        <v>45943</v>
      </c>
      <c r="R349" s="2">
        <v>42.38</v>
      </c>
      <c r="S349">
        <v>1</v>
      </c>
      <c r="T349" t="s">
        <v>57</v>
      </c>
      <c r="U349" t="s">
        <v>58</v>
      </c>
      <c r="V349" s="4">
        <v>0.7</v>
      </c>
      <c r="W349" s="2">
        <v>0</v>
      </c>
      <c r="X349">
        <v>0</v>
      </c>
      <c r="Y349" t="s">
        <v>70</v>
      </c>
      <c r="Z349" t="s">
        <v>60</v>
      </c>
      <c r="AA349">
        <v>0</v>
      </c>
      <c r="AB349" s="2">
        <v>0</v>
      </c>
      <c r="AC349" s="2">
        <v>0</v>
      </c>
      <c r="AD349" s="4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29.67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</row>
    <row r="350" spans="1:44" x14ac:dyDescent="0.25">
      <c r="A350" s="1">
        <v>45915</v>
      </c>
      <c r="B350" t="s">
        <v>47</v>
      </c>
      <c r="C350">
        <v>649163</v>
      </c>
      <c r="D350">
        <v>2030512186</v>
      </c>
      <c r="E350" t="s">
        <v>695</v>
      </c>
      <c r="F350" t="s">
        <v>145</v>
      </c>
      <c r="G350" t="s">
        <v>50</v>
      </c>
      <c r="H350" t="s">
        <v>93</v>
      </c>
      <c r="I350" t="s">
        <v>441</v>
      </c>
      <c r="J350" t="s">
        <v>445</v>
      </c>
      <c r="K350">
        <v>843573</v>
      </c>
      <c r="L350" t="s">
        <v>534</v>
      </c>
      <c r="M350" t="s">
        <v>535</v>
      </c>
      <c r="N350" t="s">
        <v>1127</v>
      </c>
      <c r="O350" t="s">
        <v>56</v>
      </c>
      <c r="P350" s="1">
        <v>45887</v>
      </c>
      <c r="Q350" s="1">
        <v>45948</v>
      </c>
      <c r="R350" s="2">
        <v>28.9</v>
      </c>
      <c r="S350">
        <v>1</v>
      </c>
      <c r="T350" t="s">
        <v>57</v>
      </c>
      <c r="U350" t="s">
        <v>58</v>
      </c>
      <c r="V350" s="4">
        <v>0.7</v>
      </c>
      <c r="W350" s="2">
        <v>0</v>
      </c>
      <c r="X350">
        <v>0</v>
      </c>
      <c r="Y350" t="s">
        <v>70</v>
      </c>
      <c r="Z350" t="s">
        <v>60</v>
      </c>
      <c r="AA350">
        <v>0</v>
      </c>
      <c r="AB350" s="2">
        <v>0</v>
      </c>
      <c r="AC350" s="2">
        <v>0</v>
      </c>
      <c r="AD350" s="4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20.23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</row>
    <row r="351" spans="1:44" x14ac:dyDescent="0.25">
      <c r="A351" s="1">
        <v>45915</v>
      </c>
      <c r="B351" t="s">
        <v>47</v>
      </c>
      <c r="C351">
        <v>649163</v>
      </c>
      <c r="D351">
        <v>2030512187</v>
      </c>
      <c r="E351" t="s">
        <v>695</v>
      </c>
      <c r="F351" t="s">
        <v>145</v>
      </c>
      <c r="G351" t="s">
        <v>50</v>
      </c>
      <c r="H351" t="s">
        <v>93</v>
      </c>
      <c r="I351" t="s">
        <v>441</v>
      </c>
      <c r="J351" t="s">
        <v>451</v>
      </c>
      <c r="K351">
        <v>843573</v>
      </c>
      <c r="L351" t="s">
        <v>534</v>
      </c>
      <c r="M351" t="s">
        <v>535</v>
      </c>
      <c r="N351" t="s">
        <v>1127</v>
      </c>
      <c r="O351" t="s">
        <v>56</v>
      </c>
      <c r="P351" s="1">
        <v>45887</v>
      </c>
      <c r="Q351" s="1">
        <v>45948</v>
      </c>
      <c r="R351" s="2">
        <v>32.64</v>
      </c>
      <c r="S351">
        <v>1</v>
      </c>
      <c r="T351" t="s">
        <v>57</v>
      </c>
      <c r="U351" t="s">
        <v>58</v>
      </c>
      <c r="V351" s="4">
        <v>0.42</v>
      </c>
      <c r="W351" s="2">
        <v>0</v>
      </c>
      <c r="X351">
        <v>0</v>
      </c>
      <c r="Y351" t="s">
        <v>70</v>
      </c>
      <c r="Z351" t="s">
        <v>60</v>
      </c>
      <c r="AA351">
        <v>0</v>
      </c>
      <c r="AB351" s="2">
        <v>0</v>
      </c>
      <c r="AC351" s="2">
        <v>0</v>
      </c>
      <c r="AD351" s="4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13.71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</row>
    <row r="352" spans="1:44" x14ac:dyDescent="0.25">
      <c r="A352" s="1">
        <v>45922</v>
      </c>
      <c r="B352" t="s">
        <v>47</v>
      </c>
      <c r="C352">
        <v>649163</v>
      </c>
      <c r="D352">
        <v>2026265886</v>
      </c>
      <c r="E352" t="s">
        <v>154</v>
      </c>
      <c r="F352" t="s">
        <v>256</v>
      </c>
      <c r="G352" t="s">
        <v>50</v>
      </c>
      <c r="H352" t="s">
        <v>115</v>
      </c>
      <c r="I352" t="s">
        <v>243</v>
      </c>
      <c r="J352" t="s">
        <v>249</v>
      </c>
      <c r="K352">
        <v>756418</v>
      </c>
      <c r="L352" t="s">
        <v>257</v>
      </c>
      <c r="M352" t="s">
        <v>258</v>
      </c>
      <c r="N352" t="s">
        <v>1100</v>
      </c>
      <c r="O352" t="s">
        <v>56</v>
      </c>
      <c r="P352" s="1">
        <v>45647</v>
      </c>
      <c r="Q352" s="1">
        <v>45951</v>
      </c>
      <c r="R352" s="2">
        <v>15</v>
      </c>
      <c r="S352">
        <v>1</v>
      </c>
      <c r="T352" t="s">
        <v>57</v>
      </c>
      <c r="U352" t="s">
        <v>58</v>
      </c>
      <c r="V352" s="4">
        <v>0.38</v>
      </c>
      <c r="W352" s="2">
        <v>0</v>
      </c>
      <c r="X352">
        <v>0</v>
      </c>
      <c r="Y352" t="s">
        <v>70</v>
      </c>
      <c r="Z352" t="s">
        <v>60</v>
      </c>
      <c r="AA352">
        <v>0</v>
      </c>
      <c r="AB352" s="2">
        <v>0</v>
      </c>
      <c r="AC352" s="2">
        <v>0</v>
      </c>
      <c r="AD352" s="4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5.7</v>
      </c>
      <c r="AN352" s="2">
        <v>5.7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45922</v>
      </c>
      <c r="B353" t="s">
        <v>47</v>
      </c>
      <c r="C353">
        <v>649163</v>
      </c>
      <c r="D353">
        <v>2026265883</v>
      </c>
      <c r="E353" t="s">
        <v>154</v>
      </c>
      <c r="F353" t="s">
        <v>256</v>
      </c>
      <c r="G353" t="s">
        <v>50</v>
      </c>
      <c r="H353" t="s">
        <v>115</v>
      </c>
      <c r="I353" t="s">
        <v>306</v>
      </c>
      <c r="J353" t="s">
        <v>307</v>
      </c>
      <c r="K353">
        <v>756418</v>
      </c>
      <c r="L353" t="s">
        <v>257</v>
      </c>
      <c r="M353" t="s">
        <v>258</v>
      </c>
      <c r="N353" t="s">
        <v>1100</v>
      </c>
      <c r="O353" t="s">
        <v>56</v>
      </c>
      <c r="P353" s="1">
        <v>45647</v>
      </c>
      <c r="Q353" s="1">
        <v>45951</v>
      </c>
      <c r="R353" s="2">
        <v>53.2</v>
      </c>
      <c r="S353">
        <v>1</v>
      </c>
      <c r="T353" t="s">
        <v>57</v>
      </c>
      <c r="U353" t="s">
        <v>58</v>
      </c>
      <c r="V353" s="3">
        <v>0.375</v>
      </c>
      <c r="W353" s="2">
        <v>0</v>
      </c>
      <c r="X353">
        <v>0</v>
      </c>
      <c r="Y353" t="s">
        <v>70</v>
      </c>
      <c r="Z353" t="s">
        <v>60</v>
      </c>
      <c r="AA353">
        <v>0</v>
      </c>
      <c r="AB353" s="2">
        <v>0</v>
      </c>
      <c r="AC353" s="2">
        <v>0</v>
      </c>
      <c r="AD353" s="4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19.95</v>
      </c>
      <c r="AN353" s="2">
        <v>19.95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45922</v>
      </c>
      <c r="B354" t="s">
        <v>47</v>
      </c>
      <c r="C354">
        <v>649163</v>
      </c>
      <c r="D354">
        <v>2026265884</v>
      </c>
      <c r="E354" t="s">
        <v>154</v>
      </c>
      <c r="F354" t="s">
        <v>256</v>
      </c>
      <c r="G354" t="s">
        <v>50</v>
      </c>
      <c r="H354" t="s">
        <v>115</v>
      </c>
      <c r="I354" t="s">
        <v>430</v>
      </c>
      <c r="J354" t="s">
        <v>431</v>
      </c>
      <c r="K354">
        <v>756418</v>
      </c>
      <c r="L354" t="s">
        <v>257</v>
      </c>
      <c r="M354" t="s">
        <v>258</v>
      </c>
      <c r="N354" t="s">
        <v>1100</v>
      </c>
      <c r="O354" t="s">
        <v>56</v>
      </c>
      <c r="P354" s="1">
        <v>45647</v>
      </c>
      <c r="Q354" s="1">
        <v>45951</v>
      </c>
      <c r="R354" s="2">
        <v>18.579999999999998</v>
      </c>
      <c r="S354">
        <v>1</v>
      </c>
      <c r="T354" t="s">
        <v>57</v>
      </c>
      <c r="U354" t="s">
        <v>58</v>
      </c>
      <c r="V354" s="4">
        <v>0.38</v>
      </c>
      <c r="W354" s="2">
        <v>0</v>
      </c>
      <c r="X354">
        <v>0</v>
      </c>
      <c r="Y354" t="s">
        <v>70</v>
      </c>
      <c r="Z354" t="s">
        <v>60</v>
      </c>
      <c r="AA354">
        <v>0</v>
      </c>
      <c r="AB354" s="2">
        <v>0</v>
      </c>
      <c r="AC354" s="2">
        <v>0</v>
      </c>
      <c r="AD354" s="4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7.06</v>
      </c>
      <c r="AN354" s="2">
        <v>7.06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45922</v>
      </c>
      <c r="B355" t="s">
        <v>47</v>
      </c>
      <c r="C355">
        <v>649163</v>
      </c>
      <c r="D355">
        <v>2026265885</v>
      </c>
      <c r="E355" t="s">
        <v>154</v>
      </c>
      <c r="F355" t="s">
        <v>256</v>
      </c>
      <c r="G355" t="s">
        <v>50</v>
      </c>
      <c r="H355" t="s">
        <v>115</v>
      </c>
      <c r="I355" t="s">
        <v>441</v>
      </c>
      <c r="J355" t="s">
        <v>442</v>
      </c>
      <c r="K355">
        <v>756418</v>
      </c>
      <c r="L355" t="s">
        <v>257</v>
      </c>
      <c r="M355" t="s">
        <v>258</v>
      </c>
      <c r="N355" t="s">
        <v>1100</v>
      </c>
      <c r="O355" t="s">
        <v>56</v>
      </c>
      <c r="P355" s="1">
        <v>45647</v>
      </c>
      <c r="Q355" s="1">
        <v>45951</v>
      </c>
      <c r="R355" s="2">
        <v>32.33</v>
      </c>
      <c r="S355">
        <v>1</v>
      </c>
      <c r="T355" t="s">
        <v>57</v>
      </c>
      <c r="U355" t="s">
        <v>58</v>
      </c>
      <c r="V355" s="4">
        <v>0.9</v>
      </c>
      <c r="W355" s="2">
        <v>0</v>
      </c>
      <c r="X355">
        <v>0</v>
      </c>
      <c r="Y355" t="s">
        <v>70</v>
      </c>
      <c r="Z355" t="s">
        <v>60</v>
      </c>
      <c r="AA355">
        <v>0</v>
      </c>
      <c r="AB355" s="2">
        <v>0</v>
      </c>
      <c r="AC355" s="2">
        <v>0</v>
      </c>
      <c r="AD355" s="4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29.1</v>
      </c>
      <c r="AN355" s="2">
        <v>29.1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45922</v>
      </c>
      <c r="B356" t="s">
        <v>47</v>
      </c>
      <c r="C356">
        <v>649163</v>
      </c>
      <c r="D356">
        <v>2029078147</v>
      </c>
      <c r="E356" t="s">
        <v>510</v>
      </c>
      <c r="F356" t="s">
        <v>511</v>
      </c>
      <c r="G356" t="s">
        <v>50</v>
      </c>
      <c r="H356" t="s">
        <v>512</v>
      </c>
      <c r="I356" t="s">
        <v>441</v>
      </c>
      <c r="J356" t="s">
        <v>445</v>
      </c>
      <c r="K356">
        <v>756418</v>
      </c>
      <c r="L356" t="s">
        <v>257</v>
      </c>
      <c r="M356" t="s">
        <v>258</v>
      </c>
      <c r="N356" t="s">
        <v>1100</v>
      </c>
      <c r="O356" t="s">
        <v>56</v>
      </c>
      <c r="P356" s="1">
        <v>45800</v>
      </c>
      <c r="Q356" s="1">
        <v>45953</v>
      </c>
      <c r="R356" s="2">
        <v>29.1</v>
      </c>
      <c r="S356">
        <v>1</v>
      </c>
      <c r="T356" t="s">
        <v>57</v>
      </c>
      <c r="U356" t="s">
        <v>58</v>
      </c>
      <c r="V356" s="4">
        <v>0.7</v>
      </c>
      <c r="W356" s="2">
        <v>0</v>
      </c>
      <c r="X356">
        <v>0</v>
      </c>
      <c r="Y356" t="s">
        <v>70</v>
      </c>
      <c r="Z356" t="s">
        <v>60</v>
      </c>
      <c r="AA356">
        <v>0</v>
      </c>
      <c r="AB356" s="2">
        <v>0</v>
      </c>
      <c r="AC356" s="2">
        <v>0</v>
      </c>
      <c r="AD356" s="4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20.37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45922</v>
      </c>
      <c r="B357" t="s">
        <v>47</v>
      </c>
      <c r="C357">
        <v>649163</v>
      </c>
      <c r="D357">
        <v>2029078148</v>
      </c>
      <c r="E357" t="s">
        <v>510</v>
      </c>
      <c r="F357" t="s">
        <v>511</v>
      </c>
      <c r="G357" t="s">
        <v>50</v>
      </c>
      <c r="H357" t="s">
        <v>512</v>
      </c>
      <c r="I357" t="s">
        <v>441</v>
      </c>
      <c r="J357" t="s">
        <v>447</v>
      </c>
      <c r="K357">
        <v>756418</v>
      </c>
      <c r="L357" t="s">
        <v>257</v>
      </c>
      <c r="M357" t="s">
        <v>258</v>
      </c>
      <c r="N357" t="s">
        <v>1100</v>
      </c>
      <c r="O357" t="s">
        <v>56</v>
      </c>
      <c r="P357" s="1">
        <v>45800</v>
      </c>
      <c r="Q357" s="1">
        <v>45953</v>
      </c>
      <c r="R357" s="2">
        <v>25.73</v>
      </c>
      <c r="S357">
        <v>1</v>
      </c>
      <c r="T357" t="s">
        <v>57</v>
      </c>
      <c r="U357" t="s">
        <v>58</v>
      </c>
      <c r="V357" s="4">
        <v>0.7</v>
      </c>
      <c r="W357" s="2">
        <v>0</v>
      </c>
      <c r="X357">
        <v>0</v>
      </c>
      <c r="Y357" t="s">
        <v>70</v>
      </c>
      <c r="Z357" t="s">
        <v>60</v>
      </c>
      <c r="AA357">
        <v>0</v>
      </c>
      <c r="AB357" s="2">
        <v>0</v>
      </c>
      <c r="AC357" s="2">
        <v>0</v>
      </c>
      <c r="AD357" s="4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18.010000000000002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45915</v>
      </c>
      <c r="B358" t="s">
        <v>47</v>
      </c>
      <c r="C358">
        <v>649163</v>
      </c>
      <c r="D358">
        <v>2030135277</v>
      </c>
      <c r="E358" t="s">
        <v>225</v>
      </c>
      <c r="F358" t="s">
        <v>444</v>
      </c>
      <c r="G358" t="s">
        <v>50</v>
      </c>
      <c r="H358" t="s">
        <v>141</v>
      </c>
      <c r="I358" t="s">
        <v>106</v>
      </c>
      <c r="J358" t="s">
        <v>107</v>
      </c>
      <c r="K358">
        <v>756418</v>
      </c>
      <c r="L358" t="s">
        <v>257</v>
      </c>
      <c r="M358" t="s">
        <v>258</v>
      </c>
      <c r="N358" t="s">
        <v>1100</v>
      </c>
      <c r="O358" t="s">
        <v>56</v>
      </c>
      <c r="P358" s="1">
        <v>45863</v>
      </c>
      <c r="Q358" s="1">
        <v>45925</v>
      </c>
      <c r="R358" s="2">
        <v>178.17</v>
      </c>
      <c r="S358">
        <v>1</v>
      </c>
      <c r="T358" t="s">
        <v>57</v>
      </c>
      <c r="U358" t="s">
        <v>58</v>
      </c>
      <c r="V358" s="4">
        <v>0.9</v>
      </c>
      <c r="W358" s="2">
        <v>0</v>
      </c>
      <c r="X358">
        <v>0</v>
      </c>
      <c r="Y358" t="s">
        <v>70</v>
      </c>
      <c r="Z358" t="s">
        <v>60</v>
      </c>
      <c r="AA358">
        <v>0</v>
      </c>
      <c r="AB358" s="2">
        <v>0</v>
      </c>
      <c r="AC358" s="2">
        <v>0</v>
      </c>
      <c r="AD358" s="4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160.35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45915</v>
      </c>
      <c r="B359" t="s">
        <v>47</v>
      </c>
      <c r="C359">
        <v>649163</v>
      </c>
      <c r="D359">
        <v>2026213329</v>
      </c>
      <c r="E359" t="s">
        <v>788</v>
      </c>
      <c r="F359" t="s">
        <v>787</v>
      </c>
      <c r="G359" t="s">
        <v>50</v>
      </c>
      <c r="H359" t="s">
        <v>151</v>
      </c>
      <c r="I359" t="s">
        <v>243</v>
      </c>
      <c r="J359" t="s">
        <v>249</v>
      </c>
      <c r="K359">
        <v>756418</v>
      </c>
      <c r="L359" t="s">
        <v>257</v>
      </c>
      <c r="M359" t="s">
        <v>258</v>
      </c>
      <c r="N359" t="s">
        <v>1100</v>
      </c>
      <c r="O359" t="s">
        <v>56</v>
      </c>
      <c r="P359" s="1">
        <v>45644</v>
      </c>
      <c r="Q359" s="1">
        <v>45948</v>
      </c>
      <c r="R359" s="2">
        <v>15</v>
      </c>
      <c r="S359">
        <v>1</v>
      </c>
      <c r="T359" t="s">
        <v>57</v>
      </c>
      <c r="U359" t="s">
        <v>58</v>
      </c>
      <c r="V359" s="4">
        <v>0.38</v>
      </c>
      <c r="W359" s="2">
        <v>0</v>
      </c>
      <c r="X359">
        <v>0</v>
      </c>
      <c r="Y359" t="s">
        <v>70</v>
      </c>
      <c r="Z359" t="s">
        <v>60</v>
      </c>
      <c r="AA359">
        <v>0</v>
      </c>
      <c r="AB359" s="2">
        <v>0</v>
      </c>
      <c r="AC359" s="2">
        <v>0</v>
      </c>
      <c r="AD359" s="4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5.7</v>
      </c>
      <c r="AN359" s="2">
        <v>5.7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45915</v>
      </c>
      <c r="B360" t="s">
        <v>47</v>
      </c>
      <c r="C360">
        <v>649163</v>
      </c>
      <c r="D360">
        <v>2026586623</v>
      </c>
      <c r="E360" t="s">
        <v>786</v>
      </c>
      <c r="F360" t="s">
        <v>337</v>
      </c>
      <c r="G360" t="s">
        <v>50</v>
      </c>
      <c r="H360" t="s">
        <v>408</v>
      </c>
      <c r="I360" t="s">
        <v>243</v>
      </c>
      <c r="J360" t="s">
        <v>249</v>
      </c>
      <c r="K360">
        <v>756418</v>
      </c>
      <c r="L360" t="s">
        <v>257</v>
      </c>
      <c r="M360" t="s">
        <v>258</v>
      </c>
      <c r="N360" t="s">
        <v>1100</v>
      </c>
      <c r="O360" t="s">
        <v>56</v>
      </c>
      <c r="P360" s="1">
        <v>45672</v>
      </c>
      <c r="Q360" s="1">
        <v>45945</v>
      </c>
      <c r="R360" s="2">
        <v>15</v>
      </c>
      <c r="S360">
        <v>1</v>
      </c>
      <c r="T360" t="s">
        <v>57</v>
      </c>
      <c r="U360" t="s">
        <v>58</v>
      </c>
      <c r="V360" s="4">
        <v>0.38</v>
      </c>
      <c r="W360" s="2">
        <v>0</v>
      </c>
      <c r="X360">
        <v>0</v>
      </c>
      <c r="Y360" t="s">
        <v>70</v>
      </c>
      <c r="Z360" t="s">
        <v>60</v>
      </c>
      <c r="AA360">
        <v>0</v>
      </c>
      <c r="AB360" s="2">
        <v>0</v>
      </c>
      <c r="AC360" s="2">
        <v>0</v>
      </c>
      <c r="AD360" s="4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5.7</v>
      </c>
      <c r="AN360" s="2">
        <v>5.7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45915</v>
      </c>
      <c r="B361" t="s">
        <v>47</v>
      </c>
      <c r="C361">
        <v>649163</v>
      </c>
      <c r="D361">
        <v>2026213326</v>
      </c>
      <c r="E361" t="s">
        <v>788</v>
      </c>
      <c r="F361" t="s">
        <v>787</v>
      </c>
      <c r="G361" t="s">
        <v>50</v>
      </c>
      <c r="H361" t="s">
        <v>151</v>
      </c>
      <c r="I361" t="s">
        <v>306</v>
      </c>
      <c r="J361" t="s">
        <v>307</v>
      </c>
      <c r="K361">
        <v>756418</v>
      </c>
      <c r="L361" t="s">
        <v>257</v>
      </c>
      <c r="M361" t="s">
        <v>258</v>
      </c>
      <c r="N361" t="s">
        <v>1100</v>
      </c>
      <c r="O361" t="s">
        <v>56</v>
      </c>
      <c r="P361" s="1">
        <v>45644</v>
      </c>
      <c r="Q361" s="1">
        <v>45948</v>
      </c>
      <c r="R361" s="2">
        <v>87.5</v>
      </c>
      <c r="S361">
        <v>1</v>
      </c>
      <c r="T361" t="s">
        <v>57</v>
      </c>
      <c r="U361" t="s">
        <v>58</v>
      </c>
      <c r="V361" s="3">
        <v>0.375</v>
      </c>
      <c r="W361" s="2">
        <v>0</v>
      </c>
      <c r="X361">
        <v>0</v>
      </c>
      <c r="Y361" t="s">
        <v>70</v>
      </c>
      <c r="Z361" t="s">
        <v>60</v>
      </c>
      <c r="AA361">
        <v>0</v>
      </c>
      <c r="AB361" s="2">
        <v>0</v>
      </c>
      <c r="AC361" s="2">
        <v>0</v>
      </c>
      <c r="AD361" s="4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32.81</v>
      </c>
      <c r="AN361" s="2">
        <v>32.81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45915</v>
      </c>
      <c r="B362" t="s">
        <v>47</v>
      </c>
      <c r="C362">
        <v>649163</v>
      </c>
      <c r="D362">
        <v>2026213328</v>
      </c>
      <c r="E362" t="s">
        <v>788</v>
      </c>
      <c r="F362" t="s">
        <v>787</v>
      </c>
      <c r="G362" t="s">
        <v>50</v>
      </c>
      <c r="H362" t="s">
        <v>151</v>
      </c>
      <c r="I362" t="s">
        <v>441</v>
      </c>
      <c r="J362" t="s">
        <v>445</v>
      </c>
      <c r="K362">
        <v>756418</v>
      </c>
      <c r="L362" t="s">
        <v>257</v>
      </c>
      <c r="M362" t="s">
        <v>258</v>
      </c>
      <c r="N362" t="s">
        <v>1100</v>
      </c>
      <c r="O362" t="s">
        <v>56</v>
      </c>
      <c r="P362" s="1">
        <v>45644</v>
      </c>
      <c r="Q362" s="1">
        <v>45948</v>
      </c>
      <c r="R362" s="2">
        <v>91.96</v>
      </c>
      <c r="S362">
        <v>1</v>
      </c>
      <c r="T362" t="s">
        <v>57</v>
      </c>
      <c r="U362" t="s">
        <v>58</v>
      </c>
      <c r="V362" s="4">
        <v>0.7</v>
      </c>
      <c r="W362" s="2">
        <v>0</v>
      </c>
      <c r="X362">
        <v>0</v>
      </c>
      <c r="Y362" t="s">
        <v>70</v>
      </c>
      <c r="Z362" t="s">
        <v>60</v>
      </c>
      <c r="AA362">
        <v>0</v>
      </c>
      <c r="AB362" s="2">
        <v>0</v>
      </c>
      <c r="AC362" s="2">
        <v>0</v>
      </c>
      <c r="AD362" s="4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64.37</v>
      </c>
      <c r="AN362" s="2">
        <v>64.37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45915</v>
      </c>
      <c r="B363" t="s">
        <v>47</v>
      </c>
      <c r="C363">
        <v>649163</v>
      </c>
      <c r="D363">
        <v>2026568865</v>
      </c>
      <c r="E363" t="s">
        <v>231</v>
      </c>
      <c r="F363" t="s">
        <v>992</v>
      </c>
      <c r="G363" t="s">
        <v>50</v>
      </c>
      <c r="H363" t="s">
        <v>157</v>
      </c>
      <c r="I363" t="s">
        <v>441</v>
      </c>
      <c r="J363" t="s">
        <v>445</v>
      </c>
      <c r="K363">
        <v>756418</v>
      </c>
      <c r="L363" t="s">
        <v>257</v>
      </c>
      <c r="M363" t="s">
        <v>258</v>
      </c>
      <c r="N363" t="s">
        <v>1100</v>
      </c>
      <c r="O363" t="s">
        <v>56</v>
      </c>
      <c r="P363" s="1">
        <v>45671</v>
      </c>
      <c r="Q363" s="1">
        <v>45944</v>
      </c>
      <c r="R363" s="2">
        <v>45.97</v>
      </c>
      <c r="S363">
        <v>1</v>
      </c>
      <c r="T363" t="s">
        <v>57</v>
      </c>
      <c r="U363" t="s">
        <v>58</v>
      </c>
      <c r="V363" s="4">
        <v>0.7</v>
      </c>
      <c r="W363" s="2">
        <v>0</v>
      </c>
      <c r="X363">
        <v>0</v>
      </c>
      <c r="Y363" t="s">
        <v>70</v>
      </c>
      <c r="Z363" t="s">
        <v>60</v>
      </c>
      <c r="AA363">
        <v>0</v>
      </c>
      <c r="AB363" s="2">
        <v>0</v>
      </c>
      <c r="AC363" s="2">
        <v>0</v>
      </c>
      <c r="AD363" s="4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32.18</v>
      </c>
      <c r="AN363" s="2">
        <v>32.18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45915</v>
      </c>
      <c r="B364" t="s">
        <v>47</v>
      </c>
      <c r="C364">
        <v>649163</v>
      </c>
      <c r="D364">
        <v>2026586620</v>
      </c>
      <c r="E364" t="s">
        <v>786</v>
      </c>
      <c r="F364" t="s">
        <v>337</v>
      </c>
      <c r="G364" t="s">
        <v>50</v>
      </c>
      <c r="H364" t="s">
        <v>408</v>
      </c>
      <c r="I364" t="s">
        <v>441</v>
      </c>
      <c r="J364" t="s">
        <v>445</v>
      </c>
      <c r="K364">
        <v>756418</v>
      </c>
      <c r="L364" t="s">
        <v>257</v>
      </c>
      <c r="M364" t="s">
        <v>258</v>
      </c>
      <c r="N364" t="s">
        <v>1100</v>
      </c>
      <c r="O364" t="s">
        <v>56</v>
      </c>
      <c r="P364" s="1">
        <v>45672</v>
      </c>
      <c r="Q364" s="1">
        <v>45945</v>
      </c>
      <c r="R364" s="2">
        <v>15.29</v>
      </c>
      <c r="S364">
        <v>1</v>
      </c>
      <c r="T364" t="s">
        <v>57</v>
      </c>
      <c r="U364" t="s">
        <v>58</v>
      </c>
      <c r="V364" s="4">
        <v>0.7</v>
      </c>
      <c r="W364" s="2">
        <v>0</v>
      </c>
      <c r="X364">
        <v>0</v>
      </c>
      <c r="Y364" t="s">
        <v>70</v>
      </c>
      <c r="Z364" t="s">
        <v>60</v>
      </c>
      <c r="AA364">
        <v>0</v>
      </c>
      <c r="AB364" s="2">
        <v>0</v>
      </c>
      <c r="AC364" s="2">
        <v>0</v>
      </c>
      <c r="AD364" s="4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10.7</v>
      </c>
      <c r="AN364" s="2">
        <v>10.7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45915</v>
      </c>
      <c r="B365" t="s">
        <v>47</v>
      </c>
      <c r="D365">
        <v>2026586621</v>
      </c>
      <c r="E365" t="s">
        <v>786</v>
      </c>
      <c r="F365" t="s">
        <v>337</v>
      </c>
      <c r="G365" t="s">
        <v>50</v>
      </c>
      <c r="H365" t="s">
        <v>408</v>
      </c>
      <c r="I365" t="s">
        <v>441</v>
      </c>
      <c r="J365" t="s">
        <v>545</v>
      </c>
      <c r="L365" t="s">
        <v>257</v>
      </c>
      <c r="M365" t="s">
        <v>258</v>
      </c>
      <c r="N365" t="s">
        <v>1100</v>
      </c>
      <c r="O365" t="s">
        <v>56</v>
      </c>
      <c r="P365" s="1">
        <v>45672</v>
      </c>
      <c r="Q365" s="1">
        <v>45945</v>
      </c>
      <c r="R365" s="2">
        <v>25.73</v>
      </c>
      <c r="S365">
        <v>1</v>
      </c>
      <c r="T365" t="s">
        <v>57</v>
      </c>
      <c r="U365" t="s">
        <v>58</v>
      </c>
      <c r="V365" s="4">
        <v>0.7</v>
      </c>
      <c r="W365" s="2">
        <v>0</v>
      </c>
      <c r="X365">
        <v>0</v>
      </c>
      <c r="Y365" t="s">
        <v>70</v>
      </c>
      <c r="Z365" t="s">
        <v>60</v>
      </c>
      <c r="AA365">
        <v>0</v>
      </c>
      <c r="AB365" s="2">
        <v>0</v>
      </c>
      <c r="AC365" s="2">
        <v>0</v>
      </c>
      <c r="AD365" s="4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18.010000000000002</v>
      </c>
      <c r="AN365" s="2">
        <v>18.010000000000002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45915</v>
      </c>
      <c r="B366" t="s">
        <v>47</v>
      </c>
      <c r="C366">
        <v>649163</v>
      </c>
      <c r="D366">
        <v>2030135275</v>
      </c>
      <c r="E366" t="s">
        <v>225</v>
      </c>
      <c r="F366" t="s">
        <v>444</v>
      </c>
      <c r="G366" t="s">
        <v>50</v>
      </c>
      <c r="H366" t="s">
        <v>141</v>
      </c>
      <c r="I366" t="s">
        <v>441</v>
      </c>
      <c r="J366" t="s">
        <v>445</v>
      </c>
      <c r="K366">
        <v>756418</v>
      </c>
      <c r="L366" t="s">
        <v>257</v>
      </c>
      <c r="M366" t="s">
        <v>258</v>
      </c>
      <c r="N366" t="s">
        <v>1100</v>
      </c>
      <c r="O366" t="s">
        <v>56</v>
      </c>
      <c r="P366" s="1">
        <v>45863</v>
      </c>
      <c r="Q366" s="1">
        <v>45925</v>
      </c>
      <c r="R366" s="2">
        <v>19.41</v>
      </c>
      <c r="S366">
        <v>1</v>
      </c>
      <c r="T366" t="s">
        <v>57</v>
      </c>
      <c r="U366" t="s">
        <v>58</v>
      </c>
      <c r="V366" s="4">
        <v>0.7</v>
      </c>
      <c r="W366" s="2">
        <v>0</v>
      </c>
      <c r="X366">
        <v>0</v>
      </c>
      <c r="Y366" t="s">
        <v>70</v>
      </c>
      <c r="Z366" t="s">
        <v>60</v>
      </c>
      <c r="AA366">
        <v>0</v>
      </c>
      <c r="AB366" s="2">
        <v>0</v>
      </c>
      <c r="AC366" s="2">
        <v>0</v>
      </c>
      <c r="AD366" s="4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13.59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45915</v>
      </c>
      <c r="B367" t="s">
        <v>47</v>
      </c>
      <c r="C367">
        <v>649163</v>
      </c>
      <c r="D367">
        <v>2026213327</v>
      </c>
      <c r="E367" t="s">
        <v>788</v>
      </c>
      <c r="F367" t="s">
        <v>787</v>
      </c>
      <c r="G367" t="s">
        <v>50</v>
      </c>
      <c r="H367" t="s">
        <v>151</v>
      </c>
      <c r="I367" t="s">
        <v>430</v>
      </c>
      <c r="J367" t="s">
        <v>431</v>
      </c>
      <c r="K367">
        <v>756418</v>
      </c>
      <c r="L367" t="s">
        <v>257</v>
      </c>
      <c r="M367" t="s">
        <v>258</v>
      </c>
      <c r="N367" t="s">
        <v>1100</v>
      </c>
      <c r="O367" t="s">
        <v>56</v>
      </c>
      <c r="P367" s="1">
        <v>45644</v>
      </c>
      <c r="Q367" s="1">
        <v>45948</v>
      </c>
      <c r="R367" s="2">
        <v>44.13</v>
      </c>
      <c r="S367">
        <v>1</v>
      </c>
      <c r="T367" t="s">
        <v>57</v>
      </c>
      <c r="U367" t="s">
        <v>58</v>
      </c>
      <c r="V367" s="4">
        <v>0.38</v>
      </c>
      <c r="W367" s="2">
        <v>0</v>
      </c>
      <c r="X367">
        <v>0</v>
      </c>
      <c r="Y367" t="s">
        <v>70</v>
      </c>
      <c r="Z367" t="s">
        <v>60</v>
      </c>
      <c r="AA367">
        <v>0</v>
      </c>
      <c r="AB367" s="2">
        <v>0</v>
      </c>
      <c r="AC367" s="2">
        <v>0</v>
      </c>
      <c r="AD367" s="4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16.77</v>
      </c>
      <c r="AN367" s="2">
        <v>16.77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45915</v>
      </c>
      <c r="B368" t="s">
        <v>47</v>
      </c>
      <c r="C368">
        <v>649163</v>
      </c>
      <c r="D368">
        <v>2026586622</v>
      </c>
      <c r="E368" t="s">
        <v>786</v>
      </c>
      <c r="F368" t="s">
        <v>337</v>
      </c>
      <c r="G368" t="s">
        <v>50</v>
      </c>
      <c r="H368" t="s">
        <v>408</v>
      </c>
      <c r="I368" t="s">
        <v>430</v>
      </c>
      <c r="J368" t="s">
        <v>431</v>
      </c>
      <c r="K368">
        <v>756418</v>
      </c>
      <c r="L368" t="s">
        <v>257</v>
      </c>
      <c r="M368" t="s">
        <v>258</v>
      </c>
      <c r="N368" t="s">
        <v>1100</v>
      </c>
      <c r="O368" t="s">
        <v>56</v>
      </c>
      <c r="P368" s="1">
        <v>45672</v>
      </c>
      <c r="Q368" s="1">
        <v>45945</v>
      </c>
      <c r="R368" s="2">
        <v>13.38</v>
      </c>
      <c r="S368">
        <v>1</v>
      </c>
      <c r="T368" t="s">
        <v>57</v>
      </c>
      <c r="U368" t="s">
        <v>58</v>
      </c>
      <c r="V368" s="4">
        <v>0.38</v>
      </c>
      <c r="W368" s="2">
        <v>0</v>
      </c>
      <c r="X368">
        <v>0</v>
      </c>
      <c r="Y368" t="s">
        <v>70</v>
      </c>
      <c r="Z368" t="s">
        <v>60</v>
      </c>
      <c r="AA368">
        <v>0</v>
      </c>
      <c r="AB368" s="2">
        <v>0</v>
      </c>
      <c r="AC368" s="2">
        <v>0</v>
      </c>
      <c r="AD368" s="4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5.08</v>
      </c>
      <c r="AN368" s="2">
        <v>5.08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45915</v>
      </c>
      <c r="B369" t="s">
        <v>47</v>
      </c>
      <c r="C369">
        <v>649163</v>
      </c>
      <c r="D369">
        <v>2030135276</v>
      </c>
      <c r="E369" t="s">
        <v>225</v>
      </c>
      <c r="F369" t="s">
        <v>444</v>
      </c>
      <c r="G369" t="s">
        <v>50</v>
      </c>
      <c r="H369" t="s">
        <v>141</v>
      </c>
      <c r="I369" t="s">
        <v>574</v>
      </c>
      <c r="J369" t="s">
        <v>575</v>
      </c>
      <c r="K369">
        <v>756418</v>
      </c>
      <c r="L369" t="s">
        <v>257</v>
      </c>
      <c r="M369" t="s">
        <v>258</v>
      </c>
      <c r="N369" t="s">
        <v>1100</v>
      </c>
      <c r="O369" t="s">
        <v>56</v>
      </c>
      <c r="P369" s="1">
        <v>45863</v>
      </c>
      <c r="Q369" s="1">
        <v>45925</v>
      </c>
      <c r="R369" s="2">
        <v>97.86</v>
      </c>
      <c r="S369">
        <v>1</v>
      </c>
      <c r="T369" t="s">
        <v>57</v>
      </c>
      <c r="U369" t="s">
        <v>58</v>
      </c>
      <c r="V369" s="4">
        <v>0.47</v>
      </c>
      <c r="W369" s="2">
        <v>0</v>
      </c>
      <c r="X369">
        <v>0</v>
      </c>
      <c r="Y369" t="s">
        <v>70</v>
      </c>
      <c r="Z369" t="s">
        <v>60</v>
      </c>
      <c r="AA369">
        <v>0</v>
      </c>
      <c r="AB369" s="2">
        <v>0</v>
      </c>
      <c r="AC369" s="2">
        <v>0</v>
      </c>
      <c r="AD369" s="4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45.99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45922</v>
      </c>
      <c r="B370" t="s">
        <v>47</v>
      </c>
      <c r="C370">
        <v>649163</v>
      </c>
      <c r="D370">
        <v>2020850122</v>
      </c>
      <c r="E370" t="s">
        <v>578</v>
      </c>
      <c r="F370" t="s">
        <v>85</v>
      </c>
      <c r="G370" t="s">
        <v>50</v>
      </c>
      <c r="H370" t="s">
        <v>77</v>
      </c>
      <c r="I370" t="s">
        <v>574</v>
      </c>
      <c r="J370" t="s">
        <v>575</v>
      </c>
      <c r="K370">
        <v>649164</v>
      </c>
      <c r="L370" t="s">
        <v>579</v>
      </c>
      <c r="M370" t="s">
        <v>398</v>
      </c>
      <c r="N370" t="s">
        <v>1129</v>
      </c>
      <c r="O370" t="s">
        <v>56</v>
      </c>
      <c r="P370" s="1">
        <v>45251</v>
      </c>
      <c r="Q370" s="1">
        <v>45951</v>
      </c>
      <c r="R370" s="2">
        <v>130.83000000000001</v>
      </c>
      <c r="S370">
        <v>1</v>
      </c>
      <c r="T370" t="s">
        <v>57</v>
      </c>
      <c r="U370" t="s">
        <v>58</v>
      </c>
      <c r="V370" s="3">
        <v>5.2499999999999998E-2</v>
      </c>
      <c r="W370" s="2">
        <v>0</v>
      </c>
      <c r="X370">
        <v>0</v>
      </c>
      <c r="Y370" t="s">
        <v>59</v>
      </c>
      <c r="Z370" t="s">
        <v>60</v>
      </c>
      <c r="AA370">
        <v>0</v>
      </c>
      <c r="AB370" s="2">
        <v>0</v>
      </c>
      <c r="AC370" s="2">
        <v>0</v>
      </c>
      <c r="AD370" s="4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6.87</v>
      </c>
      <c r="AN370" s="2">
        <v>6.87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45915</v>
      </c>
      <c r="B371" t="s">
        <v>47</v>
      </c>
      <c r="C371">
        <v>649163</v>
      </c>
      <c r="D371">
        <v>2020936967</v>
      </c>
      <c r="E371" t="s">
        <v>744</v>
      </c>
      <c r="F371" t="s">
        <v>743</v>
      </c>
      <c r="G371" t="s">
        <v>50</v>
      </c>
      <c r="H371" t="s">
        <v>151</v>
      </c>
      <c r="I371" t="s">
        <v>441</v>
      </c>
      <c r="J371" t="s">
        <v>445</v>
      </c>
      <c r="K371">
        <v>649164</v>
      </c>
      <c r="L371" t="s">
        <v>579</v>
      </c>
      <c r="M371" t="s">
        <v>398</v>
      </c>
      <c r="N371" t="s">
        <v>1129</v>
      </c>
      <c r="O371" t="s">
        <v>230</v>
      </c>
      <c r="P371" s="1">
        <v>45262</v>
      </c>
      <c r="Q371" s="1">
        <v>45932</v>
      </c>
      <c r="R371" s="2">
        <v>-58.53</v>
      </c>
      <c r="S371">
        <v>1</v>
      </c>
      <c r="T371" t="s">
        <v>57</v>
      </c>
      <c r="U371" t="s">
        <v>58</v>
      </c>
      <c r="V371" s="4">
        <v>0.15</v>
      </c>
      <c r="W371" s="2">
        <v>0</v>
      </c>
      <c r="X371">
        <v>-1</v>
      </c>
      <c r="Y371" t="s">
        <v>59</v>
      </c>
      <c r="Z371" t="s">
        <v>60</v>
      </c>
      <c r="AA371">
        <v>0</v>
      </c>
      <c r="AB371" s="2">
        <v>0</v>
      </c>
      <c r="AC371" s="2">
        <v>0</v>
      </c>
      <c r="AD371" s="4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-8.7799999999999994</v>
      </c>
      <c r="AN371" s="2">
        <v>-8.7799999999999994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45915</v>
      </c>
      <c r="B372" t="s">
        <v>47</v>
      </c>
      <c r="C372">
        <v>649163</v>
      </c>
      <c r="D372">
        <v>2029955373</v>
      </c>
      <c r="E372" t="s">
        <v>774</v>
      </c>
      <c r="F372" t="s">
        <v>773</v>
      </c>
      <c r="G372" t="s">
        <v>50</v>
      </c>
      <c r="H372" t="s">
        <v>141</v>
      </c>
      <c r="I372" t="s">
        <v>106</v>
      </c>
      <c r="J372" t="s">
        <v>146</v>
      </c>
      <c r="K372">
        <v>824082</v>
      </c>
      <c r="L372" t="s">
        <v>624</v>
      </c>
      <c r="M372" t="s">
        <v>623</v>
      </c>
      <c r="N372" t="s">
        <v>1134</v>
      </c>
      <c r="O372" t="s">
        <v>56</v>
      </c>
      <c r="P372" s="1">
        <v>45853</v>
      </c>
      <c r="Q372" s="1">
        <v>45945</v>
      </c>
      <c r="R372" s="2">
        <v>29.98</v>
      </c>
      <c r="S372">
        <v>1</v>
      </c>
      <c r="T372" t="s">
        <v>57</v>
      </c>
      <c r="U372" t="s">
        <v>58</v>
      </c>
      <c r="V372" s="4">
        <v>0.65</v>
      </c>
      <c r="W372" s="2">
        <v>0</v>
      </c>
      <c r="X372">
        <v>0</v>
      </c>
      <c r="Y372" t="s">
        <v>70</v>
      </c>
      <c r="Z372" t="s">
        <v>60</v>
      </c>
      <c r="AA372">
        <v>0</v>
      </c>
      <c r="AB372" s="2">
        <v>0</v>
      </c>
      <c r="AC372" s="2">
        <v>0</v>
      </c>
      <c r="AD372" s="4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19.489999999999998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45915</v>
      </c>
      <c r="B373" t="s">
        <v>47</v>
      </c>
      <c r="C373">
        <v>649163</v>
      </c>
      <c r="D373">
        <v>2029955372</v>
      </c>
      <c r="E373" t="s">
        <v>774</v>
      </c>
      <c r="F373" t="s">
        <v>773</v>
      </c>
      <c r="G373" t="s">
        <v>50</v>
      </c>
      <c r="H373" t="s">
        <v>141</v>
      </c>
      <c r="I373" t="s">
        <v>441</v>
      </c>
      <c r="J373" t="s">
        <v>445</v>
      </c>
      <c r="K373">
        <v>824082</v>
      </c>
      <c r="L373" t="s">
        <v>624</v>
      </c>
      <c r="M373" t="s">
        <v>623</v>
      </c>
      <c r="N373" t="s">
        <v>1134</v>
      </c>
      <c r="O373" t="s">
        <v>56</v>
      </c>
      <c r="P373" s="1">
        <v>45853</v>
      </c>
      <c r="Q373" s="1">
        <v>45945</v>
      </c>
      <c r="R373" s="2">
        <v>9.6999999999999993</v>
      </c>
      <c r="S373">
        <v>1</v>
      </c>
      <c r="T373" t="s">
        <v>57</v>
      </c>
      <c r="U373" t="s">
        <v>58</v>
      </c>
      <c r="V373" s="4">
        <v>0.7</v>
      </c>
      <c r="W373" s="2">
        <v>0</v>
      </c>
      <c r="X373">
        <v>0</v>
      </c>
      <c r="Y373" t="s">
        <v>70</v>
      </c>
      <c r="Z373" t="s">
        <v>60</v>
      </c>
      <c r="AA373">
        <v>0</v>
      </c>
      <c r="AB373" s="2">
        <v>0</v>
      </c>
      <c r="AC373" s="2">
        <v>0</v>
      </c>
      <c r="AD373" s="4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6.79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45915</v>
      </c>
      <c r="B374" t="s">
        <v>47</v>
      </c>
      <c r="C374">
        <v>649163</v>
      </c>
      <c r="D374">
        <v>2029955371</v>
      </c>
      <c r="E374" t="s">
        <v>774</v>
      </c>
      <c r="F374" t="s">
        <v>773</v>
      </c>
      <c r="G374" t="s">
        <v>50</v>
      </c>
      <c r="H374" t="s">
        <v>141</v>
      </c>
      <c r="I374" t="s">
        <v>306</v>
      </c>
      <c r="J374" t="s">
        <v>307</v>
      </c>
      <c r="K374">
        <v>824082</v>
      </c>
      <c r="L374" t="s">
        <v>624</v>
      </c>
      <c r="M374" t="s">
        <v>623</v>
      </c>
      <c r="N374" t="s">
        <v>1134</v>
      </c>
      <c r="O374" t="s">
        <v>56</v>
      </c>
      <c r="P374" s="1">
        <v>45853</v>
      </c>
      <c r="Q374" s="1">
        <v>45945</v>
      </c>
      <c r="R374" s="2">
        <v>63.62</v>
      </c>
      <c r="S374">
        <v>1</v>
      </c>
      <c r="T374" t="s">
        <v>57</v>
      </c>
      <c r="U374" t="s">
        <v>58</v>
      </c>
      <c r="V374" s="3">
        <v>0.375</v>
      </c>
      <c r="W374" s="2">
        <v>0</v>
      </c>
      <c r="X374">
        <v>0</v>
      </c>
      <c r="Y374" t="s">
        <v>70</v>
      </c>
      <c r="Z374" t="s">
        <v>60</v>
      </c>
      <c r="AA374">
        <v>0</v>
      </c>
      <c r="AB374" s="2">
        <v>0</v>
      </c>
      <c r="AC374" s="2">
        <v>0</v>
      </c>
      <c r="AD374" s="4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23.86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45915</v>
      </c>
      <c r="B375" t="s">
        <v>47</v>
      </c>
      <c r="C375">
        <v>649163</v>
      </c>
      <c r="D375">
        <v>2030452963</v>
      </c>
      <c r="E375" t="s">
        <v>625</v>
      </c>
      <c r="F375" t="s">
        <v>85</v>
      </c>
      <c r="G375" t="s">
        <v>50</v>
      </c>
      <c r="H375" t="s">
        <v>141</v>
      </c>
      <c r="I375" t="s">
        <v>306</v>
      </c>
      <c r="J375" t="s">
        <v>307</v>
      </c>
      <c r="K375">
        <v>824082</v>
      </c>
      <c r="L375" t="s">
        <v>624</v>
      </c>
      <c r="M375" t="s">
        <v>623</v>
      </c>
      <c r="N375" t="s">
        <v>1134</v>
      </c>
      <c r="O375" t="s">
        <v>56</v>
      </c>
      <c r="P375" s="1">
        <v>45882</v>
      </c>
      <c r="Q375" s="1">
        <v>45943</v>
      </c>
      <c r="R375" s="2">
        <v>205.33</v>
      </c>
      <c r="S375">
        <v>1</v>
      </c>
      <c r="T375" t="s">
        <v>57</v>
      </c>
      <c r="U375" t="s">
        <v>58</v>
      </c>
      <c r="V375" s="3">
        <v>0.375</v>
      </c>
      <c r="W375" s="2">
        <v>0</v>
      </c>
      <c r="X375">
        <v>0</v>
      </c>
      <c r="Y375" t="s">
        <v>70</v>
      </c>
      <c r="Z375" t="s">
        <v>60</v>
      </c>
      <c r="AA375">
        <v>0</v>
      </c>
      <c r="AB375" s="2">
        <v>0</v>
      </c>
      <c r="AC375" s="2">
        <v>0</v>
      </c>
      <c r="AD375" s="4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77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45915</v>
      </c>
      <c r="B376" t="s">
        <v>47</v>
      </c>
      <c r="C376">
        <v>649163</v>
      </c>
      <c r="D376">
        <v>2029955374</v>
      </c>
      <c r="E376" t="s">
        <v>774</v>
      </c>
      <c r="F376" t="s">
        <v>773</v>
      </c>
      <c r="G376" t="s">
        <v>50</v>
      </c>
      <c r="H376" t="s">
        <v>141</v>
      </c>
      <c r="I376" t="s">
        <v>430</v>
      </c>
      <c r="J376" t="s">
        <v>431</v>
      </c>
      <c r="K376">
        <v>824082</v>
      </c>
      <c r="L376" t="s">
        <v>624</v>
      </c>
      <c r="M376" t="s">
        <v>623</v>
      </c>
      <c r="N376" t="s">
        <v>1134</v>
      </c>
      <c r="O376" t="s">
        <v>56</v>
      </c>
      <c r="P376" s="1">
        <v>45853</v>
      </c>
      <c r="Q376" s="1">
        <v>45945</v>
      </c>
      <c r="R376" s="2">
        <v>33.31</v>
      </c>
      <c r="S376">
        <v>1</v>
      </c>
      <c r="T376" t="s">
        <v>57</v>
      </c>
      <c r="U376" t="s">
        <v>58</v>
      </c>
      <c r="V376" s="4">
        <v>0.38</v>
      </c>
      <c r="W376" s="2">
        <v>0</v>
      </c>
      <c r="X376">
        <v>0</v>
      </c>
      <c r="Y376" t="s">
        <v>70</v>
      </c>
      <c r="Z376" t="s">
        <v>60</v>
      </c>
      <c r="AA376">
        <v>0</v>
      </c>
      <c r="AB376" s="2">
        <v>0</v>
      </c>
      <c r="AC376" s="2">
        <v>0</v>
      </c>
      <c r="AD376" s="4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12.66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45915</v>
      </c>
      <c r="B377" t="s">
        <v>47</v>
      </c>
      <c r="C377">
        <v>649163</v>
      </c>
      <c r="D377">
        <v>2030452962</v>
      </c>
      <c r="E377" t="s">
        <v>625</v>
      </c>
      <c r="F377" t="s">
        <v>85</v>
      </c>
      <c r="G377" t="s">
        <v>50</v>
      </c>
      <c r="H377" t="s">
        <v>141</v>
      </c>
      <c r="I377" t="s">
        <v>441</v>
      </c>
      <c r="J377" t="s">
        <v>445</v>
      </c>
      <c r="K377">
        <v>824082</v>
      </c>
      <c r="L377" t="s">
        <v>624</v>
      </c>
      <c r="M377" t="s">
        <v>623</v>
      </c>
      <c r="N377" t="s">
        <v>1134</v>
      </c>
      <c r="O377" t="s">
        <v>56</v>
      </c>
      <c r="P377" s="1">
        <v>45882</v>
      </c>
      <c r="Q377" s="1">
        <v>45943</v>
      </c>
      <c r="R377" s="2">
        <v>29.2</v>
      </c>
      <c r="S377">
        <v>1</v>
      </c>
      <c r="T377" t="s">
        <v>57</v>
      </c>
      <c r="U377" t="s">
        <v>58</v>
      </c>
      <c r="V377" s="4">
        <v>0.7</v>
      </c>
      <c r="W377" s="2">
        <v>0</v>
      </c>
      <c r="X377">
        <v>0</v>
      </c>
      <c r="Y377" t="s">
        <v>70</v>
      </c>
      <c r="Z377" t="s">
        <v>60</v>
      </c>
      <c r="AA377">
        <v>0</v>
      </c>
      <c r="AB377" s="2">
        <v>0</v>
      </c>
      <c r="AC377" s="2">
        <v>0</v>
      </c>
      <c r="AD377" s="4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20.440000000000001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45915</v>
      </c>
      <c r="B378" t="s">
        <v>47</v>
      </c>
      <c r="C378">
        <v>649163</v>
      </c>
      <c r="D378">
        <v>2030447105</v>
      </c>
      <c r="E378" t="s">
        <v>625</v>
      </c>
      <c r="F378" t="s">
        <v>394</v>
      </c>
      <c r="G378" t="s">
        <v>50</v>
      </c>
      <c r="H378" t="s">
        <v>141</v>
      </c>
      <c r="I378" t="s">
        <v>574</v>
      </c>
      <c r="J378" t="s">
        <v>575</v>
      </c>
      <c r="K378">
        <v>824082</v>
      </c>
      <c r="L378" t="s">
        <v>624</v>
      </c>
      <c r="M378" t="s">
        <v>623</v>
      </c>
      <c r="N378" t="s">
        <v>1134</v>
      </c>
      <c r="O378" t="s">
        <v>56</v>
      </c>
      <c r="P378" s="1">
        <v>45882</v>
      </c>
      <c r="Q378" s="1">
        <v>45943</v>
      </c>
      <c r="R378" s="2">
        <v>54.35</v>
      </c>
      <c r="S378">
        <v>1</v>
      </c>
      <c r="T378" t="s">
        <v>57</v>
      </c>
      <c r="U378" t="s">
        <v>58</v>
      </c>
      <c r="V378" s="4">
        <v>0.47</v>
      </c>
      <c r="W378" s="2">
        <v>0</v>
      </c>
      <c r="X378">
        <v>0</v>
      </c>
      <c r="Y378" t="s">
        <v>70</v>
      </c>
      <c r="Z378" t="s">
        <v>60</v>
      </c>
      <c r="AA378">
        <v>0</v>
      </c>
      <c r="AB378" s="2">
        <v>0</v>
      </c>
      <c r="AC378" s="2">
        <v>0</v>
      </c>
      <c r="AD378" s="4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25.54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45922</v>
      </c>
      <c r="B379" t="s">
        <v>47</v>
      </c>
      <c r="C379">
        <v>649163</v>
      </c>
      <c r="D379">
        <v>2029035617</v>
      </c>
      <c r="E379" t="s">
        <v>81</v>
      </c>
      <c r="F379" t="s">
        <v>82</v>
      </c>
      <c r="G379" t="s">
        <v>50</v>
      </c>
      <c r="H379" t="s">
        <v>83</v>
      </c>
      <c r="I379" t="s">
        <v>52</v>
      </c>
      <c r="J379" t="s">
        <v>78</v>
      </c>
      <c r="K379">
        <v>751867</v>
      </c>
      <c r="L379" t="s">
        <v>84</v>
      </c>
      <c r="M379" t="s">
        <v>85</v>
      </c>
      <c r="N379" t="s">
        <v>1089</v>
      </c>
      <c r="O379" t="s">
        <v>56</v>
      </c>
      <c r="P379" s="1">
        <v>45798</v>
      </c>
      <c r="Q379" s="1">
        <v>45951</v>
      </c>
      <c r="R379" s="2">
        <v>105.84</v>
      </c>
      <c r="S379">
        <v>1</v>
      </c>
      <c r="T379" t="s">
        <v>57</v>
      </c>
      <c r="U379" t="s">
        <v>58</v>
      </c>
      <c r="V379" s="4">
        <v>0.6</v>
      </c>
      <c r="W379" s="2">
        <v>0</v>
      </c>
      <c r="X379">
        <v>0</v>
      </c>
      <c r="Y379" t="s">
        <v>70</v>
      </c>
      <c r="Z379" t="s">
        <v>60</v>
      </c>
      <c r="AA379">
        <v>0</v>
      </c>
      <c r="AB379" s="2">
        <v>0</v>
      </c>
      <c r="AC379" s="2">
        <v>0</v>
      </c>
      <c r="AD379" s="4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63.5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45922</v>
      </c>
      <c r="B380" t="s">
        <v>47</v>
      </c>
      <c r="C380">
        <v>649163</v>
      </c>
      <c r="D380">
        <v>2023139790</v>
      </c>
      <c r="E380" t="s">
        <v>247</v>
      </c>
      <c r="F380" t="s">
        <v>248</v>
      </c>
      <c r="G380" t="s">
        <v>50</v>
      </c>
      <c r="H380" t="s">
        <v>77</v>
      </c>
      <c r="I380" t="s">
        <v>243</v>
      </c>
      <c r="J380" t="s">
        <v>249</v>
      </c>
      <c r="K380">
        <v>751867</v>
      </c>
      <c r="L380" t="s">
        <v>84</v>
      </c>
      <c r="M380" t="s">
        <v>85</v>
      </c>
      <c r="N380" t="s">
        <v>1089</v>
      </c>
      <c r="O380" t="s">
        <v>56</v>
      </c>
      <c r="P380" s="1">
        <v>45432</v>
      </c>
      <c r="Q380" s="1">
        <v>45950</v>
      </c>
      <c r="R380" s="2">
        <v>15</v>
      </c>
      <c r="S380">
        <v>1</v>
      </c>
      <c r="T380" t="s">
        <v>57</v>
      </c>
      <c r="U380" t="s">
        <v>58</v>
      </c>
      <c r="V380" s="4">
        <v>0.1</v>
      </c>
      <c r="W380" s="2">
        <v>0</v>
      </c>
      <c r="X380">
        <v>0</v>
      </c>
      <c r="Y380" t="s">
        <v>59</v>
      </c>
      <c r="Z380" t="s">
        <v>60</v>
      </c>
      <c r="AA380">
        <v>0</v>
      </c>
      <c r="AB380" s="2">
        <v>0</v>
      </c>
      <c r="AC380" s="2">
        <v>0</v>
      </c>
      <c r="AD380" s="4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1.5</v>
      </c>
      <c r="AN380" s="2">
        <v>1.5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45922</v>
      </c>
      <c r="B381" t="s">
        <v>47</v>
      </c>
      <c r="C381">
        <v>649163</v>
      </c>
      <c r="D381">
        <v>2023139789</v>
      </c>
      <c r="E381" t="s">
        <v>247</v>
      </c>
      <c r="F381" t="s">
        <v>248</v>
      </c>
      <c r="G381" t="s">
        <v>50</v>
      </c>
      <c r="H381" t="s">
        <v>77</v>
      </c>
      <c r="I381" t="s">
        <v>306</v>
      </c>
      <c r="J381" t="s">
        <v>307</v>
      </c>
      <c r="K381">
        <v>751867</v>
      </c>
      <c r="L381" t="s">
        <v>84</v>
      </c>
      <c r="M381" t="s">
        <v>85</v>
      </c>
      <c r="N381" t="s">
        <v>1089</v>
      </c>
      <c r="O381" t="s">
        <v>56</v>
      </c>
      <c r="P381" s="1">
        <v>45432</v>
      </c>
      <c r="Q381" s="1">
        <v>45950</v>
      </c>
      <c r="R381" s="2">
        <v>43.65</v>
      </c>
      <c r="S381">
        <v>1</v>
      </c>
      <c r="T381" t="s">
        <v>57</v>
      </c>
      <c r="U381" t="s">
        <v>58</v>
      </c>
      <c r="V381" s="4">
        <v>0.06</v>
      </c>
      <c r="W381" s="2">
        <v>0</v>
      </c>
      <c r="X381">
        <v>0</v>
      </c>
      <c r="Y381" t="s">
        <v>59</v>
      </c>
      <c r="Z381" t="s">
        <v>60</v>
      </c>
      <c r="AA381">
        <v>0</v>
      </c>
      <c r="AB381" s="2">
        <v>0</v>
      </c>
      <c r="AC381" s="2">
        <v>0</v>
      </c>
      <c r="AD381" s="4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2.62</v>
      </c>
      <c r="AN381" s="2">
        <v>2.62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45922</v>
      </c>
      <c r="B382" t="s">
        <v>47</v>
      </c>
      <c r="C382">
        <v>649163</v>
      </c>
      <c r="D382">
        <v>2023139788</v>
      </c>
      <c r="E382" t="s">
        <v>247</v>
      </c>
      <c r="F382" t="s">
        <v>248</v>
      </c>
      <c r="G382" t="s">
        <v>50</v>
      </c>
      <c r="H382" t="s">
        <v>77</v>
      </c>
      <c r="I382" t="s">
        <v>430</v>
      </c>
      <c r="J382" t="s">
        <v>431</v>
      </c>
      <c r="K382">
        <v>751867</v>
      </c>
      <c r="L382" t="s">
        <v>84</v>
      </c>
      <c r="M382" t="s">
        <v>85</v>
      </c>
      <c r="N382" t="s">
        <v>1089</v>
      </c>
      <c r="O382" t="s">
        <v>56</v>
      </c>
      <c r="P382" s="1">
        <v>45432</v>
      </c>
      <c r="Q382" s="1">
        <v>45950</v>
      </c>
      <c r="R382" s="2">
        <v>25.14</v>
      </c>
      <c r="S382">
        <v>1</v>
      </c>
      <c r="T382" t="s">
        <v>57</v>
      </c>
      <c r="U382" t="s">
        <v>58</v>
      </c>
      <c r="V382" s="4">
        <v>0.1</v>
      </c>
      <c r="W382" s="2">
        <v>0</v>
      </c>
      <c r="X382">
        <v>0</v>
      </c>
      <c r="Y382" t="s">
        <v>59</v>
      </c>
      <c r="Z382" t="s">
        <v>60</v>
      </c>
      <c r="AA382">
        <v>0</v>
      </c>
      <c r="AB382" s="2">
        <v>0</v>
      </c>
      <c r="AC382" s="2">
        <v>0</v>
      </c>
      <c r="AD382" s="4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2.5099999999999998</v>
      </c>
      <c r="AN382" s="2">
        <v>2.5099999999999998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45922</v>
      </c>
      <c r="B383" t="s">
        <v>47</v>
      </c>
      <c r="C383">
        <v>649163</v>
      </c>
      <c r="D383">
        <v>2026603377</v>
      </c>
      <c r="E383" t="s">
        <v>433</v>
      </c>
      <c r="F383" t="s">
        <v>434</v>
      </c>
      <c r="G383" t="s">
        <v>50</v>
      </c>
      <c r="H383" t="s">
        <v>51</v>
      </c>
      <c r="I383" t="s">
        <v>430</v>
      </c>
      <c r="J383" t="s">
        <v>431</v>
      </c>
      <c r="K383">
        <v>751867</v>
      </c>
      <c r="L383" t="s">
        <v>84</v>
      </c>
      <c r="M383" t="s">
        <v>85</v>
      </c>
      <c r="N383" t="s">
        <v>1089</v>
      </c>
      <c r="O383" t="s">
        <v>56</v>
      </c>
      <c r="P383" s="1">
        <v>45673</v>
      </c>
      <c r="Q383" s="1">
        <v>45946</v>
      </c>
      <c r="R383" s="2">
        <v>55.16</v>
      </c>
      <c r="S383">
        <v>1</v>
      </c>
      <c r="T383" t="s">
        <v>57</v>
      </c>
      <c r="U383" t="s">
        <v>58</v>
      </c>
      <c r="V383" s="4">
        <v>0.38</v>
      </c>
      <c r="W383" s="2">
        <v>0</v>
      </c>
      <c r="X383">
        <v>0</v>
      </c>
      <c r="Y383" t="s">
        <v>70</v>
      </c>
      <c r="Z383" t="s">
        <v>60</v>
      </c>
      <c r="AA383">
        <v>0</v>
      </c>
      <c r="AB383" s="2">
        <v>0</v>
      </c>
      <c r="AC383" s="2">
        <v>0</v>
      </c>
      <c r="AD383" s="4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20.96</v>
      </c>
      <c r="AN383" s="2">
        <v>20.96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45922</v>
      </c>
      <c r="B384" t="s">
        <v>47</v>
      </c>
      <c r="C384">
        <v>649163</v>
      </c>
      <c r="D384">
        <v>2026603378</v>
      </c>
      <c r="E384" t="s">
        <v>433</v>
      </c>
      <c r="F384" t="s">
        <v>434</v>
      </c>
      <c r="G384" t="s">
        <v>50</v>
      </c>
      <c r="H384" t="s">
        <v>51</v>
      </c>
      <c r="I384" t="s">
        <v>441</v>
      </c>
      <c r="J384" t="s">
        <v>447</v>
      </c>
      <c r="K384">
        <v>751867</v>
      </c>
      <c r="L384" t="s">
        <v>84</v>
      </c>
      <c r="M384" t="s">
        <v>85</v>
      </c>
      <c r="N384" t="s">
        <v>1089</v>
      </c>
      <c r="O384" t="s">
        <v>56</v>
      </c>
      <c r="P384" s="1">
        <v>45673</v>
      </c>
      <c r="Q384" s="1">
        <v>45946</v>
      </c>
      <c r="R384" s="2">
        <v>25.73</v>
      </c>
      <c r="S384">
        <v>1</v>
      </c>
      <c r="T384" t="s">
        <v>57</v>
      </c>
      <c r="U384" t="s">
        <v>58</v>
      </c>
      <c r="V384" s="4">
        <v>0.7</v>
      </c>
      <c r="W384" s="2">
        <v>0</v>
      </c>
      <c r="X384">
        <v>0</v>
      </c>
      <c r="Y384" t="s">
        <v>70</v>
      </c>
      <c r="Z384" t="s">
        <v>60</v>
      </c>
      <c r="AA384">
        <v>0</v>
      </c>
      <c r="AB384" s="2">
        <v>0</v>
      </c>
      <c r="AC384" s="2">
        <v>0</v>
      </c>
      <c r="AD384" s="4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18.010000000000002</v>
      </c>
      <c r="AN384" s="2">
        <v>18.010000000000002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45915</v>
      </c>
      <c r="B385" t="s">
        <v>47</v>
      </c>
      <c r="C385">
        <v>649163</v>
      </c>
      <c r="D385">
        <v>2022721020</v>
      </c>
      <c r="E385" t="s">
        <v>817</v>
      </c>
      <c r="F385" t="s">
        <v>49</v>
      </c>
      <c r="G385" t="s">
        <v>50</v>
      </c>
      <c r="H385" t="s">
        <v>51</v>
      </c>
      <c r="I385" t="s">
        <v>52</v>
      </c>
      <c r="J385" t="s">
        <v>53</v>
      </c>
      <c r="K385">
        <v>751867</v>
      </c>
      <c r="L385" t="s">
        <v>84</v>
      </c>
      <c r="M385" t="s">
        <v>85</v>
      </c>
      <c r="N385" t="s">
        <v>1089</v>
      </c>
      <c r="O385" t="s">
        <v>56</v>
      </c>
      <c r="P385" s="1">
        <v>45413</v>
      </c>
      <c r="Q385" s="1">
        <v>45931</v>
      </c>
      <c r="R385" s="2">
        <v>40.159999999999997</v>
      </c>
      <c r="S385">
        <v>1</v>
      </c>
      <c r="T385" t="s">
        <v>57</v>
      </c>
      <c r="U385" t="s">
        <v>58</v>
      </c>
      <c r="V385" s="3">
        <v>6.5000000000000002E-2</v>
      </c>
      <c r="W385" s="2">
        <v>0</v>
      </c>
      <c r="X385">
        <v>0</v>
      </c>
      <c r="Y385" t="s">
        <v>59</v>
      </c>
      <c r="Z385" t="s">
        <v>60</v>
      </c>
      <c r="AA385">
        <v>0</v>
      </c>
      <c r="AB385" s="2">
        <v>0</v>
      </c>
      <c r="AC385" s="2">
        <v>0</v>
      </c>
      <c r="AD385" s="4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2.61</v>
      </c>
      <c r="AN385" s="2">
        <v>2.61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45915</v>
      </c>
      <c r="B386" t="s">
        <v>47</v>
      </c>
      <c r="C386">
        <v>649163</v>
      </c>
      <c r="D386">
        <v>2023499225</v>
      </c>
      <c r="E386" t="s">
        <v>810</v>
      </c>
      <c r="F386" t="s">
        <v>205</v>
      </c>
      <c r="G386" t="s">
        <v>50</v>
      </c>
      <c r="H386" t="s">
        <v>83</v>
      </c>
      <c r="I386" t="s">
        <v>52</v>
      </c>
      <c r="J386" t="s">
        <v>53</v>
      </c>
      <c r="K386">
        <v>751867</v>
      </c>
      <c r="L386" t="s">
        <v>84</v>
      </c>
      <c r="M386" t="s">
        <v>85</v>
      </c>
      <c r="N386" t="s">
        <v>1089</v>
      </c>
      <c r="O386" t="s">
        <v>56</v>
      </c>
      <c r="P386" s="1">
        <v>45456</v>
      </c>
      <c r="Q386" s="1">
        <v>45943</v>
      </c>
      <c r="R386" s="2">
        <v>56.69</v>
      </c>
      <c r="S386">
        <v>1</v>
      </c>
      <c r="T386" t="s">
        <v>57</v>
      </c>
      <c r="U386" t="s">
        <v>58</v>
      </c>
      <c r="V386" s="3">
        <v>6.5000000000000002E-2</v>
      </c>
      <c r="W386" s="2">
        <v>0</v>
      </c>
      <c r="X386">
        <v>0</v>
      </c>
      <c r="Y386" t="s">
        <v>59</v>
      </c>
      <c r="Z386" t="s">
        <v>60</v>
      </c>
      <c r="AA386">
        <v>0</v>
      </c>
      <c r="AB386" s="2">
        <v>0</v>
      </c>
      <c r="AC386" s="2">
        <v>0</v>
      </c>
      <c r="AD386" s="4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3.68</v>
      </c>
      <c r="AN386" s="2">
        <v>3.68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45915</v>
      </c>
      <c r="B387" t="s">
        <v>47</v>
      </c>
      <c r="C387">
        <v>649163</v>
      </c>
      <c r="D387">
        <v>2023510924</v>
      </c>
      <c r="E387" t="s">
        <v>808</v>
      </c>
      <c r="F387" t="s">
        <v>145</v>
      </c>
      <c r="G387" t="s">
        <v>50</v>
      </c>
      <c r="H387" t="s">
        <v>51</v>
      </c>
      <c r="I387" t="s">
        <v>52</v>
      </c>
      <c r="J387" t="s">
        <v>53</v>
      </c>
      <c r="K387">
        <v>751867</v>
      </c>
      <c r="L387" t="s">
        <v>84</v>
      </c>
      <c r="M387" t="s">
        <v>85</v>
      </c>
      <c r="N387" t="s">
        <v>1089</v>
      </c>
      <c r="O387" t="s">
        <v>56</v>
      </c>
      <c r="P387" s="1">
        <v>45457</v>
      </c>
      <c r="Q387" s="1">
        <v>45944</v>
      </c>
      <c r="R387" s="2">
        <v>56.69</v>
      </c>
      <c r="S387">
        <v>1</v>
      </c>
      <c r="T387" t="s">
        <v>57</v>
      </c>
      <c r="U387" t="s">
        <v>58</v>
      </c>
      <c r="V387" s="3">
        <v>6.5000000000000002E-2</v>
      </c>
      <c r="W387" s="2">
        <v>0</v>
      </c>
      <c r="X387">
        <v>0</v>
      </c>
      <c r="Y387" t="s">
        <v>59</v>
      </c>
      <c r="Z387" t="s">
        <v>60</v>
      </c>
      <c r="AA387">
        <v>0</v>
      </c>
      <c r="AB387" s="2">
        <v>0</v>
      </c>
      <c r="AC387" s="2">
        <v>0</v>
      </c>
      <c r="AD387" s="4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3.68</v>
      </c>
      <c r="AN387" s="2">
        <v>3.68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45915</v>
      </c>
      <c r="B388" t="s">
        <v>47</v>
      </c>
      <c r="C388">
        <v>649163</v>
      </c>
      <c r="D388">
        <v>2024737148</v>
      </c>
      <c r="E388" t="s">
        <v>802</v>
      </c>
      <c r="F388" t="s">
        <v>801</v>
      </c>
      <c r="G388" t="s">
        <v>50</v>
      </c>
      <c r="H388" t="s">
        <v>800</v>
      </c>
      <c r="I388" t="s">
        <v>52</v>
      </c>
      <c r="J388" t="s">
        <v>53</v>
      </c>
      <c r="K388">
        <v>751867</v>
      </c>
      <c r="L388" t="s">
        <v>84</v>
      </c>
      <c r="M388" t="s">
        <v>85</v>
      </c>
      <c r="N388" t="s">
        <v>1089</v>
      </c>
      <c r="O388" t="s">
        <v>56</v>
      </c>
      <c r="P388" s="1">
        <v>45541</v>
      </c>
      <c r="Q388" s="1">
        <v>45936</v>
      </c>
      <c r="R388" s="2">
        <v>96.55</v>
      </c>
      <c r="S388">
        <v>1</v>
      </c>
      <c r="T388" t="s">
        <v>57</v>
      </c>
      <c r="U388" t="s">
        <v>58</v>
      </c>
      <c r="V388" s="3">
        <v>6.5000000000000002E-2</v>
      </c>
      <c r="W388" s="2">
        <v>0</v>
      </c>
      <c r="X388">
        <v>0</v>
      </c>
      <c r="Y388" t="s">
        <v>59</v>
      </c>
      <c r="Z388" t="s">
        <v>60</v>
      </c>
      <c r="AA388">
        <v>0</v>
      </c>
      <c r="AB388" s="2">
        <v>0</v>
      </c>
      <c r="AC388" s="2">
        <v>0</v>
      </c>
      <c r="AD388" s="4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6.28</v>
      </c>
      <c r="AN388" s="2">
        <v>6.28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45915</v>
      </c>
      <c r="B389" t="s">
        <v>47</v>
      </c>
      <c r="C389">
        <v>649163</v>
      </c>
      <c r="D389">
        <v>2026603200</v>
      </c>
      <c r="E389" t="s">
        <v>785</v>
      </c>
      <c r="F389" t="s">
        <v>784</v>
      </c>
      <c r="G389" t="s">
        <v>50</v>
      </c>
      <c r="H389" t="s">
        <v>51</v>
      </c>
      <c r="I389" t="s">
        <v>52</v>
      </c>
      <c r="J389" t="s">
        <v>53</v>
      </c>
      <c r="K389">
        <v>751867</v>
      </c>
      <c r="L389" t="s">
        <v>84</v>
      </c>
      <c r="M389" t="s">
        <v>85</v>
      </c>
      <c r="N389" t="s">
        <v>1089</v>
      </c>
      <c r="O389" t="s">
        <v>56</v>
      </c>
      <c r="P389" s="1">
        <v>45673</v>
      </c>
      <c r="Q389" s="1">
        <v>45946</v>
      </c>
      <c r="R389" s="2">
        <v>56.69</v>
      </c>
      <c r="S389">
        <v>1</v>
      </c>
      <c r="T389" t="s">
        <v>57</v>
      </c>
      <c r="U389" t="s">
        <v>58</v>
      </c>
      <c r="V389" s="4">
        <v>0.6</v>
      </c>
      <c r="W389" s="2">
        <v>0</v>
      </c>
      <c r="X389">
        <v>0</v>
      </c>
      <c r="Y389" t="s">
        <v>70</v>
      </c>
      <c r="Z389" t="s">
        <v>60</v>
      </c>
      <c r="AA389">
        <v>0</v>
      </c>
      <c r="AB389" s="2">
        <v>0</v>
      </c>
      <c r="AC389" s="2">
        <v>0</v>
      </c>
      <c r="AD389" s="4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34.01</v>
      </c>
      <c r="AN389" s="2">
        <v>34.01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45915</v>
      </c>
      <c r="B390" t="s">
        <v>47</v>
      </c>
      <c r="C390">
        <v>649163</v>
      </c>
      <c r="D390">
        <v>2028488144</v>
      </c>
      <c r="E390" t="s">
        <v>780</v>
      </c>
      <c r="F390" t="s">
        <v>779</v>
      </c>
      <c r="G390" t="s">
        <v>50</v>
      </c>
      <c r="H390" t="s">
        <v>51</v>
      </c>
      <c r="I390" t="s">
        <v>52</v>
      </c>
      <c r="J390" t="s">
        <v>53</v>
      </c>
      <c r="K390">
        <v>751867</v>
      </c>
      <c r="L390" t="s">
        <v>84</v>
      </c>
      <c r="M390" t="s">
        <v>85</v>
      </c>
      <c r="N390" t="s">
        <v>1089</v>
      </c>
      <c r="O390" t="s">
        <v>56</v>
      </c>
      <c r="P390" s="1">
        <v>45766</v>
      </c>
      <c r="Q390" s="1">
        <v>45949</v>
      </c>
      <c r="R390" s="2">
        <v>62.54</v>
      </c>
      <c r="S390">
        <v>1</v>
      </c>
      <c r="T390" t="s">
        <v>57</v>
      </c>
      <c r="U390" t="s">
        <v>58</v>
      </c>
      <c r="V390" s="4">
        <v>0.6</v>
      </c>
      <c r="W390" s="2">
        <v>0</v>
      </c>
      <c r="X390">
        <v>0</v>
      </c>
      <c r="Y390" t="s">
        <v>70</v>
      </c>
      <c r="Z390" t="s">
        <v>60</v>
      </c>
      <c r="AA390">
        <v>0</v>
      </c>
      <c r="AB390" s="2">
        <v>0</v>
      </c>
      <c r="AC390" s="2">
        <v>0</v>
      </c>
      <c r="AD390" s="4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37.520000000000003</v>
      </c>
      <c r="AN390" s="2">
        <v>37.520000000000003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45915</v>
      </c>
      <c r="B391" t="s">
        <v>47</v>
      </c>
      <c r="C391">
        <v>649163</v>
      </c>
      <c r="D391">
        <v>2030469676</v>
      </c>
      <c r="E391" t="s">
        <v>612</v>
      </c>
      <c r="F391" t="s">
        <v>611</v>
      </c>
      <c r="G391" t="s">
        <v>50</v>
      </c>
      <c r="H391" t="s">
        <v>204</v>
      </c>
      <c r="I391" t="s">
        <v>52</v>
      </c>
      <c r="J391" t="s">
        <v>53</v>
      </c>
      <c r="K391">
        <v>751867</v>
      </c>
      <c r="L391" t="s">
        <v>84</v>
      </c>
      <c r="M391" t="s">
        <v>85</v>
      </c>
      <c r="N391" t="s">
        <v>1089</v>
      </c>
      <c r="O391" t="s">
        <v>230</v>
      </c>
      <c r="P391" s="1">
        <v>45901</v>
      </c>
      <c r="Q391" s="1">
        <v>45931</v>
      </c>
      <c r="R391" s="2">
        <v>-46.45</v>
      </c>
      <c r="S391">
        <v>1</v>
      </c>
      <c r="T391" t="s">
        <v>57</v>
      </c>
      <c r="U391" t="s">
        <v>58</v>
      </c>
      <c r="V391" s="4">
        <v>0.6</v>
      </c>
      <c r="W391" s="2">
        <v>0</v>
      </c>
      <c r="X391">
        <v>-1</v>
      </c>
      <c r="Y391" t="s">
        <v>70</v>
      </c>
      <c r="Z391" t="s">
        <v>60</v>
      </c>
      <c r="AA391">
        <v>0</v>
      </c>
      <c r="AB391" s="2">
        <v>0</v>
      </c>
      <c r="AC391" s="2">
        <v>0</v>
      </c>
      <c r="AD391" s="4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-27.87</v>
      </c>
      <c r="AN391" s="2">
        <v>-27.87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45915</v>
      </c>
      <c r="B392" t="s">
        <v>47</v>
      </c>
      <c r="C392">
        <v>649163</v>
      </c>
      <c r="D392">
        <v>2030516317</v>
      </c>
      <c r="E392" t="s">
        <v>768</v>
      </c>
      <c r="F392" t="s">
        <v>197</v>
      </c>
      <c r="G392" t="s">
        <v>50</v>
      </c>
      <c r="H392" t="s">
        <v>51</v>
      </c>
      <c r="I392" t="s">
        <v>52</v>
      </c>
      <c r="J392" t="s">
        <v>53</v>
      </c>
      <c r="K392">
        <v>751867</v>
      </c>
      <c r="L392" t="s">
        <v>84</v>
      </c>
      <c r="M392" t="s">
        <v>85</v>
      </c>
      <c r="N392" t="s">
        <v>1089</v>
      </c>
      <c r="O392" t="s">
        <v>56</v>
      </c>
      <c r="P392" s="1">
        <v>45885</v>
      </c>
      <c r="Q392" s="1">
        <v>45946</v>
      </c>
      <c r="R392" s="2">
        <v>50.06</v>
      </c>
      <c r="S392">
        <v>1</v>
      </c>
      <c r="T392" t="s">
        <v>57</v>
      </c>
      <c r="U392" t="s">
        <v>58</v>
      </c>
      <c r="V392" s="4">
        <v>0.6</v>
      </c>
      <c r="W392" s="2">
        <v>0</v>
      </c>
      <c r="X392">
        <v>0</v>
      </c>
      <c r="Y392" t="s">
        <v>70</v>
      </c>
      <c r="Z392" t="s">
        <v>60</v>
      </c>
      <c r="AA392">
        <v>0</v>
      </c>
      <c r="AB392" s="2">
        <v>0</v>
      </c>
      <c r="AC392" s="2">
        <v>0</v>
      </c>
      <c r="AD392" s="4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30.04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45915</v>
      </c>
      <c r="B393" t="s">
        <v>47</v>
      </c>
      <c r="C393">
        <v>649163</v>
      </c>
      <c r="D393">
        <v>2024403626</v>
      </c>
      <c r="E393" t="s">
        <v>583</v>
      </c>
      <c r="F393" t="s">
        <v>805</v>
      </c>
      <c r="G393" t="s">
        <v>50</v>
      </c>
      <c r="H393" t="s">
        <v>83</v>
      </c>
      <c r="I393" t="s">
        <v>243</v>
      </c>
      <c r="J393" t="s">
        <v>249</v>
      </c>
      <c r="K393">
        <v>751867</v>
      </c>
      <c r="L393" t="s">
        <v>84</v>
      </c>
      <c r="M393" t="s">
        <v>85</v>
      </c>
      <c r="N393" t="s">
        <v>1089</v>
      </c>
      <c r="O393" t="s">
        <v>56</v>
      </c>
      <c r="P393" s="1">
        <v>45520</v>
      </c>
      <c r="Q393" s="1">
        <v>45946</v>
      </c>
      <c r="R393" s="2">
        <v>15</v>
      </c>
      <c r="S393">
        <v>1</v>
      </c>
      <c r="T393" t="s">
        <v>57</v>
      </c>
      <c r="U393" t="s">
        <v>58</v>
      </c>
      <c r="V393" s="4">
        <v>0.1</v>
      </c>
      <c r="W393" s="2">
        <v>0</v>
      </c>
      <c r="X393">
        <v>0</v>
      </c>
      <c r="Y393" t="s">
        <v>59</v>
      </c>
      <c r="Z393" t="s">
        <v>60</v>
      </c>
      <c r="AA393">
        <v>0</v>
      </c>
      <c r="AB393" s="2">
        <v>0</v>
      </c>
      <c r="AC393" s="2">
        <v>0</v>
      </c>
      <c r="AD393" s="4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1.5</v>
      </c>
      <c r="AN393" s="2">
        <v>1.5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45915</v>
      </c>
      <c r="B394" t="s">
        <v>47</v>
      </c>
      <c r="C394">
        <v>649163</v>
      </c>
      <c r="D394">
        <v>2022747854</v>
      </c>
      <c r="E394" t="s">
        <v>816</v>
      </c>
      <c r="F394" t="s">
        <v>344</v>
      </c>
      <c r="G394" t="s">
        <v>50</v>
      </c>
      <c r="H394" t="s">
        <v>51</v>
      </c>
      <c r="I394" t="s">
        <v>306</v>
      </c>
      <c r="J394" t="s">
        <v>307</v>
      </c>
      <c r="K394">
        <v>751867</v>
      </c>
      <c r="L394" t="s">
        <v>84</v>
      </c>
      <c r="M394" t="s">
        <v>85</v>
      </c>
      <c r="N394" t="s">
        <v>1089</v>
      </c>
      <c r="O394" t="s">
        <v>56</v>
      </c>
      <c r="P394" s="1">
        <v>45413</v>
      </c>
      <c r="Q394" s="1">
        <v>45931</v>
      </c>
      <c r="R394" s="2">
        <v>36.11</v>
      </c>
      <c r="S394">
        <v>1</v>
      </c>
      <c r="T394" t="s">
        <v>57</v>
      </c>
      <c r="U394" t="s">
        <v>58</v>
      </c>
      <c r="V394" s="4">
        <v>0.06</v>
      </c>
      <c r="W394" s="2">
        <v>0</v>
      </c>
      <c r="X394">
        <v>0</v>
      </c>
      <c r="Y394" t="s">
        <v>59</v>
      </c>
      <c r="Z394" t="s">
        <v>60</v>
      </c>
      <c r="AA394">
        <v>0</v>
      </c>
      <c r="AB394" s="2">
        <v>0</v>
      </c>
      <c r="AC394" s="2">
        <v>0</v>
      </c>
      <c r="AD394" s="4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2.17</v>
      </c>
      <c r="AN394" s="2">
        <v>2.17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45915</v>
      </c>
      <c r="B395" t="s">
        <v>47</v>
      </c>
      <c r="C395">
        <v>649163</v>
      </c>
      <c r="D395">
        <v>2023051089</v>
      </c>
      <c r="E395" t="s">
        <v>813</v>
      </c>
      <c r="F395" t="s">
        <v>251</v>
      </c>
      <c r="G395" t="s">
        <v>50</v>
      </c>
      <c r="H395" t="s">
        <v>51</v>
      </c>
      <c r="I395" t="s">
        <v>306</v>
      </c>
      <c r="J395" t="s">
        <v>307</v>
      </c>
      <c r="K395">
        <v>751867</v>
      </c>
      <c r="L395" t="s">
        <v>84</v>
      </c>
      <c r="M395" t="s">
        <v>85</v>
      </c>
      <c r="N395" t="s">
        <v>1089</v>
      </c>
      <c r="O395" t="s">
        <v>56</v>
      </c>
      <c r="P395" s="1">
        <v>45422</v>
      </c>
      <c r="Q395" s="1">
        <v>45940</v>
      </c>
      <c r="R395" s="2">
        <v>24.88</v>
      </c>
      <c r="S395">
        <v>1</v>
      </c>
      <c r="T395" t="s">
        <v>57</v>
      </c>
      <c r="U395" t="s">
        <v>58</v>
      </c>
      <c r="V395" s="4">
        <v>0.06</v>
      </c>
      <c r="W395" s="2">
        <v>0</v>
      </c>
      <c r="X395">
        <v>0</v>
      </c>
      <c r="Y395" t="s">
        <v>59</v>
      </c>
      <c r="Z395" t="s">
        <v>60</v>
      </c>
      <c r="AA395">
        <v>0</v>
      </c>
      <c r="AB395" s="2">
        <v>0</v>
      </c>
      <c r="AC395" s="2">
        <v>0</v>
      </c>
      <c r="AD395" s="4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1.49</v>
      </c>
      <c r="AN395" s="2">
        <v>1.49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45915</v>
      </c>
      <c r="B396" t="s">
        <v>47</v>
      </c>
      <c r="C396">
        <v>649163</v>
      </c>
      <c r="D396">
        <v>2023499226</v>
      </c>
      <c r="E396" t="s">
        <v>810</v>
      </c>
      <c r="F396" t="s">
        <v>205</v>
      </c>
      <c r="G396" t="s">
        <v>50</v>
      </c>
      <c r="H396" t="s">
        <v>83</v>
      </c>
      <c r="I396" t="s">
        <v>306</v>
      </c>
      <c r="J396" t="s">
        <v>307</v>
      </c>
      <c r="K396">
        <v>751867</v>
      </c>
      <c r="L396" t="s">
        <v>84</v>
      </c>
      <c r="M396" t="s">
        <v>85</v>
      </c>
      <c r="N396" t="s">
        <v>1089</v>
      </c>
      <c r="O396" t="s">
        <v>56</v>
      </c>
      <c r="P396" s="1">
        <v>45456</v>
      </c>
      <c r="Q396" s="1">
        <v>45943</v>
      </c>
      <c r="R396" s="2">
        <v>33.479999999999997</v>
      </c>
      <c r="S396">
        <v>1</v>
      </c>
      <c r="T396" t="s">
        <v>57</v>
      </c>
      <c r="U396" t="s">
        <v>58</v>
      </c>
      <c r="V396" s="4">
        <v>0.06</v>
      </c>
      <c r="W396" s="2">
        <v>0</v>
      </c>
      <c r="X396">
        <v>0</v>
      </c>
      <c r="Y396" t="s">
        <v>59</v>
      </c>
      <c r="Z396" t="s">
        <v>60</v>
      </c>
      <c r="AA396">
        <v>0</v>
      </c>
      <c r="AB396" s="2">
        <v>0</v>
      </c>
      <c r="AC396" s="2">
        <v>0</v>
      </c>
      <c r="AD396" s="4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2.0099999999999998</v>
      </c>
      <c r="AN396" s="2">
        <v>2.0099999999999998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45915</v>
      </c>
      <c r="B397" t="s">
        <v>47</v>
      </c>
      <c r="C397">
        <v>649163</v>
      </c>
      <c r="D397">
        <v>2026213887</v>
      </c>
      <c r="E397" t="s">
        <v>1033</v>
      </c>
      <c r="F397" t="s">
        <v>349</v>
      </c>
      <c r="G397" t="s">
        <v>50</v>
      </c>
      <c r="H397" t="s">
        <v>51</v>
      </c>
      <c r="I397" t="s">
        <v>306</v>
      </c>
      <c r="J397" t="s">
        <v>307</v>
      </c>
      <c r="K397">
        <v>751867</v>
      </c>
      <c r="L397" t="s">
        <v>84</v>
      </c>
      <c r="M397" t="s">
        <v>85</v>
      </c>
      <c r="N397" t="s">
        <v>1089</v>
      </c>
      <c r="O397" t="s">
        <v>56</v>
      </c>
      <c r="P397" s="1">
        <v>45644</v>
      </c>
      <c r="Q397" s="1">
        <v>45948</v>
      </c>
      <c r="R397" s="2">
        <v>39.979999999999997</v>
      </c>
      <c r="S397">
        <v>1</v>
      </c>
      <c r="T397" t="s">
        <v>57</v>
      </c>
      <c r="U397" t="s">
        <v>58</v>
      </c>
      <c r="V397" s="3">
        <v>0.375</v>
      </c>
      <c r="W397" s="2">
        <v>0</v>
      </c>
      <c r="X397">
        <v>0</v>
      </c>
      <c r="Y397" t="s">
        <v>70</v>
      </c>
      <c r="Z397" t="s">
        <v>60</v>
      </c>
      <c r="AA397">
        <v>0</v>
      </c>
      <c r="AB397" s="2">
        <v>0</v>
      </c>
      <c r="AC397" s="2">
        <v>0</v>
      </c>
      <c r="AD397" s="4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14.99</v>
      </c>
      <c r="AN397" s="2">
        <v>14.99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45915</v>
      </c>
      <c r="B398" t="s">
        <v>47</v>
      </c>
      <c r="D398">
        <v>2028488145</v>
      </c>
      <c r="E398" t="s">
        <v>780</v>
      </c>
      <c r="F398" t="s">
        <v>779</v>
      </c>
      <c r="G398" t="s">
        <v>50</v>
      </c>
      <c r="H398" t="s">
        <v>51</v>
      </c>
      <c r="I398" t="s">
        <v>441</v>
      </c>
      <c r="J398" t="s">
        <v>545</v>
      </c>
      <c r="L398" t="s">
        <v>84</v>
      </c>
      <c r="M398" t="s">
        <v>85</v>
      </c>
      <c r="N398" t="s">
        <v>1089</v>
      </c>
      <c r="O398" t="s">
        <v>56</v>
      </c>
      <c r="P398" s="1">
        <v>45766</v>
      </c>
      <c r="Q398" s="1">
        <v>45949</v>
      </c>
      <c r="R398" s="2">
        <v>51.46</v>
      </c>
      <c r="S398">
        <v>1</v>
      </c>
      <c r="T398" t="s">
        <v>57</v>
      </c>
      <c r="U398" t="s">
        <v>58</v>
      </c>
      <c r="V398" s="4">
        <v>0.7</v>
      </c>
      <c r="W398" s="2">
        <v>0</v>
      </c>
      <c r="X398">
        <v>0</v>
      </c>
      <c r="Y398" t="s">
        <v>70</v>
      </c>
      <c r="Z398" t="s">
        <v>60</v>
      </c>
      <c r="AA398">
        <v>0</v>
      </c>
      <c r="AB398" s="2">
        <v>0</v>
      </c>
      <c r="AC398" s="2">
        <v>0</v>
      </c>
      <c r="AD398" s="4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36.020000000000003</v>
      </c>
      <c r="AN398" s="2">
        <v>36.020000000000003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45915</v>
      </c>
      <c r="B399" t="s">
        <v>47</v>
      </c>
      <c r="C399">
        <v>649163</v>
      </c>
      <c r="D399">
        <v>2028485191</v>
      </c>
      <c r="E399" t="s">
        <v>864</v>
      </c>
      <c r="F399" t="s">
        <v>863</v>
      </c>
      <c r="G399" t="s">
        <v>50</v>
      </c>
      <c r="H399" t="s">
        <v>862</v>
      </c>
      <c r="I399" t="s">
        <v>306</v>
      </c>
      <c r="J399" t="s">
        <v>307</v>
      </c>
      <c r="K399">
        <v>751867</v>
      </c>
      <c r="L399" t="s">
        <v>84</v>
      </c>
      <c r="M399" t="s">
        <v>85</v>
      </c>
      <c r="N399" t="s">
        <v>1089</v>
      </c>
      <c r="O399" t="s">
        <v>56</v>
      </c>
      <c r="P399" s="1">
        <v>45766</v>
      </c>
      <c r="Q399" s="1">
        <v>45949</v>
      </c>
      <c r="R399" s="2">
        <v>32.549999999999997</v>
      </c>
      <c r="S399">
        <v>1</v>
      </c>
      <c r="T399" t="s">
        <v>57</v>
      </c>
      <c r="U399" t="s">
        <v>58</v>
      </c>
      <c r="V399" s="3">
        <v>0.375</v>
      </c>
      <c r="W399" s="2">
        <v>0</v>
      </c>
      <c r="X399">
        <v>0</v>
      </c>
      <c r="Y399" t="s">
        <v>70</v>
      </c>
      <c r="Z399" t="s">
        <v>60</v>
      </c>
      <c r="AA399">
        <v>0</v>
      </c>
      <c r="AB399" s="2">
        <v>0</v>
      </c>
      <c r="AC399" s="2">
        <v>0</v>
      </c>
      <c r="AD399" s="4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12.21</v>
      </c>
      <c r="AN399" s="2">
        <v>12.21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45915</v>
      </c>
      <c r="B400" t="s">
        <v>47</v>
      </c>
      <c r="C400">
        <v>649163</v>
      </c>
      <c r="D400">
        <v>2030469677</v>
      </c>
      <c r="E400" t="s">
        <v>612</v>
      </c>
      <c r="F400" t="s">
        <v>611</v>
      </c>
      <c r="G400" t="s">
        <v>50</v>
      </c>
      <c r="H400" t="s">
        <v>204</v>
      </c>
      <c r="I400" t="s">
        <v>306</v>
      </c>
      <c r="J400" t="s">
        <v>307</v>
      </c>
      <c r="K400">
        <v>751867</v>
      </c>
      <c r="L400" t="s">
        <v>84</v>
      </c>
      <c r="M400" t="s">
        <v>85</v>
      </c>
      <c r="N400" t="s">
        <v>1089</v>
      </c>
      <c r="O400" t="s">
        <v>230</v>
      </c>
      <c r="P400" s="1">
        <v>45901</v>
      </c>
      <c r="Q400" s="1">
        <v>45931</v>
      </c>
      <c r="R400" s="2">
        <v>-26.7</v>
      </c>
      <c r="S400">
        <v>1</v>
      </c>
      <c r="T400" t="s">
        <v>57</v>
      </c>
      <c r="U400" t="s">
        <v>58</v>
      </c>
      <c r="V400" s="3">
        <v>0.375</v>
      </c>
      <c r="W400" s="2">
        <v>0</v>
      </c>
      <c r="X400">
        <v>-1</v>
      </c>
      <c r="Y400" t="s">
        <v>70</v>
      </c>
      <c r="Z400" t="s">
        <v>60</v>
      </c>
      <c r="AA400">
        <v>0</v>
      </c>
      <c r="AB400" s="2">
        <v>0</v>
      </c>
      <c r="AC400" s="2">
        <v>0</v>
      </c>
      <c r="AD400" s="4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-10.01</v>
      </c>
      <c r="AN400" s="2">
        <v>-10.01</v>
      </c>
      <c r="AO400" s="2">
        <v>0</v>
      </c>
      <c r="AP400" s="2">
        <v>0</v>
      </c>
      <c r="AQ400" s="2">
        <v>0</v>
      </c>
    </row>
    <row r="401" spans="1:44" x14ac:dyDescent="0.25">
      <c r="A401" s="1">
        <v>45915</v>
      </c>
      <c r="B401" t="s">
        <v>47</v>
      </c>
      <c r="C401">
        <v>649163</v>
      </c>
      <c r="D401">
        <v>2022721019</v>
      </c>
      <c r="E401" t="s">
        <v>817</v>
      </c>
      <c r="F401" t="s">
        <v>49</v>
      </c>
      <c r="G401" t="s">
        <v>50</v>
      </c>
      <c r="H401" t="s">
        <v>51</v>
      </c>
      <c r="I401" t="s">
        <v>430</v>
      </c>
      <c r="J401" t="s">
        <v>431</v>
      </c>
      <c r="K401">
        <v>751867</v>
      </c>
      <c r="L401" t="s">
        <v>84</v>
      </c>
      <c r="M401" t="s">
        <v>85</v>
      </c>
      <c r="N401" t="s">
        <v>1089</v>
      </c>
      <c r="O401" t="s">
        <v>56</v>
      </c>
      <c r="P401" s="1">
        <v>45413</v>
      </c>
      <c r="Q401" s="1">
        <v>45931</v>
      </c>
      <c r="R401" s="2">
        <v>38.11</v>
      </c>
      <c r="S401">
        <v>1</v>
      </c>
      <c r="T401" t="s">
        <v>57</v>
      </c>
      <c r="U401" t="s">
        <v>58</v>
      </c>
      <c r="V401" s="4">
        <v>0.1</v>
      </c>
      <c r="W401" s="2">
        <v>0</v>
      </c>
      <c r="X401">
        <v>0</v>
      </c>
      <c r="Y401" t="s">
        <v>59</v>
      </c>
      <c r="Z401" t="s">
        <v>60</v>
      </c>
      <c r="AA401">
        <v>0</v>
      </c>
      <c r="AB401" s="2">
        <v>0</v>
      </c>
      <c r="AC401" s="2">
        <v>0</v>
      </c>
      <c r="AD401" s="4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3.81</v>
      </c>
      <c r="AN401" s="2">
        <v>3.81</v>
      </c>
      <c r="AO401" s="2">
        <v>0</v>
      </c>
      <c r="AP401" s="2">
        <v>0</v>
      </c>
      <c r="AQ401" s="2">
        <v>0</v>
      </c>
    </row>
    <row r="402" spans="1:44" x14ac:dyDescent="0.25">
      <c r="A402" s="1">
        <v>45915</v>
      </c>
      <c r="B402" t="s">
        <v>47</v>
      </c>
      <c r="C402">
        <v>649163</v>
      </c>
      <c r="D402">
        <v>2022747853</v>
      </c>
      <c r="E402" t="s">
        <v>816</v>
      </c>
      <c r="F402" t="s">
        <v>344</v>
      </c>
      <c r="G402" t="s">
        <v>50</v>
      </c>
      <c r="H402" t="s">
        <v>51</v>
      </c>
      <c r="I402" t="s">
        <v>430</v>
      </c>
      <c r="J402" t="s">
        <v>431</v>
      </c>
      <c r="K402">
        <v>751867</v>
      </c>
      <c r="L402" t="s">
        <v>84</v>
      </c>
      <c r="M402" t="s">
        <v>85</v>
      </c>
      <c r="N402" t="s">
        <v>1089</v>
      </c>
      <c r="O402" t="s">
        <v>56</v>
      </c>
      <c r="P402" s="1">
        <v>45413</v>
      </c>
      <c r="Q402" s="1">
        <v>45931</v>
      </c>
      <c r="R402" s="2">
        <v>61.39</v>
      </c>
      <c r="S402">
        <v>1</v>
      </c>
      <c r="T402" t="s">
        <v>57</v>
      </c>
      <c r="U402" t="s">
        <v>58</v>
      </c>
      <c r="V402" s="4">
        <v>0.1</v>
      </c>
      <c r="W402" s="2">
        <v>0</v>
      </c>
      <c r="X402">
        <v>0</v>
      </c>
      <c r="Y402" t="s">
        <v>59</v>
      </c>
      <c r="Z402" t="s">
        <v>60</v>
      </c>
      <c r="AA402">
        <v>0</v>
      </c>
      <c r="AB402" s="2">
        <v>0</v>
      </c>
      <c r="AC402" s="2">
        <v>0</v>
      </c>
      <c r="AD402" s="4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6.14</v>
      </c>
      <c r="AN402" s="2">
        <v>6.14</v>
      </c>
      <c r="AO402" s="2">
        <v>0</v>
      </c>
      <c r="AP402" s="2">
        <v>0</v>
      </c>
      <c r="AQ402" s="2">
        <v>0</v>
      </c>
    </row>
    <row r="403" spans="1:44" x14ac:dyDescent="0.25">
      <c r="A403" s="1">
        <v>45915</v>
      </c>
      <c r="B403" t="s">
        <v>47</v>
      </c>
      <c r="C403">
        <v>649163</v>
      </c>
      <c r="D403">
        <v>2023047686</v>
      </c>
      <c r="E403" t="s">
        <v>815</v>
      </c>
      <c r="F403" t="s">
        <v>814</v>
      </c>
      <c r="G403" t="s">
        <v>50</v>
      </c>
      <c r="H403" t="s">
        <v>51</v>
      </c>
      <c r="I403" t="s">
        <v>430</v>
      </c>
      <c r="J403" t="s">
        <v>431</v>
      </c>
      <c r="K403">
        <v>751867</v>
      </c>
      <c r="L403" t="s">
        <v>84</v>
      </c>
      <c r="M403" t="s">
        <v>85</v>
      </c>
      <c r="N403" t="s">
        <v>1089</v>
      </c>
      <c r="O403" t="s">
        <v>56</v>
      </c>
      <c r="P403" s="1">
        <v>45422</v>
      </c>
      <c r="Q403" s="1">
        <v>45940</v>
      </c>
      <c r="R403" s="2">
        <v>77.55</v>
      </c>
      <c r="S403">
        <v>1</v>
      </c>
      <c r="T403" t="s">
        <v>57</v>
      </c>
      <c r="U403" t="s">
        <v>58</v>
      </c>
      <c r="V403" s="4">
        <v>0.1</v>
      </c>
      <c r="W403" s="2">
        <v>0</v>
      </c>
      <c r="X403">
        <v>0</v>
      </c>
      <c r="Y403" t="s">
        <v>59</v>
      </c>
      <c r="Z403" t="s">
        <v>60</v>
      </c>
      <c r="AA403">
        <v>0</v>
      </c>
      <c r="AB403" s="2">
        <v>0</v>
      </c>
      <c r="AC403" s="2">
        <v>0</v>
      </c>
      <c r="AD403" s="4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7.76</v>
      </c>
      <c r="AN403" s="2">
        <v>7.76</v>
      </c>
      <c r="AO403" s="2">
        <v>0</v>
      </c>
      <c r="AP403" s="2">
        <v>0</v>
      </c>
      <c r="AQ403" s="2">
        <v>0</v>
      </c>
    </row>
    <row r="404" spans="1:44" x14ac:dyDescent="0.25">
      <c r="A404" s="1">
        <v>45915</v>
      </c>
      <c r="B404" t="s">
        <v>47</v>
      </c>
      <c r="C404">
        <v>649163</v>
      </c>
      <c r="D404">
        <v>2023051088</v>
      </c>
      <c r="E404" t="s">
        <v>813</v>
      </c>
      <c r="F404" t="s">
        <v>251</v>
      </c>
      <c r="G404" t="s">
        <v>50</v>
      </c>
      <c r="H404" t="s">
        <v>51</v>
      </c>
      <c r="I404" t="s">
        <v>430</v>
      </c>
      <c r="J404" t="s">
        <v>431</v>
      </c>
      <c r="K404">
        <v>751867</v>
      </c>
      <c r="L404" t="s">
        <v>84</v>
      </c>
      <c r="M404" t="s">
        <v>85</v>
      </c>
      <c r="N404" t="s">
        <v>1089</v>
      </c>
      <c r="O404" t="s">
        <v>56</v>
      </c>
      <c r="P404" s="1">
        <v>45422</v>
      </c>
      <c r="Q404" s="1">
        <v>45940</v>
      </c>
      <c r="R404" s="2">
        <v>47.17</v>
      </c>
      <c r="S404">
        <v>1</v>
      </c>
      <c r="T404" t="s">
        <v>57</v>
      </c>
      <c r="U404" t="s">
        <v>58</v>
      </c>
      <c r="V404" s="4">
        <v>0.1</v>
      </c>
      <c r="W404" s="2">
        <v>0</v>
      </c>
      <c r="X404">
        <v>0</v>
      </c>
      <c r="Y404" t="s">
        <v>59</v>
      </c>
      <c r="Z404" t="s">
        <v>60</v>
      </c>
      <c r="AA404">
        <v>0</v>
      </c>
      <c r="AB404" s="2">
        <v>0</v>
      </c>
      <c r="AC404" s="2">
        <v>0</v>
      </c>
      <c r="AD404" s="4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4.72</v>
      </c>
      <c r="AN404" s="2">
        <v>4.72</v>
      </c>
      <c r="AO404" s="2">
        <v>0</v>
      </c>
      <c r="AP404" s="2">
        <v>0</v>
      </c>
      <c r="AQ404" s="2">
        <v>0</v>
      </c>
    </row>
    <row r="405" spans="1:44" x14ac:dyDescent="0.25">
      <c r="A405" s="1">
        <v>45915</v>
      </c>
      <c r="B405" t="s">
        <v>47</v>
      </c>
      <c r="C405">
        <v>649163</v>
      </c>
      <c r="D405">
        <v>2023499224</v>
      </c>
      <c r="E405" t="s">
        <v>810</v>
      </c>
      <c r="F405" t="s">
        <v>205</v>
      </c>
      <c r="G405" t="s">
        <v>50</v>
      </c>
      <c r="H405" t="s">
        <v>83</v>
      </c>
      <c r="I405" t="s">
        <v>430</v>
      </c>
      <c r="J405" t="s">
        <v>431</v>
      </c>
      <c r="K405">
        <v>751867</v>
      </c>
      <c r="L405" t="s">
        <v>84</v>
      </c>
      <c r="M405" t="s">
        <v>85</v>
      </c>
      <c r="N405" t="s">
        <v>1089</v>
      </c>
      <c r="O405" t="s">
        <v>56</v>
      </c>
      <c r="P405" s="1">
        <v>45456</v>
      </c>
      <c r="Q405" s="1">
        <v>45943</v>
      </c>
      <c r="R405" s="2">
        <v>28.12</v>
      </c>
      <c r="S405">
        <v>1</v>
      </c>
      <c r="T405" t="s">
        <v>57</v>
      </c>
      <c r="U405" t="s">
        <v>58</v>
      </c>
      <c r="V405" s="4">
        <v>0.1</v>
      </c>
      <c r="W405" s="2">
        <v>0</v>
      </c>
      <c r="X405">
        <v>0</v>
      </c>
      <c r="Y405" t="s">
        <v>59</v>
      </c>
      <c r="Z405" t="s">
        <v>60</v>
      </c>
      <c r="AA405">
        <v>0</v>
      </c>
      <c r="AB405" s="2">
        <v>0</v>
      </c>
      <c r="AC405" s="2">
        <v>0</v>
      </c>
      <c r="AD405" s="4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2.81</v>
      </c>
      <c r="AN405" s="2">
        <v>2.81</v>
      </c>
      <c r="AO405" s="2">
        <v>0</v>
      </c>
      <c r="AP405" s="2">
        <v>0</v>
      </c>
      <c r="AQ405" s="2">
        <v>0</v>
      </c>
    </row>
    <row r="406" spans="1:44" x14ac:dyDescent="0.25">
      <c r="A406" s="1">
        <v>45915</v>
      </c>
      <c r="B406" t="s">
        <v>47</v>
      </c>
      <c r="C406">
        <v>649163</v>
      </c>
      <c r="D406">
        <v>2023509943</v>
      </c>
      <c r="E406" t="s">
        <v>809</v>
      </c>
      <c r="F406" t="s">
        <v>690</v>
      </c>
      <c r="G406" t="s">
        <v>50</v>
      </c>
      <c r="H406" t="s">
        <v>51</v>
      </c>
      <c r="I406" t="s">
        <v>430</v>
      </c>
      <c r="J406" t="s">
        <v>431</v>
      </c>
      <c r="K406">
        <v>751867</v>
      </c>
      <c r="L406" t="s">
        <v>84</v>
      </c>
      <c r="M406" t="s">
        <v>85</v>
      </c>
      <c r="N406" t="s">
        <v>1089</v>
      </c>
      <c r="O406" t="s">
        <v>56</v>
      </c>
      <c r="P406" s="1">
        <v>45457</v>
      </c>
      <c r="Q406" s="1">
        <v>45944</v>
      </c>
      <c r="R406" s="2">
        <v>55.16</v>
      </c>
      <c r="S406">
        <v>1</v>
      </c>
      <c r="T406" t="s">
        <v>57</v>
      </c>
      <c r="U406" t="s">
        <v>58</v>
      </c>
      <c r="V406" s="4">
        <v>0.1</v>
      </c>
      <c r="W406" s="2">
        <v>0</v>
      </c>
      <c r="X406">
        <v>0</v>
      </c>
      <c r="Y406" t="s">
        <v>59</v>
      </c>
      <c r="Z406" t="s">
        <v>60</v>
      </c>
      <c r="AA406">
        <v>0</v>
      </c>
      <c r="AB406" s="2">
        <v>0</v>
      </c>
      <c r="AC406" s="2">
        <v>0</v>
      </c>
      <c r="AD406" s="4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5.52</v>
      </c>
      <c r="AN406" s="2">
        <v>5.52</v>
      </c>
      <c r="AO406" s="2">
        <v>0</v>
      </c>
      <c r="AP406" s="2">
        <v>0</v>
      </c>
      <c r="AQ406" s="2">
        <v>0</v>
      </c>
    </row>
    <row r="407" spans="1:44" x14ac:dyDescent="0.25">
      <c r="A407" s="1">
        <v>45915</v>
      </c>
      <c r="B407" t="s">
        <v>47</v>
      </c>
      <c r="C407">
        <v>649163</v>
      </c>
      <c r="D407">
        <v>2023509944</v>
      </c>
      <c r="E407" t="s">
        <v>809</v>
      </c>
      <c r="F407" t="s">
        <v>690</v>
      </c>
      <c r="G407" t="s">
        <v>50</v>
      </c>
      <c r="H407" t="s">
        <v>51</v>
      </c>
      <c r="I407" t="s">
        <v>430</v>
      </c>
      <c r="J407" t="s">
        <v>78</v>
      </c>
      <c r="K407">
        <v>751867</v>
      </c>
      <c r="L407" t="s">
        <v>84</v>
      </c>
      <c r="M407" t="s">
        <v>85</v>
      </c>
      <c r="N407" t="s">
        <v>1089</v>
      </c>
      <c r="O407" t="s">
        <v>56</v>
      </c>
      <c r="P407" s="1">
        <v>45457</v>
      </c>
      <c r="Q407" s="1">
        <v>45944</v>
      </c>
      <c r="R407" s="2">
        <v>109.84</v>
      </c>
      <c r="S407">
        <v>1</v>
      </c>
      <c r="T407" t="s">
        <v>57</v>
      </c>
      <c r="U407" t="s">
        <v>58</v>
      </c>
      <c r="V407" s="3">
        <v>6.5000000000000002E-2</v>
      </c>
      <c r="W407" s="2">
        <v>0</v>
      </c>
      <c r="X407">
        <v>0</v>
      </c>
      <c r="Y407" t="s">
        <v>59</v>
      </c>
      <c r="Z407" t="s">
        <v>60</v>
      </c>
      <c r="AA407">
        <v>0</v>
      </c>
      <c r="AB407" s="2">
        <v>0</v>
      </c>
      <c r="AC407" s="2">
        <v>0</v>
      </c>
      <c r="AD407" s="4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7.14</v>
      </c>
      <c r="AN407" s="2">
        <v>7.14</v>
      </c>
      <c r="AO407" s="2">
        <v>0</v>
      </c>
      <c r="AP407" s="2">
        <v>0</v>
      </c>
      <c r="AQ407" s="2">
        <v>0</v>
      </c>
    </row>
    <row r="408" spans="1:44" x14ac:dyDescent="0.25">
      <c r="A408" s="1">
        <v>45915</v>
      </c>
      <c r="B408" t="s">
        <v>47</v>
      </c>
      <c r="C408">
        <v>649163</v>
      </c>
      <c r="D408">
        <v>2023510923</v>
      </c>
      <c r="E408" t="s">
        <v>808</v>
      </c>
      <c r="F408" t="s">
        <v>145</v>
      </c>
      <c r="G408" t="s">
        <v>50</v>
      </c>
      <c r="H408" t="s">
        <v>51</v>
      </c>
      <c r="I408" t="s">
        <v>430</v>
      </c>
      <c r="J408" t="s">
        <v>431</v>
      </c>
      <c r="K408">
        <v>751867</v>
      </c>
      <c r="L408" t="s">
        <v>84</v>
      </c>
      <c r="M408" t="s">
        <v>85</v>
      </c>
      <c r="N408" t="s">
        <v>1089</v>
      </c>
      <c r="O408" t="s">
        <v>56</v>
      </c>
      <c r="P408" s="1">
        <v>45457</v>
      </c>
      <c r="Q408" s="1">
        <v>45944</v>
      </c>
      <c r="R408" s="2">
        <v>55.16</v>
      </c>
      <c r="S408">
        <v>1</v>
      </c>
      <c r="T408" t="s">
        <v>57</v>
      </c>
      <c r="U408" t="s">
        <v>58</v>
      </c>
      <c r="V408" s="4">
        <v>0.1</v>
      </c>
      <c r="W408" s="2">
        <v>0</v>
      </c>
      <c r="X408">
        <v>0</v>
      </c>
      <c r="Y408" t="s">
        <v>59</v>
      </c>
      <c r="Z408" t="s">
        <v>60</v>
      </c>
      <c r="AA408">
        <v>0</v>
      </c>
      <c r="AB408" s="2">
        <v>0</v>
      </c>
      <c r="AC408" s="2">
        <v>0</v>
      </c>
      <c r="AD408" s="4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5.52</v>
      </c>
      <c r="AN408" s="2">
        <v>5.52</v>
      </c>
      <c r="AO408" s="2">
        <v>0</v>
      </c>
      <c r="AP408" s="2">
        <v>0</v>
      </c>
      <c r="AQ408" s="2">
        <v>0</v>
      </c>
    </row>
    <row r="409" spans="1:44" x14ac:dyDescent="0.25">
      <c r="A409" s="1">
        <v>45915</v>
      </c>
      <c r="B409" t="s">
        <v>47</v>
      </c>
      <c r="C409">
        <v>649163</v>
      </c>
      <c r="D409">
        <v>2024403625</v>
      </c>
      <c r="E409" t="s">
        <v>583</v>
      </c>
      <c r="F409" t="s">
        <v>805</v>
      </c>
      <c r="G409" t="s">
        <v>50</v>
      </c>
      <c r="H409" t="s">
        <v>83</v>
      </c>
      <c r="I409" t="s">
        <v>430</v>
      </c>
      <c r="J409" t="s">
        <v>431</v>
      </c>
      <c r="K409">
        <v>751867</v>
      </c>
      <c r="L409" t="s">
        <v>84</v>
      </c>
      <c r="M409" t="s">
        <v>85</v>
      </c>
      <c r="N409" t="s">
        <v>1089</v>
      </c>
      <c r="O409" t="s">
        <v>56</v>
      </c>
      <c r="P409" s="1">
        <v>45520</v>
      </c>
      <c r="Q409" s="1">
        <v>45946</v>
      </c>
      <c r="R409" s="2">
        <v>17.34</v>
      </c>
      <c r="S409">
        <v>1</v>
      </c>
      <c r="T409" t="s">
        <v>57</v>
      </c>
      <c r="U409" t="s">
        <v>58</v>
      </c>
      <c r="V409" s="4">
        <v>0.1</v>
      </c>
      <c r="W409" s="2">
        <v>0</v>
      </c>
      <c r="X409">
        <v>0</v>
      </c>
      <c r="Y409" t="s">
        <v>59</v>
      </c>
      <c r="Z409" t="s">
        <v>60</v>
      </c>
      <c r="AA409">
        <v>0</v>
      </c>
      <c r="AB409" s="2">
        <v>0</v>
      </c>
      <c r="AC409" s="2">
        <v>0</v>
      </c>
      <c r="AD409" s="4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1.73</v>
      </c>
      <c r="AN409" s="2">
        <v>1.73</v>
      </c>
      <c r="AO409" s="2">
        <v>0</v>
      </c>
      <c r="AP409" s="2">
        <v>0</v>
      </c>
      <c r="AQ409" s="2">
        <v>0</v>
      </c>
    </row>
    <row r="410" spans="1:44" x14ac:dyDescent="0.25">
      <c r="A410" s="1">
        <v>45915</v>
      </c>
      <c r="B410" t="s">
        <v>47</v>
      </c>
      <c r="C410">
        <v>649163</v>
      </c>
      <c r="D410">
        <v>2024737147</v>
      </c>
      <c r="E410" t="s">
        <v>802</v>
      </c>
      <c r="F410" t="s">
        <v>801</v>
      </c>
      <c r="G410" t="s">
        <v>50</v>
      </c>
      <c r="H410" t="s">
        <v>800</v>
      </c>
      <c r="I410" t="s">
        <v>430</v>
      </c>
      <c r="J410" t="s">
        <v>431</v>
      </c>
      <c r="K410">
        <v>751867</v>
      </c>
      <c r="L410" t="s">
        <v>84</v>
      </c>
      <c r="M410" t="s">
        <v>85</v>
      </c>
      <c r="N410" t="s">
        <v>1089</v>
      </c>
      <c r="O410" t="s">
        <v>56</v>
      </c>
      <c r="P410" s="1">
        <v>45541</v>
      </c>
      <c r="Q410" s="1">
        <v>45936</v>
      </c>
      <c r="R410" s="2">
        <v>43.39</v>
      </c>
      <c r="S410">
        <v>1</v>
      </c>
      <c r="T410" t="s">
        <v>57</v>
      </c>
      <c r="U410" t="s">
        <v>58</v>
      </c>
      <c r="V410" s="4">
        <v>0.1</v>
      </c>
      <c r="W410" s="2">
        <v>0</v>
      </c>
      <c r="X410">
        <v>0</v>
      </c>
      <c r="Y410" t="s">
        <v>59</v>
      </c>
      <c r="Z410" t="s">
        <v>60</v>
      </c>
      <c r="AA410">
        <v>0</v>
      </c>
      <c r="AB410" s="2">
        <v>0</v>
      </c>
      <c r="AC410" s="2">
        <v>0</v>
      </c>
      <c r="AD410" s="4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4.34</v>
      </c>
      <c r="AN410" s="2">
        <v>4.34</v>
      </c>
      <c r="AO410" s="2">
        <v>0</v>
      </c>
      <c r="AP410" s="2">
        <v>0</v>
      </c>
      <c r="AQ410" s="2">
        <v>0</v>
      </c>
    </row>
    <row r="411" spans="1:44" x14ac:dyDescent="0.25">
      <c r="A411" s="1">
        <v>45915</v>
      </c>
      <c r="B411" t="s">
        <v>47</v>
      </c>
      <c r="C411">
        <v>649163</v>
      </c>
      <c r="D411">
        <v>2026603199</v>
      </c>
      <c r="E411" t="s">
        <v>785</v>
      </c>
      <c r="F411" t="s">
        <v>784</v>
      </c>
      <c r="G411" t="s">
        <v>50</v>
      </c>
      <c r="H411" t="s">
        <v>51</v>
      </c>
      <c r="I411" t="s">
        <v>430</v>
      </c>
      <c r="J411" t="s">
        <v>431</v>
      </c>
      <c r="K411">
        <v>751867</v>
      </c>
      <c r="L411" t="s">
        <v>84</v>
      </c>
      <c r="M411" t="s">
        <v>85</v>
      </c>
      <c r="N411" t="s">
        <v>1089</v>
      </c>
      <c r="O411" t="s">
        <v>56</v>
      </c>
      <c r="P411" s="1">
        <v>45673</v>
      </c>
      <c r="Q411" s="1">
        <v>45946</v>
      </c>
      <c r="R411" s="2">
        <v>33.51</v>
      </c>
      <c r="S411">
        <v>1</v>
      </c>
      <c r="T411" t="s">
        <v>57</v>
      </c>
      <c r="U411" t="s">
        <v>58</v>
      </c>
      <c r="V411" s="4">
        <v>0.38</v>
      </c>
      <c r="W411" s="2">
        <v>0</v>
      </c>
      <c r="X411">
        <v>0</v>
      </c>
      <c r="Y411" t="s">
        <v>70</v>
      </c>
      <c r="Z411" t="s">
        <v>60</v>
      </c>
      <c r="AA411">
        <v>0</v>
      </c>
      <c r="AB411" s="2">
        <v>0</v>
      </c>
      <c r="AC411" s="2">
        <v>0</v>
      </c>
      <c r="AD411" s="4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12.73</v>
      </c>
      <c r="AN411" s="2">
        <v>12.73</v>
      </c>
      <c r="AO411" s="2">
        <v>0</v>
      </c>
      <c r="AP411" s="2">
        <v>0</v>
      </c>
      <c r="AQ411" s="2">
        <v>0</v>
      </c>
    </row>
    <row r="412" spans="1:44" x14ac:dyDescent="0.25">
      <c r="A412" s="1">
        <v>45915</v>
      </c>
      <c r="B412" t="s">
        <v>47</v>
      </c>
      <c r="C412">
        <v>649163</v>
      </c>
      <c r="D412">
        <v>2028488143</v>
      </c>
      <c r="E412" t="s">
        <v>780</v>
      </c>
      <c r="F412" t="s">
        <v>779</v>
      </c>
      <c r="G412" t="s">
        <v>50</v>
      </c>
      <c r="H412" t="s">
        <v>51</v>
      </c>
      <c r="I412" t="s">
        <v>430</v>
      </c>
      <c r="J412" t="s">
        <v>431</v>
      </c>
      <c r="K412">
        <v>751867</v>
      </c>
      <c r="L412" t="s">
        <v>84</v>
      </c>
      <c r="M412" t="s">
        <v>85</v>
      </c>
      <c r="N412" t="s">
        <v>1089</v>
      </c>
      <c r="O412" t="s">
        <v>56</v>
      </c>
      <c r="P412" s="1">
        <v>45766</v>
      </c>
      <c r="Q412" s="1">
        <v>45949</v>
      </c>
      <c r="R412" s="2">
        <v>89.62</v>
      </c>
      <c r="S412">
        <v>1</v>
      </c>
      <c r="T412" t="s">
        <v>57</v>
      </c>
      <c r="U412" t="s">
        <v>58</v>
      </c>
      <c r="V412" s="4">
        <v>0.38</v>
      </c>
      <c r="W412" s="2">
        <v>0</v>
      </c>
      <c r="X412">
        <v>0</v>
      </c>
      <c r="Y412" t="s">
        <v>70</v>
      </c>
      <c r="Z412" t="s">
        <v>60</v>
      </c>
      <c r="AA412">
        <v>0</v>
      </c>
      <c r="AB412" s="2">
        <v>0</v>
      </c>
      <c r="AC412" s="2">
        <v>0</v>
      </c>
      <c r="AD412" s="4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34.06</v>
      </c>
      <c r="AN412" s="2">
        <v>34.06</v>
      </c>
      <c r="AO412" s="2">
        <v>0</v>
      </c>
      <c r="AP412" s="2">
        <v>0</v>
      </c>
      <c r="AQ412" s="2">
        <v>0</v>
      </c>
    </row>
    <row r="413" spans="1:44" x14ac:dyDescent="0.25">
      <c r="A413" s="1">
        <v>45915</v>
      </c>
      <c r="B413" t="s">
        <v>47</v>
      </c>
      <c r="C413">
        <v>649163</v>
      </c>
      <c r="D413">
        <v>2030469675</v>
      </c>
      <c r="E413" t="s">
        <v>612</v>
      </c>
      <c r="F413" t="s">
        <v>611</v>
      </c>
      <c r="G413" t="s">
        <v>50</v>
      </c>
      <c r="H413" t="s">
        <v>204</v>
      </c>
      <c r="I413" t="s">
        <v>430</v>
      </c>
      <c r="J413" t="s">
        <v>431</v>
      </c>
      <c r="K413">
        <v>751867</v>
      </c>
      <c r="L413" t="s">
        <v>84</v>
      </c>
      <c r="M413" t="s">
        <v>85</v>
      </c>
      <c r="N413" t="s">
        <v>1089</v>
      </c>
      <c r="O413" t="s">
        <v>230</v>
      </c>
      <c r="P413" s="1">
        <v>45901</v>
      </c>
      <c r="Q413" s="1">
        <v>45931</v>
      </c>
      <c r="R413" s="2">
        <v>-11.77</v>
      </c>
      <c r="S413">
        <v>1</v>
      </c>
      <c r="T413" t="s">
        <v>57</v>
      </c>
      <c r="U413" t="s">
        <v>58</v>
      </c>
      <c r="V413" s="4">
        <v>0.38</v>
      </c>
      <c r="W413" s="2">
        <v>0</v>
      </c>
      <c r="X413">
        <v>-1</v>
      </c>
      <c r="Y413" t="s">
        <v>70</v>
      </c>
      <c r="Z413" t="s">
        <v>60</v>
      </c>
      <c r="AA413">
        <v>0</v>
      </c>
      <c r="AB413" s="2">
        <v>0</v>
      </c>
      <c r="AC413" s="2">
        <v>0</v>
      </c>
      <c r="AD413" s="4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-4.47</v>
      </c>
      <c r="AN413" s="2">
        <v>-4.47</v>
      </c>
      <c r="AO413" s="2">
        <v>0</v>
      </c>
      <c r="AP413" s="2">
        <v>0</v>
      </c>
      <c r="AQ413" s="2">
        <v>0</v>
      </c>
    </row>
    <row r="414" spans="1:44" x14ac:dyDescent="0.25">
      <c r="A414" s="1">
        <v>45915</v>
      </c>
      <c r="B414" t="s">
        <v>47</v>
      </c>
      <c r="C414">
        <v>649163</v>
      </c>
      <c r="D414">
        <v>2030516316</v>
      </c>
      <c r="E414" t="s">
        <v>768</v>
      </c>
      <c r="F414" t="s">
        <v>197</v>
      </c>
      <c r="G414" t="s">
        <v>50</v>
      </c>
      <c r="H414" t="s">
        <v>51</v>
      </c>
      <c r="I414" t="s">
        <v>430</v>
      </c>
      <c r="J414" t="s">
        <v>431</v>
      </c>
      <c r="K414">
        <v>751867</v>
      </c>
      <c r="L414" t="s">
        <v>84</v>
      </c>
      <c r="M414" t="s">
        <v>85</v>
      </c>
      <c r="N414" t="s">
        <v>1089</v>
      </c>
      <c r="O414" t="s">
        <v>56</v>
      </c>
      <c r="P414" s="1">
        <v>45885</v>
      </c>
      <c r="Q414" s="1">
        <v>45946</v>
      </c>
      <c r="R414" s="2">
        <v>40.35</v>
      </c>
      <c r="S414">
        <v>1</v>
      </c>
      <c r="T414" t="s">
        <v>57</v>
      </c>
      <c r="U414" t="s">
        <v>58</v>
      </c>
      <c r="V414" s="4">
        <v>0.38</v>
      </c>
      <c r="W414" s="2">
        <v>0</v>
      </c>
      <c r="X414">
        <v>0</v>
      </c>
      <c r="Y414" t="s">
        <v>70</v>
      </c>
      <c r="Z414" t="s">
        <v>60</v>
      </c>
      <c r="AA414">
        <v>0</v>
      </c>
      <c r="AB414" s="2">
        <v>0</v>
      </c>
      <c r="AC414" s="2">
        <v>0</v>
      </c>
      <c r="AD414" s="4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15.33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</row>
    <row r="415" spans="1:44" x14ac:dyDescent="0.25">
      <c r="A415" s="1">
        <v>45915</v>
      </c>
      <c r="B415" t="s">
        <v>602</v>
      </c>
      <c r="C415">
        <v>649163</v>
      </c>
      <c r="D415">
        <v>2030469675</v>
      </c>
      <c r="E415" t="s">
        <v>612</v>
      </c>
      <c r="F415" t="s">
        <v>611</v>
      </c>
      <c r="G415" t="s">
        <v>50</v>
      </c>
      <c r="I415" t="s">
        <v>430</v>
      </c>
      <c r="J415" t="s">
        <v>431</v>
      </c>
      <c r="K415">
        <v>649163</v>
      </c>
      <c r="L415" t="s">
        <v>84</v>
      </c>
      <c r="M415" t="s">
        <v>85</v>
      </c>
      <c r="N415" t="s">
        <v>1089</v>
      </c>
      <c r="O415" t="s">
        <v>230</v>
      </c>
      <c r="P415" s="1">
        <v>45901</v>
      </c>
      <c r="R415" s="2">
        <v>0</v>
      </c>
      <c r="AB415" s="2">
        <v>26.84</v>
      </c>
      <c r="AC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4.47</v>
      </c>
      <c r="AN415" s="2">
        <v>-22.37</v>
      </c>
      <c r="AO415" s="2">
        <v>-22.37</v>
      </c>
      <c r="AP415" s="2">
        <v>0</v>
      </c>
      <c r="AQ415" s="2">
        <v>0</v>
      </c>
      <c r="AR415" t="s">
        <v>605</v>
      </c>
    </row>
    <row r="416" spans="1:44" x14ac:dyDescent="0.25">
      <c r="A416" s="1">
        <v>45915</v>
      </c>
      <c r="B416" t="s">
        <v>602</v>
      </c>
      <c r="C416">
        <v>649163</v>
      </c>
      <c r="D416">
        <v>2030469676</v>
      </c>
      <c r="E416" t="s">
        <v>612</v>
      </c>
      <c r="F416" t="s">
        <v>611</v>
      </c>
      <c r="G416" t="s">
        <v>50</v>
      </c>
      <c r="I416" t="s">
        <v>52</v>
      </c>
      <c r="J416" t="s">
        <v>53</v>
      </c>
      <c r="K416">
        <v>649163</v>
      </c>
      <c r="L416" t="s">
        <v>84</v>
      </c>
      <c r="M416" t="s">
        <v>85</v>
      </c>
      <c r="N416" t="s">
        <v>1089</v>
      </c>
      <c r="O416" t="s">
        <v>230</v>
      </c>
      <c r="P416" s="1">
        <v>45901</v>
      </c>
      <c r="R416" s="2">
        <v>0</v>
      </c>
      <c r="AB416" s="2">
        <v>167.22</v>
      </c>
      <c r="AC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27.87</v>
      </c>
      <c r="AN416" s="2">
        <v>-139.35</v>
      </c>
      <c r="AO416" s="2">
        <v>-139.35</v>
      </c>
      <c r="AP416" s="2">
        <v>0</v>
      </c>
      <c r="AQ416" s="2">
        <v>0</v>
      </c>
      <c r="AR416" t="s">
        <v>605</v>
      </c>
    </row>
    <row r="417" spans="1:44" x14ac:dyDescent="0.25">
      <c r="A417" s="1">
        <v>45915</v>
      </c>
      <c r="B417" t="s">
        <v>602</v>
      </c>
      <c r="C417">
        <v>649163</v>
      </c>
      <c r="D417">
        <v>2030469677</v>
      </c>
      <c r="E417" t="s">
        <v>612</v>
      </c>
      <c r="F417" t="s">
        <v>611</v>
      </c>
      <c r="G417" t="s">
        <v>50</v>
      </c>
      <c r="I417" t="s">
        <v>306</v>
      </c>
      <c r="J417" t="s">
        <v>307</v>
      </c>
      <c r="K417">
        <v>649163</v>
      </c>
      <c r="L417" t="s">
        <v>84</v>
      </c>
      <c r="M417" t="s">
        <v>85</v>
      </c>
      <c r="N417" t="s">
        <v>1089</v>
      </c>
      <c r="O417" t="s">
        <v>230</v>
      </c>
      <c r="P417" s="1">
        <v>45901</v>
      </c>
      <c r="R417" s="2">
        <v>0</v>
      </c>
      <c r="AB417" s="2">
        <v>60.08</v>
      </c>
      <c r="AC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10.01</v>
      </c>
      <c r="AN417" s="2">
        <v>-50.07</v>
      </c>
      <c r="AO417" s="2">
        <v>-50.07</v>
      </c>
      <c r="AP417" s="2">
        <v>0</v>
      </c>
      <c r="AQ417" s="2">
        <v>0</v>
      </c>
      <c r="AR417" t="s">
        <v>605</v>
      </c>
    </row>
    <row r="418" spans="1:44" x14ac:dyDescent="0.25">
      <c r="A418" s="1">
        <v>45922</v>
      </c>
      <c r="B418" t="s">
        <v>47</v>
      </c>
      <c r="C418">
        <v>649163</v>
      </c>
      <c r="D418">
        <v>2016853590</v>
      </c>
      <c r="E418" t="s">
        <v>443</v>
      </c>
      <c r="F418" t="s">
        <v>444</v>
      </c>
      <c r="G418" t="s">
        <v>50</v>
      </c>
      <c r="H418" t="s">
        <v>151</v>
      </c>
      <c r="I418" t="s">
        <v>441</v>
      </c>
      <c r="J418" t="s">
        <v>445</v>
      </c>
      <c r="K418">
        <v>649793</v>
      </c>
      <c r="L418" t="s">
        <v>152</v>
      </c>
      <c r="M418" t="s">
        <v>446</v>
      </c>
      <c r="N418" t="s">
        <v>1120</v>
      </c>
      <c r="O418" t="s">
        <v>56</v>
      </c>
      <c r="P418" s="1">
        <v>44927</v>
      </c>
      <c r="Q418" s="1">
        <v>45931</v>
      </c>
      <c r="R418" s="2">
        <v>-27.21</v>
      </c>
      <c r="S418">
        <v>1</v>
      </c>
      <c r="T418" t="s">
        <v>57</v>
      </c>
      <c r="U418" t="s">
        <v>58</v>
      </c>
      <c r="V418" s="4">
        <v>0.15</v>
      </c>
      <c r="W418" s="2">
        <v>0</v>
      </c>
      <c r="X418">
        <v>-1</v>
      </c>
      <c r="Y418" t="s">
        <v>59</v>
      </c>
      <c r="Z418" t="s">
        <v>60</v>
      </c>
      <c r="AA418">
        <v>0</v>
      </c>
      <c r="AB418" s="2">
        <v>0</v>
      </c>
      <c r="AC418" s="2">
        <v>0</v>
      </c>
      <c r="AD418" s="4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-4.08</v>
      </c>
      <c r="AN418" s="2">
        <v>-4.08</v>
      </c>
      <c r="AO418" s="2">
        <v>0</v>
      </c>
      <c r="AP418" s="2">
        <v>0</v>
      </c>
      <c r="AQ418" s="2">
        <v>0</v>
      </c>
    </row>
    <row r="419" spans="1:44" x14ac:dyDescent="0.25">
      <c r="A419" s="1">
        <v>45922</v>
      </c>
      <c r="B419" t="s">
        <v>47</v>
      </c>
      <c r="C419">
        <v>649163</v>
      </c>
      <c r="D419">
        <v>2016853591</v>
      </c>
      <c r="E419" t="s">
        <v>443</v>
      </c>
      <c r="F419" t="s">
        <v>444</v>
      </c>
      <c r="G419" t="s">
        <v>50</v>
      </c>
      <c r="H419" t="s">
        <v>151</v>
      </c>
      <c r="I419" t="s">
        <v>441</v>
      </c>
      <c r="J419" t="s">
        <v>447</v>
      </c>
      <c r="K419">
        <v>649793</v>
      </c>
      <c r="L419" t="s">
        <v>152</v>
      </c>
      <c r="M419" t="s">
        <v>446</v>
      </c>
      <c r="N419" t="s">
        <v>1120</v>
      </c>
      <c r="O419" t="s">
        <v>56</v>
      </c>
      <c r="P419" s="1">
        <v>44927</v>
      </c>
      <c r="Q419" s="1">
        <v>45931</v>
      </c>
      <c r="R419" s="2">
        <v>-12.87</v>
      </c>
      <c r="S419">
        <v>1</v>
      </c>
      <c r="T419" t="s">
        <v>57</v>
      </c>
      <c r="U419" t="s">
        <v>58</v>
      </c>
      <c r="V419" s="4">
        <v>0.15</v>
      </c>
      <c r="W419" s="2">
        <v>0</v>
      </c>
      <c r="X419">
        <v>-1</v>
      </c>
      <c r="Y419" t="s">
        <v>59</v>
      </c>
      <c r="Z419" t="s">
        <v>60</v>
      </c>
      <c r="AA419">
        <v>0</v>
      </c>
      <c r="AB419" s="2">
        <v>0</v>
      </c>
      <c r="AC419" s="2">
        <v>0</v>
      </c>
      <c r="AD419" s="4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-1.93</v>
      </c>
      <c r="AN419" s="2">
        <v>-1.93</v>
      </c>
      <c r="AO419" s="2">
        <v>0</v>
      </c>
      <c r="AP419" s="2">
        <v>0</v>
      </c>
      <c r="AQ419" s="2">
        <v>0</v>
      </c>
    </row>
    <row r="420" spans="1:44" x14ac:dyDescent="0.25">
      <c r="A420" s="1">
        <v>45915</v>
      </c>
      <c r="B420" t="s">
        <v>47</v>
      </c>
      <c r="C420">
        <v>649163</v>
      </c>
      <c r="D420">
        <v>2017683726</v>
      </c>
      <c r="E420" t="s">
        <v>755</v>
      </c>
      <c r="F420" t="s">
        <v>754</v>
      </c>
      <c r="G420" t="s">
        <v>50</v>
      </c>
      <c r="H420" t="s">
        <v>151</v>
      </c>
      <c r="I420" t="s">
        <v>306</v>
      </c>
      <c r="J420" t="s">
        <v>307</v>
      </c>
      <c r="K420">
        <v>649793</v>
      </c>
      <c r="L420" t="s">
        <v>152</v>
      </c>
      <c r="M420" t="s">
        <v>446</v>
      </c>
      <c r="N420" t="s">
        <v>1120</v>
      </c>
      <c r="O420" t="s">
        <v>56</v>
      </c>
      <c r="P420" s="1">
        <v>44974</v>
      </c>
      <c r="Q420" s="1">
        <v>45947</v>
      </c>
      <c r="R420" s="2">
        <v>31.88</v>
      </c>
      <c r="S420">
        <v>1</v>
      </c>
      <c r="T420" t="s">
        <v>57</v>
      </c>
      <c r="U420" t="s">
        <v>58</v>
      </c>
      <c r="V420" s="4">
        <v>0.06</v>
      </c>
      <c r="W420" s="2">
        <v>0</v>
      </c>
      <c r="X420">
        <v>0</v>
      </c>
      <c r="Y420" t="s">
        <v>59</v>
      </c>
      <c r="Z420" t="s">
        <v>60</v>
      </c>
      <c r="AA420">
        <v>0</v>
      </c>
      <c r="AB420" s="2">
        <v>0</v>
      </c>
      <c r="AC420" s="2">
        <v>0</v>
      </c>
      <c r="AD420" s="4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1.91</v>
      </c>
      <c r="AN420" s="2">
        <v>1.91</v>
      </c>
      <c r="AO420" s="2">
        <v>0</v>
      </c>
      <c r="AP420" s="2">
        <v>0</v>
      </c>
      <c r="AQ420" s="2">
        <v>0</v>
      </c>
    </row>
    <row r="421" spans="1:44" x14ac:dyDescent="0.25">
      <c r="A421" s="1">
        <v>45915</v>
      </c>
      <c r="B421" t="s">
        <v>47</v>
      </c>
      <c r="D421">
        <v>2016819082</v>
      </c>
      <c r="E421" t="s">
        <v>758</v>
      </c>
      <c r="F421" t="s">
        <v>757</v>
      </c>
      <c r="G421" t="s">
        <v>50</v>
      </c>
      <c r="H421" t="s">
        <v>188</v>
      </c>
      <c r="I421" t="s">
        <v>441</v>
      </c>
      <c r="J421" t="s">
        <v>545</v>
      </c>
      <c r="L421" t="s">
        <v>152</v>
      </c>
      <c r="M421" t="s">
        <v>446</v>
      </c>
      <c r="N421" t="s">
        <v>1120</v>
      </c>
      <c r="O421" t="s">
        <v>56</v>
      </c>
      <c r="P421" s="1">
        <v>44880</v>
      </c>
      <c r="Q421" s="1">
        <v>45945</v>
      </c>
      <c r="R421" s="2">
        <v>25.73</v>
      </c>
      <c r="S421">
        <v>1</v>
      </c>
      <c r="T421" t="s">
        <v>57</v>
      </c>
      <c r="U421" t="s">
        <v>58</v>
      </c>
      <c r="V421" s="4">
        <v>0.15</v>
      </c>
      <c r="W421" s="2">
        <v>0</v>
      </c>
      <c r="X421">
        <v>0</v>
      </c>
      <c r="Y421" t="s">
        <v>59</v>
      </c>
      <c r="Z421" t="s">
        <v>60</v>
      </c>
      <c r="AA421">
        <v>0</v>
      </c>
      <c r="AB421" s="2">
        <v>0</v>
      </c>
      <c r="AC421" s="2">
        <v>0</v>
      </c>
      <c r="AD421" s="4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3.86</v>
      </c>
      <c r="AN421" s="2">
        <v>3.86</v>
      </c>
      <c r="AO421" s="2">
        <v>0</v>
      </c>
      <c r="AP421" s="2">
        <v>0</v>
      </c>
      <c r="AQ421" s="2">
        <v>0</v>
      </c>
    </row>
    <row r="422" spans="1:44" x14ac:dyDescent="0.25">
      <c r="A422" s="1">
        <v>45915</v>
      </c>
      <c r="B422" t="s">
        <v>47</v>
      </c>
      <c r="C422">
        <v>649163</v>
      </c>
      <c r="D422">
        <v>2017630350</v>
      </c>
      <c r="E422" t="s">
        <v>756</v>
      </c>
      <c r="F422" t="s">
        <v>480</v>
      </c>
      <c r="G422" t="s">
        <v>50</v>
      </c>
      <c r="H422" t="s">
        <v>188</v>
      </c>
      <c r="I422" t="s">
        <v>441</v>
      </c>
      <c r="J422" t="s">
        <v>445</v>
      </c>
      <c r="K422">
        <v>649793</v>
      </c>
      <c r="L422" t="s">
        <v>152</v>
      </c>
      <c r="M422" t="s">
        <v>446</v>
      </c>
      <c r="N422" t="s">
        <v>1120</v>
      </c>
      <c r="O422" t="s">
        <v>56</v>
      </c>
      <c r="P422" s="1">
        <v>45001</v>
      </c>
      <c r="Q422" s="1">
        <v>45946</v>
      </c>
      <c r="R422" s="2">
        <v>140.25</v>
      </c>
      <c r="S422">
        <v>1</v>
      </c>
      <c r="T422" t="s">
        <v>57</v>
      </c>
      <c r="U422" t="s">
        <v>58</v>
      </c>
      <c r="V422" s="4">
        <v>0.15</v>
      </c>
      <c r="W422" s="2">
        <v>0</v>
      </c>
      <c r="X422">
        <v>0</v>
      </c>
      <c r="Y422" t="s">
        <v>59</v>
      </c>
      <c r="Z422" t="s">
        <v>60</v>
      </c>
      <c r="AA422">
        <v>0</v>
      </c>
      <c r="AB422" s="2">
        <v>0</v>
      </c>
      <c r="AC422" s="2">
        <v>0</v>
      </c>
      <c r="AD422" s="4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21.04</v>
      </c>
      <c r="AN422" s="2">
        <v>21.04</v>
      </c>
      <c r="AO422" s="2">
        <v>0</v>
      </c>
      <c r="AP422" s="2">
        <v>0</v>
      </c>
      <c r="AQ422" s="2">
        <v>0</v>
      </c>
    </row>
    <row r="423" spans="1:44" x14ac:dyDescent="0.25">
      <c r="A423" s="1">
        <v>45915</v>
      </c>
      <c r="B423" t="s">
        <v>47</v>
      </c>
      <c r="D423">
        <v>2017683724</v>
      </c>
      <c r="E423" t="s">
        <v>755</v>
      </c>
      <c r="F423" t="s">
        <v>754</v>
      </c>
      <c r="G423" t="s">
        <v>50</v>
      </c>
      <c r="H423" t="s">
        <v>151</v>
      </c>
      <c r="I423" t="s">
        <v>441</v>
      </c>
      <c r="J423" t="s">
        <v>545</v>
      </c>
      <c r="L423" t="s">
        <v>152</v>
      </c>
      <c r="M423" t="s">
        <v>446</v>
      </c>
      <c r="N423" t="s">
        <v>1120</v>
      </c>
      <c r="O423" t="s">
        <v>56</v>
      </c>
      <c r="P423" s="1">
        <v>44974</v>
      </c>
      <c r="Q423" s="1">
        <v>45947</v>
      </c>
      <c r="R423" s="2">
        <v>25.73</v>
      </c>
      <c r="S423">
        <v>1</v>
      </c>
      <c r="T423" t="s">
        <v>57</v>
      </c>
      <c r="U423" t="s">
        <v>58</v>
      </c>
      <c r="V423" s="4">
        <v>0.15</v>
      </c>
      <c r="W423" s="2">
        <v>0</v>
      </c>
      <c r="X423">
        <v>0</v>
      </c>
      <c r="Y423" t="s">
        <v>59</v>
      </c>
      <c r="Z423" t="s">
        <v>60</v>
      </c>
      <c r="AA423">
        <v>0</v>
      </c>
      <c r="AB423" s="2">
        <v>0</v>
      </c>
      <c r="AC423" s="2">
        <v>0</v>
      </c>
      <c r="AD423" s="4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3.86</v>
      </c>
      <c r="AN423" s="2">
        <v>3.86</v>
      </c>
      <c r="AO423" s="2">
        <v>0</v>
      </c>
      <c r="AP423" s="2">
        <v>0</v>
      </c>
      <c r="AQ423" s="2">
        <v>0</v>
      </c>
    </row>
    <row r="424" spans="1:44" x14ac:dyDescent="0.25">
      <c r="A424" s="1">
        <v>45922</v>
      </c>
      <c r="B424" t="s">
        <v>47</v>
      </c>
      <c r="C424">
        <v>649163</v>
      </c>
      <c r="D424">
        <v>2019971559</v>
      </c>
      <c r="E424" t="s">
        <v>314</v>
      </c>
      <c r="F424" t="s">
        <v>315</v>
      </c>
      <c r="G424" t="s">
        <v>50</v>
      </c>
      <c r="H424" t="s">
        <v>51</v>
      </c>
      <c r="I424" t="s">
        <v>306</v>
      </c>
      <c r="J424" t="s">
        <v>307</v>
      </c>
      <c r="K424">
        <v>678320</v>
      </c>
      <c r="L424" t="s">
        <v>316</v>
      </c>
      <c r="M424" t="s">
        <v>317</v>
      </c>
      <c r="N424" t="s">
        <v>1114</v>
      </c>
      <c r="O424" t="s">
        <v>56</v>
      </c>
      <c r="P424" s="1">
        <v>45163</v>
      </c>
      <c r="Q424" s="1">
        <v>45955</v>
      </c>
      <c r="R424" s="2">
        <v>49.12</v>
      </c>
      <c r="S424">
        <v>1</v>
      </c>
      <c r="T424" t="s">
        <v>57</v>
      </c>
      <c r="U424" t="s">
        <v>58</v>
      </c>
      <c r="V424" s="4">
        <v>0.06</v>
      </c>
      <c r="W424" s="2">
        <v>0</v>
      </c>
      <c r="X424">
        <v>0</v>
      </c>
      <c r="Y424" t="s">
        <v>59</v>
      </c>
      <c r="Z424" t="s">
        <v>60</v>
      </c>
      <c r="AA424">
        <v>0</v>
      </c>
      <c r="AB424" s="2">
        <v>0</v>
      </c>
      <c r="AC424" s="2">
        <v>0</v>
      </c>
      <c r="AD424" s="4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2.95</v>
      </c>
      <c r="AN424" s="2">
        <v>2.95</v>
      </c>
      <c r="AO424" s="2">
        <v>0</v>
      </c>
      <c r="AP424" s="2">
        <v>0</v>
      </c>
      <c r="AQ424" s="2">
        <v>0</v>
      </c>
    </row>
    <row r="425" spans="1:44" x14ac:dyDescent="0.25">
      <c r="A425" s="1">
        <v>45922</v>
      </c>
      <c r="B425" t="s">
        <v>47</v>
      </c>
      <c r="C425">
        <v>649163</v>
      </c>
      <c r="D425">
        <v>2021499228</v>
      </c>
      <c r="E425" t="s">
        <v>324</v>
      </c>
      <c r="F425" t="s">
        <v>325</v>
      </c>
      <c r="G425" t="s">
        <v>50</v>
      </c>
      <c r="H425" t="s">
        <v>51</v>
      </c>
      <c r="I425" t="s">
        <v>306</v>
      </c>
      <c r="J425" t="s">
        <v>307</v>
      </c>
      <c r="K425">
        <v>678320</v>
      </c>
      <c r="L425" t="s">
        <v>316</v>
      </c>
      <c r="M425" t="s">
        <v>317</v>
      </c>
      <c r="N425" t="s">
        <v>1114</v>
      </c>
      <c r="O425" t="s">
        <v>56</v>
      </c>
      <c r="P425" s="1">
        <v>45314</v>
      </c>
      <c r="Q425" s="1">
        <v>45953</v>
      </c>
      <c r="R425" s="2">
        <v>39.979999999999997</v>
      </c>
      <c r="S425">
        <v>1</v>
      </c>
      <c r="T425" t="s">
        <v>57</v>
      </c>
      <c r="U425" t="s">
        <v>58</v>
      </c>
      <c r="V425" s="4">
        <v>0.06</v>
      </c>
      <c r="W425" s="2">
        <v>0</v>
      </c>
      <c r="X425">
        <v>0</v>
      </c>
      <c r="Y425" t="s">
        <v>59</v>
      </c>
      <c r="Z425" t="s">
        <v>60</v>
      </c>
      <c r="AA425">
        <v>0</v>
      </c>
      <c r="AB425" s="2">
        <v>0</v>
      </c>
      <c r="AC425" s="2">
        <v>0</v>
      </c>
      <c r="AD425" s="4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2.4</v>
      </c>
      <c r="AN425" s="2">
        <v>2.4</v>
      </c>
      <c r="AO425" s="2">
        <v>0</v>
      </c>
      <c r="AP425" s="2">
        <v>0</v>
      </c>
      <c r="AQ425" s="2">
        <v>0</v>
      </c>
    </row>
    <row r="426" spans="1:44" x14ac:dyDescent="0.25">
      <c r="A426" s="1">
        <v>45922</v>
      </c>
      <c r="B426" t="s">
        <v>47</v>
      </c>
      <c r="C426">
        <v>649163</v>
      </c>
      <c r="D426">
        <v>2019012741</v>
      </c>
      <c r="E426" t="s">
        <v>576</v>
      </c>
      <c r="F426" t="s">
        <v>577</v>
      </c>
      <c r="G426" t="s">
        <v>50</v>
      </c>
      <c r="H426" t="s">
        <v>51</v>
      </c>
      <c r="I426" t="s">
        <v>574</v>
      </c>
      <c r="J426" t="s">
        <v>575</v>
      </c>
      <c r="K426">
        <v>678320</v>
      </c>
      <c r="L426" t="s">
        <v>316</v>
      </c>
      <c r="M426" t="s">
        <v>317</v>
      </c>
      <c r="N426" t="s">
        <v>1114</v>
      </c>
      <c r="O426" t="s">
        <v>56</v>
      </c>
      <c r="P426" s="1">
        <v>45091</v>
      </c>
      <c r="Q426" s="1">
        <v>45944</v>
      </c>
      <c r="R426" s="2">
        <v>-55.54</v>
      </c>
      <c r="S426">
        <v>1</v>
      </c>
      <c r="T426" t="s">
        <v>57</v>
      </c>
      <c r="U426" t="s">
        <v>58</v>
      </c>
      <c r="V426" s="3">
        <v>5.2499999999999998E-2</v>
      </c>
      <c r="W426" s="2">
        <v>0</v>
      </c>
      <c r="X426">
        <v>-1</v>
      </c>
      <c r="Y426" t="s">
        <v>59</v>
      </c>
      <c r="Z426" t="s">
        <v>60</v>
      </c>
      <c r="AA426">
        <v>0</v>
      </c>
      <c r="AB426" s="2">
        <v>0</v>
      </c>
      <c r="AC426" s="2">
        <v>0</v>
      </c>
      <c r="AD426" s="4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-2.92</v>
      </c>
      <c r="AN426" s="2">
        <v>-2.92</v>
      </c>
      <c r="AO426" s="2">
        <v>0</v>
      </c>
      <c r="AP426" s="2">
        <v>0</v>
      </c>
      <c r="AQ426" s="2">
        <v>0</v>
      </c>
    </row>
    <row r="427" spans="1:44" x14ac:dyDescent="0.25">
      <c r="A427" s="1">
        <v>45915</v>
      </c>
      <c r="B427" t="s">
        <v>47</v>
      </c>
      <c r="C427">
        <v>649163</v>
      </c>
      <c r="D427">
        <v>2019012741</v>
      </c>
      <c r="E427" t="s">
        <v>576</v>
      </c>
      <c r="F427" t="s">
        <v>577</v>
      </c>
      <c r="G427" t="s">
        <v>50</v>
      </c>
      <c r="H427" t="s">
        <v>51</v>
      </c>
      <c r="I427" t="s">
        <v>574</v>
      </c>
      <c r="J427" t="s">
        <v>575</v>
      </c>
      <c r="K427">
        <v>678320</v>
      </c>
      <c r="L427" t="s">
        <v>316</v>
      </c>
      <c r="M427" t="s">
        <v>317</v>
      </c>
      <c r="N427" t="s">
        <v>1114</v>
      </c>
      <c r="O427" t="s">
        <v>56</v>
      </c>
      <c r="P427" s="1">
        <v>45091</v>
      </c>
      <c r="Q427" s="1">
        <v>45944</v>
      </c>
      <c r="R427" s="2">
        <v>55.54</v>
      </c>
      <c r="S427">
        <v>1</v>
      </c>
      <c r="T427" t="s">
        <v>57</v>
      </c>
      <c r="U427" t="s">
        <v>58</v>
      </c>
      <c r="V427" s="3">
        <v>5.2499999999999998E-2</v>
      </c>
      <c r="W427" s="2">
        <v>0</v>
      </c>
      <c r="X427">
        <v>0</v>
      </c>
      <c r="Y427" t="s">
        <v>59</v>
      </c>
      <c r="Z427" t="s">
        <v>60</v>
      </c>
      <c r="AA427">
        <v>0</v>
      </c>
      <c r="AB427" s="2">
        <v>0</v>
      </c>
      <c r="AC427" s="2">
        <v>0</v>
      </c>
      <c r="AD427" s="4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2.92</v>
      </c>
      <c r="AN427" s="2">
        <v>2.92</v>
      </c>
      <c r="AO427" s="2">
        <v>0</v>
      </c>
      <c r="AP427" s="2">
        <v>0</v>
      </c>
      <c r="AQ427" s="2">
        <v>0</v>
      </c>
    </row>
    <row r="428" spans="1:44" x14ac:dyDescent="0.25">
      <c r="A428" s="1">
        <v>45915</v>
      </c>
      <c r="B428" t="s">
        <v>47</v>
      </c>
      <c r="C428">
        <v>649163</v>
      </c>
      <c r="D428">
        <v>2019687400</v>
      </c>
      <c r="E428" t="s">
        <v>635</v>
      </c>
      <c r="F428" t="s">
        <v>634</v>
      </c>
      <c r="G428" t="s">
        <v>50</v>
      </c>
      <c r="H428" t="s">
        <v>51</v>
      </c>
      <c r="I428" t="s">
        <v>574</v>
      </c>
      <c r="J428" t="s">
        <v>575</v>
      </c>
      <c r="K428">
        <v>678320</v>
      </c>
      <c r="L428" t="s">
        <v>316</v>
      </c>
      <c r="M428" t="s">
        <v>317</v>
      </c>
      <c r="N428" t="s">
        <v>1114</v>
      </c>
      <c r="O428" t="s">
        <v>56</v>
      </c>
      <c r="P428" s="1">
        <v>45150</v>
      </c>
      <c r="Q428" s="1">
        <v>45942</v>
      </c>
      <c r="R428" s="2">
        <v>64.540000000000006</v>
      </c>
      <c r="S428">
        <v>1</v>
      </c>
      <c r="T428" t="s">
        <v>57</v>
      </c>
      <c r="U428" t="s">
        <v>58</v>
      </c>
      <c r="V428" s="3">
        <v>5.2499999999999998E-2</v>
      </c>
      <c r="W428" s="2">
        <v>0</v>
      </c>
      <c r="X428">
        <v>0</v>
      </c>
      <c r="Y428" t="s">
        <v>59</v>
      </c>
      <c r="Z428" t="s">
        <v>60</v>
      </c>
      <c r="AA428">
        <v>0</v>
      </c>
      <c r="AB428" s="2">
        <v>0</v>
      </c>
      <c r="AC428" s="2">
        <v>0</v>
      </c>
      <c r="AD428" s="4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3.39</v>
      </c>
      <c r="AN428" s="2">
        <v>3.39</v>
      </c>
      <c r="AO428" s="2">
        <v>0</v>
      </c>
      <c r="AP428" s="2">
        <v>0</v>
      </c>
      <c r="AQ428" s="2">
        <v>0</v>
      </c>
    </row>
    <row r="429" spans="1:44" x14ac:dyDescent="0.25">
      <c r="A429" s="1">
        <v>45922</v>
      </c>
      <c r="B429" t="s">
        <v>47</v>
      </c>
      <c r="C429">
        <v>649163</v>
      </c>
      <c r="D429">
        <v>2030720647</v>
      </c>
      <c r="E429" t="s">
        <v>558</v>
      </c>
      <c r="F429" t="s">
        <v>559</v>
      </c>
      <c r="G429" t="s">
        <v>50</v>
      </c>
      <c r="H429" t="s">
        <v>115</v>
      </c>
      <c r="I429" t="s">
        <v>441</v>
      </c>
      <c r="J429" t="s">
        <v>445</v>
      </c>
      <c r="K429">
        <v>867497</v>
      </c>
      <c r="L429" t="s">
        <v>560</v>
      </c>
      <c r="M429" t="s">
        <v>561</v>
      </c>
      <c r="N429" t="s">
        <v>1128</v>
      </c>
      <c r="O429" t="s">
        <v>230</v>
      </c>
      <c r="P429" s="1">
        <v>45901</v>
      </c>
      <c r="Q429" s="1">
        <v>45931</v>
      </c>
      <c r="R429" s="2">
        <v>-70.819999999999993</v>
      </c>
      <c r="S429">
        <v>1</v>
      </c>
      <c r="T429" t="s">
        <v>57</v>
      </c>
      <c r="U429" t="s">
        <v>58</v>
      </c>
      <c r="V429" s="4">
        <v>0.7</v>
      </c>
      <c r="W429" s="2">
        <v>0</v>
      </c>
      <c r="X429">
        <v>-1</v>
      </c>
      <c r="Y429" t="s">
        <v>70</v>
      </c>
      <c r="Z429" t="s">
        <v>60</v>
      </c>
      <c r="AA429">
        <v>0</v>
      </c>
      <c r="AB429" s="2">
        <v>0</v>
      </c>
      <c r="AC429" s="2">
        <v>0</v>
      </c>
      <c r="AD429" s="4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-49.57</v>
      </c>
      <c r="AN429" s="2">
        <v>-49.57</v>
      </c>
      <c r="AO429" s="2">
        <v>0</v>
      </c>
      <c r="AP429" s="2">
        <v>0</v>
      </c>
      <c r="AQ429" s="2">
        <v>0</v>
      </c>
    </row>
    <row r="430" spans="1:44" x14ac:dyDescent="0.25">
      <c r="A430" s="1">
        <v>45922</v>
      </c>
      <c r="B430" t="s">
        <v>602</v>
      </c>
      <c r="C430">
        <v>649163</v>
      </c>
      <c r="D430">
        <v>2030720647</v>
      </c>
      <c r="E430" t="s">
        <v>558</v>
      </c>
      <c r="F430" t="s">
        <v>559</v>
      </c>
      <c r="G430" t="s">
        <v>50</v>
      </c>
      <c r="I430" t="s">
        <v>441</v>
      </c>
      <c r="J430" t="s">
        <v>445</v>
      </c>
      <c r="K430">
        <v>649163</v>
      </c>
      <c r="L430" t="s">
        <v>560</v>
      </c>
      <c r="M430" t="s">
        <v>561</v>
      </c>
      <c r="N430" t="s">
        <v>1128</v>
      </c>
      <c r="O430" t="s">
        <v>230</v>
      </c>
      <c r="P430" s="1">
        <v>45901</v>
      </c>
      <c r="R430" s="2">
        <v>0</v>
      </c>
      <c r="AB430" s="2">
        <v>686.41</v>
      </c>
      <c r="AC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114.4</v>
      </c>
      <c r="AN430" s="2">
        <v>-572.01</v>
      </c>
      <c r="AO430" s="2">
        <v>-572.01</v>
      </c>
      <c r="AP430" s="2">
        <v>0</v>
      </c>
      <c r="AQ430" s="2">
        <v>0</v>
      </c>
      <c r="AR430" t="s">
        <v>603</v>
      </c>
    </row>
    <row r="431" spans="1:44" x14ac:dyDescent="0.25">
      <c r="A431" s="1">
        <v>45922</v>
      </c>
      <c r="B431" t="s">
        <v>47</v>
      </c>
      <c r="C431">
        <v>649163</v>
      </c>
      <c r="D431">
        <v>2027223263</v>
      </c>
      <c r="E431" t="s">
        <v>156</v>
      </c>
      <c r="F431" t="s">
        <v>49</v>
      </c>
      <c r="G431" t="s">
        <v>50</v>
      </c>
      <c r="H431" t="s">
        <v>157</v>
      </c>
      <c r="I431" t="s">
        <v>106</v>
      </c>
      <c r="J431" t="s">
        <v>116</v>
      </c>
      <c r="K431">
        <v>822865</v>
      </c>
      <c r="L431" t="s">
        <v>158</v>
      </c>
      <c r="M431" t="s">
        <v>159</v>
      </c>
      <c r="N431" t="s">
        <v>1096</v>
      </c>
      <c r="O431" t="s">
        <v>56</v>
      </c>
      <c r="P431" s="1">
        <v>45709</v>
      </c>
      <c r="Q431" s="1">
        <v>45951</v>
      </c>
      <c r="R431" s="2">
        <v>94.78</v>
      </c>
      <c r="S431">
        <v>1</v>
      </c>
      <c r="T431" t="s">
        <v>57</v>
      </c>
      <c r="U431" t="s">
        <v>58</v>
      </c>
      <c r="V431" s="4">
        <v>0.75</v>
      </c>
      <c r="W431" s="2">
        <v>0</v>
      </c>
      <c r="X431">
        <v>0</v>
      </c>
      <c r="Y431" t="s">
        <v>70</v>
      </c>
      <c r="Z431" t="s">
        <v>60</v>
      </c>
      <c r="AA431">
        <v>0</v>
      </c>
      <c r="AB431" s="2">
        <v>0</v>
      </c>
      <c r="AC431" s="2">
        <v>0</v>
      </c>
      <c r="AD431" s="4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71.08</v>
      </c>
      <c r="AN431" s="2">
        <v>71.08</v>
      </c>
      <c r="AO431" s="2">
        <v>0</v>
      </c>
      <c r="AP431" s="2">
        <v>0</v>
      </c>
      <c r="AQ431" s="2">
        <v>0</v>
      </c>
    </row>
    <row r="432" spans="1:44" x14ac:dyDescent="0.25">
      <c r="A432" s="1">
        <v>45922</v>
      </c>
      <c r="B432" t="s">
        <v>47</v>
      </c>
      <c r="C432">
        <v>649163</v>
      </c>
      <c r="D432">
        <v>2030846037</v>
      </c>
      <c r="E432" t="s">
        <v>414</v>
      </c>
      <c r="F432" t="s">
        <v>415</v>
      </c>
      <c r="G432" t="s">
        <v>50</v>
      </c>
      <c r="H432" t="s">
        <v>115</v>
      </c>
      <c r="I432" t="s">
        <v>306</v>
      </c>
      <c r="J432" t="s">
        <v>307</v>
      </c>
      <c r="K432">
        <v>822865</v>
      </c>
      <c r="L432" t="s">
        <v>158</v>
      </c>
      <c r="M432" t="s">
        <v>159</v>
      </c>
      <c r="N432" t="s">
        <v>1096</v>
      </c>
      <c r="O432" t="s">
        <v>230</v>
      </c>
      <c r="P432" s="1">
        <v>45913</v>
      </c>
      <c r="Q432" s="1">
        <v>45943</v>
      </c>
      <c r="R432" s="2">
        <v>-28.38</v>
      </c>
      <c r="S432">
        <v>1</v>
      </c>
      <c r="T432" t="s">
        <v>57</v>
      </c>
      <c r="U432" t="s">
        <v>96</v>
      </c>
      <c r="V432" s="3">
        <v>0.375</v>
      </c>
      <c r="W432" s="2">
        <v>0</v>
      </c>
      <c r="X432">
        <v>-1</v>
      </c>
      <c r="Y432" t="s">
        <v>70</v>
      </c>
      <c r="Z432" t="s">
        <v>60</v>
      </c>
      <c r="AA432">
        <v>0</v>
      </c>
      <c r="AB432" s="2">
        <v>0</v>
      </c>
      <c r="AC432" s="2">
        <v>0</v>
      </c>
      <c r="AD432" s="4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-10.64</v>
      </c>
      <c r="AN432" s="2">
        <v>-10.64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45922</v>
      </c>
      <c r="B433" t="s">
        <v>47</v>
      </c>
      <c r="C433">
        <v>649163</v>
      </c>
      <c r="D433">
        <v>2030978541</v>
      </c>
      <c r="E433" t="s">
        <v>416</v>
      </c>
      <c r="F433" t="s">
        <v>417</v>
      </c>
      <c r="G433" t="s">
        <v>50</v>
      </c>
      <c r="H433" t="s">
        <v>115</v>
      </c>
      <c r="I433" t="s">
        <v>306</v>
      </c>
      <c r="J433" t="s">
        <v>307</v>
      </c>
      <c r="K433">
        <v>822865</v>
      </c>
      <c r="L433" t="s">
        <v>158</v>
      </c>
      <c r="M433" t="s">
        <v>159</v>
      </c>
      <c r="N433" t="s">
        <v>1096</v>
      </c>
      <c r="O433" t="s">
        <v>56</v>
      </c>
      <c r="P433" s="1">
        <v>45889</v>
      </c>
      <c r="Q433" s="1">
        <v>45950</v>
      </c>
      <c r="R433" s="2">
        <v>33.39</v>
      </c>
      <c r="S433">
        <v>1</v>
      </c>
      <c r="T433" t="s">
        <v>57</v>
      </c>
      <c r="U433" t="s">
        <v>418</v>
      </c>
      <c r="V433" s="3">
        <v>0.375</v>
      </c>
      <c r="W433" s="2">
        <v>0</v>
      </c>
      <c r="X433">
        <v>0</v>
      </c>
      <c r="Y433" t="s">
        <v>70</v>
      </c>
      <c r="Z433" t="s">
        <v>60</v>
      </c>
      <c r="AA433">
        <v>0</v>
      </c>
      <c r="AB433" s="2">
        <v>0</v>
      </c>
      <c r="AC433" s="2">
        <v>0</v>
      </c>
      <c r="AD433" s="4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12.52</v>
      </c>
      <c r="AN433" s="2">
        <v>12.52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45922</v>
      </c>
      <c r="B434" t="s">
        <v>47</v>
      </c>
      <c r="C434">
        <v>649163</v>
      </c>
      <c r="D434">
        <v>2027223264</v>
      </c>
      <c r="E434" t="s">
        <v>156</v>
      </c>
      <c r="F434" t="s">
        <v>49</v>
      </c>
      <c r="G434" t="s">
        <v>50</v>
      </c>
      <c r="H434" t="s">
        <v>157</v>
      </c>
      <c r="I434" t="s">
        <v>441</v>
      </c>
      <c r="J434" t="s">
        <v>445</v>
      </c>
      <c r="K434">
        <v>822865</v>
      </c>
      <c r="L434" t="s">
        <v>158</v>
      </c>
      <c r="M434" t="s">
        <v>159</v>
      </c>
      <c r="N434" t="s">
        <v>1096</v>
      </c>
      <c r="O434" t="s">
        <v>56</v>
      </c>
      <c r="P434" s="1">
        <v>45709</v>
      </c>
      <c r="Q434" s="1">
        <v>45951</v>
      </c>
      <c r="R434" s="2">
        <v>108.1</v>
      </c>
      <c r="S434">
        <v>1</v>
      </c>
      <c r="T434" t="s">
        <v>57</v>
      </c>
      <c r="U434" t="s">
        <v>58</v>
      </c>
      <c r="V434" s="4">
        <v>0.7</v>
      </c>
      <c r="W434" s="2">
        <v>0</v>
      </c>
      <c r="X434">
        <v>0</v>
      </c>
      <c r="Y434" t="s">
        <v>70</v>
      </c>
      <c r="Z434" t="s">
        <v>60</v>
      </c>
      <c r="AA434">
        <v>0</v>
      </c>
      <c r="AB434" s="2">
        <v>0</v>
      </c>
      <c r="AC434" s="2">
        <v>0</v>
      </c>
      <c r="AD434" s="4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75.67</v>
      </c>
      <c r="AN434" s="2">
        <v>75.67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45922</v>
      </c>
      <c r="B435" t="s">
        <v>47</v>
      </c>
      <c r="C435">
        <v>649163</v>
      </c>
      <c r="D435">
        <v>2030129459</v>
      </c>
      <c r="E435" t="s">
        <v>538</v>
      </c>
      <c r="F435" t="s">
        <v>539</v>
      </c>
      <c r="G435" t="s">
        <v>50</v>
      </c>
      <c r="H435" t="s">
        <v>134</v>
      </c>
      <c r="I435" t="s">
        <v>441</v>
      </c>
      <c r="J435" t="s">
        <v>445</v>
      </c>
      <c r="K435">
        <v>822865</v>
      </c>
      <c r="L435" t="s">
        <v>158</v>
      </c>
      <c r="M435" t="s">
        <v>159</v>
      </c>
      <c r="N435" t="s">
        <v>1096</v>
      </c>
      <c r="O435" t="s">
        <v>56</v>
      </c>
      <c r="P435" s="1">
        <v>45863</v>
      </c>
      <c r="Q435" s="1">
        <v>45955</v>
      </c>
      <c r="R435" s="2">
        <v>30.68</v>
      </c>
      <c r="S435">
        <v>1</v>
      </c>
      <c r="T435" t="s">
        <v>57</v>
      </c>
      <c r="U435" t="s">
        <v>58</v>
      </c>
      <c r="V435" s="4">
        <v>0.7</v>
      </c>
      <c r="W435" s="2">
        <v>0</v>
      </c>
      <c r="X435">
        <v>0</v>
      </c>
      <c r="Y435" t="s">
        <v>70</v>
      </c>
      <c r="Z435" t="s">
        <v>60</v>
      </c>
      <c r="AA435">
        <v>0</v>
      </c>
      <c r="AB435" s="2">
        <v>0</v>
      </c>
      <c r="AC435" s="2">
        <v>0</v>
      </c>
      <c r="AD435" s="4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21.48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45922</v>
      </c>
      <c r="B436" t="s">
        <v>47</v>
      </c>
      <c r="C436">
        <v>649163</v>
      </c>
      <c r="D436">
        <v>2030846038</v>
      </c>
      <c r="E436" t="s">
        <v>414</v>
      </c>
      <c r="F436" t="s">
        <v>415</v>
      </c>
      <c r="G436" t="s">
        <v>50</v>
      </c>
      <c r="H436" t="s">
        <v>115</v>
      </c>
      <c r="I436" t="s">
        <v>441</v>
      </c>
      <c r="J436" t="s">
        <v>445</v>
      </c>
      <c r="K436">
        <v>822865</v>
      </c>
      <c r="L436" t="s">
        <v>158</v>
      </c>
      <c r="M436" t="s">
        <v>159</v>
      </c>
      <c r="N436" t="s">
        <v>1096</v>
      </c>
      <c r="O436" t="s">
        <v>230</v>
      </c>
      <c r="P436" s="1">
        <v>45913</v>
      </c>
      <c r="Q436" s="1">
        <v>45943</v>
      </c>
      <c r="R436" s="2">
        <v>-28.38</v>
      </c>
      <c r="S436">
        <v>1</v>
      </c>
      <c r="T436" t="s">
        <v>57</v>
      </c>
      <c r="U436" t="s">
        <v>96</v>
      </c>
      <c r="V436" s="4">
        <v>0.7</v>
      </c>
      <c r="W436" s="2">
        <v>0</v>
      </c>
      <c r="X436">
        <v>-1</v>
      </c>
      <c r="Y436" t="s">
        <v>70</v>
      </c>
      <c r="Z436" t="s">
        <v>60</v>
      </c>
      <c r="AA436">
        <v>0</v>
      </c>
      <c r="AB436" s="2">
        <v>0</v>
      </c>
      <c r="AC436" s="2">
        <v>0</v>
      </c>
      <c r="AD436" s="4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-19.87</v>
      </c>
      <c r="AN436" s="2">
        <v>-19.87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45915</v>
      </c>
      <c r="B437" t="s">
        <v>47</v>
      </c>
      <c r="C437">
        <v>649163</v>
      </c>
      <c r="D437">
        <v>2028379894</v>
      </c>
      <c r="E437" t="s">
        <v>871</v>
      </c>
      <c r="F437" t="s">
        <v>870</v>
      </c>
      <c r="G437" t="s">
        <v>50</v>
      </c>
      <c r="H437" t="s">
        <v>115</v>
      </c>
      <c r="I437" t="s">
        <v>106</v>
      </c>
      <c r="J437" t="s">
        <v>116</v>
      </c>
      <c r="K437">
        <v>822865</v>
      </c>
      <c r="L437" t="s">
        <v>158</v>
      </c>
      <c r="M437" t="s">
        <v>159</v>
      </c>
      <c r="N437" t="s">
        <v>1096</v>
      </c>
      <c r="O437" t="s">
        <v>56</v>
      </c>
      <c r="P437" s="1">
        <v>45760</v>
      </c>
      <c r="Q437" s="1">
        <v>45943</v>
      </c>
      <c r="R437" s="2">
        <v>81.099999999999994</v>
      </c>
      <c r="S437">
        <v>1</v>
      </c>
      <c r="T437" t="s">
        <v>57</v>
      </c>
      <c r="U437" t="s">
        <v>58</v>
      </c>
      <c r="V437" s="4">
        <v>0.75</v>
      </c>
      <c r="W437" s="2">
        <v>0</v>
      </c>
      <c r="X437">
        <v>0</v>
      </c>
      <c r="Y437" t="s">
        <v>70</v>
      </c>
      <c r="Z437" t="s">
        <v>60</v>
      </c>
      <c r="AA437">
        <v>0</v>
      </c>
      <c r="AB437" s="2">
        <v>0</v>
      </c>
      <c r="AC437" s="2">
        <v>0</v>
      </c>
      <c r="AD437" s="4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60.82</v>
      </c>
      <c r="AN437" s="2">
        <v>60.82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45915</v>
      </c>
      <c r="B438" t="s">
        <v>47</v>
      </c>
      <c r="C438">
        <v>649163</v>
      </c>
      <c r="D438">
        <v>2029528276</v>
      </c>
      <c r="E438" t="s">
        <v>840</v>
      </c>
      <c r="F438" t="s">
        <v>789</v>
      </c>
      <c r="G438" t="s">
        <v>50</v>
      </c>
      <c r="H438" t="s">
        <v>115</v>
      </c>
      <c r="I438" t="s">
        <v>106</v>
      </c>
      <c r="J438" t="s">
        <v>107</v>
      </c>
      <c r="K438">
        <v>822865</v>
      </c>
      <c r="L438" t="s">
        <v>158</v>
      </c>
      <c r="M438" t="s">
        <v>159</v>
      </c>
      <c r="N438" t="s">
        <v>1096</v>
      </c>
      <c r="O438" t="s">
        <v>56</v>
      </c>
      <c r="P438" s="1">
        <v>45827</v>
      </c>
      <c r="Q438" s="1">
        <v>45949</v>
      </c>
      <c r="R438" s="2">
        <v>47.65</v>
      </c>
      <c r="S438">
        <v>1</v>
      </c>
      <c r="T438" t="s">
        <v>57</v>
      </c>
      <c r="U438" t="s">
        <v>58</v>
      </c>
      <c r="V438" s="4">
        <v>0.9</v>
      </c>
      <c r="W438" s="2">
        <v>0</v>
      </c>
      <c r="X438">
        <v>0</v>
      </c>
      <c r="Y438" t="s">
        <v>70</v>
      </c>
      <c r="Z438" t="s">
        <v>60</v>
      </c>
      <c r="AA438">
        <v>0</v>
      </c>
      <c r="AB438" s="2">
        <v>0</v>
      </c>
      <c r="AC438" s="2">
        <v>0</v>
      </c>
      <c r="AD438" s="4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42.88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45915</v>
      </c>
      <c r="B439" t="s">
        <v>47</v>
      </c>
      <c r="C439">
        <v>649163</v>
      </c>
      <c r="D439">
        <v>2028379892</v>
      </c>
      <c r="E439" t="s">
        <v>871</v>
      </c>
      <c r="F439" t="s">
        <v>870</v>
      </c>
      <c r="G439" t="s">
        <v>50</v>
      </c>
      <c r="H439" t="s">
        <v>115</v>
      </c>
      <c r="I439" t="s">
        <v>441</v>
      </c>
      <c r="J439" t="s">
        <v>445</v>
      </c>
      <c r="K439">
        <v>822865</v>
      </c>
      <c r="L439" t="s">
        <v>158</v>
      </c>
      <c r="M439" t="s">
        <v>159</v>
      </c>
      <c r="N439" t="s">
        <v>1096</v>
      </c>
      <c r="O439" t="s">
        <v>56</v>
      </c>
      <c r="P439" s="1">
        <v>45760</v>
      </c>
      <c r="Q439" s="1">
        <v>45943</v>
      </c>
      <c r="R439" s="2">
        <v>129.22</v>
      </c>
      <c r="S439">
        <v>1</v>
      </c>
      <c r="T439" t="s">
        <v>57</v>
      </c>
      <c r="U439" t="s">
        <v>58</v>
      </c>
      <c r="V439" s="4">
        <v>0.7</v>
      </c>
      <c r="W439" s="2">
        <v>0</v>
      </c>
      <c r="X439">
        <v>0</v>
      </c>
      <c r="Y439" t="s">
        <v>70</v>
      </c>
      <c r="Z439" t="s">
        <v>60</v>
      </c>
      <c r="AA439">
        <v>0</v>
      </c>
      <c r="AB439" s="2">
        <v>0</v>
      </c>
      <c r="AC439" s="2">
        <v>0</v>
      </c>
      <c r="AD439" s="4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90.45</v>
      </c>
      <c r="AN439" s="2">
        <v>90.45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45915</v>
      </c>
      <c r="B440" t="s">
        <v>47</v>
      </c>
      <c r="C440">
        <v>649163</v>
      </c>
      <c r="D440">
        <v>2028977072</v>
      </c>
      <c r="E440" t="s">
        <v>849</v>
      </c>
      <c r="F440" t="s">
        <v>848</v>
      </c>
      <c r="G440" t="s">
        <v>50</v>
      </c>
      <c r="H440" t="s">
        <v>157</v>
      </c>
      <c r="I440" t="s">
        <v>441</v>
      </c>
      <c r="J440" t="s">
        <v>445</v>
      </c>
      <c r="K440">
        <v>822865</v>
      </c>
      <c r="L440" t="s">
        <v>158</v>
      </c>
      <c r="M440" t="s">
        <v>159</v>
      </c>
      <c r="N440" t="s">
        <v>1096</v>
      </c>
      <c r="O440" t="s">
        <v>56</v>
      </c>
      <c r="P440" s="1">
        <v>45794</v>
      </c>
      <c r="Q440" s="1">
        <v>45947</v>
      </c>
      <c r="R440" s="2">
        <v>50.6</v>
      </c>
      <c r="S440">
        <v>1</v>
      </c>
      <c r="T440" t="s">
        <v>57</v>
      </c>
      <c r="U440" t="s">
        <v>58</v>
      </c>
      <c r="V440" s="4">
        <v>0.7</v>
      </c>
      <c r="W440" s="2">
        <v>0</v>
      </c>
      <c r="X440">
        <v>0</v>
      </c>
      <c r="Y440" t="s">
        <v>70</v>
      </c>
      <c r="Z440" t="s">
        <v>60</v>
      </c>
      <c r="AA440">
        <v>0</v>
      </c>
      <c r="AB440" s="2">
        <v>0</v>
      </c>
      <c r="AC440" s="2">
        <v>0</v>
      </c>
      <c r="AD440" s="4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35.42</v>
      </c>
      <c r="AN440" s="2">
        <v>35.42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45915</v>
      </c>
      <c r="B441" t="s">
        <v>47</v>
      </c>
      <c r="C441">
        <v>649163</v>
      </c>
      <c r="D441">
        <v>2029528275</v>
      </c>
      <c r="E441" t="s">
        <v>840</v>
      </c>
      <c r="F441" t="s">
        <v>789</v>
      </c>
      <c r="G441" t="s">
        <v>50</v>
      </c>
      <c r="H441" t="s">
        <v>115</v>
      </c>
      <c r="I441" t="s">
        <v>441</v>
      </c>
      <c r="J441" t="s">
        <v>445</v>
      </c>
      <c r="K441">
        <v>822865</v>
      </c>
      <c r="L441" t="s">
        <v>158</v>
      </c>
      <c r="M441" t="s">
        <v>159</v>
      </c>
      <c r="N441" t="s">
        <v>1096</v>
      </c>
      <c r="O441" t="s">
        <v>56</v>
      </c>
      <c r="P441" s="1">
        <v>45827</v>
      </c>
      <c r="Q441" s="1">
        <v>45949</v>
      </c>
      <c r="R441" s="2">
        <v>83</v>
      </c>
      <c r="S441">
        <v>1</v>
      </c>
      <c r="T441" t="s">
        <v>57</v>
      </c>
      <c r="U441" t="s">
        <v>58</v>
      </c>
      <c r="V441" s="4">
        <v>0.7</v>
      </c>
      <c r="W441" s="2">
        <v>0</v>
      </c>
      <c r="X441">
        <v>0</v>
      </c>
      <c r="Y441" t="s">
        <v>70</v>
      </c>
      <c r="Z441" t="s">
        <v>60</v>
      </c>
      <c r="AA441">
        <v>0</v>
      </c>
      <c r="AB441" s="2">
        <v>0</v>
      </c>
      <c r="AC441" s="2">
        <v>0</v>
      </c>
      <c r="AD441" s="4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58.1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45915</v>
      </c>
      <c r="B442" t="s">
        <v>47</v>
      </c>
      <c r="C442">
        <v>649163</v>
      </c>
      <c r="D442">
        <v>2028379893</v>
      </c>
      <c r="E442" t="s">
        <v>871</v>
      </c>
      <c r="F442" t="s">
        <v>870</v>
      </c>
      <c r="G442" t="s">
        <v>50</v>
      </c>
      <c r="H442" t="s">
        <v>115</v>
      </c>
      <c r="I442" t="s">
        <v>306</v>
      </c>
      <c r="J442" t="s">
        <v>307</v>
      </c>
      <c r="K442">
        <v>822865</v>
      </c>
      <c r="L442" t="s">
        <v>158</v>
      </c>
      <c r="M442" t="s">
        <v>159</v>
      </c>
      <c r="N442" t="s">
        <v>1096</v>
      </c>
      <c r="O442" t="s">
        <v>56</v>
      </c>
      <c r="P442" s="1">
        <v>45760</v>
      </c>
      <c r="Q442" s="1">
        <v>45943</v>
      </c>
      <c r="R442" s="2">
        <v>27.95</v>
      </c>
      <c r="S442">
        <v>1</v>
      </c>
      <c r="T442" t="s">
        <v>57</v>
      </c>
      <c r="U442" t="s">
        <v>58</v>
      </c>
      <c r="V442" s="3">
        <v>0.375</v>
      </c>
      <c r="W442" s="2">
        <v>0</v>
      </c>
      <c r="X442">
        <v>0</v>
      </c>
      <c r="Y442" t="s">
        <v>70</v>
      </c>
      <c r="Z442" t="s">
        <v>60</v>
      </c>
      <c r="AA442">
        <v>0</v>
      </c>
      <c r="AB442" s="2">
        <v>0</v>
      </c>
      <c r="AC442" s="2">
        <v>0</v>
      </c>
      <c r="AD442" s="4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10.48</v>
      </c>
      <c r="AN442" s="2">
        <v>10.48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45915</v>
      </c>
      <c r="B443" t="s">
        <v>47</v>
      </c>
      <c r="C443">
        <v>649163</v>
      </c>
      <c r="D443">
        <v>2028977071</v>
      </c>
      <c r="E443" t="s">
        <v>849</v>
      </c>
      <c r="F443" t="s">
        <v>848</v>
      </c>
      <c r="G443" t="s">
        <v>50</v>
      </c>
      <c r="H443" t="s">
        <v>157</v>
      </c>
      <c r="I443" t="s">
        <v>306</v>
      </c>
      <c r="J443" t="s">
        <v>307</v>
      </c>
      <c r="K443">
        <v>822865</v>
      </c>
      <c r="L443" t="s">
        <v>158</v>
      </c>
      <c r="M443" t="s">
        <v>159</v>
      </c>
      <c r="N443" t="s">
        <v>1096</v>
      </c>
      <c r="O443" t="s">
        <v>56</v>
      </c>
      <c r="P443" s="1">
        <v>45794</v>
      </c>
      <c r="Q443" s="1">
        <v>45947</v>
      </c>
      <c r="R443" s="2">
        <v>23.34</v>
      </c>
      <c r="S443">
        <v>1</v>
      </c>
      <c r="T443" t="s">
        <v>57</v>
      </c>
      <c r="U443" t="s">
        <v>58</v>
      </c>
      <c r="V443" s="3">
        <v>0.375</v>
      </c>
      <c r="W443" s="2">
        <v>0</v>
      </c>
      <c r="X443">
        <v>0</v>
      </c>
      <c r="Y443" t="s">
        <v>70</v>
      </c>
      <c r="Z443" t="s">
        <v>60</v>
      </c>
      <c r="AA443">
        <v>0</v>
      </c>
      <c r="AB443" s="2">
        <v>0</v>
      </c>
      <c r="AC443" s="2">
        <v>0</v>
      </c>
      <c r="AD443" s="4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8.75</v>
      </c>
      <c r="AN443" s="2">
        <v>8.75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45915</v>
      </c>
      <c r="B444" t="s">
        <v>47</v>
      </c>
      <c r="C444">
        <v>649163</v>
      </c>
      <c r="D444">
        <v>2028985824</v>
      </c>
      <c r="E444" t="s">
        <v>324</v>
      </c>
      <c r="F444" t="s">
        <v>845</v>
      </c>
      <c r="G444" t="s">
        <v>50</v>
      </c>
      <c r="H444" t="s">
        <v>157</v>
      </c>
      <c r="I444" t="s">
        <v>306</v>
      </c>
      <c r="J444" t="s">
        <v>307</v>
      </c>
      <c r="K444">
        <v>822865</v>
      </c>
      <c r="L444" t="s">
        <v>158</v>
      </c>
      <c r="M444" t="s">
        <v>159</v>
      </c>
      <c r="N444" t="s">
        <v>1096</v>
      </c>
      <c r="O444" t="s">
        <v>56</v>
      </c>
      <c r="P444" s="1">
        <v>45794</v>
      </c>
      <c r="Q444" s="1">
        <v>45947</v>
      </c>
      <c r="R444" s="2">
        <v>72.86</v>
      </c>
      <c r="S444">
        <v>1</v>
      </c>
      <c r="T444" t="s">
        <v>57</v>
      </c>
      <c r="U444" t="s">
        <v>58</v>
      </c>
      <c r="V444" s="3">
        <v>0.375</v>
      </c>
      <c r="W444" s="2">
        <v>0</v>
      </c>
      <c r="X444">
        <v>0</v>
      </c>
      <c r="Y444" t="s">
        <v>70</v>
      </c>
      <c r="Z444" t="s">
        <v>60</v>
      </c>
      <c r="AA444">
        <v>0</v>
      </c>
      <c r="AB444" s="2">
        <v>0</v>
      </c>
      <c r="AC444" s="2">
        <v>0</v>
      </c>
      <c r="AD444" s="4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27.32</v>
      </c>
      <c r="AN444" s="2">
        <v>27.32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45915</v>
      </c>
      <c r="B445" t="s">
        <v>47</v>
      </c>
      <c r="C445">
        <v>649163</v>
      </c>
      <c r="D445">
        <v>2029368470</v>
      </c>
      <c r="E445" t="s">
        <v>416</v>
      </c>
      <c r="F445" t="s">
        <v>616</v>
      </c>
      <c r="G445" t="s">
        <v>50</v>
      </c>
      <c r="H445" t="s">
        <v>115</v>
      </c>
      <c r="I445" t="s">
        <v>306</v>
      </c>
      <c r="J445" t="s">
        <v>307</v>
      </c>
      <c r="K445">
        <v>822865</v>
      </c>
      <c r="L445" t="s">
        <v>158</v>
      </c>
      <c r="M445" t="s">
        <v>159</v>
      </c>
      <c r="N445" t="s">
        <v>1096</v>
      </c>
      <c r="O445" t="s">
        <v>230</v>
      </c>
      <c r="P445" s="1">
        <v>45839</v>
      </c>
      <c r="Q445" s="1">
        <v>45931</v>
      </c>
      <c r="R445" s="2">
        <v>-63.4</v>
      </c>
      <c r="S445">
        <v>1</v>
      </c>
      <c r="T445" t="s">
        <v>57</v>
      </c>
      <c r="U445" t="s">
        <v>58</v>
      </c>
      <c r="V445" s="3">
        <v>0.375</v>
      </c>
      <c r="W445" s="2">
        <v>0</v>
      </c>
      <c r="X445">
        <v>-1</v>
      </c>
      <c r="Y445" t="s">
        <v>70</v>
      </c>
      <c r="Z445" t="s">
        <v>60</v>
      </c>
      <c r="AA445">
        <v>0</v>
      </c>
      <c r="AB445" s="2">
        <v>0</v>
      </c>
      <c r="AC445" s="2">
        <v>0</v>
      </c>
      <c r="AD445" s="4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-23.78</v>
      </c>
      <c r="AN445" s="2">
        <v>-23.78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45915</v>
      </c>
      <c r="B446" t="s">
        <v>47</v>
      </c>
      <c r="C446">
        <v>649163</v>
      </c>
      <c r="D446">
        <v>2029368470</v>
      </c>
      <c r="E446" t="s">
        <v>416</v>
      </c>
      <c r="F446" t="s">
        <v>616</v>
      </c>
      <c r="G446" t="s">
        <v>50</v>
      </c>
      <c r="H446" t="s">
        <v>115</v>
      </c>
      <c r="I446" t="s">
        <v>306</v>
      </c>
      <c r="J446" t="s">
        <v>307</v>
      </c>
      <c r="K446">
        <v>822865</v>
      </c>
      <c r="L446" t="s">
        <v>158</v>
      </c>
      <c r="M446" t="s">
        <v>159</v>
      </c>
      <c r="N446" t="s">
        <v>1096</v>
      </c>
      <c r="O446" t="s">
        <v>230</v>
      </c>
      <c r="P446" s="1">
        <v>45839</v>
      </c>
      <c r="Q446" s="1">
        <v>45931</v>
      </c>
      <c r="R446" s="2">
        <v>-33.39</v>
      </c>
      <c r="S446">
        <v>1</v>
      </c>
      <c r="T446" t="s">
        <v>57</v>
      </c>
      <c r="U446" t="s">
        <v>58</v>
      </c>
      <c r="V446" s="3">
        <v>0.375</v>
      </c>
      <c r="W446" s="2">
        <v>0</v>
      </c>
      <c r="X446">
        <v>-1</v>
      </c>
      <c r="Y446" t="s">
        <v>70</v>
      </c>
      <c r="Z446" t="s">
        <v>60</v>
      </c>
      <c r="AA446">
        <v>0</v>
      </c>
      <c r="AB446" s="2">
        <v>0</v>
      </c>
      <c r="AC446" s="2">
        <v>0</v>
      </c>
      <c r="AD446" s="4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-12.52</v>
      </c>
      <c r="AN446" s="2">
        <v>-12.52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45915</v>
      </c>
      <c r="B447" t="s">
        <v>47</v>
      </c>
      <c r="C447">
        <v>649163</v>
      </c>
      <c r="D447">
        <v>2029528274</v>
      </c>
      <c r="E447" t="s">
        <v>840</v>
      </c>
      <c r="F447" t="s">
        <v>789</v>
      </c>
      <c r="G447" t="s">
        <v>50</v>
      </c>
      <c r="H447" t="s">
        <v>115</v>
      </c>
      <c r="I447" t="s">
        <v>306</v>
      </c>
      <c r="J447" t="s">
        <v>307</v>
      </c>
      <c r="K447">
        <v>822865</v>
      </c>
      <c r="L447" t="s">
        <v>158</v>
      </c>
      <c r="M447" t="s">
        <v>159</v>
      </c>
      <c r="N447" t="s">
        <v>1096</v>
      </c>
      <c r="O447" t="s">
        <v>56</v>
      </c>
      <c r="P447" s="1">
        <v>45827</v>
      </c>
      <c r="Q447" s="1">
        <v>45949</v>
      </c>
      <c r="R447" s="2">
        <v>59.19</v>
      </c>
      <c r="S447">
        <v>1</v>
      </c>
      <c r="T447" t="s">
        <v>57</v>
      </c>
      <c r="U447" t="s">
        <v>58</v>
      </c>
      <c r="V447" s="3">
        <v>0.375</v>
      </c>
      <c r="W447" s="2">
        <v>0</v>
      </c>
      <c r="X447">
        <v>0</v>
      </c>
      <c r="Y447" t="s">
        <v>70</v>
      </c>
      <c r="Z447" t="s">
        <v>60</v>
      </c>
      <c r="AA447">
        <v>0</v>
      </c>
      <c r="AB447" s="2">
        <v>0</v>
      </c>
      <c r="AC447" s="2">
        <v>0</v>
      </c>
      <c r="AD447" s="4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22.2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45915</v>
      </c>
      <c r="B448" t="s">
        <v>47</v>
      </c>
      <c r="C448">
        <v>649163</v>
      </c>
      <c r="D448">
        <v>2030479075</v>
      </c>
      <c r="E448" t="s">
        <v>156</v>
      </c>
      <c r="F448" t="s">
        <v>610</v>
      </c>
      <c r="G448" t="s">
        <v>50</v>
      </c>
      <c r="H448" t="s">
        <v>151</v>
      </c>
      <c r="I448" t="s">
        <v>306</v>
      </c>
      <c r="J448" t="s">
        <v>307</v>
      </c>
      <c r="K448">
        <v>822865</v>
      </c>
      <c r="L448" t="s">
        <v>158</v>
      </c>
      <c r="M448" t="s">
        <v>159</v>
      </c>
      <c r="N448" t="s">
        <v>1096</v>
      </c>
      <c r="O448" t="s">
        <v>230</v>
      </c>
      <c r="P448" s="1">
        <v>45886</v>
      </c>
      <c r="Q448" s="1">
        <v>45917</v>
      </c>
      <c r="R448" s="2">
        <v>-3.73</v>
      </c>
      <c r="S448">
        <v>1</v>
      </c>
      <c r="T448" t="s">
        <v>57</v>
      </c>
      <c r="U448" t="s">
        <v>58</v>
      </c>
      <c r="V448" s="3">
        <v>0.375</v>
      </c>
      <c r="W448" s="2">
        <v>0</v>
      </c>
      <c r="X448">
        <v>-1</v>
      </c>
      <c r="Y448" t="s">
        <v>70</v>
      </c>
      <c r="Z448" t="s">
        <v>60</v>
      </c>
      <c r="AA448">
        <v>0</v>
      </c>
      <c r="AB448" s="2">
        <v>0</v>
      </c>
      <c r="AC448" s="2">
        <v>0</v>
      </c>
      <c r="AD448" s="4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-1.4</v>
      </c>
      <c r="AN448" s="2">
        <v>-1.4</v>
      </c>
      <c r="AO448" s="2">
        <v>0</v>
      </c>
      <c r="AP448" s="2">
        <v>0</v>
      </c>
      <c r="AQ448" s="2">
        <v>0</v>
      </c>
    </row>
    <row r="449" spans="1:44" x14ac:dyDescent="0.25">
      <c r="A449" s="1">
        <v>45915</v>
      </c>
      <c r="B449" t="s">
        <v>47</v>
      </c>
      <c r="C449">
        <v>649163</v>
      </c>
      <c r="D449">
        <v>2030978541</v>
      </c>
      <c r="E449" t="s">
        <v>416</v>
      </c>
      <c r="F449" t="s">
        <v>417</v>
      </c>
      <c r="G449" t="s">
        <v>50</v>
      </c>
      <c r="H449" t="s">
        <v>115</v>
      </c>
      <c r="I449" t="s">
        <v>306</v>
      </c>
      <c r="J449" t="s">
        <v>307</v>
      </c>
      <c r="K449">
        <v>822865</v>
      </c>
      <c r="L449" t="s">
        <v>158</v>
      </c>
      <c r="M449" t="s">
        <v>159</v>
      </c>
      <c r="N449" t="s">
        <v>1096</v>
      </c>
      <c r="O449" t="s">
        <v>56</v>
      </c>
      <c r="P449" s="1">
        <v>45889</v>
      </c>
      <c r="Q449" s="1">
        <v>45920</v>
      </c>
      <c r="R449" s="2">
        <v>33.39</v>
      </c>
      <c r="S449">
        <v>1</v>
      </c>
      <c r="T449" t="s">
        <v>57</v>
      </c>
      <c r="U449" t="s">
        <v>418</v>
      </c>
      <c r="V449" s="3">
        <v>0.375</v>
      </c>
      <c r="W449" s="2">
        <v>0</v>
      </c>
      <c r="X449">
        <v>0</v>
      </c>
      <c r="Y449" t="s">
        <v>70</v>
      </c>
      <c r="Z449" t="s">
        <v>97</v>
      </c>
      <c r="AA449">
        <v>0</v>
      </c>
      <c r="AB449" s="2">
        <v>0</v>
      </c>
      <c r="AC449" s="2">
        <v>0</v>
      </c>
      <c r="AD449" s="4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12.52</v>
      </c>
      <c r="AN449" s="2">
        <v>12.52</v>
      </c>
      <c r="AO449" s="2">
        <v>0</v>
      </c>
      <c r="AP449" s="2">
        <v>0</v>
      </c>
      <c r="AQ449" s="2">
        <v>0</v>
      </c>
    </row>
    <row r="450" spans="1:44" x14ac:dyDescent="0.25">
      <c r="A450" s="1">
        <v>45922</v>
      </c>
      <c r="B450" t="s">
        <v>602</v>
      </c>
      <c r="C450">
        <v>649163</v>
      </c>
      <c r="D450">
        <v>2030846037</v>
      </c>
      <c r="E450" t="s">
        <v>414</v>
      </c>
      <c r="F450" t="s">
        <v>415</v>
      </c>
      <c r="G450" t="s">
        <v>50</v>
      </c>
      <c r="I450" t="s">
        <v>306</v>
      </c>
      <c r="J450" t="s">
        <v>307</v>
      </c>
      <c r="K450">
        <v>649163</v>
      </c>
      <c r="L450" t="s">
        <v>158</v>
      </c>
      <c r="M450" t="s">
        <v>159</v>
      </c>
      <c r="N450" t="s">
        <v>1096</v>
      </c>
      <c r="O450" t="s">
        <v>230</v>
      </c>
      <c r="P450" s="1">
        <v>45913</v>
      </c>
      <c r="R450" s="2">
        <v>0</v>
      </c>
      <c r="AB450" s="2">
        <v>63.84</v>
      </c>
      <c r="AC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10.64</v>
      </c>
      <c r="AN450" s="2">
        <v>-53.2</v>
      </c>
      <c r="AO450" s="2">
        <v>-53.2</v>
      </c>
      <c r="AP450" s="2">
        <v>0</v>
      </c>
      <c r="AQ450" s="2">
        <v>0</v>
      </c>
      <c r="AR450" t="s">
        <v>603</v>
      </c>
    </row>
    <row r="451" spans="1:44" x14ac:dyDescent="0.25">
      <c r="A451" s="1">
        <v>45922</v>
      </c>
      <c r="B451" t="s">
        <v>602</v>
      </c>
      <c r="C451">
        <v>21421111</v>
      </c>
      <c r="D451">
        <v>2029599902</v>
      </c>
      <c r="E451" t="s">
        <v>604</v>
      </c>
      <c r="F451" t="s">
        <v>486</v>
      </c>
      <c r="G451" t="s">
        <v>50</v>
      </c>
      <c r="I451" t="s">
        <v>441</v>
      </c>
      <c r="J451" t="s">
        <v>445</v>
      </c>
      <c r="K451">
        <v>21421111</v>
      </c>
      <c r="L451" t="s">
        <v>158</v>
      </c>
      <c r="M451" t="s">
        <v>159</v>
      </c>
      <c r="N451" t="s">
        <v>1096</v>
      </c>
      <c r="O451" t="s">
        <v>230</v>
      </c>
      <c r="P451" s="1">
        <v>45832</v>
      </c>
      <c r="R451" s="2">
        <v>0</v>
      </c>
      <c r="AB451" s="2">
        <v>204.79</v>
      </c>
      <c r="AC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68.260000000000005</v>
      </c>
      <c r="AN451" s="2">
        <v>-136.53</v>
      </c>
      <c r="AO451" s="2">
        <v>-136.53</v>
      </c>
      <c r="AP451" s="2">
        <v>0</v>
      </c>
      <c r="AQ451" s="2">
        <v>0</v>
      </c>
      <c r="AR451" t="s">
        <v>603</v>
      </c>
    </row>
    <row r="452" spans="1:44" x14ac:dyDescent="0.25">
      <c r="A452" s="1">
        <v>45922</v>
      </c>
      <c r="B452" t="s">
        <v>602</v>
      </c>
      <c r="C452">
        <v>649163</v>
      </c>
      <c r="D452">
        <v>2030846038</v>
      </c>
      <c r="E452" t="s">
        <v>414</v>
      </c>
      <c r="F452" t="s">
        <v>415</v>
      </c>
      <c r="G452" t="s">
        <v>50</v>
      </c>
      <c r="I452" t="s">
        <v>441</v>
      </c>
      <c r="J452" t="s">
        <v>445</v>
      </c>
      <c r="K452">
        <v>649163</v>
      </c>
      <c r="L452" t="s">
        <v>158</v>
      </c>
      <c r="M452" t="s">
        <v>159</v>
      </c>
      <c r="N452" t="s">
        <v>1096</v>
      </c>
      <c r="O452" t="s">
        <v>230</v>
      </c>
      <c r="P452" s="1">
        <v>45913</v>
      </c>
      <c r="R452" s="2">
        <v>0</v>
      </c>
      <c r="AB452" s="2">
        <v>119.22</v>
      </c>
      <c r="AC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19.87</v>
      </c>
      <c r="AN452" s="2">
        <v>-99.35</v>
      </c>
      <c r="AO452" s="2">
        <v>-99.35</v>
      </c>
      <c r="AP452" s="2">
        <v>0</v>
      </c>
      <c r="AQ452" s="2">
        <v>0</v>
      </c>
      <c r="AR452" t="s">
        <v>603</v>
      </c>
    </row>
    <row r="453" spans="1:44" x14ac:dyDescent="0.25">
      <c r="A453" s="1">
        <v>45922</v>
      </c>
      <c r="B453" t="s">
        <v>602</v>
      </c>
      <c r="C453">
        <v>21421111</v>
      </c>
      <c r="D453">
        <v>2029599901</v>
      </c>
      <c r="E453" t="s">
        <v>604</v>
      </c>
      <c r="F453" t="s">
        <v>486</v>
      </c>
      <c r="G453" t="s">
        <v>50</v>
      </c>
      <c r="I453" t="s">
        <v>306</v>
      </c>
      <c r="J453" t="s">
        <v>307</v>
      </c>
      <c r="K453">
        <v>21421111</v>
      </c>
      <c r="L453" t="s">
        <v>158</v>
      </c>
      <c r="M453" t="s">
        <v>159</v>
      </c>
      <c r="N453" t="s">
        <v>1096</v>
      </c>
      <c r="O453" t="s">
        <v>230</v>
      </c>
      <c r="P453" s="1">
        <v>45832</v>
      </c>
      <c r="R453" s="2">
        <v>0</v>
      </c>
      <c r="AB453" s="2">
        <v>43.76</v>
      </c>
      <c r="AC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14.59</v>
      </c>
      <c r="AN453" s="2">
        <v>-29.17</v>
      </c>
      <c r="AO453" s="2">
        <v>-29.17</v>
      </c>
      <c r="AP453" s="2">
        <v>0</v>
      </c>
      <c r="AQ453" s="2">
        <v>0</v>
      </c>
      <c r="AR453" t="s">
        <v>603</v>
      </c>
    </row>
    <row r="454" spans="1:44" x14ac:dyDescent="0.25">
      <c r="A454" s="1">
        <v>45915</v>
      </c>
      <c r="B454" t="s">
        <v>602</v>
      </c>
      <c r="C454">
        <v>649163</v>
      </c>
      <c r="D454">
        <v>2029368470</v>
      </c>
      <c r="E454" t="s">
        <v>416</v>
      </c>
      <c r="F454" t="s">
        <v>616</v>
      </c>
      <c r="G454" t="s">
        <v>50</v>
      </c>
      <c r="I454" t="s">
        <v>306</v>
      </c>
      <c r="J454" t="s">
        <v>307</v>
      </c>
      <c r="K454">
        <v>649163</v>
      </c>
      <c r="L454" t="s">
        <v>158</v>
      </c>
      <c r="M454" t="s">
        <v>159</v>
      </c>
      <c r="N454" t="s">
        <v>1096</v>
      </c>
      <c r="O454" t="s">
        <v>230</v>
      </c>
      <c r="P454" s="1">
        <v>45839</v>
      </c>
      <c r="R454" s="2">
        <v>0</v>
      </c>
      <c r="AB454" s="2">
        <v>157.01</v>
      </c>
      <c r="AC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78.5</v>
      </c>
      <c r="AN454" s="2">
        <v>-78.510000000000005</v>
      </c>
      <c r="AO454" s="2">
        <v>-78.510000000000005</v>
      </c>
      <c r="AP454" s="2">
        <v>0</v>
      </c>
      <c r="AQ454" s="2">
        <v>0</v>
      </c>
      <c r="AR454" t="s">
        <v>605</v>
      </c>
    </row>
    <row r="455" spans="1:44" x14ac:dyDescent="0.25">
      <c r="A455" s="1">
        <v>45915</v>
      </c>
      <c r="B455" t="s">
        <v>602</v>
      </c>
      <c r="C455">
        <v>649163</v>
      </c>
      <c r="D455">
        <v>2030479075</v>
      </c>
      <c r="E455" t="s">
        <v>156</v>
      </c>
      <c r="F455" t="s">
        <v>610</v>
      </c>
      <c r="G455" t="s">
        <v>50</v>
      </c>
      <c r="I455" t="s">
        <v>306</v>
      </c>
      <c r="J455" t="s">
        <v>307</v>
      </c>
      <c r="K455">
        <v>649163</v>
      </c>
      <c r="L455" t="s">
        <v>158</v>
      </c>
      <c r="M455" t="s">
        <v>159</v>
      </c>
      <c r="N455" t="s">
        <v>1096</v>
      </c>
      <c r="O455" t="s">
        <v>230</v>
      </c>
      <c r="P455" s="1">
        <v>45886</v>
      </c>
      <c r="R455" s="2">
        <v>0</v>
      </c>
      <c r="AB455" s="2">
        <v>43.38</v>
      </c>
      <c r="AC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7.23</v>
      </c>
      <c r="AN455" s="2">
        <v>-36.15</v>
      </c>
      <c r="AO455" s="2">
        <v>-36.15</v>
      </c>
      <c r="AP455" s="2">
        <v>0</v>
      </c>
      <c r="AQ455" s="2">
        <v>0</v>
      </c>
      <c r="AR455" t="s">
        <v>605</v>
      </c>
    </row>
    <row r="456" spans="1:44" x14ac:dyDescent="0.25">
      <c r="A456" s="1">
        <v>45922</v>
      </c>
      <c r="B456" t="s">
        <v>47</v>
      </c>
      <c r="C456">
        <v>649163</v>
      </c>
      <c r="D456">
        <v>2029992083</v>
      </c>
      <c r="E456" t="s">
        <v>204</v>
      </c>
      <c r="F456" t="s">
        <v>524</v>
      </c>
      <c r="G456" t="s">
        <v>50</v>
      </c>
      <c r="H456" t="s">
        <v>93</v>
      </c>
      <c r="I456" t="s">
        <v>441</v>
      </c>
      <c r="J456" t="s">
        <v>445</v>
      </c>
      <c r="K456">
        <v>839554</v>
      </c>
      <c r="L456" t="s">
        <v>525</v>
      </c>
      <c r="M456" t="s">
        <v>526</v>
      </c>
      <c r="N456" t="s">
        <v>1126</v>
      </c>
      <c r="O456" t="s">
        <v>56</v>
      </c>
      <c r="P456" s="1">
        <v>45860</v>
      </c>
      <c r="Q456" s="1">
        <v>45952</v>
      </c>
      <c r="R456" s="2">
        <v>84.57</v>
      </c>
      <c r="S456">
        <v>1</v>
      </c>
      <c r="T456" t="s">
        <v>57</v>
      </c>
      <c r="U456" t="s">
        <v>58</v>
      </c>
      <c r="V456" s="4">
        <v>0.7</v>
      </c>
      <c r="W456" s="2">
        <v>0</v>
      </c>
      <c r="X456">
        <v>0</v>
      </c>
      <c r="Y456" t="s">
        <v>70</v>
      </c>
      <c r="Z456" t="s">
        <v>60</v>
      </c>
      <c r="AA456">
        <v>0</v>
      </c>
      <c r="AB456" s="2">
        <v>0</v>
      </c>
      <c r="AC456" s="2">
        <v>0</v>
      </c>
      <c r="AD456" s="4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59.2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</row>
    <row r="457" spans="1:44" x14ac:dyDescent="0.25">
      <c r="A457" s="1">
        <v>45922</v>
      </c>
      <c r="B457" t="s">
        <v>47</v>
      </c>
      <c r="C457">
        <v>649163</v>
      </c>
      <c r="D457">
        <v>2030114522</v>
      </c>
      <c r="E457" t="s">
        <v>536</v>
      </c>
      <c r="F457" t="s">
        <v>537</v>
      </c>
      <c r="G457" t="s">
        <v>50</v>
      </c>
      <c r="H457" t="s">
        <v>93</v>
      </c>
      <c r="I457" t="s">
        <v>441</v>
      </c>
      <c r="J457" t="s">
        <v>445</v>
      </c>
      <c r="K457">
        <v>839554</v>
      </c>
      <c r="L457" t="s">
        <v>525</v>
      </c>
      <c r="M457" t="s">
        <v>526</v>
      </c>
      <c r="N457" t="s">
        <v>1126</v>
      </c>
      <c r="O457" t="s">
        <v>56</v>
      </c>
      <c r="P457" s="1">
        <v>45863</v>
      </c>
      <c r="Q457" s="1">
        <v>45955</v>
      </c>
      <c r="R457" s="2">
        <v>207.64</v>
      </c>
      <c r="S457">
        <v>1</v>
      </c>
      <c r="T457" t="s">
        <v>57</v>
      </c>
      <c r="U457" t="s">
        <v>58</v>
      </c>
      <c r="V457" s="4">
        <v>0.7</v>
      </c>
      <c r="W457" s="2">
        <v>0</v>
      </c>
      <c r="X457">
        <v>0</v>
      </c>
      <c r="Y457" t="s">
        <v>70</v>
      </c>
      <c r="Z457" t="s">
        <v>60</v>
      </c>
      <c r="AA457">
        <v>0</v>
      </c>
      <c r="AB457" s="2">
        <v>0</v>
      </c>
      <c r="AC457" s="2">
        <v>0</v>
      </c>
      <c r="AD457" s="4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145.35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</row>
    <row r="458" spans="1:44" x14ac:dyDescent="0.25">
      <c r="A458" s="1">
        <v>45915</v>
      </c>
      <c r="B458" t="s">
        <v>47</v>
      </c>
      <c r="C458">
        <v>649163</v>
      </c>
      <c r="D458">
        <v>2029956855</v>
      </c>
      <c r="E458" t="s">
        <v>917</v>
      </c>
      <c r="F458" t="s">
        <v>916</v>
      </c>
      <c r="G458" t="s">
        <v>50</v>
      </c>
      <c r="H458" t="s">
        <v>93</v>
      </c>
      <c r="I458" t="s">
        <v>441</v>
      </c>
      <c r="J458" t="s">
        <v>445</v>
      </c>
      <c r="K458">
        <v>839554</v>
      </c>
      <c r="L458" t="s">
        <v>525</v>
      </c>
      <c r="M458" t="s">
        <v>526</v>
      </c>
      <c r="N458" t="s">
        <v>1126</v>
      </c>
      <c r="O458" t="s">
        <v>56</v>
      </c>
      <c r="P458" s="1">
        <v>45883</v>
      </c>
      <c r="Q458" s="1">
        <v>45944</v>
      </c>
      <c r="R458" s="2">
        <v>11.5</v>
      </c>
      <c r="S458">
        <v>1</v>
      </c>
      <c r="T458" t="s">
        <v>57</v>
      </c>
      <c r="U458" t="s">
        <v>58</v>
      </c>
      <c r="V458" s="4">
        <v>0.7</v>
      </c>
      <c r="W458" s="2">
        <v>0</v>
      </c>
      <c r="X458">
        <v>0</v>
      </c>
      <c r="Y458" t="s">
        <v>70</v>
      </c>
      <c r="Z458" t="s">
        <v>60</v>
      </c>
      <c r="AA458">
        <v>0</v>
      </c>
      <c r="AB458" s="2">
        <v>0</v>
      </c>
      <c r="AC458" s="2">
        <v>0</v>
      </c>
      <c r="AD458" s="4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8.0500000000000007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</row>
    <row r="459" spans="1:44" x14ac:dyDescent="0.25">
      <c r="A459" s="1">
        <v>45915</v>
      </c>
      <c r="B459" t="s">
        <v>47</v>
      </c>
      <c r="C459">
        <v>649163</v>
      </c>
      <c r="D459">
        <v>2029958122</v>
      </c>
      <c r="E459" t="s">
        <v>915</v>
      </c>
      <c r="F459" t="s">
        <v>914</v>
      </c>
      <c r="G459" t="s">
        <v>50</v>
      </c>
      <c r="H459" t="s">
        <v>93</v>
      </c>
      <c r="I459" t="s">
        <v>441</v>
      </c>
      <c r="J459" t="s">
        <v>445</v>
      </c>
      <c r="K459">
        <v>839554</v>
      </c>
      <c r="L459" t="s">
        <v>525</v>
      </c>
      <c r="M459" t="s">
        <v>526</v>
      </c>
      <c r="N459" t="s">
        <v>1126</v>
      </c>
      <c r="O459" t="s">
        <v>56</v>
      </c>
      <c r="P459" s="1">
        <v>45853</v>
      </c>
      <c r="Q459" s="1">
        <v>45945</v>
      </c>
      <c r="R459" s="2">
        <v>69.25</v>
      </c>
      <c r="S459">
        <v>1</v>
      </c>
      <c r="T459" t="s">
        <v>57</v>
      </c>
      <c r="U459" t="s">
        <v>58</v>
      </c>
      <c r="V459" s="4">
        <v>0.7</v>
      </c>
      <c r="W459" s="2">
        <v>0</v>
      </c>
      <c r="X459">
        <v>0</v>
      </c>
      <c r="Y459" t="s">
        <v>70</v>
      </c>
      <c r="Z459" t="s">
        <v>60</v>
      </c>
      <c r="AA459">
        <v>0</v>
      </c>
      <c r="AB459" s="2">
        <v>0</v>
      </c>
      <c r="AC459" s="2">
        <v>0</v>
      </c>
      <c r="AD459" s="4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48.48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</row>
    <row r="460" spans="1:44" x14ac:dyDescent="0.25">
      <c r="A460" s="1">
        <v>45915</v>
      </c>
      <c r="B460" t="s">
        <v>47</v>
      </c>
      <c r="C460">
        <v>649163</v>
      </c>
      <c r="D460">
        <v>2029958337</v>
      </c>
      <c r="E460" t="s">
        <v>876</v>
      </c>
      <c r="F460" t="s">
        <v>913</v>
      </c>
      <c r="G460" t="s">
        <v>50</v>
      </c>
      <c r="H460" t="s">
        <v>93</v>
      </c>
      <c r="I460" t="s">
        <v>441</v>
      </c>
      <c r="J460" t="s">
        <v>445</v>
      </c>
      <c r="K460">
        <v>839554</v>
      </c>
      <c r="L460" t="s">
        <v>525</v>
      </c>
      <c r="M460" t="s">
        <v>526</v>
      </c>
      <c r="N460" t="s">
        <v>1126</v>
      </c>
      <c r="O460" t="s">
        <v>56</v>
      </c>
      <c r="P460" s="1">
        <v>45853</v>
      </c>
      <c r="Q460" s="1">
        <v>45945</v>
      </c>
      <c r="R460" s="2">
        <v>56.5</v>
      </c>
      <c r="S460">
        <v>1</v>
      </c>
      <c r="T460" t="s">
        <v>57</v>
      </c>
      <c r="U460" t="s">
        <v>58</v>
      </c>
      <c r="V460" s="4">
        <v>0.7</v>
      </c>
      <c r="W460" s="2">
        <v>0</v>
      </c>
      <c r="X460">
        <v>0</v>
      </c>
      <c r="Y460" t="s">
        <v>70</v>
      </c>
      <c r="Z460" t="s">
        <v>60</v>
      </c>
      <c r="AA460">
        <v>0</v>
      </c>
      <c r="AB460" s="2">
        <v>0</v>
      </c>
      <c r="AC460" s="2">
        <v>0</v>
      </c>
      <c r="AD460" s="4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39.549999999999997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</row>
    <row r="461" spans="1:44" x14ac:dyDescent="0.25">
      <c r="A461" s="1">
        <v>45915</v>
      </c>
      <c r="B461" t="s">
        <v>47</v>
      </c>
      <c r="C461">
        <v>649163</v>
      </c>
      <c r="D461">
        <v>2030017882</v>
      </c>
      <c r="E461" t="s">
        <v>696</v>
      </c>
      <c r="F461" t="s">
        <v>900</v>
      </c>
      <c r="G461" t="s">
        <v>50</v>
      </c>
      <c r="H461" t="s">
        <v>93</v>
      </c>
      <c r="I461" t="s">
        <v>441</v>
      </c>
      <c r="J461" t="s">
        <v>445</v>
      </c>
      <c r="K461">
        <v>839554</v>
      </c>
      <c r="L461" t="s">
        <v>525</v>
      </c>
      <c r="M461" t="s">
        <v>526</v>
      </c>
      <c r="N461" t="s">
        <v>1126</v>
      </c>
      <c r="O461" t="s">
        <v>56</v>
      </c>
      <c r="P461" s="1">
        <v>45856</v>
      </c>
      <c r="Q461" s="1">
        <v>45948</v>
      </c>
      <c r="R461" s="2">
        <v>56.5</v>
      </c>
      <c r="S461">
        <v>1</v>
      </c>
      <c r="T461" t="s">
        <v>57</v>
      </c>
      <c r="U461" t="s">
        <v>58</v>
      </c>
      <c r="V461" s="4">
        <v>0.7</v>
      </c>
      <c r="W461" s="2">
        <v>0</v>
      </c>
      <c r="X461">
        <v>0</v>
      </c>
      <c r="Y461" t="s">
        <v>70</v>
      </c>
      <c r="Z461" t="s">
        <v>60</v>
      </c>
      <c r="AA461">
        <v>0</v>
      </c>
      <c r="AB461" s="2">
        <v>0</v>
      </c>
      <c r="AC461" s="2">
        <v>0</v>
      </c>
      <c r="AD461" s="4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39.549999999999997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</row>
    <row r="462" spans="1:44" x14ac:dyDescent="0.25">
      <c r="A462" s="1">
        <v>45915</v>
      </c>
      <c r="B462" t="s">
        <v>47</v>
      </c>
      <c r="C462">
        <v>649163</v>
      </c>
      <c r="D462">
        <v>2030503342</v>
      </c>
      <c r="E462" t="s">
        <v>696</v>
      </c>
      <c r="F462" t="s">
        <v>351</v>
      </c>
      <c r="G462" t="s">
        <v>50</v>
      </c>
      <c r="H462" t="s">
        <v>93</v>
      </c>
      <c r="I462" t="s">
        <v>441</v>
      </c>
      <c r="J462" t="s">
        <v>445</v>
      </c>
      <c r="K462">
        <v>839554</v>
      </c>
      <c r="L462" t="s">
        <v>525</v>
      </c>
      <c r="M462" t="s">
        <v>526</v>
      </c>
      <c r="N462" t="s">
        <v>1126</v>
      </c>
      <c r="O462" t="s">
        <v>56</v>
      </c>
      <c r="P462" s="1">
        <v>45884</v>
      </c>
      <c r="Q462" s="1">
        <v>45945</v>
      </c>
      <c r="R462" s="2">
        <v>56.5</v>
      </c>
      <c r="S462">
        <v>1</v>
      </c>
      <c r="T462" t="s">
        <v>57</v>
      </c>
      <c r="U462" t="s">
        <v>58</v>
      </c>
      <c r="V462" s="4">
        <v>0.7</v>
      </c>
      <c r="W462" s="2">
        <v>0</v>
      </c>
      <c r="X462">
        <v>0</v>
      </c>
      <c r="Y462" t="s">
        <v>70</v>
      </c>
      <c r="Z462" t="s">
        <v>60</v>
      </c>
      <c r="AA462">
        <v>0</v>
      </c>
      <c r="AB462" s="2">
        <v>0</v>
      </c>
      <c r="AC462" s="2">
        <v>0</v>
      </c>
      <c r="AD462" s="4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39.549999999999997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</row>
    <row r="463" spans="1:44" x14ac:dyDescent="0.25">
      <c r="A463" s="1">
        <v>45915</v>
      </c>
      <c r="B463" t="s">
        <v>47</v>
      </c>
      <c r="C463">
        <v>649163</v>
      </c>
      <c r="D463">
        <v>2030503343</v>
      </c>
      <c r="E463" t="s">
        <v>696</v>
      </c>
      <c r="F463" t="s">
        <v>351</v>
      </c>
      <c r="G463" t="s">
        <v>50</v>
      </c>
      <c r="H463" t="s">
        <v>93</v>
      </c>
      <c r="I463" t="s">
        <v>441</v>
      </c>
      <c r="J463" t="s">
        <v>442</v>
      </c>
      <c r="K463">
        <v>839554</v>
      </c>
      <c r="L463" t="s">
        <v>525</v>
      </c>
      <c r="M463" t="s">
        <v>526</v>
      </c>
      <c r="N463" t="s">
        <v>1126</v>
      </c>
      <c r="O463" t="s">
        <v>56</v>
      </c>
      <c r="P463" s="1">
        <v>45884</v>
      </c>
      <c r="Q463" s="1">
        <v>45945</v>
      </c>
      <c r="R463" s="2">
        <v>41.88</v>
      </c>
      <c r="S463">
        <v>1</v>
      </c>
      <c r="T463" t="s">
        <v>57</v>
      </c>
      <c r="U463" t="s">
        <v>58</v>
      </c>
      <c r="V463" s="4">
        <v>0.9</v>
      </c>
      <c r="W463" s="2">
        <v>0</v>
      </c>
      <c r="X463">
        <v>0</v>
      </c>
      <c r="Y463" t="s">
        <v>70</v>
      </c>
      <c r="Z463" t="s">
        <v>60</v>
      </c>
      <c r="AA463">
        <v>0</v>
      </c>
      <c r="AB463" s="2">
        <v>0</v>
      </c>
      <c r="AC463" s="2">
        <v>0</v>
      </c>
      <c r="AD463" s="4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37.69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</row>
    <row r="464" spans="1:44" x14ac:dyDescent="0.25">
      <c r="A464" s="1">
        <v>45915</v>
      </c>
      <c r="B464" t="s">
        <v>602</v>
      </c>
      <c r="C464">
        <v>21436172</v>
      </c>
      <c r="D464">
        <v>2030009011</v>
      </c>
      <c r="E464" t="s">
        <v>614</v>
      </c>
      <c r="F464" t="s">
        <v>613</v>
      </c>
      <c r="G464" t="s">
        <v>50</v>
      </c>
      <c r="I464" t="s">
        <v>441</v>
      </c>
      <c r="J464" t="s">
        <v>442</v>
      </c>
      <c r="K464">
        <v>21436172</v>
      </c>
      <c r="L464" t="s">
        <v>525</v>
      </c>
      <c r="M464" t="s">
        <v>526</v>
      </c>
      <c r="N464" t="s">
        <v>1126</v>
      </c>
      <c r="O464" t="s">
        <v>230</v>
      </c>
      <c r="P464" s="1">
        <v>45856</v>
      </c>
      <c r="R464" s="2">
        <v>0</v>
      </c>
      <c r="AB464" s="2">
        <v>315.68</v>
      </c>
      <c r="AC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52.61</v>
      </c>
      <c r="AN464" s="2">
        <v>-263.07</v>
      </c>
      <c r="AO464" s="2">
        <v>-263.07</v>
      </c>
      <c r="AP464" s="2">
        <v>0</v>
      </c>
      <c r="AQ464" s="2">
        <v>0</v>
      </c>
      <c r="AR464" t="s">
        <v>605</v>
      </c>
    </row>
    <row r="465" spans="1:43" x14ac:dyDescent="0.25">
      <c r="A465" s="1">
        <v>45922</v>
      </c>
      <c r="B465" t="s">
        <v>47</v>
      </c>
      <c r="C465">
        <v>649163</v>
      </c>
      <c r="D465">
        <v>2029526622</v>
      </c>
      <c r="E465" t="s">
        <v>386</v>
      </c>
      <c r="F465" t="s">
        <v>387</v>
      </c>
      <c r="G465" t="s">
        <v>50</v>
      </c>
      <c r="H465" t="s">
        <v>180</v>
      </c>
      <c r="I465" t="s">
        <v>441</v>
      </c>
      <c r="J465" t="s">
        <v>445</v>
      </c>
      <c r="K465">
        <v>877790</v>
      </c>
      <c r="L465" t="s">
        <v>299</v>
      </c>
      <c r="M465" t="s">
        <v>300</v>
      </c>
      <c r="N465" t="s">
        <v>1080</v>
      </c>
      <c r="O465" t="s">
        <v>56</v>
      </c>
      <c r="P465" s="1">
        <v>45828</v>
      </c>
      <c r="Q465" s="1">
        <v>45950</v>
      </c>
      <c r="R465" s="2">
        <v>4.7699999999999996</v>
      </c>
      <c r="S465">
        <v>1</v>
      </c>
      <c r="T465" t="s">
        <v>57</v>
      </c>
      <c r="U465" t="s">
        <v>58</v>
      </c>
      <c r="V465" s="4">
        <v>0.7</v>
      </c>
      <c r="W465" s="2">
        <v>0</v>
      </c>
      <c r="X465">
        <v>0</v>
      </c>
      <c r="Y465" t="s">
        <v>70</v>
      </c>
      <c r="Z465" t="s">
        <v>60</v>
      </c>
      <c r="AA465">
        <v>0</v>
      </c>
      <c r="AB465" s="2">
        <v>0</v>
      </c>
      <c r="AC465" s="2">
        <v>0</v>
      </c>
      <c r="AD465" s="4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3.34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45915</v>
      </c>
      <c r="B466" t="s">
        <v>47</v>
      </c>
      <c r="C466">
        <v>649163</v>
      </c>
      <c r="D466">
        <v>2029481266</v>
      </c>
      <c r="E466" t="s">
        <v>841</v>
      </c>
      <c r="F466" t="s">
        <v>354</v>
      </c>
      <c r="G466" t="s">
        <v>50</v>
      </c>
      <c r="H466" t="s">
        <v>180</v>
      </c>
      <c r="I466" t="s">
        <v>441</v>
      </c>
      <c r="J466" t="s">
        <v>445</v>
      </c>
      <c r="K466">
        <v>877790</v>
      </c>
      <c r="L466" t="s">
        <v>299</v>
      </c>
      <c r="M466" t="s">
        <v>300</v>
      </c>
      <c r="N466" t="s">
        <v>1080</v>
      </c>
      <c r="O466" t="s">
        <v>56</v>
      </c>
      <c r="P466" s="1">
        <v>45825</v>
      </c>
      <c r="Q466" s="1">
        <v>45947</v>
      </c>
      <c r="R466" s="2">
        <v>3.52</v>
      </c>
      <c r="S466">
        <v>1</v>
      </c>
      <c r="T466" t="s">
        <v>57</v>
      </c>
      <c r="U466" t="s">
        <v>58</v>
      </c>
      <c r="V466" s="4">
        <v>0.7</v>
      </c>
      <c r="W466" s="2">
        <v>0</v>
      </c>
      <c r="X466">
        <v>0</v>
      </c>
      <c r="Y466" t="s">
        <v>70</v>
      </c>
      <c r="Z466" t="s">
        <v>60</v>
      </c>
      <c r="AA466">
        <v>0</v>
      </c>
      <c r="AB466" s="2">
        <v>0</v>
      </c>
      <c r="AC466" s="2">
        <v>0</v>
      </c>
      <c r="AD466" s="4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2.46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45915</v>
      </c>
      <c r="B467" t="s">
        <v>47</v>
      </c>
      <c r="C467">
        <v>649163</v>
      </c>
      <c r="D467">
        <v>2029957806</v>
      </c>
      <c r="E467" t="s">
        <v>361</v>
      </c>
      <c r="F467" t="s">
        <v>832</v>
      </c>
      <c r="G467" t="s">
        <v>50</v>
      </c>
      <c r="H467" t="s">
        <v>180</v>
      </c>
      <c r="I467" t="s">
        <v>441</v>
      </c>
      <c r="J467" t="s">
        <v>445</v>
      </c>
      <c r="K467">
        <v>877790</v>
      </c>
      <c r="L467" t="s">
        <v>299</v>
      </c>
      <c r="M467" t="s">
        <v>300</v>
      </c>
      <c r="N467" t="s">
        <v>1080</v>
      </c>
      <c r="O467" t="s">
        <v>56</v>
      </c>
      <c r="P467" s="1">
        <v>45854</v>
      </c>
      <c r="Q467" s="1">
        <v>45946</v>
      </c>
      <c r="R467" s="2">
        <v>12.4</v>
      </c>
      <c r="S467">
        <v>1</v>
      </c>
      <c r="T467" t="s">
        <v>57</v>
      </c>
      <c r="U467" t="s">
        <v>58</v>
      </c>
      <c r="V467" s="4">
        <v>0.7</v>
      </c>
      <c r="W467" s="2">
        <v>0</v>
      </c>
      <c r="X467">
        <v>0</v>
      </c>
      <c r="Y467" t="s">
        <v>70</v>
      </c>
      <c r="Z467" t="s">
        <v>60</v>
      </c>
      <c r="AA467">
        <v>0</v>
      </c>
      <c r="AB467" s="2">
        <v>0</v>
      </c>
      <c r="AC467" s="2">
        <v>0</v>
      </c>
      <c r="AD467" s="4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8.68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45915</v>
      </c>
      <c r="B468" t="s">
        <v>47</v>
      </c>
      <c r="C468">
        <v>649163</v>
      </c>
      <c r="D468">
        <v>2029481265</v>
      </c>
      <c r="E468" t="s">
        <v>841</v>
      </c>
      <c r="F468" t="s">
        <v>354</v>
      </c>
      <c r="G468" t="s">
        <v>50</v>
      </c>
      <c r="H468" t="s">
        <v>180</v>
      </c>
      <c r="I468" t="s">
        <v>306</v>
      </c>
      <c r="J468" t="s">
        <v>307</v>
      </c>
      <c r="K468">
        <v>877790</v>
      </c>
      <c r="L468" t="s">
        <v>299</v>
      </c>
      <c r="M468" t="s">
        <v>300</v>
      </c>
      <c r="N468" t="s">
        <v>1080</v>
      </c>
      <c r="O468" t="s">
        <v>56</v>
      </c>
      <c r="P468" s="1">
        <v>45825</v>
      </c>
      <c r="Q468" s="1">
        <v>45947</v>
      </c>
      <c r="R468" s="2">
        <v>58.15</v>
      </c>
      <c r="S468">
        <v>1</v>
      </c>
      <c r="T468" t="s">
        <v>57</v>
      </c>
      <c r="U468" t="s">
        <v>58</v>
      </c>
      <c r="V468" s="3">
        <v>0.375</v>
      </c>
      <c r="W468" s="2">
        <v>0</v>
      </c>
      <c r="X468">
        <v>0</v>
      </c>
      <c r="Y468" t="s">
        <v>70</v>
      </c>
      <c r="Z468" t="s">
        <v>60</v>
      </c>
      <c r="AA468">
        <v>0</v>
      </c>
      <c r="AB468" s="2">
        <v>0</v>
      </c>
      <c r="AC468" s="2">
        <v>0</v>
      </c>
      <c r="AD468" s="4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21.81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45915</v>
      </c>
      <c r="B469" t="s">
        <v>47</v>
      </c>
      <c r="C469">
        <v>649163</v>
      </c>
      <c r="D469">
        <v>2029957805</v>
      </c>
      <c r="E469" t="s">
        <v>361</v>
      </c>
      <c r="F469" t="s">
        <v>832</v>
      </c>
      <c r="G469" t="s">
        <v>50</v>
      </c>
      <c r="H469" t="s">
        <v>180</v>
      </c>
      <c r="I469" t="s">
        <v>306</v>
      </c>
      <c r="J469" t="s">
        <v>307</v>
      </c>
      <c r="K469">
        <v>877790</v>
      </c>
      <c r="L469" t="s">
        <v>299</v>
      </c>
      <c r="M469" t="s">
        <v>300</v>
      </c>
      <c r="N469" t="s">
        <v>1080</v>
      </c>
      <c r="O469" t="s">
        <v>56</v>
      </c>
      <c r="P469" s="1">
        <v>45854</v>
      </c>
      <c r="Q469" s="1">
        <v>45946</v>
      </c>
      <c r="R469" s="2">
        <v>58.15</v>
      </c>
      <c r="S469">
        <v>1</v>
      </c>
      <c r="T469" t="s">
        <v>57</v>
      </c>
      <c r="U469" t="s">
        <v>58</v>
      </c>
      <c r="V469" s="3">
        <v>0.375</v>
      </c>
      <c r="W469" s="2">
        <v>0</v>
      </c>
      <c r="X469">
        <v>0</v>
      </c>
      <c r="Y469" t="s">
        <v>70</v>
      </c>
      <c r="Z469" t="s">
        <v>60</v>
      </c>
      <c r="AA469">
        <v>0</v>
      </c>
      <c r="AB469" s="2">
        <v>0</v>
      </c>
      <c r="AC469" s="2">
        <v>0</v>
      </c>
      <c r="AD469" s="4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21.81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45922</v>
      </c>
      <c r="B470" t="s">
        <v>47</v>
      </c>
      <c r="C470">
        <v>649163</v>
      </c>
      <c r="D470">
        <v>2029526621</v>
      </c>
      <c r="E470" t="s">
        <v>386</v>
      </c>
      <c r="F470" t="s">
        <v>387</v>
      </c>
      <c r="G470" t="s">
        <v>50</v>
      </c>
      <c r="H470" t="s">
        <v>180</v>
      </c>
      <c r="I470" t="s">
        <v>306</v>
      </c>
      <c r="J470" t="s">
        <v>307</v>
      </c>
      <c r="K470">
        <v>877790</v>
      </c>
      <c r="L470" t="s">
        <v>299</v>
      </c>
      <c r="M470" t="s">
        <v>300</v>
      </c>
      <c r="N470" t="s">
        <v>1080</v>
      </c>
      <c r="O470" t="s">
        <v>56</v>
      </c>
      <c r="P470" s="1">
        <v>45828</v>
      </c>
      <c r="Q470" s="1">
        <v>45950</v>
      </c>
      <c r="R470" s="2">
        <v>92.09</v>
      </c>
      <c r="S470">
        <v>1</v>
      </c>
      <c r="T470" t="s">
        <v>57</v>
      </c>
      <c r="U470" t="s">
        <v>96</v>
      </c>
      <c r="V470" s="3">
        <v>0.375</v>
      </c>
      <c r="W470" s="2">
        <v>0</v>
      </c>
      <c r="X470">
        <v>0</v>
      </c>
      <c r="Y470" t="s">
        <v>70</v>
      </c>
      <c r="Z470" t="s">
        <v>97</v>
      </c>
      <c r="AA470">
        <v>0</v>
      </c>
      <c r="AB470" s="2">
        <v>0</v>
      </c>
      <c r="AC470" s="2">
        <v>0</v>
      </c>
      <c r="AD470" s="4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34.53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45922</v>
      </c>
      <c r="B471" t="s">
        <v>47</v>
      </c>
      <c r="C471">
        <v>649163</v>
      </c>
      <c r="D471">
        <v>2025727275</v>
      </c>
      <c r="E471" t="s">
        <v>128</v>
      </c>
      <c r="F471" t="s">
        <v>129</v>
      </c>
      <c r="G471" t="s">
        <v>50</v>
      </c>
      <c r="H471" t="s">
        <v>115</v>
      </c>
      <c r="I471" t="s">
        <v>106</v>
      </c>
      <c r="J471" t="s">
        <v>107</v>
      </c>
      <c r="K471">
        <v>753748</v>
      </c>
      <c r="L471" t="s">
        <v>130</v>
      </c>
      <c r="M471" t="s">
        <v>131</v>
      </c>
      <c r="N471" t="s">
        <v>1105</v>
      </c>
      <c r="O471" t="s">
        <v>56</v>
      </c>
      <c r="P471" s="1">
        <v>45658</v>
      </c>
      <c r="Q471" s="1">
        <v>45931</v>
      </c>
      <c r="R471" s="2">
        <v>-181.71</v>
      </c>
      <c r="S471">
        <v>1</v>
      </c>
      <c r="T471" t="s">
        <v>57</v>
      </c>
      <c r="U471" t="s">
        <v>58</v>
      </c>
      <c r="V471" s="4">
        <v>0.9</v>
      </c>
      <c r="W471" s="2">
        <v>0</v>
      </c>
      <c r="X471">
        <v>-1</v>
      </c>
      <c r="Y471" t="s">
        <v>70</v>
      </c>
      <c r="Z471" t="s">
        <v>60</v>
      </c>
      <c r="AA471">
        <v>0</v>
      </c>
      <c r="AB471" s="2">
        <v>0</v>
      </c>
      <c r="AC471" s="2">
        <v>0</v>
      </c>
      <c r="AD471" s="4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-163.54</v>
      </c>
      <c r="AN471" s="2">
        <v>-163.54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45922</v>
      </c>
      <c r="B472" t="s">
        <v>47</v>
      </c>
      <c r="C472">
        <v>649163</v>
      </c>
      <c r="D472">
        <v>2028992070</v>
      </c>
      <c r="E472" t="s">
        <v>185</v>
      </c>
      <c r="F472" t="s">
        <v>55</v>
      </c>
      <c r="G472" t="s">
        <v>50</v>
      </c>
      <c r="H472" t="s">
        <v>180</v>
      </c>
      <c r="I472" t="s">
        <v>106</v>
      </c>
      <c r="J472" t="s">
        <v>107</v>
      </c>
      <c r="K472">
        <v>753748</v>
      </c>
      <c r="L472" t="s">
        <v>130</v>
      </c>
      <c r="M472" t="s">
        <v>131</v>
      </c>
      <c r="N472" t="s">
        <v>1105</v>
      </c>
      <c r="O472" t="s">
        <v>56</v>
      </c>
      <c r="P472" s="1">
        <v>45799</v>
      </c>
      <c r="Q472" s="1">
        <v>45952</v>
      </c>
      <c r="R472" s="2">
        <v>78.150000000000006</v>
      </c>
      <c r="S472">
        <v>1</v>
      </c>
      <c r="T472" t="s">
        <v>57</v>
      </c>
      <c r="U472" t="s">
        <v>58</v>
      </c>
      <c r="V472" s="4">
        <v>0.9</v>
      </c>
      <c r="W472" s="2">
        <v>0</v>
      </c>
      <c r="X472">
        <v>0</v>
      </c>
      <c r="Y472" t="s">
        <v>70</v>
      </c>
      <c r="Z472" t="s">
        <v>60</v>
      </c>
      <c r="AA472">
        <v>0</v>
      </c>
      <c r="AB472" s="2">
        <v>0</v>
      </c>
      <c r="AC472" s="2">
        <v>0</v>
      </c>
      <c r="AD472" s="4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70.34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45922</v>
      </c>
      <c r="B473" t="s">
        <v>47</v>
      </c>
      <c r="C473">
        <v>649163</v>
      </c>
      <c r="D473">
        <v>2025727276</v>
      </c>
      <c r="E473" t="s">
        <v>128</v>
      </c>
      <c r="F473" t="s">
        <v>129</v>
      </c>
      <c r="G473" t="s">
        <v>50</v>
      </c>
      <c r="H473" t="s">
        <v>115</v>
      </c>
      <c r="I473" t="s">
        <v>441</v>
      </c>
      <c r="J473" t="s">
        <v>445</v>
      </c>
      <c r="K473">
        <v>753748</v>
      </c>
      <c r="L473" t="s">
        <v>130</v>
      </c>
      <c r="M473" t="s">
        <v>131</v>
      </c>
      <c r="N473" t="s">
        <v>1105</v>
      </c>
      <c r="O473" t="s">
        <v>56</v>
      </c>
      <c r="P473" s="1">
        <v>45658</v>
      </c>
      <c r="Q473" s="1">
        <v>45931</v>
      </c>
      <c r="R473" s="2">
        <v>-21.13</v>
      </c>
      <c r="S473">
        <v>1</v>
      </c>
      <c r="T473" t="s">
        <v>57</v>
      </c>
      <c r="U473" t="s">
        <v>58</v>
      </c>
      <c r="V473" s="4">
        <v>0.7</v>
      </c>
      <c r="W473" s="2">
        <v>0</v>
      </c>
      <c r="X473">
        <v>-1</v>
      </c>
      <c r="Y473" t="s">
        <v>70</v>
      </c>
      <c r="Z473" t="s">
        <v>60</v>
      </c>
      <c r="AA473">
        <v>0</v>
      </c>
      <c r="AB473" s="2">
        <v>0</v>
      </c>
      <c r="AC473" s="2">
        <v>0</v>
      </c>
      <c r="AD473" s="4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-14.79</v>
      </c>
      <c r="AN473" s="2">
        <v>-14.79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45922</v>
      </c>
      <c r="B474" t="s">
        <v>47</v>
      </c>
      <c r="C474">
        <v>649163</v>
      </c>
      <c r="D474">
        <v>2028992069</v>
      </c>
      <c r="E474" t="s">
        <v>185</v>
      </c>
      <c r="F474" t="s">
        <v>55</v>
      </c>
      <c r="G474" t="s">
        <v>50</v>
      </c>
      <c r="H474" t="s">
        <v>180</v>
      </c>
      <c r="I474" t="s">
        <v>441</v>
      </c>
      <c r="J474" t="s">
        <v>445</v>
      </c>
      <c r="K474">
        <v>753748</v>
      </c>
      <c r="L474" t="s">
        <v>130</v>
      </c>
      <c r="M474" t="s">
        <v>131</v>
      </c>
      <c r="N474" t="s">
        <v>1105</v>
      </c>
      <c r="O474" t="s">
        <v>56</v>
      </c>
      <c r="P474" s="1">
        <v>45799</v>
      </c>
      <c r="Q474" s="1">
        <v>45952</v>
      </c>
      <c r="R474" s="2">
        <v>9.0500000000000007</v>
      </c>
      <c r="S474">
        <v>1</v>
      </c>
      <c r="T474" t="s">
        <v>57</v>
      </c>
      <c r="U474" t="s">
        <v>58</v>
      </c>
      <c r="V474" s="4">
        <v>0.7</v>
      </c>
      <c r="W474" s="2">
        <v>0</v>
      </c>
      <c r="X474">
        <v>0</v>
      </c>
      <c r="Y474" t="s">
        <v>70</v>
      </c>
      <c r="Z474" t="s">
        <v>60</v>
      </c>
      <c r="AA474">
        <v>0</v>
      </c>
      <c r="AB474" s="2">
        <v>0</v>
      </c>
      <c r="AC474" s="2">
        <v>0</v>
      </c>
      <c r="AD474" s="4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6.34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45915</v>
      </c>
      <c r="B475" t="s">
        <v>47</v>
      </c>
      <c r="C475">
        <v>649163</v>
      </c>
      <c r="D475">
        <v>2028048547</v>
      </c>
      <c r="E475" t="s">
        <v>974</v>
      </c>
      <c r="F475" t="s">
        <v>281</v>
      </c>
      <c r="G475" t="s">
        <v>50</v>
      </c>
      <c r="H475" t="s">
        <v>115</v>
      </c>
      <c r="I475" t="s">
        <v>106</v>
      </c>
      <c r="J475" t="s">
        <v>107</v>
      </c>
      <c r="K475">
        <v>753748</v>
      </c>
      <c r="L475" t="s">
        <v>130</v>
      </c>
      <c r="M475" t="s">
        <v>131</v>
      </c>
      <c r="N475" t="s">
        <v>1105</v>
      </c>
      <c r="O475" t="s">
        <v>56</v>
      </c>
      <c r="P475" s="1">
        <v>45748</v>
      </c>
      <c r="Q475" s="1">
        <v>45931</v>
      </c>
      <c r="R475" s="2">
        <v>326</v>
      </c>
      <c r="S475">
        <v>1</v>
      </c>
      <c r="T475" t="s">
        <v>57</v>
      </c>
      <c r="U475" t="s">
        <v>58</v>
      </c>
      <c r="V475" s="4">
        <v>0.9</v>
      </c>
      <c r="W475" s="2">
        <v>0</v>
      </c>
      <c r="X475">
        <v>0</v>
      </c>
      <c r="Y475" t="s">
        <v>70</v>
      </c>
      <c r="Z475" t="s">
        <v>60</v>
      </c>
      <c r="AA475">
        <v>0</v>
      </c>
      <c r="AB475" s="2">
        <v>0</v>
      </c>
      <c r="AC475" s="2">
        <v>0</v>
      </c>
      <c r="AD475" s="4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293.39999999999998</v>
      </c>
      <c r="AN475" s="2">
        <v>293.39999999999998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45915</v>
      </c>
      <c r="B476" t="s">
        <v>47</v>
      </c>
      <c r="C476">
        <v>649163</v>
      </c>
      <c r="D476">
        <v>2028219139</v>
      </c>
      <c r="E476" t="s">
        <v>973</v>
      </c>
      <c r="F476" t="s">
        <v>277</v>
      </c>
      <c r="G476" t="s">
        <v>50</v>
      </c>
      <c r="H476" t="s">
        <v>115</v>
      </c>
      <c r="I476" t="s">
        <v>106</v>
      </c>
      <c r="J476" t="s">
        <v>107</v>
      </c>
      <c r="K476">
        <v>753748</v>
      </c>
      <c r="L476" t="s">
        <v>130</v>
      </c>
      <c r="M476" t="s">
        <v>131</v>
      </c>
      <c r="N476" t="s">
        <v>1105</v>
      </c>
      <c r="O476" t="s">
        <v>56</v>
      </c>
      <c r="P476" s="1">
        <v>45790</v>
      </c>
      <c r="Q476" s="1">
        <v>45943</v>
      </c>
      <c r="R476" s="2">
        <v>234.5</v>
      </c>
      <c r="S476">
        <v>1</v>
      </c>
      <c r="T476" t="s">
        <v>57</v>
      </c>
      <c r="U476" t="s">
        <v>58</v>
      </c>
      <c r="V476" s="4">
        <v>0.9</v>
      </c>
      <c r="W476" s="2">
        <v>0</v>
      </c>
      <c r="X476">
        <v>0</v>
      </c>
      <c r="Y476" t="s">
        <v>70</v>
      </c>
      <c r="Z476" t="s">
        <v>60</v>
      </c>
      <c r="AA476">
        <v>0</v>
      </c>
      <c r="AB476" s="2">
        <v>0</v>
      </c>
      <c r="AC476" s="2">
        <v>0</v>
      </c>
      <c r="AD476" s="4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211.05</v>
      </c>
      <c r="AN476" s="2">
        <v>211.05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45915</v>
      </c>
      <c r="B477" t="s">
        <v>47</v>
      </c>
      <c r="C477">
        <v>649163</v>
      </c>
      <c r="D477">
        <v>2028048548</v>
      </c>
      <c r="E477" t="s">
        <v>974</v>
      </c>
      <c r="F477" t="s">
        <v>281</v>
      </c>
      <c r="G477" t="s">
        <v>50</v>
      </c>
      <c r="H477" t="s">
        <v>115</v>
      </c>
      <c r="I477" t="s">
        <v>441</v>
      </c>
      <c r="J477" t="s">
        <v>445</v>
      </c>
      <c r="K477">
        <v>753748</v>
      </c>
      <c r="L477" t="s">
        <v>130</v>
      </c>
      <c r="M477" t="s">
        <v>131</v>
      </c>
      <c r="N477" t="s">
        <v>1105</v>
      </c>
      <c r="O477" t="s">
        <v>56</v>
      </c>
      <c r="P477" s="1">
        <v>45748</v>
      </c>
      <c r="Q477" s="1">
        <v>45931</v>
      </c>
      <c r="R477" s="2">
        <v>377.72</v>
      </c>
      <c r="S477">
        <v>1</v>
      </c>
      <c r="T477" t="s">
        <v>57</v>
      </c>
      <c r="U477" t="s">
        <v>58</v>
      </c>
      <c r="V477" s="4">
        <v>0.7</v>
      </c>
      <c r="W477" s="2">
        <v>0</v>
      </c>
      <c r="X477">
        <v>0</v>
      </c>
      <c r="Y477" t="s">
        <v>70</v>
      </c>
      <c r="Z477" t="s">
        <v>60</v>
      </c>
      <c r="AA477">
        <v>0</v>
      </c>
      <c r="AB477" s="2">
        <v>0</v>
      </c>
      <c r="AC477" s="2">
        <v>0</v>
      </c>
      <c r="AD477" s="4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264.39999999999998</v>
      </c>
      <c r="AN477" s="2">
        <v>264.39999999999998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45915</v>
      </c>
      <c r="B478" t="s">
        <v>47</v>
      </c>
      <c r="C478">
        <v>649163</v>
      </c>
      <c r="D478">
        <v>2028219140</v>
      </c>
      <c r="E478" t="s">
        <v>973</v>
      </c>
      <c r="F478" t="s">
        <v>277</v>
      </c>
      <c r="G478" t="s">
        <v>50</v>
      </c>
      <c r="H478" t="s">
        <v>115</v>
      </c>
      <c r="I478" t="s">
        <v>441</v>
      </c>
      <c r="J478" t="s">
        <v>445</v>
      </c>
      <c r="K478">
        <v>753748</v>
      </c>
      <c r="L478" t="s">
        <v>130</v>
      </c>
      <c r="M478" t="s">
        <v>131</v>
      </c>
      <c r="N478" t="s">
        <v>1105</v>
      </c>
      <c r="O478" t="s">
        <v>56</v>
      </c>
      <c r="P478" s="1">
        <v>45790</v>
      </c>
      <c r="Q478" s="1">
        <v>45943</v>
      </c>
      <c r="R478" s="2">
        <v>109.9</v>
      </c>
      <c r="S478">
        <v>1</v>
      </c>
      <c r="T478" t="s">
        <v>57</v>
      </c>
      <c r="U478" t="s">
        <v>58</v>
      </c>
      <c r="V478" s="4">
        <v>0.7</v>
      </c>
      <c r="W478" s="2">
        <v>0</v>
      </c>
      <c r="X478">
        <v>0</v>
      </c>
      <c r="Y478" t="s">
        <v>70</v>
      </c>
      <c r="Z478" t="s">
        <v>60</v>
      </c>
      <c r="AA478">
        <v>0</v>
      </c>
      <c r="AB478" s="2">
        <v>0</v>
      </c>
      <c r="AC478" s="2">
        <v>0</v>
      </c>
      <c r="AD478" s="4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76.930000000000007</v>
      </c>
      <c r="AN478" s="2">
        <v>76.930000000000007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45915</v>
      </c>
      <c r="B479" t="s">
        <v>47</v>
      </c>
      <c r="C479">
        <v>649163</v>
      </c>
      <c r="D479">
        <v>2030447484</v>
      </c>
      <c r="E479" t="s">
        <v>715</v>
      </c>
      <c r="F479" t="s">
        <v>714</v>
      </c>
      <c r="G479" t="s">
        <v>50</v>
      </c>
      <c r="H479" t="s">
        <v>151</v>
      </c>
      <c r="I479" t="s">
        <v>306</v>
      </c>
      <c r="J479" t="s">
        <v>307</v>
      </c>
      <c r="K479">
        <v>753748</v>
      </c>
      <c r="L479" t="s">
        <v>130</v>
      </c>
      <c r="M479" t="s">
        <v>131</v>
      </c>
      <c r="N479" t="s">
        <v>1105</v>
      </c>
      <c r="O479" t="s">
        <v>56</v>
      </c>
      <c r="P479" s="1">
        <v>45882</v>
      </c>
      <c r="Q479" s="1">
        <v>45943</v>
      </c>
      <c r="R479" s="2">
        <v>73.17</v>
      </c>
      <c r="S479">
        <v>1</v>
      </c>
      <c r="T479" t="s">
        <v>57</v>
      </c>
      <c r="U479" t="s">
        <v>58</v>
      </c>
      <c r="V479" s="3">
        <v>0.375</v>
      </c>
      <c r="W479" s="2">
        <v>0</v>
      </c>
      <c r="X479">
        <v>0</v>
      </c>
      <c r="Y479" t="s">
        <v>70</v>
      </c>
      <c r="Z479" t="s">
        <v>60</v>
      </c>
      <c r="AA479">
        <v>0</v>
      </c>
      <c r="AB479" s="2">
        <v>0</v>
      </c>
      <c r="AC479" s="2">
        <v>0</v>
      </c>
      <c r="AD479" s="4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27.44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45915</v>
      </c>
      <c r="B480" t="s">
        <v>47</v>
      </c>
      <c r="C480">
        <v>649163</v>
      </c>
      <c r="D480">
        <v>2030447483</v>
      </c>
      <c r="E480" t="s">
        <v>715</v>
      </c>
      <c r="F480" t="s">
        <v>714</v>
      </c>
      <c r="G480" t="s">
        <v>50</v>
      </c>
      <c r="H480" t="s">
        <v>151</v>
      </c>
      <c r="I480" t="s">
        <v>441</v>
      </c>
      <c r="J480" t="s">
        <v>445</v>
      </c>
      <c r="K480">
        <v>753748</v>
      </c>
      <c r="L480" t="s">
        <v>130</v>
      </c>
      <c r="M480" t="s">
        <v>131</v>
      </c>
      <c r="N480" t="s">
        <v>1105</v>
      </c>
      <c r="O480" t="s">
        <v>56</v>
      </c>
      <c r="P480" s="1">
        <v>45882</v>
      </c>
      <c r="Q480" s="1">
        <v>45943</v>
      </c>
      <c r="R480" s="2">
        <v>10.53</v>
      </c>
      <c r="S480">
        <v>1</v>
      </c>
      <c r="T480" t="s">
        <v>57</v>
      </c>
      <c r="U480" t="s">
        <v>58</v>
      </c>
      <c r="V480" s="4">
        <v>0.7</v>
      </c>
      <c r="W480" s="2">
        <v>0</v>
      </c>
      <c r="X480">
        <v>0</v>
      </c>
      <c r="Y480" t="s">
        <v>70</v>
      </c>
      <c r="Z480" t="s">
        <v>60</v>
      </c>
      <c r="AA480">
        <v>0</v>
      </c>
      <c r="AB480" s="2">
        <v>0</v>
      </c>
      <c r="AC480" s="2">
        <v>0</v>
      </c>
      <c r="AD480" s="4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7.37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</row>
    <row r="481" spans="1:44" x14ac:dyDescent="0.25">
      <c r="A481" s="1">
        <v>45915</v>
      </c>
      <c r="B481" t="s">
        <v>47</v>
      </c>
      <c r="C481">
        <v>649163</v>
      </c>
      <c r="D481">
        <v>2030683642</v>
      </c>
      <c r="E481" t="s">
        <v>607</v>
      </c>
      <c r="F481" t="s">
        <v>606</v>
      </c>
      <c r="G481" t="s">
        <v>50</v>
      </c>
      <c r="H481" t="s">
        <v>151</v>
      </c>
      <c r="I481" t="s">
        <v>441</v>
      </c>
      <c r="J481" t="s">
        <v>445</v>
      </c>
      <c r="K481">
        <v>753748</v>
      </c>
      <c r="L481" t="s">
        <v>130</v>
      </c>
      <c r="M481" t="s">
        <v>131</v>
      </c>
      <c r="N481" t="s">
        <v>1105</v>
      </c>
      <c r="O481" t="s">
        <v>230</v>
      </c>
      <c r="P481" s="1">
        <v>45901</v>
      </c>
      <c r="Q481" s="1">
        <v>45931</v>
      </c>
      <c r="R481" s="2">
        <v>-74.03</v>
      </c>
      <c r="S481">
        <v>1</v>
      </c>
      <c r="T481" t="s">
        <v>57</v>
      </c>
      <c r="U481" t="s">
        <v>58</v>
      </c>
      <c r="V481" s="4">
        <v>0.7</v>
      </c>
      <c r="W481" s="2">
        <v>0</v>
      </c>
      <c r="X481">
        <v>-1</v>
      </c>
      <c r="Y481" t="s">
        <v>70</v>
      </c>
      <c r="Z481" t="s">
        <v>60</v>
      </c>
      <c r="AA481">
        <v>0</v>
      </c>
      <c r="AB481" s="2">
        <v>0</v>
      </c>
      <c r="AC481" s="2">
        <v>0</v>
      </c>
      <c r="AD481" s="4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-51.82</v>
      </c>
      <c r="AN481" s="2">
        <v>-51.82</v>
      </c>
      <c r="AO481" s="2">
        <v>0</v>
      </c>
      <c r="AP481" s="2">
        <v>0</v>
      </c>
      <c r="AQ481" s="2">
        <v>0</v>
      </c>
    </row>
    <row r="482" spans="1:44" x14ac:dyDescent="0.25">
      <c r="A482" s="1">
        <v>45915</v>
      </c>
      <c r="B482" t="s">
        <v>602</v>
      </c>
      <c r="C482">
        <v>649163</v>
      </c>
      <c r="D482">
        <v>2030683642</v>
      </c>
      <c r="E482" t="s">
        <v>607</v>
      </c>
      <c r="F482" t="s">
        <v>606</v>
      </c>
      <c r="G482" t="s">
        <v>50</v>
      </c>
      <c r="I482" t="s">
        <v>441</v>
      </c>
      <c r="J482" t="s">
        <v>445</v>
      </c>
      <c r="K482">
        <v>649163</v>
      </c>
      <c r="L482" t="s">
        <v>130</v>
      </c>
      <c r="M482" t="s">
        <v>131</v>
      </c>
      <c r="N482" t="s">
        <v>1105</v>
      </c>
      <c r="O482" t="s">
        <v>230</v>
      </c>
      <c r="P482" s="1">
        <v>45901</v>
      </c>
      <c r="R482" s="2">
        <v>0</v>
      </c>
      <c r="AB482" s="2">
        <v>423.99</v>
      </c>
      <c r="AC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70.67</v>
      </c>
      <c r="AN482" s="2">
        <v>-353.32</v>
      </c>
      <c r="AO482" s="2">
        <v>-353.32</v>
      </c>
      <c r="AP482" s="2">
        <v>0</v>
      </c>
      <c r="AQ482" s="2">
        <v>0</v>
      </c>
      <c r="AR482" t="s">
        <v>605</v>
      </c>
    </row>
    <row r="483" spans="1:44" x14ac:dyDescent="0.25">
      <c r="A483" s="1">
        <v>45922</v>
      </c>
      <c r="B483" t="s">
        <v>47</v>
      </c>
      <c r="C483">
        <v>649163</v>
      </c>
      <c r="D483">
        <v>2030583042</v>
      </c>
      <c r="E483" t="s">
        <v>403</v>
      </c>
      <c r="F483" t="s">
        <v>404</v>
      </c>
      <c r="G483" t="s">
        <v>50</v>
      </c>
      <c r="H483" t="s">
        <v>405</v>
      </c>
      <c r="I483" t="s">
        <v>306</v>
      </c>
      <c r="J483" t="s">
        <v>307</v>
      </c>
      <c r="K483">
        <v>820140</v>
      </c>
      <c r="L483" t="s">
        <v>406</v>
      </c>
      <c r="M483" t="s">
        <v>95</v>
      </c>
      <c r="N483" t="s">
        <v>1119</v>
      </c>
      <c r="O483" t="s">
        <v>56</v>
      </c>
      <c r="P483" s="1">
        <v>45889</v>
      </c>
      <c r="Q483" s="1">
        <v>45950</v>
      </c>
      <c r="R483" s="2">
        <v>123.26</v>
      </c>
      <c r="S483">
        <v>1</v>
      </c>
      <c r="T483" t="s">
        <v>57</v>
      </c>
      <c r="U483" t="s">
        <v>58</v>
      </c>
      <c r="V483" s="3">
        <v>9.5000000000000001E-2</v>
      </c>
      <c r="W483" s="2">
        <v>0</v>
      </c>
      <c r="X483">
        <v>0</v>
      </c>
      <c r="Y483" t="s">
        <v>70</v>
      </c>
      <c r="Z483" t="s">
        <v>60</v>
      </c>
      <c r="AA483">
        <v>0</v>
      </c>
      <c r="AB483" s="2">
        <v>0</v>
      </c>
      <c r="AC483" s="2">
        <v>0</v>
      </c>
      <c r="AD483" s="4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11.71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</row>
    <row r="484" spans="1:44" x14ac:dyDescent="0.25">
      <c r="A484" s="1">
        <v>45922</v>
      </c>
      <c r="B484" t="s">
        <v>47</v>
      </c>
      <c r="C484">
        <v>649163</v>
      </c>
      <c r="D484">
        <v>2030583041</v>
      </c>
      <c r="E484" t="s">
        <v>403</v>
      </c>
      <c r="F484" t="s">
        <v>404</v>
      </c>
      <c r="G484" t="s">
        <v>50</v>
      </c>
      <c r="H484" t="s">
        <v>405</v>
      </c>
      <c r="I484" t="s">
        <v>441</v>
      </c>
      <c r="J484" t="s">
        <v>445</v>
      </c>
      <c r="K484">
        <v>820140</v>
      </c>
      <c r="L484" t="s">
        <v>406</v>
      </c>
      <c r="M484" t="s">
        <v>95</v>
      </c>
      <c r="N484" t="s">
        <v>1119</v>
      </c>
      <c r="O484" t="s">
        <v>56</v>
      </c>
      <c r="P484" s="1">
        <v>45889</v>
      </c>
      <c r="Q484" s="1">
        <v>45950</v>
      </c>
      <c r="R484" s="2">
        <v>11.5</v>
      </c>
      <c r="S484">
        <v>1</v>
      </c>
      <c r="T484" t="s">
        <v>57</v>
      </c>
      <c r="U484" t="s">
        <v>58</v>
      </c>
      <c r="V484" s="4">
        <v>0.3</v>
      </c>
      <c r="W484" s="2">
        <v>0</v>
      </c>
      <c r="X484">
        <v>0</v>
      </c>
      <c r="Y484" t="s">
        <v>70</v>
      </c>
      <c r="Z484" t="s">
        <v>60</v>
      </c>
      <c r="AA484">
        <v>0</v>
      </c>
      <c r="AB484" s="2">
        <v>0</v>
      </c>
      <c r="AC484" s="2">
        <v>0</v>
      </c>
      <c r="AD484" s="4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3.45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</row>
    <row r="485" spans="1:44" x14ac:dyDescent="0.25">
      <c r="A485" s="1">
        <v>45915</v>
      </c>
      <c r="B485" t="s">
        <v>47</v>
      </c>
      <c r="C485">
        <v>649163</v>
      </c>
      <c r="D485">
        <v>2028942144</v>
      </c>
      <c r="E485" t="s">
        <v>952</v>
      </c>
      <c r="F485" t="s">
        <v>951</v>
      </c>
      <c r="G485" t="s">
        <v>50</v>
      </c>
      <c r="H485" t="s">
        <v>405</v>
      </c>
      <c r="I485" t="s">
        <v>441</v>
      </c>
      <c r="J485" t="s">
        <v>445</v>
      </c>
      <c r="K485">
        <v>820140</v>
      </c>
      <c r="L485" t="s">
        <v>406</v>
      </c>
      <c r="M485" t="s">
        <v>95</v>
      </c>
      <c r="N485" t="s">
        <v>1119</v>
      </c>
      <c r="O485" t="s">
        <v>56</v>
      </c>
      <c r="P485" s="1">
        <v>45792</v>
      </c>
      <c r="Q485" s="1">
        <v>45945</v>
      </c>
      <c r="R485" s="2">
        <v>31.6</v>
      </c>
      <c r="S485">
        <v>1</v>
      </c>
      <c r="T485" t="s">
        <v>57</v>
      </c>
      <c r="U485" t="s">
        <v>58</v>
      </c>
      <c r="V485" s="4">
        <v>0.3</v>
      </c>
      <c r="W485" s="2">
        <v>0</v>
      </c>
      <c r="X485">
        <v>0</v>
      </c>
      <c r="Y485" t="s">
        <v>70</v>
      </c>
      <c r="Z485" t="s">
        <v>60</v>
      </c>
      <c r="AA485">
        <v>0</v>
      </c>
      <c r="AB485" s="2">
        <v>0</v>
      </c>
      <c r="AC485" s="2">
        <v>0</v>
      </c>
      <c r="AD485" s="4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9.48</v>
      </c>
      <c r="AN485" s="2">
        <v>9.48</v>
      </c>
      <c r="AO485" s="2">
        <v>0</v>
      </c>
      <c r="AP485" s="2">
        <v>0</v>
      </c>
      <c r="AQ485" s="2">
        <v>0</v>
      </c>
    </row>
    <row r="486" spans="1:44" x14ac:dyDescent="0.25">
      <c r="A486" s="1">
        <v>45915</v>
      </c>
      <c r="B486" t="s">
        <v>47</v>
      </c>
      <c r="C486">
        <v>649163</v>
      </c>
      <c r="D486">
        <v>2029973108</v>
      </c>
      <c r="E486" t="s">
        <v>826</v>
      </c>
      <c r="F486" t="s">
        <v>303</v>
      </c>
      <c r="G486" t="s">
        <v>50</v>
      </c>
      <c r="H486" t="s">
        <v>405</v>
      </c>
      <c r="I486" t="s">
        <v>441</v>
      </c>
      <c r="J486" t="s">
        <v>445</v>
      </c>
      <c r="K486">
        <v>820140</v>
      </c>
      <c r="L486" t="s">
        <v>406</v>
      </c>
      <c r="M486" t="s">
        <v>95</v>
      </c>
      <c r="N486" t="s">
        <v>1119</v>
      </c>
      <c r="O486" t="s">
        <v>56</v>
      </c>
      <c r="P486" s="1">
        <v>45854</v>
      </c>
      <c r="Q486" s="1">
        <v>45946</v>
      </c>
      <c r="R486" s="2">
        <v>19</v>
      </c>
      <c r="S486">
        <v>1</v>
      </c>
      <c r="T486" t="s">
        <v>57</v>
      </c>
      <c r="U486" t="s">
        <v>58</v>
      </c>
      <c r="V486" s="4">
        <v>0.3</v>
      </c>
      <c r="W486" s="2">
        <v>0</v>
      </c>
      <c r="X486">
        <v>0</v>
      </c>
      <c r="Y486" t="s">
        <v>70</v>
      </c>
      <c r="Z486" t="s">
        <v>60</v>
      </c>
      <c r="AA486">
        <v>0</v>
      </c>
      <c r="AB486" s="2">
        <v>0</v>
      </c>
      <c r="AC486" s="2">
        <v>0</v>
      </c>
      <c r="AD486" s="4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5.7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</row>
    <row r="487" spans="1:44" x14ac:dyDescent="0.25">
      <c r="A487" s="1">
        <v>45915</v>
      </c>
      <c r="B487" t="s">
        <v>47</v>
      </c>
      <c r="C487">
        <v>649163</v>
      </c>
      <c r="D487">
        <v>2029973107</v>
      </c>
      <c r="E487" t="s">
        <v>826</v>
      </c>
      <c r="F487" t="s">
        <v>303</v>
      </c>
      <c r="G487" t="s">
        <v>50</v>
      </c>
      <c r="H487" t="s">
        <v>405</v>
      </c>
      <c r="I487" t="s">
        <v>306</v>
      </c>
      <c r="J487" t="s">
        <v>307</v>
      </c>
      <c r="K487">
        <v>820140</v>
      </c>
      <c r="L487" t="s">
        <v>406</v>
      </c>
      <c r="M487" t="s">
        <v>95</v>
      </c>
      <c r="N487" t="s">
        <v>1119</v>
      </c>
      <c r="O487" t="s">
        <v>56</v>
      </c>
      <c r="P487" s="1">
        <v>45854</v>
      </c>
      <c r="Q487" s="1">
        <v>45946</v>
      </c>
      <c r="R487" s="2">
        <v>44.56</v>
      </c>
      <c r="S487">
        <v>1</v>
      </c>
      <c r="T487" t="s">
        <v>57</v>
      </c>
      <c r="U487" t="s">
        <v>58</v>
      </c>
      <c r="V487" s="3">
        <v>9.5000000000000001E-2</v>
      </c>
      <c r="W487" s="2">
        <v>0</v>
      </c>
      <c r="X487">
        <v>0</v>
      </c>
      <c r="Y487" t="s">
        <v>70</v>
      </c>
      <c r="Z487" t="s">
        <v>60</v>
      </c>
      <c r="AA487">
        <v>0</v>
      </c>
      <c r="AB487" s="2">
        <v>0</v>
      </c>
      <c r="AC487" s="2">
        <v>0</v>
      </c>
      <c r="AD487" s="4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4.2300000000000004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</row>
    <row r="488" spans="1:44" x14ac:dyDescent="0.25">
      <c r="A488" s="1">
        <v>45922</v>
      </c>
      <c r="B488" t="s">
        <v>47</v>
      </c>
      <c r="C488">
        <v>649163</v>
      </c>
      <c r="D488">
        <v>2026650736</v>
      </c>
      <c r="E488" t="s">
        <v>350</v>
      </c>
      <c r="F488" t="s">
        <v>351</v>
      </c>
      <c r="G488" t="s">
        <v>50</v>
      </c>
      <c r="H488" t="s">
        <v>93</v>
      </c>
      <c r="I488" t="s">
        <v>306</v>
      </c>
      <c r="J488" t="s">
        <v>307</v>
      </c>
      <c r="K488">
        <v>766747</v>
      </c>
      <c r="L488" t="s">
        <v>352</v>
      </c>
      <c r="M488" t="s">
        <v>49</v>
      </c>
      <c r="N488" t="s">
        <v>1088</v>
      </c>
      <c r="O488" t="s">
        <v>56</v>
      </c>
      <c r="P488" s="1">
        <v>45677</v>
      </c>
      <c r="Q488" s="1">
        <v>45950</v>
      </c>
      <c r="R488" s="2">
        <v>150.44999999999999</v>
      </c>
      <c r="S488">
        <v>1</v>
      </c>
      <c r="T488" t="s">
        <v>57</v>
      </c>
      <c r="U488" t="s">
        <v>58</v>
      </c>
      <c r="V488" s="3">
        <v>0.375</v>
      </c>
      <c r="W488" s="2">
        <v>0</v>
      </c>
      <c r="X488">
        <v>0</v>
      </c>
      <c r="Y488" t="s">
        <v>70</v>
      </c>
      <c r="Z488" t="s">
        <v>60</v>
      </c>
      <c r="AA488">
        <v>0</v>
      </c>
      <c r="AB488" s="2">
        <v>0</v>
      </c>
      <c r="AC488" s="2">
        <v>0</v>
      </c>
      <c r="AD488" s="4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56.42</v>
      </c>
      <c r="AN488" s="2">
        <v>56.42</v>
      </c>
      <c r="AO488" s="2">
        <v>0</v>
      </c>
      <c r="AP488" s="2">
        <v>0</v>
      </c>
      <c r="AQ488" s="2">
        <v>0</v>
      </c>
    </row>
    <row r="489" spans="1:44" x14ac:dyDescent="0.25">
      <c r="A489" s="1">
        <v>45922</v>
      </c>
      <c r="B489" t="s">
        <v>47</v>
      </c>
      <c r="C489">
        <v>649163</v>
      </c>
      <c r="D489">
        <v>2026650737</v>
      </c>
      <c r="E489" t="s">
        <v>350</v>
      </c>
      <c r="F489" t="s">
        <v>351</v>
      </c>
      <c r="G489" t="s">
        <v>50</v>
      </c>
      <c r="H489" t="s">
        <v>93</v>
      </c>
      <c r="I489" t="s">
        <v>441</v>
      </c>
      <c r="J489" t="s">
        <v>445</v>
      </c>
      <c r="K489">
        <v>766747</v>
      </c>
      <c r="L489" t="s">
        <v>352</v>
      </c>
      <c r="M489" t="s">
        <v>49</v>
      </c>
      <c r="N489" t="s">
        <v>1088</v>
      </c>
      <c r="O489" t="s">
        <v>56</v>
      </c>
      <c r="P489" s="1">
        <v>45677</v>
      </c>
      <c r="Q489" s="1">
        <v>45950</v>
      </c>
      <c r="R489" s="2">
        <v>15.75</v>
      </c>
      <c r="S489">
        <v>1</v>
      </c>
      <c r="T489" t="s">
        <v>57</v>
      </c>
      <c r="U489" t="s">
        <v>58</v>
      </c>
      <c r="V489" s="4">
        <v>0.7</v>
      </c>
      <c r="W489" s="2">
        <v>0</v>
      </c>
      <c r="X489">
        <v>0</v>
      </c>
      <c r="Y489" t="s">
        <v>70</v>
      </c>
      <c r="Z489" t="s">
        <v>60</v>
      </c>
      <c r="AA489">
        <v>0</v>
      </c>
      <c r="AB489" s="2">
        <v>0</v>
      </c>
      <c r="AC489" s="2">
        <v>0</v>
      </c>
      <c r="AD489" s="4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11.02</v>
      </c>
      <c r="AN489" s="2">
        <v>11.02</v>
      </c>
      <c r="AO489" s="2">
        <v>0</v>
      </c>
      <c r="AP489" s="2">
        <v>0</v>
      </c>
      <c r="AQ489" s="2">
        <v>0</v>
      </c>
    </row>
    <row r="490" spans="1:44" x14ac:dyDescent="0.25">
      <c r="A490" s="1">
        <v>45915</v>
      </c>
      <c r="B490" t="s">
        <v>47</v>
      </c>
      <c r="C490">
        <v>649163</v>
      </c>
      <c r="D490">
        <v>2025305259</v>
      </c>
      <c r="E490" t="s">
        <v>1025</v>
      </c>
      <c r="F490" t="s">
        <v>630</v>
      </c>
      <c r="G490" t="s">
        <v>50</v>
      </c>
      <c r="H490" t="s">
        <v>93</v>
      </c>
      <c r="I490" t="s">
        <v>306</v>
      </c>
      <c r="J490" t="s">
        <v>307</v>
      </c>
      <c r="K490">
        <v>766747</v>
      </c>
      <c r="L490" t="s">
        <v>352</v>
      </c>
      <c r="M490" t="s">
        <v>49</v>
      </c>
      <c r="N490" t="s">
        <v>1088</v>
      </c>
      <c r="O490" t="s">
        <v>56</v>
      </c>
      <c r="P490" s="1">
        <v>45602</v>
      </c>
      <c r="Q490" s="1">
        <v>45936</v>
      </c>
      <c r="R490" s="2">
        <v>-7.93</v>
      </c>
      <c r="S490">
        <v>1</v>
      </c>
      <c r="T490" t="s">
        <v>57</v>
      </c>
      <c r="U490" t="s">
        <v>58</v>
      </c>
      <c r="V490" s="3">
        <v>0.375</v>
      </c>
      <c r="W490" s="2">
        <v>0</v>
      </c>
      <c r="X490">
        <v>-1</v>
      </c>
      <c r="Y490" t="s">
        <v>70</v>
      </c>
      <c r="Z490" t="s">
        <v>60</v>
      </c>
      <c r="AA490">
        <v>0</v>
      </c>
      <c r="AB490" s="2">
        <v>0</v>
      </c>
      <c r="AC490" s="2">
        <v>0</v>
      </c>
      <c r="AD490" s="4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-2.97</v>
      </c>
      <c r="AN490" s="2">
        <v>-2.97</v>
      </c>
      <c r="AO490" s="2">
        <v>0</v>
      </c>
      <c r="AP490" s="2">
        <v>0</v>
      </c>
      <c r="AQ490" s="2">
        <v>0</v>
      </c>
    </row>
    <row r="491" spans="1:44" x14ac:dyDescent="0.25">
      <c r="A491" s="1">
        <v>45915</v>
      </c>
      <c r="B491" t="s">
        <v>47</v>
      </c>
      <c r="C491">
        <v>649163</v>
      </c>
      <c r="D491">
        <v>2025305258</v>
      </c>
      <c r="E491" t="s">
        <v>1025</v>
      </c>
      <c r="F491" t="s">
        <v>630</v>
      </c>
      <c r="G491" t="s">
        <v>50</v>
      </c>
      <c r="H491" t="s">
        <v>93</v>
      </c>
      <c r="I491" t="s">
        <v>441</v>
      </c>
      <c r="J491" t="s">
        <v>445</v>
      </c>
      <c r="K491">
        <v>766747</v>
      </c>
      <c r="L491" t="s">
        <v>352</v>
      </c>
      <c r="M491" t="s">
        <v>49</v>
      </c>
      <c r="N491" t="s">
        <v>1088</v>
      </c>
      <c r="O491" t="s">
        <v>56</v>
      </c>
      <c r="P491" s="1">
        <v>45602</v>
      </c>
      <c r="Q491" s="1">
        <v>45936</v>
      </c>
      <c r="R491" s="2">
        <v>-12.13</v>
      </c>
      <c r="S491">
        <v>1</v>
      </c>
      <c r="T491" t="s">
        <v>57</v>
      </c>
      <c r="U491" t="s">
        <v>58</v>
      </c>
      <c r="V491" s="4">
        <v>0.7</v>
      </c>
      <c r="W491" s="2">
        <v>0</v>
      </c>
      <c r="X491">
        <v>-1</v>
      </c>
      <c r="Y491" t="s">
        <v>70</v>
      </c>
      <c r="Z491" t="s">
        <v>60</v>
      </c>
      <c r="AA491">
        <v>0</v>
      </c>
      <c r="AB491" s="2">
        <v>0</v>
      </c>
      <c r="AC491" s="2">
        <v>0</v>
      </c>
      <c r="AD491" s="4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-8.49</v>
      </c>
      <c r="AN491" s="2">
        <v>-8.49</v>
      </c>
      <c r="AO491" s="2">
        <v>0</v>
      </c>
      <c r="AP491" s="2">
        <v>0</v>
      </c>
      <c r="AQ491" s="2">
        <v>0</v>
      </c>
    </row>
    <row r="492" spans="1:44" x14ac:dyDescent="0.25">
      <c r="A492" s="1">
        <v>45922</v>
      </c>
      <c r="B492" t="s">
        <v>47</v>
      </c>
      <c r="C492">
        <v>649163</v>
      </c>
      <c r="D492">
        <v>2024485179</v>
      </c>
      <c r="E492" t="s">
        <v>462</v>
      </c>
      <c r="F492" t="s">
        <v>49</v>
      </c>
      <c r="G492" t="s">
        <v>50</v>
      </c>
      <c r="H492" t="s">
        <v>93</v>
      </c>
      <c r="I492" t="s">
        <v>441</v>
      </c>
      <c r="J492" t="s">
        <v>445</v>
      </c>
      <c r="K492">
        <v>782049</v>
      </c>
      <c r="L492" t="s">
        <v>462</v>
      </c>
      <c r="M492" t="s">
        <v>49</v>
      </c>
      <c r="N492" t="s">
        <v>1121</v>
      </c>
      <c r="O492" t="s">
        <v>56</v>
      </c>
      <c r="P492" s="1">
        <v>45525</v>
      </c>
      <c r="Q492" s="1">
        <v>45951</v>
      </c>
      <c r="R492" s="2">
        <v>27.5</v>
      </c>
      <c r="S492">
        <v>1</v>
      </c>
      <c r="T492" t="s">
        <v>57</v>
      </c>
      <c r="U492" t="s">
        <v>58</v>
      </c>
      <c r="V492" s="4">
        <v>0.15</v>
      </c>
      <c r="W492" s="2">
        <v>0</v>
      </c>
      <c r="X492">
        <v>0</v>
      </c>
      <c r="Y492" t="s">
        <v>59</v>
      </c>
      <c r="Z492" t="s">
        <v>60</v>
      </c>
      <c r="AA492">
        <v>0</v>
      </c>
      <c r="AB492" s="2">
        <v>0</v>
      </c>
      <c r="AC492" s="2">
        <v>0</v>
      </c>
      <c r="AD492" s="4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4.12</v>
      </c>
      <c r="AN492" s="2">
        <v>4.12</v>
      </c>
      <c r="AO492" s="2">
        <v>0</v>
      </c>
      <c r="AP492" s="2">
        <v>0</v>
      </c>
      <c r="AQ492" s="2">
        <v>0</v>
      </c>
    </row>
    <row r="493" spans="1:44" x14ac:dyDescent="0.25">
      <c r="A493" s="1">
        <v>45922</v>
      </c>
      <c r="B493" t="s">
        <v>47</v>
      </c>
      <c r="C493">
        <v>649163</v>
      </c>
      <c r="D493">
        <v>2025418184</v>
      </c>
      <c r="E493" t="s">
        <v>465</v>
      </c>
      <c r="F493" t="s">
        <v>466</v>
      </c>
      <c r="G493" t="s">
        <v>50</v>
      </c>
      <c r="H493" t="s">
        <v>93</v>
      </c>
      <c r="I493" t="s">
        <v>441</v>
      </c>
      <c r="J493" t="s">
        <v>445</v>
      </c>
      <c r="K493">
        <v>807212</v>
      </c>
      <c r="L493" t="s">
        <v>467</v>
      </c>
      <c r="M493" t="s">
        <v>468</v>
      </c>
      <c r="N493" t="s">
        <v>1087</v>
      </c>
      <c r="O493" t="s">
        <v>56</v>
      </c>
      <c r="P493" s="1">
        <v>45587</v>
      </c>
      <c r="Q493" s="1">
        <v>45952</v>
      </c>
      <c r="R493" s="2">
        <v>11.5</v>
      </c>
      <c r="S493">
        <v>1</v>
      </c>
      <c r="T493" t="s">
        <v>57</v>
      </c>
      <c r="U493" t="s">
        <v>58</v>
      </c>
      <c r="V493" s="4">
        <v>0.7</v>
      </c>
      <c r="W493" s="2">
        <v>0</v>
      </c>
      <c r="X493">
        <v>0</v>
      </c>
      <c r="Y493" t="s">
        <v>70</v>
      </c>
      <c r="Z493" t="s">
        <v>60</v>
      </c>
      <c r="AA493">
        <v>0</v>
      </c>
      <c r="AB493" s="2">
        <v>0</v>
      </c>
      <c r="AC493" s="2">
        <v>0</v>
      </c>
      <c r="AD493" s="4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8.0500000000000007</v>
      </c>
      <c r="AN493" s="2">
        <v>8.0500000000000007</v>
      </c>
      <c r="AO493" s="2">
        <v>0</v>
      </c>
      <c r="AP493" s="2">
        <v>0</v>
      </c>
      <c r="AQ493" s="2">
        <v>0</v>
      </c>
    </row>
    <row r="494" spans="1:44" x14ac:dyDescent="0.25">
      <c r="A494" s="1">
        <v>45922</v>
      </c>
      <c r="B494" t="s">
        <v>47</v>
      </c>
      <c r="C494">
        <v>649163</v>
      </c>
      <c r="D494">
        <v>2025847603</v>
      </c>
      <c r="E494" t="s">
        <v>472</v>
      </c>
      <c r="F494" t="s">
        <v>473</v>
      </c>
      <c r="G494" t="s">
        <v>50</v>
      </c>
      <c r="H494" t="s">
        <v>93</v>
      </c>
      <c r="I494" t="s">
        <v>441</v>
      </c>
      <c r="J494" t="s">
        <v>445</v>
      </c>
      <c r="K494">
        <v>807212</v>
      </c>
      <c r="L494" t="s">
        <v>467</v>
      </c>
      <c r="M494" t="s">
        <v>468</v>
      </c>
      <c r="N494" t="s">
        <v>1087</v>
      </c>
      <c r="O494" t="s">
        <v>56</v>
      </c>
      <c r="P494" s="1">
        <v>45617</v>
      </c>
      <c r="Q494" s="1">
        <v>45951</v>
      </c>
      <c r="R494" s="2">
        <v>46.08</v>
      </c>
      <c r="S494">
        <v>1</v>
      </c>
      <c r="T494" t="s">
        <v>57</v>
      </c>
      <c r="U494" t="s">
        <v>58</v>
      </c>
      <c r="V494" s="4">
        <v>0.7</v>
      </c>
      <c r="W494" s="2">
        <v>0</v>
      </c>
      <c r="X494">
        <v>0</v>
      </c>
      <c r="Y494" t="s">
        <v>70</v>
      </c>
      <c r="Z494" t="s">
        <v>60</v>
      </c>
      <c r="AA494">
        <v>0</v>
      </c>
      <c r="AB494" s="2">
        <v>0</v>
      </c>
      <c r="AC494" s="2">
        <v>0</v>
      </c>
      <c r="AD494" s="4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32.26</v>
      </c>
      <c r="AN494" s="2">
        <v>32.26</v>
      </c>
      <c r="AO494" s="2">
        <v>0</v>
      </c>
      <c r="AP494" s="2">
        <v>0</v>
      </c>
      <c r="AQ494" s="2">
        <v>0</v>
      </c>
    </row>
    <row r="495" spans="1:44" x14ac:dyDescent="0.25">
      <c r="A495" s="1">
        <v>45922</v>
      </c>
      <c r="B495" t="s">
        <v>47</v>
      </c>
      <c r="C495">
        <v>649163</v>
      </c>
      <c r="D495">
        <v>2025895058</v>
      </c>
      <c r="E495" t="s">
        <v>474</v>
      </c>
      <c r="F495" t="s">
        <v>475</v>
      </c>
      <c r="G495" t="s">
        <v>50</v>
      </c>
      <c r="H495" t="s">
        <v>93</v>
      </c>
      <c r="I495" t="s">
        <v>441</v>
      </c>
      <c r="J495" t="s">
        <v>445</v>
      </c>
      <c r="K495">
        <v>807212</v>
      </c>
      <c r="L495" t="s">
        <v>467</v>
      </c>
      <c r="M495" t="s">
        <v>468</v>
      </c>
      <c r="N495" t="s">
        <v>1087</v>
      </c>
      <c r="O495" t="s">
        <v>56</v>
      </c>
      <c r="P495" s="1">
        <v>45619</v>
      </c>
      <c r="Q495" s="1">
        <v>45953</v>
      </c>
      <c r="R495" s="2">
        <v>49.92</v>
      </c>
      <c r="S495">
        <v>1</v>
      </c>
      <c r="T495" t="s">
        <v>57</v>
      </c>
      <c r="U495" t="s">
        <v>58</v>
      </c>
      <c r="V495" s="4">
        <v>0.7</v>
      </c>
      <c r="W495" s="2">
        <v>0</v>
      </c>
      <c r="X495">
        <v>0</v>
      </c>
      <c r="Y495" t="s">
        <v>70</v>
      </c>
      <c r="Z495" t="s">
        <v>60</v>
      </c>
      <c r="AA495">
        <v>0</v>
      </c>
      <c r="AB495" s="2">
        <v>0</v>
      </c>
      <c r="AC495" s="2">
        <v>0</v>
      </c>
      <c r="AD495" s="4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34.94</v>
      </c>
      <c r="AN495" s="2">
        <v>34.94</v>
      </c>
      <c r="AO495" s="2">
        <v>0</v>
      </c>
      <c r="AP495" s="2">
        <v>0</v>
      </c>
      <c r="AQ495" s="2">
        <v>0</v>
      </c>
    </row>
    <row r="496" spans="1:44" x14ac:dyDescent="0.25">
      <c r="A496" s="1">
        <v>45922</v>
      </c>
      <c r="B496" t="s">
        <v>47</v>
      </c>
      <c r="C496">
        <v>649163</v>
      </c>
      <c r="D496">
        <v>2026263730</v>
      </c>
      <c r="E496" t="s">
        <v>476</v>
      </c>
      <c r="F496" t="s">
        <v>477</v>
      </c>
      <c r="G496" t="s">
        <v>50</v>
      </c>
      <c r="H496" t="s">
        <v>93</v>
      </c>
      <c r="I496" t="s">
        <v>441</v>
      </c>
      <c r="J496" t="s">
        <v>445</v>
      </c>
      <c r="K496">
        <v>807212</v>
      </c>
      <c r="L496" t="s">
        <v>467</v>
      </c>
      <c r="M496" t="s">
        <v>468</v>
      </c>
      <c r="N496" t="s">
        <v>1087</v>
      </c>
      <c r="O496" t="s">
        <v>56</v>
      </c>
      <c r="P496" s="1">
        <v>45647</v>
      </c>
      <c r="Q496" s="1">
        <v>45951</v>
      </c>
      <c r="R496" s="2">
        <v>126.92</v>
      </c>
      <c r="S496">
        <v>1</v>
      </c>
      <c r="T496" t="s">
        <v>57</v>
      </c>
      <c r="U496" t="s">
        <v>58</v>
      </c>
      <c r="V496" s="4">
        <v>0.7</v>
      </c>
      <c r="W496" s="2">
        <v>0</v>
      </c>
      <c r="X496">
        <v>0</v>
      </c>
      <c r="Y496" t="s">
        <v>70</v>
      </c>
      <c r="Z496" t="s">
        <v>60</v>
      </c>
      <c r="AA496">
        <v>0</v>
      </c>
      <c r="AB496" s="2">
        <v>0</v>
      </c>
      <c r="AC496" s="2">
        <v>0</v>
      </c>
      <c r="AD496" s="4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88.84</v>
      </c>
      <c r="AN496" s="2">
        <v>88.84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45922</v>
      </c>
      <c r="B497" t="s">
        <v>47</v>
      </c>
      <c r="C497">
        <v>649163</v>
      </c>
      <c r="D497">
        <v>2028917635</v>
      </c>
      <c r="E497" t="s">
        <v>493</v>
      </c>
      <c r="F497" t="s">
        <v>494</v>
      </c>
      <c r="G497" t="s">
        <v>50</v>
      </c>
      <c r="H497" t="s">
        <v>93</v>
      </c>
      <c r="I497" t="s">
        <v>441</v>
      </c>
      <c r="J497" t="s">
        <v>451</v>
      </c>
      <c r="K497">
        <v>807212</v>
      </c>
      <c r="L497" t="s">
        <v>467</v>
      </c>
      <c r="M497" t="s">
        <v>468</v>
      </c>
      <c r="N497" t="s">
        <v>1087</v>
      </c>
      <c r="O497" t="s">
        <v>56</v>
      </c>
      <c r="P497" s="1">
        <v>45791</v>
      </c>
      <c r="Q497" s="1">
        <v>45944</v>
      </c>
      <c r="R497" s="2">
        <v>-30.09</v>
      </c>
      <c r="S497">
        <v>1</v>
      </c>
      <c r="T497" t="s">
        <v>57</v>
      </c>
      <c r="U497" t="s">
        <v>58</v>
      </c>
      <c r="V497" s="4">
        <v>0.42</v>
      </c>
      <c r="W497" s="2">
        <v>0</v>
      </c>
      <c r="X497">
        <v>-1</v>
      </c>
      <c r="Y497" t="s">
        <v>70</v>
      </c>
      <c r="Z497" t="s">
        <v>60</v>
      </c>
      <c r="AA497">
        <v>0</v>
      </c>
      <c r="AB497" s="2">
        <v>0</v>
      </c>
      <c r="AC497" s="2">
        <v>0</v>
      </c>
      <c r="AD497" s="4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-12.64</v>
      </c>
      <c r="AN497" s="2">
        <v>-12.64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45922</v>
      </c>
      <c r="B498" t="s">
        <v>47</v>
      </c>
      <c r="C498">
        <v>649163</v>
      </c>
      <c r="D498">
        <v>2028917636</v>
      </c>
      <c r="E498" t="s">
        <v>493</v>
      </c>
      <c r="F498" t="s">
        <v>494</v>
      </c>
      <c r="G498" t="s">
        <v>50</v>
      </c>
      <c r="H498" t="s">
        <v>93</v>
      </c>
      <c r="I498" t="s">
        <v>441</v>
      </c>
      <c r="J498" t="s">
        <v>445</v>
      </c>
      <c r="K498">
        <v>807212</v>
      </c>
      <c r="L498" t="s">
        <v>467</v>
      </c>
      <c r="M498" t="s">
        <v>468</v>
      </c>
      <c r="N498" t="s">
        <v>1087</v>
      </c>
      <c r="O498" t="s">
        <v>56</v>
      </c>
      <c r="P498" s="1">
        <v>45791</v>
      </c>
      <c r="Q498" s="1">
        <v>45944</v>
      </c>
      <c r="R498" s="2">
        <v>-59.4</v>
      </c>
      <c r="S498">
        <v>1</v>
      </c>
      <c r="T498" t="s">
        <v>57</v>
      </c>
      <c r="U498" t="s">
        <v>58</v>
      </c>
      <c r="V498" s="4">
        <v>0.7</v>
      </c>
      <c r="W498" s="2">
        <v>0</v>
      </c>
      <c r="X498">
        <v>-1</v>
      </c>
      <c r="Y498" t="s">
        <v>70</v>
      </c>
      <c r="Z498" t="s">
        <v>60</v>
      </c>
      <c r="AA498">
        <v>0</v>
      </c>
      <c r="AB498" s="2">
        <v>0</v>
      </c>
      <c r="AC498" s="2">
        <v>0</v>
      </c>
      <c r="AD498" s="4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-41.58</v>
      </c>
      <c r="AN498" s="2">
        <v>-41.58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45922</v>
      </c>
      <c r="B499" t="s">
        <v>47</v>
      </c>
      <c r="C499">
        <v>649163</v>
      </c>
      <c r="D499">
        <v>2029031001</v>
      </c>
      <c r="E499" t="s">
        <v>503</v>
      </c>
      <c r="F499" t="s">
        <v>504</v>
      </c>
      <c r="G499" t="s">
        <v>50</v>
      </c>
      <c r="H499" t="s">
        <v>93</v>
      </c>
      <c r="I499" t="s">
        <v>441</v>
      </c>
      <c r="J499" t="s">
        <v>445</v>
      </c>
      <c r="K499">
        <v>807212</v>
      </c>
      <c r="L499" t="s">
        <v>467</v>
      </c>
      <c r="M499" t="s">
        <v>468</v>
      </c>
      <c r="N499" t="s">
        <v>1087</v>
      </c>
      <c r="O499" t="s">
        <v>56</v>
      </c>
      <c r="P499" s="1">
        <v>45798</v>
      </c>
      <c r="Q499" s="1">
        <v>45951</v>
      </c>
      <c r="R499" s="2">
        <v>72.760000000000005</v>
      </c>
      <c r="S499">
        <v>1</v>
      </c>
      <c r="T499" t="s">
        <v>57</v>
      </c>
      <c r="U499" t="s">
        <v>58</v>
      </c>
      <c r="V499" s="4">
        <v>0.7</v>
      </c>
      <c r="W499" s="2">
        <v>0</v>
      </c>
      <c r="X499">
        <v>0</v>
      </c>
      <c r="Y499" t="s">
        <v>70</v>
      </c>
      <c r="Z499" t="s">
        <v>60</v>
      </c>
      <c r="AA499">
        <v>0</v>
      </c>
      <c r="AB499" s="2">
        <v>0</v>
      </c>
      <c r="AC499" s="2">
        <v>0</v>
      </c>
      <c r="AD499" s="4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50.93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45922</v>
      </c>
      <c r="B500" t="s">
        <v>47</v>
      </c>
      <c r="C500">
        <v>649163</v>
      </c>
      <c r="D500">
        <v>2029031002</v>
      </c>
      <c r="E500" t="s">
        <v>503</v>
      </c>
      <c r="F500" t="s">
        <v>504</v>
      </c>
      <c r="G500" t="s">
        <v>50</v>
      </c>
      <c r="H500" t="s">
        <v>93</v>
      </c>
      <c r="I500" t="s">
        <v>441</v>
      </c>
      <c r="J500" t="s">
        <v>442</v>
      </c>
      <c r="K500">
        <v>807212</v>
      </c>
      <c r="L500" t="s">
        <v>467</v>
      </c>
      <c r="M500" t="s">
        <v>468</v>
      </c>
      <c r="N500" t="s">
        <v>1087</v>
      </c>
      <c r="O500" t="s">
        <v>56</v>
      </c>
      <c r="P500" s="1">
        <v>45798</v>
      </c>
      <c r="Q500" s="1">
        <v>45951</v>
      </c>
      <c r="R500" s="2">
        <v>16.670000000000002</v>
      </c>
      <c r="S500">
        <v>1</v>
      </c>
      <c r="T500" t="s">
        <v>57</v>
      </c>
      <c r="U500" t="s">
        <v>58</v>
      </c>
      <c r="V500" s="4">
        <v>0.9</v>
      </c>
      <c r="W500" s="2">
        <v>0</v>
      </c>
      <c r="X500">
        <v>0</v>
      </c>
      <c r="Y500" t="s">
        <v>70</v>
      </c>
      <c r="Z500" t="s">
        <v>60</v>
      </c>
      <c r="AA500">
        <v>0</v>
      </c>
      <c r="AB500" s="2">
        <v>0</v>
      </c>
      <c r="AC500" s="2">
        <v>0</v>
      </c>
      <c r="AD500" s="4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15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45922</v>
      </c>
      <c r="B501" t="s">
        <v>47</v>
      </c>
      <c r="C501">
        <v>649163</v>
      </c>
      <c r="D501">
        <v>2029118392</v>
      </c>
      <c r="E501" t="s">
        <v>515</v>
      </c>
      <c r="F501" t="s">
        <v>516</v>
      </c>
      <c r="G501" t="s">
        <v>50</v>
      </c>
      <c r="H501" t="s">
        <v>93</v>
      </c>
      <c r="I501" t="s">
        <v>441</v>
      </c>
      <c r="J501" t="s">
        <v>445</v>
      </c>
      <c r="K501">
        <v>807212</v>
      </c>
      <c r="L501" t="s">
        <v>467</v>
      </c>
      <c r="M501" t="s">
        <v>468</v>
      </c>
      <c r="N501" t="s">
        <v>1087</v>
      </c>
      <c r="O501" t="s">
        <v>56</v>
      </c>
      <c r="P501" s="1">
        <v>45803</v>
      </c>
      <c r="Q501" s="1">
        <v>45956</v>
      </c>
      <c r="R501" s="2">
        <v>76.709999999999994</v>
      </c>
      <c r="S501">
        <v>1</v>
      </c>
      <c r="T501" t="s">
        <v>57</v>
      </c>
      <c r="U501" t="s">
        <v>58</v>
      </c>
      <c r="V501" s="4">
        <v>0.7</v>
      </c>
      <c r="W501" s="2">
        <v>0</v>
      </c>
      <c r="X501">
        <v>0</v>
      </c>
      <c r="Y501" t="s">
        <v>70</v>
      </c>
      <c r="Z501" t="s">
        <v>60</v>
      </c>
      <c r="AA501">
        <v>0</v>
      </c>
      <c r="AB501" s="2">
        <v>0</v>
      </c>
      <c r="AC501" s="2">
        <v>0</v>
      </c>
      <c r="AD501" s="4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53.7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45922</v>
      </c>
      <c r="B502" t="s">
        <v>47</v>
      </c>
      <c r="C502">
        <v>649163</v>
      </c>
      <c r="D502">
        <v>2029118625</v>
      </c>
      <c r="E502" t="s">
        <v>515</v>
      </c>
      <c r="F502" t="s">
        <v>517</v>
      </c>
      <c r="G502" t="s">
        <v>50</v>
      </c>
      <c r="H502" t="s">
        <v>93</v>
      </c>
      <c r="I502" t="s">
        <v>441</v>
      </c>
      <c r="J502" t="s">
        <v>445</v>
      </c>
      <c r="K502">
        <v>807212</v>
      </c>
      <c r="L502" t="s">
        <v>467</v>
      </c>
      <c r="M502" t="s">
        <v>468</v>
      </c>
      <c r="N502" t="s">
        <v>1087</v>
      </c>
      <c r="O502" t="s">
        <v>56</v>
      </c>
      <c r="P502" s="1">
        <v>45803</v>
      </c>
      <c r="Q502" s="1">
        <v>45956</v>
      </c>
      <c r="R502" s="2">
        <v>51</v>
      </c>
      <c r="S502">
        <v>1</v>
      </c>
      <c r="T502" t="s">
        <v>57</v>
      </c>
      <c r="U502" t="s">
        <v>58</v>
      </c>
      <c r="V502" s="4">
        <v>0.7</v>
      </c>
      <c r="W502" s="2">
        <v>0</v>
      </c>
      <c r="X502">
        <v>0</v>
      </c>
      <c r="Y502" t="s">
        <v>70</v>
      </c>
      <c r="Z502" t="s">
        <v>60</v>
      </c>
      <c r="AA502">
        <v>0</v>
      </c>
      <c r="AB502" s="2">
        <v>0</v>
      </c>
      <c r="AC502" s="2">
        <v>0</v>
      </c>
      <c r="AD502" s="4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35.700000000000003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45922</v>
      </c>
      <c r="B503" t="s">
        <v>47</v>
      </c>
      <c r="C503">
        <v>649163</v>
      </c>
      <c r="D503">
        <v>2029543821</v>
      </c>
      <c r="E503" t="s">
        <v>518</v>
      </c>
      <c r="F503" t="s">
        <v>519</v>
      </c>
      <c r="G503" t="s">
        <v>50</v>
      </c>
      <c r="H503" t="s">
        <v>93</v>
      </c>
      <c r="I503" t="s">
        <v>441</v>
      </c>
      <c r="J503" t="s">
        <v>445</v>
      </c>
      <c r="K503">
        <v>807212</v>
      </c>
      <c r="L503" t="s">
        <v>467</v>
      </c>
      <c r="M503" t="s">
        <v>468</v>
      </c>
      <c r="N503" t="s">
        <v>1087</v>
      </c>
      <c r="O503" t="s">
        <v>56</v>
      </c>
      <c r="P503" s="1">
        <v>45828</v>
      </c>
      <c r="Q503" s="1">
        <v>45950</v>
      </c>
      <c r="R503" s="2">
        <v>60.25</v>
      </c>
      <c r="S503">
        <v>1</v>
      </c>
      <c r="T503" t="s">
        <v>57</v>
      </c>
      <c r="U503" t="s">
        <v>58</v>
      </c>
      <c r="V503" s="4">
        <v>0.7</v>
      </c>
      <c r="W503" s="2">
        <v>0</v>
      </c>
      <c r="X503">
        <v>0</v>
      </c>
      <c r="Y503" t="s">
        <v>70</v>
      </c>
      <c r="Z503" t="s">
        <v>60</v>
      </c>
      <c r="AA503">
        <v>0</v>
      </c>
      <c r="AB503" s="2">
        <v>0</v>
      </c>
      <c r="AC503" s="2">
        <v>0</v>
      </c>
      <c r="AD503" s="4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42.18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45922</v>
      </c>
      <c r="B504" t="s">
        <v>47</v>
      </c>
      <c r="C504">
        <v>649163</v>
      </c>
      <c r="D504">
        <v>2029598584</v>
      </c>
      <c r="E504" t="s">
        <v>520</v>
      </c>
      <c r="F504" t="s">
        <v>521</v>
      </c>
      <c r="G504" t="s">
        <v>50</v>
      </c>
      <c r="H504" t="s">
        <v>93</v>
      </c>
      <c r="I504" t="s">
        <v>441</v>
      </c>
      <c r="J504" t="s">
        <v>445</v>
      </c>
      <c r="K504">
        <v>807212</v>
      </c>
      <c r="L504" t="s">
        <v>467</v>
      </c>
      <c r="M504" t="s">
        <v>468</v>
      </c>
      <c r="N504" t="s">
        <v>1087</v>
      </c>
      <c r="O504" t="s">
        <v>56</v>
      </c>
      <c r="P504" s="1">
        <v>45832</v>
      </c>
      <c r="Q504" s="1">
        <v>45954</v>
      </c>
      <c r="R504" s="2">
        <v>90.45</v>
      </c>
      <c r="S504">
        <v>1</v>
      </c>
      <c r="T504" t="s">
        <v>57</v>
      </c>
      <c r="U504" t="s">
        <v>58</v>
      </c>
      <c r="V504" s="4">
        <v>0.7</v>
      </c>
      <c r="W504" s="2">
        <v>0</v>
      </c>
      <c r="X504">
        <v>0</v>
      </c>
      <c r="Y504" t="s">
        <v>70</v>
      </c>
      <c r="Z504" t="s">
        <v>60</v>
      </c>
      <c r="AA504">
        <v>0</v>
      </c>
      <c r="AB504" s="2">
        <v>0</v>
      </c>
      <c r="AC504" s="2">
        <v>0</v>
      </c>
      <c r="AD504" s="4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63.32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45922</v>
      </c>
      <c r="B505" t="s">
        <v>47</v>
      </c>
      <c r="C505">
        <v>649163</v>
      </c>
      <c r="D505">
        <v>2029647651</v>
      </c>
      <c r="E505" t="s">
        <v>522</v>
      </c>
      <c r="F505" t="s">
        <v>523</v>
      </c>
      <c r="G505" t="s">
        <v>50</v>
      </c>
      <c r="H505" t="s">
        <v>93</v>
      </c>
      <c r="I505" t="s">
        <v>441</v>
      </c>
      <c r="J505" t="s">
        <v>442</v>
      </c>
      <c r="K505">
        <v>807212</v>
      </c>
      <c r="L505" t="s">
        <v>467</v>
      </c>
      <c r="M505" t="s">
        <v>468</v>
      </c>
      <c r="N505" t="s">
        <v>1087</v>
      </c>
      <c r="O505" t="s">
        <v>56</v>
      </c>
      <c r="P505" s="1">
        <v>45834</v>
      </c>
      <c r="Q505" s="1">
        <v>45956</v>
      </c>
      <c r="R505" s="2">
        <v>17.62</v>
      </c>
      <c r="S505">
        <v>1</v>
      </c>
      <c r="T505" t="s">
        <v>57</v>
      </c>
      <c r="U505" t="s">
        <v>58</v>
      </c>
      <c r="V505" s="4">
        <v>0.9</v>
      </c>
      <c r="W505" s="2">
        <v>0</v>
      </c>
      <c r="X505">
        <v>0</v>
      </c>
      <c r="Y505" t="s">
        <v>70</v>
      </c>
      <c r="Z505" t="s">
        <v>60</v>
      </c>
      <c r="AA505">
        <v>0</v>
      </c>
      <c r="AB505" s="2">
        <v>0</v>
      </c>
      <c r="AC505" s="2">
        <v>0</v>
      </c>
      <c r="AD505" s="4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15.86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45922</v>
      </c>
      <c r="B506" t="s">
        <v>47</v>
      </c>
      <c r="C506">
        <v>649163</v>
      </c>
      <c r="D506">
        <v>2030055437</v>
      </c>
      <c r="E506" t="s">
        <v>527</v>
      </c>
      <c r="F506" t="s">
        <v>528</v>
      </c>
      <c r="G506" t="s">
        <v>50</v>
      </c>
      <c r="H506" t="s">
        <v>93</v>
      </c>
      <c r="I506" t="s">
        <v>441</v>
      </c>
      <c r="J506" t="s">
        <v>445</v>
      </c>
      <c r="K506">
        <v>807212</v>
      </c>
      <c r="L506" t="s">
        <v>467</v>
      </c>
      <c r="M506" t="s">
        <v>468</v>
      </c>
      <c r="N506" t="s">
        <v>1087</v>
      </c>
      <c r="O506" t="s">
        <v>56</v>
      </c>
      <c r="P506" s="1">
        <v>45859</v>
      </c>
      <c r="Q506" s="1">
        <v>45951</v>
      </c>
      <c r="R506" s="2">
        <v>32.200000000000003</v>
      </c>
      <c r="S506">
        <v>1</v>
      </c>
      <c r="T506" t="s">
        <v>57</v>
      </c>
      <c r="U506" t="s">
        <v>58</v>
      </c>
      <c r="V506" s="4">
        <v>0.7</v>
      </c>
      <c r="W506" s="2">
        <v>0</v>
      </c>
      <c r="X506">
        <v>0</v>
      </c>
      <c r="Y506" t="s">
        <v>70</v>
      </c>
      <c r="Z506" t="s">
        <v>60</v>
      </c>
      <c r="AA506">
        <v>0</v>
      </c>
      <c r="AB506" s="2">
        <v>0</v>
      </c>
      <c r="AC506" s="2">
        <v>0</v>
      </c>
      <c r="AD506" s="4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22.54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45922</v>
      </c>
      <c r="B507" t="s">
        <v>47</v>
      </c>
      <c r="C507">
        <v>649163</v>
      </c>
      <c r="D507">
        <v>2030055518</v>
      </c>
      <c r="E507" t="s">
        <v>529</v>
      </c>
      <c r="F507" t="s">
        <v>530</v>
      </c>
      <c r="G507" t="s">
        <v>50</v>
      </c>
      <c r="H507" t="s">
        <v>93</v>
      </c>
      <c r="I507" t="s">
        <v>441</v>
      </c>
      <c r="J507" t="s">
        <v>445</v>
      </c>
      <c r="K507">
        <v>807212</v>
      </c>
      <c r="L507" t="s">
        <v>467</v>
      </c>
      <c r="M507" t="s">
        <v>468</v>
      </c>
      <c r="N507" t="s">
        <v>1087</v>
      </c>
      <c r="O507" t="s">
        <v>56</v>
      </c>
      <c r="P507" s="1">
        <v>45859</v>
      </c>
      <c r="Q507" s="1">
        <v>45951</v>
      </c>
      <c r="R507" s="2">
        <v>34</v>
      </c>
      <c r="S507">
        <v>1</v>
      </c>
      <c r="T507" t="s">
        <v>57</v>
      </c>
      <c r="U507" t="s">
        <v>58</v>
      </c>
      <c r="V507" s="4">
        <v>0.7</v>
      </c>
      <c r="W507" s="2">
        <v>0</v>
      </c>
      <c r="X507">
        <v>0</v>
      </c>
      <c r="Y507" t="s">
        <v>70</v>
      </c>
      <c r="Z507" t="s">
        <v>60</v>
      </c>
      <c r="AA507">
        <v>0</v>
      </c>
      <c r="AB507" s="2">
        <v>0</v>
      </c>
      <c r="AC507" s="2">
        <v>0</v>
      </c>
      <c r="AD507" s="4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23.8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45922</v>
      </c>
      <c r="B508" t="s">
        <v>47</v>
      </c>
      <c r="C508">
        <v>649163</v>
      </c>
      <c r="D508">
        <v>2030076096</v>
      </c>
      <c r="E508" t="s">
        <v>531</v>
      </c>
      <c r="F508" t="s">
        <v>467</v>
      </c>
      <c r="G508" t="s">
        <v>50</v>
      </c>
      <c r="H508" t="s">
        <v>93</v>
      </c>
      <c r="I508" t="s">
        <v>441</v>
      </c>
      <c r="J508" t="s">
        <v>445</v>
      </c>
      <c r="K508">
        <v>807212</v>
      </c>
      <c r="L508" t="s">
        <v>467</v>
      </c>
      <c r="M508" t="s">
        <v>468</v>
      </c>
      <c r="N508" t="s">
        <v>1087</v>
      </c>
      <c r="O508" t="s">
        <v>56</v>
      </c>
      <c r="P508" s="1">
        <v>45860</v>
      </c>
      <c r="Q508" s="1">
        <v>45952</v>
      </c>
      <c r="R508" s="2">
        <v>34</v>
      </c>
      <c r="S508">
        <v>1</v>
      </c>
      <c r="T508" t="s">
        <v>57</v>
      </c>
      <c r="U508" t="s">
        <v>58</v>
      </c>
      <c r="V508" s="4">
        <v>0.7</v>
      </c>
      <c r="W508" s="2">
        <v>0</v>
      </c>
      <c r="X508">
        <v>0</v>
      </c>
      <c r="Y508" t="s">
        <v>70</v>
      </c>
      <c r="Z508" t="s">
        <v>60</v>
      </c>
      <c r="AA508">
        <v>0</v>
      </c>
      <c r="AB508" s="2">
        <v>0</v>
      </c>
      <c r="AC508" s="2">
        <v>0</v>
      </c>
      <c r="AD508" s="4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23.8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45922</v>
      </c>
      <c r="B509" t="s">
        <v>47</v>
      </c>
      <c r="C509">
        <v>649163</v>
      </c>
      <c r="D509">
        <v>2030594253</v>
      </c>
      <c r="E509" t="s">
        <v>550</v>
      </c>
      <c r="F509" t="s">
        <v>551</v>
      </c>
      <c r="G509" t="s">
        <v>50</v>
      </c>
      <c r="H509" t="s">
        <v>93</v>
      </c>
      <c r="I509" t="s">
        <v>441</v>
      </c>
      <c r="J509" t="s">
        <v>445</v>
      </c>
      <c r="K509">
        <v>807212</v>
      </c>
      <c r="L509" t="s">
        <v>467</v>
      </c>
      <c r="M509" t="s">
        <v>468</v>
      </c>
      <c r="N509" t="s">
        <v>1087</v>
      </c>
      <c r="O509" t="s">
        <v>56</v>
      </c>
      <c r="P509" s="1">
        <v>45890</v>
      </c>
      <c r="Q509" s="1">
        <v>45951</v>
      </c>
      <c r="R509" s="2">
        <v>58.24</v>
      </c>
      <c r="S509">
        <v>1</v>
      </c>
      <c r="T509" t="s">
        <v>57</v>
      </c>
      <c r="U509" t="s">
        <v>58</v>
      </c>
      <c r="V509" s="4">
        <v>0.7</v>
      </c>
      <c r="W509" s="2">
        <v>0</v>
      </c>
      <c r="X509">
        <v>0</v>
      </c>
      <c r="Y509" t="s">
        <v>70</v>
      </c>
      <c r="Z509" t="s">
        <v>60</v>
      </c>
      <c r="AA509">
        <v>0</v>
      </c>
      <c r="AB509" s="2">
        <v>0</v>
      </c>
      <c r="AC509" s="2">
        <v>0</v>
      </c>
      <c r="AD509" s="4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40.770000000000003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45922</v>
      </c>
      <c r="B510" t="s">
        <v>47</v>
      </c>
      <c r="C510">
        <v>649163</v>
      </c>
      <c r="D510">
        <v>2030602566</v>
      </c>
      <c r="E510" t="s">
        <v>552</v>
      </c>
      <c r="F510" t="s">
        <v>553</v>
      </c>
      <c r="G510" t="s">
        <v>50</v>
      </c>
      <c r="H510" t="s">
        <v>93</v>
      </c>
      <c r="I510" t="s">
        <v>441</v>
      </c>
      <c r="J510" t="s">
        <v>445</v>
      </c>
      <c r="K510">
        <v>807212</v>
      </c>
      <c r="L510" t="s">
        <v>467</v>
      </c>
      <c r="M510" t="s">
        <v>468</v>
      </c>
      <c r="N510" t="s">
        <v>1087</v>
      </c>
      <c r="O510" t="s">
        <v>56</v>
      </c>
      <c r="P510" s="1">
        <v>45890</v>
      </c>
      <c r="Q510" s="1">
        <v>45951</v>
      </c>
      <c r="R510" s="2">
        <v>56.51</v>
      </c>
      <c r="S510">
        <v>1</v>
      </c>
      <c r="T510" t="s">
        <v>57</v>
      </c>
      <c r="U510" t="s">
        <v>58</v>
      </c>
      <c r="V510" s="4">
        <v>0.7</v>
      </c>
      <c r="W510" s="2">
        <v>0</v>
      </c>
      <c r="X510">
        <v>0</v>
      </c>
      <c r="Y510" t="s">
        <v>70</v>
      </c>
      <c r="Z510" t="s">
        <v>60</v>
      </c>
      <c r="AA510">
        <v>0</v>
      </c>
      <c r="AB510" s="2">
        <v>0</v>
      </c>
      <c r="AC510" s="2">
        <v>0</v>
      </c>
      <c r="AD510" s="4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39.56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45915</v>
      </c>
      <c r="B511" t="s">
        <v>47</v>
      </c>
      <c r="C511">
        <v>649163</v>
      </c>
      <c r="D511">
        <v>2026189547</v>
      </c>
      <c r="E511" t="s">
        <v>1000</v>
      </c>
      <c r="F511" t="s">
        <v>999</v>
      </c>
      <c r="G511" t="s">
        <v>50</v>
      </c>
      <c r="H511" t="s">
        <v>93</v>
      </c>
      <c r="I511" t="s">
        <v>441</v>
      </c>
      <c r="J511" t="s">
        <v>445</v>
      </c>
      <c r="K511">
        <v>807212</v>
      </c>
      <c r="L511" t="s">
        <v>467</v>
      </c>
      <c r="M511" t="s">
        <v>468</v>
      </c>
      <c r="N511" t="s">
        <v>1087</v>
      </c>
      <c r="O511" t="s">
        <v>56</v>
      </c>
      <c r="P511" s="1">
        <v>45642</v>
      </c>
      <c r="Q511" s="1">
        <v>45946</v>
      </c>
      <c r="R511" s="2">
        <v>19</v>
      </c>
      <c r="S511">
        <v>1</v>
      </c>
      <c r="T511" t="s">
        <v>57</v>
      </c>
      <c r="U511" t="s">
        <v>58</v>
      </c>
      <c r="V511" s="4">
        <v>0.7</v>
      </c>
      <c r="W511" s="2">
        <v>0</v>
      </c>
      <c r="X511">
        <v>0</v>
      </c>
      <c r="Y511" t="s">
        <v>70</v>
      </c>
      <c r="Z511" t="s">
        <v>60</v>
      </c>
      <c r="AA511">
        <v>0</v>
      </c>
      <c r="AB511" s="2">
        <v>0</v>
      </c>
      <c r="AC511" s="2">
        <v>0</v>
      </c>
      <c r="AD511" s="4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13.3</v>
      </c>
      <c r="AN511" s="2">
        <v>13.3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45915</v>
      </c>
      <c r="B512" t="s">
        <v>47</v>
      </c>
      <c r="C512">
        <v>649163</v>
      </c>
      <c r="D512">
        <v>2027167305</v>
      </c>
      <c r="E512" t="s">
        <v>985</v>
      </c>
      <c r="F512" t="s">
        <v>984</v>
      </c>
      <c r="G512" t="s">
        <v>50</v>
      </c>
      <c r="H512" t="s">
        <v>93</v>
      </c>
      <c r="I512" t="s">
        <v>441</v>
      </c>
      <c r="J512" t="s">
        <v>445</v>
      </c>
      <c r="K512">
        <v>807212</v>
      </c>
      <c r="L512" t="s">
        <v>467</v>
      </c>
      <c r="M512" t="s">
        <v>468</v>
      </c>
      <c r="N512" t="s">
        <v>1087</v>
      </c>
      <c r="O512" t="s">
        <v>56</v>
      </c>
      <c r="P512" s="1">
        <v>45706</v>
      </c>
      <c r="Q512" s="1">
        <v>45948</v>
      </c>
      <c r="R512" s="2">
        <v>35.700000000000003</v>
      </c>
      <c r="S512">
        <v>1</v>
      </c>
      <c r="T512" t="s">
        <v>57</v>
      </c>
      <c r="U512" t="s">
        <v>58</v>
      </c>
      <c r="V512" s="4">
        <v>0.7</v>
      </c>
      <c r="W512" s="2">
        <v>0</v>
      </c>
      <c r="X512">
        <v>0</v>
      </c>
      <c r="Y512" t="s">
        <v>70</v>
      </c>
      <c r="Z512" t="s">
        <v>60</v>
      </c>
      <c r="AA512">
        <v>0</v>
      </c>
      <c r="AB512" s="2">
        <v>0</v>
      </c>
      <c r="AC512" s="2">
        <v>0</v>
      </c>
      <c r="AD512" s="4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24.99</v>
      </c>
      <c r="AN512" s="2">
        <v>24.99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45915</v>
      </c>
      <c r="B513" t="s">
        <v>47</v>
      </c>
      <c r="C513">
        <v>649163</v>
      </c>
      <c r="D513">
        <v>2028890707</v>
      </c>
      <c r="E513" t="s">
        <v>966</v>
      </c>
      <c r="F513" t="s">
        <v>965</v>
      </c>
      <c r="G513" t="s">
        <v>50</v>
      </c>
      <c r="H513" t="s">
        <v>93</v>
      </c>
      <c r="I513" t="s">
        <v>441</v>
      </c>
      <c r="J513" t="s">
        <v>445</v>
      </c>
      <c r="K513">
        <v>807212</v>
      </c>
      <c r="L513" t="s">
        <v>467</v>
      </c>
      <c r="M513" t="s">
        <v>468</v>
      </c>
      <c r="N513" t="s">
        <v>1087</v>
      </c>
      <c r="O513" t="s">
        <v>56</v>
      </c>
      <c r="P513" s="1">
        <v>45790</v>
      </c>
      <c r="Q513" s="1">
        <v>45943</v>
      </c>
      <c r="R513" s="2">
        <v>95.68</v>
      </c>
      <c r="S513">
        <v>1</v>
      </c>
      <c r="T513" t="s">
        <v>57</v>
      </c>
      <c r="U513" t="s">
        <v>58</v>
      </c>
      <c r="V513" s="4">
        <v>0.7</v>
      </c>
      <c r="W513" s="2">
        <v>0</v>
      </c>
      <c r="X513">
        <v>0</v>
      </c>
      <c r="Y513" t="s">
        <v>70</v>
      </c>
      <c r="Z513" t="s">
        <v>60</v>
      </c>
      <c r="AA513">
        <v>0</v>
      </c>
      <c r="AB513" s="2">
        <v>0</v>
      </c>
      <c r="AC513" s="2">
        <v>0</v>
      </c>
      <c r="AD513" s="4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66.98</v>
      </c>
      <c r="AN513" s="2">
        <v>66.98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45915</v>
      </c>
      <c r="B514" t="s">
        <v>47</v>
      </c>
      <c r="C514">
        <v>649163</v>
      </c>
      <c r="D514">
        <v>2028890708</v>
      </c>
      <c r="E514" t="s">
        <v>966</v>
      </c>
      <c r="F514" t="s">
        <v>965</v>
      </c>
      <c r="G514" t="s">
        <v>50</v>
      </c>
      <c r="H514" t="s">
        <v>93</v>
      </c>
      <c r="I514" t="s">
        <v>441</v>
      </c>
      <c r="J514" t="s">
        <v>442</v>
      </c>
      <c r="K514">
        <v>807212</v>
      </c>
      <c r="L514" t="s">
        <v>467</v>
      </c>
      <c r="M514" t="s">
        <v>468</v>
      </c>
      <c r="N514" t="s">
        <v>1087</v>
      </c>
      <c r="O514" t="s">
        <v>56</v>
      </c>
      <c r="P514" s="1">
        <v>45790</v>
      </c>
      <c r="Q514" s="1">
        <v>45943</v>
      </c>
      <c r="R514" s="2">
        <v>23.05</v>
      </c>
      <c r="S514">
        <v>1</v>
      </c>
      <c r="T514" t="s">
        <v>57</v>
      </c>
      <c r="U514" t="s">
        <v>58</v>
      </c>
      <c r="V514" s="4">
        <v>0.9</v>
      </c>
      <c r="W514" s="2">
        <v>0</v>
      </c>
      <c r="X514">
        <v>0</v>
      </c>
      <c r="Y514" t="s">
        <v>70</v>
      </c>
      <c r="Z514" t="s">
        <v>60</v>
      </c>
      <c r="AA514">
        <v>0</v>
      </c>
      <c r="AB514" s="2">
        <v>0</v>
      </c>
      <c r="AC514" s="2">
        <v>0</v>
      </c>
      <c r="AD514" s="4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20.74</v>
      </c>
      <c r="AN514" s="2">
        <v>20.74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45915</v>
      </c>
      <c r="B515" t="s">
        <v>47</v>
      </c>
      <c r="C515">
        <v>649163</v>
      </c>
      <c r="D515">
        <v>2028917635</v>
      </c>
      <c r="E515" t="s">
        <v>493</v>
      </c>
      <c r="F515" t="s">
        <v>494</v>
      </c>
      <c r="G515" t="s">
        <v>50</v>
      </c>
      <c r="H515" t="s">
        <v>93</v>
      </c>
      <c r="I515" t="s">
        <v>441</v>
      </c>
      <c r="J515" t="s">
        <v>451</v>
      </c>
      <c r="K515">
        <v>807212</v>
      </c>
      <c r="L515" t="s">
        <v>467</v>
      </c>
      <c r="M515" t="s">
        <v>468</v>
      </c>
      <c r="N515" t="s">
        <v>1087</v>
      </c>
      <c r="O515" t="s">
        <v>56</v>
      </c>
      <c r="P515" s="1">
        <v>45791</v>
      </c>
      <c r="Q515" s="1">
        <v>45944</v>
      </c>
      <c r="R515" s="2">
        <v>30.09</v>
      </c>
      <c r="S515">
        <v>1</v>
      </c>
      <c r="T515" t="s">
        <v>57</v>
      </c>
      <c r="U515" t="s">
        <v>58</v>
      </c>
      <c r="V515" s="4">
        <v>0.42</v>
      </c>
      <c r="W515" s="2">
        <v>0</v>
      </c>
      <c r="X515">
        <v>0</v>
      </c>
      <c r="Y515" t="s">
        <v>70</v>
      </c>
      <c r="Z515" t="s">
        <v>60</v>
      </c>
      <c r="AA515">
        <v>0</v>
      </c>
      <c r="AB515" s="2">
        <v>0</v>
      </c>
      <c r="AC515" s="2">
        <v>0</v>
      </c>
      <c r="AD515" s="4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12.64</v>
      </c>
      <c r="AN515" s="2">
        <v>12.64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45915</v>
      </c>
      <c r="B516" t="s">
        <v>47</v>
      </c>
      <c r="C516">
        <v>649163</v>
      </c>
      <c r="D516">
        <v>2028917636</v>
      </c>
      <c r="E516" t="s">
        <v>493</v>
      </c>
      <c r="F516" t="s">
        <v>494</v>
      </c>
      <c r="G516" t="s">
        <v>50</v>
      </c>
      <c r="H516" t="s">
        <v>93</v>
      </c>
      <c r="I516" t="s">
        <v>441</v>
      </c>
      <c r="J516" t="s">
        <v>445</v>
      </c>
      <c r="K516">
        <v>807212</v>
      </c>
      <c r="L516" t="s">
        <v>467</v>
      </c>
      <c r="M516" t="s">
        <v>468</v>
      </c>
      <c r="N516" t="s">
        <v>1087</v>
      </c>
      <c r="O516" t="s">
        <v>56</v>
      </c>
      <c r="P516" s="1">
        <v>45791</v>
      </c>
      <c r="Q516" s="1">
        <v>45944</v>
      </c>
      <c r="R516" s="2">
        <v>59.4</v>
      </c>
      <c r="S516">
        <v>1</v>
      </c>
      <c r="T516" t="s">
        <v>57</v>
      </c>
      <c r="U516" t="s">
        <v>58</v>
      </c>
      <c r="V516" s="4">
        <v>0.7</v>
      </c>
      <c r="W516" s="2">
        <v>0</v>
      </c>
      <c r="X516">
        <v>0</v>
      </c>
      <c r="Y516" t="s">
        <v>70</v>
      </c>
      <c r="Z516" t="s">
        <v>60</v>
      </c>
      <c r="AA516">
        <v>0</v>
      </c>
      <c r="AB516" s="2">
        <v>0</v>
      </c>
      <c r="AC516" s="2">
        <v>0</v>
      </c>
      <c r="AD516" s="4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41.58</v>
      </c>
      <c r="AN516" s="2">
        <v>41.58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45915</v>
      </c>
      <c r="B517" t="s">
        <v>47</v>
      </c>
      <c r="C517">
        <v>649163</v>
      </c>
      <c r="D517">
        <v>2028919767</v>
      </c>
      <c r="E517" t="s">
        <v>963</v>
      </c>
      <c r="F517" t="s">
        <v>962</v>
      </c>
      <c r="G517" t="s">
        <v>50</v>
      </c>
      <c r="H517" t="s">
        <v>93</v>
      </c>
      <c r="I517" t="s">
        <v>441</v>
      </c>
      <c r="J517" t="s">
        <v>445</v>
      </c>
      <c r="K517">
        <v>807212</v>
      </c>
      <c r="L517" t="s">
        <v>467</v>
      </c>
      <c r="M517" t="s">
        <v>468</v>
      </c>
      <c r="N517" t="s">
        <v>1087</v>
      </c>
      <c r="O517" t="s">
        <v>56</v>
      </c>
      <c r="P517" s="1">
        <v>45791</v>
      </c>
      <c r="Q517" s="1">
        <v>45944</v>
      </c>
      <c r="R517" s="2">
        <v>61.26</v>
      </c>
      <c r="S517">
        <v>1</v>
      </c>
      <c r="T517" t="s">
        <v>57</v>
      </c>
      <c r="U517" t="s">
        <v>58</v>
      </c>
      <c r="V517" s="4">
        <v>0.7</v>
      </c>
      <c r="W517" s="2">
        <v>0</v>
      </c>
      <c r="X517">
        <v>0</v>
      </c>
      <c r="Y517" t="s">
        <v>70</v>
      </c>
      <c r="Z517" t="s">
        <v>60</v>
      </c>
      <c r="AA517">
        <v>0</v>
      </c>
      <c r="AB517" s="2">
        <v>0</v>
      </c>
      <c r="AC517" s="2">
        <v>0</v>
      </c>
      <c r="AD517" s="4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42.88</v>
      </c>
      <c r="AN517" s="2">
        <v>42.88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45915</v>
      </c>
      <c r="B518" t="s">
        <v>47</v>
      </c>
      <c r="C518">
        <v>649163</v>
      </c>
      <c r="D518">
        <v>2028919768</v>
      </c>
      <c r="E518" t="s">
        <v>963</v>
      </c>
      <c r="F518" t="s">
        <v>962</v>
      </c>
      <c r="G518" t="s">
        <v>50</v>
      </c>
      <c r="H518" t="s">
        <v>93</v>
      </c>
      <c r="I518" t="s">
        <v>441</v>
      </c>
      <c r="J518" t="s">
        <v>442</v>
      </c>
      <c r="K518">
        <v>807212</v>
      </c>
      <c r="L518" t="s">
        <v>467</v>
      </c>
      <c r="M518" t="s">
        <v>468</v>
      </c>
      <c r="N518" t="s">
        <v>1087</v>
      </c>
      <c r="O518" t="s">
        <v>56</v>
      </c>
      <c r="P518" s="1">
        <v>45791</v>
      </c>
      <c r="Q518" s="1">
        <v>45944</v>
      </c>
      <c r="R518" s="2">
        <v>17.38</v>
      </c>
      <c r="S518">
        <v>1</v>
      </c>
      <c r="T518" t="s">
        <v>57</v>
      </c>
      <c r="U518" t="s">
        <v>58</v>
      </c>
      <c r="V518" s="4">
        <v>0.9</v>
      </c>
      <c r="W518" s="2">
        <v>0</v>
      </c>
      <c r="X518">
        <v>0</v>
      </c>
      <c r="Y518" t="s">
        <v>70</v>
      </c>
      <c r="Z518" t="s">
        <v>60</v>
      </c>
      <c r="AA518">
        <v>0</v>
      </c>
      <c r="AB518" s="2">
        <v>0</v>
      </c>
      <c r="AC518" s="2">
        <v>0</v>
      </c>
      <c r="AD518" s="4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15.64</v>
      </c>
      <c r="AN518" s="2">
        <v>15.64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45915</v>
      </c>
      <c r="B519" t="s">
        <v>47</v>
      </c>
      <c r="C519">
        <v>649163</v>
      </c>
      <c r="D519">
        <v>2028993380</v>
      </c>
      <c r="E519" t="s">
        <v>503</v>
      </c>
      <c r="F519" t="s">
        <v>945</v>
      </c>
      <c r="G519" t="s">
        <v>50</v>
      </c>
      <c r="H519" t="s">
        <v>93</v>
      </c>
      <c r="I519" t="s">
        <v>441</v>
      </c>
      <c r="J519" t="s">
        <v>442</v>
      </c>
      <c r="K519">
        <v>807212</v>
      </c>
      <c r="L519" t="s">
        <v>467</v>
      </c>
      <c r="M519" t="s">
        <v>468</v>
      </c>
      <c r="N519" t="s">
        <v>1087</v>
      </c>
      <c r="O519" t="s">
        <v>56</v>
      </c>
      <c r="P519" s="1">
        <v>45795</v>
      </c>
      <c r="Q519" s="1">
        <v>45948</v>
      </c>
      <c r="R519" s="2">
        <v>33.93</v>
      </c>
      <c r="S519">
        <v>1</v>
      </c>
      <c r="T519" t="s">
        <v>57</v>
      </c>
      <c r="U519" t="s">
        <v>58</v>
      </c>
      <c r="V519" s="4">
        <v>0.9</v>
      </c>
      <c r="W519" s="2">
        <v>0</v>
      </c>
      <c r="X519">
        <v>0</v>
      </c>
      <c r="Y519" t="s">
        <v>70</v>
      </c>
      <c r="Z519" t="s">
        <v>60</v>
      </c>
      <c r="AA519">
        <v>0</v>
      </c>
      <c r="AB519" s="2">
        <v>0</v>
      </c>
      <c r="AC519" s="2">
        <v>0</v>
      </c>
      <c r="AD519" s="4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30.54</v>
      </c>
      <c r="AN519" s="2">
        <v>30.54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45915</v>
      </c>
      <c r="B520" t="s">
        <v>47</v>
      </c>
      <c r="C520">
        <v>649163</v>
      </c>
      <c r="D520">
        <v>2029432398</v>
      </c>
      <c r="E520" t="s">
        <v>932</v>
      </c>
      <c r="F520" t="s">
        <v>931</v>
      </c>
      <c r="G520" t="s">
        <v>50</v>
      </c>
      <c r="H520" t="s">
        <v>93</v>
      </c>
      <c r="I520" t="s">
        <v>441</v>
      </c>
      <c r="J520" t="s">
        <v>445</v>
      </c>
      <c r="K520">
        <v>807212</v>
      </c>
      <c r="L520" t="s">
        <v>467</v>
      </c>
      <c r="M520" t="s">
        <v>468</v>
      </c>
      <c r="N520" t="s">
        <v>1087</v>
      </c>
      <c r="O520" t="s">
        <v>56</v>
      </c>
      <c r="P520" s="1">
        <v>45821</v>
      </c>
      <c r="Q520" s="1">
        <v>45943</v>
      </c>
      <c r="R520" s="2">
        <v>19</v>
      </c>
      <c r="S520">
        <v>1</v>
      </c>
      <c r="T520" t="s">
        <v>57</v>
      </c>
      <c r="U520" t="s">
        <v>58</v>
      </c>
      <c r="V520" s="4">
        <v>0.7</v>
      </c>
      <c r="W520" s="2">
        <v>0</v>
      </c>
      <c r="X520">
        <v>0</v>
      </c>
      <c r="Y520" t="s">
        <v>70</v>
      </c>
      <c r="Z520" t="s">
        <v>60</v>
      </c>
      <c r="AA520">
        <v>0</v>
      </c>
      <c r="AB520" s="2">
        <v>0</v>
      </c>
      <c r="AC520" s="2">
        <v>0</v>
      </c>
      <c r="AD520" s="4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13.3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45915</v>
      </c>
      <c r="B521" t="s">
        <v>47</v>
      </c>
      <c r="C521">
        <v>649163</v>
      </c>
      <c r="D521">
        <v>2029488849</v>
      </c>
      <c r="E521" t="s">
        <v>929</v>
      </c>
      <c r="F521" t="s">
        <v>928</v>
      </c>
      <c r="G521" t="s">
        <v>50</v>
      </c>
      <c r="H521" t="s">
        <v>93</v>
      </c>
      <c r="I521" t="s">
        <v>441</v>
      </c>
      <c r="J521" t="s">
        <v>442</v>
      </c>
      <c r="K521">
        <v>807212</v>
      </c>
      <c r="L521" t="s">
        <v>467</v>
      </c>
      <c r="M521" t="s">
        <v>468</v>
      </c>
      <c r="N521" t="s">
        <v>1087</v>
      </c>
      <c r="O521" t="s">
        <v>56</v>
      </c>
      <c r="P521" s="1">
        <v>45825</v>
      </c>
      <c r="Q521" s="1">
        <v>45947</v>
      </c>
      <c r="R521" s="2">
        <v>21.6</v>
      </c>
      <c r="S521">
        <v>1</v>
      </c>
      <c r="T521" t="s">
        <v>57</v>
      </c>
      <c r="U521" t="s">
        <v>58</v>
      </c>
      <c r="V521" s="4">
        <v>0.9</v>
      </c>
      <c r="W521" s="2">
        <v>0</v>
      </c>
      <c r="X521">
        <v>0</v>
      </c>
      <c r="Y521" t="s">
        <v>70</v>
      </c>
      <c r="Z521" t="s">
        <v>60</v>
      </c>
      <c r="AA521">
        <v>0</v>
      </c>
      <c r="AB521" s="2">
        <v>0</v>
      </c>
      <c r="AC521" s="2">
        <v>0</v>
      </c>
      <c r="AD521" s="4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19.440000000000001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45915</v>
      </c>
      <c r="B522" t="s">
        <v>47</v>
      </c>
      <c r="C522">
        <v>649163</v>
      </c>
      <c r="D522">
        <v>2029963379</v>
      </c>
      <c r="E522" t="s">
        <v>912</v>
      </c>
      <c r="F522" t="s">
        <v>911</v>
      </c>
      <c r="G522" t="s">
        <v>50</v>
      </c>
      <c r="H522" t="s">
        <v>93</v>
      </c>
      <c r="I522" t="s">
        <v>441</v>
      </c>
      <c r="J522" t="s">
        <v>445</v>
      </c>
      <c r="K522">
        <v>807212</v>
      </c>
      <c r="L522" t="s">
        <v>467</v>
      </c>
      <c r="M522" t="s">
        <v>468</v>
      </c>
      <c r="N522" t="s">
        <v>1087</v>
      </c>
      <c r="O522" t="s">
        <v>56</v>
      </c>
      <c r="P522" s="1">
        <v>45854</v>
      </c>
      <c r="Q522" s="1">
        <v>45946</v>
      </c>
      <c r="R522" s="2">
        <v>20.56</v>
      </c>
      <c r="S522">
        <v>1</v>
      </c>
      <c r="T522" t="s">
        <v>57</v>
      </c>
      <c r="U522" t="s">
        <v>58</v>
      </c>
      <c r="V522" s="4">
        <v>0.7</v>
      </c>
      <c r="W522" s="2">
        <v>0</v>
      </c>
      <c r="X522">
        <v>0</v>
      </c>
      <c r="Y522" t="s">
        <v>70</v>
      </c>
      <c r="Z522" t="s">
        <v>60</v>
      </c>
      <c r="AA522">
        <v>0</v>
      </c>
      <c r="AB522" s="2">
        <v>0</v>
      </c>
      <c r="AC522" s="2">
        <v>0</v>
      </c>
      <c r="AD522" s="4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14.39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45915</v>
      </c>
      <c r="B523" t="s">
        <v>47</v>
      </c>
      <c r="C523">
        <v>649163</v>
      </c>
      <c r="D523">
        <v>2030016326</v>
      </c>
      <c r="E523" t="s">
        <v>904</v>
      </c>
      <c r="F523" t="s">
        <v>903</v>
      </c>
      <c r="G523" t="s">
        <v>50</v>
      </c>
      <c r="H523" t="s">
        <v>93</v>
      </c>
      <c r="I523" t="s">
        <v>441</v>
      </c>
      <c r="J523" t="s">
        <v>445</v>
      </c>
      <c r="K523">
        <v>807212</v>
      </c>
      <c r="L523" t="s">
        <v>467</v>
      </c>
      <c r="M523" t="s">
        <v>468</v>
      </c>
      <c r="N523" t="s">
        <v>1087</v>
      </c>
      <c r="O523" t="s">
        <v>56</v>
      </c>
      <c r="P523" s="1">
        <v>45856</v>
      </c>
      <c r="Q523" s="1">
        <v>45948</v>
      </c>
      <c r="R523" s="2">
        <v>60.25</v>
      </c>
      <c r="S523">
        <v>1</v>
      </c>
      <c r="T523" t="s">
        <v>57</v>
      </c>
      <c r="U523" t="s">
        <v>58</v>
      </c>
      <c r="V523" s="4">
        <v>0.7</v>
      </c>
      <c r="W523" s="2">
        <v>0</v>
      </c>
      <c r="X523">
        <v>0</v>
      </c>
      <c r="Y523" t="s">
        <v>70</v>
      </c>
      <c r="Z523" t="s">
        <v>60</v>
      </c>
      <c r="AA523">
        <v>0</v>
      </c>
      <c r="AB523" s="2">
        <v>0</v>
      </c>
      <c r="AC523" s="2">
        <v>0</v>
      </c>
      <c r="AD523" s="4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42.18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45915</v>
      </c>
      <c r="B524" t="s">
        <v>47</v>
      </c>
      <c r="C524">
        <v>649163</v>
      </c>
      <c r="D524">
        <v>2030016857</v>
      </c>
      <c r="E524" t="s">
        <v>467</v>
      </c>
      <c r="F524" t="s">
        <v>468</v>
      </c>
      <c r="G524" t="s">
        <v>50</v>
      </c>
      <c r="H524" t="s">
        <v>93</v>
      </c>
      <c r="I524" t="s">
        <v>441</v>
      </c>
      <c r="J524" t="s">
        <v>445</v>
      </c>
      <c r="K524">
        <v>807212</v>
      </c>
      <c r="L524" t="s">
        <v>467</v>
      </c>
      <c r="M524" t="s">
        <v>468</v>
      </c>
      <c r="N524" t="s">
        <v>1087</v>
      </c>
      <c r="O524" t="s">
        <v>56</v>
      </c>
      <c r="P524" s="1">
        <v>45856</v>
      </c>
      <c r="Q524" s="1">
        <v>45948</v>
      </c>
      <c r="R524" s="2">
        <v>51</v>
      </c>
      <c r="S524">
        <v>1</v>
      </c>
      <c r="T524" t="s">
        <v>57</v>
      </c>
      <c r="U524" t="s">
        <v>58</v>
      </c>
      <c r="V524" s="4">
        <v>0.7</v>
      </c>
      <c r="W524" s="2">
        <v>0</v>
      </c>
      <c r="X524">
        <v>0</v>
      </c>
      <c r="Y524" t="s">
        <v>70</v>
      </c>
      <c r="Z524" t="s">
        <v>60</v>
      </c>
      <c r="AA524">
        <v>0</v>
      </c>
      <c r="AB524" s="2">
        <v>0</v>
      </c>
      <c r="AC524" s="2">
        <v>0</v>
      </c>
      <c r="AD524" s="4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35.700000000000003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45915</v>
      </c>
      <c r="B525" t="s">
        <v>47</v>
      </c>
      <c r="C525">
        <v>649163</v>
      </c>
      <c r="D525">
        <v>2030017049</v>
      </c>
      <c r="E525" t="s">
        <v>902</v>
      </c>
      <c r="F525" t="s">
        <v>901</v>
      </c>
      <c r="G525" t="s">
        <v>50</v>
      </c>
      <c r="H525" t="s">
        <v>93</v>
      </c>
      <c r="I525" t="s">
        <v>441</v>
      </c>
      <c r="J525" t="s">
        <v>445</v>
      </c>
      <c r="K525">
        <v>807212</v>
      </c>
      <c r="L525" t="s">
        <v>467</v>
      </c>
      <c r="M525" t="s">
        <v>468</v>
      </c>
      <c r="N525" t="s">
        <v>1087</v>
      </c>
      <c r="O525" t="s">
        <v>56</v>
      </c>
      <c r="P525" s="1">
        <v>45856</v>
      </c>
      <c r="Q525" s="1">
        <v>45948</v>
      </c>
      <c r="R525" s="2">
        <v>34</v>
      </c>
      <c r="S525">
        <v>1</v>
      </c>
      <c r="T525" t="s">
        <v>57</v>
      </c>
      <c r="U525" t="s">
        <v>58</v>
      </c>
      <c r="V525" s="4">
        <v>0.7</v>
      </c>
      <c r="W525" s="2">
        <v>0</v>
      </c>
      <c r="X525">
        <v>0</v>
      </c>
      <c r="Y525" t="s">
        <v>70</v>
      </c>
      <c r="Z525" t="s">
        <v>60</v>
      </c>
      <c r="AA525">
        <v>0</v>
      </c>
      <c r="AB525" s="2">
        <v>0</v>
      </c>
      <c r="AC525" s="2">
        <v>0</v>
      </c>
      <c r="AD525" s="4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23.8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45915</v>
      </c>
      <c r="B526" t="s">
        <v>47</v>
      </c>
      <c r="C526">
        <v>649163</v>
      </c>
      <c r="D526">
        <v>2028942059</v>
      </c>
      <c r="E526" t="s">
        <v>854</v>
      </c>
      <c r="F526" t="s">
        <v>853</v>
      </c>
      <c r="G526" t="s">
        <v>50</v>
      </c>
      <c r="H526" t="s">
        <v>93</v>
      </c>
      <c r="I526" t="s">
        <v>306</v>
      </c>
      <c r="J526" t="s">
        <v>307</v>
      </c>
      <c r="K526">
        <v>807212</v>
      </c>
      <c r="L526" t="s">
        <v>467</v>
      </c>
      <c r="M526" t="s">
        <v>468</v>
      </c>
      <c r="N526" t="s">
        <v>1087</v>
      </c>
      <c r="O526" t="s">
        <v>56</v>
      </c>
      <c r="P526" s="1">
        <v>45792</v>
      </c>
      <c r="Q526" s="1">
        <v>45945</v>
      </c>
      <c r="R526" s="2">
        <v>22.52</v>
      </c>
      <c r="S526">
        <v>1</v>
      </c>
      <c r="T526" t="s">
        <v>57</v>
      </c>
      <c r="U526" t="s">
        <v>58</v>
      </c>
      <c r="V526" s="3">
        <v>0.375</v>
      </c>
      <c r="W526" s="2">
        <v>0</v>
      </c>
      <c r="X526">
        <v>0</v>
      </c>
      <c r="Y526" t="s">
        <v>70</v>
      </c>
      <c r="Z526" t="s">
        <v>60</v>
      </c>
      <c r="AA526">
        <v>0</v>
      </c>
      <c r="AB526" s="2">
        <v>0</v>
      </c>
      <c r="AC526" s="2">
        <v>0</v>
      </c>
      <c r="AD526" s="4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8.44</v>
      </c>
      <c r="AN526" s="2">
        <v>8.44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45922</v>
      </c>
      <c r="B527" t="s">
        <v>47</v>
      </c>
      <c r="C527">
        <v>649163</v>
      </c>
      <c r="D527">
        <v>2027993344</v>
      </c>
      <c r="E527" t="s">
        <v>486</v>
      </c>
      <c r="F527" t="s">
        <v>487</v>
      </c>
      <c r="G527" t="s">
        <v>50</v>
      </c>
      <c r="H527" t="s">
        <v>93</v>
      </c>
      <c r="I527" t="s">
        <v>441</v>
      </c>
      <c r="J527" t="s">
        <v>445</v>
      </c>
      <c r="K527">
        <v>760902</v>
      </c>
      <c r="L527" t="s">
        <v>488</v>
      </c>
      <c r="M527" t="s">
        <v>489</v>
      </c>
      <c r="N527" t="s">
        <v>1125</v>
      </c>
      <c r="O527" t="s">
        <v>56</v>
      </c>
      <c r="P527" s="1">
        <v>45741</v>
      </c>
      <c r="Q527" s="1">
        <v>45955</v>
      </c>
      <c r="R527" s="2">
        <v>34</v>
      </c>
      <c r="S527">
        <v>1</v>
      </c>
      <c r="T527" t="s">
        <v>57</v>
      </c>
      <c r="U527" t="s">
        <v>58</v>
      </c>
      <c r="V527" s="4">
        <v>0.7</v>
      </c>
      <c r="W527" s="2">
        <v>0</v>
      </c>
      <c r="X527">
        <v>0</v>
      </c>
      <c r="Y527" t="s">
        <v>70</v>
      </c>
      <c r="Z527" t="s">
        <v>60</v>
      </c>
      <c r="AA527">
        <v>0</v>
      </c>
      <c r="AB527" s="2">
        <v>0</v>
      </c>
      <c r="AC527" s="2">
        <v>0</v>
      </c>
      <c r="AD527" s="4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23.8</v>
      </c>
      <c r="AN527" s="2">
        <v>23.8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45922</v>
      </c>
      <c r="B528" t="s">
        <v>47</v>
      </c>
      <c r="C528">
        <v>649163</v>
      </c>
      <c r="D528">
        <v>2028007024</v>
      </c>
      <c r="E528" t="s">
        <v>490</v>
      </c>
      <c r="F528" t="s">
        <v>491</v>
      </c>
      <c r="G528" t="s">
        <v>50</v>
      </c>
      <c r="H528" t="s">
        <v>93</v>
      </c>
      <c r="I528" t="s">
        <v>441</v>
      </c>
      <c r="J528" t="s">
        <v>445</v>
      </c>
      <c r="K528">
        <v>760902</v>
      </c>
      <c r="L528" t="s">
        <v>488</v>
      </c>
      <c r="M528" t="s">
        <v>489</v>
      </c>
      <c r="N528" t="s">
        <v>1125</v>
      </c>
      <c r="O528" t="s">
        <v>56</v>
      </c>
      <c r="P528" s="1">
        <v>45741</v>
      </c>
      <c r="Q528" s="1">
        <v>45955</v>
      </c>
      <c r="R528" s="2">
        <v>19</v>
      </c>
      <c r="S528">
        <v>1</v>
      </c>
      <c r="T528" t="s">
        <v>57</v>
      </c>
      <c r="U528" t="s">
        <v>58</v>
      </c>
      <c r="V528" s="4">
        <v>0.7</v>
      </c>
      <c r="W528" s="2">
        <v>0</v>
      </c>
      <c r="X528">
        <v>0</v>
      </c>
      <c r="Y528" t="s">
        <v>70</v>
      </c>
      <c r="Z528" t="s">
        <v>60</v>
      </c>
      <c r="AA528">
        <v>0</v>
      </c>
      <c r="AB528" s="2">
        <v>0</v>
      </c>
      <c r="AC528" s="2">
        <v>0</v>
      </c>
      <c r="AD528" s="4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13.3</v>
      </c>
      <c r="AN528" s="2">
        <v>13.3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45915</v>
      </c>
      <c r="B529" t="s">
        <v>47</v>
      </c>
      <c r="C529">
        <v>649163</v>
      </c>
      <c r="D529">
        <v>2025621632</v>
      </c>
      <c r="E529" t="s">
        <v>1022</v>
      </c>
      <c r="F529" t="s">
        <v>1021</v>
      </c>
      <c r="G529" t="s">
        <v>50</v>
      </c>
      <c r="H529" t="s">
        <v>93</v>
      </c>
      <c r="I529" t="s">
        <v>441</v>
      </c>
      <c r="J529" t="s">
        <v>445</v>
      </c>
      <c r="K529">
        <v>760902</v>
      </c>
      <c r="L529" t="s">
        <v>488</v>
      </c>
      <c r="M529" t="s">
        <v>489</v>
      </c>
      <c r="N529" t="s">
        <v>1125</v>
      </c>
      <c r="O529" t="s">
        <v>56</v>
      </c>
      <c r="P529" s="1">
        <v>45611</v>
      </c>
      <c r="Q529" s="1">
        <v>45945</v>
      </c>
      <c r="R529" s="2">
        <v>34</v>
      </c>
      <c r="S529">
        <v>1</v>
      </c>
      <c r="T529" t="s">
        <v>57</v>
      </c>
      <c r="U529" t="s">
        <v>58</v>
      </c>
      <c r="V529" s="4">
        <v>0.7</v>
      </c>
      <c r="W529" s="2">
        <v>0</v>
      </c>
      <c r="X529">
        <v>0</v>
      </c>
      <c r="Y529" t="s">
        <v>70</v>
      </c>
      <c r="Z529" t="s">
        <v>60</v>
      </c>
      <c r="AA529">
        <v>0</v>
      </c>
      <c r="AB529" s="2">
        <v>0</v>
      </c>
      <c r="AC529" s="2">
        <v>0</v>
      </c>
      <c r="AD529" s="4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23.8</v>
      </c>
      <c r="AN529" s="2">
        <v>23.8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45922</v>
      </c>
      <c r="B530" t="s">
        <v>47</v>
      </c>
      <c r="C530">
        <v>649163</v>
      </c>
      <c r="D530">
        <v>2027904551</v>
      </c>
      <c r="E530" t="s">
        <v>484</v>
      </c>
      <c r="F530" t="s">
        <v>485</v>
      </c>
      <c r="G530" t="s">
        <v>50</v>
      </c>
      <c r="H530" t="s">
        <v>93</v>
      </c>
      <c r="I530" t="s">
        <v>441</v>
      </c>
      <c r="J530" t="s">
        <v>442</v>
      </c>
      <c r="K530">
        <v>813181</v>
      </c>
      <c r="L530" t="s">
        <v>484</v>
      </c>
      <c r="M530" t="s">
        <v>485</v>
      </c>
      <c r="N530" t="s">
        <v>1124</v>
      </c>
      <c r="O530" t="s">
        <v>56</v>
      </c>
      <c r="P530" s="1">
        <v>45741</v>
      </c>
      <c r="Q530" s="1">
        <v>45955</v>
      </c>
      <c r="R530" s="2">
        <v>46.42</v>
      </c>
      <c r="S530">
        <v>1</v>
      </c>
      <c r="T530" t="s">
        <v>57</v>
      </c>
      <c r="U530" t="s">
        <v>58</v>
      </c>
      <c r="V530" s="4">
        <v>0.9</v>
      </c>
      <c r="W530" s="2">
        <v>0</v>
      </c>
      <c r="X530">
        <v>0</v>
      </c>
      <c r="Y530" t="s">
        <v>70</v>
      </c>
      <c r="Z530" t="s">
        <v>60</v>
      </c>
      <c r="AA530">
        <v>0</v>
      </c>
      <c r="AB530" s="2">
        <v>0</v>
      </c>
      <c r="AC530" s="2">
        <v>0</v>
      </c>
      <c r="AD530" s="4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41.78</v>
      </c>
      <c r="AN530" s="2">
        <v>41.78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45915</v>
      </c>
      <c r="B531" t="s">
        <v>47</v>
      </c>
      <c r="C531">
        <v>649163</v>
      </c>
      <c r="D531">
        <v>2030244511</v>
      </c>
      <c r="E531" t="s">
        <v>899</v>
      </c>
      <c r="F531" t="s">
        <v>583</v>
      </c>
      <c r="G531" t="s">
        <v>50</v>
      </c>
      <c r="H531" t="s">
        <v>93</v>
      </c>
      <c r="I531" t="s">
        <v>441</v>
      </c>
      <c r="J531" t="s">
        <v>451</v>
      </c>
      <c r="K531">
        <v>789909</v>
      </c>
      <c r="L531" t="s">
        <v>722</v>
      </c>
      <c r="M531" t="s">
        <v>721</v>
      </c>
      <c r="N531" t="s">
        <v>1139</v>
      </c>
      <c r="O531" t="s">
        <v>56</v>
      </c>
      <c r="P531" s="1">
        <v>45884</v>
      </c>
      <c r="Q531" s="1">
        <v>45945</v>
      </c>
      <c r="R531" s="2">
        <v>42.5</v>
      </c>
      <c r="S531">
        <v>1</v>
      </c>
      <c r="T531" t="s">
        <v>57</v>
      </c>
      <c r="U531" t="s">
        <v>58</v>
      </c>
      <c r="V531" s="4">
        <v>0.42</v>
      </c>
      <c r="W531" s="2">
        <v>0</v>
      </c>
      <c r="X531">
        <v>0</v>
      </c>
      <c r="Y531" t="s">
        <v>70</v>
      </c>
      <c r="Z531" t="s">
        <v>60</v>
      </c>
      <c r="AA531">
        <v>0</v>
      </c>
      <c r="AB531" s="2">
        <v>0</v>
      </c>
      <c r="AC531" s="2">
        <v>0</v>
      </c>
      <c r="AD531" s="4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17.850000000000001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45915</v>
      </c>
      <c r="B532" t="s">
        <v>47</v>
      </c>
      <c r="C532">
        <v>649163</v>
      </c>
      <c r="D532">
        <v>2030337261</v>
      </c>
      <c r="E532" t="s">
        <v>724</v>
      </c>
      <c r="F532" t="s">
        <v>723</v>
      </c>
      <c r="G532" t="s">
        <v>50</v>
      </c>
      <c r="H532" t="s">
        <v>93</v>
      </c>
      <c r="I532" t="s">
        <v>441</v>
      </c>
      <c r="J532" t="s">
        <v>451</v>
      </c>
      <c r="K532">
        <v>789909</v>
      </c>
      <c r="L532" t="s">
        <v>722</v>
      </c>
      <c r="M532" t="s">
        <v>721</v>
      </c>
      <c r="N532" t="s">
        <v>1139</v>
      </c>
      <c r="O532" t="s">
        <v>56</v>
      </c>
      <c r="P532" s="1">
        <v>45884</v>
      </c>
      <c r="Q532" s="1">
        <v>45945</v>
      </c>
      <c r="R532" s="2">
        <v>35.4</v>
      </c>
      <c r="S532">
        <v>1</v>
      </c>
      <c r="T532" t="s">
        <v>57</v>
      </c>
      <c r="U532" t="s">
        <v>58</v>
      </c>
      <c r="V532" s="4">
        <v>0.42</v>
      </c>
      <c r="W532" s="2">
        <v>0</v>
      </c>
      <c r="X532">
        <v>0</v>
      </c>
      <c r="Y532" t="s">
        <v>70</v>
      </c>
      <c r="Z532" t="s">
        <v>60</v>
      </c>
      <c r="AA532">
        <v>0</v>
      </c>
      <c r="AB532" s="2">
        <v>0</v>
      </c>
      <c r="AC532" s="2">
        <v>0</v>
      </c>
      <c r="AD532" s="4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14.87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45922</v>
      </c>
      <c r="B533" t="s">
        <v>47</v>
      </c>
      <c r="C533">
        <v>649163</v>
      </c>
      <c r="D533">
        <v>2016868356</v>
      </c>
      <c r="E533" t="s">
        <v>308</v>
      </c>
      <c r="F533" t="s">
        <v>109</v>
      </c>
      <c r="G533" t="s">
        <v>50</v>
      </c>
      <c r="H533" t="s">
        <v>51</v>
      </c>
      <c r="I533" t="s">
        <v>306</v>
      </c>
      <c r="J533" t="s">
        <v>307</v>
      </c>
      <c r="K533">
        <v>650794</v>
      </c>
      <c r="L533" t="s">
        <v>309</v>
      </c>
      <c r="M533" t="s">
        <v>310</v>
      </c>
      <c r="N533" t="s">
        <v>1113</v>
      </c>
      <c r="O533" t="s">
        <v>56</v>
      </c>
      <c r="P533" s="1">
        <v>44885</v>
      </c>
      <c r="Q533" s="1">
        <v>45950</v>
      </c>
      <c r="R533" s="2">
        <v>17.649999999999999</v>
      </c>
      <c r="S533">
        <v>1</v>
      </c>
      <c r="T533" t="s">
        <v>57</v>
      </c>
      <c r="U533" t="s">
        <v>58</v>
      </c>
      <c r="V533" s="4">
        <v>0.06</v>
      </c>
      <c r="W533" s="2">
        <v>0</v>
      </c>
      <c r="X533">
        <v>0</v>
      </c>
      <c r="Y533" t="s">
        <v>59</v>
      </c>
      <c r="Z533" t="s">
        <v>60</v>
      </c>
      <c r="AA533">
        <v>0</v>
      </c>
      <c r="AB533" s="2">
        <v>0</v>
      </c>
      <c r="AC533" s="2">
        <v>0</v>
      </c>
      <c r="AD533" s="4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1.06</v>
      </c>
      <c r="AN533" s="2">
        <v>1.06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45922</v>
      </c>
      <c r="B534" t="s">
        <v>47</v>
      </c>
      <c r="C534">
        <v>649163</v>
      </c>
      <c r="D534">
        <v>2026757479</v>
      </c>
      <c r="E534" t="s">
        <v>357</v>
      </c>
      <c r="F534" t="s">
        <v>277</v>
      </c>
      <c r="G534" t="s">
        <v>50</v>
      </c>
      <c r="H534" t="s">
        <v>151</v>
      </c>
      <c r="I534" t="s">
        <v>306</v>
      </c>
      <c r="J534" t="s">
        <v>307</v>
      </c>
      <c r="K534">
        <v>650794</v>
      </c>
      <c r="L534" t="s">
        <v>309</v>
      </c>
      <c r="M534" t="s">
        <v>310</v>
      </c>
      <c r="N534" t="s">
        <v>1113</v>
      </c>
      <c r="O534" t="s">
        <v>56</v>
      </c>
      <c r="P534" s="1">
        <v>45682</v>
      </c>
      <c r="Q534" s="1">
        <v>45955</v>
      </c>
      <c r="R534" s="2">
        <v>61.9</v>
      </c>
      <c r="S534">
        <v>1</v>
      </c>
      <c r="T534" t="s">
        <v>57</v>
      </c>
      <c r="U534" t="s">
        <v>58</v>
      </c>
      <c r="V534" s="3">
        <v>0.375</v>
      </c>
      <c r="W534" s="2">
        <v>0</v>
      </c>
      <c r="X534">
        <v>0</v>
      </c>
      <c r="Y534" t="s">
        <v>70</v>
      </c>
      <c r="Z534" t="s">
        <v>60</v>
      </c>
      <c r="AA534">
        <v>0</v>
      </c>
      <c r="AB534" s="2">
        <v>0</v>
      </c>
      <c r="AC534" s="2">
        <v>0</v>
      </c>
      <c r="AD534" s="4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23.21</v>
      </c>
      <c r="AN534" s="2">
        <v>23.21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45915</v>
      </c>
      <c r="B535" t="s">
        <v>47</v>
      </c>
      <c r="C535">
        <v>649163</v>
      </c>
      <c r="D535">
        <v>2016549422</v>
      </c>
      <c r="E535" t="s">
        <v>1053</v>
      </c>
      <c r="F535" t="s">
        <v>398</v>
      </c>
      <c r="G535" t="s">
        <v>50</v>
      </c>
      <c r="H535" t="s">
        <v>51</v>
      </c>
      <c r="I535" t="s">
        <v>306</v>
      </c>
      <c r="J535" t="s">
        <v>307</v>
      </c>
      <c r="K535">
        <v>650794</v>
      </c>
      <c r="L535" t="s">
        <v>309</v>
      </c>
      <c r="M535" t="s">
        <v>310</v>
      </c>
      <c r="N535" t="s">
        <v>1113</v>
      </c>
      <c r="O535" t="s">
        <v>56</v>
      </c>
      <c r="P535" s="1">
        <v>44849</v>
      </c>
      <c r="Q535" s="1">
        <v>45945</v>
      </c>
      <c r="R535" s="2">
        <v>149.46</v>
      </c>
      <c r="S535">
        <v>1</v>
      </c>
      <c r="T535" t="s">
        <v>57</v>
      </c>
      <c r="U535" t="s">
        <v>58</v>
      </c>
      <c r="V535" s="4">
        <v>0.06</v>
      </c>
      <c r="W535" s="2">
        <v>0</v>
      </c>
      <c r="X535">
        <v>0</v>
      </c>
      <c r="Y535" t="s">
        <v>59</v>
      </c>
      <c r="Z535" t="s">
        <v>60</v>
      </c>
      <c r="AA535">
        <v>0</v>
      </c>
      <c r="AB535" s="2">
        <v>0</v>
      </c>
      <c r="AC535" s="2">
        <v>0</v>
      </c>
      <c r="AD535" s="4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8.9700000000000006</v>
      </c>
      <c r="AN535" s="2">
        <v>8.9700000000000006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45915</v>
      </c>
      <c r="B536" t="s">
        <v>47</v>
      </c>
      <c r="C536">
        <v>649163</v>
      </c>
      <c r="D536">
        <v>2017069747</v>
      </c>
      <c r="E536" t="s">
        <v>1052</v>
      </c>
      <c r="F536" t="s">
        <v>49</v>
      </c>
      <c r="G536" t="s">
        <v>50</v>
      </c>
      <c r="H536" t="s">
        <v>51</v>
      </c>
      <c r="I536" t="s">
        <v>306</v>
      </c>
      <c r="J536" t="s">
        <v>307</v>
      </c>
      <c r="K536">
        <v>650794</v>
      </c>
      <c r="L536" t="s">
        <v>309</v>
      </c>
      <c r="M536" t="s">
        <v>310</v>
      </c>
      <c r="N536" t="s">
        <v>1113</v>
      </c>
      <c r="O536" t="s">
        <v>56</v>
      </c>
      <c r="P536" s="1">
        <v>44909</v>
      </c>
      <c r="Q536" s="1">
        <v>45944</v>
      </c>
      <c r="R536" s="2">
        <v>36.65</v>
      </c>
      <c r="S536">
        <v>1</v>
      </c>
      <c r="T536" t="s">
        <v>57</v>
      </c>
      <c r="U536" t="s">
        <v>58</v>
      </c>
      <c r="V536" s="4">
        <v>0.06</v>
      </c>
      <c r="W536" s="2">
        <v>0</v>
      </c>
      <c r="X536">
        <v>0</v>
      </c>
      <c r="Y536" t="s">
        <v>59</v>
      </c>
      <c r="Z536" t="s">
        <v>60</v>
      </c>
      <c r="AA536">
        <v>0</v>
      </c>
      <c r="AB536" s="2">
        <v>0</v>
      </c>
      <c r="AC536" s="2">
        <v>0</v>
      </c>
      <c r="AD536" s="4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2.2000000000000002</v>
      </c>
      <c r="AN536" s="2">
        <v>2.2000000000000002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45922</v>
      </c>
      <c r="B537" t="s">
        <v>47</v>
      </c>
      <c r="C537">
        <v>649163</v>
      </c>
      <c r="D537">
        <v>2030805542</v>
      </c>
      <c r="E537" t="s">
        <v>292</v>
      </c>
      <c r="F537" t="s">
        <v>293</v>
      </c>
      <c r="G537" t="s">
        <v>50</v>
      </c>
      <c r="H537" t="s">
        <v>93</v>
      </c>
      <c r="I537" t="s">
        <v>243</v>
      </c>
      <c r="J537" t="s">
        <v>261</v>
      </c>
      <c r="K537">
        <v>812994</v>
      </c>
      <c r="L537" t="s">
        <v>294</v>
      </c>
      <c r="M537" t="s">
        <v>295</v>
      </c>
      <c r="N537" t="s">
        <v>1094</v>
      </c>
      <c r="O537" t="s">
        <v>230</v>
      </c>
      <c r="P537" s="1">
        <v>45902</v>
      </c>
      <c r="Q537" s="1">
        <v>45932</v>
      </c>
      <c r="R537" s="2">
        <v>-7</v>
      </c>
      <c r="S537">
        <v>1</v>
      </c>
      <c r="T537" t="s">
        <v>57</v>
      </c>
      <c r="U537" t="s">
        <v>58</v>
      </c>
      <c r="V537" s="4">
        <v>0.38</v>
      </c>
      <c r="W537" s="2">
        <v>0</v>
      </c>
      <c r="X537">
        <v>-1</v>
      </c>
      <c r="Y537" t="s">
        <v>70</v>
      </c>
      <c r="Z537" t="s">
        <v>60</v>
      </c>
      <c r="AA537">
        <v>0</v>
      </c>
      <c r="AB537" s="2">
        <v>0</v>
      </c>
      <c r="AC537" s="2">
        <v>0</v>
      </c>
      <c r="AD537" s="4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-2.66</v>
      </c>
      <c r="AN537" s="2">
        <v>-2.66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45922</v>
      </c>
      <c r="B538" t="s">
        <v>47</v>
      </c>
      <c r="C538">
        <v>649163</v>
      </c>
      <c r="D538">
        <v>2029880648</v>
      </c>
      <c r="E538" t="s">
        <v>388</v>
      </c>
      <c r="F538" t="s">
        <v>389</v>
      </c>
      <c r="G538" t="s">
        <v>50</v>
      </c>
      <c r="H538" t="s">
        <v>93</v>
      </c>
      <c r="I538" t="s">
        <v>306</v>
      </c>
      <c r="J538" t="s">
        <v>307</v>
      </c>
      <c r="K538">
        <v>812994</v>
      </c>
      <c r="L538" t="s">
        <v>294</v>
      </c>
      <c r="M538" t="s">
        <v>295</v>
      </c>
      <c r="N538" t="s">
        <v>1094</v>
      </c>
      <c r="O538" t="s">
        <v>56</v>
      </c>
      <c r="P538" s="1">
        <v>45858</v>
      </c>
      <c r="Q538" s="1">
        <v>45950</v>
      </c>
      <c r="R538" s="2">
        <v>77.48</v>
      </c>
      <c r="S538">
        <v>1</v>
      </c>
      <c r="T538" t="s">
        <v>57</v>
      </c>
      <c r="U538" t="s">
        <v>58</v>
      </c>
      <c r="V538" s="3">
        <v>0.375</v>
      </c>
      <c r="W538" s="2">
        <v>0</v>
      </c>
      <c r="X538">
        <v>0</v>
      </c>
      <c r="Y538" t="s">
        <v>70</v>
      </c>
      <c r="Z538" t="s">
        <v>60</v>
      </c>
      <c r="AA538">
        <v>0</v>
      </c>
      <c r="AB538" s="2">
        <v>0</v>
      </c>
      <c r="AC538" s="2">
        <v>0</v>
      </c>
      <c r="AD538" s="4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29.06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45922</v>
      </c>
      <c r="B539" t="s">
        <v>47</v>
      </c>
      <c r="C539">
        <v>649163</v>
      </c>
      <c r="D539">
        <v>2030805541</v>
      </c>
      <c r="E539" t="s">
        <v>292</v>
      </c>
      <c r="F539" t="s">
        <v>293</v>
      </c>
      <c r="G539" t="s">
        <v>50</v>
      </c>
      <c r="H539" t="s">
        <v>93</v>
      </c>
      <c r="I539" t="s">
        <v>430</v>
      </c>
      <c r="J539" t="s">
        <v>438</v>
      </c>
      <c r="K539">
        <v>812994</v>
      </c>
      <c r="L539" t="s">
        <v>294</v>
      </c>
      <c r="M539" t="s">
        <v>295</v>
      </c>
      <c r="N539" t="s">
        <v>1094</v>
      </c>
      <c r="O539" t="s">
        <v>230</v>
      </c>
      <c r="P539" s="1">
        <v>45902</v>
      </c>
      <c r="Q539" s="1">
        <v>45932</v>
      </c>
      <c r="R539" s="2">
        <v>-111.08</v>
      </c>
      <c r="S539">
        <v>1</v>
      </c>
      <c r="T539" t="s">
        <v>57</v>
      </c>
      <c r="U539" t="s">
        <v>58</v>
      </c>
      <c r="V539" s="4">
        <v>0.38</v>
      </c>
      <c r="W539" s="2">
        <v>0</v>
      </c>
      <c r="X539">
        <v>-1</v>
      </c>
      <c r="Y539" t="s">
        <v>70</v>
      </c>
      <c r="Z539" t="s">
        <v>60</v>
      </c>
      <c r="AA539">
        <v>0</v>
      </c>
      <c r="AB539" s="2">
        <v>0</v>
      </c>
      <c r="AC539" s="2">
        <v>0</v>
      </c>
      <c r="AD539" s="4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-42.21</v>
      </c>
      <c r="AN539" s="2">
        <v>-42.21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45922</v>
      </c>
      <c r="B540" t="s">
        <v>47</v>
      </c>
      <c r="C540">
        <v>649163</v>
      </c>
      <c r="D540">
        <v>2029880647</v>
      </c>
      <c r="E540" t="s">
        <v>388</v>
      </c>
      <c r="F540" t="s">
        <v>389</v>
      </c>
      <c r="G540" t="s">
        <v>50</v>
      </c>
      <c r="H540" t="s">
        <v>93</v>
      </c>
      <c r="I540" t="s">
        <v>441</v>
      </c>
      <c r="J540" t="s">
        <v>445</v>
      </c>
      <c r="K540">
        <v>812994</v>
      </c>
      <c r="L540" t="s">
        <v>294</v>
      </c>
      <c r="M540" t="s">
        <v>295</v>
      </c>
      <c r="N540" t="s">
        <v>1094</v>
      </c>
      <c r="O540" t="s">
        <v>56</v>
      </c>
      <c r="P540" s="1">
        <v>45858</v>
      </c>
      <c r="Q540" s="1">
        <v>45950</v>
      </c>
      <c r="R540" s="2">
        <v>46.46</v>
      </c>
      <c r="S540">
        <v>1</v>
      </c>
      <c r="T540" t="s">
        <v>57</v>
      </c>
      <c r="U540" t="s">
        <v>58</v>
      </c>
      <c r="V540" s="4">
        <v>0.7</v>
      </c>
      <c r="W540" s="2">
        <v>0</v>
      </c>
      <c r="X540">
        <v>0</v>
      </c>
      <c r="Y540" t="s">
        <v>70</v>
      </c>
      <c r="Z540" t="s">
        <v>60</v>
      </c>
      <c r="AA540">
        <v>0</v>
      </c>
      <c r="AB540" s="2">
        <v>0</v>
      </c>
      <c r="AC540" s="2">
        <v>0</v>
      </c>
      <c r="AD540" s="4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32.520000000000003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45915</v>
      </c>
      <c r="B541" t="s">
        <v>47</v>
      </c>
      <c r="C541">
        <v>649163</v>
      </c>
      <c r="D541">
        <v>2028286378</v>
      </c>
      <c r="E541" t="s">
        <v>875</v>
      </c>
      <c r="F541" t="s">
        <v>874</v>
      </c>
      <c r="G541" t="s">
        <v>50</v>
      </c>
      <c r="H541" t="s">
        <v>93</v>
      </c>
      <c r="I541" t="s">
        <v>441</v>
      </c>
      <c r="J541" t="s">
        <v>445</v>
      </c>
      <c r="K541">
        <v>812994</v>
      </c>
      <c r="L541" t="s">
        <v>294</v>
      </c>
      <c r="M541" t="s">
        <v>295</v>
      </c>
      <c r="N541" t="s">
        <v>1094</v>
      </c>
      <c r="O541" t="s">
        <v>230</v>
      </c>
      <c r="P541" s="1">
        <v>45755</v>
      </c>
      <c r="Q541" s="1">
        <v>45938</v>
      </c>
      <c r="R541" s="2">
        <v>-97.26</v>
      </c>
      <c r="S541">
        <v>1</v>
      </c>
      <c r="T541" t="s">
        <v>57</v>
      </c>
      <c r="U541" t="s">
        <v>58</v>
      </c>
      <c r="V541" s="4">
        <v>0.7</v>
      </c>
      <c r="W541" s="2">
        <v>0</v>
      </c>
      <c r="X541">
        <v>-1</v>
      </c>
      <c r="Y541" t="s">
        <v>70</v>
      </c>
      <c r="Z541" t="s">
        <v>60</v>
      </c>
      <c r="AA541">
        <v>0</v>
      </c>
      <c r="AB541" s="2">
        <v>0</v>
      </c>
      <c r="AC541" s="2">
        <v>0</v>
      </c>
      <c r="AD541" s="4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-68.08</v>
      </c>
      <c r="AN541" s="2">
        <v>-68.08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45915</v>
      </c>
      <c r="B542" t="s">
        <v>47</v>
      </c>
      <c r="C542">
        <v>649163</v>
      </c>
      <c r="D542">
        <v>2028286378</v>
      </c>
      <c r="E542" t="s">
        <v>875</v>
      </c>
      <c r="F542" t="s">
        <v>874</v>
      </c>
      <c r="G542" t="s">
        <v>50</v>
      </c>
      <c r="H542" t="s">
        <v>93</v>
      </c>
      <c r="I542" t="s">
        <v>441</v>
      </c>
      <c r="J542" t="s">
        <v>445</v>
      </c>
      <c r="K542">
        <v>812994</v>
      </c>
      <c r="L542" t="s">
        <v>294</v>
      </c>
      <c r="M542" t="s">
        <v>295</v>
      </c>
      <c r="N542" t="s">
        <v>1094</v>
      </c>
      <c r="O542" t="s">
        <v>230</v>
      </c>
      <c r="P542" s="1">
        <v>45755</v>
      </c>
      <c r="Q542" s="1">
        <v>45938</v>
      </c>
      <c r="R542" s="2">
        <v>-97.26</v>
      </c>
      <c r="S542">
        <v>1</v>
      </c>
      <c r="T542" t="s">
        <v>57</v>
      </c>
      <c r="U542" t="s">
        <v>58</v>
      </c>
      <c r="V542" s="4">
        <v>0.7</v>
      </c>
      <c r="W542" s="2">
        <v>0</v>
      </c>
      <c r="X542">
        <v>-1</v>
      </c>
      <c r="Y542" t="s">
        <v>70</v>
      </c>
      <c r="Z542" t="s">
        <v>60</v>
      </c>
      <c r="AA542">
        <v>0</v>
      </c>
      <c r="AB542" s="2">
        <v>0</v>
      </c>
      <c r="AC542" s="2">
        <v>0</v>
      </c>
      <c r="AD542" s="4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-68.08</v>
      </c>
      <c r="AN542" s="2">
        <v>-68.08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45915</v>
      </c>
      <c r="B543" t="s">
        <v>47</v>
      </c>
      <c r="C543">
        <v>649163</v>
      </c>
      <c r="D543">
        <v>2029872568</v>
      </c>
      <c r="E543" t="s">
        <v>925</v>
      </c>
      <c r="F543" t="s">
        <v>364</v>
      </c>
      <c r="G543" t="s">
        <v>50</v>
      </c>
      <c r="H543" t="s">
        <v>93</v>
      </c>
      <c r="I543" t="s">
        <v>441</v>
      </c>
      <c r="J543" t="s">
        <v>445</v>
      </c>
      <c r="K543">
        <v>812994</v>
      </c>
      <c r="L543" t="s">
        <v>294</v>
      </c>
      <c r="M543" t="s">
        <v>295</v>
      </c>
      <c r="N543" t="s">
        <v>1094</v>
      </c>
      <c r="O543" t="s">
        <v>56</v>
      </c>
      <c r="P543" s="1">
        <v>45848</v>
      </c>
      <c r="Q543" s="1">
        <v>45940</v>
      </c>
      <c r="R543" s="2">
        <v>60</v>
      </c>
      <c r="S543">
        <v>1</v>
      </c>
      <c r="T543" t="s">
        <v>57</v>
      </c>
      <c r="U543" t="s">
        <v>58</v>
      </c>
      <c r="V543" s="4">
        <v>0.7</v>
      </c>
      <c r="W543" s="2">
        <v>0</v>
      </c>
      <c r="X543">
        <v>0</v>
      </c>
      <c r="Y543" t="s">
        <v>70</v>
      </c>
      <c r="Z543" t="s">
        <v>60</v>
      </c>
      <c r="AA543">
        <v>0</v>
      </c>
      <c r="AB543" s="2">
        <v>0</v>
      </c>
      <c r="AC543" s="2">
        <v>0</v>
      </c>
      <c r="AD543" s="4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42</v>
      </c>
      <c r="AN543" s="2">
        <v>42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45915</v>
      </c>
      <c r="B544" t="s">
        <v>47</v>
      </c>
      <c r="C544">
        <v>649163</v>
      </c>
      <c r="D544">
        <v>2029973759</v>
      </c>
      <c r="E544" t="s">
        <v>908</v>
      </c>
      <c r="F544" t="s">
        <v>444</v>
      </c>
      <c r="G544" t="s">
        <v>50</v>
      </c>
      <c r="H544" t="s">
        <v>121</v>
      </c>
      <c r="I544" t="s">
        <v>441</v>
      </c>
      <c r="J544" t="s">
        <v>445</v>
      </c>
      <c r="K544">
        <v>812994</v>
      </c>
      <c r="L544" t="s">
        <v>294</v>
      </c>
      <c r="M544" t="s">
        <v>295</v>
      </c>
      <c r="N544" t="s">
        <v>1094</v>
      </c>
      <c r="O544" t="s">
        <v>56</v>
      </c>
      <c r="P544" s="1">
        <v>45854</v>
      </c>
      <c r="Q544" s="1">
        <v>45946</v>
      </c>
      <c r="R544" s="2">
        <v>115.98</v>
      </c>
      <c r="S544">
        <v>1</v>
      </c>
      <c r="T544" t="s">
        <v>57</v>
      </c>
      <c r="U544" t="s">
        <v>58</v>
      </c>
      <c r="V544" s="4">
        <v>0.7</v>
      </c>
      <c r="W544" s="2">
        <v>0</v>
      </c>
      <c r="X544">
        <v>0</v>
      </c>
      <c r="Y544" t="s">
        <v>70</v>
      </c>
      <c r="Z544" t="s">
        <v>60</v>
      </c>
      <c r="AA544">
        <v>0</v>
      </c>
      <c r="AB544" s="2">
        <v>0</v>
      </c>
      <c r="AC544" s="2">
        <v>0</v>
      </c>
      <c r="AD544" s="4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81.19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</row>
    <row r="545" spans="1:44" x14ac:dyDescent="0.25">
      <c r="A545" s="1">
        <v>45915</v>
      </c>
      <c r="B545" t="s">
        <v>47</v>
      </c>
      <c r="C545">
        <v>649163</v>
      </c>
      <c r="D545">
        <v>2028286377</v>
      </c>
      <c r="E545" t="s">
        <v>875</v>
      </c>
      <c r="F545" t="s">
        <v>874</v>
      </c>
      <c r="G545" t="s">
        <v>50</v>
      </c>
      <c r="H545" t="s">
        <v>93</v>
      </c>
      <c r="I545" t="s">
        <v>306</v>
      </c>
      <c r="J545" t="s">
        <v>307</v>
      </c>
      <c r="K545">
        <v>812994</v>
      </c>
      <c r="L545" t="s">
        <v>294</v>
      </c>
      <c r="M545" t="s">
        <v>295</v>
      </c>
      <c r="N545" t="s">
        <v>1094</v>
      </c>
      <c r="O545" t="s">
        <v>230</v>
      </c>
      <c r="P545" s="1">
        <v>45755</v>
      </c>
      <c r="Q545" s="1">
        <v>45938</v>
      </c>
      <c r="R545" s="2">
        <v>-147.41</v>
      </c>
      <c r="S545">
        <v>1</v>
      </c>
      <c r="T545" t="s">
        <v>57</v>
      </c>
      <c r="U545" t="s">
        <v>58</v>
      </c>
      <c r="V545" s="3">
        <v>0.375</v>
      </c>
      <c r="W545" s="2">
        <v>0</v>
      </c>
      <c r="X545">
        <v>-1</v>
      </c>
      <c r="Y545" t="s">
        <v>70</v>
      </c>
      <c r="Z545" t="s">
        <v>60</v>
      </c>
      <c r="AA545">
        <v>0</v>
      </c>
      <c r="AB545" s="2">
        <v>0</v>
      </c>
      <c r="AC545" s="2">
        <v>0</v>
      </c>
      <c r="AD545" s="4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-55.28</v>
      </c>
      <c r="AN545" s="2">
        <v>-55.28</v>
      </c>
      <c r="AO545" s="2">
        <v>0</v>
      </c>
      <c r="AP545" s="2">
        <v>0</v>
      </c>
      <c r="AQ545" s="2">
        <v>0</v>
      </c>
    </row>
    <row r="546" spans="1:44" x14ac:dyDescent="0.25">
      <c r="A546" s="1">
        <v>45915</v>
      </c>
      <c r="B546" t="s">
        <v>47</v>
      </c>
      <c r="C546">
        <v>649163</v>
      </c>
      <c r="D546">
        <v>2028286377</v>
      </c>
      <c r="E546" t="s">
        <v>875</v>
      </c>
      <c r="F546" t="s">
        <v>874</v>
      </c>
      <c r="G546" t="s">
        <v>50</v>
      </c>
      <c r="H546" t="s">
        <v>93</v>
      </c>
      <c r="I546" t="s">
        <v>306</v>
      </c>
      <c r="J546" t="s">
        <v>307</v>
      </c>
      <c r="K546">
        <v>812994</v>
      </c>
      <c r="L546" t="s">
        <v>294</v>
      </c>
      <c r="M546" t="s">
        <v>295</v>
      </c>
      <c r="N546" t="s">
        <v>1094</v>
      </c>
      <c r="O546" t="s">
        <v>230</v>
      </c>
      <c r="P546" s="1">
        <v>45755</v>
      </c>
      <c r="Q546" s="1">
        <v>45938</v>
      </c>
      <c r="R546" s="2">
        <v>-147.41</v>
      </c>
      <c r="S546">
        <v>1</v>
      </c>
      <c r="T546" t="s">
        <v>57</v>
      </c>
      <c r="U546" t="s">
        <v>58</v>
      </c>
      <c r="V546" s="3">
        <v>0.375</v>
      </c>
      <c r="W546" s="2">
        <v>0</v>
      </c>
      <c r="X546">
        <v>-1</v>
      </c>
      <c r="Y546" t="s">
        <v>70</v>
      </c>
      <c r="Z546" t="s">
        <v>60</v>
      </c>
      <c r="AA546">
        <v>0</v>
      </c>
      <c r="AB546" s="2">
        <v>0</v>
      </c>
      <c r="AC546" s="2">
        <v>0</v>
      </c>
      <c r="AD546" s="4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-55.28</v>
      </c>
      <c r="AN546" s="2">
        <v>-55.28</v>
      </c>
      <c r="AO546" s="2">
        <v>0</v>
      </c>
      <c r="AP546" s="2">
        <v>0</v>
      </c>
      <c r="AQ546" s="2">
        <v>0</v>
      </c>
    </row>
    <row r="547" spans="1:44" x14ac:dyDescent="0.25">
      <c r="A547" s="1">
        <v>45922</v>
      </c>
      <c r="B547" t="s">
        <v>602</v>
      </c>
      <c r="C547">
        <v>649163</v>
      </c>
      <c r="D547">
        <v>2030805541</v>
      </c>
      <c r="E547" t="s">
        <v>292</v>
      </c>
      <c r="F547" t="s">
        <v>293</v>
      </c>
      <c r="G547" t="s">
        <v>50</v>
      </c>
      <c r="I547" t="s">
        <v>430</v>
      </c>
      <c r="J547" t="s">
        <v>438</v>
      </c>
      <c r="K547">
        <v>649163</v>
      </c>
      <c r="L547" t="s">
        <v>294</v>
      </c>
      <c r="M547" t="s">
        <v>295</v>
      </c>
      <c r="N547" t="s">
        <v>1094</v>
      </c>
      <c r="O547" t="s">
        <v>230</v>
      </c>
      <c r="P547" s="1">
        <v>45902</v>
      </c>
      <c r="R547" s="2">
        <v>0</v>
      </c>
      <c r="AB547" s="2">
        <v>542.71</v>
      </c>
      <c r="AC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90.45</v>
      </c>
      <c r="AN547" s="2">
        <v>-452.26</v>
      </c>
      <c r="AO547" s="2">
        <v>-452.26</v>
      </c>
      <c r="AP547" s="2">
        <v>0</v>
      </c>
      <c r="AQ547" s="2">
        <v>0</v>
      </c>
      <c r="AR547" t="s">
        <v>603</v>
      </c>
    </row>
    <row r="548" spans="1:44" x14ac:dyDescent="0.25">
      <c r="A548" s="1">
        <v>45922</v>
      </c>
      <c r="B548" t="s">
        <v>602</v>
      </c>
      <c r="C548">
        <v>649163</v>
      </c>
      <c r="D548">
        <v>2030805542</v>
      </c>
      <c r="E548" t="s">
        <v>292</v>
      </c>
      <c r="F548" t="s">
        <v>293</v>
      </c>
      <c r="G548" t="s">
        <v>50</v>
      </c>
      <c r="I548" t="s">
        <v>243</v>
      </c>
      <c r="J548" t="s">
        <v>261</v>
      </c>
      <c r="K548">
        <v>649163</v>
      </c>
      <c r="L548" t="s">
        <v>294</v>
      </c>
      <c r="M548" t="s">
        <v>295</v>
      </c>
      <c r="N548" t="s">
        <v>1094</v>
      </c>
      <c r="O548" t="s">
        <v>230</v>
      </c>
      <c r="P548" s="1">
        <v>45902</v>
      </c>
      <c r="R548" s="2">
        <v>0</v>
      </c>
      <c r="AB548" s="2">
        <v>34.200000000000003</v>
      </c>
      <c r="AC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5.7</v>
      </c>
      <c r="AN548" s="2">
        <v>-28.5</v>
      </c>
      <c r="AO548" s="2">
        <v>-28.5</v>
      </c>
      <c r="AP548" s="2">
        <v>0</v>
      </c>
      <c r="AQ548" s="2">
        <v>0</v>
      </c>
      <c r="AR548" t="s">
        <v>603</v>
      </c>
    </row>
    <row r="549" spans="1:44" x14ac:dyDescent="0.25">
      <c r="A549" s="1">
        <v>45922</v>
      </c>
      <c r="B549" t="s">
        <v>47</v>
      </c>
      <c r="C549">
        <v>649163</v>
      </c>
      <c r="D549">
        <v>2028320246</v>
      </c>
      <c r="E549" t="s">
        <v>75</v>
      </c>
      <c r="F549" t="s">
        <v>76</v>
      </c>
      <c r="G549" t="s">
        <v>50</v>
      </c>
      <c r="H549" t="s">
        <v>77</v>
      </c>
      <c r="I549" t="s">
        <v>52</v>
      </c>
      <c r="J549" t="s">
        <v>78</v>
      </c>
      <c r="K549">
        <v>823350</v>
      </c>
      <c r="L549" t="s">
        <v>79</v>
      </c>
      <c r="M549" t="s">
        <v>80</v>
      </c>
      <c r="N549" t="s">
        <v>1079</v>
      </c>
      <c r="O549" t="s">
        <v>56</v>
      </c>
      <c r="P549" s="1">
        <v>45772</v>
      </c>
      <c r="Q549" s="1">
        <v>45955</v>
      </c>
      <c r="R549" s="2">
        <v>68.52</v>
      </c>
      <c r="S549">
        <v>1</v>
      </c>
      <c r="T549" t="s">
        <v>57</v>
      </c>
      <c r="U549" t="s">
        <v>58</v>
      </c>
      <c r="V549" s="4">
        <v>0.6</v>
      </c>
      <c r="W549" s="2">
        <v>0</v>
      </c>
      <c r="X549">
        <v>0</v>
      </c>
      <c r="Y549" t="s">
        <v>70</v>
      </c>
      <c r="Z549" t="s">
        <v>60</v>
      </c>
      <c r="AA549">
        <v>0</v>
      </c>
      <c r="AB549" s="2">
        <v>0</v>
      </c>
      <c r="AC549" s="2">
        <v>0</v>
      </c>
      <c r="AD549" s="4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41.11</v>
      </c>
      <c r="AN549" s="2">
        <v>41.11</v>
      </c>
      <c r="AO549" s="2">
        <v>0</v>
      </c>
      <c r="AP549" s="2">
        <v>0</v>
      </c>
      <c r="AQ549" s="2">
        <v>0</v>
      </c>
    </row>
    <row r="550" spans="1:44" x14ac:dyDescent="0.25">
      <c r="A550" s="1">
        <v>45922</v>
      </c>
      <c r="B550" t="s">
        <v>47</v>
      </c>
      <c r="C550">
        <v>649163</v>
      </c>
      <c r="D550">
        <v>2028461883</v>
      </c>
      <c r="E550" t="s">
        <v>174</v>
      </c>
      <c r="F550" t="s">
        <v>175</v>
      </c>
      <c r="G550" t="s">
        <v>50</v>
      </c>
      <c r="H550" t="s">
        <v>121</v>
      </c>
      <c r="I550" t="s">
        <v>106</v>
      </c>
      <c r="J550" t="s">
        <v>107</v>
      </c>
      <c r="K550">
        <v>823350</v>
      </c>
      <c r="L550" t="s">
        <v>79</v>
      </c>
      <c r="M550" t="s">
        <v>80</v>
      </c>
      <c r="N550" t="s">
        <v>1079</v>
      </c>
      <c r="O550" t="s">
        <v>56</v>
      </c>
      <c r="P550" s="1">
        <v>45772</v>
      </c>
      <c r="Q550" s="1">
        <v>45955</v>
      </c>
      <c r="R550" s="2">
        <v>36.82</v>
      </c>
      <c r="S550">
        <v>1</v>
      </c>
      <c r="T550" t="s">
        <v>57</v>
      </c>
      <c r="U550" t="s">
        <v>58</v>
      </c>
      <c r="V550" s="4">
        <v>0.9</v>
      </c>
      <c r="W550" s="2">
        <v>0</v>
      </c>
      <c r="X550">
        <v>0</v>
      </c>
      <c r="Y550" t="s">
        <v>70</v>
      </c>
      <c r="Z550" t="s">
        <v>60</v>
      </c>
      <c r="AA550">
        <v>0</v>
      </c>
      <c r="AB550" s="2">
        <v>0</v>
      </c>
      <c r="AC550" s="2">
        <v>0</v>
      </c>
      <c r="AD550" s="4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33.14</v>
      </c>
      <c r="AN550" s="2">
        <v>33.14</v>
      </c>
      <c r="AO550" s="2">
        <v>0</v>
      </c>
      <c r="AP550" s="2">
        <v>0</v>
      </c>
      <c r="AQ550" s="2">
        <v>0</v>
      </c>
    </row>
    <row r="551" spans="1:44" x14ac:dyDescent="0.25">
      <c r="A551" s="1">
        <v>45922</v>
      </c>
      <c r="B551" t="s">
        <v>47</v>
      </c>
      <c r="C551">
        <v>649163</v>
      </c>
      <c r="D551">
        <v>2028498800</v>
      </c>
      <c r="E551" t="s">
        <v>178</v>
      </c>
      <c r="F551" t="s">
        <v>179</v>
      </c>
      <c r="G551" t="s">
        <v>50</v>
      </c>
      <c r="H551" t="s">
        <v>180</v>
      </c>
      <c r="I551" t="s">
        <v>106</v>
      </c>
      <c r="J551" t="s">
        <v>116</v>
      </c>
      <c r="K551">
        <v>823350</v>
      </c>
      <c r="L551" t="s">
        <v>79</v>
      </c>
      <c r="M551" t="s">
        <v>80</v>
      </c>
      <c r="N551" t="s">
        <v>1079</v>
      </c>
      <c r="O551" t="s">
        <v>56</v>
      </c>
      <c r="P551" s="1">
        <v>45772</v>
      </c>
      <c r="Q551" s="1">
        <v>45955</v>
      </c>
      <c r="R551" s="2">
        <v>28.95</v>
      </c>
      <c r="S551">
        <v>1</v>
      </c>
      <c r="T551" t="s">
        <v>57</v>
      </c>
      <c r="U551" t="s">
        <v>58</v>
      </c>
      <c r="V551" s="4">
        <v>0.75</v>
      </c>
      <c r="W551" s="2">
        <v>0</v>
      </c>
      <c r="X551">
        <v>0</v>
      </c>
      <c r="Y551" t="s">
        <v>70</v>
      </c>
      <c r="Z551" t="s">
        <v>60</v>
      </c>
      <c r="AA551">
        <v>0</v>
      </c>
      <c r="AB551" s="2">
        <v>0</v>
      </c>
      <c r="AC551" s="2">
        <v>0</v>
      </c>
      <c r="AD551" s="4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21.71</v>
      </c>
      <c r="AN551" s="2">
        <v>21.71</v>
      </c>
      <c r="AO551" s="2">
        <v>0</v>
      </c>
      <c r="AP551" s="2">
        <v>0</v>
      </c>
      <c r="AQ551" s="2">
        <v>0</v>
      </c>
    </row>
    <row r="552" spans="1:44" x14ac:dyDescent="0.25">
      <c r="A552" s="1">
        <v>45922</v>
      </c>
      <c r="B552" t="s">
        <v>47</v>
      </c>
      <c r="C552">
        <v>649163</v>
      </c>
      <c r="D552">
        <v>2028320247</v>
      </c>
      <c r="E552" t="s">
        <v>75</v>
      </c>
      <c r="F552" t="s">
        <v>76</v>
      </c>
      <c r="G552" t="s">
        <v>50</v>
      </c>
      <c r="H552" t="s">
        <v>77</v>
      </c>
      <c r="I552" t="s">
        <v>306</v>
      </c>
      <c r="J552" t="s">
        <v>307</v>
      </c>
      <c r="K552">
        <v>823350</v>
      </c>
      <c r="L552" t="s">
        <v>79</v>
      </c>
      <c r="M552" t="s">
        <v>80</v>
      </c>
      <c r="N552" t="s">
        <v>1079</v>
      </c>
      <c r="O552" t="s">
        <v>56</v>
      </c>
      <c r="P552" s="1">
        <v>45772</v>
      </c>
      <c r="Q552" s="1">
        <v>45955</v>
      </c>
      <c r="R552" s="2">
        <v>66.5</v>
      </c>
      <c r="S552">
        <v>1</v>
      </c>
      <c r="T552" t="s">
        <v>57</v>
      </c>
      <c r="U552" t="s">
        <v>58</v>
      </c>
      <c r="V552" s="3">
        <v>0.375</v>
      </c>
      <c r="W552" s="2">
        <v>0</v>
      </c>
      <c r="X552">
        <v>0</v>
      </c>
      <c r="Y552" t="s">
        <v>70</v>
      </c>
      <c r="Z552" t="s">
        <v>60</v>
      </c>
      <c r="AA552">
        <v>0</v>
      </c>
      <c r="AB552" s="2">
        <v>0</v>
      </c>
      <c r="AC552" s="2">
        <v>0</v>
      </c>
      <c r="AD552" s="4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24.94</v>
      </c>
      <c r="AN552" s="2">
        <v>24.94</v>
      </c>
      <c r="AO552" s="2">
        <v>0</v>
      </c>
      <c r="AP552" s="2">
        <v>0</v>
      </c>
      <c r="AQ552" s="2">
        <v>0</v>
      </c>
    </row>
    <row r="553" spans="1:44" x14ac:dyDescent="0.25">
      <c r="A553" s="1">
        <v>45922</v>
      </c>
      <c r="B553" t="s">
        <v>47</v>
      </c>
      <c r="C553">
        <v>649163</v>
      </c>
      <c r="D553">
        <v>2028461881</v>
      </c>
      <c r="E553" t="s">
        <v>174</v>
      </c>
      <c r="F553" t="s">
        <v>175</v>
      </c>
      <c r="G553" t="s">
        <v>50</v>
      </c>
      <c r="H553" t="s">
        <v>121</v>
      </c>
      <c r="I553" t="s">
        <v>306</v>
      </c>
      <c r="J553" t="s">
        <v>307</v>
      </c>
      <c r="K553">
        <v>823350</v>
      </c>
      <c r="L553" t="s">
        <v>79</v>
      </c>
      <c r="M553" t="s">
        <v>80</v>
      </c>
      <c r="N553" t="s">
        <v>1079</v>
      </c>
      <c r="O553" t="s">
        <v>56</v>
      </c>
      <c r="P553" s="1">
        <v>45772</v>
      </c>
      <c r="Q553" s="1">
        <v>45955</v>
      </c>
      <c r="R553" s="2">
        <v>78.41</v>
      </c>
      <c r="S553">
        <v>1</v>
      </c>
      <c r="T553" t="s">
        <v>57</v>
      </c>
      <c r="U553" t="s">
        <v>58</v>
      </c>
      <c r="V553" s="3">
        <v>0.375</v>
      </c>
      <c r="W553" s="2">
        <v>0</v>
      </c>
      <c r="X553">
        <v>0</v>
      </c>
      <c r="Y553" t="s">
        <v>70</v>
      </c>
      <c r="Z553" t="s">
        <v>60</v>
      </c>
      <c r="AA553">
        <v>0</v>
      </c>
      <c r="AB553" s="2">
        <v>0</v>
      </c>
      <c r="AC553" s="2">
        <v>0</v>
      </c>
      <c r="AD553" s="4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29.4</v>
      </c>
      <c r="AN553" s="2">
        <v>29.4</v>
      </c>
      <c r="AO553" s="2">
        <v>0</v>
      </c>
      <c r="AP553" s="2">
        <v>0</v>
      </c>
      <c r="AQ553" s="2">
        <v>0</v>
      </c>
    </row>
    <row r="554" spans="1:44" x14ac:dyDescent="0.25">
      <c r="A554" s="1">
        <v>45922</v>
      </c>
      <c r="B554" t="s">
        <v>47</v>
      </c>
      <c r="C554">
        <v>649163</v>
      </c>
      <c r="D554">
        <v>2028498798</v>
      </c>
      <c r="E554" t="s">
        <v>178</v>
      </c>
      <c r="F554" t="s">
        <v>179</v>
      </c>
      <c r="G554" t="s">
        <v>50</v>
      </c>
      <c r="H554" t="s">
        <v>180</v>
      </c>
      <c r="I554" t="s">
        <v>306</v>
      </c>
      <c r="J554" t="s">
        <v>307</v>
      </c>
      <c r="K554">
        <v>823350</v>
      </c>
      <c r="L554" t="s">
        <v>79</v>
      </c>
      <c r="M554" t="s">
        <v>80</v>
      </c>
      <c r="N554" t="s">
        <v>1079</v>
      </c>
      <c r="O554" t="s">
        <v>56</v>
      </c>
      <c r="P554" s="1">
        <v>45772</v>
      </c>
      <c r="Q554" s="1">
        <v>45955</v>
      </c>
      <c r="R554" s="2">
        <v>58.15</v>
      </c>
      <c r="S554">
        <v>1</v>
      </c>
      <c r="T554" t="s">
        <v>57</v>
      </c>
      <c r="U554" t="s">
        <v>58</v>
      </c>
      <c r="V554" s="3">
        <v>0.375</v>
      </c>
      <c r="W554" s="2">
        <v>0</v>
      </c>
      <c r="X554">
        <v>0</v>
      </c>
      <c r="Y554" t="s">
        <v>70</v>
      </c>
      <c r="Z554" t="s">
        <v>60</v>
      </c>
      <c r="AA554">
        <v>0</v>
      </c>
      <c r="AB554" s="2">
        <v>0</v>
      </c>
      <c r="AC554" s="2">
        <v>0</v>
      </c>
      <c r="AD554" s="4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21.81</v>
      </c>
      <c r="AN554" s="2">
        <v>21.81</v>
      </c>
      <c r="AO554" s="2">
        <v>0</v>
      </c>
      <c r="AP554" s="2">
        <v>0</v>
      </c>
      <c r="AQ554" s="2">
        <v>0</v>
      </c>
    </row>
    <row r="555" spans="1:44" x14ac:dyDescent="0.25">
      <c r="A555" s="1">
        <v>45922</v>
      </c>
      <c r="B555" t="s">
        <v>47</v>
      </c>
      <c r="C555">
        <v>649163</v>
      </c>
      <c r="D555">
        <v>2029081351</v>
      </c>
      <c r="E555" t="s">
        <v>170</v>
      </c>
      <c r="F555" t="s">
        <v>331</v>
      </c>
      <c r="G555" t="s">
        <v>50</v>
      </c>
      <c r="H555" t="s">
        <v>93</v>
      </c>
      <c r="I555" t="s">
        <v>306</v>
      </c>
      <c r="J555" t="s">
        <v>307</v>
      </c>
      <c r="K555">
        <v>823350</v>
      </c>
      <c r="L555" t="s">
        <v>79</v>
      </c>
      <c r="M555" t="s">
        <v>80</v>
      </c>
      <c r="N555" t="s">
        <v>1079</v>
      </c>
      <c r="O555" t="s">
        <v>56</v>
      </c>
      <c r="P555" s="1">
        <v>45800</v>
      </c>
      <c r="Q555" s="1">
        <v>45953</v>
      </c>
      <c r="R555" s="2">
        <v>57.19</v>
      </c>
      <c r="S555">
        <v>1</v>
      </c>
      <c r="T555" t="s">
        <v>57</v>
      </c>
      <c r="U555" t="s">
        <v>58</v>
      </c>
      <c r="V555" s="3">
        <v>0.375</v>
      </c>
      <c r="W555" s="2">
        <v>0</v>
      </c>
      <c r="X555">
        <v>0</v>
      </c>
      <c r="Y555" t="s">
        <v>70</v>
      </c>
      <c r="Z555" t="s">
        <v>60</v>
      </c>
      <c r="AA555">
        <v>0</v>
      </c>
      <c r="AB555" s="2">
        <v>0</v>
      </c>
      <c r="AC555" s="2">
        <v>0</v>
      </c>
      <c r="AD555" s="4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21.45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</row>
    <row r="556" spans="1:44" x14ac:dyDescent="0.25">
      <c r="A556" s="1">
        <v>45922</v>
      </c>
      <c r="B556" t="s">
        <v>47</v>
      </c>
      <c r="C556">
        <v>649163</v>
      </c>
      <c r="D556">
        <v>2028461882</v>
      </c>
      <c r="E556" t="s">
        <v>174</v>
      </c>
      <c r="F556" t="s">
        <v>175</v>
      </c>
      <c r="G556" t="s">
        <v>50</v>
      </c>
      <c r="H556" t="s">
        <v>121</v>
      </c>
      <c r="I556" t="s">
        <v>441</v>
      </c>
      <c r="J556" t="s">
        <v>445</v>
      </c>
      <c r="K556">
        <v>823350</v>
      </c>
      <c r="L556" t="s">
        <v>79</v>
      </c>
      <c r="M556" t="s">
        <v>80</v>
      </c>
      <c r="N556" t="s">
        <v>1079</v>
      </c>
      <c r="O556" t="s">
        <v>56</v>
      </c>
      <c r="P556" s="1">
        <v>45772</v>
      </c>
      <c r="Q556" s="1">
        <v>45955</v>
      </c>
      <c r="R556" s="2">
        <v>58.94</v>
      </c>
      <c r="S556">
        <v>1</v>
      </c>
      <c r="T556" t="s">
        <v>57</v>
      </c>
      <c r="U556" t="s">
        <v>58</v>
      </c>
      <c r="V556" s="4">
        <v>0.7</v>
      </c>
      <c r="W556" s="2">
        <v>0</v>
      </c>
      <c r="X556">
        <v>0</v>
      </c>
      <c r="Y556" t="s">
        <v>70</v>
      </c>
      <c r="Z556" t="s">
        <v>60</v>
      </c>
      <c r="AA556">
        <v>0</v>
      </c>
      <c r="AB556" s="2">
        <v>0</v>
      </c>
      <c r="AC556" s="2">
        <v>0</v>
      </c>
      <c r="AD556" s="4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41.26</v>
      </c>
      <c r="AN556" s="2">
        <v>41.26</v>
      </c>
      <c r="AO556" s="2">
        <v>0</v>
      </c>
      <c r="AP556" s="2">
        <v>0</v>
      </c>
      <c r="AQ556" s="2">
        <v>0</v>
      </c>
    </row>
    <row r="557" spans="1:44" x14ac:dyDescent="0.25">
      <c r="A557" s="1">
        <v>45922</v>
      </c>
      <c r="B557" t="s">
        <v>47</v>
      </c>
      <c r="C557">
        <v>649163</v>
      </c>
      <c r="D557">
        <v>2028498799</v>
      </c>
      <c r="E557" t="s">
        <v>178</v>
      </c>
      <c r="F557" t="s">
        <v>179</v>
      </c>
      <c r="G557" t="s">
        <v>50</v>
      </c>
      <c r="H557" t="s">
        <v>180</v>
      </c>
      <c r="I557" t="s">
        <v>441</v>
      </c>
      <c r="J557" t="s">
        <v>445</v>
      </c>
      <c r="K557">
        <v>823350</v>
      </c>
      <c r="L557" t="s">
        <v>79</v>
      </c>
      <c r="M557" t="s">
        <v>80</v>
      </c>
      <c r="N557" t="s">
        <v>1079</v>
      </c>
      <c r="O557" t="s">
        <v>56</v>
      </c>
      <c r="P557" s="1">
        <v>45772</v>
      </c>
      <c r="Q557" s="1">
        <v>45955</v>
      </c>
      <c r="R557" s="2">
        <v>30.58</v>
      </c>
      <c r="S557">
        <v>1</v>
      </c>
      <c r="T557" t="s">
        <v>57</v>
      </c>
      <c r="U557" t="s">
        <v>58</v>
      </c>
      <c r="V557" s="4">
        <v>0.7</v>
      </c>
      <c r="W557" s="2">
        <v>0</v>
      </c>
      <c r="X557">
        <v>0</v>
      </c>
      <c r="Y557" t="s">
        <v>70</v>
      </c>
      <c r="Z557" t="s">
        <v>60</v>
      </c>
      <c r="AA557">
        <v>0</v>
      </c>
      <c r="AB557" s="2">
        <v>0</v>
      </c>
      <c r="AC557" s="2">
        <v>0</v>
      </c>
      <c r="AD557" s="4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21.41</v>
      </c>
      <c r="AN557" s="2">
        <v>21.41</v>
      </c>
      <c r="AO557" s="2">
        <v>0</v>
      </c>
      <c r="AP557" s="2">
        <v>0</v>
      </c>
      <c r="AQ557" s="2">
        <v>0</v>
      </c>
    </row>
    <row r="558" spans="1:44" x14ac:dyDescent="0.25">
      <c r="A558" s="1">
        <v>45922</v>
      </c>
      <c r="B558" t="s">
        <v>47</v>
      </c>
      <c r="C558">
        <v>649163</v>
      </c>
      <c r="D558">
        <v>2028498801</v>
      </c>
      <c r="E558" t="s">
        <v>178</v>
      </c>
      <c r="F558" t="s">
        <v>179</v>
      </c>
      <c r="G558" t="s">
        <v>50</v>
      </c>
      <c r="H558" t="s">
        <v>180</v>
      </c>
      <c r="I558" t="s">
        <v>441</v>
      </c>
      <c r="J558" t="s">
        <v>442</v>
      </c>
      <c r="K558">
        <v>823350</v>
      </c>
      <c r="L558" t="s">
        <v>79</v>
      </c>
      <c r="M558" t="s">
        <v>80</v>
      </c>
      <c r="N558" t="s">
        <v>1079</v>
      </c>
      <c r="O558" t="s">
        <v>56</v>
      </c>
      <c r="P558" s="1">
        <v>45772</v>
      </c>
      <c r="Q558" s="1">
        <v>45955</v>
      </c>
      <c r="R558" s="2">
        <v>56.75</v>
      </c>
      <c r="S558">
        <v>1</v>
      </c>
      <c r="T558" t="s">
        <v>57</v>
      </c>
      <c r="U558" t="s">
        <v>58</v>
      </c>
      <c r="V558" s="4">
        <v>0.9</v>
      </c>
      <c r="W558" s="2">
        <v>0</v>
      </c>
      <c r="X558">
        <v>0</v>
      </c>
      <c r="Y558" t="s">
        <v>70</v>
      </c>
      <c r="Z558" t="s">
        <v>60</v>
      </c>
      <c r="AA558">
        <v>0</v>
      </c>
      <c r="AB558" s="2">
        <v>0</v>
      </c>
      <c r="AC558" s="2">
        <v>0</v>
      </c>
      <c r="AD558" s="4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51.08</v>
      </c>
      <c r="AN558" s="2">
        <v>51.08</v>
      </c>
      <c r="AO558" s="2">
        <v>0</v>
      </c>
      <c r="AP558" s="2">
        <v>0</v>
      </c>
      <c r="AQ558" s="2">
        <v>0</v>
      </c>
    </row>
    <row r="559" spans="1:44" x14ac:dyDescent="0.25">
      <c r="A559" s="1">
        <v>45922</v>
      </c>
      <c r="B559" t="s">
        <v>47</v>
      </c>
      <c r="C559">
        <v>649163</v>
      </c>
      <c r="D559">
        <v>2028942347</v>
      </c>
      <c r="E559" t="s">
        <v>500</v>
      </c>
      <c r="F559" t="s">
        <v>501</v>
      </c>
      <c r="G559" t="s">
        <v>50</v>
      </c>
      <c r="H559" t="s">
        <v>93</v>
      </c>
      <c r="I559" t="s">
        <v>441</v>
      </c>
      <c r="J559" t="s">
        <v>445</v>
      </c>
      <c r="K559">
        <v>823350</v>
      </c>
      <c r="L559" t="s">
        <v>79</v>
      </c>
      <c r="M559" t="s">
        <v>80</v>
      </c>
      <c r="N559" t="s">
        <v>1079</v>
      </c>
      <c r="O559" t="s">
        <v>56</v>
      </c>
      <c r="P559" s="1">
        <v>45801</v>
      </c>
      <c r="Q559" s="1">
        <v>45954</v>
      </c>
      <c r="R559" s="2">
        <v>192.61</v>
      </c>
      <c r="S559">
        <v>1</v>
      </c>
      <c r="T559" t="s">
        <v>57</v>
      </c>
      <c r="U559" t="s">
        <v>58</v>
      </c>
      <c r="V559" s="4">
        <v>0.7</v>
      </c>
      <c r="W559" s="2">
        <v>0</v>
      </c>
      <c r="X559">
        <v>0</v>
      </c>
      <c r="Y559" t="s">
        <v>70</v>
      </c>
      <c r="Z559" t="s">
        <v>60</v>
      </c>
      <c r="AA559">
        <v>0</v>
      </c>
      <c r="AB559" s="2">
        <v>0</v>
      </c>
      <c r="AC559" s="2">
        <v>0</v>
      </c>
      <c r="AD559" s="4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134.83000000000001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</row>
    <row r="560" spans="1:44" x14ac:dyDescent="0.25">
      <c r="A560" s="1">
        <v>45922</v>
      </c>
      <c r="B560" t="s">
        <v>47</v>
      </c>
      <c r="C560">
        <v>649163</v>
      </c>
      <c r="D560">
        <v>2029081352</v>
      </c>
      <c r="E560" t="s">
        <v>170</v>
      </c>
      <c r="F560" t="s">
        <v>331</v>
      </c>
      <c r="G560" t="s">
        <v>50</v>
      </c>
      <c r="H560" t="s">
        <v>93</v>
      </c>
      <c r="I560" t="s">
        <v>441</v>
      </c>
      <c r="J560" t="s">
        <v>445</v>
      </c>
      <c r="K560">
        <v>823350</v>
      </c>
      <c r="L560" t="s">
        <v>79</v>
      </c>
      <c r="M560" t="s">
        <v>80</v>
      </c>
      <c r="N560" t="s">
        <v>1079</v>
      </c>
      <c r="O560" t="s">
        <v>56</v>
      </c>
      <c r="P560" s="1">
        <v>45800</v>
      </c>
      <c r="Q560" s="1">
        <v>45953</v>
      </c>
      <c r="R560" s="2">
        <v>11.5</v>
      </c>
      <c r="S560">
        <v>1</v>
      </c>
      <c r="T560" t="s">
        <v>57</v>
      </c>
      <c r="U560" t="s">
        <v>58</v>
      </c>
      <c r="V560" s="4">
        <v>0.7</v>
      </c>
      <c r="W560" s="2">
        <v>0</v>
      </c>
      <c r="X560">
        <v>0</v>
      </c>
      <c r="Y560" t="s">
        <v>70</v>
      </c>
      <c r="Z560" t="s">
        <v>60</v>
      </c>
      <c r="AA560">
        <v>0</v>
      </c>
      <c r="AB560" s="2">
        <v>0</v>
      </c>
      <c r="AC560" s="2">
        <v>0</v>
      </c>
      <c r="AD560" s="4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8.0500000000000007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45915</v>
      </c>
      <c r="B561" t="s">
        <v>47</v>
      </c>
      <c r="C561">
        <v>649163</v>
      </c>
      <c r="D561">
        <v>2029058325</v>
      </c>
      <c r="E561" t="s">
        <v>944</v>
      </c>
      <c r="F561" t="s">
        <v>943</v>
      </c>
      <c r="G561" t="s">
        <v>50</v>
      </c>
      <c r="H561" t="s">
        <v>180</v>
      </c>
      <c r="I561" t="s">
        <v>243</v>
      </c>
      <c r="J561" t="s">
        <v>298</v>
      </c>
      <c r="K561">
        <v>823350</v>
      </c>
      <c r="L561" t="s">
        <v>79</v>
      </c>
      <c r="M561" t="s">
        <v>80</v>
      </c>
      <c r="N561" t="s">
        <v>1079</v>
      </c>
      <c r="O561" t="s">
        <v>56</v>
      </c>
      <c r="P561" s="1">
        <v>45796</v>
      </c>
      <c r="Q561" s="1">
        <v>45949</v>
      </c>
      <c r="R561" s="2">
        <v>15</v>
      </c>
      <c r="S561">
        <v>1</v>
      </c>
      <c r="T561" t="s">
        <v>57</v>
      </c>
      <c r="U561" t="s">
        <v>58</v>
      </c>
      <c r="V561" s="4">
        <v>0.19</v>
      </c>
      <c r="W561" s="2">
        <v>0</v>
      </c>
      <c r="X561">
        <v>0</v>
      </c>
      <c r="Y561" t="s">
        <v>70</v>
      </c>
      <c r="Z561" t="s">
        <v>60</v>
      </c>
      <c r="AA561">
        <v>0</v>
      </c>
      <c r="AB561" s="2">
        <v>0</v>
      </c>
      <c r="AC561" s="2">
        <v>0</v>
      </c>
      <c r="AD561" s="4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2.85</v>
      </c>
      <c r="AN561" s="2">
        <v>2.85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45915</v>
      </c>
      <c r="B562" t="s">
        <v>47</v>
      </c>
      <c r="C562">
        <v>649163</v>
      </c>
      <c r="D562">
        <v>2028912654</v>
      </c>
      <c r="E562" t="s">
        <v>964</v>
      </c>
      <c r="F562" t="s">
        <v>796</v>
      </c>
      <c r="G562" t="s">
        <v>50</v>
      </c>
      <c r="H562" t="s">
        <v>115</v>
      </c>
      <c r="I562" t="s">
        <v>441</v>
      </c>
      <c r="J562" t="s">
        <v>445</v>
      </c>
      <c r="K562">
        <v>823350</v>
      </c>
      <c r="L562" t="s">
        <v>79</v>
      </c>
      <c r="M562" t="s">
        <v>80</v>
      </c>
      <c r="N562" t="s">
        <v>1079</v>
      </c>
      <c r="O562" t="s">
        <v>56</v>
      </c>
      <c r="P562" s="1">
        <v>45791</v>
      </c>
      <c r="Q562" s="1">
        <v>45944</v>
      </c>
      <c r="R562" s="2">
        <v>150.66</v>
      </c>
      <c r="S562">
        <v>1</v>
      </c>
      <c r="T562" t="s">
        <v>57</v>
      </c>
      <c r="U562" t="s">
        <v>58</v>
      </c>
      <c r="V562" s="4">
        <v>0.7</v>
      </c>
      <c r="W562" s="2">
        <v>0</v>
      </c>
      <c r="X562">
        <v>0</v>
      </c>
      <c r="Y562" t="s">
        <v>70</v>
      </c>
      <c r="Z562" t="s">
        <v>60</v>
      </c>
      <c r="AA562">
        <v>0</v>
      </c>
      <c r="AB562" s="2">
        <v>0</v>
      </c>
      <c r="AC562" s="2">
        <v>0</v>
      </c>
      <c r="AD562" s="4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105.46</v>
      </c>
      <c r="AN562" s="2">
        <v>105.46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45915</v>
      </c>
      <c r="B563" t="s">
        <v>47</v>
      </c>
      <c r="C563">
        <v>649163</v>
      </c>
      <c r="D563">
        <v>2029058324</v>
      </c>
      <c r="E563" t="s">
        <v>944</v>
      </c>
      <c r="F563" t="s">
        <v>943</v>
      </c>
      <c r="G563" t="s">
        <v>50</v>
      </c>
      <c r="H563" t="s">
        <v>180</v>
      </c>
      <c r="I563" t="s">
        <v>441</v>
      </c>
      <c r="J563" t="s">
        <v>445</v>
      </c>
      <c r="K563">
        <v>823350</v>
      </c>
      <c r="L563" t="s">
        <v>79</v>
      </c>
      <c r="M563" t="s">
        <v>80</v>
      </c>
      <c r="N563" t="s">
        <v>1079</v>
      </c>
      <c r="O563" t="s">
        <v>56</v>
      </c>
      <c r="P563" s="1">
        <v>45796</v>
      </c>
      <c r="Q563" s="1">
        <v>45949</v>
      </c>
      <c r="R563" s="2">
        <v>43.92</v>
      </c>
      <c r="S563">
        <v>1</v>
      </c>
      <c r="T563" t="s">
        <v>57</v>
      </c>
      <c r="U563" t="s">
        <v>58</v>
      </c>
      <c r="V563" s="4">
        <v>0.7</v>
      </c>
      <c r="W563" s="2">
        <v>0</v>
      </c>
      <c r="X563">
        <v>0</v>
      </c>
      <c r="Y563" t="s">
        <v>70</v>
      </c>
      <c r="Z563" t="s">
        <v>60</v>
      </c>
      <c r="AA563">
        <v>0</v>
      </c>
      <c r="AB563" s="2">
        <v>0</v>
      </c>
      <c r="AC563" s="2">
        <v>0</v>
      </c>
      <c r="AD563" s="4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30.74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45915</v>
      </c>
      <c r="B564" t="s">
        <v>47</v>
      </c>
      <c r="C564">
        <v>649163</v>
      </c>
      <c r="D564">
        <v>2029511428</v>
      </c>
      <c r="E564" t="s">
        <v>170</v>
      </c>
      <c r="F564" t="s">
        <v>65</v>
      </c>
      <c r="G564" t="s">
        <v>50</v>
      </c>
      <c r="H564" t="s">
        <v>93</v>
      </c>
      <c r="I564" t="s">
        <v>441</v>
      </c>
      <c r="J564" t="s">
        <v>445</v>
      </c>
      <c r="K564">
        <v>823350</v>
      </c>
      <c r="L564" t="s">
        <v>79</v>
      </c>
      <c r="M564" t="s">
        <v>80</v>
      </c>
      <c r="N564" t="s">
        <v>1079</v>
      </c>
      <c r="O564" t="s">
        <v>56</v>
      </c>
      <c r="P564" s="1">
        <v>45826</v>
      </c>
      <c r="Q564" s="1">
        <v>45948</v>
      </c>
      <c r="R564" s="2">
        <v>11.5</v>
      </c>
      <c r="S564">
        <v>1</v>
      </c>
      <c r="T564" t="s">
        <v>57</v>
      </c>
      <c r="U564" t="s">
        <v>58</v>
      </c>
      <c r="V564" s="4">
        <v>0.7</v>
      </c>
      <c r="W564" s="2">
        <v>0</v>
      </c>
      <c r="X564">
        <v>0</v>
      </c>
      <c r="Y564" t="s">
        <v>70</v>
      </c>
      <c r="Z564" t="s">
        <v>60</v>
      </c>
      <c r="AA564">
        <v>0</v>
      </c>
      <c r="AB564" s="2">
        <v>0</v>
      </c>
      <c r="AC564" s="2">
        <v>0</v>
      </c>
      <c r="AD564" s="4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8.0500000000000007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45915</v>
      </c>
      <c r="B565" t="s">
        <v>47</v>
      </c>
      <c r="C565">
        <v>649163</v>
      </c>
      <c r="D565">
        <v>2029985852</v>
      </c>
      <c r="E565" t="s">
        <v>825</v>
      </c>
      <c r="F565" t="s">
        <v>283</v>
      </c>
      <c r="G565" t="s">
        <v>50</v>
      </c>
      <c r="H565" t="s">
        <v>93</v>
      </c>
      <c r="I565" t="s">
        <v>441</v>
      </c>
      <c r="J565" t="s">
        <v>445</v>
      </c>
      <c r="K565">
        <v>823350</v>
      </c>
      <c r="L565" t="s">
        <v>79</v>
      </c>
      <c r="M565" t="s">
        <v>80</v>
      </c>
      <c r="N565" t="s">
        <v>1079</v>
      </c>
      <c r="O565" t="s">
        <v>56</v>
      </c>
      <c r="P565" s="1">
        <v>45855</v>
      </c>
      <c r="Q565" s="1">
        <v>45947</v>
      </c>
      <c r="R565" s="2">
        <v>15.75</v>
      </c>
      <c r="S565">
        <v>1</v>
      </c>
      <c r="T565" t="s">
        <v>57</v>
      </c>
      <c r="U565" t="s">
        <v>58</v>
      </c>
      <c r="V565" s="4">
        <v>0.7</v>
      </c>
      <c r="W565" s="2">
        <v>0</v>
      </c>
      <c r="X565">
        <v>0</v>
      </c>
      <c r="Y565" t="s">
        <v>70</v>
      </c>
      <c r="Z565" t="s">
        <v>60</v>
      </c>
      <c r="AA565">
        <v>0</v>
      </c>
      <c r="AB565" s="2">
        <v>0</v>
      </c>
      <c r="AC565" s="2">
        <v>0</v>
      </c>
      <c r="AD565" s="4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11.02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45915</v>
      </c>
      <c r="B566" t="s">
        <v>47</v>
      </c>
      <c r="C566">
        <v>649163</v>
      </c>
      <c r="D566">
        <v>2029511427</v>
      </c>
      <c r="E566" t="s">
        <v>170</v>
      </c>
      <c r="F566" t="s">
        <v>65</v>
      </c>
      <c r="G566" t="s">
        <v>50</v>
      </c>
      <c r="H566" t="s">
        <v>93</v>
      </c>
      <c r="I566" t="s">
        <v>306</v>
      </c>
      <c r="J566" t="s">
        <v>307</v>
      </c>
      <c r="K566">
        <v>823350</v>
      </c>
      <c r="L566" t="s">
        <v>79</v>
      </c>
      <c r="M566" t="s">
        <v>80</v>
      </c>
      <c r="N566" t="s">
        <v>1079</v>
      </c>
      <c r="O566" t="s">
        <v>56</v>
      </c>
      <c r="P566" s="1">
        <v>45826</v>
      </c>
      <c r="Q566" s="1">
        <v>45948</v>
      </c>
      <c r="R566" s="2">
        <v>57.19</v>
      </c>
      <c r="S566">
        <v>1</v>
      </c>
      <c r="T566" t="s">
        <v>57</v>
      </c>
      <c r="U566" t="s">
        <v>58</v>
      </c>
      <c r="V566" s="3">
        <v>0.375</v>
      </c>
      <c r="W566" s="2">
        <v>0</v>
      </c>
      <c r="X566">
        <v>0</v>
      </c>
      <c r="Y566" t="s">
        <v>70</v>
      </c>
      <c r="Z566" t="s">
        <v>60</v>
      </c>
      <c r="AA566">
        <v>0</v>
      </c>
      <c r="AB566" s="2">
        <v>0</v>
      </c>
      <c r="AC566" s="2">
        <v>0</v>
      </c>
      <c r="AD566" s="4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21.45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45915</v>
      </c>
      <c r="B567" t="s">
        <v>47</v>
      </c>
      <c r="C567">
        <v>649163</v>
      </c>
      <c r="D567">
        <v>2029985851</v>
      </c>
      <c r="E567" t="s">
        <v>825</v>
      </c>
      <c r="F567" t="s">
        <v>283</v>
      </c>
      <c r="G567" t="s">
        <v>50</v>
      </c>
      <c r="H567" t="s">
        <v>93</v>
      </c>
      <c r="I567" t="s">
        <v>306</v>
      </c>
      <c r="J567" t="s">
        <v>307</v>
      </c>
      <c r="K567">
        <v>823350</v>
      </c>
      <c r="L567" t="s">
        <v>79</v>
      </c>
      <c r="M567" t="s">
        <v>80</v>
      </c>
      <c r="N567" t="s">
        <v>1079</v>
      </c>
      <c r="O567" t="s">
        <v>56</v>
      </c>
      <c r="P567" s="1">
        <v>45855</v>
      </c>
      <c r="Q567" s="1">
        <v>45947</v>
      </c>
      <c r="R567" s="2">
        <v>149.87</v>
      </c>
      <c r="S567">
        <v>1</v>
      </c>
      <c r="T567" t="s">
        <v>57</v>
      </c>
      <c r="U567" t="s">
        <v>58</v>
      </c>
      <c r="V567" s="3">
        <v>0.375</v>
      </c>
      <c r="W567" s="2">
        <v>0</v>
      </c>
      <c r="X567">
        <v>0</v>
      </c>
      <c r="Y567" t="s">
        <v>70</v>
      </c>
      <c r="Z567" t="s">
        <v>60</v>
      </c>
      <c r="AA567">
        <v>0</v>
      </c>
      <c r="AB567" s="2">
        <v>0</v>
      </c>
      <c r="AC567" s="2">
        <v>0</v>
      </c>
      <c r="AD567" s="4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56.2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45922</v>
      </c>
      <c r="B568" t="s">
        <v>47</v>
      </c>
      <c r="C568">
        <v>649163</v>
      </c>
      <c r="D568">
        <v>2030079839</v>
      </c>
      <c r="E568" t="s">
        <v>212</v>
      </c>
      <c r="F568" t="s">
        <v>213</v>
      </c>
      <c r="G568" t="s">
        <v>50</v>
      </c>
      <c r="H568" t="s">
        <v>214</v>
      </c>
      <c r="I568" t="s">
        <v>106</v>
      </c>
      <c r="J568" t="s">
        <v>107</v>
      </c>
      <c r="K568">
        <v>823068</v>
      </c>
      <c r="L568" t="s">
        <v>215</v>
      </c>
      <c r="M568" t="s">
        <v>216</v>
      </c>
      <c r="N568" t="s">
        <v>1077</v>
      </c>
      <c r="O568" t="s">
        <v>56</v>
      </c>
      <c r="P568" s="1">
        <v>45861</v>
      </c>
      <c r="Q568" s="1">
        <v>45953</v>
      </c>
      <c r="R568" s="2">
        <v>100.34</v>
      </c>
      <c r="S568">
        <v>1</v>
      </c>
      <c r="T568" t="s">
        <v>57</v>
      </c>
      <c r="U568" t="s">
        <v>58</v>
      </c>
      <c r="V568" s="4">
        <v>0.9</v>
      </c>
      <c r="W568" s="2">
        <v>0</v>
      </c>
      <c r="X568">
        <v>0</v>
      </c>
      <c r="Y568" t="s">
        <v>70</v>
      </c>
      <c r="Z568" t="s">
        <v>60</v>
      </c>
      <c r="AA568">
        <v>0</v>
      </c>
      <c r="AB568" s="2">
        <v>0</v>
      </c>
      <c r="AC568" s="2">
        <v>0</v>
      </c>
      <c r="AD568" s="4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90.31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45922</v>
      </c>
      <c r="B569" t="s">
        <v>47</v>
      </c>
      <c r="C569">
        <v>649163</v>
      </c>
      <c r="D569">
        <v>2030315874</v>
      </c>
      <c r="E569" t="s">
        <v>224</v>
      </c>
      <c r="F569" t="s">
        <v>225</v>
      </c>
      <c r="G569" t="s">
        <v>50</v>
      </c>
      <c r="H569" t="s">
        <v>214</v>
      </c>
      <c r="I569" t="s">
        <v>106</v>
      </c>
      <c r="J569" t="s">
        <v>107</v>
      </c>
      <c r="K569">
        <v>823068</v>
      </c>
      <c r="L569" t="s">
        <v>215</v>
      </c>
      <c r="M569" t="s">
        <v>216</v>
      </c>
      <c r="N569" t="s">
        <v>1077</v>
      </c>
      <c r="O569" t="s">
        <v>56</v>
      </c>
      <c r="P569" s="1">
        <v>45890</v>
      </c>
      <c r="Q569" s="1">
        <v>45951</v>
      </c>
      <c r="R569" s="2">
        <v>129.13999999999999</v>
      </c>
      <c r="S569">
        <v>1</v>
      </c>
      <c r="T569" t="s">
        <v>57</v>
      </c>
      <c r="U569" t="s">
        <v>58</v>
      </c>
      <c r="V569" s="4">
        <v>0.9</v>
      </c>
      <c r="W569" s="2">
        <v>0</v>
      </c>
      <c r="X569">
        <v>0</v>
      </c>
      <c r="Y569" t="s">
        <v>70</v>
      </c>
      <c r="Z569" t="s">
        <v>60</v>
      </c>
      <c r="AA569">
        <v>0</v>
      </c>
      <c r="AB569" s="2">
        <v>0</v>
      </c>
      <c r="AC569" s="2">
        <v>0</v>
      </c>
      <c r="AD569" s="4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116.23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45922</v>
      </c>
      <c r="B570" t="s">
        <v>47</v>
      </c>
      <c r="C570">
        <v>649163</v>
      </c>
      <c r="D570">
        <v>2030463473</v>
      </c>
      <c r="E570" t="s">
        <v>228</v>
      </c>
      <c r="F570" t="s">
        <v>229</v>
      </c>
      <c r="G570" t="s">
        <v>50</v>
      </c>
      <c r="H570" t="s">
        <v>214</v>
      </c>
      <c r="I570" t="s">
        <v>106</v>
      </c>
      <c r="J570" t="s">
        <v>107</v>
      </c>
      <c r="K570">
        <v>823068</v>
      </c>
      <c r="L570" t="s">
        <v>215</v>
      </c>
      <c r="M570" t="s">
        <v>216</v>
      </c>
      <c r="N570" t="s">
        <v>1077</v>
      </c>
      <c r="O570" t="s">
        <v>230</v>
      </c>
      <c r="P570" s="1">
        <v>45885</v>
      </c>
      <c r="Q570" s="1">
        <v>45946</v>
      </c>
      <c r="R570" s="2">
        <v>-149.66999999999999</v>
      </c>
      <c r="S570">
        <v>1</v>
      </c>
      <c r="T570" t="s">
        <v>57</v>
      </c>
      <c r="U570" t="s">
        <v>58</v>
      </c>
      <c r="V570" s="4">
        <v>0.9</v>
      </c>
      <c r="W570" s="2">
        <v>0</v>
      </c>
      <c r="X570">
        <v>-1</v>
      </c>
      <c r="Y570" t="s">
        <v>70</v>
      </c>
      <c r="Z570" t="s">
        <v>60</v>
      </c>
      <c r="AA570">
        <v>0</v>
      </c>
      <c r="AB570" s="2">
        <v>0</v>
      </c>
      <c r="AC570" s="2">
        <v>0</v>
      </c>
      <c r="AD570" s="4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-134.69999999999999</v>
      </c>
      <c r="AN570" s="2">
        <v>-134.69999999999999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45922</v>
      </c>
      <c r="B571" t="s">
        <v>47</v>
      </c>
      <c r="C571">
        <v>649163</v>
      </c>
      <c r="D571">
        <v>2030463473</v>
      </c>
      <c r="E571" t="s">
        <v>228</v>
      </c>
      <c r="F571" t="s">
        <v>229</v>
      </c>
      <c r="G571" t="s">
        <v>50</v>
      </c>
      <c r="H571" t="s">
        <v>214</v>
      </c>
      <c r="I571" t="s">
        <v>106</v>
      </c>
      <c r="J571" t="s">
        <v>107</v>
      </c>
      <c r="K571">
        <v>823068</v>
      </c>
      <c r="L571" t="s">
        <v>215</v>
      </c>
      <c r="M571" t="s">
        <v>216</v>
      </c>
      <c r="N571" t="s">
        <v>1077</v>
      </c>
      <c r="O571" t="s">
        <v>230</v>
      </c>
      <c r="P571" s="1">
        <v>45885</v>
      </c>
      <c r="Q571" s="1">
        <v>45946</v>
      </c>
      <c r="R571" s="2">
        <v>-149.66999999999999</v>
      </c>
      <c r="S571">
        <v>1</v>
      </c>
      <c r="T571" t="s">
        <v>57</v>
      </c>
      <c r="U571" t="s">
        <v>58</v>
      </c>
      <c r="V571" s="4">
        <v>0.9</v>
      </c>
      <c r="W571" s="2">
        <v>0</v>
      </c>
      <c r="X571">
        <v>-1</v>
      </c>
      <c r="Y571" t="s">
        <v>70</v>
      </c>
      <c r="Z571" t="s">
        <v>60</v>
      </c>
      <c r="AA571">
        <v>0</v>
      </c>
      <c r="AB571" s="2">
        <v>0</v>
      </c>
      <c r="AC571" s="2">
        <v>0</v>
      </c>
      <c r="AD571" s="4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-134.69999999999999</v>
      </c>
      <c r="AN571" s="2">
        <v>-134.69999999999999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45922</v>
      </c>
      <c r="B572" t="s">
        <v>47</v>
      </c>
      <c r="C572">
        <v>649163</v>
      </c>
      <c r="D572">
        <v>2030567354</v>
      </c>
      <c r="E572" t="s">
        <v>104</v>
      </c>
      <c r="F572" t="s">
        <v>231</v>
      </c>
      <c r="G572" t="s">
        <v>50</v>
      </c>
      <c r="H572" t="s">
        <v>214</v>
      </c>
      <c r="I572" t="s">
        <v>106</v>
      </c>
      <c r="J572" t="s">
        <v>107</v>
      </c>
      <c r="K572">
        <v>823068</v>
      </c>
      <c r="L572" t="s">
        <v>215</v>
      </c>
      <c r="M572" t="s">
        <v>216</v>
      </c>
      <c r="N572" t="s">
        <v>1077</v>
      </c>
      <c r="O572" t="s">
        <v>56</v>
      </c>
      <c r="P572" s="1">
        <v>45892</v>
      </c>
      <c r="Q572" s="1">
        <v>45953</v>
      </c>
      <c r="R572" s="2">
        <v>106.25</v>
      </c>
      <c r="S572">
        <v>1</v>
      </c>
      <c r="T572" t="s">
        <v>57</v>
      </c>
      <c r="U572" t="s">
        <v>58</v>
      </c>
      <c r="V572" s="4">
        <v>0.9</v>
      </c>
      <c r="W572" s="2">
        <v>0</v>
      </c>
      <c r="X572">
        <v>0</v>
      </c>
      <c r="Y572" t="s">
        <v>70</v>
      </c>
      <c r="Z572" t="s">
        <v>60</v>
      </c>
      <c r="AA572">
        <v>0</v>
      </c>
      <c r="AB572" s="2">
        <v>0</v>
      </c>
      <c r="AC572" s="2">
        <v>0</v>
      </c>
      <c r="AD572" s="4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95.62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45922</v>
      </c>
      <c r="B573" t="s">
        <v>47</v>
      </c>
      <c r="C573">
        <v>649163</v>
      </c>
      <c r="D573">
        <v>2028917836</v>
      </c>
      <c r="E573" t="s">
        <v>495</v>
      </c>
      <c r="F573" t="s">
        <v>496</v>
      </c>
      <c r="G573" t="s">
        <v>50</v>
      </c>
      <c r="H573" t="s">
        <v>214</v>
      </c>
      <c r="I573" t="s">
        <v>441</v>
      </c>
      <c r="J573" t="s">
        <v>442</v>
      </c>
      <c r="K573">
        <v>823068</v>
      </c>
      <c r="L573" t="s">
        <v>215</v>
      </c>
      <c r="M573" t="s">
        <v>216</v>
      </c>
      <c r="N573" t="s">
        <v>1077</v>
      </c>
      <c r="O573" t="s">
        <v>56</v>
      </c>
      <c r="P573" s="1">
        <v>45795</v>
      </c>
      <c r="Q573" s="1">
        <v>45948</v>
      </c>
      <c r="R573" s="2">
        <v>-127.63</v>
      </c>
      <c r="S573">
        <v>1</v>
      </c>
      <c r="T573" t="s">
        <v>57</v>
      </c>
      <c r="U573" t="s">
        <v>58</v>
      </c>
      <c r="V573" s="4">
        <v>0.9</v>
      </c>
      <c r="W573" s="2">
        <v>0</v>
      </c>
      <c r="X573">
        <v>-1</v>
      </c>
      <c r="Y573" t="s">
        <v>70</v>
      </c>
      <c r="Z573" t="s">
        <v>60</v>
      </c>
      <c r="AA573">
        <v>0</v>
      </c>
      <c r="AB573" s="2">
        <v>0</v>
      </c>
      <c r="AC573" s="2">
        <v>0</v>
      </c>
      <c r="AD573" s="4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-114.87</v>
      </c>
      <c r="AN573" s="2">
        <v>-114.87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45922</v>
      </c>
      <c r="B574" t="s">
        <v>47</v>
      </c>
      <c r="C574">
        <v>649163</v>
      </c>
      <c r="D574">
        <v>2028918191</v>
      </c>
      <c r="E574" t="s">
        <v>495</v>
      </c>
      <c r="F574" t="s">
        <v>497</v>
      </c>
      <c r="G574" t="s">
        <v>50</v>
      </c>
      <c r="H574" t="s">
        <v>214</v>
      </c>
      <c r="I574" t="s">
        <v>441</v>
      </c>
      <c r="J574" t="s">
        <v>442</v>
      </c>
      <c r="K574">
        <v>823068</v>
      </c>
      <c r="L574" t="s">
        <v>215</v>
      </c>
      <c r="M574" t="s">
        <v>216</v>
      </c>
      <c r="N574" t="s">
        <v>1077</v>
      </c>
      <c r="O574" t="s">
        <v>56</v>
      </c>
      <c r="P574" s="1">
        <v>45795</v>
      </c>
      <c r="Q574" s="1">
        <v>45948</v>
      </c>
      <c r="R574" s="2">
        <v>-15.67</v>
      </c>
      <c r="S574">
        <v>1</v>
      </c>
      <c r="T574" t="s">
        <v>57</v>
      </c>
      <c r="U574" t="s">
        <v>58</v>
      </c>
      <c r="V574" s="4">
        <v>0.9</v>
      </c>
      <c r="W574" s="2">
        <v>0</v>
      </c>
      <c r="X574">
        <v>-1</v>
      </c>
      <c r="Y574" t="s">
        <v>70</v>
      </c>
      <c r="Z574" t="s">
        <v>60</v>
      </c>
      <c r="AA574">
        <v>0</v>
      </c>
      <c r="AB574" s="2">
        <v>0</v>
      </c>
      <c r="AC574" s="2">
        <v>0</v>
      </c>
      <c r="AD574" s="4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-14.1</v>
      </c>
      <c r="AN574" s="2">
        <v>-14.1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45922</v>
      </c>
      <c r="B575" t="s">
        <v>47</v>
      </c>
      <c r="C575">
        <v>649163</v>
      </c>
      <c r="D575">
        <v>2028918531</v>
      </c>
      <c r="E575" t="s">
        <v>498</v>
      </c>
      <c r="F575" t="s">
        <v>499</v>
      </c>
      <c r="G575" t="s">
        <v>50</v>
      </c>
      <c r="H575" t="s">
        <v>214</v>
      </c>
      <c r="I575" t="s">
        <v>441</v>
      </c>
      <c r="J575" t="s">
        <v>442</v>
      </c>
      <c r="K575">
        <v>823068</v>
      </c>
      <c r="L575" t="s">
        <v>215</v>
      </c>
      <c r="M575" t="s">
        <v>216</v>
      </c>
      <c r="N575" t="s">
        <v>1077</v>
      </c>
      <c r="O575" t="s">
        <v>56</v>
      </c>
      <c r="P575" s="1">
        <v>45795</v>
      </c>
      <c r="Q575" s="1">
        <v>45948</v>
      </c>
      <c r="R575" s="2">
        <v>-12.92</v>
      </c>
      <c r="S575">
        <v>1</v>
      </c>
      <c r="T575" t="s">
        <v>57</v>
      </c>
      <c r="U575" t="s">
        <v>58</v>
      </c>
      <c r="V575" s="4">
        <v>0.9</v>
      </c>
      <c r="W575" s="2">
        <v>0</v>
      </c>
      <c r="X575">
        <v>-1</v>
      </c>
      <c r="Y575" t="s">
        <v>70</v>
      </c>
      <c r="Z575" t="s">
        <v>60</v>
      </c>
      <c r="AA575">
        <v>0</v>
      </c>
      <c r="AB575" s="2">
        <v>0</v>
      </c>
      <c r="AC575" s="2">
        <v>0</v>
      </c>
      <c r="AD575" s="4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-11.63</v>
      </c>
      <c r="AN575" s="2">
        <v>-11.63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45922</v>
      </c>
      <c r="B576" t="s">
        <v>47</v>
      </c>
      <c r="C576">
        <v>649163</v>
      </c>
      <c r="D576">
        <v>2029005430</v>
      </c>
      <c r="E576" t="s">
        <v>502</v>
      </c>
      <c r="F576" t="s">
        <v>62</v>
      </c>
      <c r="G576" t="s">
        <v>50</v>
      </c>
      <c r="H576" t="s">
        <v>214</v>
      </c>
      <c r="I576" t="s">
        <v>441</v>
      </c>
      <c r="J576" t="s">
        <v>442</v>
      </c>
      <c r="K576">
        <v>823068</v>
      </c>
      <c r="L576" t="s">
        <v>215</v>
      </c>
      <c r="M576" t="s">
        <v>216</v>
      </c>
      <c r="N576" t="s">
        <v>1077</v>
      </c>
      <c r="O576" t="s">
        <v>56</v>
      </c>
      <c r="P576" s="1">
        <v>45797</v>
      </c>
      <c r="Q576" s="1">
        <v>45950</v>
      </c>
      <c r="R576" s="2">
        <v>31.23</v>
      </c>
      <c r="S576">
        <v>1</v>
      </c>
      <c r="T576" t="s">
        <v>57</v>
      </c>
      <c r="U576" t="s">
        <v>58</v>
      </c>
      <c r="V576" s="4">
        <v>0.9</v>
      </c>
      <c r="W576" s="2">
        <v>0</v>
      </c>
      <c r="X576">
        <v>0</v>
      </c>
      <c r="Y576" t="s">
        <v>70</v>
      </c>
      <c r="Z576" t="s">
        <v>60</v>
      </c>
      <c r="AA576">
        <v>0</v>
      </c>
      <c r="AB576" s="2">
        <v>0</v>
      </c>
      <c r="AC576" s="2">
        <v>0</v>
      </c>
      <c r="AD576" s="4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28.11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45922</v>
      </c>
      <c r="B577" t="s">
        <v>47</v>
      </c>
      <c r="C577">
        <v>649163</v>
      </c>
      <c r="D577">
        <v>2030079840</v>
      </c>
      <c r="E577" t="s">
        <v>212</v>
      </c>
      <c r="F577" t="s">
        <v>213</v>
      </c>
      <c r="G577" t="s">
        <v>50</v>
      </c>
      <c r="H577" t="s">
        <v>214</v>
      </c>
      <c r="I577" t="s">
        <v>441</v>
      </c>
      <c r="J577" t="s">
        <v>447</v>
      </c>
      <c r="K577">
        <v>823068</v>
      </c>
      <c r="L577" t="s">
        <v>215</v>
      </c>
      <c r="M577" t="s">
        <v>216</v>
      </c>
      <c r="N577" t="s">
        <v>1077</v>
      </c>
      <c r="O577" t="s">
        <v>56</v>
      </c>
      <c r="P577" s="1">
        <v>45861</v>
      </c>
      <c r="Q577" s="1">
        <v>45953</v>
      </c>
      <c r="R577" s="2">
        <v>24.61</v>
      </c>
      <c r="S577">
        <v>1</v>
      </c>
      <c r="T577" t="s">
        <v>57</v>
      </c>
      <c r="U577" t="s">
        <v>58</v>
      </c>
      <c r="V577" s="4">
        <v>0.7</v>
      </c>
      <c r="W577" s="2">
        <v>0</v>
      </c>
      <c r="X577">
        <v>0</v>
      </c>
      <c r="Y577" t="s">
        <v>70</v>
      </c>
      <c r="Z577" t="s">
        <v>60</v>
      </c>
      <c r="AA577">
        <v>0</v>
      </c>
      <c r="AB577" s="2">
        <v>0</v>
      </c>
      <c r="AC577" s="2">
        <v>0</v>
      </c>
      <c r="AD577" s="4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17.23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45922</v>
      </c>
      <c r="B578" t="s">
        <v>47</v>
      </c>
      <c r="C578">
        <v>649163</v>
      </c>
      <c r="D578">
        <v>2030315872</v>
      </c>
      <c r="E578" t="s">
        <v>224</v>
      </c>
      <c r="F578" t="s">
        <v>225</v>
      </c>
      <c r="G578" t="s">
        <v>50</v>
      </c>
      <c r="H578" t="s">
        <v>214</v>
      </c>
      <c r="I578" t="s">
        <v>441</v>
      </c>
      <c r="J578" t="s">
        <v>451</v>
      </c>
      <c r="K578">
        <v>823068</v>
      </c>
      <c r="L578" t="s">
        <v>215</v>
      </c>
      <c r="M578" t="s">
        <v>216</v>
      </c>
      <c r="N578" t="s">
        <v>1077</v>
      </c>
      <c r="O578" t="s">
        <v>56</v>
      </c>
      <c r="P578" s="1">
        <v>45890</v>
      </c>
      <c r="Q578" s="1">
        <v>45951</v>
      </c>
      <c r="R578" s="2">
        <v>43.86</v>
      </c>
      <c r="S578">
        <v>1</v>
      </c>
      <c r="T578" t="s">
        <v>57</v>
      </c>
      <c r="U578" t="s">
        <v>58</v>
      </c>
      <c r="V578" s="4">
        <v>0.42</v>
      </c>
      <c r="W578" s="2">
        <v>0</v>
      </c>
      <c r="X578">
        <v>0</v>
      </c>
      <c r="Y578" t="s">
        <v>70</v>
      </c>
      <c r="Z578" t="s">
        <v>60</v>
      </c>
      <c r="AA578">
        <v>0</v>
      </c>
      <c r="AB578" s="2">
        <v>0</v>
      </c>
      <c r="AC578" s="2">
        <v>0</v>
      </c>
      <c r="AD578" s="4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18.420000000000002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45922</v>
      </c>
      <c r="B579" t="s">
        <v>47</v>
      </c>
      <c r="C579">
        <v>649163</v>
      </c>
      <c r="D579">
        <v>2030315873</v>
      </c>
      <c r="E579" t="s">
        <v>224</v>
      </c>
      <c r="F579" t="s">
        <v>225</v>
      </c>
      <c r="G579" t="s">
        <v>50</v>
      </c>
      <c r="H579" t="s">
        <v>214</v>
      </c>
      <c r="I579" t="s">
        <v>441</v>
      </c>
      <c r="J579" t="s">
        <v>447</v>
      </c>
      <c r="K579">
        <v>823068</v>
      </c>
      <c r="L579" t="s">
        <v>215</v>
      </c>
      <c r="M579" t="s">
        <v>216</v>
      </c>
      <c r="N579" t="s">
        <v>1077</v>
      </c>
      <c r="O579" t="s">
        <v>56</v>
      </c>
      <c r="P579" s="1">
        <v>45890</v>
      </c>
      <c r="Q579" s="1">
        <v>45951</v>
      </c>
      <c r="R579" s="2">
        <v>24.61</v>
      </c>
      <c r="S579">
        <v>1</v>
      </c>
      <c r="T579" t="s">
        <v>57</v>
      </c>
      <c r="U579" t="s">
        <v>58</v>
      </c>
      <c r="V579" s="4">
        <v>0.7</v>
      </c>
      <c r="W579" s="2">
        <v>0</v>
      </c>
      <c r="X579">
        <v>0</v>
      </c>
      <c r="Y579" t="s">
        <v>70</v>
      </c>
      <c r="Z579" t="s">
        <v>60</v>
      </c>
      <c r="AA579">
        <v>0</v>
      </c>
      <c r="AB579" s="2">
        <v>0</v>
      </c>
      <c r="AC579" s="2">
        <v>0</v>
      </c>
      <c r="AD579" s="4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17.23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45922</v>
      </c>
      <c r="B580" t="s">
        <v>47</v>
      </c>
      <c r="D580">
        <v>2030463472</v>
      </c>
      <c r="E580" t="s">
        <v>228</v>
      </c>
      <c r="F580" t="s">
        <v>229</v>
      </c>
      <c r="G580" t="s">
        <v>50</v>
      </c>
      <c r="H580" t="s">
        <v>214</v>
      </c>
      <c r="I580" t="s">
        <v>441</v>
      </c>
      <c r="J580" t="s">
        <v>545</v>
      </c>
      <c r="L580" t="s">
        <v>215</v>
      </c>
      <c r="M580" t="s">
        <v>216</v>
      </c>
      <c r="N580" t="s">
        <v>1077</v>
      </c>
      <c r="O580" t="s">
        <v>230</v>
      </c>
      <c r="P580" s="1">
        <v>45885</v>
      </c>
      <c r="Q580" s="1">
        <v>45946</v>
      </c>
      <c r="R580" s="2">
        <v>-55.58</v>
      </c>
      <c r="S580">
        <v>1</v>
      </c>
      <c r="T580" t="s">
        <v>57</v>
      </c>
      <c r="U580" t="s">
        <v>58</v>
      </c>
      <c r="V580" s="4">
        <v>0.7</v>
      </c>
      <c r="W580" s="2">
        <v>0</v>
      </c>
      <c r="X580">
        <v>-1</v>
      </c>
      <c r="Y580" t="s">
        <v>70</v>
      </c>
      <c r="Z580" t="s">
        <v>60</v>
      </c>
      <c r="AA580">
        <v>0</v>
      </c>
      <c r="AB580" s="2">
        <v>0</v>
      </c>
      <c r="AC580" s="2">
        <v>0</v>
      </c>
      <c r="AD580" s="4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-38.909999999999997</v>
      </c>
      <c r="AN580" s="2">
        <v>-38.909999999999997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45922</v>
      </c>
      <c r="B581" t="s">
        <v>47</v>
      </c>
      <c r="D581">
        <v>2030463472</v>
      </c>
      <c r="E581" t="s">
        <v>228</v>
      </c>
      <c r="F581" t="s">
        <v>229</v>
      </c>
      <c r="G581" t="s">
        <v>50</v>
      </c>
      <c r="H581" t="s">
        <v>214</v>
      </c>
      <c r="I581" t="s">
        <v>441</v>
      </c>
      <c r="J581" t="s">
        <v>545</v>
      </c>
      <c r="L581" t="s">
        <v>215</v>
      </c>
      <c r="M581" t="s">
        <v>216</v>
      </c>
      <c r="N581" t="s">
        <v>1077</v>
      </c>
      <c r="O581" t="s">
        <v>230</v>
      </c>
      <c r="P581" s="1">
        <v>45885</v>
      </c>
      <c r="Q581" s="1">
        <v>45946</v>
      </c>
      <c r="R581" s="2">
        <v>-55.58</v>
      </c>
      <c r="S581">
        <v>1</v>
      </c>
      <c r="T581" t="s">
        <v>57</v>
      </c>
      <c r="U581" t="s">
        <v>58</v>
      </c>
      <c r="V581" s="4">
        <v>0.7</v>
      </c>
      <c r="W581" s="2">
        <v>0</v>
      </c>
      <c r="X581">
        <v>-1</v>
      </c>
      <c r="Y581" t="s">
        <v>70</v>
      </c>
      <c r="Z581" t="s">
        <v>60</v>
      </c>
      <c r="AA581">
        <v>0</v>
      </c>
      <c r="AB581" s="2">
        <v>0</v>
      </c>
      <c r="AC581" s="2">
        <v>0</v>
      </c>
      <c r="AD581" s="4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-38.909999999999997</v>
      </c>
      <c r="AN581" s="2">
        <v>-38.909999999999997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45922</v>
      </c>
      <c r="B582" t="s">
        <v>47</v>
      </c>
      <c r="C582">
        <v>649163</v>
      </c>
      <c r="D582">
        <v>2030567353</v>
      </c>
      <c r="E582" t="s">
        <v>104</v>
      </c>
      <c r="F582" t="s">
        <v>231</v>
      </c>
      <c r="G582" t="s">
        <v>50</v>
      </c>
      <c r="H582" t="s">
        <v>214</v>
      </c>
      <c r="I582" t="s">
        <v>441</v>
      </c>
      <c r="J582" t="s">
        <v>447</v>
      </c>
      <c r="K582">
        <v>823068</v>
      </c>
      <c r="L582" t="s">
        <v>215</v>
      </c>
      <c r="M582" t="s">
        <v>216</v>
      </c>
      <c r="N582" t="s">
        <v>1077</v>
      </c>
      <c r="O582" t="s">
        <v>56</v>
      </c>
      <c r="P582" s="1">
        <v>45892</v>
      </c>
      <c r="Q582" s="1">
        <v>45953</v>
      </c>
      <c r="R582" s="2">
        <v>24.61</v>
      </c>
      <c r="S582">
        <v>1</v>
      </c>
      <c r="T582" t="s">
        <v>57</v>
      </c>
      <c r="U582" t="s">
        <v>58</v>
      </c>
      <c r="V582" s="4">
        <v>0.7</v>
      </c>
      <c r="W582" s="2">
        <v>0</v>
      </c>
      <c r="X582">
        <v>0</v>
      </c>
      <c r="Y582" t="s">
        <v>70</v>
      </c>
      <c r="Z582" t="s">
        <v>60</v>
      </c>
      <c r="AA582">
        <v>0</v>
      </c>
      <c r="AB582" s="2">
        <v>0</v>
      </c>
      <c r="AC582" s="2">
        <v>0</v>
      </c>
      <c r="AD582" s="4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17.23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45922</v>
      </c>
      <c r="B583" t="s">
        <v>47</v>
      </c>
      <c r="C583">
        <v>649163</v>
      </c>
      <c r="D583">
        <v>2030567355</v>
      </c>
      <c r="E583" t="s">
        <v>104</v>
      </c>
      <c r="F583" t="s">
        <v>231</v>
      </c>
      <c r="G583" t="s">
        <v>50</v>
      </c>
      <c r="H583" t="s">
        <v>214</v>
      </c>
      <c r="I583" t="s">
        <v>441</v>
      </c>
      <c r="J583" t="s">
        <v>451</v>
      </c>
      <c r="K583">
        <v>823068</v>
      </c>
      <c r="L583" t="s">
        <v>215</v>
      </c>
      <c r="M583" t="s">
        <v>216</v>
      </c>
      <c r="N583" t="s">
        <v>1077</v>
      </c>
      <c r="O583" t="s">
        <v>56</v>
      </c>
      <c r="P583" s="1">
        <v>45892</v>
      </c>
      <c r="Q583" s="1">
        <v>45953</v>
      </c>
      <c r="R583" s="2">
        <v>38.85</v>
      </c>
      <c r="S583">
        <v>1</v>
      </c>
      <c r="T583" t="s">
        <v>57</v>
      </c>
      <c r="U583" t="s">
        <v>58</v>
      </c>
      <c r="V583" s="4">
        <v>0.42</v>
      </c>
      <c r="W583" s="2">
        <v>0</v>
      </c>
      <c r="X583">
        <v>0</v>
      </c>
      <c r="Y583" t="s">
        <v>70</v>
      </c>
      <c r="Z583" t="s">
        <v>60</v>
      </c>
      <c r="AA583">
        <v>0</v>
      </c>
      <c r="AB583" s="2">
        <v>0</v>
      </c>
      <c r="AC583" s="2">
        <v>0</v>
      </c>
      <c r="AD583" s="4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16.32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45915</v>
      </c>
      <c r="B584" t="s">
        <v>47</v>
      </c>
      <c r="C584">
        <v>649163</v>
      </c>
      <c r="D584">
        <v>2029967975</v>
      </c>
      <c r="E584" t="s">
        <v>910</v>
      </c>
      <c r="F584" t="s">
        <v>909</v>
      </c>
      <c r="G584" t="s">
        <v>50</v>
      </c>
      <c r="H584" t="s">
        <v>214</v>
      </c>
      <c r="I584" t="s">
        <v>106</v>
      </c>
      <c r="J584" t="s">
        <v>107</v>
      </c>
      <c r="K584">
        <v>823068</v>
      </c>
      <c r="L584" t="s">
        <v>215</v>
      </c>
      <c r="M584" t="s">
        <v>216</v>
      </c>
      <c r="N584" t="s">
        <v>1077</v>
      </c>
      <c r="O584" t="s">
        <v>56</v>
      </c>
      <c r="P584" s="1">
        <v>45854</v>
      </c>
      <c r="Q584" s="1">
        <v>45946</v>
      </c>
      <c r="R584" s="2">
        <v>107.63</v>
      </c>
      <c r="S584">
        <v>1</v>
      </c>
      <c r="T584" t="s">
        <v>57</v>
      </c>
      <c r="U584" t="s">
        <v>58</v>
      </c>
      <c r="V584" s="4">
        <v>0.9</v>
      </c>
      <c r="W584" s="2">
        <v>0</v>
      </c>
      <c r="X584">
        <v>0</v>
      </c>
      <c r="Y584" t="s">
        <v>70</v>
      </c>
      <c r="Z584" t="s">
        <v>60</v>
      </c>
      <c r="AA584">
        <v>0</v>
      </c>
      <c r="AB584" s="2">
        <v>0</v>
      </c>
      <c r="AC584" s="2">
        <v>0</v>
      </c>
      <c r="AD584" s="4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96.87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45915</v>
      </c>
      <c r="B585" t="s">
        <v>47</v>
      </c>
      <c r="C585">
        <v>649163</v>
      </c>
      <c r="D585">
        <v>2030313518</v>
      </c>
      <c r="E585" t="s">
        <v>898</v>
      </c>
      <c r="F585" t="s">
        <v>897</v>
      </c>
      <c r="G585" t="s">
        <v>50</v>
      </c>
      <c r="H585" t="s">
        <v>214</v>
      </c>
      <c r="I585" t="s">
        <v>106</v>
      </c>
      <c r="J585" t="s">
        <v>107</v>
      </c>
      <c r="K585">
        <v>823068</v>
      </c>
      <c r="L585" t="s">
        <v>215</v>
      </c>
      <c r="M585" t="s">
        <v>216</v>
      </c>
      <c r="N585" t="s">
        <v>1077</v>
      </c>
      <c r="O585" t="s">
        <v>56</v>
      </c>
      <c r="P585" s="1">
        <v>45884</v>
      </c>
      <c r="Q585" s="1">
        <v>45945</v>
      </c>
      <c r="R585" s="2">
        <v>20.059999999999999</v>
      </c>
      <c r="S585">
        <v>1</v>
      </c>
      <c r="T585" t="s">
        <v>57</v>
      </c>
      <c r="U585" t="s">
        <v>58</v>
      </c>
      <c r="V585" s="4">
        <v>0.9</v>
      </c>
      <c r="W585" s="2">
        <v>0</v>
      </c>
      <c r="X585">
        <v>0</v>
      </c>
      <c r="Y585" t="s">
        <v>70</v>
      </c>
      <c r="Z585" t="s">
        <v>60</v>
      </c>
      <c r="AA585">
        <v>0</v>
      </c>
      <c r="AB585" s="2">
        <v>0</v>
      </c>
      <c r="AC585" s="2">
        <v>0</v>
      </c>
      <c r="AD585" s="4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18.05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45915</v>
      </c>
      <c r="B586" t="s">
        <v>47</v>
      </c>
      <c r="C586">
        <v>649163</v>
      </c>
      <c r="D586">
        <v>2030450006</v>
      </c>
      <c r="E586" t="s">
        <v>713</v>
      </c>
      <c r="F586" t="s">
        <v>712</v>
      </c>
      <c r="G586" t="s">
        <v>50</v>
      </c>
      <c r="H586" t="s">
        <v>214</v>
      </c>
      <c r="I586" t="s">
        <v>106</v>
      </c>
      <c r="J586" t="s">
        <v>107</v>
      </c>
      <c r="K586">
        <v>823068</v>
      </c>
      <c r="L586" t="s">
        <v>215</v>
      </c>
      <c r="M586" t="s">
        <v>216</v>
      </c>
      <c r="N586" t="s">
        <v>1077</v>
      </c>
      <c r="O586" t="s">
        <v>56</v>
      </c>
      <c r="P586" s="1">
        <v>45888</v>
      </c>
      <c r="Q586" s="1">
        <v>45949</v>
      </c>
      <c r="R586" s="2">
        <v>30.8</v>
      </c>
      <c r="S586">
        <v>1</v>
      </c>
      <c r="T586" t="s">
        <v>57</v>
      </c>
      <c r="U586" t="s">
        <v>58</v>
      </c>
      <c r="V586" s="4">
        <v>0.9</v>
      </c>
      <c r="W586" s="2">
        <v>0</v>
      </c>
      <c r="X586">
        <v>0</v>
      </c>
      <c r="Y586" t="s">
        <v>70</v>
      </c>
      <c r="Z586" t="s">
        <v>60</v>
      </c>
      <c r="AA586">
        <v>0</v>
      </c>
      <c r="AB586" s="2">
        <v>0</v>
      </c>
      <c r="AC586" s="2">
        <v>0</v>
      </c>
      <c r="AD586" s="4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27.72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45915</v>
      </c>
      <c r="B587" t="s">
        <v>47</v>
      </c>
      <c r="C587">
        <v>649163</v>
      </c>
      <c r="D587">
        <v>2030454169</v>
      </c>
      <c r="E587" t="s">
        <v>711</v>
      </c>
      <c r="F587" t="s">
        <v>123</v>
      </c>
      <c r="G587" t="s">
        <v>50</v>
      </c>
      <c r="H587" t="s">
        <v>214</v>
      </c>
      <c r="I587" t="s">
        <v>106</v>
      </c>
      <c r="J587" t="s">
        <v>107</v>
      </c>
      <c r="K587">
        <v>823068</v>
      </c>
      <c r="L587" t="s">
        <v>215</v>
      </c>
      <c r="M587" t="s">
        <v>216</v>
      </c>
      <c r="N587" t="s">
        <v>1077</v>
      </c>
      <c r="O587" t="s">
        <v>56</v>
      </c>
      <c r="P587" s="1">
        <v>45883</v>
      </c>
      <c r="Q587" s="1">
        <v>45944</v>
      </c>
      <c r="R587" s="2">
        <v>92.5</v>
      </c>
      <c r="S587">
        <v>1</v>
      </c>
      <c r="T587" t="s">
        <v>57</v>
      </c>
      <c r="U587" t="s">
        <v>58</v>
      </c>
      <c r="V587" s="4">
        <v>0.9</v>
      </c>
      <c r="W587" s="2">
        <v>0</v>
      </c>
      <c r="X587">
        <v>0</v>
      </c>
      <c r="Y587" t="s">
        <v>70</v>
      </c>
      <c r="Z587" t="s">
        <v>60</v>
      </c>
      <c r="AA587">
        <v>0</v>
      </c>
      <c r="AB587" s="2">
        <v>0</v>
      </c>
      <c r="AC587" s="2">
        <v>0</v>
      </c>
      <c r="AD587" s="4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83.25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45915</v>
      </c>
      <c r="B588" t="s">
        <v>47</v>
      </c>
      <c r="C588">
        <v>649163</v>
      </c>
      <c r="D588">
        <v>2030463473</v>
      </c>
      <c r="E588" t="s">
        <v>228</v>
      </c>
      <c r="F588" t="s">
        <v>229</v>
      </c>
      <c r="G588" t="s">
        <v>50</v>
      </c>
      <c r="H588" t="s">
        <v>214</v>
      </c>
      <c r="I588" t="s">
        <v>106</v>
      </c>
      <c r="J588" t="s">
        <v>107</v>
      </c>
      <c r="K588">
        <v>823068</v>
      </c>
      <c r="L588" t="s">
        <v>215</v>
      </c>
      <c r="M588" t="s">
        <v>216</v>
      </c>
      <c r="N588" t="s">
        <v>1077</v>
      </c>
      <c r="O588" t="s">
        <v>56</v>
      </c>
      <c r="P588" s="1">
        <v>45885</v>
      </c>
      <c r="Q588" s="1">
        <v>45946</v>
      </c>
      <c r="R588" s="2">
        <v>149.66999999999999</v>
      </c>
      <c r="S588">
        <v>1</v>
      </c>
      <c r="T588" t="s">
        <v>57</v>
      </c>
      <c r="U588" t="s">
        <v>58</v>
      </c>
      <c r="V588" s="4">
        <v>0.9</v>
      </c>
      <c r="W588" s="2">
        <v>0</v>
      </c>
      <c r="X588">
        <v>0</v>
      </c>
      <c r="Y588" t="s">
        <v>70</v>
      </c>
      <c r="Z588" t="s">
        <v>60</v>
      </c>
      <c r="AA588">
        <v>0</v>
      </c>
      <c r="AB588" s="2">
        <v>0</v>
      </c>
      <c r="AC588" s="2">
        <v>0</v>
      </c>
      <c r="AD588" s="4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134.69999999999999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45915</v>
      </c>
      <c r="B589" t="s">
        <v>47</v>
      </c>
      <c r="C589">
        <v>649163</v>
      </c>
      <c r="D589">
        <v>2030488872</v>
      </c>
      <c r="E589" t="s">
        <v>699</v>
      </c>
      <c r="F589" t="s">
        <v>698</v>
      </c>
      <c r="G589" t="s">
        <v>50</v>
      </c>
      <c r="H589" t="s">
        <v>214</v>
      </c>
      <c r="I589" t="s">
        <v>106</v>
      </c>
      <c r="J589" t="s">
        <v>107</v>
      </c>
      <c r="K589">
        <v>823068</v>
      </c>
      <c r="L589" t="s">
        <v>215</v>
      </c>
      <c r="M589" t="s">
        <v>216</v>
      </c>
      <c r="N589" t="s">
        <v>1077</v>
      </c>
      <c r="O589" t="s">
        <v>56</v>
      </c>
      <c r="P589" s="1">
        <v>45884</v>
      </c>
      <c r="Q589" s="1">
        <v>45945</v>
      </c>
      <c r="R589" s="2">
        <v>46.94</v>
      </c>
      <c r="S589">
        <v>1</v>
      </c>
      <c r="T589" t="s">
        <v>57</v>
      </c>
      <c r="U589" t="s">
        <v>58</v>
      </c>
      <c r="V589" s="4">
        <v>0.9</v>
      </c>
      <c r="W589" s="2">
        <v>0</v>
      </c>
      <c r="X589">
        <v>0</v>
      </c>
      <c r="Y589" t="s">
        <v>70</v>
      </c>
      <c r="Z589" t="s">
        <v>60</v>
      </c>
      <c r="AA589">
        <v>0</v>
      </c>
      <c r="AB589" s="2">
        <v>0</v>
      </c>
      <c r="AC589" s="2">
        <v>0</v>
      </c>
      <c r="AD589" s="4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42.25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45915</v>
      </c>
      <c r="B590" t="s">
        <v>47</v>
      </c>
      <c r="C590">
        <v>649163</v>
      </c>
      <c r="D590">
        <v>2028917836</v>
      </c>
      <c r="E590" t="s">
        <v>495</v>
      </c>
      <c r="F590" t="s">
        <v>496</v>
      </c>
      <c r="G590" t="s">
        <v>50</v>
      </c>
      <c r="H590" t="s">
        <v>214</v>
      </c>
      <c r="I590" t="s">
        <v>441</v>
      </c>
      <c r="J590" t="s">
        <v>442</v>
      </c>
      <c r="K590">
        <v>823068</v>
      </c>
      <c r="L590" t="s">
        <v>215</v>
      </c>
      <c r="M590" t="s">
        <v>216</v>
      </c>
      <c r="N590" t="s">
        <v>1077</v>
      </c>
      <c r="O590" t="s">
        <v>56</v>
      </c>
      <c r="P590" s="1">
        <v>45795</v>
      </c>
      <c r="Q590" s="1">
        <v>45948</v>
      </c>
      <c r="R590" s="2">
        <v>127.63</v>
      </c>
      <c r="S590">
        <v>1</v>
      </c>
      <c r="T590" t="s">
        <v>57</v>
      </c>
      <c r="U590" t="s">
        <v>58</v>
      </c>
      <c r="V590" s="4">
        <v>0.9</v>
      </c>
      <c r="W590" s="2">
        <v>0</v>
      </c>
      <c r="X590">
        <v>0</v>
      </c>
      <c r="Y590" t="s">
        <v>70</v>
      </c>
      <c r="Z590" t="s">
        <v>60</v>
      </c>
      <c r="AA590">
        <v>0</v>
      </c>
      <c r="AB590" s="2">
        <v>0</v>
      </c>
      <c r="AC590" s="2">
        <v>0</v>
      </c>
      <c r="AD590" s="4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114.87</v>
      </c>
      <c r="AN590" s="2">
        <v>114.87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45915</v>
      </c>
      <c r="B591" t="s">
        <v>47</v>
      </c>
      <c r="C591">
        <v>649163</v>
      </c>
      <c r="D591">
        <v>2028918191</v>
      </c>
      <c r="E591" t="s">
        <v>495</v>
      </c>
      <c r="F591" t="s">
        <v>497</v>
      </c>
      <c r="G591" t="s">
        <v>50</v>
      </c>
      <c r="H591" t="s">
        <v>214</v>
      </c>
      <c r="I591" t="s">
        <v>441</v>
      </c>
      <c r="J591" t="s">
        <v>442</v>
      </c>
      <c r="K591">
        <v>823068</v>
      </c>
      <c r="L591" t="s">
        <v>215</v>
      </c>
      <c r="M591" t="s">
        <v>216</v>
      </c>
      <c r="N591" t="s">
        <v>1077</v>
      </c>
      <c r="O591" t="s">
        <v>56</v>
      </c>
      <c r="P591" s="1">
        <v>45795</v>
      </c>
      <c r="Q591" s="1">
        <v>45948</v>
      </c>
      <c r="R591" s="2">
        <v>15.67</v>
      </c>
      <c r="S591">
        <v>1</v>
      </c>
      <c r="T591" t="s">
        <v>57</v>
      </c>
      <c r="U591" t="s">
        <v>58</v>
      </c>
      <c r="V591" s="4">
        <v>0.9</v>
      </c>
      <c r="W591" s="2">
        <v>0</v>
      </c>
      <c r="X591">
        <v>0</v>
      </c>
      <c r="Y591" t="s">
        <v>70</v>
      </c>
      <c r="Z591" t="s">
        <v>60</v>
      </c>
      <c r="AA591">
        <v>0</v>
      </c>
      <c r="AB591" s="2">
        <v>0</v>
      </c>
      <c r="AC591" s="2">
        <v>0</v>
      </c>
      <c r="AD591" s="4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14.1</v>
      </c>
      <c r="AN591" s="2">
        <v>14.1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45915</v>
      </c>
      <c r="B592" t="s">
        <v>47</v>
      </c>
      <c r="C592">
        <v>649163</v>
      </c>
      <c r="D592">
        <v>2028918531</v>
      </c>
      <c r="E592" t="s">
        <v>498</v>
      </c>
      <c r="F592" t="s">
        <v>499</v>
      </c>
      <c r="G592" t="s">
        <v>50</v>
      </c>
      <c r="H592" t="s">
        <v>214</v>
      </c>
      <c r="I592" t="s">
        <v>441</v>
      </c>
      <c r="J592" t="s">
        <v>442</v>
      </c>
      <c r="K592">
        <v>823068</v>
      </c>
      <c r="L592" t="s">
        <v>215</v>
      </c>
      <c r="M592" t="s">
        <v>216</v>
      </c>
      <c r="N592" t="s">
        <v>1077</v>
      </c>
      <c r="O592" t="s">
        <v>56</v>
      </c>
      <c r="P592" s="1">
        <v>45795</v>
      </c>
      <c r="Q592" s="1">
        <v>45948</v>
      </c>
      <c r="R592" s="2">
        <v>12.92</v>
      </c>
      <c r="S592">
        <v>1</v>
      </c>
      <c r="T592" t="s">
        <v>57</v>
      </c>
      <c r="U592" t="s">
        <v>58</v>
      </c>
      <c r="V592" s="4">
        <v>0.9</v>
      </c>
      <c r="W592" s="2">
        <v>0</v>
      </c>
      <c r="X592">
        <v>0</v>
      </c>
      <c r="Y592" t="s">
        <v>70</v>
      </c>
      <c r="Z592" t="s">
        <v>60</v>
      </c>
      <c r="AA592">
        <v>0</v>
      </c>
      <c r="AB592" s="2">
        <v>0</v>
      </c>
      <c r="AC592" s="2">
        <v>0</v>
      </c>
      <c r="AD592" s="4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11.63</v>
      </c>
      <c r="AN592" s="2">
        <v>11.63</v>
      </c>
      <c r="AO592" s="2">
        <v>0</v>
      </c>
      <c r="AP592" s="2">
        <v>0</v>
      </c>
      <c r="AQ592" s="2">
        <v>0</v>
      </c>
    </row>
    <row r="593" spans="1:44" x14ac:dyDescent="0.25">
      <c r="A593" s="1">
        <v>45915</v>
      </c>
      <c r="B593" t="s">
        <v>47</v>
      </c>
      <c r="D593">
        <v>2029737099</v>
      </c>
      <c r="E593" t="s">
        <v>927</v>
      </c>
      <c r="F593" t="s">
        <v>630</v>
      </c>
      <c r="G593" t="s">
        <v>50</v>
      </c>
      <c r="H593" t="s">
        <v>214</v>
      </c>
      <c r="I593" t="s">
        <v>441</v>
      </c>
      <c r="J593" t="s">
        <v>545</v>
      </c>
      <c r="L593" t="s">
        <v>215</v>
      </c>
      <c r="M593" t="s">
        <v>216</v>
      </c>
      <c r="N593" t="s">
        <v>1077</v>
      </c>
      <c r="O593" t="s">
        <v>56</v>
      </c>
      <c r="P593" s="1">
        <v>45856</v>
      </c>
      <c r="Q593" s="1">
        <v>45948</v>
      </c>
      <c r="R593" s="2">
        <v>24.61</v>
      </c>
      <c r="S593">
        <v>1</v>
      </c>
      <c r="T593" t="s">
        <v>57</v>
      </c>
      <c r="U593" t="s">
        <v>58</v>
      </c>
      <c r="V593" s="4">
        <v>0.7</v>
      </c>
      <c r="W593" s="2">
        <v>0</v>
      </c>
      <c r="X593">
        <v>0</v>
      </c>
      <c r="Y593" t="s">
        <v>70</v>
      </c>
      <c r="Z593" t="s">
        <v>60</v>
      </c>
      <c r="AA593">
        <v>0</v>
      </c>
      <c r="AB593" s="2">
        <v>0</v>
      </c>
      <c r="AC593" s="2">
        <v>0</v>
      </c>
      <c r="AD593" s="4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17.23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</row>
    <row r="594" spans="1:44" x14ac:dyDescent="0.25">
      <c r="A594" s="1">
        <v>45915</v>
      </c>
      <c r="B594" t="s">
        <v>47</v>
      </c>
      <c r="C594">
        <v>649163</v>
      </c>
      <c r="D594">
        <v>2029737100</v>
      </c>
      <c r="E594" t="s">
        <v>927</v>
      </c>
      <c r="F594" t="s">
        <v>630</v>
      </c>
      <c r="G594" t="s">
        <v>50</v>
      </c>
      <c r="H594" t="s">
        <v>214</v>
      </c>
      <c r="I594" t="s">
        <v>441</v>
      </c>
      <c r="J594" t="s">
        <v>442</v>
      </c>
      <c r="K594">
        <v>823068</v>
      </c>
      <c r="L594" t="s">
        <v>215</v>
      </c>
      <c r="M594" t="s">
        <v>216</v>
      </c>
      <c r="N594" t="s">
        <v>1077</v>
      </c>
      <c r="O594" t="s">
        <v>56</v>
      </c>
      <c r="P594" s="1">
        <v>45856</v>
      </c>
      <c r="Q594" s="1">
        <v>45948</v>
      </c>
      <c r="R594" s="2">
        <v>51.78</v>
      </c>
      <c r="S594">
        <v>1</v>
      </c>
      <c r="T594" t="s">
        <v>57</v>
      </c>
      <c r="U594" t="s">
        <v>58</v>
      </c>
      <c r="V594" s="4">
        <v>0.9</v>
      </c>
      <c r="W594" s="2">
        <v>0</v>
      </c>
      <c r="X594">
        <v>0</v>
      </c>
      <c r="Y594" t="s">
        <v>70</v>
      </c>
      <c r="Z594" t="s">
        <v>60</v>
      </c>
      <c r="AA594">
        <v>0</v>
      </c>
      <c r="AB594" s="2">
        <v>0</v>
      </c>
      <c r="AC594" s="2">
        <v>0</v>
      </c>
      <c r="AD594" s="4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46.6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</row>
    <row r="595" spans="1:44" x14ac:dyDescent="0.25">
      <c r="A595" s="1">
        <v>45915</v>
      </c>
      <c r="B595" t="s">
        <v>47</v>
      </c>
      <c r="C595">
        <v>649163</v>
      </c>
      <c r="D595">
        <v>2029967973</v>
      </c>
      <c r="E595" t="s">
        <v>910</v>
      </c>
      <c r="F595" t="s">
        <v>909</v>
      </c>
      <c r="G595" t="s">
        <v>50</v>
      </c>
      <c r="H595" t="s">
        <v>214</v>
      </c>
      <c r="I595" t="s">
        <v>441</v>
      </c>
      <c r="J595" t="s">
        <v>451</v>
      </c>
      <c r="K595">
        <v>823068</v>
      </c>
      <c r="L595" t="s">
        <v>215</v>
      </c>
      <c r="M595" t="s">
        <v>216</v>
      </c>
      <c r="N595" t="s">
        <v>1077</v>
      </c>
      <c r="O595" t="s">
        <v>56</v>
      </c>
      <c r="P595" s="1">
        <v>45854</v>
      </c>
      <c r="Q595" s="1">
        <v>45946</v>
      </c>
      <c r="R595" s="2">
        <v>32.81</v>
      </c>
      <c r="S595">
        <v>1</v>
      </c>
      <c r="T595" t="s">
        <v>57</v>
      </c>
      <c r="U595" t="s">
        <v>58</v>
      </c>
      <c r="V595" s="4">
        <v>0.42</v>
      </c>
      <c r="W595" s="2">
        <v>0</v>
      </c>
      <c r="X595">
        <v>0</v>
      </c>
      <c r="Y595" t="s">
        <v>70</v>
      </c>
      <c r="Z595" t="s">
        <v>60</v>
      </c>
      <c r="AA595">
        <v>0</v>
      </c>
      <c r="AB595" s="2">
        <v>0</v>
      </c>
      <c r="AC595" s="2">
        <v>0</v>
      </c>
      <c r="AD595" s="4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13.78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</row>
    <row r="596" spans="1:44" x14ac:dyDescent="0.25">
      <c r="A596" s="1">
        <v>45915</v>
      </c>
      <c r="B596" t="s">
        <v>47</v>
      </c>
      <c r="D596">
        <v>2029967974</v>
      </c>
      <c r="E596" t="s">
        <v>910</v>
      </c>
      <c r="F596" t="s">
        <v>909</v>
      </c>
      <c r="G596" t="s">
        <v>50</v>
      </c>
      <c r="H596" t="s">
        <v>214</v>
      </c>
      <c r="I596" t="s">
        <v>441</v>
      </c>
      <c r="J596" t="s">
        <v>545</v>
      </c>
      <c r="L596" t="s">
        <v>215</v>
      </c>
      <c r="M596" t="s">
        <v>216</v>
      </c>
      <c r="N596" t="s">
        <v>1077</v>
      </c>
      <c r="O596" t="s">
        <v>56</v>
      </c>
      <c r="P596" s="1">
        <v>45854</v>
      </c>
      <c r="Q596" s="1">
        <v>45946</v>
      </c>
      <c r="R596" s="2">
        <v>24.61</v>
      </c>
      <c r="S596">
        <v>1</v>
      </c>
      <c r="T596" t="s">
        <v>57</v>
      </c>
      <c r="U596" t="s">
        <v>58</v>
      </c>
      <c r="V596" s="4">
        <v>0.7</v>
      </c>
      <c r="W596" s="2">
        <v>0</v>
      </c>
      <c r="X596">
        <v>0</v>
      </c>
      <c r="Y596" t="s">
        <v>70</v>
      </c>
      <c r="Z596" t="s">
        <v>60</v>
      </c>
      <c r="AA596">
        <v>0</v>
      </c>
      <c r="AB596" s="2">
        <v>0</v>
      </c>
      <c r="AC596" s="2">
        <v>0</v>
      </c>
      <c r="AD596" s="4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17.23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</row>
    <row r="597" spans="1:44" x14ac:dyDescent="0.25">
      <c r="A597" s="1">
        <v>45915</v>
      </c>
      <c r="B597" t="s">
        <v>47</v>
      </c>
      <c r="C597">
        <v>649163</v>
      </c>
      <c r="D597">
        <v>2030313517</v>
      </c>
      <c r="E597" t="s">
        <v>898</v>
      </c>
      <c r="F597" t="s">
        <v>897</v>
      </c>
      <c r="G597" t="s">
        <v>50</v>
      </c>
      <c r="H597" t="s">
        <v>214</v>
      </c>
      <c r="I597" t="s">
        <v>441</v>
      </c>
      <c r="J597" t="s">
        <v>451</v>
      </c>
      <c r="K597">
        <v>823068</v>
      </c>
      <c r="L597" t="s">
        <v>215</v>
      </c>
      <c r="M597" t="s">
        <v>216</v>
      </c>
      <c r="N597" t="s">
        <v>1077</v>
      </c>
      <c r="O597" t="s">
        <v>56</v>
      </c>
      <c r="P597" s="1">
        <v>45884</v>
      </c>
      <c r="Q597" s="1">
        <v>45945</v>
      </c>
      <c r="R597" s="2">
        <v>27.8</v>
      </c>
      <c r="S597">
        <v>1</v>
      </c>
      <c r="T597" t="s">
        <v>57</v>
      </c>
      <c r="U597" t="s">
        <v>58</v>
      </c>
      <c r="V597" s="4">
        <v>0.42</v>
      </c>
      <c r="W597" s="2">
        <v>0</v>
      </c>
      <c r="X597">
        <v>0</v>
      </c>
      <c r="Y597" t="s">
        <v>70</v>
      </c>
      <c r="Z597" t="s">
        <v>60</v>
      </c>
      <c r="AA597">
        <v>0</v>
      </c>
      <c r="AB597" s="2">
        <v>0</v>
      </c>
      <c r="AC597" s="2">
        <v>0</v>
      </c>
      <c r="AD597" s="4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11.68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</row>
    <row r="598" spans="1:44" x14ac:dyDescent="0.25">
      <c r="A598" s="1">
        <v>45915</v>
      </c>
      <c r="B598" t="s">
        <v>47</v>
      </c>
      <c r="C598">
        <v>649163</v>
      </c>
      <c r="D598">
        <v>2030450004</v>
      </c>
      <c r="E598" t="s">
        <v>713</v>
      </c>
      <c r="F598" t="s">
        <v>712</v>
      </c>
      <c r="G598" t="s">
        <v>50</v>
      </c>
      <c r="H598" t="s">
        <v>214</v>
      </c>
      <c r="I598" t="s">
        <v>441</v>
      </c>
      <c r="J598" t="s">
        <v>451</v>
      </c>
      <c r="K598">
        <v>823068</v>
      </c>
      <c r="L598" t="s">
        <v>215</v>
      </c>
      <c r="M598" t="s">
        <v>216</v>
      </c>
      <c r="N598" t="s">
        <v>1077</v>
      </c>
      <c r="O598" t="s">
        <v>56</v>
      </c>
      <c r="P598" s="1">
        <v>45888</v>
      </c>
      <c r="Q598" s="1">
        <v>45949</v>
      </c>
      <c r="R598" s="2">
        <v>32.81</v>
      </c>
      <c r="S598">
        <v>1</v>
      </c>
      <c r="T598" t="s">
        <v>57</v>
      </c>
      <c r="U598" t="s">
        <v>58</v>
      </c>
      <c r="V598" s="4">
        <v>0.42</v>
      </c>
      <c r="W598" s="2">
        <v>0</v>
      </c>
      <c r="X598">
        <v>0</v>
      </c>
      <c r="Y598" t="s">
        <v>70</v>
      </c>
      <c r="Z598" t="s">
        <v>60</v>
      </c>
      <c r="AA598">
        <v>0</v>
      </c>
      <c r="AB598" s="2">
        <v>0</v>
      </c>
      <c r="AC598" s="2">
        <v>0</v>
      </c>
      <c r="AD598" s="4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13.78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</row>
    <row r="599" spans="1:44" x14ac:dyDescent="0.25">
      <c r="A599" s="1">
        <v>45915</v>
      </c>
      <c r="B599" t="s">
        <v>47</v>
      </c>
      <c r="D599">
        <v>2030450005</v>
      </c>
      <c r="E599" t="s">
        <v>713</v>
      </c>
      <c r="F599" t="s">
        <v>712</v>
      </c>
      <c r="G599" t="s">
        <v>50</v>
      </c>
      <c r="H599" t="s">
        <v>214</v>
      </c>
      <c r="I599" t="s">
        <v>441</v>
      </c>
      <c r="J599" t="s">
        <v>545</v>
      </c>
      <c r="L599" t="s">
        <v>215</v>
      </c>
      <c r="M599" t="s">
        <v>216</v>
      </c>
      <c r="N599" t="s">
        <v>1077</v>
      </c>
      <c r="O599" t="s">
        <v>56</v>
      </c>
      <c r="P599" s="1">
        <v>45888</v>
      </c>
      <c r="Q599" s="1">
        <v>45949</v>
      </c>
      <c r="R599" s="2">
        <v>24.61</v>
      </c>
      <c r="S599">
        <v>1</v>
      </c>
      <c r="T599" t="s">
        <v>57</v>
      </c>
      <c r="U599" t="s">
        <v>58</v>
      </c>
      <c r="V599" s="4">
        <v>0.7</v>
      </c>
      <c r="W599" s="2">
        <v>0</v>
      </c>
      <c r="X599">
        <v>0</v>
      </c>
      <c r="Y599" t="s">
        <v>70</v>
      </c>
      <c r="Z599" t="s">
        <v>60</v>
      </c>
      <c r="AA599">
        <v>0</v>
      </c>
      <c r="AB599" s="2">
        <v>0</v>
      </c>
      <c r="AC599" s="2">
        <v>0</v>
      </c>
      <c r="AD599" s="4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17.23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</row>
    <row r="600" spans="1:44" x14ac:dyDescent="0.25">
      <c r="A600" s="1">
        <v>45915</v>
      </c>
      <c r="B600" t="s">
        <v>47</v>
      </c>
      <c r="D600">
        <v>2030454170</v>
      </c>
      <c r="E600" t="s">
        <v>711</v>
      </c>
      <c r="F600" t="s">
        <v>123</v>
      </c>
      <c r="G600" t="s">
        <v>50</v>
      </c>
      <c r="H600" t="s">
        <v>214</v>
      </c>
      <c r="I600" t="s">
        <v>441</v>
      </c>
      <c r="J600" t="s">
        <v>545</v>
      </c>
      <c r="L600" t="s">
        <v>215</v>
      </c>
      <c r="M600" t="s">
        <v>216</v>
      </c>
      <c r="N600" t="s">
        <v>1077</v>
      </c>
      <c r="O600" t="s">
        <v>56</v>
      </c>
      <c r="P600" s="1">
        <v>45883</v>
      </c>
      <c r="Q600" s="1">
        <v>45944</v>
      </c>
      <c r="R600" s="2">
        <v>24.61</v>
      </c>
      <c r="S600">
        <v>1</v>
      </c>
      <c r="T600" t="s">
        <v>57</v>
      </c>
      <c r="U600" t="s">
        <v>58</v>
      </c>
      <c r="V600" s="4">
        <v>0.7</v>
      </c>
      <c r="W600" s="2">
        <v>0</v>
      </c>
      <c r="X600">
        <v>0</v>
      </c>
      <c r="Y600" t="s">
        <v>70</v>
      </c>
      <c r="Z600" t="s">
        <v>60</v>
      </c>
      <c r="AA600">
        <v>0</v>
      </c>
      <c r="AB600" s="2">
        <v>0</v>
      </c>
      <c r="AC600" s="2">
        <v>0</v>
      </c>
      <c r="AD600" s="4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17.23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</row>
    <row r="601" spans="1:44" x14ac:dyDescent="0.25">
      <c r="A601" s="1">
        <v>45915</v>
      </c>
      <c r="B601" t="s">
        <v>47</v>
      </c>
      <c r="D601">
        <v>2030463472</v>
      </c>
      <c r="E601" t="s">
        <v>228</v>
      </c>
      <c r="F601" t="s">
        <v>229</v>
      </c>
      <c r="G601" t="s">
        <v>50</v>
      </c>
      <c r="H601" t="s">
        <v>214</v>
      </c>
      <c r="I601" t="s">
        <v>441</v>
      </c>
      <c r="J601" t="s">
        <v>545</v>
      </c>
      <c r="L601" t="s">
        <v>215</v>
      </c>
      <c r="M601" t="s">
        <v>216</v>
      </c>
      <c r="N601" t="s">
        <v>1077</v>
      </c>
      <c r="O601" t="s">
        <v>56</v>
      </c>
      <c r="P601" s="1">
        <v>45885</v>
      </c>
      <c r="Q601" s="1">
        <v>45946</v>
      </c>
      <c r="R601" s="2">
        <v>55.58</v>
      </c>
      <c r="S601">
        <v>1</v>
      </c>
      <c r="T601" t="s">
        <v>57</v>
      </c>
      <c r="U601" t="s">
        <v>58</v>
      </c>
      <c r="V601" s="4">
        <v>0.7</v>
      </c>
      <c r="W601" s="2">
        <v>0</v>
      </c>
      <c r="X601">
        <v>0</v>
      </c>
      <c r="Y601" t="s">
        <v>70</v>
      </c>
      <c r="Z601" t="s">
        <v>60</v>
      </c>
      <c r="AA601">
        <v>0</v>
      </c>
      <c r="AB601" s="2">
        <v>0</v>
      </c>
      <c r="AC601" s="2">
        <v>0</v>
      </c>
      <c r="AD601" s="4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38.909999999999997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</row>
    <row r="602" spans="1:44" x14ac:dyDescent="0.25">
      <c r="A602" s="1">
        <v>45915</v>
      </c>
      <c r="B602" t="s">
        <v>47</v>
      </c>
      <c r="D602">
        <v>2030488870</v>
      </c>
      <c r="E602" t="s">
        <v>699</v>
      </c>
      <c r="F602" t="s">
        <v>698</v>
      </c>
      <c r="G602" t="s">
        <v>50</v>
      </c>
      <c r="H602" t="s">
        <v>214</v>
      </c>
      <c r="I602" t="s">
        <v>441</v>
      </c>
      <c r="J602" t="s">
        <v>545</v>
      </c>
      <c r="L602" t="s">
        <v>215</v>
      </c>
      <c r="M602" t="s">
        <v>216</v>
      </c>
      <c r="N602" t="s">
        <v>1077</v>
      </c>
      <c r="O602" t="s">
        <v>56</v>
      </c>
      <c r="P602" s="1">
        <v>45884</v>
      </c>
      <c r="Q602" s="1">
        <v>45945</v>
      </c>
      <c r="R602" s="2">
        <v>24.61</v>
      </c>
      <c r="S602">
        <v>1</v>
      </c>
      <c r="T602" t="s">
        <v>57</v>
      </c>
      <c r="U602" t="s">
        <v>58</v>
      </c>
      <c r="V602" s="4">
        <v>0.7</v>
      </c>
      <c r="W602" s="2">
        <v>0</v>
      </c>
      <c r="X602">
        <v>0</v>
      </c>
      <c r="Y602" t="s">
        <v>70</v>
      </c>
      <c r="Z602" t="s">
        <v>60</v>
      </c>
      <c r="AA602">
        <v>0</v>
      </c>
      <c r="AB602" s="2">
        <v>0</v>
      </c>
      <c r="AC602" s="2">
        <v>0</v>
      </c>
      <c r="AD602" s="4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17.23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</row>
    <row r="603" spans="1:44" x14ac:dyDescent="0.25">
      <c r="A603" s="1">
        <v>45915</v>
      </c>
      <c r="B603" t="s">
        <v>47</v>
      </c>
      <c r="C603">
        <v>649163</v>
      </c>
      <c r="D603">
        <v>2030488871</v>
      </c>
      <c r="E603" t="s">
        <v>699</v>
      </c>
      <c r="F603" t="s">
        <v>698</v>
      </c>
      <c r="G603" t="s">
        <v>50</v>
      </c>
      <c r="H603" t="s">
        <v>214</v>
      </c>
      <c r="I603" t="s">
        <v>441</v>
      </c>
      <c r="J603" t="s">
        <v>451</v>
      </c>
      <c r="K603">
        <v>823068</v>
      </c>
      <c r="L603" t="s">
        <v>215</v>
      </c>
      <c r="M603" t="s">
        <v>216</v>
      </c>
      <c r="N603" t="s">
        <v>1077</v>
      </c>
      <c r="O603" t="s">
        <v>56</v>
      </c>
      <c r="P603" s="1">
        <v>45884</v>
      </c>
      <c r="Q603" s="1">
        <v>45945</v>
      </c>
      <c r="R603" s="2">
        <v>27.8</v>
      </c>
      <c r="S603">
        <v>1</v>
      </c>
      <c r="T603" t="s">
        <v>57</v>
      </c>
      <c r="U603" t="s">
        <v>58</v>
      </c>
      <c r="V603" s="4">
        <v>0.42</v>
      </c>
      <c r="W603" s="2">
        <v>0</v>
      </c>
      <c r="X603">
        <v>0</v>
      </c>
      <c r="Y603" t="s">
        <v>70</v>
      </c>
      <c r="Z603" t="s">
        <v>60</v>
      </c>
      <c r="AA603">
        <v>0</v>
      </c>
      <c r="AB603" s="2">
        <v>0</v>
      </c>
      <c r="AC603" s="2">
        <v>0</v>
      </c>
      <c r="AD603" s="4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11.68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</row>
    <row r="604" spans="1:44" x14ac:dyDescent="0.25">
      <c r="A604" s="1">
        <v>45922</v>
      </c>
      <c r="B604" t="s">
        <v>602</v>
      </c>
      <c r="D604">
        <v>2030463472</v>
      </c>
      <c r="E604" t="s">
        <v>228</v>
      </c>
      <c r="F604" t="s">
        <v>229</v>
      </c>
      <c r="G604" t="s">
        <v>50</v>
      </c>
      <c r="I604" t="s">
        <v>441</v>
      </c>
      <c r="J604" t="s">
        <v>545</v>
      </c>
      <c r="L604" t="s">
        <v>215</v>
      </c>
      <c r="M604" t="s">
        <v>216</v>
      </c>
      <c r="N604" t="s">
        <v>1077</v>
      </c>
      <c r="O604" t="s">
        <v>230</v>
      </c>
      <c r="P604" s="1">
        <v>45885</v>
      </c>
      <c r="R604" s="2">
        <v>0</v>
      </c>
      <c r="AB604" s="2">
        <v>233.44</v>
      </c>
      <c r="AC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77.819999999999993</v>
      </c>
      <c r="AN604" s="2">
        <v>-155.62</v>
      </c>
      <c r="AO604" s="2">
        <v>-155.62</v>
      </c>
      <c r="AP604" s="2">
        <v>0</v>
      </c>
      <c r="AQ604" s="2">
        <v>0</v>
      </c>
      <c r="AR604" t="s">
        <v>603</v>
      </c>
    </row>
    <row r="605" spans="1:44" x14ac:dyDescent="0.25">
      <c r="A605" s="1">
        <v>45922</v>
      </c>
      <c r="B605" t="s">
        <v>602</v>
      </c>
      <c r="C605">
        <v>649163</v>
      </c>
      <c r="D605">
        <v>2030463473</v>
      </c>
      <c r="E605" t="s">
        <v>228</v>
      </c>
      <c r="F605" t="s">
        <v>229</v>
      </c>
      <c r="G605" t="s">
        <v>50</v>
      </c>
      <c r="I605" t="s">
        <v>106</v>
      </c>
      <c r="J605" t="s">
        <v>107</v>
      </c>
      <c r="K605">
        <v>649163</v>
      </c>
      <c r="L605" t="s">
        <v>215</v>
      </c>
      <c r="M605" t="s">
        <v>216</v>
      </c>
      <c r="N605" t="s">
        <v>1077</v>
      </c>
      <c r="O605" t="s">
        <v>230</v>
      </c>
      <c r="P605" s="1">
        <v>45885</v>
      </c>
      <c r="R605" s="2">
        <v>0</v>
      </c>
      <c r="AB605" s="2">
        <v>808.22</v>
      </c>
      <c r="AC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269.39999999999998</v>
      </c>
      <c r="AN605" s="2">
        <v>-538.82000000000005</v>
      </c>
      <c r="AO605" s="2">
        <v>-538.82000000000005</v>
      </c>
      <c r="AP605" s="2">
        <v>0</v>
      </c>
      <c r="AQ605" s="2">
        <v>0</v>
      </c>
      <c r="AR605" t="s">
        <v>603</v>
      </c>
    </row>
    <row r="606" spans="1:44" x14ac:dyDescent="0.25">
      <c r="A606" s="1">
        <v>45922</v>
      </c>
      <c r="B606" t="s">
        <v>47</v>
      </c>
      <c r="C606">
        <v>649163</v>
      </c>
      <c r="D606">
        <v>2026783376</v>
      </c>
      <c r="E606" t="s">
        <v>149</v>
      </c>
      <c r="F606" t="s">
        <v>150</v>
      </c>
      <c r="G606" t="s">
        <v>50</v>
      </c>
      <c r="H606" t="s">
        <v>151</v>
      </c>
      <c r="I606" t="s">
        <v>106</v>
      </c>
      <c r="J606" t="s">
        <v>146</v>
      </c>
      <c r="K606">
        <v>673059</v>
      </c>
      <c r="L606" t="s">
        <v>152</v>
      </c>
      <c r="M606" t="s">
        <v>153</v>
      </c>
      <c r="N606" t="s">
        <v>1078</v>
      </c>
      <c r="O606" t="s">
        <v>56</v>
      </c>
      <c r="P606" s="1">
        <v>45709</v>
      </c>
      <c r="Q606" s="1">
        <v>45951</v>
      </c>
      <c r="R606" s="2">
        <v>66.489999999999995</v>
      </c>
      <c r="S606">
        <v>1</v>
      </c>
      <c r="T606" t="s">
        <v>57</v>
      </c>
      <c r="U606" t="s">
        <v>58</v>
      </c>
      <c r="V606" s="4">
        <v>0.65</v>
      </c>
      <c r="W606" s="2">
        <v>0</v>
      </c>
      <c r="X606">
        <v>0</v>
      </c>
      <c r="Y606" t="s">
        <v>70</v>
      </c>
      <c r="Z606" t="s">
        <v>60</v>
      </c>
      <c r="AA606">
        <v>0</v>
      </c>
      <c r="AB606" s="2">
        <v>0</v>
      </c>
      <c r="AC606" s="2">
        <v>0</v>
      </c>
      <c r="AD606" s="4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43.22</v>
      </c>
      <c r="AN606" s="2">
        <v>43.22</v>
      </c>
      <c r="AO606" s="2">
        <v>0</v>
      </c>
      <c r="AP606" s="2">
        <v>0</v>
      </c>
      <c r="AQ606" s="2">
        <v>0</v>
      </c>
    </row>
    <row r="607" spans="1:44" x14ac:dyDescent="0.25">
      <c r="A607" s="1">
        <v>45922</v>
      </c>
      <c r="B607" t="s">
        <v>47</v>
      </c>
      <c r="C607">
        <v>649163</v>
      </c>
      <c r="D607">
        <v>2027258066</v>
      </c>
      <c r="E607" t="s">
        <v>160</v>
      </c>
      <c r="F607" t="s">
        <v>161</v>
      </c>
      <c r="G607" t="s">
        <v>50</v>
      </c>
      <c r="H607" t="s">
        <v>151</v>
      </c>
      <c r="I607" t="s">
        <v>106</v>
      </c>
      <c r="J607" t="s">
        <v>146</v>
      </c>
      <c r="K607">
        <v>673059</v>
      </c>
      <c r="L607" t="s">
        <v>152</v>
      </c>
      <c r="M607" t="s">
        <v>153</v>
      </c>
      <c r="N607" t="s">
        <v>1078</v>
      </c>
      <c r="O607" t="s">
        <v>56</v>
      </c>
      <c r="P607" s="1">
        <v>45710</v>
      </c>
      <c r="Q607" s="1">
        <v>45952</v>
      </c>
      <c r="R607" s="2">
        <v>78.239999999999995</v>
      </c>
      <c r="S607">
        <v>1</v>
      </c>
      <c r="T607" t="s">
        <v>57</v>
      </c>
      <c r="U607" t="s">
        <v>58</v>
      </c>
      <c r="V607" s="4">
        <v>0.65</v>
      </c>
      <c r="W607" s="2">
        <v>0</v>
      </c>
      <c r="X607">
        <v>0</v>
      </c>
      <c r="Y607" t="s">
        <v>70</v>
      </c>
      <c r="Z607" t="s">
        <v>60</v>
      </c>
      <c r="AA607">
        <v>0</v>
      </c>
      <c r="AB607" s="2">
        <v>0</v>
      </c>
      <c r="AC607" s="2">
        <v>0</v>
      </c>
      <c r="AD607" s="4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50.86</v>
      </c>
      <c r="AN607" s="2">
        <v>50.86</v>
      </c>
      <c r="AO607" s="2">
        <v>0</v>
      </c>
      <c r="AP607" s="2">
        <v>0</v>
      </c>
      <c r="AQ607" s="2">
        <v>0</v>
      </c>
    </row>
    <row r="608" spans="1:44" x14ac:dyDescent="0.25">
      <c r="A608" s="1">
        <v>45922</v>
      </c>
      <c r="B608" t="s">
        <v>47</v>
      </c>
      <c r="C608">
        <v>649163</v>
      </c>
      <c r="D608">
        <v>2029038485</v>
      </c>
      <c r="E608" t="s">
        <v>186</v>
      </c>
      <c r="F608" t="s">
        <v>187</v>
      </c>
      <c r="G608" t="s">
        <v>50</v>
      </c>
      <c r="H608" t="s">
        <v>188</v>
      </c>
      <c r="I608" t="s">
        <v>106</v>
      </c>
      <c r="J608" t="s">
        <v>184</v>
      </c>
      <c r="K608">
        <v>673059</v>
      </c>
      <c r="L608" t="s">
        <v>152</v>
      </c>
      <c r="M608" t="s">
        <v>153</v>
      </c>
      <c r="N608" t="s">
        <v>1078</v>
      </c>
      <c r="O608" t="s">
        <v>56</v>
      </c>
      <c r="P608" s="1">
        <v>45798</v>
      </c>
      <c r="Q608" s="1">
        <v>45951</v>
      </c>
      <c r="R608" s="2">
        <v>50.74</v>
      </c>
      <c r="S608">
        <v>1</v>
      </c>
      <c r="T608" t="s">
        <v>57</v>
      </c>
      <c r="U608" t="s">
        <v>58</v>
      </c>
      <c r="V608" s="4">
        <v>0.75</v>
      </c>
      <c r="W608" s="2">
        <v>0</v>
      </c>
      <c r="X608">
        <v>0</v>
      </c>
      <c r="Y608" t="s">
        <v>70</v>
      </c>
      <c r="Z608" t="s">
        <v>60</v>
      </c>
      <c r="AA608">
        <v>0</v>
      </c>
      <c r="AB608" s="2">
        <v>0</v>
      </c>
      <c r="AC608" s="2">
        <v>0</v>
      </c>
      <c r="AD608" s="4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38.06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45922</v>
      </c>
      <c r="B609" t="s">
        <v>47</v>
      </c>
      <c r="C609">
        <v>649163</v>
      </c>
      <c r="D609">
        <v>2029980504</v>
      </c>
      <c r="E609" t="s">
        <v>205</v>
      </c>
      <c r="F609" t="s">
        <v>206</v>
      </c>
      <c r="G609" t="s">
        <v>50</v>
      </c>
      <c r="H609" t="s">
        <v>63</v>
      </c>
      <c r="I609" t="s">
        <v>106</v>
      </c>
      <c r="J609" t="s">
        <v>184</v>
      </c>
      <c r="K609">
        <v>673059</v>
      </c>
      <c r="L609" t="s">
        <v>152</v>
      </c>
      <c r="M609" t="s">
        <v>153</v>
      </c>
      <c r="N609" t="s">
        <v>1078</v>
      </c>
      <c r="O609" t="s">
        <v>56</v>
      </c>
      <c r="P609" s="1">
        <v>45884</v>
      </c>
      <c r="Q609" s="1">
        <v>45945</v>
      </c>
      <c r="R609" s="2">
        <v>85.81</v>
      </c>
      <c r="S609">
        <v>1</v>
      </c>
      <c r="T609" t="s">
        <v>57</v>
      </c>
      <c r="U609" t="s">
        <v>58</v>
      </c>
      <c r="V609" s="4">
        <v>0.75</v>
      </c>
      <c r="W609" s="2">
        <v>0</v>
      </c>
      <c r="X609">
        <v>0</v>
      </c>
      <c r="Y609" t="s">
        <v>70</v>
      </c>
      <c r="Z609" t="s">
        <v>60</v>
      </c>
      <c r="AA609">
        <v>0</v>
      </c>
      <c r="AB609" s="2">
        <v>0</v>
      </c>
      <c r="AC609" s="2">
        <v>0</v>
      </c>
      <c r="AD609" s="4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64.36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45922</v>
      </c>
      <c r="B610" t="s">
        <v>47</v>
      </c>
      <c r="C610">
        <v>649163</v>
      </c>
      <c r="D610">
        <v>2030085142</v>
      </c>
      <c r="E610" t="s">
        <v>217</v>
      </c>
      <c r="F610" t="s">
        <v>218</v>
      </c>
      <c r="G610" t="s">
        <v>50</v>
      </c>
      <c r="H610" t="s">
        <v>93</v>
      </c>
      <c r="I610" t="s">
        <v>106</v>
      </c>
      <c r="J610" t="s">
        <v>184</v>
      </c>
      <c r="K610">
        <v>673059</v>
      </c>
      <c r="L610" t="s">
        <v>152</v>
      </c>
      <c r="M610" t="s">
        <v>153</v>
      </c>
      <c r="N610" t="s">
        <v>1078</v>
      </c>
      <c r="O610" t="s">
        <v>56</v>
      </c>
      <c r="P610" s="1">
        <v>45861</v>
      </c>
      <c r="Q610" s="1">
        <v>45953</v>
      </c>
      <c r="R610" s="2">
        <v>78.430000000000007</v>
      </c>
      <c r="S610">
        <v>1</v>
      </c>
      <c r="T610" t="s">
        <v>57</v>
      </c>
      <c r="U610" t="s">
        <v>58</v>
      </c>
      <c r="V610" s="4">
        <v>0.75</v>
      </c>
      <c r="W610" s="2">
        <v>0</v>
      </c>
      <c r="X610">
        <v>0</v>
      </c>
      <c r="Y610" t="s">
        <v>70</v>
      </c>
      <c r="Z610" t="s">
        <v>60</v>
      </c>
      <c r="AA610">
        <v>0</v>
      </c>
      <c r="AB610" s="2">
        <v>0</v>
      </c>
      <c r="AC610" s="2">
        <v>0</v>
      </c>
      <c r="AD610" s="4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58.82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45922</v>
      </c>
      <c r="B611" t="s">
        <v>47</v>
      </c>
      <c r="C611">
        <v>649163</v>
      </c>
      <c r="D611">
        <v>2020461027</v>
      </c>
      <c r="E611" t="s">
        <v>242</v>
      </c>
      <c r="F611" t="s">
        <v>179</v>
      </c>
      <c r="G611" t="s">
        <v>50</v>
      </c>
      <c r="H611" t="s">
        <v>157</v>
      </c>
      <c r="I611" t="s">
        <v>243</v>
      </c>
      <c r="J611" t="s">
        <v>244</v>
      </c>
      <c r="K611">
        <v>673059</v>
      </c>
      <c r="L611" t="s">
        <v>152</v>
      </c>
      <c r="M611" t="s">
        <v>153</v>
      </c>
      <c r="N611" t="s">
        <v>1078</v>
      </c>
      <c r="O611" t="s">
        <v>56</v>
      </c>
      <c r="P611" s="1">
        <v>45284</v>
      </c>
      <c r="Q611" s="1">
        <v>45954</v>
      </c>
      <c r="R611" s="2">
        <v>15</v>
      </c>
      <c r="S611">
        <v>1</v>
      </c>
      <c r="T611" t="s">
        <v>57</v>
      </c>
      <c r="U611" t="s">
        <v>58</v>
      </c>
      <c r="V611" s="4">
        <v>0.28999999999999998</v>
      </c>
      <c r="W611" s="2">
        <v>0</v>
      </c>
      <c r="X611">
        <v>0</v>
      </c>
      <c r="Y611" t="s">
        <v>59</v>
      </c>
      <c r="Z611" t="s">
        <v>60</v>
      </c>
      <c r="AA611">
        <v>0</v>
      </c>
      <c r="AB611" s="2">
        <v>0</v>
      </c>
      <c r="AC611" s="2">
        <v>0</v>
      </c>
      <c r="AD611" s="4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4.3499999999999996</v>
      </c>
      <c r="AN611" s="2">
        <v>4.3499999999999996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45922</v>
      </c>
      <c r="B612" t="s">
        <v>47</v>
      </c>
      <c r="C612">
        <v>649163</v>
      </c>
      <c r="D612">
        <v>2023625918</v>
      </c>
      <c r="E612" t="s">
        <v>250</v>
      </c>
      <c r="F612" t="s">
        <v>251</v>
      </c>
      <c r="G612" t="s">
        <v>50</v>
      </c>
      <c r="H612" t="s">
        <v>63</v>
      </c>
      <c r="I612" t="s">
        <v>243</v>
      </c>
      <c r="J612" t="s">
        <v>252</v>
      </c>
      <c r="K612">
        <v>673059</v>
      </c>
      <c r="L612" t="s">
        <v>152</v>
      </c>
      <c r="M612" t="s">
        <v>153</v>
      </c>
      <c r="N612" t="s">
        <v>1078</v>
      </c>
      <c r="O612" t="s">
        <v>56</v>
      </c>
      <c r="P612" s="1">
        <v>45466</v>
      </c>
      <c r="Q612" s="1">
        <v>45953</v>
      </c>
      <c r="R612" s="2">
        <v>15</v>
      </c>
      <c r="S612">
        <v>1</v>
      </c>
      <c r="T612" t="s">
        <v>57</v>
      </c>
      <c r="U612" t="s">
        <v>58</v>
      </c>
      <c r="V612" s="4">
        <v>0.19</v>
      </c>
      <c r="W612" s="2">
        <v>0</v>
      </c>
      <c r="X612">
        <v>0</v>
      </c>
      <c r="Y612" t="s">
        <v>59</v>
      </c>
      <c r="Z612" t="s">
        <v>60</v>
      </c>
      <c r="AA612">
        <v>0</v>
      </c>
      <c r="AB612" s="2">
        <v>0</v>
      </c>
      <c r="AC612" s="2">
        <v>0</v>
      </c>
      <c r="AD612" s="4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2.85</v>
      </c>
      <c r="AN612" s="2">
        <v>2.85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45922</v>
      </c>
      <c r="B613" t="s">
        <v>47</v>
      </c>
      <c r="C613">
        <v>649163</v>
      </c>
      <c r="D613">
        <v>2028539830</v>
      </c>
      <c r="E613" t="s">
        <v>264</v>
      </c>
      <c r="F613" t="s">
        <v>265</v>
      </c>
      <c r="G613" t="s">
        <v>50</v>
      </c>
      <c r="H613" t="s">
        <v>266</v>
      </c>
      <c r="I613" t="s">
        <v>243</v>
      </c>
      <c r="J613" t="s">
        <v>249</v>
      </c>
      <c r="K613">
        <v>673059</v>
      </c>
      <c r="L613" t="s">
        <v>152</v>
      </c>
      <c r="M613" t="s">
        <v>153</v>
      </c>
      <c r="N613" t="s">
        <v>1078</v>
      </c>
      <c r="O613" t="s">
        <v>56</v>
      </c>
      <c r="P613" s="1">
        <v>45778</v>
      </c>
      <c r="Q613" s="1">
        <v>45931</v>
      </c>
      <c r="R613" s="2">
        <v>-110</v>
      </c>
      <c r="S613">
        <v>1</v>
      </c>
      <c r="T613" t="s">
        <v>57</v>
      </c>
      <c r="U613" t="s">
        <v>58</v>
      </c>
      <c r="V613" s="4">
        <v>0.38</v>
      </c>
      <c r="W613" s="2">
        <v>0</v>
      </c>
      <c r="X613">
        <v>-1</v>
      </c>
      <c r="Y613" t="s">
        <v>70</v>
      </c>
      <c r="Z613" t="s">
        <v>60</v>
      </c>
      <c r="AA613">
        <v>0</v>
      </c>
      <c r="AB613" s="2">
        <v>0</v>
      </c>
      <c r="AC613" s="2">
        <v>0</v>
      </c>
      <c r="AD613" s="4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-41.8</v>
      </c>
      <c r="AN613" s="2">
        <v>-41.8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45922</v>
      </c>
      <c r="B614" t="s">
        <v>47</v>
      </c>
      <c r="C614">
        <v>649163</v>
      </c>
      <c r="D614">
        <v>2029038488</v>
      </c>
      <c r="E614" t="s">
        <v>186</v>
      </c>
      <c r="F614" t="s">
        <v>187</v>
      </c>
      <c r="G614" t="s">
        <v>50</v>
      </c>
      <c r="H614" t="s">
        <v>188</v>
      </c>
      <c r="I614" t="s">
        <v>243</v>
      </c>
      <c r="J614" t="s">
        <v>269</v>
      </c>
      <c r="K614">
        <v>673059</v>
      </c>
      <c r="L614" t="s">
        <v>152</v>
      </c>
      <c r="M614" t="s">
        <v>153</v>
      </c>
      <c r="N614" t="s">
        <v>1078</v>
      </c>
      <c r="O614" t="s">
        <v>56</v>
      </c>
      <c r="P614" s="1">
        <v>45798</v>
      </c>
      <c r="Q614" s="1">
        <v>45951</v>
      </c>
      <c r="R614" s="2">
        <v>15</v>
      </c>
      <c r="S614">
        <v>1</v>
      </c>
      <c r="T614" t="s">
        <v>57</v>
      </c>
      <c r="U614" t="s">
        <v>58</v>
      </c>
      <c r="V614" s="4">
        <v>0.19</v>
      </c>
      <c r="W614" s="2">
        <v>0</v>
      </c>
      <c r="X614">
        <v>0</v>
      </c>
      <c r="Y614" t="s">
        <v>70</v>
      </c>
      <c r="Z614" t="s">
        <v>60</v>
      </c>
      <c r="AA614">
        <v>0</v>
      </c>
      <c r="AB614" s="2">
        <v>0</v>
      </c>
      <c r="AC614" s="2">
        <v>0</v>
      </c>
      <c r="AD614" s="4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2.85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45922</v>
      </c>
      <c r="B615" t="s">
        <v>47</v>
      </c>
      <c r="C615">
        <v>649163</v>
      </c>
      <c r="D615">
        <v>2030085147</v>
      </c>
      <c r="E615" t="s">
        <v>217</v>
      </c>
      <c r="F615" t="s">
        <v>218</v>
      </c>
      <c r="G615" t="s">
        <v>50</v>
      </c>
      <c r="H615" t="s">
        <v>93</v>
      </c>
      <c r="I615" t="s">
        <v>243</v>
      </c>
      <c r="J615" t="s">
        <v>269</v>
      </c>
      <c r="K615">
        <v>673059</v>
      </c>
      <c r="L615" t="s">
        <v>152</v>
      </c>
      <c r="M615" t="s">
        <v>153</v>
      </c>
      <c r="N615" t="s">
        <v>1078</v>
      </c>
      <c r="O615" t="s">
        <v>56</v>
      </c>
      <c r="P615" s="1">
        <v>45861</v>
      </c>
      <c r="Q615" s="1">
        <v>45953</v>
      </c>
      <c r="R615" s="2">
        <v>15</v>
      </c>
      <c r="S615">
        <v>1</v>
      </c>
      <c r="T615" t="s">
        <v>57</v>
      </c>
      <c r="U615" t="s">
        <v>58</v>
      </c>
      <c r="V615" s="4">
        <v>0.19</v>
      </c>
      <c r="W615" s="2">
        <v>0</v>
      </c>
      <c r="X615">
        <v>0</v>
      </c>
      <c r="Y615" t="s">
        <v>70</v>
      </c>
      <c r="Z615" t="s">
        <v>60</v>
      </c>
      <c r="AA615">
        <v>0</v>
      </c>
      <c r="AB615" s="2">
        <v>0</v>
      </c>
      <c r="AC615" s="2">
        <v>0</v>
      </c>
      <c r="AD615" s="4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2.85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45922</v>
      </c>
      <c r="B616" t="s">
        <v>47</v>
      </c>
      <c r="C616">
        <v>649163</v>
      </c>
      <c r="D616">
        <v>2019665210</v>
      </c>
      <c r="E616" t="s">
        <v>312</v>
      </c>
      <c r="F616" t="s">
        <v>313</v>
      </c>
      <c r="G616" t="s">
        <v>50</v>
      </c>
      <c r="H616" t="s">
        <v>180</v>
      </c>
      <c r="I616" t="s">
        <v>306</v>
      </c>
      <c r="J616" t="s">
        <v>307</v>
      </c>
      <c r="K616">
        <v>673059</v>
      </c>
      <c r="L616" t="s">
        <v>152</v>
      </c>
      <c r="M616" t="s">
        <v>153</v>
      </c>
      <c r="N616" t="s">
        <v>1078</v>
      </c>
      <c r="O616" t="s">
        <v>56</v>
      </c>
      <c r="P616" s="1">
        <v>45192</v>
      </c>
      <c r="Q616" s="1">
        <v>45953</v>
      </c>
      <c r="R616" s="2">
        <v>42.78</v>
      </c>
      <c r="S616">
        <v>1</v>
      </c>
      <c r="T616" t="s">
        <v>57</v>
      </c>
      <c r="U616" t="s">
        <v>58</v>
      </c>
      <c r="V616" s="4">
        <v>0.06</v>
      </c>
      <c r="W616" s="2">
        <v>0</v>
      </c>
      <c r="X616">
        <v>0</v>
      </c>
      <c r="Y616" t="s">
        <v>59</v>
      </c>
      <c r="Z616" t="s">
        <v>60</v>
      </c>
      <c r="AA616">
        <v>0</v>
      </c>
      <c r="AB616" s="2">
        <v>0</v>
      </c>
      <c r="AC616" s="2">
        <v>0</v>
      </c>
      <c r="AD616" s="4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2.57</v>
      </c>
      <c r="AN616" s="2">
        <v>2.57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45922</v>
      </c>
      <c r="B617" t="s">
        <v>47</v>
      </c>
      <c r="C617">
        <v>649163</v>
      </c>
      <c r="D617">
        <v>2020849790</v>
      </c>
      <c r="E617" t="s">
        <v>318</v>
      </c>
      <c r="F617" t="s">
        <v>319</v>
      </c>
      <c r="G617" t="s">
        <v>50</v>
      </c>
      <c r="H617" t="s">
        <v>93</v>
      </c>
      <c r="I617" t="s">
        <v>306</v>
      </c>
      <c r="J617" t="s">
        <v>307</v>
      </c>
      <c r="K617">
        <v>673059</v>
      </c>
      <c r="L617" t="s">
        <v>152</v>
      </c>
      <c r="M617" t="s">
        <v>153</v>
      </c>
      <c r="N617" t="s">
        <v>1078</v>
      </c>
      <c r="O617" t="s">
        <v>56</v>
      </c>
      <c r="P617" s="1">
        <v>45251</v>
      </c>
      <c r="Q617" s="1">
        <v>45951</v>
      </c>
      <c r="R617" s="2">
        <v>47.78</v>
      </c>
      <c r="S617">
        <v>1</v>
      </c>
      <c r="T617" t="s">
        <v>57</v>
      </c>
      <c r="U617" t="s">
        <v>58</v>
      </c>
      <c r="V617" s="4">
        <v>0.06</v>
      </c>
      <c r="W617" s="2">
        <v>0</v>
      </c>
      <c r="X617">
        <v>0</v>
      </c>
      <c r="Y617" t="s">
        <v>59</v>
      </c>
      <c r="Z617" t="s">
        <v>60</v>
      </c>
      <c r="AA617">
        <v>0</v>
      </c>
      <c r="AB617" s="2">
        <v>0</v>
      </c>
      <c r="AC617" s="2">
        <v>0</v>
      </c>
      <c r="AD617" s="4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2.87</v>
      </c>
      <c r="AN617" s="2">
        <v>2.87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45922</v>
      </c>
      <c r="B618" t="s">
        <v>47</v>
      </c>
      <c r="C618">
        <v>649163</v>
      </c>
      <c r="D618">
        <v>2022838178</v>
      </c>
      <c r="E618" t="s">
        <v>332</v>
      </c>
      <c r="F618" t="s">
        <v>333</v>
      </c>
      <c r="G618" t="s">
        <v>50</v>
      </c>
      <c r="H618" t="s">
        <v>151</v>
      </c>
      <c r="I618" t="s">
        <v>306</v>
      </c>
      <c r="J618" t="s">
        <v>307</v>
      </c>
      <c r="K618">
        <v>673059</v>
      </c>
      <c r="L618" t="s">
        <v>152</v>
      </c>
      <c r="M618" t="s">
        <v>153</v>
      </c>
      <c r="N618" t="s">
        <v>1078</v>
      </c>
      <c r="O618" t="s">
        <v>56</v>
      </c>
      <c r="P618" s="1">
        <v>45407</v>
      </c>
      <c r="Q618" s="1">
        <v>45955</v>
      </c>
      <c r="R618" s="2">
        <v>70.52</v>
      </c>
      <c r="S618">
        <v>1</v>
      </c>
      <c r="T618" t="s">
        <v>57</v>
      </c>
      <c r="U618" t="s">
        <v>58</v>
      </c>
      <c r="V618" s="4">
        <v>0.06</v>
      </c>
      <c r="W618" s="2">
        <v>0</v>
      </c>
      <c r="X618">
        <v>0</v>
      </c>
      <c r="Y618" t="s">
        <v>59</v>
      </c>
      <c r="Z618" t="s">
        <v>60</v>
      </c>
      <c r="AA618">
        <v>0</v>
      </c>
      <c r="AB618" s="2">
        <v>0</v>
      </c>
      <c r="AC618" s="2">
        <v>0</v>
      </c>
      <c r="AD618" s="4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4.2300000000000004</v>
      </c>
      <c r="AN618" s="2">
        <v>4.2300000000000004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45922</v>
      </c>
      <c r="B619" t="s">
        <v>47</v>
      </c>
      <c r="C619">
        <v>649163</v>
      </c>
      <c r="D619">
        <v>2025028098</v>
      </c>
      <c r="E619" t="s">
        <v>343</v>
      </c>
      <c r="F619" t="s">
        <v>344</v>
      </c>
      <c r="G619" t="s">
        <v>50</v>
      </c>
      <c r="H619" t="s">
        <v>63</v>
      </c>
      <c r="I619" t="s">
        <v>306</v>
      </c>
      <c r="J619" t="s">
        <v>307</v>
      </c>
      <c r="K619">
        <v>673059</v>
      </c>
      <c r="L619" t="s">
        <v>152</v>
      </c>
      <c r="M619" t="s">
        <v>153</v>
      </c>
      <c r="N619" t="s">
        <v>1078</v>
      </c>
      <c r="O619" t="s">
        <v>56</v>
      </c>
      <c r="P619" s="1">
        <v>45561</v>
      </c>
      <c r="Q619" s="1">
        <v>45956</v>
      </c>
      <c r="R619" s="2">
        <v>37.840000000000003</v>
      </c>
      <c r="S619">
        <v>1</v>
      </c>
      <c r="T619" t="s">
        <v>57</v>
      </c>
      <c r="U619" t="s">
        <v>58</v>
      </c>
      <c r="V619" s="4">
        <v>0.06</v>
      </c>
      <c r="W619" s="2">
        <v>0</v>
      </c>
      <c r="X619">
        <v>0</v>
      </c>
      <c r="Y619" t="s">
        <v>59</v>
      </c>
      <c r="Z619" t="s">
        <v>60</v>
      </c>
      <c r="AA619">
        <v>0</v>
      </c>
      <c r="AB619" s="2">
        <v>0</v>
      </c>
      <c r="AC619" s="2">
        <v>0</v>
      </c>
      <c r="AD619" s="4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2.27</v>
      </c>
      <c r="AN619" s="2">
        <v>2.27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45922</v>
      </c>
      <c r="B620" t="s">
        <v>47</v>
      </c>
      <c r="C620">
        <v>649163</v>
      </c>
      <c r="D620">
        <v>2026421757</v>
      </c>
      <c r="E620" t="s">
        <v>277</v>
      </c>
      <c r="F620" t="s">
        <v>347</v>
      </c>
      <c r="G620" t="s">
        <v>50</v>
      </c>
      <c r="H620" t="s">
        <v>151</v>
      </c>
      <c r="I620" t="s">
        <v>306</v>
      </c>
      <c r="J620" t="s">
        <v>307</v>
      </c>
      <c r="K620">
        <v>673059</v>
      </c>
      <c r="L620" t="s">
        <v>152</v>
      </c>
      <c r="M620" t="s">
        <v>153</v>
      </c>
      <c r="N620" t="s">
        <v>1078</v>
      </c>
      <c r="O620" t="s">
        <v>56</v>
      </c>
      <c r="P620" s="1">
        <v>45689</v>
      </c>
      <c r="Q620" s="1">
        <v>45931</v>
      </c>
      <c r="R620" s="2">
        <v>-25.6</v>
      </c>
      <c r="S620">
        <v>1</v>
      </c>
      <c r="T620" t="s">
        <v>57</v>
      </c>
      <c r="U620" t="s">
        <v>58</v>
      </c>
      <c r="V620" s="3">
        <v>0.375</v>
      </c>
      <c r="W620" s="2">
        <v>0</v>
      </c>
      <c r="X620">
        <v>-1</v>
      </c>
      <c r="Y620" t="s">
        <v>70</v>
      </c>
      <c r="Z620" t="s">
        <v>60</v>
      </c>
      <c r="AA620">
        <v>0</v>
      </c>
      <c r="AB620" s="2">
        <v>0</v>
      </c>
      <c r="AC620" s="2">
        <v>0</v>
      </c>
      <c r="AD620" s="4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-9.6</v>
      </c>
      <c r="AN620" s="2">
        <v>-9.6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45922</v>
      </c>
      <c r="B621" t="s">
        <v>47</v>
      </c>
      <c r="C621">
        <v>649163</v>
      </c>
      <c r="D621">
        <v>2026594776</v>
      </c>
      <c r="E621" t="s">
        <v>348</v>
      </c>
      <c r="F621" t="s">
        <v>349</v>
      </c>
      <c r="G621" t="s">
        <v>50</v>
      </c>
      <c r="H621" t="s">
        <v>93</v>
      </c>
      <c r="I621" t="s">
        <v>306</v>
      </c>
      <c r="J621" t="s">
        <v>307</v>
      </c>
      <c r="K621">
        <v>673059</v>
      </c>
      <c r="L621" t="s">
        <v>152</v>
      </c>
      <c r="M621" t="s">
        <v>153</v>
      </c>
      <c r="N621" t="s">
        <v>1078</v>
      </c>
      <c r="O621" t="s">
        <v>56</v>
      </c>
      <c r="P621" s="1">
        <v>45678</v>
      </c>
      <c r="Q621" s="1">
        <v>45951</v>
      </c>
      <c r="R621" s="2">
        <v>57.11</v>
      </c>
      <c r="S621">
        <v>1</v>
      </c>
      <c r="T621" t="s">
        <v>57</v>
      </c>
      <c r="U621" t="s">
        <v>58</v>
      </c>
      <c r="V621" s="3">
        <v>0.375</v>
      </c>
      <c r="W621" s="2">
        <v>0</v>
      </c>
      <c r="X621">
        <v>0</v>
      </c>
      <c r="Y621" t="s">
        <v>70</v>
      </c>
      <c r="Z621" t="s">
        <v>60</v>
      </c>
      <c r="AA621">
        <v>0</v>
      </c>
      <c r="AB621" s="2">
        <v>0</v>
      </c>
      <c r="AC621" s="2">
        <v>0</v>
      </c>
      <c r="AD621" s="4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21.42</v>
      </c>
      <c r="AN621" s="2">
        <v>21.42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45922</v>
      </c>
      <c r="B622" t="s">
        <v>47</v>
      </c>
      <c r="C622">
        <v>649163</v>
      </c>
      <c r="D622">
        <v>2026783378</v>
      </c>
      <c r="E622" t="s">
        <v>149</v>
      </c>
      <c r="F622" t="s">
        <v>150</v>
      </c>
      <c r="G622" t="s">
        <v>50</v>
      </c>
      <c r="H622" t="s">
        <v>151</v>
      </c>
      <c r="I622" t="s">
        <v>306</v>
      </c>
      <c r="J622" t="s">
        <v>307</v>
      </c>
      <c r="K622">
        <v>673059</v>
      </c>
      <c r="L622" t="s">
        <v>152</v>
      </c>
      <c r="M622" t="s">
        <v>153</v>
      </c>
      <c r="N622" t="s">
        <v>1078</v>
      </c>
      <c r="O622" t="s">
        <v>56</v>
      </c>
      <c r="P622" s="1">
        <v>45709</v>
      </c>
      <c r="Q622" s="1">
        <v>45951</v>
      </c>
      <c r="R622" s="2">
        <v>54.86</v>
      </c>
      <c r="S622">
        <v>1</v>
      </c>
      <c r="T622" t="s">
        <v>57</v>
      </c>
      <c r="U622" t="s">
        <v>58</v>
      </c>
      <c r="V622" s="3">
        <v>0.375</v>
      </c>
      <c r="W622" s="2">
        <v>0</v>
      </c>
      <c r="X622">
        <v>0</v>
      </c>
      <c r="Y622" t="s">
        <v>70</v>
      </c>
      <c r="Z622" t="s">
        <v>60</v>
      </c>
      <c r="AA622">
        <v>0</v>
      </c>
      <c r="AB622" s="2">
        <v>0</v>
      </c>
      <c r="AC622" s="2">
        <v>0</v>
      </c>
      <c r="AD622" s="4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20.57</v>
      </c>
      <c r="AN622" s="2">
        <v>20.57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45922</v>
      </c>
      <c r="B623" t="s">
        <v>47</v>
      </c>
      <c r="C623">
        <v>649163</v>
      </c>
      <c r="D623">
        <v>2027321380</v>
      </c>
      <c r="E623" t="s">
        <v>361</v>
      </c>
      <c r="F623" t="s">
        <v>362</v>
      </c>
      <c r="G623" t="s">
        <v>50</v>
      </c>
      <c r="H623" t="s">
        <v>93</v>
      </c>
      <c r="I623" t="s">
        <v>306</v>
      </c>
      <c r="J623" t="s">
        <v>307</v>
      </c>
      <c r="K623">
        <v>673059</v>
      </c>
      <c r="L623" t="s">
        <v>152</v>
      </c>
      <c r="M623" t="s">
        <v>153</v>
      </c>
      <c r="N623" t="s">
        <v>1078</v>
      </c>
      <c r="O623" t="s">
        <v>56</v>
      </c>
      <c r="P623" s="1">
        <v>45713</v>
      </c>
      <c r="Q623" s="1">
        <v>45955</v>
      </c>
      <c r="R623" s="2">
        <v>27.64</v>
      </c>
      <c r="S623">
        <v>1</v>
      </c>
      <c r="T623" t="s">
        <v>57</v>
      </c>
      <c r="U623" t="s">
        <v>58</v>
      </c>
      <c r="V623" s="3">
        <v>0.375</v>
      </c>
      <c r="W623" s="2">
        <v>0</v>
      </c>
      <c r="X623">
        <v>0</v>
      </c>
      <c r="Y623" t="s">
        <v>70</v>
      </c>
      <c r="Z623" t="s">
        <v>60</v>
      </c>
      <c r="AA623">
        <v>0</v>
      </c>
      <c r="AB623" s="2">
        <v>0</v>
      </c>
      <c r="AC623" s="2">
        <v>0</v>
      </c>
      <c r="AD623" s="4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10.36</v>
      </c>
      <c r="AN623" s="2">
        <v>10.36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45922</v>
      </c>
      <c r="B624" t="s">
        <v>47</v>
      </c>
      <c r="C624">
        <v>649163</v>
      </c>
      <c r="D624">
        <v>2027343741</v>
      </c>
      <c r="E624" t="s">
        <v>363</v>
      </c>
      <c r="F624" t="s">
        <v>364</v>
      </c>
      <c r="G624" t="s">
        <v>50</v>
      </c>
      <c r="H624" t="s">
        <v>188</v>
      </c>
      <c r="I624" t="s">
        <v>306</v>
      </c>
      <c r="J624" t="s">
        <v>307</v>
      </c>
      <c r="K624">
        <v>673059</v>
      </c>
      <c r="L624" t="s">
        <v>152</v>
      </c>
      <c r="M624" t="s">
        <v>153</v>
      </c>
      <c r="N624" t="s">
        <v>1078</v>
      </c>
      <c r="O624" t="s">
        <v>56</v>
      </c>
      <c r="P624" s="1">
        <v>45714</v>
      </c>
      <c r="Q624" s="1">
        <v>45956</v>
      </c>
      <c r="R624" s="2">
        <v>59.58</v>
      </c>
      <c r="S624">
        <v>1</v>
      </c>
      <c r="T624" t="s">
        <v>57</v>
      </c>
      <c r="U624" t="s">
        <v>58</v>
      </c>
      <c r="V624" s="3">
        <v>0.375</v>
      </c>
      <c r="W624" s="2">
        <v>0</v>
      </c>
      <c r="X624">
        <v>0</v>
      </c>
      <c r="Y624" t="s">
        <v>70</v>
      </c>
      <c r="Z624" t="s">
        <v>60</v>
      </c>
      <c r="AA624">
        <v>0</v>
      </c>
      <c r="AB624" s="2">
        <v>0</v>
      </c>
      <c r="AC624" s="2">
        <v>0</v>
      </c>
      <c r="AD624" s="4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22.34</v>
      </c>
      <c r="AN624" s="2">
        <v>22.34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45922</v>
      </c>
      <c r="B625" t="s">
        <v>47</v>
      </c>
      <c r="C625">
        <v>649163</v>
      </c>
      <c r="D625">
        <v>2029038487</v>
      </c>
      <c r="E625" t="s">
        <v>186</v>
      </c>
      <c r="F625" t="s">
        <v>187</v>
      </c>
      <c r="G625" t="s">
        <v>50</v>
      </c>
      <c r="H625" t="s">
        <v>188</v>
      </c>
      <c r="I625" t="s">
        <v>306</v>
      </c>
      <c r="J625" t="s">
        <v>307</v>
      </c>
      <c r="K625">
        <v>673059</v>
      </c>
      <c r="L625" t="s">
        <v>152</v>
      </c>
      <c r="M625" t="s">
        <v>153</v>
      </c>
      <c r="N625" t="s">
        <v>1078</v>
      </c>
      <c r="O625" t="s">
        <v>56</v>
      </c>
      <c r="P625" s="1">
        <v>45798</v>
      </c>
      <c r="Q625" s="1">
        <v>45951</v>
      </c>
      <c r="R625" s="2">
        <v>60.1</v>
      </c>
      <c r="S625">
        <v>1</v>
      </c>
      <c r="T625" t="s">
        <v>57</v>
      </c>
      <c r="U625" t="s">
        <v>58</v>
      </c>
      <c r="V625" s="3">
        <v>0.375</v>
      </c>
      <c r="W625" s="2">
        <v>0</v>
      </c>
      <c r="X625">
        <v>0</v>
      </c>
      <c r="Y625" t="s">
        <v>70</v>
      </c>
      <c r="Z625" t="s">
        <v>60</v>
      </c>
      <c r="AA625">
        <v>0</v>
      </c>
      <c r="AB625" s="2">
        <v>0</v>
      </c>
      <c r="AC625" s="2">
        <v>0</v>
      </c>
      <c r="AD625" s="4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22.54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45922</v>
      </c>
      <c r="B626" t="s">
        <v>47</v>
      </c>
      <c r="C626">
        <v>649163</v>
      </c>
      <c r="D626">
        <v>2030064157</v>
      </c>
      <c r="E626" t="s">
        <v>390</v>
      </c>
      <c r="F626" t="s">
        <v>391</v>
      </c>
      <c r="G626" t="s">
        <v>50</v>
      </c>
      <c r="H626" t="s">
        <v>77</v>
      </c>
      <c r="I626" t="s">
        <v>306</v>
      </c>
      <c r="J626" t="s">
        <v>307</v>
      </c>
      <c r="K626">
        <v>673059</v>
      </c>
      <c r="L626" t="s">
        <v>152</v>
      </c>
      <c r="M626" t="s">
        <v>153</v>
      </c>
      <c r="N626" t="s">
        <v>1078</v>
      </c>
      <c r="O626" t="s">
        <v>56</v>
      </c>
      <c r="P626" s="1">
        <v>45860</v>
      </c>
      <c r="Q626" s="1">
        <v>45952</v>
      </c>
      <c r="R626" s="2">
        <v>48.56</v>
      </c>
      <c r="S626">
        <v>1</v>
      </c>
      <c r="T626" t="s">
        <v>57</v>
      </c>
      <c r="U626" t="s">
        <v>58</v>
      </c>
      <c r="V626" s="3">
        <v>0.375</v>
      </c>
      <c r="W626" s="2">
        <v>0</v>
      </c>
      <c r="X626">
        <v>0</v>
      </c>
      <c r="Y626" t="s">
        <v>70</v>
      </c>
      <c r="Z626" t="s">
        <v>60</v>
      </c>
      <c r="AA626">
        <v>0</v>
      </c>
      <c r="AB626" s="2">
        <v>0</v>
      </c>
      <c r="AC626" s="2">
        <v>0</v>
      </c>
      <c r="AD626" s="4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18.21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45922</v>
      </c>
      <c r="B627" t="s">
        <v>47</v>
      </c>
      <c r="C627">
        <v>649163</v>
      </c>
      <c r="D627">
        <v>2030085144</v>
      </c>
      <c r="E627" t="s">
        <v>217</v>
      </c>
      <c r="F627" t="s">
        <v>218</v>
      </c>
      <c r="G627" t="s">
        <v>50</v>
      </c>
      <c r="H627" t="s">
        <v>93</v>
      </c>
      <c r="I627" t="s">
        <v>306</v>
      </c>
      <c r="J627" t="s">
        <v>307</v>
      </c>
      <c r="K627">
        <v>673059</v>
      </c>
      <c r="L627" t="s">
        <v>152</v>
      </c>
      <c r="M627" t="s">
        <v>153</v>
      </c>
      <c r="N627" t="s">
        <v>1078</v>
      </c>
      <c r="O627" t="s">
        <v>56</v>
      </c>
      <c r="P627" s="1">
        <v>45861</v>
      </c>
      <c r="Q627" s="1">
        <v>45953</v>
      </c>
      <c r="R627" s="2">
        <v>77.48</v>
      </c>
      <c r="S627">
        <v>1</v>
      </c>
      <c r="T627" t="s">
        <v>57</v>
      </c>
      <c r="U627" t="s">
        <v>58</v>
      </c>
      <c r="V627" s="3">
        <v>0.375</v>
      </c>
      <c r="W627" s="2">
        <v>0</v>
      </c>
      <c r="X627">
        <v>0</v>
      </c>
      <c r="Y627" t="s">
        <v>70</v>
      </c>
      <c r="Z627" t="s">
        <v>60</v>
      </c>
      <c r="AA627">
        <v>0</v>
      </c>
      <c r="AB627" s="2">
        <v>0</v>
      </c>
      <c r="AC627" s="2">
        <v>0</v>
      </c>
      <c r="AD627" s="4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29.06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45922</v>
      </c>
      <c r="B628" t="s">
        <v>47</v>
      </c>
      <c r="C628">
        <v>649163</v>
      </c>
      <c r="D628">
        <v>2030091895</v>
      </c>
      <c r="E628" t="s">
        <v>392</v>
      </c>
      <c r="F628" t="s">
        <v>393</v>
      </c>
      <c r="G628" t="s">
        <v>50</v>
      </c>
      <c r="H628" t="s">
        <v>77</v>
      </c>
      <c r="I628" t="s">
        <v>306</v>
      </c>
      <c r="J628" t="s">
        <v>307</v>
      </c>
      <c r="K628">
        <v>673059</v>
      </c>
      <c r="L628" t="s">
        <v>152</v>
      </c>
      <c r="M628" t="s">
        <v>153</v>
      </c>
      <c r="N628" t="s">
        <v>1078</v>
      </c>
      <c r="O628" t="s">
        <v>56</v>
      </c>
      <c r="P628" s="1">
        <v>45861</v>
      </c>
      <c r="Q628" s="1">
        <v>45953</v>
      </c>
      <c r="R628" s="2">
        <v>58.56</v>
      </c>
      <c r="S628">
        <v>1</v>
      </c>
      <c r="T628" t="s">
        <v>57</v>
      </c>
      <c r="U628" t="s">
        <v>58</v>
      </c>
      <c r="V628" s="3">
        <v>0.375</v>
      </c>
      <c r="W628" s="2">
        <v>0</v>
      </c>
      <c r="X628">
        <v>0</v>
      </c>
      <c r="Y628" t="s">
        <v>70</v>
      </c>
      <c r="Z628" t="s">
        <v>60</v>
      </c>
      <c r="AA628">
        <v>0</v>
      </c>
      <c r="AB628" s="2">
        <v>0</v>
      </c>
      <c r="AC628" s="2">
        <v>0</v>
      </c>
      <c r="AD628" s="4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21.96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45922</v>
      </c>
      <c r="B629" t="s">
        <v>47</v>
      </c>
      <c r="C629">
        <v>649163</v>
      </c>
      <c r="D629">
        <v>2030478246</v>
      </c>
      <c r="E629" t="s">
        <v>117</v>
      </c>
      <c r="F629" t="s">
        <v>401</v>
      </c>
      <c r="G629" t="s">
        <v>50</v>
      </c>
      <c r="H629" t="s">
        <v>402</v>
      </c>
      <c r="I629" t="s">
        <v>306</v>
      </c>
      <c r="J629" t="s">
        <v>307</v>
      </c>
      <c r="K629">
        <v>673059</v>
      </c>
      <c r="L629" t="s">
        <v>152</v>
      </c>
      <c r="M629" t="s">
        <v>153</v>
      </c>
      <c r="N629" t="s">
        <v>1078</v>
      </c>
      <c r="O629" t="s">
        <v>56</v>
      </c>
      <c r="P629" s="1">
        <v>45883</v>
      </c>
      <c r="Q629" s="1">
        <v>45944</v>
      </c>
      <c r="R629" s="2">
        <v>69.67</v>
      </c>
      <c r="S629">
        <v>1</v>
      </c>
      <c r="T629" t="s">
        <v>57</v>
      </c>
      <c r="U629" t="s">
        <v>58</v>
      </c>
      <c r="V629" s="3">
        <v>0.375</v>
      </c>
      <c r="W629" s="2">
        <v>0</v>
      </c>
      <c r="X629">
        <v>0</v>
      </c>
      <c r="Y629" t="s">
        <v>70</v>
      </c>
      <c r="Z629" t="s">
        <v>60</v>
      </c>
      <c r="AA629">
        <v>0</v>
      </c>
      <c r="AB629" s="2">
        <v>0</v>
      </c>
      <c r="AC629" s="2">
        <v>0</v>
      </c>
      <c r="AD629" s="4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26.13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45922</v>
      </c>
      <c r="B630" t="s">
        <v>47</v>
      </c>
      <c r="C630">
        <v>649163</v>
      </c>
      <c r="D630">
        <v>2029038483</v>
      </c>
      <c r="E630" t="s">
        <v>186</v>
      </c>
      <c r="F630" t="s">
        <v>187</v>
      </c>
      <c r="G630" t="s">
        <v>50</v>
      </c>
      <c r="H630" t="s">
        <v>188</v>
      </c>
      <c r="I630" t="s">
        <v>430</v>
      </c>
      <c r="J630" t="s">
        <v>440</v>
      </c>
      <c r="K630">
        <v>673059</v>
      </c>
      <c r="L630" t="s">
        <v>152</v>
      </c>
      <c r="M630" t="s">
        <v>153</v>
      </c>
      <c r="N630" t="s">
        <v>1078</v>
      </c>
      <c r="O630" t="s">
        <v>56</v>
      </c>
      <c r="P630" s="1">
        <v>45798</v>
      </c>
      <c r="Q630" s="1">
        <v>45951</v>
      </c>
      <c r="R630" s="2">
        <v>146.72999999999999</v>
      </c>
      <c r="S630">
        <v>1</v>
      </c>
      <c r="T630" t="s">
        <v>57</v>
      </c>
      <c r="U630" t="s">
        <v>58</v>
      </c>
      <c r="V630" s="4">
        <v>0.19</v>
      </c>
      <c r="W630" s="2">
        <v>0</v>
      </c>
      <c r="X630">
        <v>0</v>
      </c>
      <c r="Y630" t="s">
        <v>70</v>
      </c>
      <c r="Z630" t="s">
        <v>60</v>
      </c>
      <c r="AA630">
        <v>0</v>
      </c>
      <c r="AB630" s="2">
        <v>0</v>
      </c>
      <c r="AC630" s="2">
        <v>0</v>
      </c>
      <c r="AD630" s="4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27.88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45922</v>
      </c>
      <c r="B631" t="s">
        <v>47</v>
      </c>
      <c r="C631">
        <v>649163</v>
      </c>
      <c r="D631">
        <v>2029038484</v>
      </c>
      <c r="E631" t="s">
        <v>186</v>
      </c>
      <c r="F631" t="s">
        <v>187</v>
      </c>
      <c r="G631" t="s">
        <v>50</v>
      </c>
      <c r="H631" t="s">
        <v>188</v>
      </c>
      <c r="I631" t="s">
        <v>430</v>
      </c>
      <c r="J631" t="s">
        <v>439</v>
      </c>
      <c r="K631">
        <v>673059</v>
      </c>
      <c r="L631" t="s">
        <v>152</v>
      </c>
      <c r="M631" t="s">
        <v>153</v>
      </c>
      <c r="N631" t="s">
        <v>1078</v>
      </c>
      <c r="O631" t="s">
        <v>56</v>
      </c>
      <c r="P631" s="1">
        <v>45798</v>
      </c>
      <c r="Q631" s="1">
        <v>45951</v>
      </c>
      <c r="R631" s="2">
        <v>7.09</v>
      </c>
      <c r="S631">
        <v>1</v>
      </c>
      <c r="T631" t="s">
        <v>57</v>
      </c>
      <c r="U631" t="s">
        <v>58</v>
      </c>
      <c r="V631" s="4">
        <v>0.38</v>
      </c>
      <c r="W631" s="2">
        <v>0</v>
      </c>
      <c r="X631">
        <v>0</v>
      </c>
      <c r="Y631" t="s">
        <v>70</v>
      </c>
      <c r="Z631" t="s">
        <v>60</v>
      </c>
      <c r="AA631">
        <v>0</v>
      </c>
      <c r="AB631" s="2">
        <v>0</v>
      </c>
      <c r="AC631" s="2">
        <v>0</v>
      </c>
      <c r="AD631" s="4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2.69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45922</v>
      </c>
      <c r="B632" t="s">
        <v>47</v>
      </c>
      <c r="C632">
        <v>649163</v>
      </c>
      <c r="D632">
        <v>2030085145</v>
      </c>
      <c r="E632" t="s">
        <v>217</v>
      </c>
      <c r="F632" t="s">
        <v>218</v>
      </c>
      <c r="G632" t="s">
        <v>50</v>
      </c>
      <c r="H632" t="s">
        <v>93</v>
      </c>
      <c r="I632" t="s">
        <v>430</v>
      </c>
      <c r="J632" t="s">
        <v>440</v>
      </c>
      <c r="K632">
        <v>673059</v>
      </c>
      <c r="L632" t="s">
        <v>152</v>
      </c>
      <c r="M632" t="s">
        <v>153</v>
      </c>
      <c r="N632" t="s">
        <v>1078</v>
      </c>
      <c r="O632" t="s">
        <v>56</v>
      </c>
      <c r="P632" s="1">
        <v>45861</v>
      </c>
      <c r="Q632" s="1">
        <v>45953</v>
      </c>
      <c r="R632" s="2">
        <v>218.73</v>
      </c>
      <c r="S632">
        <v>1</v>
      </c>
      <c r="T632" t="s">
        <v>57</v>
      </c>
      <c r="U632" t="s">
        <v>58</v>
      </c>
      <c r="V632" s="4">
        <v>0.19</v>
      </c>
      <c r="W632" s="2">
        <v>0</v>
      </c>
      <c r="X632">
        <v>0</v>
      </c>
      <c r="Y632" t="s">
        <v>70</v>
      </c>
      <c r="Z632" t="s">
        <v>60</v>
      </c>
      <c r="AA632">
        <v>0</v>
      </c>
      <c r="AB632" s="2">
        <v>0</v>
      </c>
      <c r="AC632" s="2">
        <v>0</v>
      </c>
      <c r="AD632" s="4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41.56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45922</v>
      </c>
      <c r="B633" t="s">
        <v>47</v>
      </c>
      <c r="C633">
        <v>649163</v>
      </c>
      <c r="D633">
        <v>2030085146</v>
      </c>
      <c r="E633" t="s">
        <v>217</v>
      </c>
      <c r="F633" t="s">
        <v>218</v>
      </c>
      <c r="G633" t="s">
        <v>50</v>
      </c>
      <c r="H633" t="s">
        <v>93</v>
      </c>
      <c r="I633" t="s">
        <v>430</v>
      </c>
      <c r="J633" t="s">
        <v>439</v>
      </c>
      <c r="K633">
        <v>673059</v>
      </c>
      <c r="L633" t="s">
        <v>152</v>
      </c>
      <c r="M633" t="s">
        <v>153</v>
      </c>
      <c r="N633" t="s">
        <v>1078</v>
      </c>
      <c r="O633" t="s">
        <v>56</v>
      </c>
      <c r="P633" s="1">
        <v>45861</v>
      </c>
      <c r="Q633" s="1">
        <v>45953</v>
      </c>
      <c r="R633" s="2">
        <v>7.09</v>
      </c>
      <c r="S633">
        <v>1</v>
      </c>
      <c r="T633" t="s">
        <v>57</v>
      </c>
      <c r="U633" t="s">
        <v>58</v>
      </c>
      <c r="V633" s="4">
        <v>0.38</v>
      </c>
      <c r="W633" s="2">
        <v>0</v>
      </c>
      <c r="X633">
        <v>0</v>
      </c>
      <c r="Y633" t="s">
        <v>70</v>
      </c>
      <c r="Z633" t="s">
        <v>60</v>
      </c>
      <c r="AA633">
        <v>0</v>
      </c>
      <c r="AB633" s="2">
        <v>0</v>
      </c>
      <c r="AC633" s="2">
        <v>0</v>
      </c>
      <c r="AD633" s="4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2.69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45922</v>
      </c>
      <c r="B634" t="s">
        <v>47</v>
      </c>
      <c r="C634">
        <v>649163</v>
      </c>
      <c r="D634">
        <v>2018582687</v>
      </c>
      <c r="E634" t="s">
        <v>452</v>
      </c>
      <c r="F634" t="s">
        <v>179</v>
      </c>
      <c r="G634" t="s">
        <v>50</v>
      </c>
      <c r="H634" t="s">
        <v>151</v>
      </c>
      <c r="I634" t="s">
        <v>441</v>
      </c>
      <c r="J634" t="s">
        <v>445</v>
      </c>
      <c r="K634">
        <v>673059</v>
      </c>
      <c r="L634" t="s">
        <v>152</v>
      </c>
      <c r="M634" t="s">
        <v>153</v>
      </c>
      <c r="N634" t="s">
        <v>1078</v>
      </c>
      <c r="O634" t="s">
        <v>56</v>
      </c>
      <c r="P634" s="1">
        <v>45096</v>
      </c>
      <c r="Q634" s="1">
        <v>45949</v>
      </c>
      <c r="R634" s="2">
        <v>67.31</v>
      </c>
      <c r="S634">
        <v>1</v>
      </c>
      <c r="T634" t="s">
        <v>57</v>
      </c>
      <c r="U634" t="s">
        <v>58</v>
      </c>
      <c r="V634" s="4">
        <v>0.15</v>
      </c>
      <c r="W634" s="2">
        <v>0</v>
      </c>
      <c r="X634">
        <v>0</v>
      </c>
      <c r="Y634" t="s">
        <v>59</v>
      </c>
      <c r="Z634" t="s">
        <v>60</v>
      </c>
      <c r="AA634">
        <v>0</v>
      </c>
      <c r="AB634" s="2">
        <v>0</v>
      </c>
      <c r="AC634" s="2">
        <v>0</v>
      </c>
      <c r="AD634" s="4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10.1</v>
      </c>
      <c r="AN634" s="2">
        <v>10.1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45922</v>
      </c>
      <c r="B635" t="s">
        <v>47</v>
      </c>
      <c r="C635">
        <v>649163</v>
      </c>
      <c r="D635">
        <v>2018582688</v>
      </c>
      <c r="E635" t="s">
        <v>452</v>
      </c>
      <c r="F635" t="s">
        <v>179</v>
      </c>
      <c r="G635" t="s">
        <v>50</v>
      </c>
      <c r="H635" t="s">
        <v>151</v>
      </c>
      <c r="I635" t="s">
        <v>441</v>
      </c>
      <c r="J635" t="s">
        <v>447</v>
      </c>
      <c r="K635">
        <v>673059</v>
      </c>
      <c r="L635" t="s">
        <v>152</v>
      </c>
      <c r="M635" t="s">
        <v>153</v>
      </c>
      <c r="N635" t="s">
        <v>1078</v>
      </c>
      <c r="O635" t="s">
        <v>56</v>
      </c>
      <c r="P635" s="1">
        <v>45096</v>
      </c>
      <c r="Q635" s="1">
        <v>45949</v>
      </c>
      <c r="R635" s="2">
        <v>51.46</v>
      </c>
      <c r="S635">
        <v>1</v>
      </c>
      <c r="T635" t="s">
        <v>57</v>
      </c>
      <c r="U635" t="s">
        <v>58</v>
      </c>
      <c r="V635" s="4">
        <v>0.15</v>
      </c>
      <c r="W635" s="2">
        <v>0</v>
      </c>
      <c r="X635">
        <v>0</v>
      </c>
      <c r="Y635" t="s">
        <v>59</v>
      </c>
      <c r="Z635" t="s">
        <v>60</v>
      </c>
      <c r="AA635">
        <v>0</v>
      </c>
      <c r="AB635" s="2">
        <v>0</v>
      </c>
      <c r="AC635" s="2">
        <v>0</v>
      </c>
      <c r="AD635" s="4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7.72</v>
      </c>
      <c r="AN635" s="2">
        <v>7.72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45922</v>
      </c>
      <c r="B636" t="s">
        <v>47</v>
      </c>
      <c r="C636">
        <v>649163</v>
      </c>
      <c r="D636">
        <v>2019665208</v>
      </c>
      <c r="E636" t="s">
        <v>312</v>
      </c>
      <c r="F636" t="s">
        <v>313</v>
      </c>
      <c r="G636" t="s">
        <v>50</v>
      </c>
      <c r="H636" t="s">
        <v>180</v>
      </c>
      <c r="I636" t="s">
        <v>441</v>
      </c>
      <c r="J636" t="s">
        <v>447</v>
      </c>
      <c r="K636">
        <v>673059</v>
      </c>
      <c r="L636" t="s">
        <v>152</v>
      </c>
      <c r="M636" t="s">
        <v>153</v>
      </c>
      <c r="N636" t="s">
        <v>1078</v>
      </c>
      <c r="O636" t="s">
        <v>56</v>
      </c>
      <c r="P636" s="1">
        <v>45192</v>
      </c>
      <c r="Q636" s="1">
        <v>45953</v>
      </c>
      <c r="R636" s="2">
        <v>8.3699999999999992</v>
      </c>
      <c r="S636">
        <v>1</v>
      </c>
      <c r="T636" t="s">
        <v>57</v>
      </c>
      <c r="U636" t="s">
        <v>58</v>
      </c>
      <c r="V636" s="4">
        <v>0.15</v>
      </c>
      <c r="W636" s="2">
        <v>0</v>
      </c>
      <c r="X636">
        <v>0</v>
      </c>
      <c r="Y636" t="s">
        <v>59</v>
      </c>
      <c r="Z636" t="s">
        <v>60</v>
      </c>
      <c r="AA636">
        <v>0</v>
      </c>
      <c r="AB636" s="2">
        <v>0</v>
      </c>
      <c r="AC636" s="2">
        <v>0</v>
      </c>
      <c r="AD636" s="4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1.26</v>
      </c>
      <c r="AN636" s="2">
        <v>1.26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45922</v>
      </c>
      <c r="B637" t="s">
        <v>47</v>
      </c>
      <c r="C637">
        <v>649163</v>
      </c>
      <c r="D637">
        <v>2019665209</v>
      </c>
      <c r="E637" t="s">
        <v>312</v>
      </c>
      <c r="F637" t="s">
        <v>313</v>
      </c>
      <c r="G637" t="s">
        <v>50</v>
      </c>
      <c r="H637" t="s">
        <v>180</v>
      </c>
      <c r="I637" t="s">
        <v>441</v>
      </c>
      <c r="J637" t="s">
        <v>445</v>
      </c>
      <c r="K637">
        <v>673059</v>
      </c>
      <c r="L637" t="s">
        <v>152</v>
      </c>
      <c r="M637" t="s">
        <v>153</v>
      </c>
      <c r="N637" t="s">
        <v>1078</v>
      </c>
      <c r="O637" t="s">
        <v>56</v>
      </c>
      <c r="P637" s="1">
        <v>45192</v>
      </c>
      <c r="Q637" s="1">
        <v>45953</v>
      </c>
      <c r="R637" s="2">
        <v>62.38</v>
      </c>
      <c r="S637">
        <v>1</v>
      </c>
      <c r="T637" t="s">
        <v>57</v>
      </c>
      <c r="U637" t="s">
        <v>58</v>
      </c>
      <c r="V637" s="4">
        <v>0.15</v>
      </c>
      <c r="W637" s="2">
        <v>0</v>
      </c>
      <c r="X637">
        <v>0</v>
      </c>
      <c r="Y637" t="s">
        <v>59</v>
      </c>
      <c r="Z637" t="s">
        <v>60</v>
      </c>
      <c r="AA637">
        <v>0</v>
      </c>
      <c r="AB637" s="2">
        <v>0</v>
      </c>
      <c r="AC637" s="2">
        <v>0</v>
      </c>
      <c r="AD637" s="4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9.36</v>
      </c>
      <c r="AN637" s="2">
        <v>9.36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45922</v>
      </c>
      <c r="B638" t="s">
        <v>47</v>
      </c>
      <c r="C638">
        <v>649163</v>
      </c>
      <c r="D638">
        <v>2021939084</v>
      </c>
      <c r="E638" t="s">
        <v>453</v>
      </c>
      <c r="F638" t="s">
        <v>454</v>
      </c>
      <c r="G638" t="s">
        <v>50</v>
      </c>
      <c r="H638" t="s">
        <v>180</v>
      </c>
      <c r="I638" t="s">
        <v>441</v>
      </c>
      <c r="J638" t="s">
        <v>447</v>
      </c>
      <c r="K638">
        <v>673059</v>
      </c>
      <c r="L638" t="s">
        <v>152</v>
      </c>
      <c r="M638" t="s">
        <v>153</v>
      </c>
      <c r="N638" t="s">
        <v>1078</v>
      </c>
      <c r="O638" t="s">
        <v>56</v>
      </c>
      <c r="P638" s="1">
        <v>45346</v>
      </c>
      <c r="Q638" s="1">
        <v>45954</v>
      </c>
      <c r="R638" s="2">
        <v>8.3699999999999992</v>
      </c>
      <c r="S638">
        <v>1</v>
      </c>
      <c r="T638" t="s">
        <v>57</v>
      </c>
      <c r="U638" t="s">
        <v>58</v>
      </c>
      <c r="V638" s="4">
        <v>0.15</v>
      </c>
      <c r="W638" s="2">
        <v>0</v>
      </c>
      <c r="X638">
        <v>0</v>
      </c>
      <c r="Y638" t="s">
        <v>59</v>
      </c>
      <c r="Z638" t="s">
        <v>60</v>
      </c>
      <c r="AA638">
        <v>0</v>
      </c>
      <c r="AB638" s="2">
        <v>0</v>
      </c>
      <c r="AC638" s="2">
        <v>0</v>
      </c>
      <c r="AD638" s="4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1.26</v>
      </c>
      <c r="AN638" s="2">
        <v>1.26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45922</v>
      </c>
      <c r="B639" t="s">
        <v>47</v>
      </c>
      <c r="C639">
        <v>649163</v>
      </c>
      <c r="D639">
        <v>2022085303</v>
      </c>
      <c r="E639" t="s">
        <v>455</v>
      </c>
      <c r="F639" t="s">
        <v>456</v>
      </c>
      <c r="G639" t="s">
        <v>50</v>
      </c>
      <c r="H639" t="s">
        <v>188</v>
      </c>
      <c r="I639" t="s">
        <v>441</v>
      </c>
      <c r="J639" t="s">
        <v>445</v>
      </c>
      <c r="K639">
        <v>673059</v>
      </c>
      <c r="L639" t="s">
        <v>152</v>
      </c>
      <c r="M639" t="s">
        <v>153</v>
      </c>
      <c r="N639" t="s">
        <v>1078</v>
      </c>
      <c r="O639" t="s">
        <v>56</v>
      </c>
      <c r="P639" s="1">
        <v>45374</v>
      </c>
      <c r="Q639" s="1">
        <v>45953</v>
      </c>
      <c r="R639" s="2">
        <v>159</v>
      </c>
      <c r="S639">
        <v>1</v>
      </c>
      <c r="T639" t="s">
        <v>57</v>
      </c>
      <c r="U639" t="s">
        <v>58</v>
      </c>
      <c r="V639" s="4">
        <v>0.15</v>
      </c>
      <c r="W639" s="2">
        <v>0</v>
      </c>
      <c r="X639">
        <v>0</v>
      </c>
      <c r="Y639" t="s">
        <v>59</v>
      </c>
      <c r="Z639" t="s">
        <v>60</v>
      </c>
      <c r="AA639">
        <v>0</v>
      </c>
      <c r="AB639" s="2">
        <v>0</v>
      </c>
      <c r="AC639" s="2">
        <v>0</v>
      </c>
      <c r="AD639" s="4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23.85</v>
      </c>
      <c r="AN639" s="2">
        <v>23.85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45922</v>
      </c>
      <c r="B640" t="s">
        <v>47</v>
      </c>
      <c r="C640">
        <v>649163</v>
      </c>
      <c r="D640">
        <v>2022373049</v>
      </c>
      <c r="E640" t="s">
        <v>149</v>
      </c>
      <c r="F640" t="s">
        <v>459</v>
      </c>
      <c r="G640" t="s">
        <v>50</v>
      </c>
      <c r="H640" t="s">
        <v>151</v>
      </c>
      <c r="I640" t="s">
        <v>441</v>
      </c>
      <c r="J640" t="s">
        <v>445</v>
      </c>
      <c r="K640">
        <v>673059</v>
      </c>
      <c r="L640" t="s">
        <v>152</v>
      </c>
      <c r="M640" t="s">
        <v>153</v>
      </c>
      <c r="N640" t="s">
        <v>1078</v>
      </c>
      <c r="O640" t="s">
        <v>56</v>
      </c>
      <c r="P640" s="1">
        <v>45372</v>
      </c>
      <c r="Q640" s="1">
        <v>45951</v>
      </c>
      <c r="R640" s="2">
        <v>57.27</v>
      </c>
      <c r="S640">
        <v>1</v>
      </c>
      <c r="T640" t="s">
        <v>57</v>
      </c>
      <c r="U640" t="s">
        <v>58</v>
      </c>
      <c r="V640" s="4">
        <v>0.15</v>
      </c>
      <c r="W640" s="2">
        <v>0</v>
      </c>
      <c r="X640">
        <v>0</v>
      </c>
      <c r="Y640" t="s">
        <v>59</v>
      </c>
      <c r="Z640" t="s">
        <v>60</v>
      </c>
      <c r="AA640">
        <v>0</v>
      </c>
      <c r="AB640" s="2">
        <v>0</v>
      </c>
      <c r="AC640" s="2">
        <v>0</v>
      </c>
      <c r="AD640" s="4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8.59</v>
      </c>
      <c r="AN640" s="2">
        <v>8.59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45922</v>
      </c>
      <c r="B641" t="s">
        <v>47</v>
      </c>
      <c r="C641">
        <v>649163</v>
      </c>
      <c r="D641">
        <v>2026421756</v>
      </c>
      <c r="E641" t="s">
        <v>277</v>
      </c>
      <c r="F641" t="s">
        <v>347</v>
      </c>
      <c r="G641" t="s">
        <v>50</v>
      </c>
      <c r="H641" t="s">
        <v>151</v>
      </c>
      <c r="I641" t="s">
        <v>441</v>
      </c>
      <c r="J641" t="s">
        <v>445</v>
      </c>
      <c r="K641">
        <v>673059</v>
      </c>
      <c r="L641" t="s">
        <v>152</v>
      </c>
      <c r="M641" t="s">
        <v>153</v>
      </c>
      <c r="N641" t="s">
        <v>1078</v>
      </c>
      <c r="O641" t="s">
        <v>56</v>
      </c>
      <c r="P641" s="1">
        <v>45689</v>
      </c>
      <c r="Q641" s="1">
        <v>45931</v>
      </c>
      <c r="R641" s="2">
        <v>-44.54</v>
      </c>
      <c r="S641">
        <v>1</v>
      </c>
      <c r="T641" t="s">
        <v>57</v>
      </c>
      <c r="U641" t="s">
        <v>58</v>
      </c>
      <c r="V641" s="4">
        <v>0.7</v>
      </c>
      <c r="W641" s="2">
        <v>0</v>
      </c>
      <c r="X641">
        <v>-1</v>
      </c>
      <c r="Y641" t="s">
        <v>70</v>
      </c>
      <c r="Z641" t="s">
        <v>60</v>
      </c>
      <c r="AA641">
        <v>0</v>
      </c>
      <c r="AB641" s="2">
        <v>0</v>
      </c>
      <c r="AC641" s="2">
        <v>0</v>
      </c>
      <c r="AD641" s="4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-31.18</v>
      </c>
      <c r="AN641" s="2">
        <v>-31.18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45922</v>
      </c>
      <c r="B642" t="s">
        <v>47</v>
      </c>
      <c r="C642">
        <v>649163</v>
      </c>
      <c r="D642">
        <v>2026421758</v>
      </c>
      <c r="E642" t="s">
        <v>277</v>
      </c>
      <c r="F642" t="s">
        <v>347</v>
      </c>
      <c r="G642" t="s">
        <v>50</v>
      </c>
      <c r="H642" t="s">
        <v>151</v>
      </c>
      <c r="I642" t="s">
        <v>441</v>
      </c>
      <c r="J642" t="s">
        <v>447</v>
      </c>
      <c r="K642">
        <v>673059</v>
      </c>
      <c r="L642" t="s">
        <v>152</v>
      </c>
      <c r="M642" t="s">
        <v>153</v>
      </c>
      <c r="N642" t="s">
        <v>1078</v>
      </c>
      <c r="O642" t="s">
        <v>56</v>
      </c>
      <c r="P642" s="1">
        <v>45689</v>
      </c>
      <c r="Q642" s="1">
        <v>45931</v>
      </c>
      <c r="R642" s="2">
        <v>-12.01</v>
      </c>
      <c r="S642">
        <v>1</v>
      </c>
      <c r="T642" t="s">
        <v>57</v>
      </c>
      <c r="U642" t="s">
        <v>58</v>
      </c>
      <c r="V642" s="4">
        <v>0.7</v>
      </c>
      <c r="W642" s="2">
        <v>0</v>
      </c>
      <c r="X642">
        <v>-1</v>
      </c>
      <c r="Y642" t="s">
        <v>70</v>
      </c>
      <c r="Z642" t="s">
        <v>60</v>
      </c>
      <c r="AA642">
        <v>0</v>
      </c>
      <c r="AB642" s="2">
        <v>0</v>
      </c>
      <c r="AC642" s="2">
        <v>0</v>
      </c>
      <c r="AD642" s="4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-8.41</v>
      </c>
      <c r="AN642" s="2">
        <v>-8.41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45922</v>
      </c>
      <c r="B643" t="s">
        <v>47</v>
      </c>
      <c r="C643">
        <v>649163</v>
      </c>
      <c r="D643">
        <v>2026594774</v>
      </c>
      <c r="E643" t="s">
        <v>348</v>
      </c>
      <c r="F643" t="s">
        <v>349</v>
      </c>
      <c r="G643" t="s">
        <v>50</v>
      </c>
      <c r="H643" t="s">
        <v>93</v>
      </c>
      <c r="I643" t="s">
        <v>441</v>
      </c>
      <c r="J643" t="s">
        <v>447</v>
      </c>
      <c r="K643">
        <v>673059</v>
      </c>
      <c r="L643" t="s">
        <v>152</v>
      </c>
      <c r="M643" t="s">
        <v>153</v>
      </c>
      <c r="N643" t="s">
        <v>1078</v>
      </c>
      <c r="O643" t="s">
        <v>56</v>
      </c>
      <c r="P643" s="1">
        <v>45678</v>
      </c>
      <c r="Q643" s="1">
        <v>45951</v>
      </c>
      <c r="R643" s="2">
        <v>25.73</v>
      </c>
      <c r="S643">
        <v>1</v>
      </c>
      <c r="T643" t="s">
        <v>57</v>
      </c>
      <c r="U643" t="s">
        <v>58</v>
      </c>
      <c r="V643" s="4">
        <v>0.7</v>
      </c>
      <c r="W643" s="2">
        <v>0</v>
      </c>
      <c r="X643">
        <v>0</v>
      </c>
      <c r="Y643" t="s">
        <v>70</v>
      </c>
      <c r="Z643" t="s">
        <v>60</v>
      </c>
      <c r="AA643">
        <v>0</v>
      </c>
      <c r="AB643" s="2">
        <v>0</v>
      </c>
      <c r="AC643" s="2">
        <v>0</v>
      </c>
      <c r="AD643" s="4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18.010000000000002</v>
      </c>
      <c r="AN643" s="2">
        <v>18.010000000000002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45922</v>
      </c>
      <c r="B644" t="s">
        <v>47</v>
      </c>
      <c r="C644">
        <v>649163</v>
      </c>
      <c r="D644">
        <v>2026594775</v>
      </c>
      <c r="E644" t="s">
        <v>348</v>
      </c>
      <c r="F644" t="s">
        <v>349</v>
      </c>
      <c r="G644" t="s">
        <v>50</v>
      </c>
      <c r="H644" t="s">
        <v>93</v>
      </c>
      <c r="I644" t="s">
        <v>441</v>
      </c>
      <c r="J644" t="s">
        <v>445</v>
      </c>
      <c r="K644">
        <v>673059</v>
      </c>
      <c r="L644" t="s">
        <v>152</v>
      </c>
      <c r="M644" t="s">
        <v>153</v>
      </c>
      <c r="N644" t="s">
        <v>1078</v>
      </c>
      <c r="O644" t="s">
        <v>56</v>
      </c>
      <c r="P644" s="1">
        <v>45678</v>
      </c>
      <c r="Q644" s="1">
        <v>45951</v>
      </c>
      <c r="R644" s="2">
        <v>115.38</v>
      </c>
      <c r="S644">
        <v>1</v>
      </c>
      <c r="T644" t="s">
        <v>57</v>
      </c>
      <c r="U644" t="s">
        <v>58</v>
      </c>
      <c r="V644" s="4">
        <v>0.7</v>
      </c>
      <c r="W644" s="2">
        <v>0</v>
      </c>
      <c r="X644">
        <v>0</v>
      </c>
      <c r="Y644" t="s">
        <v>70</v>
      </c>
      <c r="Z644" t="s">
        <v>60</v>
      </c>
      <c r="AA644">
        <v>0</v>
      </c>
      <c r="AB644" s="2">
        <v>0</v>
      </c>
      <c r="AC644" s="2">
        <v>0</v>
      </c>
      <c r="AD644" s="4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80.77</v>
      </c>
      <c r="AN644" s="2">
        <v>80.77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45922</v>
      </c>
      <c r="B645" t="s">
        <v>47</v>
      </c>
      <c r="C645">
        <v>649163</v>
      </c>
      <c r="D645">
        <v>2026783375</v>
      </c>
      <c r="E645" t="s">
        <v>149</v>
      </c>
      <c r="F645" t="s">
        <v>150</v>
      </c>
      <c r="G645" t="s">
        <v>50</v>
      </c>
      <c r="H645" t="s">
        <v>151</v>
      </c>
      <c r="I645" t="s">
        <v>441</v>
      </c>
      <c r="J645" t="s">
        <v>445</v>
      </c>
      <c r="K645">
        <v>673059</v>
      </c>
      <c r="L645" t="s">
        <v>152</v>
      </c>
      <c r="M645" t="s">
        <v>153</v>
      </c>
      <c r="N645" t="s">
        <v>1078</v>
      </c>
      <c r="O645" t="s">
        <v>56</v>
      </c>
      <c r="P645" s="1">
        <v>45709</v>
      </c>
      <c r="Q645" s="1">
        <v>45951</v>
      </c>
      <c r="R645" s="2">
        <v>57.27</v>
      </c>
      <c r="S645">
        <v>1</v>
      </c>
      <c r="T645" t="s">
        <v>57</v>
      </c>
      <c r="U645" t="s">
        <v>58</v>
      </c>
      <c r="V645" s="4">
        <v>0.7</v>
      </c>
      <c r="W645" s="2">
        <v>0</v>
      </c>
      <c r="X645">
        <v>0</v>
      </c>
      <c r="Y645" t="s">
        <v>70</v>
      </c>
      <c r="Z645" t="s">
        <v>60</v>
      </c>
      <c r="AA645">
        <v>0</v>
      </c>
      <c r="AB645" s="2">
        <v>0</v>
      </c>
      <c r="AC645" s="2">
        <v>0</v>
      </c>
      <c r="AD645" s="4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40.090000000000003</v>
      </c>
      <c r="AN645" s="2">
        <v>40.090000000000003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45922</v>
      </c>
      <c r="B646" t="s">
        <v>47</v>
      </c>
      <c r="C646">
        <v>649163</v>
      </c>
      <c r="D646">
        <v>2026783377</v>
      </c>
      <c r="E646" t="s">
        <v>149</v>
      </c>
      <c r="F646" t="s">
        <v>150</v>
      </c>
      <c r="G646" t="s">
        <v>50</v>
      </c>
      <c r="H646" t="s">
        <v>151</v>
      </c>
      <c r="I646" t="s">
        <v>441</v>
      </c>
      <c r="J646" t="s">
        <v>447</v>
      </c>
      <c r="K646">
        <v>673059</v>
      </c>
      <c r="L646" t="s">
        <v>152</v>
      </c>
      <c r="M646" t="s">
        <v>153</v>
      </c>
      <c r="N646" t="s">
        <v>1078</v>
      </c>
      <c r="O646" t="s">
        <v>56</v>
      </c>
      <c r="P646" s="1">
        <v>45709</v>
      </c>
      <c r="Q646" s="1">
        <v>45951</v>
      </c>
      <c r="R646" s="2">
        <v>25.73</v>
      </c>
      <c r="S646">
        <v>1</v>
      </c>
      <c r="T646" t="s">
        <v>57</v>
      </c>
      <c r="U646" t="s">
        <v>58</v>
      </c>
      <c r="V646" s="4">
        <v>0.7</v>
      </c>
      <c r="W646" s="2">
        <v>0</v>
      </c>
      <c r="X646">
        <v>0</v>
      </c>
      <c r="Y646" t="s">
        <v>70</v>
      </c>
      <c r="Z646" t="s">
        <v>60</v>
      </c>
      <c r="AA646">
        <v>0</v>
      </c>
      <c r="AB646" s="2">
        <v>0</v>
      </c>
      <c r="AC646" s="2">
        <v>0</v>
      </c>
      <c r="AD646" s="4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18.010000000000002</v>
      </c>
      <c r="AN646" s="2">
        <v>18.010000000000002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45922</v>
      </c>
      <c r="B647" t="s">
        <v>47</v>
      </c>
      <c r="C647">
        <v>649163</v>
      </c>
      <c r="D647">
        <v>2027258064</v>
      </c>
      <c r="E647" t="s">
        <v>160</v>
      </c>
      <c r="F647" t="s">
        <v>161</v>
      </c>
      <c r="G647" t="s">
        <v>50</v>
      </c>
      <c r="H647" t="s">
        <v>151</v>
      </c>
      <c r="I647" t="s">
        <v>441</v>
      </c>
      <c r="J647" t="s">
        <v>445</v>
      </c>
      <c r="K647">
        <v>673059</v>
      </c>
      <c r="L647" t="s">
        <v>152</v>
      </c>
      <c r="M647" t="s">
        <v>153</v>
      </c>
      <c r="N647" t="s">
        <v>1078</v>
      </c>
      <c r="O647" t="s">
        <v>56</v>
      </c>
      <c r="P647" s="1">
        <v>45710</v>
      </c>
      <c r="Q647" s="1">
        <v>45952</v>
      </c>
      <c r="R647" s="2">
        <v>42.36</v>
      </c>
      <c r="S647">
        <v>1</v>
      </c>
      <c r="T647" t="s">
        <v>57</v>
      </c>
      <c r="U647" t="s">
        <v>58</v>
      </c>
      <c r="V647" s="4">
        <v>0.7</v>
      </c>
      <c r="W647" s="2">
        <v>0</v>
      </c>
      <c r="X647">
        <v>0</v>
      </c>
      <c r="Y647" t="s">
        <v>70</v>
      </c>
      <c r="Z647" t="s">
        <v>60</v>
      </c>
      <c r="AA647">
        <v>0</v>
      </c>
      <c r="AB647" s="2">
        <v>0</v>
      </c>
      <c r="AC647" s="2">
        <v>0</v>
      </c>
      <c r="AD647" s="4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29.65</v>
      </c>
      <c r="AN647" s="2">
        <v>29.65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45922</v>
      </c>
      <c r="B648" t="s">
        <v>47</v>
      </c>
      <c r="C648">
        <v>649163</v>
      </c>
      <c r="D648">
        <v>2027258065</v>
      </c>
      <c r="E648" t="s">
        <v>160</v>
      </c>
      <c r="F648" t="s">
        <v>161</v>
      </c>
      <c r="G648" t="s">
        <v>50</v>
      </c>
      <c r="H648" t="s">
        <v>151</v>
      </c>
      <c r="I648" t="s">
        <v>441</v>
      </c>
      <c r="J648" t="s">
        <v>447</v>
      </c>
      <c r="K648">
        <v>673059</v>
      </c>
      <c r="L648" t="s">
        <v>152</v>
      </c>
      <c r="M648" t="s">
        <v>153</v>
      </c>
      <c r="N648" t="s">
        <v>1078</v>
      </c>
      <c r="O648" t="s">
        <v>56</v>
      </c>
      <c r="P648" s="1">
        <v>45710</v>
      </c>
      <c r="Q648" s="1">
        <v>45952</v>
      </c>
      <c r="R648" s="2">
        <v>25.73</v>
      </c>
      <c r="S648">
        <v>1</v>
      </c>
      <c r="T648" t="s">
        <v>57</v>
      </c>
      <c r="U648" t="s">
        <v>58</v>
      </c>
      <c r="V648" s="4">
        <v>0.7</v>
      </c>
      <c r="W648" s="2">
        <v>0</v>
      </c>
      <c r="X648">
        <v>0</v>
      </c>
      <c r="Y648" t="s">
        <v>70</v>
      </c>
      <c r="Z648" t="s">
        <v>60</v>
      </c>
      <c r="AA648">
        <v>0</v>
      </c>
      <c r="AB648" s="2">
        <v>0</v>
      </c>
      <c r="AC648" s="2">
        <v>0</v>
      </c>
      <c r="AD648" s="4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18.010000000000002</v>
      </c>
      <c r="AN648" s="2">
        <v>18.010000000000002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45922</v>
      </c>
      <c r="B649" t="s">
        <v>47</v>
      </c>
      <c r="C649">
        <v>649163</v>
      </c>
      <c r="D649">
        <v>2027258067</v>
      </c>
      <c r="E649" t="s">
        <v>160</v>
      </c>
      <c r="F649" t="s">
        <v>161</v>
      </c>
      <c r="G649" t="s">
        <v>50</v>
      </c>
      <c r="H649" t="s">
        <v>151</v>
      </c>
      <c r="I649" t="s">
        <v>441</v>
      </c>
      <c r="J649" t="s">
        <v>442</v>
      </c>
      <c r="K649">
        <v>673059</v>
      </c>
      <c r="L649" t="s">
        <v>152</v>
      </c>
      <c r="M649" t="s">
        <v>153</v>
      </c>
      <c r="N649" t="s">
        <v>1078</v>
      </c>
      <c r="O649" t="s">
        <v>56</v>
      </c>
      <c r="P649" s="1">
        <v>45710</v>
      </c>
      <c r="Q649" s="1">
        <v>45952</v>
      </c>
      <c r="R649" s="2">
        <v>31.08</v>
      </c>
      <c r="S649">
        <v>1</v>
      </c>
      <c r="T649" t="s">
        <v>57</v>
      </c>
      <c r="U649" t="s">
        <v>58</v>
      </c>
      <c r="V649" s="4">
        <v>0.9</v>
      </c>
      <c r="W649" s="2">
        <v>0</v>
      </c>
      <c r="X649">
        <v>0</v>
      </c>
      <c r="Y649" t="s">
        <v>70</v>
      </c>
      <c r="Z649" t="s">
        <v>60</v>
      </c>
      <c r="AA649">
        <v>0</v>
      </c>
      <c r="AB649" s="2">
        <v>0</v>
      </c>
      <c r="AC649" s="2">
        <v>0</v>
      </c>
      <c r="AD649" s="4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27.97</v>
      </c>
      <c r="AN649" s="2">
        <v>27.97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45922</v>
      </c>
      <c r="B650" t="s">
        <v>47</v>
      </c>
      <c r="C650">
        <v>649163</v>
      </c>
      <c r="D650">
        <v>2027321379</v>
      </c>
      <c r="E650" t="s">
        <v>361</v>
      </c>
      <c r="F650" t="s">
        <v>362</v>
      </c>
      <c r="G650" t="s">
        <v>50</v>
      </c>
      <c r="H650" t="s">
        <v>93</v>
      </c>
      <c r="I650" t="s">
        <v>441</v>
      </c>
      <c r="J650" t="s">
        <v>445</v>
      </c>
      <c r="K650">
        <v>673059</v>
      </c>
      <c r="L650" t="s">
        <v>152</v>
      </c>
      <c r="M650" t="s">
        <v>153</v>
      </c>
      <c r="N650" t="s">
        <v>1078</v>
      </c>
      <c r="O650" t="s">
        <v>56</v>
      </c>
      <c r="P650" s="1">
        <v>45713</v>
      </c>
      <c r="Q650" s="1">
        <v>45955</v>
      </c>
      <c r="R650" s="2">
        <v>169.06</v>
      </c>
      <c r="S650">
        <v>1</v>
      </c>
      <c r="T650" t="s">
        <v>57</v>
      </c>
      <c r="U650" t="s">
        <v>58</v>
      </c>
      <c r="V650" s="4">
        <v>0.7</v>
      </c>
      <c r="W650" s="2">
        <v>0</v>
      </c>
      <c r="X650">
        <v>0</v>
      </c>
      <c r="Y650" t="s">
        <v>70</v>
      </c>
      <c r="Z650" t="s">
        <v>60</v>
      </c>
      <c r="AA650">
        <v>0</v>
      </c>
      <c r="AB650" s="2">
        <v>0</v>
      </c>
      <c r="AC650" s="2">
        <v>0</v>
      </c>
      <c r="AD650" s="4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118.34</v>
      </c>
      <c r="AN650" s="2">
        <v>118.34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45922</v>
      </c>
      <c r="B651" t="s">
        <v>47</v>
      </c>
      <c r="C651">
        <v>649163</v>
      </c>
      <c r="D651">
        <v>2027343740</v>
      </c>
      <c r="E651" t="s">
        <v>363</v>
      </c>
      <c r="F651" t="s">
        <v>364</v>
      </c>
      <c r="G651" t="s">
        <v>50</v>
      </c>
      <c r="H651" t="s">
        <v>188</v>
      </c>
      <c r="I651" t="s">
        <v>441</v>
      </c>
      <c r="J651" t="s">
        <v>445</v>
      </c>
      <c r="K651">
        <v>673059</v>
      </c>
      <c r="L651" t="s">
        <v>152</v>
      </c>
      <c r="M651" t="s">
        <v>153</v>
      </c>
      <c r="N651" t="s">
        <v>1078</v>
      </c>
      <c r="O651" t="s">
        <v>56</v>
      </c>
      <c r="P651" s="1">
        <v>45714</v>
      </c>
      <c r="Q651" s="1">
        <v>45956</v>
      </c>
      <c r="R651" s="2">
        <v>10.82</v>
      </c>
      <c r="S651">
        <v>1</v>
      </c>
      <c r="T651" t="s">
        <v>57</v>
      </c>
      <c r="U651" t="s">
        <v>58</v>
      </c>
      <c r="V651" s="4">
        <v>0.7</v>
      </c>
      <c r="W651" s="2">
        <v>0</v>
      </c>
      <c r="X651">
        <v>0</v>
      </c>
      <c r="Y651" t="s">
        <v>70</v>
      </c>
      <c r="Z651" t="s">
        <v>60</v>
      </c>
      <c r="AA651">
        <v>0</v>
      </c>
      <c r="AB651" s="2">
        <v>0</v>
      </c>
      <c r="AC651" s="2">
        <v>0</v>
      </c>
      <c r="AD651" s="4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7.57</v>
      </c>
      <c r="AN651" s="2">
        <v>7.57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45922</v>
      </c>
      <c r="B652" t="s">
        <v>47</v>
      </c>
      <c r="C652">
        <v>649163</v>
      </c>
      <c r="D652">
        <v>2029038486</v>
      </c>
      <c r="E652" t="s">
        <v>186</v>
      </c>
      <c r="F652" t="s">
        <v>187</v>
      </c>
      <c r="G652" t="s">
        <v>50</v>
      </c>
      <c r="H652" t="s">
        <v>188</v>
      </c>
      <c r="I652" t="s">
        <v>441</v>
      </c>
      <c r="J652" t="s">
        <v>445</v>
      </c>
      <c r="K652">
        <v>673059</v>
      </c>
      <c r="L652" t="s">
        <v>152</v>
      </c>
      <c r="M652" t="s">
        <v>153</v>
      </c>
      <c r="N652" t="s">
        <v>1078</v>
      </c>
      <c r="O652" t="s">
        <v>56</v>
      </c>
      <c r="P652" s="1">
        <v>45798</v>
      </c>
      <c r="Q652" s="1">
        <v>45951</v>
      </c>
      <c r="R652" s="2">
        <v>61.99</v>
      </c>
      <c r="S652">
        <v>1</v>
      </c>
      <c r="T652" t="s">
        <v>57</v>
      </c>
      <c r="U652" t="s">
        <v>58</v>
      </c>
      <c r="V652" s="4">
        <v>0.7</v>
      </c>
      <c r="W652" s="2">
        <v>0</v>
      </c>
      <c r="X652">
        <v>0</v>
      </c>
      <c r="Y652" t="s">
        <v>70</v>
      </c>
      <c r="Z652" t="s">
        <v>60</v>
      </c>
      <c r="AA652">
        <v>0</v>
      </c>
      <c r="AB652" s="2">
        <v>0</v>
      </c>
      <c r="AC652" s="2">
        <v>0</v>
      </c>
      <c r="AD652" s="4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43.39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45922</v>
      </c>
      <c r="B653" t="s">
        <v>47</v>
      </c>
      <c r="C653">
        <v>649163</v>
      </c>
      <c r="D653">
        <v>2029980505</v>
      </c>
      <c r="E653" t="s">
        <v>205</v>
      </c>
      <c r="F653" t="s">
        <v>206</v>
      </c>
      <c r="G653" t="s">
        <v>50</v>
      </c>
      <c r="H653" t="s">
        <v>63</v>
      </c>
      <c r="I653" t="s">
        <v>441</v>
      </c>
      <c r="J653" t="s">
        <v>445</v>
      </c>
      <c r="K653">
        <v>673059</v>
      </c>
      <c r="L653" t="s">
        <v>152</v>
      </c>
      <c r="M653" t="s">
        <v>153</v>
      </c>
      <c r="N653" t="s">
        <v>1078</v>
      </c>
      <c r="O653" t="s">
        <v>56</v>
      </c>
      <c r="P653" s="1">
        <v>45884</v>
      </c>
      <c r="Q653" s="1">
        <v>45945</v>
      </c>
      <c r="R653" s="2">
        <v>24</v>
      </c>
      <c r="S653">
        <v>1</v>
      </c>
      <c r="T653" t="s">
        <v>57</v>
      </c>
      <c r="U653" t="s">
        <v>58</v>
      </c>
      <c r="V653" s="4">
        <v>0.7</v>
      </c>
      <c r="W653" s="2">
        <v>0</v>
      </c>
      <c r="X653">
        <v>0</v>
      </c>
      <c r="Y653" t="s">
        <v>70</v>
      </c>
      <c r="Z653" t="s">
        <v>60</v>
      </c>
      <c r="AA653">
        <v>0</v>
      </c>
      <c r="AB653" s="2">
        <v>0</v>
      </c>
      <c r="AC653" s="2">
        <v>0</v>
      </c>
      <c r="AD653" s="4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16.8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45922</v>
      </c>
      <c r="B654" t="s">
        <v>47</v>
      </c>
      <c r="C654">
        <v>649163</v>
      </c>
      <c r="D654">
        <v>2029980506</v>
      </c>
      <c r="E654" t="s">
        <v>205</v>
      </c>
      <c r="F654" t="s">
        <v>206</v>
      </c>
      <c r="G654" t="s">
        <v>50</v>
      </c>
      <c r="H654" t="s">
        <v>63</v>
      </c>
      <c r="I654" t="s">
        <v>441</v>
      </c>
      <c r="J654" t="s">
        <v>447</v>
      </c>
      <c r="K654">
        <v>673059</v>
      </c>
      <c r="L654" t="s">
        <v>152</v>
      </c>
      <c r="M654" t="s">
        <v>153</v>
      </c>
      <c r="N654" t="s">
        <v>1078</v>
      </c>
      <c r="O654" t="s">
        <v>56</v>
      </c>
      <c r="P654" s="1">
        <v>45884</v>
      </c>
      <c r="Q654" s="1">
        <v>45945</v>
      </c>
      <c r="R654" s="2">
        <v>21.44</v>
      </c>
      <c r="S654">
        <v>1</v>
      </c>
      <c r="T654" t="s">
        <v>57</v>
      </c>
      <c r="U654" t="s">
        <v>58</v>
      </c>
      <c r="V654" s="4">
        <v>0.7</v>
      </c>
      <c r="W654" s="2">
        <v>0</v>
      </c>
      <c r="X654">
        <v>0</v>
      </c>
      <c r="Y654" t="s">
        <v>70</v>
      </c>
      <c r="Z654" t="s">
        <v>60</v>
      </c>
      <c r="AA654">
        <v>0</v>
      </c>
      <c r="AB654" s="2">
        <v>0</v>
      </c>
      <c r="AC654" s="2">
        <v>0</v>
      </c>
      <c r="AD654" s="4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15.01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45922</v>
      </c>
      <c r="B655" t="s">
        <v>47</v>
      </c>
      <c r="C655">
        <v>649163</v>
      </c>
      <c r="D655">
        <v>2030064158</v>
      </c>
      <c r="E655" t="s">
        <v>390</v>
      </c>
      <c r="F655" t="s">
        <v>391</v>
      </c>
      <c r="G655" t="s">
        <v>50</v>
      </c>
      <c r="H655" t="s">
        <v>77</v>
      </c>
      <c r="I655" t="s">
        <v>441</v>
      </c>
      <c r="J655" t="s">
        <v>445</v>
      </c>
      <c r="K655">
        <v>673059</v>
      </c>
      <c r="L655" t="s">
        <v>152</v>
      </c>
      <c r="M655" t="s">
        <v>153</v>
      </c>
      <c r="N655" t="s">
        <v>1078</v>
      </c>
      <c r="O655" t="s">
        <v>56</v>
      </c>
      <c r="P655" s="1">
        <v>45860</v>
      </c>
      <c r="Q655" s="1">
        <v>45952</v>
      </c>
      <c r="R655" s="2">
        <v>14.72</v>
      </c>
      <c r="S655">
        <v>1</v>
      </c>
      <c r="T655" t="s">
        <v>57</v>
      </c>
      <c r="U655" t="s">
        <v>58</v>
      </c>
      <c r="V655" s="4">
        <v>0.7</v>
      </c>
      <c r="W655" s="2">
        <v>0</v>
      </c>
      <c r="X655">
        <v>0</v>
      </c>
      <c r="Y655" t="s">
        <v>70</v>
      </c>
      <c r="Z655" t="s">
        <v>60</v>
      </c>
      <c r="AA655">
        <v>0</v>
      </c>
      <c r="AB655" s="2">
        <v>0</v>
      </c>
      <c r="AC655" s="2">
        <v>0</v>
      </c>
      <c r="AD655" s="4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10.3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45922</v>
      </c>
      <c r="B656" t="s">
        <v>47</v>
      </c>
      <c r="C656">
        <v>649163</v>
      </c>
      <c r="D656">
        <v>2030085143</v>
      </c>
      <c r="E656" t="s">
        <v>217</v>
      </c>
      <c r="F656" t="s">
        <v>218</v>
      </c>
      <c r="G656" t="s">
        <v>50</v>
      </c>
      <c r="H656" t="s">
        <v>93</v>
      </c>
      <c r="I656" t="s">
        <v>441</v>
      </c>
      <c r="J656" t="s">
        <v>445</v>
      </c>
      <c r="K656">
        <v>673059</v>
      </c>
      <c r="L656" t="s">
        <v>152</v>
      </c>
      <c r="M656" t="s">
        <v>153</v>
      </c>
      <c r="N656" t="s">
        <v>1078</v>
      </c>
      <c r="O656" t="s">
        <v>56</v>
      </c>
      <c r="P656" s="1">
        <v>45861</v>
      </c>
      <c r="Q656" s="1">
        <v>45953</v>
      </c>
      <c r="R656" s="2">
        <v>153.9</v>
      </c>
      <c r="S656">
        <v>1</v>
      </c>
      <c r="T656" t="s">
        <v>57</v>
      </c>
      <c r="U656" t="s">
        <v>58</v>
      </c>
      <c r="V656" s="4">
        <v>0.7</v>
      </c>
      <c r="W656" s="2">
        <v>0</v>
      </c>
      <c r="X656">
        <v>0</v>
      </c>
      <c r="Y656" t="s">
        <v>70</v>
      </c>
      <c r="Z656" t="s">
        <v>60</v>
      </c>
      <c r="AA656">
        <v>0</v>
      </c>
      <c r="AB656" s="2">
        <v>0</v>
      </c>
      <c r="AC656" s="2">
        <v>0</v>
      </c>
      <c r="AD656" s="4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107.73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45922</v>
      </c>
      <c r="B657" t="s">
        <v>47</v>
      </c>
      <c r="C657">
        <v>649163</v>
      </c>
      <c r="D657">
        <v>2030091896</v>
      </c>
      <c r="E657" t="s">
        <v>392</v>
      </c>
      <c r="F657" t="s">
        <v>393</v>
      </c>
      <c r="G657" t="s">
        <v>50</v>
      </c>
      <c r="H657" t="s">
        <v>77</v>
      </c>
      <c r="I657" t="s">
        <v>441</v>
      </c>
      <c r="J657" t="s">
        <v>445</v>
      </c>
      <c r="K657">
        <v>673059</v>
      </c>
      <c r="L657" t="s">
        <v>152</v>
      </c>
      <c r="M657" t="s">
        <v>153</v>
      </c>
      <c r="N657" t="s">
        <v>1078</v>
      </c>
      <c r="O657" t="s">
        <v>56</v>
      </c>
      <c r="P657" s="1">
        <v>45861</v>
      </c>
      <c r="Q657" s="1">
        <v>45953</v>
      </c>
      <c r="R657" s="2">
        <v>14.72</v>
      </c>
      <c r="S657">
        <v>1</v>
      </c>
      <c r="T657" t="s">
        <v>57</v>
      </c>
      <c r="U657" t="s">
        <v>58</v>
      </c>
      <c r="V657" s="4">
        <v>0.7</v>
      </c>
      <c r="W657" s="2">
        <v>0</v>
      </c>
      <c r="X657">
        <v>0</v>
      </c>
      <c r="Y657" t="s">
        <v>70</v>
      </c>
      <c r="Z657" t="s">
        <v>60</v>
      </c>
      <c r="AA657">
        <v>0</v>
      </c>
      <c r="AB657" s="2">
        <v>0</v>
      </c>
      <c r="AC657" s="2">
        <v>0</v>
      </c>
      <c r="AD657" s="4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10.3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45922</v>
      </c>
      <c r="B658" t="s">
        <v>47</v>
      </c>
      <c r="C658">
        <v>649163</v>
      </c>
      <c r="D658">
        <v>2030313588</v>
      </c>
      <c r="E658" t="s">
        <v>540</v>
      </c>
      <c r="F658" t="s">
        <v>541</v>
      </c>
      <c r="G658" t="s">
        <v>50</v>
      </c>
      <c r="H658" t="s">
        <v>151</v>
      </c>
      <c r="I658" t="s">
        <v>441</v>
      </c>
      <c r="J658" t="s">
        <v>445</v>
      </c>
      <c r="K658">
        <v>673059</v>
      </c>
      <c r="L658" t="s">
        <v>152</v>
      </c>
      <c r="M658" t="s">
        <v>153</v>
      </c>
      <c r="N658" t="s">
        <v>1078</v>
      </c>
      <c r="O658" t="s">
        <v>56</v>
      </c>
      <c r="P658" s="1">
        <v>45894</v>
      </c>
      <c r="Q658" s="1">
        <v>45955</v>
      </c>
      <c r="R658" s="2">
        <v>120.91</v>
      </c>
      <c r="S658">
        <v>1</v>
      </c>
      <c r="T658" t="s">
        <v>57</v>
      </c>
      <c r="U658" t="s">
        <v>58</v>
      </c>
      <c r="V658" s="4">
        <v>0.7</v>
      </c>
      <c r="W658" s="2">
        <v>0</v>
      </c>
      <c r="X658">
        <v>0</v>
      </c>
      <c r="Y658" t="s">
        <v>70</v>
      </c>
      <c r="Z658" t="s">
        <v>60</v>
      </c>
      <c r="AA658">
        <v>0</v>
      </c>
      <c r="AB658" s="2">
        <v>0</v>
      </c>
      <c r="AC658" s="2">
        <v>0</v>
      </c>
      <c r="AD658" s="4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84.64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45922</v>
      </c>
      <c r="B659" t="s">
        <v>47</v>
      </c>
      <c r="C659">
        <v>649163</v>
      </c>
      <c r="D659">
        <v>2030478247</v>
      </c>
      <c r="E659" t="s">
        <v>117</v>
      </c>
      <c r="F659" t="s">
        <v>401</v>
      </c>
      <c r="G659" t="s">
        <v>50</v>
      </c>
      <c r="H659" t="s">
        <v>402</v>
      </c>
      <c r="I659" t="s">
        <v>441</v>
      </c>
      <c r="J659" t="s">
        <v>445</v>
      </c>
      <c r="K659">
        <v>673059</v>
      </c>
      <c r="L659" t="s">
        <v>152</v>
      </c>
      <c r="M659" t="s">
        <v>153</v>
      </c>
      <c r="N659" t="s">
        <v>1078</v>
      </c>
      <c r="O659" t="s">
        <v>56</v>
      </c>
      <c r="P659" s="1">
        <v>45883</v>
      </c>
      <c r="Q659" s="1">
        <v>45944</v>
      </c>
      <c r="R659" s="2">
        <v>10.82</v>
      </c>
      <c r="S659">
        <v>1</v>
      </c>
      <c r="T659" t="s">
        <v>57</v>
      </c>
      <c r="U659" t="s">
        <v>58</v>
      </c>
      <c r="V659" s="4">
        <v>0.7</v>
      </c>
      <c r="W659" s="2">
        <v>0</v>
      </c>
      <c r="X659">
        <v>0</v>
      </c>
      <c r="Y659" t="s">
        <v>70</v>
      </c>
      <c r="Z659" t="s">
        <v>60</v>
      </c>
      <c r="AA659">
        <v>0</v>
      </c>
      <c r="AB659" s="2">
        <v>0</v>
      </c>
      <c r="AC659" s="2">
        <v>0</v>
      </c>
      <c r="AD659" s="4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7.57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45922</v>
      </c>
      <c r="B660" t="s">
        <v>47</v>
      </c>
      <c r="C660">
        <v>649163</v>
      </c>
      <c r="D660">
        <v>2020461026</v>
      </c>
      <c r="E660" t="s">
        <v>242</v>
      </c>
      <c r="F660" t="s">
        <v>179</v>
      </c>
      <c r="G660" t="s">
        <v>50</v>
      </c>
      <c r="H660" t="s">
        <v>157</v>
      </c>
      <c r="I660" t="s">
        <v>569</v>
      </c>
      <c r="J660" t="s">
        <v>570</v>
      </c>
      <c r="K660">
        <v>673059</v>
      </c>
      <c r="L660" t="s">
        <v>152</v>
      </c>
      <c r="M660" t="s">
        <v>153</v>
      </c>
      <c r="N660" t="s">
        <v>1078</v>
      </c>
      <c r="O660" t="s">
        <v>56</v>
      </c>
      <c r="P660" s="1">
        <v>45284</v>
      </c>
      <c r="Q660" s="1">
        <v>45954</v>
      </c>
      <c r="R660" s="2">
        <v>263.83</v>
      </c>
      <c r="S660">
        <v>1</v>
      </c>
      <c r="T660" t="s">
        <v>57</v>
      </c>
      <c r="U660" t="s">
        <v>58</v>
      </c>
      <c r="V660" s="4">
        <v>0.28999999999999998</v>
      </c>
      <c r="W660" s="2">
        <v>0</v>
      </c>
      <c r="X660">
        <v>0</v>
      </c>
      <c r="Y660" t="s">
        <v>59</v>
      </c>
      <c r="Z660" t="s">
        <v>60</v>
      </c>
      <c r="AA660">
        <v>0</v>
      </c>
      <c r="AB660" s="2">
        <v>0</v>
      </c>
      <c r="AC660" s="2">
        <v>0</v>
      </c>
      <c r="AD660" s="4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76.510000000000005</v>
      </c>
      <c r="AN660" s="2">
        <v>76.510000000000005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45922</v>
      </c>
      <c r="B661" t="s">
        <v>47</v>
      </c>
      <c r="C661">
        <v>649163</v>
      </c>
      <c r="D661">
        <v>2018421687</v>
      </c>
      <c r="E661" t="s">
        <v>573</v>
      </c>
      <c r="F661" t="s">
        <v>374</v>
      </c>
      <c r="G661" t="s">
        <v>50</v>
      </c>
      <c r="H661" t="s">
        <v>151</v>
      </c>
      <c r="I661" t="s">
        <v>574</v>
      </c>
      <c r="J661" t="s">
        <v>575</v>
      </c>
      <c r="K661">
        <v>673059</v>
      </c>
      <c r="L661" t="s">
        <v>152</v>
      </c>
      <c r="M661" t="s">
        <v>153</v>
      </c>
      <c r="N661" t="s">
        <v>1078</v>
      </c>
      <c r="O661" t="s">
        <v>56</v>
      </c>
      <c r="P661" s="1">
        <v>45037</v>
      </c>
      <c r="Q661" s="1">
        <v>45951</v>
      </c>
      <c r="R661" s="2">
        <v>113.49</v>
      </c>
      <c r="S661">
        <v>1</v>
      </c>
      <c r="T661" t="s">
        <v>57</v>
      </c>
      <c r="U661" t="s">
        <v>58</v>
      </c>
      <c r="V661" s="3">
        <v>5.2499999999999998E-2</v>
      </c>
      <c r="W661" s="2">
        <v>0</v>
      </c>
      <c r="X661">
        <v>0</v>
      </c>
      <c r="Y661" t="s">
        <v>59</v>
      </c>
      <c r="Z661" t="s">
        <v>60</v>
      </c>
      <c r="AA661">
        <v>0</v>
      </c>
      <c r="AB661" s="2">
        <v>0</v>
      </c>
      <c r="AC661" s="2">
        <v>0</v>
      </c>
      <c r="AD661" s="4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5.96</v>
      </c>
      <c r="AN661" s="2">
        <v>5.96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45922</v>
      </c>
      <c r="B662" t="s">
        <v>47</v>
      </c>
      <c r="C662">
        <v>649163</v>
      </c>
      <c r="D662">
        <v>2018582686</v>
      </c>
      <c r="E662" t="s">
        <v>452</v>
      </c>
      <c r="F662" t="s">
        <v>179</v>
      </c>
      <c r="G662" t="s">
        <v>50</v>
      </c>
      <c r="H662" t="s">
        <v>151</v>
      </c>
      <c r="I662" t="s">
        <v>574</v>
      </c>
      <c r="J662" t="s">
        <v>575</v>
      </c>
      <c r="K662">
        <v>673059</v>
      </c>
      <c r="L662" t="s">
        <v>152</v>
      </c>
      <c r="M662" t="s">
        <v>153</v>
      </c>
      <c r="N662" t="s">
        <v>1078</v>
      </c>
      <c r="O662" t="s">
        <v>56</v>
      </c>
      <c r="P662" s="1">
        <v>45096</v>
      </c>
      <c r="Q662" s="1">
        <v>45949</v>
      </c>
      <c r="R662" s="2">
        <v>95.21</v>
      </c>
      <c r="S662">
        <v>1</v>
      </c>
      <c r="T662" t="s">
        <v>57</v>
      </c>
      <c r="U662" t="s">
        <v>58</v>
      </c>
      <c r="V662" s="3">
        <v>5.2499999999999998E-2</v>
      </c>
      <c r="W662" s="2">
        <v>0</v>
      </c>
      <c r="X662">
        <v>0</v>
      </c>
      <c r="Y662" t="s">
        <v>59</v>
      </c>
      <c r="Z662" t="s">
        <v>60</v>
      </c>
      <c r="AA662">
        <v>0</v>
      </c>
      <c r="AB662" s="2">
        <v>0</v>
      </c>
      <c r="AC662" s="2">
        <v>0</v>
      </c>
      <c r="AD662" s="4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5</v>
      </c>
      <c r="AN662" s="2">
        <v>5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45915</v>
      </c>
      <c r="B663" t="s">
        <v>47</v>
      </c>
      <c r="C663">
        <v>649163</v>
      </c>
      <c r="D663">
        <v>2024425645</v>
      </c>
      <c r="E663" t="s">
        <v>735</v>
      </c>
      <c r="F663" t="s">
        <v>346</v>
      </c>
      <c r="G663" t="s">
        <v>50</v>
      </c>
      <c r="H663" t="s">
        <v>180</v>
      </c>
      <c r="I663" t="s">
        <v>52</v>
      </c>
      <c r="J663" t="s">
        <v>53</v>
      </c>
      <c r="K663">
        <v>673059</v>
      </c>
      <c r="L663" t="s">
        <v>152</v>
      </c>
      <c r="M663" t="s">
        <v>153</v>
      </c>
      <c r="N663" t="s">
        <v>1078</v>
      </c>
      <c r="O663" t="s">
        <v>56</v>
      </c>
      <c r="P663" s="1">
        <v>45521</v>
      </c>
      <c r="Q663" s="1">
        <v>45947</v>
      </c>
      <c r="R663" s="2">
        <v>34.01</v>
      </c>
      <c r="S663">
        <v>1</v>
      </c>
      <c r="T663" t="s">
        <v>57</v>
      </c>
      <c r="U663" t="s">
        <v>58</v>
      </c>
      <c r="V663" s="3">
        <v>6.5000000000000002E-2</v>
      </c>
      <c r="W663" s="2">
        <v>0</v>
      </c>
      <c r="X663">
        <v>0</v>
      </c>
      <c r="Y663" t="s">
        <v>59</v>
      </c>
      <c r="Z663" t="s">
        <v>60</v>
      </c>
      <c r="AA663">
        <v>0</v>
      </c>
      <c r="AB663" s="2">
        <v>0</v>
      </c>
      <c r="AC663" s="2">
        <v>0</v>
      </c>
      <c r="AD663" s="4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2.21</v>
      </c>
      <c r="AN663" s="2">
        <v>2.21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45915</v>
      </c>
      <c r="B664" t="s">
        <v>47</v>
      </c>
      <c r="C664">
        <v>649163</v>
      </c>
      <c r="D664">
        <v>2029894141</v>
      </c>
      <c r="E664" t="s">
        <v>923</v>
      </c>
      <c r="F664" t="s">
        <v>74</v>
      </c>
      <c r="G664" t="s">
        <v>50</v>
      </c>
      <c r="H664" t="s">
        <v>157</v>
      </c>
      <c r="I664" t="s">
        <v>52</v>
      </c>
      <c r="J664" t="s">
        <v>53</v>
      </c>
      <c r="K664">
        <v>673059</v>
      </c>
      <c r="L664" t="s">
        <v>152</v>
      </c>
      <c r="M664" t="s">
        <v>153</v>
      </c>
      <c r="N664" t="s">
        <v>1078</v>
      </c>
      <c r="O664" t="s">
        <v>56</v>
      </c>
      <c r="P664" s="1">
        <v>45852</v>
      </c>
      <c r="Q664" s="1">
        <v>45944</v>
      </c>
      <c r="R664" s="2">
        <v>42.45</v>
      </c>
      <c r="S664">
        <v>1</v>
      </c>
      <c r="T664" t="s">
        <v>57</v>
      </c>
      <c r="U664" t="s">
        <v>58</v>
      </c>
      <c r="V664" s="4">
        <v>0.6</v>
      </c>
      <c r="W664" s="2">
        <v>0</v>
      </c>
      <c r="X664">
        <v>0</v>
      </c>
      <c r="Y664" t="s">
        <v>70</v>
      </c>
      <c r="Z664" t="s">
        <v>60</v>
      </c>
      <c r="AA664">
        <v>0</v>
      </c>
      <c r="AB664" s="2">
        <v>0</v>
      </c>
      <c r="AC664" s="2">
        <v>0</v>
      </c>
      <c r="AD664" s="4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25.47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45915</v>
      </c>
      <c r="B665" t="s">
        <v>47</v>
      </c>
      <c r="C665">
        <v>649163</v>
      </c>
      <c r="D665">
        <v>2022254779</v>
      </c>
      <c r="E665" t="s">
        <v>740</v>
      </c>
      <c r="F665" t="s">
        <v>145</v>
      </c>
      <c r="G665" t="s">
        <v>50</v>
      </c>
      <c r="H665" t="s">
        <v>151</v>
      </c>
      <c r="I665" t="s">
        <v>106</v>
      </c>
      <c r="J665" t="s">
        <v>146</v>
      </c>
      <c r="K665">
        <v>673059</v>
      </c>
      <c r="L665" t="s">
        <v>152</v>
      </c>
      <c r="M665" t="s">
        <v>153</v>
      </c>
      <c r="N665" t="s">
        <v>1078</v>
      </c>
      <c r="O665" t="s">
        <v>56</v>
      </c>
      <c r="P665" s="1">
        <v>45364</v>
      </c>
      <c r="Q665" s="1">
        <v>45943</v>
      </c>
      <c r="R665" s="2">
        <v>150.51</v>
      </c>
      <c r="S665">
        <v>1</v>
      </c>
      <c r="T665" t="s">
        <v>57</v>
      </c>
      <c r="U665" t="s">
        <v>58</v>
      </c>
      <c r="V665" s="4">
        <v>0.1</v>
      </c>
      <c r="W665" s="2">
        <v>0</v>
      </c>
      <c r="X665">
        <v>0</v>
      </c>
      <c r="Y665" t="s">
        <v>59</v>
      </c>
      <c r="Z665" t="s">
        <v>60</v>
      </c>
      <c r="AA665">
        <v>0</v>
      </c>
      <c r="AB665" s="2">
        <v>0</v>
      </c>
      <c r="AC665" s="2">
        <v>0</v>
      </c>
      <c r="AD665" s="4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15.05</v>
      </c>
      <c r="AN665" s="2">
        <v>15.05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45915</v>
      </c>
      <c r="B666" t="s">
        <v>47</v>
      </c>
      <c r="C666">
        <v>649163</v>
      </c>
      <c r="D666">
        <v>2024217399</v>
      </c>
      <c r="E666" t="s">
        <v>1068</v>
      </c>
      <c r="F666" t="s">
        <v>374</v>
      </c>
      <c r="G666" t="s">
        <v>50</v>
      </c>
      <c r="H666" t="s">
        <v>188</v>
      </c>
      <c r="I666" t="s">
        <v>106</v>
      </c>
      <c r="J666" t="s">
        <v>107</v>
      </c>
      <c r="K666">
        <v>673059</v>
      </c>
      <c r="L666" t="s">
        <v>152</v>
      </c>
      <c r="M666" t="s">
        <v>153</v>
      </c>
      <c r="N666" t="s">
        <v>1078</v>
      </c>
      <c r="O666" t="s">
        <v>230</v>
      </c>
      <c r="P666" s="1">
        <v>45507</v>
      </c>
      <c r="Q666" s="1">
        <v>45933</v>
      </c>
      <c r="R666" s="2">
        <v>-128.19</v>
      </c>
      <c r="S666">
        <v>1</v>
      </c>
      <c r="T666" t="s">
        <v>57</v>
      </c>
      <c r="U666" t="s">
        <v>58</v>
      </c>
      <c r="V666" s="4">
        <v>0.1</v>
      </c>
      <c r="W666" s="2">
        <v>0</v>
      </c>
      <c r="X666">
        <v>-1</v>
      </c>
      <c r="Y666" t="s">
        <v>59</v>
      </c>
      <c r="Z666" t="s">
        <v>60</v>
      </c>
      <c r="AA666">
        <v>0</v>
      </c>
      <c r="AB666" s="2">
        <v>0</v>
      </c>
      <c r="AC666" s="2">
        <v>0</v>
      </c>
      <c r="AD666" s="4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-12.82</v>
      </c>
      <c r="AN666" s="2">
        <v>-12.82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45915</v>
      </c>
      <c r="B667" t="s">
        <v>47</v>
      </c>
      <c r="C667">
        <v>649163</v>
      </c>
      <c r="D667">
        <v>2025850686</v>
      </c>
      <c r="E667" t="s">
        <v>556</v>
      </c>
      <c r="F667" t="s">
        <v>791</v>
      </c>
      <c r="G667" t="s">
        <v>50</v>
      </c>
      <c r="H667" t="s">
        <v>193</v>
      </c>
      <c r="I667" t="s">
        <v>106</v>
      </c>
      <c r="J667" t="s">
        <v>146</v>
      </c>
      <c r="K667">
        <v>673059</v>
      </c>
      <c r="L667" t="s">
        <v>152</v>
      </c>
      <c r="M667" t="s">
        <v>153</v>
      </c>
      <c r="N667" t="s">
        <v>1078</v>
      </c>
      <c r="O667" t="s">
        <v>56</v>
      </c>
      <c r="P667" s="1">
        <v>45658</v>
      </c>
      <c r="Q667" s="1">
        <v>45931</v>
      </c>
      <c r="R667" s="2">
        <v>126.15</v>
      </c>
      <c r="S667">
        <v>1</v>
      </c>
      <c r="T667" t="s">
        <v>57</v>
      </c>
      <c r="U667" t="s">
        <v>58</v>
      </c>
      <c r="V667" s="4">
        <v>0.65</v>
      </c>
      <c r="W667" s="2">
        <v>0</v>
      </c>
      <c r="X667">
        <v>0</v>
      </c>
      <c r="Y667" t="s">
        <v>70</v>
      </c>
      <c r="Z667" t="s">
        <v>60</v>
      </c>
      <c r="AA667">
        <v>0</v>
      </c>
      <c r="AB667" s="2">
        <v>0</v>
      </c>
      <c r="AC667" s="2">
        <v>0</v>
      </c>
      <c r="AD667" s="4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82</v>
      </c>
      <c r="AN667" s="2">
        <v>82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45915</v>
      </c>
      <c r="B668" t="s">
        <v>47</v>
      </c>
      <c r="C668">
        <v>649163</v>
      </c>
      <c r="D668">
        <v>2028840700</v>
      </c>
      <c r="E668" t="s">
        <v>622</v>
      </c>
      <c r="F668" t="s">
        <v>163</v>
      </c>
      <c r="G668" t="s">
        <v>50</v>
      </c>
      <c r="H668" t="s">
        <v>151</v>
      </c>
      <c r="I668" t="s">
        <v>106</v>
      </c>
      <c r="J668" t="s">
        <v>184</v>
      </c>
      <c r="K668">
        <v>673059</v>
      </c>
      <c r="L668" t="s">
        <v>152</v>
      </c>
      <c r="M668" t="s">
        <v>153</v>
      </c>
      <c r="N668" t="s">
        <v>1078</v>
      </c>
      <c r="O668" t="s">
        <v>230</v>
      </c>
      <c r="P668" s="1">
        <v>45809</v>
      </c>
      <c r="Q668" s="1">
        <v>45931</v>
      </c>
      <c r="R668" s="2">
        <v>-6.51</v>
      </c>
      <c r="S668">
        <v>1</v>
      </c>
      <c r="T668" t="s">
        <v>57</v>
      </c>
      <c r="U668" t="s">
        <v>58</v>
      </c>
      <c r="V668" s="4">
        <v>0.75</v>
      </c>
      <c r="W668" s="2">
        <v>0</v>
      </c>
      <c r="X668">
        <v>-1</v>
      </c>
      <c r="Y668" t="s">
        <v>70</v>
      </c>
      <c r="Z668" t="s">
        <v>60</v>
      </c>
      <c r="AA668">
        <v>0</v>
      </c>
      <c r="AB668" s="2">
        <v>0</v>
      </c>
      <c r="AC668" s="2">
        <v>0</v>
      </c>
      <c r="AD668" s="4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-4.88</v>
      </c>
      <c r="AN668" s="2">
        <v>-4.88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45915</v>
      </c>
      <c r="B669" t="s">
        <v>47</v>
      </c>
      <c r="C669">
        <v>649163</v>
      </c>
      <c r="D669">
        <v>2028958358</v>
      </c>
      <c r="E669" t="s">
        <v>777</v>
      </c>
      <c r="F669" t="s">
        <v>349</v>
      </c>
      <c r="G669" t="s">
        <v>50</v>
      </c>
      <c r="H669" t="s">
        <v>93</v>
      </c>
      <c r="I669" t="s">
        <v>106</v>
      </c>
      <c r="J669" t="s">
        <v>107</v>
      </c>
      <c r="K669">
        <v>673059</v>
      </c>
      <c r="L669" t="s">
        <v>152</v>
      </c>
      <c r="M669" t="s">
        <v>153</v>
      </c>
      <c r="N669" t="s">
        <v>1078</v>
      </c>
      <c r="O669" t="s">
        <v>56</v>
      </c>
      <c r="P669" s="1">
        <v>45793</v>
      </c>
      <c r="Q669" s="1">
        <v>45946</v>
      </c>
      <c r="R669" s="2">
        <v>50.96</v>
      </c>
      <c r="S669">
        <v>1</v>
      </c>
      <c r="T669" t="s">
        <v>57</v>
      </c>
      <c r="U669" t="s">
        <v>58</v>
      </c>
      <c r="V669" s="4">
        <v>0.9</v>
      </c>
      <c r="W669" s="2">
        <v>0</v>
      </c>
      <c r="X669">
        <v>0</v>
      </c>
      <c r="Y669" t="s">
        <v>70</v>
      </c>
      <c r="Z669" t="s">
        <v>60</v>
      </c>
      <c r="AA669">
        <v>0</v>
      </c>
      <c r="AB669" s="2">
        <v>0</v>
      </c>
      <c r="AC669" s="2">
        <v>0</v>
      </c>
      <c r="AD669" s="4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45.86</v>
      </c>
      <c r="AN669" s="2">
        <v>45.86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45915</v>
      </c>
      <c r="B670" t="s">
        <v>47</v>
      </c>
      <c r="C670">
        <v>649163</v>
      </c>
      <c r="D670">
        <v>2029185271</v>
      </c>
      <c r="E670" t="s">
        <v>940</v>
      </c>
      <c r="F670" t="s">
        <v>939</v>
      </c>
      <c r="G670" t="s">
        <v>50</v>
      </c>
      <c r="H670" t="s">
        <v>402</v>
      </c>
      <c r="I670" t="s">
        <v>106</v>
      </c>
      <c r="J670" t="s">
        <v>184</v>
      </c>
      <c r="K670">
        <v>673059</v>
      </c>
      <c r="L670" t="s">
        <v>152</v>
      </c>
      <c r="M670" t="s">
        <v>153</v>
      </c>
      <c r="N670" t="s">
        <v>1078</v>
      </c>
      <c r="O670" t="s">
        <v>56</v>
      </c>
      <c r="P670" s="1">
        <v>45825</v>
      </c>
      <c r="Q670" s="1">
        <v>45947</v>
      </c>
      <c r="R670" s="2">
        <v>66.03</v>
      </c>
      <c r="S670">
        <v>1</v>
      </c>
      <c r="T670" t="s">
        <v>57</v>
      </c>
      <c r="U670" t="s">
        <v>58</v>
      </c>
      <c r="V670" s="4">
        <v>0.75</v>
      </c>
      <c r="W670" s="2">
        <v>0</v>
      </c>
      <c r="X670">
        <v>0</v>
      </c>
      <c r="Y670" t="s">
        <v>70</v>
      </c>
      <c r="Z670" t="s">
        <v>60</v>
      </c>
      <c r="AA670">
        <v>0</v>
      </c>
      <c r="AB670" s="2">
        <v>0</v>
      </c>
      <c r="AC670" s="2">
        <v>0</v>
      </c>
      <c r="AD670" s="4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49.52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45915</v>
      </c>
      <c r="B671" t="s">
        <v>47</v>
      </c>
      <c r="C671">
        <v>649163</v>
      </c>
      <c r="D671">
        <v>2029502358</v>
      </c>
      <c r="E671" t="s">
        <v>152</v>
      </c>
      <c r="F671" t="s">
        <v>153</v>
      </c>
      <c r="G671" t="s">
        <v>50</v>
      </c>
      <c r="H671" t="s">
        <v>93</v>
      </c>
      <c r="I671" t="s">
        <v>106</v>
      </c>
      <c r="J671" t="s">
        <v>184</v>
      </c>
      <c r="K671">
        <v>673059</v>
      </c>
      <c r="L671" t="s">
        <v>152</v>
      </c>
      <c r="M671" t="s">
        <v>153</v>
      </c>
      <c r="N671" t="s">
        <v>1078</v>
      </c>
      <c r="O671" t="s">
        <v>56</v>
      </c>
      <c r="P671" s="1">
        <v>45826</v>
      </c>
      <c r="Q671" s="1">
        <v>45948</v>
      </c>
      <c r="R671" s="2">
        <v>35.380000000000003</v>
      </c>
      <c r="S671">
        <v>1</v>
      </c>
      <c r="T671" t="s">
        <v>57</v>
      </c>
      <c r="U671" t="s">
        <v>58</v>
      </c>
      <c r="V671" s="4">
        <v>0.75</v>
      </c>
      <c r="W671" s="2">
        <v>0</v>
      </c>
      <c r="X671">
        <v>0</v>
      </c>
      <c r="Y671" t="s">
        <v>70</v>
      </c>
      <c r="Z671" t="s">
        <v>60</v>
      </c>
      <c r="AA671">
        <v>0</v>
      </c>
      <c r="AB671" s="2">
        <v>0</v>
      </c>
      <c r="AC671" s="2">
        <v>0</v>
      </c>
      <c r="AD671" s="4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26.54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45915</v>
      </c>
      <c r="B672" t="s">
        <v>47</v>
      </c>
      <c r="C672">
        <v>649163</v>
      </c>
      <c r="D672">
        <v>2029894138</v>
      </c>
      <c r="E672" t="s">
        <v>923</v>
      </c>
      <c r="F672" t="s">
        <v>74</v>
      </c>
      <c r="G672" t="s">
        <v>50</v>
      </c>
      <c r="H672" t="s">
        <v>157</v>
      </c>
      <c r="I672" t="s">
        <v>106</v>
      </c>
      <c r="J672" t="s">
        <v>184</v>
      </c>
      <c r="K672">
        <v>673059</v>
      </c>
      <c r="L672" t="s">
        <v>152</v>
      </c>
      <c r="M672" t="s">
        <v>153</v>
      </c>
      <c r="N672" t="s">
        <v>1078</v>
      </c>
      <c r="O672" t="s">
        <v>56</v>
      </c>
      <c r="P672" s="1">
        <v>45852</v>
      </c>
      <c r="Q672" s="1">
        <v>45944</v>
      </c>
      <c r="R672" s="2">
        <v>80.8</v>
      </c>
      <c r="S672">
        <v>1</v>
      </c>
      <c r="T672" t="s">
        <v>57</v>
      </c>
      <c r="U672" t="s">
        <v>58</v>
      </c>
      <c r="V672" s="4">
        <v>0.75</v>
      </c>
      <c r="W672" s="2">
        <v>0</v>
      </c>
      <c r="X672">
        <v>0</v>
      </c>
      <c r="Y672" t="s">
        <v>70</v>
      </c>
      <c r="Z672" t="s">
        <v>60</v>
      </c>
      <c r="AA672">
        <v>0</v>
      </c>
      <c r="AB672" s="2">
        <v>0</v>
      </c>
      <c r="AC672" s="2">
        <v>0</v>
      </c>
      <c r="AD672" s="4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60.6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45915</v>
      </c>
      <c r="B673" t="s">
        <v>47</v>
      </c>
      <c r="C673">
        <v>649163</v>
      </c>
      <c r="D673">
        <v>2030008352</v>
      </c>
      <c r="E673" t="s">
        <v>905</v>
      </c>
      <c r="F673" t="s">
        <v>554</v>
      </c>
      <c r="G673" t="s">
        <v>50</v>
      </c>
      <c r="H673" t="s">
        <v>188</v>
      </c>
      <c r="I673" t="s">
        <v>106</v>
      </c>
      <c r="J673" t="s">
        <v>184</v>
      </c>
      <c r="K673">
        <v>673059</v>
      </c>
      <c r="L673" t="s">
        <v>152</v>
      </c>
      <c r="M673" t="s">
        <v>153</v>
      </c>
      <c r="N673" t="s">
        <v>1078</v>
      </c>
      <c r="O673" t="s">
        <v>56</v>
      </c>
      <c r="P673" s="1">
        <v>45856</v>
      </c>
      <c r="Q673" s="1">
        <v>45948</v>
      </c>
      <c r="R673" s="2">
        <v>66.73</v>
      </c>
      <c r="S673">
        <v>1</v>
      </c>
      <c r="T673" t="s">
        <v>57</v>
      </c>
      <c r="U673" t="s">
        <v>58</v>
      </c>
      <c r="V673" s="4">
        <v>0.75</v>
      </c>
      <c r="W673" s="2">
        <v>0</v>
      </c>
      <c r="X673">
        <v>0</v>
      </c>
      <c r="Y673" t="s">
        <v>70</v>
      </c>
      <c r="Z673" t="s">
        <v>60</v>
      </c>
      <c r="AA673">
        <v>0</v>
      </c>
      <c r="AB673" s="2">
        <v>0</v>
      </c>
      <c r="AC673" s="2">
        <v>0</v>
      </c>
      <c r="AD673" s="4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50.05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45915</v>
      </c>
      <c r="B674" t="s">
        <v>47</v>
      </c>
      <c r="C674">
        <v>649163</v>
      </c>
      <c r="D674">
        <v>2023913074</v>
      </c>
      <c r="E674" t="s">
        <v>655</v>
      </c>
      <c r="F674" t="s">
        <v>280</v>
      </c>
      <c r="G674" t="s">
        <v>50</v>
      </c>
      <c r="H674" t="s">
        <v>63</v>
      </c>
      <c r="I674" t="s">
        <v>243</v>
      </c>
      <c r="J674" t="s">
        <v>252</v>
      </c>
      <c r="K674">
        <v>673059</v>
      </c>
      <c r="L674" t="s">
        <v>152</v>
      </c>
      <c r="M674" t="s">
        <v>153</v>
      </c>
      <c r="N674" t="s">
        <v>1078</v>
      </c>
      <c r="O674" t="s">
        <v>56</v>
      </c>
      <c r="P674" s="1">
        <v>45643</v>
      </c>
      <c r="Q674" s="1">
        <v>45947</v>
      </c>
      <c r="R674" s="2">
        <v>15</v>
      </c>
      <c r="S674">
        <v>1</v>
      </c>
      <c r="T674" t="s">
        <v>57</v>
      </c>
      <c r="U674" t="s">
        <v>58</v>
      </c>
      <c r="V674" s="4">
        <v>0.19</v>
      </c>
      <c r="W674" s="2">
        <v>0</v>
      </c>
      <c r="X674">
        <v>0</v>
      </c>
      <c r="Y674" t="s">
        <v>70</v>
      </c>
      <c r="Z674" t="s">
        <v>60</v>
      </c>
      <c r="AA674">
        <v>0</v>
      </c>
      <c r="AB674" s="2">
        <v>0</v>
      </c>
      <c r="AC674" s="2">
        <v>0</v>
      </c>
      <c r="AD674" s="4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2.85</v>
      </c>
      <c r="AN674" s="2">
        <v>2.85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45915</v>
      </c>
      <c r="B675" t="s">
        <v>47</v>
      </c>
      <c r="C675">
        <v>649163</v>
      </c>
      <c r="D675">
        <v>2028437289</v>
      </c>
      <c r="E675" t="s">
        <v>1057</v>
      </c>
      <c r="F675" t="s">
        <v>1056</v>
      </c>
      <c r="G675" t="s">
        <v>50</v>
      </c>
      <c r="H675" t="s">
        <v>188</v>
      </c>
      <c r="I675" t="s">
        <v>243</v>
      </c>
      <c r="J675" t="s">
        <v>244</v>
      </c>
      <c r="K675">
        <v>673059</v>
      </c>
      <c r="L675" t="s">
        <v>152</v>
      </c>
      <c r="M675" t="s">
        <v>153</v>
      </c>
      <c r="N675" t="s">
        <v>1078</v>
      </c>
      <c r="O675" t="s">
        <v>56</v>
      </c>
      <c r="P675" s="1">
        <v>45764</v>
      </c>
      <c r="Q675" s="1">
        <v>45947</v>
      </c>
      <c r="R675" s="2">
        <v>15</v>
      </c>
      <c r="S675">
        <v>1</v>
      </c>
      <c r="T675" t="s">
        <v>57</v>
      </c>
      <c r="U675" t="s">
        <v>58</v>
      </c>
      <c r="V675" s="4">
        <v>0.28999999999999998</v>
      </c>
      <c r="W675" s="2">
        <v>0</v>
      </c>
      <c r="X675">
        <v>0</v>
      </c>
      <c r="Y675" t="s">
        <v>70</v>
      </c>
      <c r="Z675" t="s">
        <v>60</v>
      </c>
      <c r="AA675">
        <v>0</v>
      </c>
      <c r="AB675" s="2">
        <v>0</v>
      </c>
      <c r="AC675" s="2">
        <v>0</v>
      </c>
      <c r="AD675" s="4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4.3499999999999996</v>
      </c>
      <c r="AN675" s="2">
        <v>4.3499999999999996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45915</v>
      </c>
      <c r="B676" t="s">
        <v>47</v>
      </c>
      <c r="C676">
        <v>649163</v>
      </c>
      <c r="D676">
        <v>2028958359</v>
      </c>
      <c r="E676" t="s">
        <v>777</v>
      </c>
      <c r="F676" t="s">
        <v>349</v>
      </c>
      <c r="G676" t="s">
        <v>50</v>
      </c>
      <c r="H676" t="s">
        <v>93</v>
      </c>
      <c r="I676" t="s">
        <v>243</v>
      </c>
      <c r="J676" t="s">
        <v>269</v>
      </c>
      <c r="K676">
        <v>673059</v>
      </c>
      <c r="L676" t="s">
        <v>152</v>
      </c>
      <c r="M676" t="s">
        <v>153</v>
      </c>
      <c r="N676" t="s">
        <v>1078</v>
      </c>
      <c r="O676" t="s">
        <v>56</v>
      </c>
      <c r="P676" s="1">
        <v>45793</v>
      </c>
      <c r="Q676" s="1">
        <v>45946</v>
      </c>
      <c r="R676" s="2">
        <v>15</v>
      </c>
      <c r="S676">
        <v>1</v>
      </c>
      <c r="T676" t="s">
        <v>57</v>
      </c>
      <c r="U676" t="s">
        <v>58</v>
      </c>
      <c r="V676" s="4">
        <v>0.19</v>
      </c>
      <c r="W676" s="2">
        <v>0</v>
      </c>
      <c r="X676">
        <v>0</v>
      </c>
      <c r="Y676" t="s">
        <v>70</v>
      </c>
      <c r="Z676" t="s">
        <v>60</v>
      </c>
      <c r="AA676">
        <v>0</v>
      </c>
      <c r="AB676" s="2">
        <v>0</v>
      </c>
      <c r="AC676" s="2">
        <v>0</v>
      </c>
      <c r="AD676" s="4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2.85</v>
      </c>
      <c r="AN676" s="2">
        <v>2.85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45915</v>
      </c>
      <c r="B677" t="s">
        <v>47</v>
      </c>
      <c r="C677">
        <v>649163</v>
      </c>
      <c r="D677">
        <v>2019766639</v>
      </c>
      <c r="E677" t="s">
        <v>1047</v>
      </c>
      <c r="F677" t="s">
        <v>92</v>
      </c>
      <c r="G677" t="s">
        <v>50</v>
      </c>
      <c r="H677" t="s">
        <v>93</v>
      </c>
      <c r="I677" t="s">
        <v>306</v>
      </c>
      <c r="J677" t="s">
        <v>307</v>
      </c>
      <c r="K677">
        <v>673059</v>
      </c>
      <c r="L677" t="s">
        <v>152</v>
      </c>
      <c r="M677" t="s">
        <v>153</v>
      </c>
      <c r="N677" t="s">
        <v>1078</v>
      </c>
      <c r="O677" t="s">
        <v>56</v>
      </c>
      <c r="P677" s="1">
        <v>45157</v>
      </c>
      <c r="Q677" s="1">
        <v>45949</v>
      </c>
      <c r="R677" s="2">
        <v>72.77</v>
      </c>
      <c r="S677">
        <v>1</v>
      </c>
      <c r="T677" t="s">
        <v>57</v>
      </c>
      <c r="U677" t="s">
        <v>58</v>
      </c>
      <c r="V677" s="4">
        <v>0.06</v>
      </c>
      <c r="W677" s="2">
        <v>0</v>
      </c>
      <c r="X677">
        <v>0</v>
      </c>
      <c r="Y677" t="s">
        <v>59</v>
      </c>
      <c r="Z677" t="s">
        <v>60</v>
      </c>
      <c r="AA677">
        <v>0</v>
      </c>
      <c r="AB677" s="2">
        <v>0</v>
      </c>
      <c r="AC677" s="2">
        <v>0</v>
      </c>
      <c r="AD677" s="4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4.37</v>
      </c>
      <c r="AN677" s="2">
        <v>4.37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45915</v>
      </c>
      <c r="B678" t="s">
        <v>47</v>
      </c>
      <c r="C678">
        <v>649163</v>
      </c>
      <c r="D678">
        <v>2020039861</v>
      </c>
      <c r="E678" t="s">
        <v>613</v>
      </c>
      <c r="F678" t="s">
        <v>1045</v>
      </c>
      <c r="G678" t="s">
        <v>50</v>
      </c>
      <c r="H678" t="s">
        <v>93</v>
      </c>
      <c r="I678" t="s">
        <v>306</v>
      </c>
      <c r="J678" t="s">
        <v>307</v>
      </c>
      <c r="K678">
        <v>673059</v>
      </c>
      <c r="L678" t="s">
        <v>152</v>
      </c>
      <c r="M678" t="s">
        <v>153</v>
      </c>
      <c r="N678" t="s">
        <v>1078</v>
      </c>
      <c r="O678" t="s">
        <v>56</v>
      </c>
      <c r="P678" s="1">
        <v>45182</v>
      </c>
      <c r="Q678" s="1">
        <v>45943</v>
      </c>
      <c r="R678" s="2">
        <v>53.57</v>
      </c>
      <c r="S678">
        <v>1</v>
      </c>
      <c r="T678" t="s">
        <v>57</v>
      </c>
      <c r="U678" t="s">
        <v>58</v>
      </c>
      <c r="V678" s="4">
        <v>0.06</v>
      </c>
      <c r="W678" s="2">
        <v>0</v>
      </c>
      <c r="X678">
        <v>0</v>
      </c>
      <c r="Y678" t="s">
        <v>59</v>
      </c>
      <c r="Z678" t="s">
        <v>60</v>
      </c>
      <c r="AA678">
        <v>0</v>
      </c>
      <c r="AB678" s="2">
        <v>0</v>
      </c>
      <c r="AC678" s="2">
        <v>0</v>
      </c>
      <c r="AD678" s="4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3.21</v>
      </c>
      <c r="AN678" s="2">
        <v>3.21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45915</v>
      </c>
      <c r="B679" t="s">
        <v>47</v>
      </c>
      <c r="C679">
        <v>649163</v>
      </c>
      <c r="D679">
        <v>2022254781</v>
      </c>
      <c r="E679" t="s">
        <v>740</v>
      </c>
      <c r="F679" t="s">
        <v>145</v>
      </c>
      <c r="G679" t="s">
        <v>50</v>
      </c>
      <c r="H679" t="s">
        <v>151</v>
      </c>
      <c r="I679" t="s">
        <v>306</v>
      </c>
      <c r="J679" t="s">
        <v>307</v>
      </c>
      <c r="K679">
        <v>673059</v>
      </c>
      <c r="L679" t="s">
        <v>152</v>
      </c>
      <c r="M679" t="s">
        <v>153</v>
      </c>
      <c r="N679" t="s">
        <v>1078</v>
      </c>
      <c r="O679" t="s">
        <v>56</v>
      </c>
      <c r="P679" s="1">
        <v>45364</v>
      </c>
      <c r="Q679" s="1">
        <v>45943</v>
      </c>
      <c r="R679" s="2">
        <v>136.49</v>
      </c>
      <c r="S679">
        <v>1</v>
      </c>
      <c r="T679" t="s">
        <v>57</v>
      </c>
      <c r="U679" t="s">
        <v>58</v>
      </c>
      <c r="V679" s="4">
        <v>0.06</v>
      </c>
      <c r="W679" s="2">
        <v>0</v>
      </c>
      <c r="X679">
        <v>0</v>
      </c>
      <c r="Y679" t="s">
        <v>59</v>
      </c>
      <c r="Z679" t="s">
        <v>60</v>
      </c>
      <c r="AA679">
        <v>0</v>
      </c>
      <c r="AB679" s="2">
        <v>0</v>
      </c>
      <c r="AC679" s="2">
        <v>0</v>
      </c>
      <c r="AD679" s="4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8.19</v>
      </c>
      <c r="AN679" s="2">
        <v>8.19</v>
      </c>
      <c r="AO679" s="2">
        <v>0</v>
      </c>
      <c r="AP679" s="2">
        <v>0</v>
      </c>
      <c r="AQ679" s="2">
        <v>0</v>
      </c>
    </row>
    <row r="680" spans="1:43" x14ac:dyDescent="0.25">
      <c r="A680" s="1">
        <v>45915</v>
      </c>
      <c r="B680" t="s">
        <v>47</v>
      </c>
      <c r="C680">
        <v>649163</v>
      </c>
      <c r="D680">
        <v>2023316630</v>
      </c>
      <c r="E680" t="s">
        <v>1041</v>
      </c>
      <c r="F680" t="s">
        <v>82</v>
      </c>
      <c r="G680" t="s">
        <v>50</v>
      </c>
      <c r="H680" t="s">
        <v>180</v>
      </c>
      <c r="I680" t="s">
        <v>306</v>
      </c>
      <c r="J680" t="s">
        <v>307</v>
      </c>
      <c r="K680">
        <v>673059</v>
      </c>
      <c r="L680" t="s">
        <v>152</v>
      </c>
      <c r="M680" t="s">
        <v>153</v>
      </c>
      <c r="N680" t="s">
        <v>1078</v>
      </c>
      <c r="O680" t="s">
        <v>56</v>
      </c>
      <c r="P680" s="1">
        <v>45461</v>
      </c>
      <c r="Q680" s="1">
        <v>45948</v>
      </c>
      <c r="R680" s="2">
        <v>50.33</v>
      </c>
      <c r="S680">
        <v>1</v>
      </c>
      <c r="T680" t="s">
        <v>57</v>
      </c>
      <c r="U680" t="s">
        <v>58</v>
      </c>
      <c r="V680" s="4">
        <v>0.06</v>
      </c>
      <c r="W680" s="2">
        <v>0</v>
      </c>
      <c r="X680">
        <v>0</v>
      </c>
      <c r="Y680" t="s">
        <v>59</v>
      </c>
      <c r="Z680" t="s">
        <v>60</v>
      </c>
      <c r="AA680">
        <v>0</v>
      </c>
      <c r="AB680" s="2">
        <v>0</v>
      </c>
      <c r="AC680" s="2">
        <v>0</v>
      </c>
      <c r="AD680" s="4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3.02</v>
      </c>
      <c r="AN680" s="2">
        <v>3.02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45915</v>
      </c>
      <c r="B681" t="s">
        <v>47</v>
      </c>
      <c r="C681">
        <v>649163</v>
      </c>
      <c r="D681">
        <v>2025785646</v>
      </c>
      <c r="E681" t="s">
        <v>1016</v>
      </c>
      <c r="F681" t="s">
        <v>1015</v>
      </c>
      <c r="G681" t="s">
        <v>50</v>
      </c>
      <c r="H681" t="s">
        <v>151</v>
      </c>
      <c r="I681" t="s">
        <v>306</v>
      </c>
      <c r="J681" t="s">
        <v>307</v>
      </c>
      <c r="K681">
        <v>673059</v>
      </c>
      <c r="L681" t="s">
        <v>152</v>
      </c>
      <c r="M681" t="s">
        <v>153</v>
      </c>
      <c r="N681" t="s">
        <v>1078</v>
      </c>
      <c r="O681" t="s">
        <v>56</v>
      </c>
      <c r="P681" s="1">
        <v>45612</v>
      </c>
      <c r="Q681" s="1">
        <v>45946</v>
      </c>
      <c r="R681" s="2">
        <v>89.37</v>
      </c>
      <c r="S681">
        <v>1</v>
      </c>
      <c r="T681" t="s">
        <v>57</v>
      </c>
      <c r="U681" t="s">
        <v>58</v>
      </c>
      <c r="V681" s="3">
        <v>0.375</v>
      </c>
      <c r="W681" s="2">
        <v>0</v>
      </c>
      <c r="X681">
        <v>0</v>
      </c>
      <c r="Y681" t="s">
        <v>70</v>
      </c>
      <c r="Z681" t="s">
        <v>60</v>
      </c>
      <c r="AA681">
        <v>0</v>
      </c>
      <c r="AB681" s="2">
        <v>0</v>
      </c>
      <c r="AC681" s="2">
        <v>0</v>
      </c>
      <c r="AD681" s="4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33.51</v>
      </c>
      <c r="AN681" s="2">
        <v>33.51</v>
      </c>
      <c r="AO681" s="2">
        <v>0</v>
      </c>
      <c r="AP681" s="2">
        <v>0</v>
      </c>
      <c r="AQ681" s="2">
        <v>0</v>
      </c>
    </row>
    <row r="682" spans="1:43" x14ac:dyDescent="0.25">
      <c r="A682" s="1">
        <v>45915</v>
      </c>
      <c r="B682" t="s">
        <v>47</v>
      </c>
      <c r="C682">
        <v>649163</v>
      </c>
      <c r="D682">
        <v>2025850687</v>
      </c>
      <c r="E682" t="s">
        <v>556</v>
      </c>
      <c r="F682" t="s">
        <v>791</v>
      </c>
      <c r="G682" t="s">
        <v>50</v>
      </c>
      <c r="H682" t="s">
        <v>193</v>
      </c>
      <c r="I682" t="s">
        <v>306</v>
      </c>
      <c r="J682" t="s">
        <v>307</v>
      </c>
      <c r="K682">
        <v>673059</v>
      </c>
      <c r="L682" t="s">
        <v>152</v>
      </c>
      <c r="M682" t="s">
        <v>153</v>
      </c>
      <c r="N682" t="s">
        <v>1078</v>
      </c>
      <c r="O682" t="s">
        <v>56</v>
      </c>
      <c r="P682" s="1">
        <v>45658</v>
      </c>
      <c r="Q682" s="1">
        <v>45931</v>
      </c>
      <c r="R682" s="2">
        <v>63.34</v>
      </c>
      <c r="S682">
        <v>1</v>
      </c>
      <c r="T682" t="s">
        <v>57</v>
      </c>
      <c r="U682" t="s">
        <v>58</v>
      </c>
      <c r="V682" s="3">
        <v>0.375</v>
      </c>
      <c r="W682" s="2">
        <v>0</v>
      </c>
      <c r="X682">
        <v>0</v>
      </c>
      <c r="Y682" t="s">
        <v>70</v>
      </c>
      <c r="Z682" t="s">
        <v>60</v>
      </c>
      <c r="AA682">
        <v>0</v>
      </c>
      <c r="AB682" s="2">
        <v>0</v>
      </c>
      <c r="AC682" s="2">
        <v>0</v>
      </c>
      <c r="AD682" s="4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23.75</v>
      </c>
      <c r="AN682" s="2">
        <v>23.75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45915</v>
      </c>
      <c r="B683" t="s">
        <v>47</v>
      </c>
      <c r="D683">
        <v>2025785647</v>
      </c>
      <c r="E683" t="s">
        <v>1016</v>
      </c>
      <c r="F683" t="s">
        <v>1015</v>
      </c>
      <c r="G683" t="s">
        <v>50</v>
      </c>
      <c r="H683" t="s">
        <v>151</v>
      </c>
      <c r="I683" t="s">
        <v>441</v>
      </c>
      <c r="J683" t="s">
        <v>545</v>
      </c>
      <c r="L683" t="s">
        <v>152</v>
      </c>
      <c r="M683" t="s">
        <v>153</v>
      </c>
      <c r="N683" t="s">
        <v>1078</v>
      </c>
      <c r="O683" t="s">
        <v>56</v>
      </c>
      <c r="P683" s="1">
        <v>45612</v>
      </c>
      <c r="Q683" s="1">
        <v>45946</v>
      </c>
      <c r="R683" s="2">
        <v>51.46</v>
      </c>
      <c r="S683">
        <v>1</v>
      </c>
      <c r="T683" t="s">
        <v>57</v>
      </c>
      <c r="U683" t="s">
        <v>58</v>
      </c>
      <c r="V683" s="4">
        <v>0.7</v>
      </c>
      <c r="W683" s="2">
        <v>0</v>
      </c>
      <c r="X683">
        <v>0</v>
      </c>
      <c r="Y683" t="s">
        <v>70</v>
      </c>
      <c r="Z683" t="s">
        <v>60</v>
      </c>
      <c r="AA683">
        <v>0</v>
      </c>
      <c r="AB683" s="2">
        <v>0</v>
      </c>
      <c r="AC683" s="2">
        <v>0</v>
      </c>
      <c r="AD683" s="4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36.020000000000003</v>
      </c>
      <c r="AN683" s="2">
        <v>36.020000000000003</v>
      </c>
      <c r="AO683" s="2">
        <v>0</v>
      </c>
      <c r="AP683" s="2">
        <v>0</v>
      </c>
      <c r="AQ683" s="2">
        <v>0</v>
      </c>
    </row>
    <row r="684" spans="1:43" x14ac:dyDescent="0.25">
      <c r="A684" s="1">
        <v>45915</v>
      </c>
      <c r="B684" t="s">
        <v>47</v>
      </c>
      <c r="C684">
        <v>649163</v>
      </c>
      <c r="D684">
        <v>2025850683</v>
      </c>
      <c r="E684" t="s">
        <v>556</v>
      </c>
      <c r="F684" t="s">
        <v>791</v>
      </c>
      <c r="G684" t="s">
        <v>50</v>
      </c>
      <c r="H684" t="s">
        <v>193</v>
      </c>
      <c r="I684" t="s">
        <v>441</v>
      </c>
      <c r="J684" t="s">
        <v>445</v>
      </c>
      <c r="K684">
        <v>673059</v>
      </c>
      <c r="L684" t="s">
        <v>152</v>
      </c>
      <c r="M684" t="s">
        <v>153</v>
      </c>
      <c r="N684" t="s">
        <v>1078</v>
      </c>
      <c r="O684" t="s">
        <v>56</v>
      </c>
      <c r="P684" s="1">
        <v>45658</v>
      </c>
      <c r="Q684" s="1">
        <v>45931</v>
      </c>
      <c r="R684" s="2">
        <v>35.04</v>
      </c>
      <c r="S684">
        <v>1</v>
      </c>
      <c r="T684" t="s">
        <v>57</v>
      </c>
      <c r="U684" t="s">
        <v>58</v>
      </c>
      <c r="V684" s="4">
        <v>0.7</v>
      </c>
      <c r="W684" s="2">
        <v>0</v>
      </c>
      <c r="X684">
        <v>0</v>
      </c>
      <c r="Y684" t="s">
        <v>70</v>
      </c>
      <c r="Z684" t="s">
        <v>60</v>
      </c>
      <c r="AA684">
        <v>0</v>
      </c>
      <c r="AB684" s="2">
        <v>0</v>
      </c>
      <c r="AC684" s="2">
        <v>0</v>
      </c>
      <c r="AD684" s="4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24.53</v>
      </c>
      <c r="AN684" s="2">
        <v>24.53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45915</v>
      </c>
      <c r="B685" t="s">
        <v>47</v>
      </c>
      <c r="D685">
        <v>2025850684</v>
      </c>
      <c r="E685" t="s">
        <v>556</v>
      </c>
      <c r="F685" t="s">
        <v>791</v>
      </c>
      <c r="G685" t="s">
        <v>50</v>
      </c>
      <c r="H685" t="s">
        <v>193</v>
      </c>
      <c r="I685" t="s">
        <v>441</v>
      </c>
      <c r="J685" t="s">
        <v>545</v>
      </c>
      <c r="L685" t="s">
        <v>152</v>
      </c>
      <c r="M685" t="s">
        <v>153</v>
      </c>
      <c r="N685" t="s">
        <v>1078</v>
      </c>
      <c r="O685" t="s">
        <v>56</v>
      </c>
      <c r="P685" s="1">
        <v>45658</v>
      </c>
      <c r="Q685" s="1">
        <v>45931</v>
      </c>
      <c r="R685" s="2">
        <v>25.73</v>
      </c>
      <c r="S685">
        <v>1</v>
      </c>
      <c r="T685" t="s">
        <v>57</v>
      </c>
      <c r="U685" t="s">
        <v>58</v>
      </c>
      <c r="V685" s="4">
        <v>0.7</v>
      </c>
      <c r="W685" s="2">
        <v>0</v>
      </c>
      <c r="X685">
        <v>0</v>
      </c>
      <c r="Y685" t="s">
        <v>70</v>
      </c>
      <c r="Z685" t="s">
        <v>60</v>
      </c>
      <c r="AA685">
        <v>0</v>
      </c>
      <c r="AB685" s="2">
        <v>0</v>
      </c>
      <c r="AC685" s="2">
        <v>0</v>
      </c>
      <c r="AD685" s="4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18.010000000000002</v>
      </c>
      <c r="AN685" s="2">
        <v>18.010000000000002</v>
      </c>
      <c r="AO685" s="2">
        <v>0</v>
      </c>
      <c r="AP685" s="2">
        <v>0</v>
      </c>
      <c r="AQ685" s="2">
        <v>0</v>
      </c>
    </row>
    <row r="686" spans="1:43" x14ac:dyDescent="0.25">
      <c r="A686" s="1">
        <v>45915</v>
      </c>
      <c r="B686" t="s">
        <v>47</v>
      </c>
      <c r="C686">
        <v>649163</v>
      </c>
      <c r="D686">
        <v>2027573958</v>
      </c>
      <c r="E686" t="s">
        <v>881</v>
      </c>
      <c r="F686" t="s">
        <v>616</v>
      </c>
      <c r="G686" t="s">
        <v>50</v>
      </c>
      <c r="H686" t="s">
        <v>157</v>
      </c>
      <c r="I686" t="s">
        <v>441</v>
      </c>
      <c r="J686" t="s">
        <v>445</v>
      </c>
      <c r="K686">
        <v>673059</v>
      </c>
      <c r="L686" t="s">
        <v>152</v>
      </c>
      <c r="M686" t="s">
        <v>153</v>
      </c>
      <c r="N686" t="s">
        <v>1078</v>
      </c>
      <c r="O686" t="s">
        <v>56</v>
      </c>
      <c r="P686" s="1">
        <v>45757</v>
      </c>
      <c r="Q686" s="1">
        <v>45940</v>
      </c>
      <c r="R686" s="2">
        <v>130.27000000000001</v>
      </c>
      <c r="S686">
        <v>1</v>
      </c>
      <c r="T686" t="s">
        <v>57</v>
      </c>
      <c r="U686" t="s">
        <v>58</v>
      </c>
      <c r="V686" s="4">
        <v>0.7</v>
      </c>
      <c r="W686" s="2">
        <v>0</v>
      </c>
      <c r="X686">
        <v>0</v>
      </c>
      <c r="Y686" t="s">
        <v>70</v>
      </c>
      <c r="Z686" t="s">
        <v>60</v>
      </c>
      <c r="AA686">
        <v>0</v>
      </c>
      <c r="AB686" s="2">
        <v>0</v>
      </c>
      <c r="AC686" s="2">
        <v>0</v>
      </c>
      <c r="AD686" s="4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91.19</v>
      </c>
      <c r="AN686" s="2">
        <v>91.19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45915</v>
      </c>
      <c r="B687" t="s">
        <v>47</v>
      </c>
      <c r="C687">
        <v>649163</v>
      </c>
      <c r="D687">
        <v>2027825905</v>
      </c>
      <c r="E687" t="s">
        <v>684</v>
      </c>
      <c r="F687" t="s">
        <v>978</v>
      </c>
      <c r="G687" t="s">
        <v>50</v>
      </c>
      <c r="H687" t="s">
        <v>151</v>
      </c>
      <c r="I687" t="s">
        <v>441</v>
      </c>
      <c r="J687" t="s">
        <v>445</v>
      </c>
      <c r="K687">
        <v>673059</v>
      </c>
      <c r="L687" t="s">
        <v>152</v>
      </c>
      <c r="M687" t="s">
        <v>153</v>
      </c>
      <c r="N687" t="s">
        <v>1078</v>
      </c>
      <c r="O687" t="s">
        <v>56</v>
      </c>
      <c r="P687" s="1">
        <v>45731</v>
      </c>
      <c r="Q687" s="1">
        <v>45945</v>
      </c>
      <c r="R687" s="2">
        <v>18.350000000000001</v>
      </c>
      <c r="S687">
        <v>1</v>
      </c>
      <c r="T687" t="s">
        <v>57</v>
      </c>
      <c r="U687" t="s">
        <v>58</v>
      </c>
      <c r="V687" s="4">
        <v>0.7</v>
      </c>
      <c r="W687" s="2">
        <v>0</v>
      </c>
      <c r="X687">
        <v>0</v>
      </c>
      <c r="Y687" t="s">
        <v>70</v>
      </c>
      <c r="Z687" t="s">
        <v>60</v>
      </c>
      <c r="AA687">
        <v>0</v>
      </c>
      <c r="AB687" s="2">
        <v>0</v>
      </c>
      <c r="AC687" s="2">
        <v>0</v>
      </c>
      <c r="AD687" s="4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12.84</v>
      </c>
      <c r="AN687" s="2">
        <v>12.84</v>
      </c>
      <c r="AO687" s="2">
        <v>0</v>
      </c>
      <c r="AP687" s="2">
        <v>0</v>
      </c>
      <c r="AQ687" s="2">
        <v>0</v>
      </c>
    </row>
    <row r="688" spans="1:43" x14ac:dyDescent="0.25">
      <c r="A688" s="1">
        <v>45915</v>
      </c>
      <c r="B688" t="s">
        <v>47</v>
      </c>
      <c r="D688">
        <v>2027825906</v>
      </c>
      <c r="E688" t="s">
        <v>684</v>
      </c>
      <c r="F688" t="s">
        <v>978</v>
      </c>
      <c r="G688" t="s">
        <v>50</v>
      </c>
      <c r="H688" t="s">
        <v>151</v>
      </c>
      <c r="I688" t="s">
        <v>441</v>
      </c>
      <c r="J688" t="s">
        <v>545</v>
      </c>
      <c r="L688" t="s">
        <v>152</v>
      </c>
      <c r="M688" t="s">
        <v>153</v>
      </c>
      <c r="N688" t="s">
        <v>1078</v>
      </c>
      <c r="O688" t="s">
        <v>56</v>
      </c>
      <c r="P688" s="1">
        <v>45731</v>
      </c>
      <c r="Q688" s="1">
        <v>45945</v>
      </c>
      <c r="R688" s="2">
        <v>25.73</v>
      </c>
      <c r="S688">
        <v>1</v>
      </c>
      <c r="T688" t="s">
        <v>57</v>
      </c>
      <c r="U688" t="s">
        <v>58</v>
      </c>
      <c r="V688" s="4">
        <v>0.7</v>
      </c>
      <c r="W688" s="2">
        <v>0</v>
      </c>
      <c r="X688">
        <v>0</v>
      </c>
      <c r="Y688" t="s">
        <v>70</v>
      </c>
      <c r="Z688" t="s">
        <v>60</v>
      </c>
      <c r="AA688">
        <v>0</v>
      </c>
      <c r="AB688" s="2">
        <v>0</v>
      </c>
      <c r="AC688" s="2">
        <v>0</v>
      </c>
      <c r="AD688" s="4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18.010000000000002</v>
      </c>
      <c r="AN688" s="2">
        <v>18.010000000000002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45915</v>
      </c>
      <c r="B689" t="s">
        <v>47</v>
      </c>
      <c r="C689">
        <v>649163</v>
      </c>
      <c r="D689">
        <v>2027854740</v>
      </c>
      <c r="E689" t="s">
        <v>782</v>
      </c>
      <c r="F689" t="s">
        <v>781</v>
      </c>
      <c r="G689" t="s">
        <v>50</v>
      </c>
      <c r="H689" t="s">
        <v>77</v>
      </c>
      <c r="I689" t="s">
        <v>441</v>
      </c>
      <c r="J689" t="s">
        <v>442</v>
      </c>
      <c r="K689">
        <v>673059</v>
      </c>
      <c r="L689" t="s">
        <v>152</v>
      </c>
      <c r="M689" t="s">
        <v>153</v>
      </c>
      <c r="N689" t="s">
        <v>1078</v>
      </c>
      <c r="O689" t="s">
        <v>56</v>
      </c>
      <c r="P689" s="1">
        <v>45734</v>
      </c>
      <c r="Q689" s="1">
        <v>45948</v>
      </c>
      <c r="R689" s="2">
        <v>51.63</v>
      </c>
      <c r="S689">
        <v>1</v>
      </c>
      <c r="T689" t="s">
        <v>57</v>
      </c>
      <c r="U689" t="s">
        <v>58</v>
      </c>
      <c r="V689" s="4">
        <v>0.9</v>
      </c>
      <c r="W689" s="2">
        <v>0</v>
      </c>
      <c r="X689">
        <v>0</v>
      </c>
      <c r="Y689" t="s">
        <v>70</v>
      </c>
      <c r="Z689" t="s">
        <v>60</v>
      </c>
      <c r="AA689">
        <v>0</v>
      </c>
      <c r="AB689" s="2">
        <v>0</v>
      </c>
      <c r="AC689" s="2">
        <v>0</v>
      </c>
      <c r="AD689" s="4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46.47</v>
      </c>
      <c r="AN689" s="2">
        <v>46.47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45915</v>
      </c>
      <c r="B690" t="s">
        <v>47</v>
      </c>
      <c r="C690">
        <v>649163</v>
      </c>
      <c r="D690">
        <v>2027869112</v>
      </c>
      <c r="E690" t="s">
        <v>878</v>
      </c>
      <c r="F690" t="s">
        <v>877</v>
      </c>
      <c r="G690" t="s">
        <v>50</v>
      </c>
      <c r="H690" t="s">
        <v>266</v>
      </c>
      <c r="I690" t="s">
        <v>441</v>
      </c>
      <c r="J690" t="s">
        <v>442</v>
      </c>
      <c r="K690">
        <v>673059</v>
      </c>
      <c r="L690" t="s">
        <v>152</v>
      </c>
      <c r="M690" t="s">
        <v>153</v>
      </c>
      <c r="N690" t="s">
        <v>1078</v>
      </c>
      <c r="O690" t="s">
        <v>56</v>
      </c>
      <c r="P690" s="1">
        <v>45734</v>
      </c>
      <c r="Q690" s="1">
        <v>45948</v>
      </c>
      <c r="R690" s="2">
        <v>9.8000000000000007</v>
      </c>
      <c r="S690">
        <v>1</v>
      </c>
      <c r="T690" t="s">
        <v>57</v>
      </c>
      <c r="U690" t="s">
        <v>58</v>
      </c>
      <c r="V690" s="4">
        <v>0.9</v>
      </c>
      <c r="W690" s="2">
        <v>0</v>
      </c>
      <c r="X690">
        <v>0</v>
      </c>
      <c r="Y690" t="s">
        <v>70</v>
      </c>
      <c r="Z690" t="s">
        <v>60</v>
      </c>
      <c r="AA690">
        <v>0</v>
      </c>
      <c r="AB690" s="2">
        <v>0</v>
      </c>
      <c r="AC690" s="2">
        <v>0</v>
      </c>
      <c r="AD690" s="4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8.82</v>
      </c>
      <c r="AN690" s="2">
        <v>8.82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45915</v>
      </c>
      <c r="B691" t="s">
        <v>47</v>
      </c>
      <c r="C691">
        <v>649163</v>
      </c>
      <c r="D691">
        <v>2028338805</v>
      </c>
      <c r="E691" t="s">
        <v>872</v>
      </c>
      <c r="F691" t="s">
        <v>349</v>
      </c>
      <c r="G691" t="s">
        <v>50</v>
      </c>
      <c r="H691" t="s">
        <v>402</v>
      </c>
      <c r="I691" t="s">
        <v>441</v>
      </c>
      <c r="J691" t="s">
        <v>445</v>
      </c>
      <c r="K691">
        <v>673059</v>
      </c>
      <c r="L691" t="s">
        <v>152</v>
      </c>
      <c r="M691" t="s">
        <v>153</v>
      </c>
      <c r="N691" t="s">
        <v>1078</v>
      </c>
      <c r="O691" t="s">
        <v>56</v>
      </c>
      <c r="P691" s="1">
        <v>45778</v>
      </c>
      <c r="Q691" s="1">
        <v>45931</v>
      </c>
      <c r="R691" s="2">
        <v>99</v>
      </c>
      <c r="S691">
        <v>1</v>
      </c>
      <c r="T691" t="s">
        <v>57</v>
      </c>
      <c r="U691" t="s">
        <v>58</v>
      </c>
      <c r="V691" s="4">
        <v>0.7</v>
      </c>
      <c r="W691" s="2">
        <v>0</v>
      </c>
      <c r="X691">
        <v>0</v>
      </c>
      <c r="Y691" t="s">
        <v>70</v>
      </c>
      <c r="Z691" t="s">
        <v>60</v>
      </c>
      <c r="AA691">
        <v>0</v>
      </c>
      <c r="AB691" s="2">
        <v>0</v>
      </c>
      <c r="AC691" s="2">
        <v>0</v>
      </c>
      <c r="AD691" s="4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69.3</v>
      </c>
      <c r="AN691" s="2">
        <v>69.3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45915</v>
      </c>
      <c r="B692" t="s">
        <v>47</v>
      </c>
      <c r="C692">
        <v>649163</v>
      </c>
      <c r="D692">
        <v>2028338806</v>
      </c>
      <c r="E692" t="s">
        <v>872</v>
      </c>
      <c r="F692" t="s">
        <v>349</v>
      </c>
      <c r="G692" t="s">
        <v>50</v>
      </c>
      <c r="H692" t="s">
        <v>402</v>
      </c>
      <c r="I692" t="s">
        <v>441</v>
      </c>
      <c r="J692" t="s">
        <v>545</v>
      </c>
      <c r="K692">
        <v>673059</v>
      </c>
      <c r="L692" t="s">
        <v>152</v>
      </c>
      <c r="M692" t="s">
        <v>153</v>
      </c>
      <c r="N692" t="s">
        <v>1078</v>
      </c>
      <c r="O692" t="s">
        <v>56</v>
      </c>
      <c r="P692" s="1">
        <v>45778</v>
      </c>
      <c r="Q692" s="1">
        <v>45931</v>
      </c>
      <c r="R692" s="2">
        <v>25.73</v>
      </c>
      <c r="S692">
        <v>1</v>
      </c>
      <c r="T692" t="s">
        <v>57</v>
      </c>
      <c r="U692" t="s">
        <v>58</v>
      </c>
      <c r="V692" s="4">
        <v>0.7</v>
      </c>
      <c r="W692" s="2">
        <v>0</v>
      </c>
      <c r="X692">
        <v>0</v>
      </c>
      <c r="Y692" t="s">
        <v>70</v>
      </c>
      <c r="Z692" t="s">
        <v>60</v>
      </c>
      <c r="AA692">
        <v>0</v>
      </c>
      <c r="AB692" s="2">
        <v>0</v>
      </c>
      <c r="AC692" s="2">
        <v>0</v>
      </c>
      <c r="AD692" s="4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18.010000000000002</v>
      </c>
      <c r="AN692" s="2">
        <v>18.010000000000002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45915</v>
      </c>
      <c r="B693" t="s">
        <v>47</v>
      </c>
      <c r="C693">
        <v>649163</v>
      </c>
      <c r="D693">
        <v>2028840698</v>
      </c>
      <c r="E693" t="s">
        <v>622</v>
      </c>
      <c r="F693" t="s">
        <v>163</v>
      </c>
      <c r="G693" t="s">
        <v>50</v>
      </c>
      <c r="H693" t="s">
        <v>151</v>
      </c>
      <c r="I693" t="s">
        <v>441</v>
      </c>
      <c r="J693" t="s">
        <v>445</v>
      </c>
      <c r="K693">
        <v>673059</v>
      </c>
      <c r="L693" t="s">
        <v>152</v>
      </c>
      <c r="M693" t="s">
        <v>153</v>
      </c>
      <c r="N693" t="s">
        <v>1078</v>
      </c>
      <c r="O693" t="s">
        <v>230</v>
      </c>
      <c r="P693" s="1">
        <v>45809</v>
      </c>
      <c r="Q693" s="1">
        <v>45931</v>
      </c>
      <c r="R693" s="2">
        <v>-19.86</v>
      </c>
      <c r="S693">
        <v>1</v>
      </c>
      <c r="T693" t="s">
        <v>57</v>
      </c>
      <c r="U693" t="s">
        <v>58</v>
      </c>
      <c r="V693" s="4">
        <v>0.7</v>
      </c>
      <c r="W693" s="2">
        <v>0</v>
      </c>
      <c r="X693">
        <v>-1</v>
      </c>
      <c r="Y693" t="s">
        <v>70</v>
      </c>
      <c r="Z693" t="s">
        <v>60</v>
      </c>
      <c r="AA693">
        <v>0</v>
      </c>
      <c r="AB693" s="2">
        <v>0</v>
      </c>
      <c r="AC693" s="2">
        <v>0</v>
      </c>
      <c r="AD693" s="4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-13.9</v>
      </c>
      <c r="AN693" s="2">
        <v>-13.9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45915</v>
      </c>
      <c r="B694" t="s">
        <v>47</v>
      </c>
      <c r="C694">
        <v>649163</v>
      </c>
      <c r="D694">
        <v>2028840699</v>
      </c>
      <c r="E694" t="s">
        <v>622</v>
      </c>
      <c r="F694" t="s">
        <v>163</v>
      </c>
      <c r="G694" t="s">
        <v>50</v>
      </c>
      <c r="H694" t="s">
        <v>151</v>
      </c>
      <c r="I694" t="s">
        <v>441</v>
      </c>
      <c r="J694" t="s">
        <v>545</v>
      </c>
      <c r="K694">
        <v>673059</v>
      </c>
      <c r="L694" t="s">
        <v>152</v>
      </c>
      <c r="M694" t="s">
        <v>153</v>
      </c>
      <c r="N694" t="s">
        <v>1078</v>
      </c>
      <c r="O694" t="s">
        <v>230</v>
      </c>
      <c r="P694" s="1">
        <v>45809</v>
      </c>
      <c r="Q694" s="1">
        <v>45931</v>
      </c>
      <c r="R694" s="2">
        <v>-17.149999999999999</v>
      </c>
      <c r="S694">
        <v>1</v>
      </c>
      <c r="T694" t="s">
        <v>57</v>
      </c>
      <c r="U694" t="s">
        <v>58</v>
      </c>
      <c r="V694" s="4">
        <v>0.7</v>
      </c>
      <c r="W694" s="2">
        <v>0</v>
      </c>
      <c r="X694">
        <v>-1</v>
      </c>
      <c r="Y694" t="s">
        <v>70</v>
      </c>
      <c r="Z694" t="s">
        <v>60</v>
      </c>
      <c r="AA694">
        <v>0</v>
      </c>
      <c r="AB694" s="2">
        <v>0</v>
      </c>
      <c r="AC694" s="2">
        <v>0</v>
      </c>
      <c r="AD694" s="4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-12</v>
      </c>
      <c r="AN694" s="2">
        <v>-12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45915</v>
      </c>
      <c r="B695" t="s">
        <v>47</v>
      </c>
      <c r="C695">
        <v>649163</v>
      </c>
      <c r="D695">
        <v>2028958357</v>
      </c>
      <c r="E695" t="s">
        <v>777</v>
      </c>
      <c r="F695" t="s">
        <v>349</v>
      </c>
      <c r="G695" t="s">
        <v>50</v>
      </c>
      <c r="H695" t="s">
        <v>93</v>
      </c>
      <c r="I695" t="s">
        <v>441</v>
      </c>
      <c r="J695" t="s">
        <v>445</v>
      </c>
      <c r="K695">
        <v>673059</v>
      </c>
      <c r="L695" t="s">
        <v>152</v>
      </c>
      <c r="M695" t="s">
        <v>153</v>
      </c>
      <c r="N695" t="s">
        <v>1078</v>
      </c>
      <c r="O695" t="s">
        <v>56</v>
      </c>
      <c r="P695" s="1">
        <v>45793</v>
      </c>
      <c r="Q695" s="1">
        <v>45946</v>
      </c>
      <c r="R695" s="2">
        <v>118.33</v>
      </c>
      <c r="S695">
        <v>1</v>
      </c>
      <c r="T695" t="s">
        <v>57</v>
      </c>
      <c r="U695" t="s">
        <v>58</v>
      </c>
      <c r="V695" s="4">
        <v>0.7</v>
      </c>
      <c r="W695" s="2">
        <v>0</v>
      </c>
      <c r="X695">
        <v>0</v>
      </c>
      <c r="Y695" t="s">
        <v>70</v>
      </c>
      <c r="Z695" t="s">
        <v>60</v>
      </c>
      <c r="AA695">
        <v>0</v>
      </c>
      <c r="AB695" s="2">
        <v>0</v>
      </c>
      <c r="AC695" s="2">
        <v>0</v>
      </c>
      <c r="AD695" s="4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82.83</v>
      </c>
      <c r="AN695" s="2">
        <v>82.83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45915</v>
      </c>
      <c r="B696" t="s">
        <v>47</v>
      </c>
      <c r="C696">
        <v>649163</v>
      </c>
      <c r="D696">
        <v>2029185272</v>
      </c>
      <c r="E696" t="s">
        <v>940</v>
      </c>
      <c r="F696" t="s">
        <v>939</v>
      </c>
      <c r="G696" t="s">
        <v>50</v>
      </c>
      <c r="H696" t="s">
        <v>402</v>
      </c>
      <c r="I696" t="s">
        <v>441</v>
      </c>
      <c r="J696" t="s">
        <v>445</v>
      </c>
      <c r="K696">
        <v>673059</v>
      </c>
      <c r="L696" t="s">
        <v>152</v>
      </c>
      <c r="M696" t="s">
        <v>153</v>
      </c>
      <c r="N696" t="s">
        <v>1078</v>
      </c>
      <c r="O696" t="s">
        <v>56</v>
      </c>
      <c r="P696" s="1">
        <v>45825</v>
      </c>
      <c r="Q696" s="1">
        <v>45947</v>
      </c>
      <c r="R696" s="2">
        <v>10.82</v>
      </c>
      <c r="S696">
        <v>1</v>
      </c>
      <c r="T696" t="s">
        <v>57</v>
      </c>
      <c r="U696" t="s">
        <v>58</v>
      </c>
      <c r="V696" s="4">
        <v>0.7</v>
      </c>
      <c r="W696" s="2">
        <v>0</v>
      </c>
      <c r="X696">
        <v>0</v>
      </c>
      <c r="Y696" t="s">
        <v>70</v>
      </c>
      <c r="Z696" t="s">
        <v>60</v>
      </c>
      <c r="AA696">
        <v>0</v>
      </c>
      <c r="AB696" s="2">
        <v>0</v>
      </c>
      <c r="AC696" s="2">
        <v>0</v>
      </c>
      <c r="AD696" s="4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7.57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45915</v>
      </c>
      <c r="B697" t="s">
        <v>47</v>
      </c>
      <c r="C697">
        <v>649163</v>
      </c>
      <c r="D697">
        <v>2029292529</v>
      </c>
      <c r="E697" t="s">
        <v>938</v>
      </c>
      <c r="F697" t="s">
        <v>937</v>
      </c>
      <c r="G697" t="s">
        <v>50</v>
      </c>
      <c r="H697" t="s">
        <v>512</v>
      </c>
      <c r="I697" t="s">
        <v>441</v>
      </c>
      <c r="J697" t="s">
        <v>445</v>
      </c>
      <c r="K697">
        <v>673059</v>
      </c>
      <c r="L697" t="s">
        <v>152</v>
      </c>
      <c r="M697" t="s">
        <v>153</v>
      </c>
      <c r="N697" t="s">
        <v>1078</v>
      </c>
      <c r="O697" t="s">
        <v>56</v>
      </c>
      <c r="P697" s="1">
        <v>45821</v>
      </c>
      <c r="Q697" s="1">
        <v>45943</v>
      </c>
      <c r="R697" s="2">
        <v>94.38</v>
      </c>
      <c r="S697">
        <v>1</v>
      </c>
      <c r="T697" t="s">
        <v>57</v>
      </c>
      <c r="U697" t="s">
        <v>58</v>
      </c>
      <c r="V697" s="4">
        <v>0.7</v>
      </c>
      <c r="W697" s="2">
        <v>0</v>
      </c>
      <c r="X697">
        <v>0</v>
      </c>
      <c r="Y697" t="s">
        <v>70</v>
      </c>
      <c r="Z697" t="s">
        <v>60</v>
      </c>
      <c r="AA697">
        <v>0</v>
      </c>
      <c r="AB697" s="2">
        <v>0</v>
      </c>
      <c r="AC697" s="2">
        <v>0</v>
      </c>
      <c r="AD697" s="4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66.069999999999993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45915</v>
      </c>
      <c r="B698" t="s">
        <v>47</v>
      </c>
      <c r="C698">
        <v>649163</v>
      </c>
      <c r="D698">
        <v>2029894139</v>
      </c>
      <c r="E698" t="s">
        <v>923</v>
      </c>
      <c r="F698" t="s">
        <v>74</v>
      </c>
      <c r="G698" t="s">
        <v>50</v>
      </c>
      <c r="H698" t="s">
        <v>157</v>
      </c>
      <c r="I698" t="s">
        <v>441</v>
      </c>
      <c r="J698" t="s">
        <v>445</v>
      </c>
      <c r="K698">
        <v>673059</v>
      </c>
      <c r="L698" t="s">
        <v>152</v>
      </c>
      <c r="M698" t="s">
        <v>153</v>
      </c>
      <c r="N698" t="s">
        <v>1078</v>
      </c>
      <c r="O698" t="s">
        <v>56</v>
      </c>
      <c r="P698" s="1">
        <v>45852</v>
      </c>
      <c r="Q698" s="1">
        <v>45944</v>
      </c>
      <c r="R698" s="2">
        <v>198.4</v>
      </c>
      <c r="S698">
        <v>1</v>
      </c>
      <c r="T698" t="s">
        <v>57</v>
      </c>
      <c r="U698" t="s">
        <v>58</v>
      </c>
      <c r="V698" s="4">
        <v>0.7</v>
      </c>
      <c r="W698" s="2">
        <v>0</v>
      </c>
      <c r="X698">
        <v>0</v>
      </c>
      <c r="Y698" t="s">
        <v>70</v>
      </c>
      <c r="Z698" t="s">
        <v>60</v>
      </c>
      <c r="AA698">
        <v>0</v>
      </c>
      <c r="AB698" s="2">
        <v>0</v>
      </c>
      <c r="AC698" s="2">
        <v>0</v>
      </c>
      <c r="AD698" s="4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138.88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45915</v>
      </c>
      <c r="B699" t="s">
        <v>47</v>
      </c>
      <c r="D699">
        <v>2029894140</v>
      </c>
      <c r="E699" t="s">
        <v>923</v>
      </c>
      <c r="F699" t="s">
        <v>74</v>
      </c>
      <c r="G699" t="s">
        <v>50</v>
      </c>
      <c r="H699" t="s">
        <v>157</v>
      </c>
      <c r="I699" t="s">
        <v>441</v>
      </c>
      <c r="J699" t="s">
        <v>545</v>
      </c>
      <c r="L699" t="s">
        <v>152</v>
      </c>
      <c r="M699" t="s">
        <v>153</v>
      </c>
      <c r="N699" t="s">
        <v>1078</v>
      </c>
      <c r="O699" t="s">
        <v>56</v>
      </c>
      <c r="P699" s="1">
        <v>45852</v>
      </c>
      <c r="Q699" s="1">
        <v>45944</v>
      </c>
      <c r="R699" s="2">
        <v>23.39</v>
      </c>
      <c r="S699">
        <v>1</v>
      </c>
      <c r="T699" t="s">
        <v>57</v>
      </c>
      <c r="U699" t="s">
        <v>58</v>
      </c>
      <c r="V699" s="4">
        <v>0.7</v>
      </c>
      <c r="W699" s="2">
        <v>0</v>
      </c>
      <c r="X699">
        <v>0</v>
      </c>
      <c r="Y699" t="s">
        <v>70</v>
      </c>
      <c r="Z699" t="s">
        <v>60</v>
      </c>
      <c r="AA699">
        <v>0</v>
      </c>
      <c r="AB699" s="2">
        <v>0</v>
      </c>
      <c r="AC699" s="2">
        <v>0</v>
      </c>
      <c r="AD699" s="4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16.37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45915</v>
      </c>
      <c r="B700" t="s">
        <v>47</v>
      </c>
      <c r="C700">
        <v>649163</v>
      </c>
      <c r="D700">
        <v>2029951220</v>
      </c>
      <c r="E700" t="s">
        <v>919</v>
      </c>
      <c r="F700" t="s">
        <v>918</v>
      </c>
      <c r="G700" t="s">
        <v>50</v>
      </c>
      <c r="H700" t="s">
        <v>512</v>
      </c>
      <c r="I700" t="s">
        <v>441</v>
      </c>
      <c r="J700" t="s">
        <v>445</v>
      </c>
      <c r="K700">
        <v>673059</v>
      </c>
      <c r="L700" t="s">
        <v>152</v>
      </c>
      <c r="M700" t="s">
        <v>153</v>
      </c>
      <c r="N700" t="s">
        <v>1078</v>
      </c>
      <c r="O700" t="s">
        <v>56</v>
      </c>
      <c r="P700" s="1">
        <v>45853</v>
      </c>
      <c r="Q700" s="1">
        <v>45945</v>
      </c>
      <c r="R700" s="2">
        <v>125.48</v>
      </c>
      <c r="S700">
        <v>1</v>
      </c>
      <c r="T700" t="s">
        <v>57</v>
      </c>
      <c r="U700" t="s">
        <v>58</v>
      </c>
      <c r="V700" s="4">
        <v>0.7</v>
      </c>
      <c r="W700" s="2">
        <v>0</v>
      </c>
      <c r="X700">
        <v>0</v>
      </c>
      <c r="Y700" t="s">
        <v>70</v>
      </c>
      <c r="Z700" t="s">
        <v>60</v>
      </c>
      <c r="AA700">
        <v>0</v>
      </c>
      <c r="AB700" s="2">
        <v>0</v>
      </c>
      <c r="AC700" s="2">
        <v>0</v>
      </c>
      <c r="AD700" s="4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87.84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45915</v>
      </c>
      <c r="B701" t="s">
        <v>47</v>
      </c>
      <c r="C701">
        <v>649163</v>
      </c>
      <c r="D701">
        <v>2030008353</v>
      </c>
      <c r="E701" t="s">
        <v>905</v>
      </c>
      <c r="F701" t="s">
        <v>554</v>
      </c>
      <c r="G701" t="s">
        <v>50</v>
      </c>
      <c r="H701" t="s">
        <v>188</v>
      </c>
      <c r="I701" t="s">
        <v>441</v>
      </c>
      <c r="J701" t="s">
        <v>445</v>
      </c>
      <c r="K701">
        <v>673059</v>
      </c>
      <c r="L701" t="s">
        <v>152</v>
      </c>
      <c r="M701" t="s">
        <v>153</v>
      </c>
      <c r="N701" t="s">
        <v>1078</v>
      </c>
      <c r="O701" t="s">
        <v>56</v>
      </c>
      <c r="P701" s="1">
        <v>45856</v>
      </c>
      <c r="Q701" s="1">
        <v>45948</v>
      </c>
      <c r="R701" s="2">
        <v>31.28</v>
      </c>
      <c r="S701">
        <v>1</v>
      </c>
      <c r="T701" t="s">
        <v>57</v>
      </c>
      <c r="U701" t="s">
        <v>58</v>
      </c>
      <c r="V701" s="4">
        <v>0.7</v>
      </c>
      <c r="W701" s="2">
        <v>0</v>
      </c>
      <c r="X701">
        <v>0</v>
      </c>
      <c r="Y701" t="s">
        <v>70</v>
      </c>
      <c r="Z701" t="s">
        <v>60</v>
      </c>
      <c r="AA701">
        <v>0</v>
      </c>
      <c r="AB701" s="2">
        <v>0</v>
      </c>
      <c r="AC701" s="2">
        <v>0</v>
      </c>
      <c r="AD701" s="4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21.9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45915</v>
      </c>
      <c r="B702" t="s">
        <v>47</v>
      </c>
      <c r="C702">
        <v>649163</v>
      </c>
      <c r="D702">
        <v>2027573959</v>
      </c>
      <c r="E702" t="s">
        <v>881</v>
      </c>
      <c r="F702" t="s">
        <v>616</v>
      </c>
      <c r="G702" t="s">
        <v>50</v>
      </c>
      <c r="H702" t="s">
        <v>157</v>
      </c>
      <c r="I702" t="s">
        <v>306</v>
      </c>
      <c r="J702" t="s">
        <v>307</v>
      </c>
      <c r="K702">
        <v>673059</v>
      </c>
      <c r="L702" t="s">
        <v>152</v>
      </c>
      <c r="M702" t="s">
        <v>153</v>
      </c>
      <c r="N702" t="s">
        <v>1078</v>
      </c>
      <c r="O702" t="s">
        <v>56</v>
      </c>
      <c r="P702" s="1">
        <v>45757</v>
      </c>
      <c r="Q702" s="1">
        <v>45940</v>
      </c>
      <c r="R702" s="2">
        <v>23.34</v>
      </c>
      <c r="S702">
        <v>1</v>
      </c>
      <c r="T702" t="s">
        <v>57</v>
      </c>
      <c r="U702" t="s">
        <v>58</v>
      </c>
      <c r="V702" s="3">
        <v>0.375</v>
      </c>
      <c r="W702" s="2">
        <v>0</v>
      </c>
      <c r="X702">
        <v>0</v>
      </c>
      <c r="Y702" t="s">
        <v>70</v>
      </c>
      <c r="Z702" t="s">
        <v>60</v>
      </c>
      <c r="AA702">
        <v>0</v>
      </c>
      <c r="AB702" s="2">
        <v>0</v>
      </c>
      <c r="AC702" s="2">
        <v>0</v>
      </c>
      <c r="AD702" s="4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8.75</v>
      </c>
      <c r="AN702" s="2">
        <v>8.75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45915</v>
      </c>
      <c r="B703" t="s">
        <v>47</v>
      </c>
      <c r="C703">
        <v>649163</v>
      </c>
      <c r="D703">
        <v>2027854741</v>
      </c>
      <c r="E703" t="s">
        <v>782</v>
      </c>
      <c r="F703" t="s">
        <v>781</v>
      </c>
      <c r="G703" t="s">
        <v>50</v>
      </c>
      <c r="H703" t="s">
        <v>77</v>
      </c>
      <c r="I703" t="s">
        <v>306</v>
      </c>
      <c r="J703" t="s">
        <v>307</v>
      </c>
      <c r="K703">
        <v>673059</v>
      </c>
      <c r="L703" t="s">
        <v>152</v>
      </c>
      <c r="M703" t="s">
        <v>153</v>
      </c>
      <c r="N703" t="s">
        <v>1078</v>
      </c>
      <c r="O703" t="s">
        <v>56</v>
      </c>
      <c r="P703" s="1">
        <v>45734</v>
      </c>
      <c r="Q703" s="1">
        <v>45948</v>
      </c>
      <c r="R703" s="2">
        <v>24.7</v>
      </c>
      <c r="S703">
        <v>1</v>
      </c>
      <c r="T703" t="s">
        <v>57</v>
      </c>
      <c r="U703" t="s">
        <v>58</v>
      </c>
      <c r="V703" s="3">
        <v>0.375</v>
      </c>
      <c r="W703" s="2">
        <v>0</v>
      </c>
      <c r="X703">
        <v>0</v>
      </c>
      <c r="Y703" t="s">
        <v>70</v>
      </c>
      <c r="Z703" t="s">
        <v>60</v>
      </c>
      <c r="AA703">
        <v>0</v>
      </c>
      <c r="AB703" s="2">
        <v>0</v>
      </c>
      <c r="AC703" s="2">
        <v>0</v>
      </c>
      <c r="AD703" s="4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9.26</v>
      </c>
      <c r="AN703" s="2">
        <v>9.26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45915</v>
      </c>
      <c r="B704" t="s">
        <v>47</v>
      </c>
      <c r="C704">
        <v>649163</v>
      </c>
      <c r="D704">
        <v>2027869113</v>
      </c>
      <c r="E704" t="s">
        <v>878</v>
      </c>
      <c r="F704" t="s">
        <v>877</v>
      </c>
      <c r="G704" t="s">
        <v>50</v>
      </c>
      <c r="H704" t="s">
        <v>266</v>
      </c>
      <c r="I704" t="s">
        <v>306</v>
      </c>
      <c r="J704" t="s">
        <v>307</v>
      </c>
      <c r="K704">
        <v>673059</v>
      </c>
      <c r="L704" t="s">
        <v>152</v>
      </c>
      <c r="M704" t="s">
        <v>153</v>
      </c>
      <c r="N704" t="s">
        <v>1078</v>
      </c>
      <c r="O704" t="s">
        <v>56</v>
      </c>
      <c r="P704" s="1">
        <v>45734</v>
      </c>
      <c r="Q704" s="1">
        <v>45948</v>
      </c>
      <c r="R704" s="2">
        <v>45.77</v>
      </c>
      <c r="S704">
        <v>1</v>
      </c>
      <c r="T704" t="s">
        <v>57</v>
      </c>
      <c r="U704" t="s">
        <v>58</v>
      </c>
      <c r="V704" s="3">
        <v>0.375</v>
      </c>
      <c r="W704" s="2">
        <v>0</v>
      </c>
      <c r="X704">
        <v>0</v>
      </c>
      <c r="Y704" t="s">
        <v>70</v>
      </c>
      <c r="Z704" t="s">
        <v>60</v>
      </c>
      <c r="AA704">
        <v>0</v>
      </c>
      <c r="AB704" s="2">
        <v>0</v>
      </c>
      <c r="AC704" s="2">
        <v>0</v>
      </c>
      <c r="AD704" s="4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17.16</v>
      </c>
      <c r="AN704" s="2">
        <v>17.16</v>
      </c>
      <c r="AO704" s="2">
        <v>0</v>
      </c>
      <c r="AP704" s="2">
        <v>0</v>
      </c>
      <c r="AQ704" s="2">
        <v>0</v>
      </c>
    </row>
    <row r="705" spans="1:44" x14ac:dyDescent="0.25">
      <c r="A705" s="1">
        <v>45915</v>
      </c>
      <c r="B705" t="s">
        <v>47</v>
      </c>
      <c r="C705">
        <v>649163</v>
      </c>
      <c r="D705">
        <v>2028338807</v>
      </c>
      <c r="E705" t="s">
        <v>872</v>
      </c>
      <c r="F705" t="s">
        <v>349</v>
      </c>
      <c r="G705" t="s">
        <v>50</v>
      </c>
      <c r="H705" t="s">
        <v>402</v>
      </c>
      <c r="I705" t="s">
        <v>306</v>
      </c>
      <c r="J705" t="s">
        <v>307</v>
      </c>
      <c r="K705">
        <v>673059</v>
      </c>
      <c r="L705" t="s">
        <v>152</v>
      </c>
      <c r="M705" t="s">
        <v>153</v>
      </c>
      <c r="N705" t="s">
        <v>1078</v>
      </c>
      <c r="O705" t="s">
        <v>56</v>
      </c>
      <c r="P705" s="1">
        <v>45778</v>
      </c>
      <c r="Q705" s="1">
        <v>45931</v>
      </c>
      <c r="R705" s="2">
        <v>60.67</v>
      </c>
      <c r="S705">
        <v>1</v>
      </c>
      <c r="T705" t="s">
        <v>57</v>
      </c>
      <c r="U705" t="s">
        <v>58</v>
      </c>
      <c r="V705" s="3">
        <v>0.375</v>
      </c>
      <c r="W705" s="2">
        <v>0</v>
      </c>
      <c r="X705">
        <v>0</v>
      </c>
      <c r="Y705" t="s">
        <v>70</v>
      </c>
      <c r="Z705" t="s">
        <v>60</v>
      </c>
      <c r="AA705">
        <v>0</v>
      </c>
      <c r="AB705" s="2">
        <v>0</v>
      </c>
      <c r="AC705" s="2">
        <v>0</v>
      </c>
      <c r="AD705" s="4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22.75</v>
      </c>
      <c r="AN705" s="2">
        <v>22.75</v>
      </c>
      <c r="AO705" s="2">
        <v>0</v>
      </c>
      <c r="AP705" s="2">
        <v>0</v>
      </c>
      <c r="AQ705" s="2">
        <v>0</v>
      </c>
    </row>
    <row r="706" spans="1:44" x14ac:dyDescent="0.25">
      <c r="A706" s="1">
        <v>45915</v>
      </c>
      <c r="B706" t="s">
        <v>47</v>
      </c>
      <c r="C706">
        <v>649163</v>
      </c>
      <c r="D706">
        <v>2028937320</v>
      </c>
      <c r="E706" t="s">
        <v>856</v>
      </c>
      <c r="F706" t="s">
        <v>394</v>
      </c>
      <c r="G706" t="s">
        <v>50</v>
      </c>
      <c r="H706" t="s">
        <v>151</v>
      </c>
      <c r="I706" t="s">
        <v>306</v>
      </c>
      <c r="J706" t="s">
        <v>307</v>
      </c>
      <c r="K706">
        <v>673059</v>
      </c>
      <c r="L706" t="s">
        <v>152</v>
      </c>
      <c r="M706" t="s">
        <v>153</v>
      </c>
      <c r="N706" t="s">
        <v>1078</v>
      </c>
      <c r="O706" t="s">
        <v>230</v>
      </c>
      <c r="P706" s="1">
        <v>45839</v>
      </c>
      <c r="Q706" s="1">
        <v>45931</v>
      </c>
      <c r="R706" s="2">
        <v>-55.93</v>
      </c>
      <c r="S706">
        <v>1</v>
      </c>
      <c r="T706" t="s">
        <v>57</v>
      </c>
      <c r="U706" t="s">
        <v>58</v>
      </c>
      <c r="V706" s="3">
        <v>0.375</v>
      </c>
      <c r="W706" s="2">
        <v>0</v>
      </c>
      <c r="X706">
        <v>-1</v>
      </c>
      <c r="Y706" t="s">
        <v>70</v>
      </c>
      <c r="Z706" t="s">
        <v>60</v>
      </c>
      <c r="AA706">
        <v>0</v>
      </c>
      <c r="AB706" s="2">
        <v>0</v>
      </c>
      <c r="AC706" s="2">
        <v>0</v>
      </c>
      <c r="AD706" s="4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-20.97</v>
      </c>
      <c r="AN706" s="2">
        <v>-20.97</v>
      </c>
      <c r="AO706" s="2">
        <v>0</v>
      </c>
      <c r="AP706" s="2">
        <v>0</v>
      </c>
      <c r="AQ706" s="2">
        <v>0</v>
      </c>
    </row>
    <row r="707" spans="1:44" x14ac:dyDescent="0.25">
      <c r="A707" s="1">
        <v>45915</v>
      </c>
      <c r="B707" t="s">
        <v>47</v>
      </c>
      <c r="C707">
        <v>649163</v>
      </c>
      <c r="D707">
        <v>2025850685</v>
      </c>
      <c r="E707" t="s">
        <v>556</v>
      </c>
      <c r="F707" t="s">
        <v>791</v>
      </c>
      <c r="G707" t="s">
        <v>50</v>
      </c>
      <c r="H707" t="s">
        <v>193</v>
      </c>
      <c r="I707" t="s">
        <v>430</v>
      </c>
      <c r="J707" t="s">
        <v>78</v>
      </c>
      <c r="K707">
        <v>673059</v>
      </c>
      <c r="L707" t="s">
        <v>152</v>
      </c>
      <c r="M707" t="s">
        <v>153</v>
      </c>
      <c r="N707" t="s">
        <v>1078</v>
      </c>
      <c r="O707" t="s">
        <v>56</v>
      </c>
      <c r="P707" s="1">
        <v>45658</v>
      </c>
      <c r="Q707" s="1">
        <v>45931</v>
      </c>
      <c r="R707" s="2">
        <v>105.84</v>
      </c>
      <c r="S707">
        <v>1</v>
      </c>
      <c r="T707" t="s">
        <v>57</v>
      </c>
      <c r="U707" t="s">
        <v>58</v>
      </c>
      <c r="V707" s="4">
        <v>0.6</v>
      </c>
      <c r="W707" s="2">
        <v>0</v>
      </c>
      <c r="X707">
        <v>0</v>
      </c>
      <c r="Y707" t="s">
        <v>70</v>
      </c>
      <c r="Z707" t="s">
        <v>60</v>
      </c>
      <c r="AA707">
        <v>0</v>
      </c>
      <c r="AB707" s="2">
        <v>0</v>
      </c>
      <c r="AC707" s="2">
        <v>0</v>
      </c>
      <c r="AD707" s="4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63.5</v>
      </c>
      <c r="AN707" s="2">
        <v>63.5</v>
      </c>
      <c r="AO707" s="2">
        <v>0</v>
      </c>
      <c r="AP707" s="2">
        <v>0</v>
      </c>
      <c r="AQ707" s="2">
        <v>0</v>
      </c>
    </row>
    <row r="708" spans="1:44" x14ac:dyDescent="0.25">
      <c r="A708" s="1">
        <v>45915</v>
      </c>
      <c r="B708" t="s">
        <v>47</v>
      </c>
      <c r="C708">
        <v>649163</v>
      </c>
      <c r="D708">
        <v>2027854738</v>
      </c>
      <c r="E708" t="s">
        <v>782</v>
      </c>
      <c r="F708" t="s">
        <v>781</v>
      </c>
      <c r="G708" t="s">
        <v>50</v>
      </c>
      <c r="H708" t="s">
        <v>77</v>
      </c>
      <c r="I708" t="s">
        <v>430</v>
      </c>
      <c r="J708" t="s">
        <v>438</v>
      </c>
      <c r="K708">
        <v>673059</v>
      </c>
      <c r="L708" t="s">
        <v>152</v>
      </c>
      <c r="M708" t="s">
        <v>153</v>
      </c>
      <c r="N708" t="s">
        <v>1078</v>
      </c>
      <c r="O708" t="s">
        <v>56</v>
      </c>
      <c r="P708" s="1">
        <v>45734</v>
      </c>
      <c r="Q708" s="1">
        <v>45948</v>
      </c>
      <c r="R708" s="2">
        <v>217.56</v>
      </c>
      <c r="S708">
        <v>1</v>
      </c>
      <c r="T708" t="s">
        <v>57</v>
      </c>
      <c r="U708" t="s">
        <v>58</v>
      </c>
      <c r="V708" s="4">
        <v>0.38</v>
      </c>
      <c r="W708" s="2">
        <v>0</v>
      </c>
      <c r="X708">
        <v>0</v>
      </c>
      <c r="Y708" t="s">
        <v>70</v>
      </c>
      <c r="Z708" t="s">
        <v>60</v>
      </c>
      <c r="AA708">
        <v>0</v>
      </c>
      <c r="AB708" s="2">
        <v>0</v>
      </c>
      <c r="AC708" s="2">
        <v>0</v>
      </c>
      <c r="AD708" s="4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82.67</v>
      </c>
      <c r="AN708" s="2">
        <v>82.67</v>
      </c>
      <c r="AO708" s="2">
        <v>0</v>
      </c>
      <c r="AP708" s="2">
        <v>0</v>
      </c>
      <c r="AQ708" s="2">
        <v>0</v>
      </c>
    </row>
    <row r="709" spans="1:44" x14ac:dyDescent="0.25">
      <c r="A709" s="1">
        <v>45915</v>
      </c>
      <c r="B709" t="s">
        <v>47</v>
      </c>
      <c r="C709">
        <v>649163</v>
      </c>
      <c r="D709">
        <v>2027854739</v>
      </c>
      <c r="E709" t="s">
        <v>782</v>
      </c>
      <c r="F709" t="s">
        <v>781</v>
      </c>
      <c r="G709" t="s">
        <v>50</v>
      </c>
      <c r="H709" t="s">
        <v>77</v>
      </c>
      <c r="I709" t="s">
        <v>430</v>
      </c>
      <c r="J709" t="s">
        <v>78</v>
      </c>
      <c r="K709">
        <v>673059</v>
      </c>
      <c r="L709" t="s">
        <v>152</v>
      </c>
      <c r="M709" t="s">
        <v>153</v>
      </c>
      <c r="N709" t="s">
        <v>1078</v>
      </c>
      <c r="O709" t="s">
        <v>56</v>
      </c>
      <c r="P709" s="1">
        <v>45734</v>
      </c>
      <c r="Q709" s="1">
        <v>45948</v>
      </c>
      <c r="R709" s="2">
        <v>109.84</v>
      </c>
      <c r="S709">
        <v>1</v>
      </c>
      <c r="T709" t="s">
        <v>57</v>
      </c>
      <c r="U709" t="s">
        <v>58</v>
      </c>
      <c r="V709" s="4">
        <v>0.6</v>
      </c>
      <c r="W709" s="2">
        <v>0</v>
      </c>
      <c r="X709">
        <v>0</v>
      </c>
      <c r="Y709" t="s">
        <v>70</v>
      </c>
      <c r="Z709" t="s">
        <v>60</v>
      </c>
      <c r="AA709">
        <v>0</v>
      </c>
      <c r="AB709" s="2">
        <v>0</v>
      </c>
      <c r="AC709" s="2">
        <v>0</v>
      </c>
      <c r="AD709" s="4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65.900000000000006</v>
      </c>
      <c r="AN709" s="2">
        <v>65.900000000000006</v>
      </c>
      <c r="AO709" s="2">
        <v>0</v>
      </c>
      <c r="AP709" s="2">
        <v>0</v>
      </c>
      <c r="AQ709" s="2">
        <v>0</v>
      </c>
    </row>
    <row r="710" spans="1:44" x14ac:dyDescent="0.25">
      <c r="A710" s="1">
        <v>45915</v>
      </c>
      <c r="B710" t="s">
        <v>47</v>
      </c>
      <c r="C710">
        <v>649163</v>
      </c>
      <c r="D710">
        <v>2028958356</v>
      </c>
      <c r="E710" t="s">
        <v>777</v>
      </c>
      <c r="F710" t="s">
        <v>349</v>
      </c>
      <c r="G710" t="s">
        <v>50</v>
      </c>
      <c r="H710" t="s">
        <v>93</v>
      </c>
      <c r="I710" t="s">
        <v>430</v>
      </c>
      <c r="J710" t="s">
        <v>440</v>
      </c>
      <c r="K710">
        <v>673059</v>
      </c>
      <c r="L710" t="s">
        <v>152</v>
      </c>
      <c r="M710" t="s">
        <v>153</v>
      </c>
      <c r="N710" t="s">
        <v>1078</v>
      </c>
      <c r="O710" t="s">
        <v>56</v>
      </c>
      <c r="P710" s="1">
        <v>45793</v>
      </c>
      <c r="Q710" s="1">
        <v>45946</v>
      </c>
      <c r="R710" s="2">
        <v>100.48</v>
      </c>
      <c r="S710">
        <v>1</v>
      </c>
      <c r="T710" t="s">
        <v>57</v>
      </c>
      <c r="U710" t="s">
        <v>58</v>
      </c>
      <c r="V710" s="4">
        <v>0.19</v>
      </c>
      <c r="W710" s="2">
        <v>0</v>
      </c>
      <c r="X710">
        <v>0</v>
      </c>
      <c r="Y710" t="s">
        <v>70</v>
      </c>
      <c r="Z710" t="s">
        <v>60</v>
      </c>
      <c r="AA710">
        <v>0</v>
      </c>
      <c r="AB710" s="2">
        <v>0</v>
      </c>
      <c r="AC710" s="2">
        <v>0</v>
      </c>
      <c r="AD710" s="4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19.09</v>
      </c>
      <c r="AN710" s="2">
        <v>19.09</v>
      </c>
      <c r="AO710" s="2">
        <v>0</v>
      </c>
      <c r="AP710" s="2">
        <v>0</v>
      </c>
      <c r="AQ710" s="2">
        <v>0</v>
      </c>
    </row>
    <row r="711" spans="1:44" x14ac:dyDescent="0.25">
      <c r="A711" s="1">
        <v>45915</v>
      </c>
      <c r="B711" t="s">
        <v>47</v>
      </c>
      <c r="C711">
        <v>649163</v>
      </c>
      <c r="D711">
        <v>2019768187</v>
      </c>
      <c r="E711" t="s">
        <v>749</v>
      </c>
      <c r="F711" t="s">
        <v>368</v>
      </c>
      <c r="G711" t="s">
        <v>50</v>
      </c>
      <c r="H711" t="s">
        <v>134</v>
      </c>
      <c r="I711" t="s">
        <v>441</v>
      </c>
      <c r="J711" t="s">
        <v>445</v>
      </c>
      <c r="K711">
        <v>673059</v>
      </c>
      <c r="L711" t="s">
        <v>152</v>
      </c>
      <c r="M711" t="s">
        <v>153</v>
      </c>
      <c r="N711" t="s">
        <v>1078</v>
      </c>
      <c r="O711" t="s">
        <v>56</v>
      </c>
      <c r="P711" s="1">
        <v>45157</v>
      </c>
      <c r="Q711" s="1">
        <v>45949</v>
      </c>
      <c r="R711" s="2">
        <v>84.88</v>
      </c>
      <c r="S711">
        <v>1</v>
      </c>
      <c r="T711" t="s">
        <v>57</v>
      </c>
      <c r="U711" t="s">
        <v>58</v>
      </c>
      <c r="V711" s="4">
        <v>0.15</v>
      </c>
      <c r="W711" s="2">
        <v>0</v>
      </c>
      <c r="X711">
        <v>0</v>
      </c>
      <c r="Y711" t="s">
        <v>59</v>
      </c>
      <c r="Z711" t="s">
        <v>60</v>
      </c>
      <c r="AA711">
        <v>0</v>
      </c>
      <c r="AB711" s="2">
        <v>0</v>
      </c>
      <c r="AC711" s="2">
        <v>0</v>
      </c>
      <c r="AD711" s="4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12.73</v>
      </c>
      <c r="AN711" s="2">
        <v>12.73</v>
      </c>
      <c r="AO711" s="2">
        <v>0</v>
      </c>
      <c r="AP711" s="2">
        <v>0</v>
      </c>
      <c r="AQ711" s="2">
        <v>0</v>
      </c>
    </row>
    <row r="712" spans="1:44" x14ac:dyDescent="0.25">
      <c r="A712" s="1">
        <v>45915</v>
      </c>
      <c r="B712" t="s">
        <v>47</v>
      </c>
      <c r="D712">
        <v>2019768188</v>
      </c>
      <c r="E712" t="s">
        <v>749</v>
      </c>
      <c r="F712" t="s">
        <v>368</v>
      </c>
      <c r="G712" t="s">
        <v>50</v>
      </c>
      <c r="H712" t="s">
        <v>134</v>
      </c>
      <c r="I712" t="s">
        <v>441</v>
      </c>
      <c r="J712" t="s">
        <v>545</v>
      </c>
      <c r="L712" t="s">
        <v>152</v>
      </c>
      <c r="M712" t="s">
        <v>153</v>
      </c>
      <c r="N712" t="s">
        <v>1078</v>
      </c>
      <c r="O712" t="s">
        <v>56</v>
      </c>
      <c r="P712" s="1">
        <v>45157</v>
      </c>
      <c r="Q712" s="1">
        <v>45949</v>
      </c>
      <c r="R712" s="2">
        <v>10.54</v>
      </c>
      <c r="S712">
        <v>1</v>
      </c>
      <c r="T712" t="s">
        <v>57</v>
      </c>
      <c r="U712" t="s">
        <v>58</v>
      </c>
      <c r="V712" s="4">
        <v>0.15</v>
      </c>
      <c r="W712" s="2">
        <v>0</v>
      </c>
      <c r="X712">
        <v>0</v>
      </c>
      <c r="Y712" t="s">
        <v>59</v>
      </c>
      <c r="Z712" t="s">
        <v>60</v>
      </c>
      <c r="AA712">
        <v>0</v>
      </c>
      <c r="AB712" s="2">
        <v>0</v>
      </c>
      <c r="AC712" s="2">
        <v>0</v>
      </c>
      <c r="AD712" s="4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1.58</v>
      </c>
      <c r="AN712" s="2">
        <v>1.58</v>
      </c>
      <c r="AO712" s="2">
        <v>0</v>
      </c>
      <c r="AP712" s="2">
        <v>0</v>
      </c>
      <c r="AQ712" s="2">
        <v>0</v>
      </c>
    </row>
    <row r="713" spans="1:44" x14ac:dyDescent="0.25">
      <c r="A713" s="1">
        <v>45915</v>
      </c>
      <c r="B713" t="s">
        <v>47</v>
      </c>
      <c r="C713">
        <v>649163</v>
      </c>
      <c r="D713">
        <v>2022254780</v>
      </c>
      <c r="E713" t="s">
        <v>740</v>
      </c>
      <c r="F713" t="s">
        <v>145</v>
      </c>
      <c r="G713" t="s">
        <v>50</v>
      </c>
      <c r="H713" t="s">
        <v>151</v>
      </c>
      <c r="I713" t="s">
        <v>441</v>
      </c>
      <c r="J713" t="s">
        <v>445</v>
      </c>
      <c r="K713">
        <v>673059</v>
      </c>
      <c r="L713" t="s">
        <v>152</v>
      </c>
      <c r="M713" t="s">
        <v>153</v>
      </c>
      <c r="N713" t="s">
        <v>1078</v>
      </c>
      <c r="O713" t="s">
        <v>56</v>
      </c>
      <c r="P713" s="1">
        <v>45364</v>
      </c>
      <c r="Q713" s="1">
        <v>45943</v>
      </c>
      <c r="R713" s="2">
        <v>54.66</v>
      </c>
      <c r="S713">
        <v>1</v>
      </c>
      <c r="T713" t="s">
        <v>57</v>
      </c>
      <c r="U713" t="s">
        <v>58</v>
      </c>
      <c r="V713" s="4">
        <v>0.15</v>
      </c>
      <c r="W713" s="2">
        <v>0</v>
      </c>
      <c r="X713">
        <v>0</v>
      </c>
      <c r="Y713" t="s">
        <v>59</v>
      </c>
      <c r="Z713" t="s">
        <v>60</v>
      </c>
      <c r="AA713">
        <v>0</v>
      </c>
      <c r="AB713" s="2">
        <v>0</v>
      </c>
      <c r="AC713" s="2">
        <v>0</v>
      </c>
      <c r="AD713" s="4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8.1999999999999993</v>
      </c>
      <c r="AN713" s="2">
        <v>8.1999999999999993</v>
      </c>
      <c r="AO713" s="2">
        <v>0</v>
      </c>
      <c r="AP713" s="2">
        <v>0</v>
      </c>
      <c r="AQ713" s="2">
        <v>0</v>
      </c>
    </row>
    <row r="714" spans="1:44" x14ac:dyDescent="0.25">
      <c r="A714" s="1">
        <v>45915</v>
      </c>
      <c r="B714" t="s">
        <v>47</v>
      </c>
      <c r="C714">
        <v>649163</v>
      </c>
      <c r="D714">
        <v>2023911658</v>
      </c>
      <c r="E714" t="s">
        <v>738</v>
      </c>
      <c r="F714" t="s">
        <v>737</v>
      </c>
      <c r="G714" t="s">
        <v>50</v>
      </c>
      <c r="H714" t="s">
        <v>266</v>
      </c>
      <c r="I714" t="s">
        <v>441</v>
      </c>
      <c r="J714" t="s">
        <v>442</v>
      </c>
      <c r="K714">
        <v>673059</v>
      </c>
      <c r="L714" t="s">
        <v>152</v>
      </c>
      <c r="M714" t="s">
        <v>153</v>
      </c>
      <c r="N714" t="s">
        <v>1078</v>
      </c>
      <c r="O714" t="s">
        <v>56</v>
      </c>
      <c r="P714" s="1">
        <v>45486</v>
      </c>
      <c r="Q714" s="1">
        <v>45943</v>
      </c>
      <c r="R714" s="2">
        <v>150.63</v>
      </c>
      <c r="S714">
        <v>1</v>
      </c>
      <c r="T714" t="s">
        <v>57</v>
      </c>
      <c r="U714" t="s">
        <v>58</v>
      </c>
      <c r="V714" s="4">
        <v>0.1</v>
      </c>
      <c r="W714" s="2">
        <v>0</v>
      </c>
      <c r="X714">
        <v>0</v>
      </c>
      <c r="Y714" t="s">
        <v>59</v>
      </c>
      <c r="Z714" t="s">
        <v>60</v>
      </c>
      <c r="AA714">
        <v>0</v>
      </c>
      <c r="AB714" s="2">
        <v>0</v>
      </c>
      <c r="AC714" s="2">
        <v>0</v>
      </c>
      <c r="AD714" s="4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15.06</v>
      </c>
      <c r="AN714" s="2">
        <v>15.06</v>
      </c>
      <c r="AO714" s="2">
        <v>0</v>
      </c>
      <c r="AP714" s="2">
        <v>0</v>
      </c>
      <c r="AQ714" s="2">
        <v>0</v>
      </c>
    </row>
    <row r="715" spans="1:44" x14ac:dyDescent="0.25">
      <c r="A715" s="1">
        <v>45915</v>
      </c>
      <c r="B715" t="s">
        <v>47</v>
      </c>
      <c r="C715">
        <v>649163</v>
      </c>
      <c r="D715">
        <v>2024425643</v>
      </c>
      <c r="E715" t="s">
        <v>735</v>
      </c>
      <c r="F715" t="s">
        <v>346</v>
      </c>
      <c r="G715" t="s">
        <v>50</v>
      </c>
      <c r="H715" t="s">
        <v>180</v>
      </c>
      <c r="I715" t="s">
        <v>441</v>
      </c>
      <c r="J715" t="s">
        <v>445</v>
      </c>
      <c r="K715">
        <v>673059</v>
      </c>
      <c r="L715" t="s">
        <v>152</v>
      </c>
      <c r="M715" t="s">
        <v>153</v>
      </c>
      <c r="N715" t="s">
        <v>1078</v>
      </c>
      <c r="O715" t="s">
        <v>56</v>
      </c>
      <c r="P715" s="1">
        <v>45521</v>
      </c>
      <c r="Q715" s="1">
        <v>45947</v>
      </c>
      <c r="R715" s="2">
        <v>88.88</v>
      </c>
      <c r="S715">
        <v>1</v>
      </c>
      <c r="T715" t="s">
        <v>57</v>
      </c>
      <c r="U715" t="s">
        <v>58</v>
      </c>
      <c r="V715" s="4">
        <v>0.15</v>
      </c>
      <c r="W715" s="2">
        <v>0</v>
      </c>
      <c r="X715">
        <v>0</v>
      </c>
      <c r="Y715" t="s">
        <v>59</v>
      </c>
      <c r="Z715" t="s">
        <v>60</v>
      </c>
      <c r="AA715">
        <v>0</v>
      </c>
      <c r="AB715" s="2">
        <v>0</v>
      </c>
      <c r="AC715" s="2">
        <v>0</v>
      </c>
      <c r="AD715" s="4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13.33</v>
      </c>
      <c r="AN715" s="2">
        <v>13.33</v>
      </c>
      <c r="AO715" s="2">
        <v>0</v>
      </c>
      <c r="AP715" s="2">
        <v>0</v>
      </c>
      <c r="AQ715" s="2">
        <v>0</v>
      </c>
    </row>
    <row r="716" spans="1:44" x14ac:dyDescent="0.25">
      <c r="A716" s="1">
        <v>45915</v>
      </c>
      <c r="B716" t="s">
        <v>47</v>
      </c>
      <c r="C716">
        <v>649163</v>
      </c>
      <c r="D716">
        <v>2024425644</v>
      </c>
      <c r="E716" t="s">
        <v>735</v>
      </c>
      <c r="F716" t="s">
        <v>346</v>
      </c>
      <c r="G716" t="s">
        <v>50</v>
      </c>
      <c r="H716" t="s">
        <v>180</v>
      </c>
      <c r="I716" t="s">
        <v>441</v>
      </c>
      <c r="J716" t="s">
        <v>545</v>
      </c>
      <c r="K716">
        <v>673059</v>
      </c>
      <c r="L716" t="s">
        <v>152</v>
      </c>
      <c r="M716" t="s">
        <v>153</v>
      </c>
      <c r="N716" t="s">
        <v>1078</v>
      </c>
      <c r="O716" t="s">
        <v>56</v>
      </c>
      <c r="P716" s="1">
        <v>45521</v>
      </c>
      <c r="Q716" s="1">
        <v>45947</v>
      </c>
      <c r="R716" s="2">
        <v>8.3699999999999992</v>
      </c>
      <c r="S716">
        <v>1</v>
      </c>
      <c r="T716" t="s">
        <v>57</v>
      </c>
      <c r="U716" t="s">
        <v>58</v>
      </c>
      <c r="V716" s="4">
        <v>0.15</v>
      </c>
      <c r="W716" s="2">
        <v>0</v>
      </c>
      <c r="X716">
        <v>0</v>
      </c>
      <c r="Y716" t="s">
        <v>59</v>
      </c>
      <c r="Z716" t="s">
        <v>60</v>
      </c>
      <c r="AA716">
        <v>0</v>
      </c>
      <c r="AB716" s="2">
        <v>0</v>
      </c>
      <c r="AC716" s="2">
        <v>0</v>
      </c>
      <c r="AD716" s="4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1.26</v>
      </c>
      <c r="AN716" s="2">
        <v>1.26</v>
      </c>
      <c r="AO716" s="2">
        <v>0</v>
      </c>
      <c r="AP716" s="2">
        <v>0</v>
      </c>
      <c r="AQ716" s="2">
        <v>0</v>
      </c>
    </row>
    <row r="717" spans="1:44" x14ac:dyDescent="0.25">
      <c r="A717" s="1">
        <v>45915</v>
      </c>
      <c r="B717" t="s">
        <v>47</v>
      </c>
      <c r="C717">
        <v>649163</v>
      </c>
      <c r="D717">
        <v>2030474774</v>
      </c>
      <c r="E717" t="s">
        <v>705</v>
      </c>
      <c r="F717" t="s">
        <v>704</v>
      </c>
      <c r="G717" t="s">
        <v>50</v>
      </c>
      <c r="H717" t="s">
        <v>63</v>
      </c>
      <c r="I717" t="s">
        <v>441</v>
      </c>
      <c r="J717" t="s">
        <v>445</v>
      </c>
      <c r="K717">
        <v>673059</v>
      </c>
      <c r="L717" t="s">
        <v>152</v>
      </c>
      <c r="M717" t="s">
        <v>153</v>
      </c>
      <c r="N717" t="s">
        <v>1078</v>
      </c>
      <c r="O717" t="s">
        <v>56</v>
      </c>
      <c r="P717" s="1">
        <v>45883</v>
      </c>
      <c r="Q717" s="1">
        <v>45944</v>
      </c>
      <c r="R717" s="2">
        <v>122.88</v>
      </c>
      <c r="S717">
        <v>1</v>
      </c>
      <c r="T717" t="s">
        <v>57</v>
      </c>
      <c r="U717" t="s">
        <v>58</v>
      </c>
      <c r="V717" s="4">
        <v>0.7</v>
      </c>
      <c r="W717" s="2">
        <v>0</v>
      </c>
      <c r="X717">
        <v>0</v>
      </c>
      <c r="Y717" t="s">
        <v>70</v>
      </c>
      <c r="Z717" t="s">
        <v>60</v>
      </c>
      <c r="AA717">
        <v>0</v>
      </c>
      <c r="AB717" s="2">
        <v>0</v>
      </c>
      <c r="AC717" s="2">
        <v>0</v>
      </c>
      <c r="AD717" s="4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86.02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</row>
    <row r="718" spans="1:44" x14ac:dyDescent="0.25">
      <c r="A718" s="1">
        <v>45915</v>
      </c>
      <c r="B718" t="s">
        <v>47</v>
      </c>
      <c r="C718">
        <v>649163</v>
      </c>
      <c r="D718">
        <v>2023913072</v>
      </c>
      <c r="E718" t="s">
        <v>655</v>
      </c>
      <c r="F718" t="s">
        <v>280</v>
      </c>
      <c r="G718" t="s">
        <v>50</v>
      </c>
      <c r="H718" t="s">
        <v>63</v>
      </c>
      <c r="I718" t="s">
        <v>569</v>
      </c>
      <c r="J718" t="s">
        <v>645</v>
      </c>
      <c r="K718">
        <v>673059</v>
      </c>
      <c r="L718" t="s">
        <v>152</v>
      </c>
      <c r="M718" t="s">
        <v>153</v>
      </c>
      <c r="N718" t="s">
        <v>1078</v>
      </c>
      <c r="O718" t="s">
        <v>56</v>
      </c>
      <c r="P718" s="1">
        <v>45643</v>
      </c>
      <c r="Q718" s="1">
        <v>45947</v>
      </c>
      <c r="R718" s="2">
        <v>306.95</v>
      </c>
      <c r="S718">
        <v>1</v>
      </c>
      <c r="T718" t="s">
        <v>57</v>
      </c>
      <c r="U718" t="s">
        <v>58</v>
      </c>
      <c r="V718" s="4">
        <v>0.19</v>
      </c>
      <c r="W718" s="2">
        <v>0</v>
      </c>
      <c r="X718">
        <v>0</v>
      </c>
      <c r="Y718" t="s">
        <v>70</v>
      </c>
      <c r="Z718" t="s">
        <v>60</v>
      </c>
      <c r="AA718">
        <v>0</v>
      </c>
      <c r="AB718" s="2">
        <v>0</v>
      </c>
      <c r="AC718" s="2">
        <v>0</v>
      </c>
      <c r="AD718" s="4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58.32</v>
      </c>
      <c r="AN718" s="2">
        <v>58.32</v>
      </c>
      <c r="AO718" s="2">
        <v>0</v>
      </c>
      <c r="AP718" s="2">
        <v>0</v>
      </c>
      <c r="AQ718" s="2">
        <v>0</v>
      </c>
    </row>
    <row r="719" spans="1:44" x14ac:dyDescent="0.25">
      <c r="A719" s="1">
        <v>45915</v>
      </c>
      <c r="B719" t="s">
        <v>602</v>
      </c>
      <c r="C719">
        <v>649163</v>
      </c>
      <c r="D719">
        <v>2028840698</v>
      </c>
      <c r="E719" t="s">
        <v>622</v>
      </c>
      <c r="F719" t="s">
        <v>163</v>
      </c>
      <c r="G719" t="s">
        <v>50</v>
      </c>
      <c r="I719" t="s">
        <v>441</v>
      </c>
      <c r="J719" t="s">
        <v>445</v>
      </c>
      <c r="K719">
        <v>649163</v>
      </c>
      <c r="L719" t="s">
        <v>152</v>
      </c>
      <c r="M719" t="s">
        <v>153</v>
      </c>
      <c r="N719" t="s">
        <v>1078</v>
      </c>
      <c r="O719" t="s">
        <v>230</v>
      </c>
      <c r="P719" s="1">
        <v>45809</v>
      </c>
      <c r="R719" s="2">
        <v>0</v>
      </c>
      <c r="AB719" s="2">
        <v>125.12</v>
      </c>
      <c r="AC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83.41</v>
      </c>
      <c r="AN719" s="2">
        <v>-41.71</v>
      </c>
      <c r="AO719" s="2">
        <v>-41.71</v>
      </c>
      <c r="AP719" s="2">
        <v>0</v>
      </c>
      <c r="AQ719" s="2">
        <v>0</v>
      </c>
      <c r="AR719" t="s">
        <v>605</v>
      </c>
    </row>
    <row r="720" spans="1:44" x14ac:dyDescent="0.25">
      <c r="A720" s="1">
        <v>45915</v>
      </c>
      <c r="B720" t="s">
        <v>602</v>
      </c>
      <c r="C720">
        <v>649163</v>
      </c>
      <c r="D720">
        <v>2028840699</v>
      </c>
      <c r="E720" t="s">
        <v>622</v>
      </c>
      <c r="F720" t="s">
        <v>163</v>
      </c>
      <c r="G720" t="s">
        <v>50</v>
      </c>
      <c r="I720" t="s">
        <v>441</v>
      </c>
      <c r="J720" t="s">
        <v>545</v>
      </c>
      <c r="K720">
        <v>649163</v>
      </c>
      <c r="L720" t="s">
        <v>152</v>
      </c>
      <c r="M720" t="s">
        <v>153</v>
      </c>
      <c r="N720" t="s">
        <v>1078</v>
      </c>
      <c r="O720" t="s">
        <v>230</v>
      </c>
      <c r="P720" s="1">
        <v>45809</v>
      </c>
      <c r="R720" s="2">
        <v>0</v>
      </c>
      <c r="AB720" s="2">
        <v>108.07</v>
      </c>
      <c r="AC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72.040000000000006</v>
      </c>
      <c r="AN720" s="2">
        <v>-36.03</v>
      </c>
      <c r="AO720" s="2">
        <v>-36.03</v>
      </c>
      <c r="AP720" s="2">
        <v>0</v>
      </c>
      <c r="AQ720" s="2">
        <v>0</v>
      </c>
      <c r="AR720" t="s">
        <v>605</v>
      </c>
    </row>
    <row r="721" spans="1:44" x14ac:dyDescent="0.25">
      <c r="A721" s="1">
        <v>45915</v>
      </c>
      <c r="B721" t="s">
        <v>602</v>
      </c>
      <c r="C721">
        <v>649163</v>
      </c>
      <c r="D721">
        <v>2028840700</v>
      </c>
      <c r="E721" t="s">
        <v>622</v>
      </c>
      <c r="F721" t="s">
        <v>163</v>
      </c>
      <c r="G721" t="s">
        <v>50</v>
      </c>
      <c r="I721" t="s">
        <v>106</v>
      </c>
      <c r="J721" t="s">
        <v>184</v>
      </c>
      <c r="K721">
        <v>649163</v>
      </c>
      <c r="L721" t="s">
        <v>152</v>
      </c>
      <c r="M721" t="s">
        <v>153</v>
      </c>
      <c r="N721" t="s">
        <v>1078</v>
      </c>
      <c r="O721" t="s">
        <v>230</v>
      </c>
      <c r="P721" s="1">
        <v>45809</v>
      </c>
      <c r="R721" s="2">
        <v>0</v>
      </c>
      <c r="AB721" s="2">
        <v>43.92</v>
      </c>
      <c r="AC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29.28</v>
      </c>
      <c r="AN721" s="2">
        <v>-14.64</v>
      </c>
      <c r="AO721" s="2">
        <v>-14.64</v>
      </c>
      <c r="AP721" s="2">
        <v>0</v>
      </c>
      <c r="AQ721" s="2">
        <v>0</v>
      </c>
      <c r="AR721" t="s">
        <v>605</v>
      </c>
    </row>
    <row r="722" spans="1:44" x14ac:dyDescent="0.25">
      <c r="A722" s="1">
        <v>45915</v>
      </c>
      <c r="B722" t="s">
        <v>47</v>
      </c>
      <c r="C722">
        <v>649163</v>
      </c>
      <c r="D722">
        <v>2029878253</v>
      </c>
      <c r="E722" t="s">
        <v>924</v>
      </c>
      <c r="F722" t="s">
        <v>171</v>
      </c>
      <c r="G722" t="s">
        <v>50</v>
      </c>
      <c r="H722" t="s">
        <v>93</v>
      </c>
      <c r="I722" t="s">
        <v>106</v>
      </c>
      <c r="J722" t="s">
        <v>184</v>
      </c>
      <c r="K722">
        <v>824076</v>
      </c>
      <c r="L722" t="s">
        <v>834</v>
      </c>
      <c r="M722" t="s">
        <v>833</v>
      </c>
      <c r="N722" t="s">
        <v>1133</v>
      </c>
      <c r="O722" t="s">
        <v>56</v>
      </c>
      <c r="P722" s="1">
        <v>45853</v>
      </c>
      <c r="Q722" s="1">
        <v>45945</v>
      </c>
      <c r="R722" s="2">
        <v>15.97</v>
      </c>
      <c r="S722">
        <v>1</v>
      </c>
      <c r="T722" t="s">
        <v>57</v>
      </c>
      <c r="U722" t="s">
        <v>58</v>
      </c>
      <c r="V722" s="4">
        <v>0.75</v>
      </c>
      <c r="W722" s="2">
        <v>0</v>
      </c>
      <c r="X722">
        <v>0</v>
      </c>
      <c r="Y722" t="s">
        <v>70</v>
      </c>
      <c r="Z722" t="s">
        <v>60</v>
      </c>
      <c r="AA722">
        <v>0</v>
      </c>
      <c r="AB722" s="2">
        <v>0</v>
      </c>
      <c r="AC722" s="2">
        <v>0</v>
      </c>
      <c r="AD722" s="4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11.98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</row>
    <row r="723" spans="1:44" x14ac:dyDescent="0.25">
      <c r="A723" s="1">
        <v>45915</v>
      </c>
      <c r="B723" t="s">
        <v>47</v>
      </c>
      <c r="C723">
        <v>649163</v>
      </c>
      <c r="D723">
        <v>2029951925</v>
      </c>
      <c r="E723" t="s">
        <v>164</v>
      </c>
      <c r="F723" t="s">
        <v>835</v>
      </c>
      <c r="G723" t="s">
        <v>50</v>
      </c>
      <c r="H723" t="s">
        <v>93</v>
      </c>
      <c r="I723" t="s">
        <v>106</v>
      </c>
      <c r="J723" t="s">
        <v>116</v>
      </c>
      <c r="K723">
        <v>824076</v>
      </c>
      <c r="L723" t="s">
        <v>834</v>
      </c>
      <c r="M723" t="s">
        <v>833</v>
      </c>
      <c r="N723" t="s">
        <v>1133</v>
      </c>
      <c r="O723" t="s">
        <v>56</v>
      </c>
      <c r="P723" s="1">
        <v>45853</v>
      </c>
      <c r="Q723" s="1">
        <v>45945</v>
      </c>
      <c r="R723" s="2">
        <v>19.25</v>
      </c>
      <c r="S723">
        <v>1</v>
      </c>
      <c r="T723" t="s">
        <v>57</v>
      </c>
      <c r="U723" t="s">
        <v>58</v>
      </c>
      <c r="V723" s="4">
        <v>0.75</v>
      </c>
      <c r="W723" s="2">
        <v>0</v>
      </c>
      <c r="X723">
        <v>0</v>
      </c>
      <c r="Y723" t="s">
        <v>70</v>
      </c>
      <c r="Z723" t="s">
        <v>60</v>
      </c>
      <c r="AA723">
        <v>0</v>
      </c>
      <c r="AB723" s="2">
        <v>0</v>
      </c>
      <c r="AC723" s="2">
        <v>0</v>
      </c>
      <c r="AD723" s="4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14.44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</row>
    <row r="724" spans="1:44" x14ac:dyDescent="0.25">
      <c r="A724" s="1">
        <v>45915</v>
      </c>
      <c r="B724" t="s">
        <v>47</v>
      </c>
      <c r="C724">
        <v>649163</v>
      </c>
      <c r="D724">
        <v>2028329765</v>
      </c>
      <c r="E724" t="s">
        <v>873</v>
      </c>
      <c r="F724" t="s">
        <v>379</v>
      </c>
      <c r="G724" t="s">
        <v>50</v>
      </c>
      <c r="H724" t="s">
        <v>93</v>
      </c>
      <c r="I724" t="s">
        <v>441</v>
      </c>
      <c r="J724" t="s">
        <v>445</v>
      </c>
      <c r="K724">
        <v>824076</v>
      </c>
      <c r="L724" t="s">
        <v>834</v>
      </c>
      <c r="M724" t="s">
        <v>833</v>
      </c>
      <c r="N724" t="s">
        <v>1133</v>
      </c>
      <c r="O724" t="s">
        <v>56</v>
      </c>
      <c r="P724" s="1">
        <v>45762</v>
      </c>
      <c r="Q724" s="1">
        <v>45945</v>
      </c>
      <c r="R724" s="2">
        <v>11.5</v>
      </c>
      <c r="S724">
        <v>1</v>
      </c>
      <c r="T724" t="s">
        <v>57</v>
      </c>
      <c r="U724" t="s">
        <v>58</v>
      </c>
      <c r="V724" s="4">
        <v>0.7</v>
      </c>
      <c r="W724" s="2">
        <v>0</v>
      </c>
      <c r="X724">
        <v>0</v>
      </c>
      <c r="Y724" t="s">
        <v>70</v>
      </c>
      <c r="Z724" t="s">
        <v>60</v>
      </c>
      <c r="AA724">
        <v>0</v>
      </c>
      <c r="AB724" s="2">
        <v>0</v>
      </c>
      <c r="AC724" s="2">
        <v>0</v>
      </c>
      <c r="AD724" s="4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8.0500000000000007</v>
      </c>
      <c r="AN724" s="2">
        <v>8.0500000000000007</v>
      </c>
      <c r="AO724" s="2">
        <v>0</v>
      </c>
      <c r="AP724" s="2">
        <v>0</v>
      </c>
      <c r="AQ724" s="2">
        <v>0</v>
      </c>
    </row>
    <row r="725" spans="1:44" x14ac:dyDescent="0.25">
      <c r="A725" s="1">
        <v>45915</v>
      </c>
      <c r="B725" t="s">
        <v>47</v>
      </c>
      <c r="C725">
        <v>649163</v>
      </c>
      <c r="D725">
        <v>2029878252</v>
      </c>
      <c r="E725" t="s">
        <v>924</v>
      </c>
      <c r="F725" t="s">
        <v>171</v>
      </c>
      <c r="G725" t="s">
        <v>50</v>
      </c>
      <c r="H725" t="s">
        <v>93</v>
      </c>
      <c r="I725" t="s">
        <v>441</v>
      </c>
      <c r="J725" t="s">
        <v>445</v>
      </c>
      <c r="K725">
        <v>824076</v>
      </c>
      <c r="L725" t="s">
        <v>834</v>
      </c>
      <c r="M725" t="s">
        <v>833</v>
      </c>
      <c r="N725" t="s">
        <v>1133</v>
      </c>
      <c r="O725" t="s">
        <v>56</v>
      </c>
      <c r="P725" s="1">
        <v>45853</v>
      </c>
      <c r="Q725" s="1">
        <v>45945</v>
      </c>
      <c r="R725" s="2">
        <v>39.25</v>
      </c>
      <c r="S725">
        <v>1</v>
      </c>
      <c r="T725" t="s">
        <v>57</v>
      </c>
      <c r="U725" t="s">
        <v>58</v>
      </c>
      <c r="V725" s="4">
        <v>0.7</v>
      </c>
      <c r="W725" s="2">
        <v>0</v>
      </c>
      <c r="X725">
        <v>0</v>
      </c>
      <c r="Y725" t="s">
        <v>70</v>
      </c>
      <c r="Z725" t="s">
        <v>60</v>
      </c>
      <c r="AA725">
        <v>0</v>
      </c>
      <c r="AB725" s="2">
        <v>0</v>
      </c>
      <c r="AC725" s="2">
        <v>0</v>
      </c>
      <c r="AD725" s="4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27.48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</row>
    <row r="726" spans="1:44" x14ac:dyDescent="0.25">
      <c r="A726" s="1">
        <v>45915</v>
      </c>
      <c r="B726" t="s">
        <v>47</v>
      </c>
      <c r="C726">
        <v>649163</v>
      </c>
      <c r="D726">
        <v>2029951924</v>
      </c>
      <c r="E726" t="s">
        <v>164</v>
      </c>
      <c r="F726" t="s">
        <v>835</v>
      </c>
      <c r="G726" t="s">
        <v>50</v>
      </c>
      <c r="H726" t="s">
        <v>93</v>
      </c>
      <c r="I726" t="s">
        <v>441</v>
      </c>
      <c r="J726" t="s">
        <v>445</v>
      </c>
      <c r="K726">
        <v>824076</v>
      </c>
      <c r="L726" t="s">
        <v>834</v>
      </c>
      <c r="M726" t="s">
        <v>833</v>
      </c>
      <c r="N726" t="s">
        <v>1133</v>
      </c>
      <c r="O726" t="s">
        <v>56</v>
      </c>
      <c r="P726" s="1">
        <v>45853</v>
      </c>
      <c r="Q726" s="1">
        <v>45945</v>
      </c>
      <c r="R726" s="2">
        <v>41.5</v>
      </c>
      <c r="S726">
        <v>1</v>
      </c>
      <c r="T726" t="s">
        <v>57</v>
      </c>
      <c r="U726" t="s">
        <v>58</v>
      </c>
      <c r="V726" s="4">
        <v>0.7</v>
      </c>
      <c r="W726" s="2">
        <v>0</v>
      </c>
      <c r="X726">
        <v>0</v>
      </c>
      <c r="Y726" t="s">
        <v>70</v>
      </c>
      <c r="Z726" t="s">
        <v>60</v>
      </c>
      <c r="AA726">
        <v>0</v>
      </c>
      <c r="AB726" s="2">
        <v>0</v>
      </c>
      <c r="AC726" s="2">
        <v>0</v>
      </c>
      <c r="AD726" s="4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29.05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</row>
    <row r="727" spans="1:44" x14ac:dyDescent="0.25">
      <c r="A727" s="1">
        <v>45915</v>
      </c>
      <c r="B727" t="s">
        <v>47</v>
      </c>
      <c r="C727">
        <v>649163</v>
      </c>
      <c r="D727">
        <v>2028329764</v>
      </c>
      <c r="E727" t="s">
        <v>873</v>
      </c>
      <c r="F727" t="s">
        <v>379</v>
      </c>
      <c r="G727" t="s">
        <v>50</v>
      </c>
      <c r="H727" t="s">
        <v>93</v>
      </c>
      <c r="I727" t="s">
        <v>306</v>
      </c>
      <c r="J727" t="s">
        <v>307</v>
      </c>
      <c r="K727">
        <v>824076</v>
      </c>
      <c r="L727" t="s">
        <v>834</v>
      </c>
      <c r="M727" t="s">
        <v>833</v>
      </c>
      <c r="N727" t="s">
        <v>1133</v>
      </c>
      <c r="O727" t="s">
        <v>56</v>
      </c>
      <c r="P727" s="1">
        <v>45762</v>
      </c>
      <c r="Q727" s="1">
        <v>45945</v>
      </c>
      <c r="R727" s="2">
        <v>57.19</v>
      </c>
      <c r="S727">
        <v>1</v>
      </c>
      <c r="T727" t="s">
        <v>57</v>
      </c>
      <c r="U727" t="s">
        <v>58</v>
      </c>
      <c r="V727" s="3">
        <v>0.375</v>
      </c>
      <c r="W727" s="2">
        <v>0</v>
      </c>
      <c r="X727">
        <v>0</v>
      </c>
      <c r="Y727" t="s">
        <v>70</v>
      </c>
      <c r="Z727" t="s">
        <v>60</v>
      </c>
      <c r="AA727">
        <v>0</v>
      </c>
      <c r="AB727" s="2">
        <v>0</v>
      </c>
      <c r="AC727" s="2">
        <v>0</v>
      </c>
      <c r="AD727" s="4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21.45</v>
      </c>
      <c r="AN727" s="2">
        <v>21.45</v>
      </c>
      <c r="AO727" s="2">
        <v>0</v>
      </c>
      <c r="AP727" s="2">
        <v>0</v>
      </c>
      <c r="AQ727" s="2">
        <v>0</v>
      </c>
    </row>
    <row r="728" spans="1:44" x14ac:dyDescent="0.25">
      <c r="A728" s="1">
        <v>45915</v>
      </c>
      <c r="B728" t="s">
        <v>47</v>
      </c>
      <c r="C728">
        <v>649163</v>
      </c>
      <c r="D728">
        <v>2029951923</v>
      </c>
      <c r="E728" t="s">
        <v>164</v>
      </c>
      <c r="F728" t="s">
        <v>835</v>
      </c>
      <c r="G728" t="s">
        <v>50</v>
      </c>
      <c r="H728" t="s">
        <v>93</v>
      </c>
      <c r="I728" t="s">
        <v>306</v>
      </c>
      <c r="J728" t="s">
        <v>307</v>
      </c>
      <c r="K728">
        <v>824076</v>
      </c>
      <c r="L728" t="s">
        <v>834</v>
      </c>
      <c r="M728" t="s">
        <v>833</v>
      </c>
      <c r="N728" t="s">
        <v>1133</v>
      </c>
      <c r="O728" t="s">
        <v>56</v>
      </c>
      <c r="P728" s="1">
        <v>45853</v>
      </c>
      <c r="Q728" s="1">
        <v>45945</v>
      </c>
      <c r="R728" s="2">
        <v>77.48</v>
      </c>
      <c r="S728">
        <v>1</v>
      </c>
      <c r="T728" t="s">
        <v>57</v>
      </c>
      <c r="U728" t="s">
        <v>58</v>
      </c>
      <c r="V728" s="3">
        <v>0.375</v>
      </c>
      <c r="W728" s="2">
        <v>0</v>
      </c>
      <c r="X728">
        <v>0</v>
      </c>
      <c r="Y728" t="s">
        <v>70</v>
      </c>
      <c r="Z728" t="s">
        <v>60</v>
      </c>
      <c r="AA728">
        <v>0</v>
      </c>
      <c r="AB728" s="2">
        <v>0</v>
      </c>
      <c r="AC728" s="2">
        <v>0</v>
      </c>
      <c r="AD728" s="4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29.06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</row>
    <row r="729" spans="1:44" x14ac:dyDescent="0.25">
      <c r="A729" s="1">
        <v>45922</v>
      </c>
      <c r="B729" t="s">
        <v>47</v>
      </c>
      <c r="C729">
        <v>649163</v>
      </c>
      <c r="D729">
        <v>2020534057</v>
      </c>
      <c r="E729" t="s">
        <v>48</v>
      </c>
      <c r="F729" t="s">
        <v>49</v>
      </c>
      <c r="G729" t="s">
        <v>50</v>
      </c>
      <c r="H729" t="s">
        <v>51</v>
      </c>
      <c r="I729" t="s">
        <v>52</v>
      </c>
      <c r="J729" t="s">
        <v>53</v>
      </c>
      <c r="K729">
        <v>702406</v>
      </c>
      <c r="L729" t="s">
        <v>54</v>
      </c>
      <c r="M729" t="s">
        <v>55</v>
      </c>
      <c r="N729" t="s">
        <v>1103</v>
      </c>
      <c r="O729" t="s">
        <v>56</v>
      </c>
      <c r="P729" s="1">
        <v>45224</v>
      </c>
      <c r="Q729" s="1">
        <v>45955</v>
      </c>
      <c r="R729" s="2">
        <v>42.45</v>
      </c>
      <c r="S729">
        <v>1</v>
      </c>
      <c r="T729" t="s">
        <v>57</v>
      </c>
      <c r="U729" t="s">
        <v>58</v>
      </c>
      <c r="V729" s="3">
        <v>6.5000000000000002E-2</v>
      </c>
      <c r="W729" s="2">
        <v>0</v>
      </c>
      <c r="X729">
        <v>0</v>
      </c>
      <c r="Y729" t="s">
        <v>59</v>
      </c>
      <c r="Z729" t="s">
        <v>60</v>
      </c>
      <c r="AA729">
        <v>0</v>
      </c>
      <c r="AB729" s="2">
        <v>0</v>
      </c>
      <c r="AC729" s="2">
        <v>0</v>
      </c>
      <c r="AD729" s="4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2.76</v>
      </c>
      <c r="AN729" s="2">
        <v>2.76</v>
      </c>
      <c r="AO729" s="2">
        <v>0</v>
      </c>
      <c r="AP729" s="2">
        <v>0</v>
      </c>
      <c r="AQ729" s="2">
        <v>0</v>
      </c>
    </row>
    <row r="730" spans="1:44" x14ac:dyDescent="0.25">
      <c r="A730" s="1">
        <v>45922</v>
      </c>
      <c r="B730" t="s">
        <v>47</v>
      </c>
      <c r="C730">
        <v>649163</v>
      </c>
      <c r="D730">
        <v>2019459171</v>
      </c>
      <c r="E730" t="s">
        <v>311</v>
      </c>
      <c r="F730" t="s">
        <v>277</v>
      </c>
      <c r="G730" t="s">
        <v>50</v>
      </c>
      <c r="H730" t="s">
        <v>51</v>
      </c>
      <c r="I730" t="s">
        <v>306</v>
      </c>
      <c r="J730" t="s">
        <v>307</v>
      </c>
      <c r="K730">
        <v>702406</v>
      </c>
      <c r="L730" t="s">
        <v>54</v>
      </c>
      <c r="M730" t="s">
        <v>55</v>
      </c>
      <c r="N730" t="s">
        <v>1103</v>
      </c>
      <c r="O730" t="s">
        <v>56</v>
      </c>
      <c r="P730" s="1">
        <v>45129</v>
      </c>
      <c r="Q730" s="1">
        <v>45952</v>
      </c>
      <c r="R730" s="2">
        <v>57.29</v>
      </c>
      <c r="S730">
        <v>1</v>
      </c>
      <c r="T730" t="s">
        <v>57</v>
      </c>
      <c r="U730" t="s">
        <v>58</v>
      </c>
      <c r="V730" s="4">
        <v>0.06</v>
      </c>
      <c r="W730" s="2">
        <v>0</v>
      </c>
      <c r="X730">
        <v>0</v>
      </c>
      <c r="Y730" t="s">
        <v>59</v>
      </c>
      <c r="Z730" t="s">
        <v>60</v>
      </c>
      <c r="AA730">
        <v>0</v>
      </c>
      <c r="AB730" s="2">
        <v>0</v>
      </c>
      <c r="AC730" s="2">
        <v>0</v>
      </c>
      <c r="AD730" s="4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3.44</v>
      </c>
      <c r="AN730" s="2">
        <v>3.44</v>
      </c>
      <c r="AO730" s="2">
        <v>0</v>
      </c>
      <c r="AP730" s="2">
        <v>0</v>
      </c>
      <c r="AQ730" s="2">
        <v>0</v>
      </c>
    </row>
    <row r="731" spans="1:44" x14ac:dyDescent="0.25">
      <c r="A731" s="1">
        <v>45922</v>
      </c>
      <c r="B731" t="s">
        <v>47</v>
      </c>
      <c r="C731">
        <v>649163</v>
      </c>
      <c r="D731">
        <v>2020534056</v>
      </c>
      <c r="E731" t="s">
        <v>48</v>
      </c>
      <c r="F731" t="s">
        <v>49</v>
      </c>
      <c r="G731" t="s">
        <v>50</v>
      </c>
      <c r="H731" t="s">
        <v>51</v>
      </c>
      <c r="I731" t="s">
        <v>306</v>
      </c>
      <c r="J731" t="s">
        <v>307</v>
      </c>
      <c r="K731">
        <v>702406</v>
      </c>
      <c r="L731" t="s">
        <v>54</v>
      </c>
      <c r="M731" t="s">
        <v>55</v>
      </c>
      <c r="N731" t="s">
        <v>1103</v>
      </c>
      <c r="O731" t="s">
        <v>56</v>
      </c>
      <c r="P731" s="1">
        <v>45224</v>
      </c>
      <c r="Q731" s="1">
        <v>45955</v>
      </c>
      <c r="R731" s="2">
        <v>32.979999999999997</v>
      </c>
      <c r="S731">
        <v>1</v>
      </c>
      <c r="T731" t="s">
        <v>57</v>
      </c>
      <c r="U731" t="s">
        <v>58</v>
      </c>
      <c r="V731" s="4">
        <v>0.06</v>
      </c>
      <c r="W731" s="2">
        <v>0</v>
      </c>
      <c r="X731">
        <v>0</v>
      </c>
      <c r="Y731" t="s">
        <v>59</v>
      </c>
      <c r="Z731" t="s">
        <v>60</v>
      </c>
      <c r="AA731">
        <v>0</v>
      </c>
      <c r="AB731" s="2">
        <v>0</v>
      </c>
      <c r="AC731" s="2">
        <v>0</v>
      </c>
      <c r="AD731" s="4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1.98</v>
      </c>
      <c r="AN731" s="2">
        <v>1.98</v>
      </c>
      <c r="AO731" s="2">
        <v>0</v>
      </c>
      <c r="AP731" s="2">
        <v>0</v>
      </c>
      <c r="AQ731" s="2">
        <v>0</v>
      </c>
    </row>
    <row r="732" spans="1:44" x14ac:dyDescent="0.25">
      <c r="A732" s="1">
        <v>45922</v>
      </c>
      <c r="B732" t="s">
        <v>47</v>
      </c>
      <c r="C732">
        <v>649163</v>
      </c>
      <c r="D732">
        <v>2022823602</v>
      </c>
      <c r="E732" t="s">
        <v>330</v>
      </c>
      <c r="F732" t="s">
        <v>331</v>
      </c>
      <c r="G732" t="s">
        <v>50</v>
      </c>
      <c r="H732" t="s">
        <v>51</v>
      </c>
      <c r="I732" t="s">
        <v>306</v>
      </c>
      <c r="J732" t="s">
        <v>307</v>
      </c>
      <c r="K732">
        <v>702406</v>
      </c>
      <c r="L732" t="s">
        <v>54</v>
      </c>
      <c r="M732" t="s">
        <v>55</v>
      </c>
      <c r="N732" t="s">
        <v>1103</v>
      </c>
      <c r="O732" t="s">
        <v>56</v>
      </c>
      <c r="P732" s="1">
        <v>45406</v>
      </c>
      <c r="Q732" s="1">
        <v>45954</v>
      </c>
      <c r="R732" s="2">
        <v>58.98</v>
      </c>
      <c r="S732">
        <v>1</v>
      </c>
      <c r="T732" t="s">
        <v>57</v>
      </c>
      <c r="U732" t="s">
        <v>58</v>
      </c>
      <c r="V732" s="4">
        <v>0.06</v>
      </c>
      <c r="W732" s="2">
        <v>0</v>
      </c>
      <c r="X732">
        <v>0</v>
      </c>
      <c r="Y732" t="s">
        <v>59</v>
      </c>
      <c r="Z732" t="s">
        <v>60</v>
      </c>
      <c r="AA732">
        <v>0</v>
      </c>
      <c r="AB732" s="2">
        <v>0</v>
      </c>
      <c r="AC732" s="2">
        <v>0</v>
      </c>
      <c r="AD732" s="4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3.54</v>
      </c>
      <c r="AN732" s="2">
        <v>3.54</v>
      </c>
      <c r="AO732" s="2">
        <v>0</v>
      </c>
      <c r="AP732" s="2">
        <v>0</v>
      </c>
      <c r="AQ732" s="2">
        <v>0</v>
      </c>
    </row>
    <row r="733" spans="1:44" x14ac:dyDescent="0.25">
      <c r="A733" s="1">
        <v>45922</v>
      </c>
      <c r="B733" t="s">
        <v>47</v>
      </c>
      <c r="C733">
        <v>649163</v>
      </c>
      <c r="D733">
        <v>2023230473</v>
      </c>
      <c r="E733" t="s">
        <v>334</v>
      </c>
      <c r="F733" t="s">
        <v>335</v>
      </c>
      <c r="G733" t="s">
        <v>50</v>
      </c>
      <c r="H733" t="s">
        <v>51</v>
      </c>
      <c r="I733" t="s">
        <v>306</v>
      </c>
      <c r="J733" t="s">
        <v>307</v>
      </c>
      <c r="K733">
        <v>702406</v>
      </c>
      <c r="L733" t="s">
        <v>54</v>
      </c>
      <c r="M733" t="s">
        <v>55</v>
      </c>
      <c r="N733" t="s">
        <v>1103</v>
      </c>
      <c r="O733" t="s">
        <v>56</v>
      </c>
      <c r="P733" s="1">
        <v>45436</v>
      </c>
      <c r="Q733" s="1">
        <v>45954</v>
      </c>
      <c r="R733" s="2">
        <v>40.119999999999997</v>
      </c>
      <c r="S733">
        <v>1</v>
      </c>
      <c r="T733" t="s">
        <v>57</v>
      </c>
      <c r="U733" t="s">
        <v>58</v>
      </c>
      <c r="V733" s="4">
        <v>0.06</v>
      </c>
      <c r="W733" s="2">
        <v>0</v>
      </c>
      <c r="X733">
        <v>0</v>
      </c>
      <c r="Y733" t="s">
        <v>59</v>
      </c>
      <c r="Z733" t="s">
        <v>60</v>
      </c>
      <c r="AA733">
        <v>0</v>
      </c>
      <c r="AB733" s="2">
        <v>0</v>
      </c>
      <c r="AC733" s="2">
        <v>0</v>
      </c>
      <c r="AD733" s="4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2.41</v>
      </c>
      <c r="AN733" s="2">
        <v>2.41</v>
      </c>
      <c r="AO733" s="2">
        <v>0</v>
      </c>
      <c r="AP733" s="2">
        <v>0</v>
      </c>
      <c r="AQ733" s="2">
        <v>0</v>
      </c>
    </row>
    <row r="734" spans="1:44" x14ac:dyDescent="0.25">
      <c r="A734" s="1">
        <v>45922</v>
      </c>
      <c r="B734" t="s">
        <v>47</v>
      </c>
      <c r="C734">
        <v>649163</v>
      </c>
      <c r="D734">
        <v>2024049922</v>
      </c>
      <c r="E734" t="s">
        <v>340</v>
      </c>
      <c r="F734" t="s">
        <v>341</v>
      </c>
      <c r="G734" t="s">
        <v>50</v>
      </c>
      <c r="H734" t="s">
        <v>51</v>
      </c>
      <c r="I734" t="s">
        <v>306</v>
      </c>
      <c r="J734" t="s">
        <v>307</v>
      </c>
      <c r="K734">
        <v>702406</v>
      </c>
      <c r="L734" t="s">
        <v>54</v>
      </c>
      <c r="M734" t="s">
        <v>55</v>
      </c>
      <c r="N734" t="s">
        <v>1103</v>
      </c>
      <c r="O734" t="s">
        <v>56</v>
      </c>
      <c r="P734" s="1">
        <v>45497</v>
      </c>
      <c r="Q734" s="1">
        <v>45954</v>
      </c>
      <c r="R734" s="2">
        <v>40.119999999999997</v>
      </c>
      <c r="S734">
        <v>1</v>
      </c>
      <c r="T734" t="s">
        <v>57</v>
      </c>
      <c r="U734" t="s">
        <v>58</v>
      </c>
      <c r="V734" s="4">
        <v>0.06</v>
      </c>
      <c r="W734" s="2">
        <v>0</v>
      </c>
      <c r="X734">
        <v>0</v>
      </c>
      <c r="Y734" t="s">
        <v>59</v>
      </c>
      <c r="Z734" t="s">
        <v>60</v>
      </c>
      <c r="AA734">
        <v>0</v>
      </c>
      <c r="AB734" s="2">
        <v>0</v>
      </c>
      <c r="AC734" s="2">
        <v>0</v>
      </c>
      <c r="AD734" s="4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2.41</v>
      </c>
      <c r="AN734" s="2">
        <v>2.41</v>
      </c>
      <c r="AO734" s="2">
        <v>0</v>
      </c>
      <c r="AP734" s="2">
        <v>0</v>
      </c>
      <c r="AQ734" s="2">
        <v>0</v>
      </c>
    </row>
    <row r="735" spans="1:44" x14ac:dyDescent="0.25">
      <c r="A735" s="1">
        <v>45922</v>
      </c>
      <c r="B735" t="s">
        <v>47</v>
      </c>
      <c r="C735">
        <v>649163</v>
      </c>
      <c r="D735">
        <v>2024489047</v>
      </c>
      <c r="E735" t="s">
        <v>342</v>
      </c>
      <c r="F735" t="s">
        <v>123</v>
      </c>
      <c r="G735" t="s">
        <v>50</v>
      </c>
      <c r="H735" t="s">
        <v>51</v>
      </c>
      <c r="I735" t="s">
        <v>306</v>
      </c>
      <c r="J735" t="s">
        <v>307</v>
      </c>
      <c r="K735">
        <v>702406</v>
      </c>
      <c r="L735" t="s">
        <v>54</v>
      </c>
      <c r="M735" t="s">
        <v>55</v>
      </c>
      <c r="N735" t="s">
        <v>1103</v>
      </c>
      <c r="O735" t="s">
        <v>56</v>
      </c>
      <c r="P735" s="1">
        <v>45526</v>
      </c>
      <c r="Q735" s="1">
        <v>45952</v>
      </c>
      <c r="R735" s="2">
        <v>47.29</v>
      </c>
      <c r="S735">
        <v>1</v>
      </c>
      <c r="T735" t="s">
        <v>57</v>
      </c>
      <c r="U735" t="s">
        <v>58</v>
      </c>
      <c r="V735" s="4">
        <v>0.06</v>
      </c>
      <c r="W735" s="2">
        <v>0</v>
      </c>
      <c r="X735">
        <v>0</v>
      </c>
      <c r="Y735" t="s">
        <v>59</v>
      </c>
      <c r="Z735" t="s">
        <v>60</v>
      </c>
      <c r="AA735">
        <v>0</v>
      </c>
      <c r="AB735" s="2">
        <v>0</v>
      </c>
      <c r="AC735" s="2">
        <v>0</v>
      </c>
      <c r="AD735" s="4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2.84</v>
      </c>
      <c r="AN735" s="2">
        <v>2.84</v>
      </c>
      <c r="AO735" s="2">
        <v>0</v>
      </c>
      <c r="AP735" s="2">
        <v>0</v>
      </c>
      <c r="AQ735" s="2">
        <v>0</v>
      </c>
    </row>
    <row r="736" spans="1:44" x14ac:dyDescent="0.25">
      <c r="A736" s="1">
        <v>45922</v>
      </c>
      <c r="B736" t="s">
        <v>47</v>
      </c>
      <c r="C736">
        <v>649163</v>
      </c>
      <c r="D736">
        <v>2030601875</v>
      </c>
      <c r="E736" t="s">
        <v>411</v>
      </c>
      <c r="F736" t="s">
        <v>123</v>
      </c>
      <c r="G736" t="s">
        <v>50</v>
      </c>
      <c r="H736" t="s">
        <v>51</v>
      </c>
      <c r="I736" t="s">
        <v>306</v>
      </c>
      <c r="J736" t="s">
        <v>307</v>
      </c>
      <c r="K736">
        <v>702406</v>
      </c>
      <c r="L736" t="s">
        <v>54</v>
      </c>
      <c r="M736" t="s">
        <v>55</v>
      </c>
      <c r="N736" t="s">
        <v>1103</v>
      </c>
      <c r="O736" t="s">
        <v>56</v>
      </c>
      <c r="P736" s="1">
        <v>45890</v>
      </c>
      <c r="Q736" s="1">
        <v>45951</v>
      </c>
      <c r="R736" s="2">
        <v>36.65</v>
      </c>
      <c r="S736">
        <v>1</v>
      </c>
      <c r="T736" t="s">
        <v>57</v>
      </c>
      <c r="U736" t="s">
        <v>58</v>
      </c>
      <c r="V736" s="3">
        <v>0.375</v>
      </c>
      <c r="W736" s="2">
        <v>0</v>
      </c>
      <c r="X736">
        <v>0</v>
      </c>
      <c r="Y736" t="s">
        <v>70</v>
      </c>
      <c r="Z736" t="s">
        <v>60</v>
      </c>
      <c r="AA736">
        <v>0</v>
      </c>
      <c r="AB736" s="2">
        <v>0</v>
      </c>
      <c r="AC736" s="2">
        <v>0</v>
      </c>
      <c r="AD736" s="4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13.74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</row>
    <row r="737" spans="1:43" x14ac:dyDescent="0.25">
      <c r="A737" s="1">
        <v>45915</v>
      </c>
      <c r="B737" t="s">
        <v>47</v>
      </c>
      <c r="C737">
        <v>649163</v>
      </c>
      <c r="D737">
        <v>2020037859</v>
      </c>
      <c r="E737" t="s">
        <v>1046</v>
      </c>
      <c r="F737" t="s">
        <v>49</v>
      </c>
      <c r="G737" t="s">
        <v>50</v>
      </c>
      <c r="H737" t="s">
        <v>51</v>
      </c>
      <c r="I737" t="s">
        <v>306</v>
      </c>
      <c r="J737" t="s">
        <v>307</v>
      </c>
      <c r="K737">
        <v>702406</v>
      </c>
      <c r="L737" t="s">
        <v>54</v>
      </c>
      <c r="M737" t="s">
        <v>55</v>
      </c>
      <c r="N737" t="s">
        <v>1103</v>
      </c>
      <c r="O737" t="s">
        <v>56</v>
      </c>
      <c r="P737" s="1">
        <v>45182</v>
      </c>
      <c r="Q737" s="1">
        <v>45943</v>
      </c>
      <c r="R737" s="2">
        <v>151.88</v>
      </c>
      <c r="S737">
        <v>1</v>
      </c>
      <c r="T737" t="s">
        <v>57</v>
      </c>
      <c r="U737" t="s">
        <v>58</v>
      </c>
      <c r="V737" s="4">
        <v>0.06</v>
      </c>
      <c r="W737" s="2">
        <v>0</v>
      </c>
      <c r="X737">
        <v>0</v>
      </c>
      <c r="Y737" t="s">
        <v>59</v>
      </c>
      <c r="Z737" t="s">
        <v>60</v>
      </c>
      <c r="AA737">
        <v>0</v>
      </c>
      <c r="AB737" s="2">
        <v>0</v>
      </c>
      <c r="AC737" s="2">
        <v>0</v>
      </c>
      <c r="AD737" s="4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9.11</v>
      </c>
      <c r="AN737" s="2">
        <v>9.11</v>
      </c>
      <c r="AO737" s="2">
        <v>0</v>
      </c>
      <c r="AP737" s="2">
        <v>0</v>
      </c>
      <c r="AQ737" s="2">
        <v>0</v>
      </c>
    </row>
    <row r="738" spans="1:43" x14ac:dyDescent="0.25">
      <c r="A738" s="1">
        <v>45915</v>
      </c>
      <c r="B738" t="s">
        <v>47</v>
      </c>
      <c r="C738">
        <v>649163</v>
      </c>
      <c r="D738">
        <v>2020776384</v>
      </c>
      <c r="E738" t="s">
        <v>1044</v>
      </c>
      <c r="F738" t="s">
        <v>1043</v>
      </c>
      <c r="G738" t="s">
        <v>50</v>
      </c>
      <c r="H738" t="s">
        <v>51</v>
      </c>
      <c r="I738" t="s">
        <v>306</v>
      </c>
      <c r="J738" t="s">
        <v>307</v>
      </c>
      <c r="K738">
        <v>702406</v>
      </c>
      <c r="L738" t="s">
        <v>54</v>
      </c>
      <c r="M738" t="s">
        <v>55</v>
      </c>
      <c r="N738" t="s">
        <v>1103</v>
      </c>
      <c r="O738" t="s">
        <v>56</v>
      </c>
      <c r="P738" s="1">
        <v>45244</v>
      </c>
      <c r="Q738" s="1">
        <v>45944</v>
      </c>
      <c r="R738" s="2">
        <v>119.58</v>
      </c>
      <c r="S738">
        <v>1</v>
      </c>
      <c r="T738" t="s">
        <v>57</v>
      </c>
      <c r="U738" t="s">
        <v>58</v>
      </c>
      <c r="V738" s="4">
        <v>0.06</v>
      </c>
      <c r="W738" s="2">
        <v>0</v>
      </c>
      <c r="X738">
        <v>0</v>
      </c>
      <c r="Y738" t="s">
        <v>59</v>
      </c>
      <c r="Z738" t="s">
        <v>60</v>
      </c>
      <c r="AA738">
        <v>0</v>
      </c>
      <c r="AB738" s="2">
        <v>0</v>
      </c>
      <c r="AC738" s="2">
        <v>0</v>
      </c>
      <c r="AD738" s="4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7.17</v>
      </c>
      <c r="AN738" s="2">
        <v>7.17</v>
      </c>
      <c r="AO738" s="2">
        <v>0</v>
      </c>
      <c r="AP738" s="2">
        <v>0</v>
      </c>
      <c r="AQ738" s="2">
        <v>0</v>
      </c>
    </row>
    <row r="739" spans="1:43" x14ac:dyDescent="0.25">
      <c r="A739" s="1">
        <v>45922</v>
      </c>
      <c r="B739" t="s">
        <v>47</v>
      </c>
      <c r="C739">
        <v>649163</v>
      </c>
      <c r="D739">
        <v>2023233680</v>
      </c>
      <c r="E739" t="s">
        <v>336</v>
      </c>
      <c r="F739" t="s">
        <v>337</v>
      </c>
      <c r="G739" t="s">
        <v>50</v>
      </c>
      <c r="H739" t="s">
        <v>93</v>
      </c>
      <c r="I739" t="s">
        <v>306</v>
      </c>
      <c r="J739" t="s">
        <v>307</v>
      </c>
      <c r="K739">
        <v>757719</v>
      </c>
      <c r="L739" t="s">
        <v>338</v>
      </c>
      <c r="M739" t="s">
        <v>339</v>
      </c>
      <c r="N739" t="s">
        <v>1116</v>
      </c>
      <c r="O739" t="s">
        <v>56</v>
      </c>
      <c r="P739" s="1">
        <v>45436</v>
      </c>
      <c r="Q739" s="1">
        <v>45954</v>
      </c>
      <c r="R739" s="2">
        <v>31.28</v>
      </c>
      <c r="S739">
        <v>1</v>
      </c>
      <c r="T739" t="s">
        <v>57</v>
      </c>
      <c r="U739" t="s">
        <v>58</v>
      </c>
      <c r="V739" s="4">
        <v>0.06</v>
      </c>
      <c r="W739" s="2">
        <v>0</v>
      </c>
      <c r="X739">
        <v>0</v>
      </c>
      <c r="Y739" t="s">
        <v>59</v>
      </c>
      <c r="Z739" t="s">
        <v>60</v>
      </c>
      <c r="AA739">
        <v>0</v>
      </c>
      <c r="AB739" s="2">
        <v>0</v>
      </c>
      <c r="AC739" s="2">
        <v>0</v>
      </c>
      <c r="AD739" s="4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1.88</v>
      </c>
      <c r="AN739" s="2">
        <v>1.88</v>
      </c>
      <c r="AO739" s="2">
        <v>0</v>
      </c>
      <c r="AP739" s="2">
        <v>0</v>
      </c>
      <c r="AQ739" s="2">
        <v>0</v>
      </c>
    </row>
    <row r="740" spans="1:43" x14ac:dyDescent="0.25">
      <c r="A740" s="1">
        <v>45922</v>
      </c>
      <c r="B740" t="s">
        <v>47</v>
      </c>
      <c r="C740">
        <v>649163</v>
      </c>
      <c r="D740">
        <v>2023233681</v>
      </c>
      <c r="E740" t="s">
        <v>336</v>
      </c>
      <c r="F740" t="s">
        <v>337</v>
      </c>
      <c r="G740" t="s">
        <v>50</v>
      </c>
      <c r="H740" t="s">
        <v>93</v>
      </c>
      <c r="I740" t="s">
        <v>441</v>
      </c>
      <c r="J740" t="s">
        <v>445</v>
      </c>
      <c r="K740">
        <v>757719</v>
      </c>
      <c r="L740" t="s">
        <v>338</v>
      </c>
      <c r="M740" t="s">
        <v>339</v>
      </c>
      <c r="N740" t="s">
        <v>1116</v>
      </c>
      <c r="O740" t="s">
        <v>56</v>
      </c>
      <c r="P740" s="1">
        <v>45436</v>
      </c>
      <c r="Q740" s="1">
        <v>45954</v>
      </c>
      <c r="R740" s="2">
        <v>47.71</v>
      </c>
      <c r="S740">
        <v>1</v>
      </c>
      <c r="T740" t="s">
        <v>57</v>
      </c>
      <c r="U740" t="s">
        <v>58</v>
      </c>
      <c r="V740" s="4">
        <v>0.15</v>
      </c>
      <c r="W740" s="2">
        <v>0</v>
      </c>
      <c r="X740">
        <v>0</v>
      </c>
      <c r="Y740" t="s">
        <v>59</v>
      </c>
      <c r="Z740" t="s">
        <v>60</v>
      </c>
      <c r="AA740">
        <v>0</v>
      </c>
      <c r="AB740" s="2">
        <v>0</v>
      </c>
      <c r="AC740" s="2">
        <v>0</v>
      </c>
      <c r="AD740" s="4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7.16</v>
      </c>
      <c r="AN740" s="2">
        <v>7.16</v>
      </c>
      <c r="AO740" s="2">
        <v>0</v>
      </c>
      <c r="AP740" s="2">
        <v>0</v>
      </c>
      <c r="AQ740" s="2">
        <v>0</v>
      </c>
    </row>
    <row r="741" spans="1:43" x14ac:dyDescent="0.25">
      <c r="A741" s="1">
        <v>45922</v>
      </c>
      <c r="B741" t="s">
        <v>47</v>
      </c>
      <c r="C741">
        <v>649163</v>
      </c>
      <c r="D741">
        <v>2026293121</v>
      </c>
      <c r="E741" t="s">
        <v>478</v>
      </c>
      <c r="F741" t="s">
        <v>479</v>
      </c>
      <c r="G741" t="s">
        <v>50</v>
      </c>
      <c r="H741" t="s">
        <v>93</v>
      </c>
      <c r="I741" t="s">
        <v>441</v>
      </c>
      <c r="J741" t="s">
        <v>445</v>
      </c>
      <c r="K741">
        <v>757719</v>
      </c>
      <c r="L741" t="s">
        <v>338</v>
      </c>
      <c r="M741" t="s">
        <v>339</v>
      </c>
      <c r="N741" t="s">
        <v>1116</v>
      </c>
      <c r="O741" t="s">
        <v>56</v>
      </c>
      <c r="P741" s="1">
        <v>45650</v>
      </c>
      <c r="Q741" s="1">
        <v>45954</v>
      </c>
      <c r="R741" s="2">
        <v>88.96</v>
      </c>
      <c r="S741">
        <v>1</v>
      </c>
      <c r="T741" t="s">
        <v>57</v>
      </c>
      <c r="U741" t="s">
        <v>58</v>
      </c>
      <c r="V741" s="4">
        <v>0.7</v>
      </c>
      <c r="W741" s="2">
        <v>0</v>
      </c>
      <c r="X741">
        <v>0</v>
      </c>
      <c r="Y741" t="s">
        <v>70</v>
      </c>
      <c r="Z741" t="s">
        <v>60</v>
      </c>
      <c r="AA741">
        <v>0</v>
      </c>
      <c r="AB741" s="2">
        <v>0</v>
      </c>
      <c r="AC741" s="2">
        <v>0</v>
      </c>
      <c r="AD741" s="4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62.27</v>
      </c>
      <c r="AN741" s="2">
        <v>62.27</v>
      </c>
      <c r="AO741" s="2">
        <v>0</v>
      </c>
      <c r="AP741" s="2">
        <v>0</v>
      </c>
      <c r="AQ741" s="2">
        <v>0</v>
      </c>
    </row>
    <row r="742" spans="1:43" x14ac:dyDescent="0.25">
      <c r="A742" s="1">
        <v>45922</v>
      </c>
      <c r="B742" t="s">
        <v>47</v>
      </c>
      <c r="C742">
        <v>649163</v>
      </c>
      <c r="D742">
        <v>2024487768</v>
      </c>
      <c r="E742" t="s">
        <v>463</v>
      </c>
      <c r="F742" t="s">
        <v>464</v>
      </c>
      <c r="G742" t="s">
        <v>50</v>
      </c>
      <c r="H742" t="s">
        <v>93</v>
      </c>
      <c r="I742" t="s">
        <v>441</v>
      </c>
      <c r="J742" t="s">
        <v>445</v>
      </c>
      <c r="K742">
        <v>757039</v>
      </c>
      <c r="L742" t="s">
        <v>463</v>
      </c>
      <c r="M742" t="s">
        <v>104</v>
      </c>
      <c r="N742" t="s">
        <v>1122</v>
      </c>
      <c r="O742" t="s">
        <v>56</v>
      </c>
      <c r="P742" s="1">
        <v>45526</v>
      </c>
      <c r="Q742" s="1">
        <v>45952</v>
      </c>
      <c r="R742" s="2">
        <v>49.8</v>
      </c>
      <c r="S742">
        <v>1</v>
      </c>
      <c r="T742" t="s">
        <v>57</v>
      </c>
      <c r="U742" t="s">
        <v>58</v>
      </c>
      <c r="V742" s="4">
        <v>0.15</v>
      </c>
      <c r="W742" s="2">
        <v>0</v>
      </c>
      <c r="X742">
        <v>0</v>
      </c>
      <c r="Y742" t="s">
        <v>59</v>
      </c>
      <c r="Z742" t="s">
        <v>60</v>
      </c>
      <c r="AA742">
        <v>0</v>
      </c>
      <c r="AB742" s="2">
        <v>0</v>
      </c>
      <c r="AC742" s="2">
        <v>0</v>
      </c>
      <c r="AD742" s="4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7.47</v>
      </c>
      <c r="AN742" s="2">
        <v>7.47</v>
      </c>
      <c r="AO742" s="2">
        <v>0</v>
      </c>
      <c r="AP742" s="2">
        <v>0</v>
      </c>
      <c r="AQ742" s="2">
        <v>0</v>
      </c>
    </row>
    <row r="743" spans="1:43" x14ac:dyDescent="0.25">
      <c r="A743" s="1">
        <v>45922</v>
      </c>
      <c r="B743" t="s">
        <v>47</v>
      </c>
      <c r="C743">
        <v>649163</v>
      </c>
      <c r="D743">
        <v>2025233514</v>
      </c>
      <c r="E743" t="s">
        <v>119</v>
      </c>
      <c r="F743" t="s">
        <v>120</v>
      </c>
      <c r="G743" t="s">
        <v>50</v>
      </c>
      <c r="H743" t="s">
        <v>121</v>
      </c>
      <c r="I743" t="s">
        <v>106</v>
      </c>
      <c r="J743" t="s">
        <v>107</v>
      </c>
      <c r="K743">
        <v>767312</v>
      </c>
      <c r="L743" t="s">
        <v>122</v>
      </c>
      <c r="M743" t="s">
        <v>123</v>
      </c>
      <c r="N743" t="s">
        <v>1085</v>
      </c>
      <c r="O743" t="s">
        <v>56</v>
      </c>
      <c r="P743" s="1">
        <v>45586</v>
      </c>
      <c r="Q743" s="1">
        <v>45951</v>
      </c>
      <c r="R743" s="2">
        <v>14.94</v>
      </c>
      <c r="S743">
        <v>1</v>
      </c>
      <c r="T743" t="s">
        <v>57</v>
      </c>
      <c r="U743" t="s">
        <v>58</v>
      </c>
      <c r="V743" s="4">
        <v>0.9</v>
      </c>
      <c r="W743" s="2">
        <v>0</v>
      </c>
      <c r="X743">
        <v>0</v>
      </c>
      <c r="Y743" t="s">
        <v>70</v>
      </c>
      <c r="Z743" t="s">
        <v>60</v>
      </c>
      <c r="AA743">
        <v>0</v>
      </c>
      <c r="AB743" s="2">
        <v>0</v>
      </c>
      <c r="AC743" s="2">
        <v>0</v>
      </c>
      <c r="AD743" s="4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13.45</v>
      </c>
      <c r="AN743" s="2">
        <v>13.45</v>
      </c>
      <c r="AO743" s="2">
        <v>0</v>
      </c>
      <c r="AP743" s="2">
        <v>0</v>
      </c>
      <c r="AQ743" s="2">
        <v>0</v>
      </c>
    </row>
    <row r="744" spans="1:43" x14ac:dyDescent="0.25">
      <c r="A744" s="1">
        <v>45922</v>
      </c>
      <c r="B744" t="s">
        <v>47</v>
      </c>
      <c r="C744">
        <v>649163</v>
      </c>
      <c r="D744">
        <v>2026669942</v>
      </c>
      <c r="E744" t="s">
        <v>147</v>
      </c>
      <c r="F744" t="s">
        <v>148</v>
      </c>
      <c r="G744" t="s">
        <v>50</v>
      </c>
      <c r="H744" t="s">
        <v>77</v>
      </c>
      <c r="I744" t="s">
        <v>106</v>
      </c>
      <c r="J744" t="s">
        <v>107</v>
      </c>
      <c r="K744">
        <v>767312</v>
      </c>
      <c r="L744" t="s">
        <v>122</v>
      </c>
      <c r="M744" t="s">
        <v>123</v>
      </c>
      <c r="N744" t="s">
        <v>1085</v>
      </c>
      <c r="O744" t="s">
        <v>56</v>
      </c>
      <c r="P744" s="1">
        <v>45677</v>
      </c>
      <c r="Q744" s="1">
        <v>45950</v>
      </c>
      <c r="R744" s="2">
        <v>17.02</v>
      </c>
      <c r="S744">
        <v>1</v>
      </c>
      <c r="T744" t="s">
        <v>57</v>
      </c>
      <c r="U744" t="s">
        <v>58</v>
      </c>
      <c r="V744" s="4">
        <v>0.9</v>
      </c>
      <c r="W744" s="2">
        <v>0</v>
      </c>
      <c r="X744">
        <v>0</v>
      </c>
      <c r="Y744" t="s">
        <v>70</v>
      </c>
      <c r="Z744" t="s">
        <v>60</v>
      </c>
      <c r="AA744">
        <v>0</v>
      </c>
      <c r="AB744" s="2">
        <v>0</v>
      </c>
      <c r="AC744" s="2">
        <v>0</v>
      </c>
      <c r="AD744" s="4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15.32</v>
      </c>
      <c r="AN744" s="2">
        <v>15.32</v>
      </c>
      <c r="AO744" s="2">
        <v>0</v>
      </c>
      <c r="AP744" s="2">
        <v>0</v>
      </c>
      <c r="AQ744" s="2">
        <v>0</v>
      </c>
    </row>
    <row r="745" spans="1:43" x14ac:dyDescent="0.25">
      <c r="A745" s="1">
        <v>45922</v>
      </c>
      <c r="B745" t="s">
        <v>47</v>
      </c>
      <c r="C745">
        <v>649163</v>
      </c>
      <c r="D745">
        <v>2029101372</v>
      </c>
      <c r="E745" t="s">
        <v>189</v>
      </c>
      <c r="F745" t="s">
        <v>190</v>
      </c>
      <c r="G745" t="s">
        <v>50</v>
      </c>
      <c r="H745" t="s">
        <v>151</v>
      </c>
      <c r="I745" t="s">
        <v>106</v>
      </c>
      <c r="J745" t="s">
        <v>146</v>
      </c>
      <c r="K745">
        <v>767312</v>
      </c>
      <c r="L745" t="s">
        <v>122</v>
      </c>
      <c r="M745" t="s">
        <v>123</v>
      </c>
      <c r="N745" t="s">
        <v>1085</v>
      </c>
      <c r="O745" t="s">
        <v>56</v>
      </c>
      <c r="P745" s="1">
        <v>45801</v>
      </c>
      <c r="Q745" s="1">
        <v>45954</v>
      </c>
      <c r="R745" s="2">
        <v>53.79</v>
      </c>
      <c r="S745">
        <v>1</v>
      </c>
      <c r="T745" t="s">
        <v>57</v>
      </c>
      <c r="U745" t="s">
        <v>58</v>
      </c>
      <c r="V745" s="4">
        <v>0.65</v>
      </c>
      <c r="W745" s="2">
        <v>0</v>
      </c>
      <c r="X745">
        <v>0</v>
      </c>
      <c r="Y745" t="s">
        <v>70</v>
      </c>
      <c r="Z745" t="s">
        <v>60</v>
      </c>
      <c r="AA745">
        <v>0</v>
      </c>
      <c r="AB745" s="2">
        <v>0</v>
      </c>
      <c r="AC745" s="2">
        <v>0</v>
      </c>
      <c r="AD745" s="4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34.96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</row>
    <row r="746" spans="1:43" x14ac:dyDescent="0.25">
      <c r="A746" s="1">
        <v>45922</v>
      </c>
      <c r="B746" t="s">
        <v>47</v>
      </c>
      <c r="C746">
        <v>649163</v>
      </c>
      <c r="D746">
        <v>2025154617</v>
      </c>
      <c r="E746" t="s">
        <v>345</v>
      </c>
      <c r="F746" t="s">
        <v>346</v>
      </c>
      <c r="G746" t="s">
        <v>50</v>
      </c>
      <c r="H746" t="s">
        <v>115</v>
      </c>
      <c r="I746" t="s">
        <v>306</v>
      </c>
      <c r="J746" t="s">
        <v>307</v>
      </c>
      <c r="K746">
        <v>767312</v>
      </c>
      <c r="L746" t="s">
        <v>122</v>
      </c>
      <c r="M746" t="s">
        <v>123</v>
      </c>
      <c r="N746" t="s">
        <v>1085</v>
      </c>
      <c r="O746" t="s">
        <v>56</v>
      </c>
      <c r="P746" s="1">
        <v>45581</v>
      </c>
      <c r="Q746" s="1">
        <v>45946</v>
      </c>
      <c r="R746" s="2">
        <v>-27.52</v>
      </c>
      <c r="S746">
        <v>1</v>
      </c>
      <c r="T746" t="s">
        <v>57</v>
      </c>
      <c r="U746" t="s">
        <v>58</v>
      </c>
      <c r="V746" s="3">
        <v>0.375</v>
      </c>
      <c r="W746" s="2">
        <v>0</v>
      </c>
      <c r="X746">
        <v>-1</v>
      </c>
      <c r="Y746" t="s">
        <v>70</v>
      </c>
      <c r="Z746" t="s">
        <v>60</v>
      </c>
      <c r="AA746">
        <v>0</v>
      </c>
      <c r="AB746" s="2">
        <v>0</v>
      </c>
      <c r="AC746" s="2">
        <v>0</v>
      </c>
      <c r="AD746" s="4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-10.32</v>
      </c>
      <c r="AN746" s="2">
        <v>-10.32</v>
      </c>
      <c r="AO746" s="2">
        <v>0</v>
      </c>
      <c r="AP746" s="2">
        <v>0</v>
      </c>
      <c r="AQ746" s="2">
        <v>0</v>
      </c>
    </row>
    <row r="747" spans="1:43" x14ac:dyDescent="0.25">
      <c r="A747" s="1">
        <v>45922</v>
      </c>
      <c r="B747" t="s">
        <v>47</v>
      </c>
      <c r="C747">
        <v>649163</v>
      </c>
      <c r="D747">
        <v>2025233515</v>
      </c>
      <c r="E747" t="s">
        <v>119</v>
      </c>
      <c r="F747" t="s">
        <v>120</v>
      </c>
      <c r="G747" t="s">
        <v>50</v>
      </c>
      <c r="H747" t="s">
        <v>121</v>
      </c>
      <c r="I747" t="s">
        <v>306</v>
      </c>
      <c r="J747" t="s">
        <v>307</v>
      </c>
      <c r="K747">
        <v>767312</v>
      </c>
      <c r="L747" t="s">
        <v>122</v>
      </c>
      <c r="M747" t="s">
        <v>123</v>
      </c>
      <c r="N747" t="s">
        <v>1085</v>
      </c>
      <c r="O747" t="s">
        <v>56</v>
      </c>
      <c r="P747" s="1">
        <v>45586</v>
      </c>
      <c r="Q747" s="1">
        <v>45951</v>
      </c>
      <c r="R747" s="2">
        <v>26.74</v>
      </c>
      <c r="S747">
        <v>1</v>
      </c>
      <c r="T747" t="s">
        <v>57</v>
      </c>
      <c r="U747" t="s">
        <v>58</v>
      </c>
      <c r="V747" s="3">
        <v>0.375</v>
      </c>
      <c r="W747" s="2">
        <v>0</v>
      </c>
      <c r="X747">
        <v>0</v>
      </c>
      <c r="Y747" t="s">
        <v>70</v>
      </c>
      <c r="Z747" t="s">
        <v>60</v>
      </c>
      <c r="AA747">
        <v>0</v>
      </c>
      <c r="AB747" s="2">
        <v>0</v>
      </c>
      <c r="AC747" s="2">
        <v>0</v>
      </c>
      <c r="AD747" s="4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10.029999999999999</v>
      </c>
      <c r="AN747" s="2">
        <v>10.029999999999999</v>
      </c>
      <c r="AO747" s="2">
        <v>0</v>
      </c>
      <c r="AP747" s="2">
        <v>0</v>
      </c>
      <c r="AQ747" s="2">
        <v>0</v>
      </c>
    </row>
    <row r="748" spans="1:43" x14ac:dyDescent="0.25">
      <c r="A748" s="1">
        <v>45922</v>
      </c>
      <c r="B748" t="s">
        <v>47</v>
      </c>
      <c r="C748">
        <v>649163</v>
      </c>
      <c r="D748">
        <v>2026669940</v>
      </c>
      <c r="E748" t="s">
        <v>147</v>
      </c>
      <c r="F748" t="s">
        <v>148</v>
      </c>
      <c r="G748" t="s">
        <v>50</v>
      </c>
      <c r="H748" t="s">
        <v>77</v>
      </c>
      <c r="I748" t="s">
        <v>306</v>
      </c>
      <c r="J748" t="s">
        <v>307</v>
      </c>
      <c r="K748">
        <v>767312</v>
      </c>
      <c r="L748" t="s">
        <v>122</v>
      </c>
      <c r="M748" t="s">
        <v>123</v>
      </c>
      <c r="N748" t="s">
        <v>1085</v>
      </c>
      <c r="O748" t="s">
        <v>56</v>
      </c>
      <c r="P748" s="1">
        <v>45677</v>
      </c>
      <c r="Q748" s="1">
        <v>45950</v>
      </c>
      <c r="R748" s="2">
        <v>24.7</v>
      </c>
      <c r="S748">
        <v>1</v>
      </c>
      <c r="T748" t="s">
        <v>57</v>
      </c>
      <c r="U748" t="s">
        <v>58</v>
      </c>
      <c r="V748" s="3">
        <v>0.375</v>
      </c>
      <c r="W748" s="2">
        <v>0</v>
      </c>
      <c r="X748">
        <v>0</v>
      </c>
      <c r="Y748" t="s">
        <v>70</v>
      </c>
      <c r="Z748" t="s">
        <v>60</v>
      </c>
      <c r="AA748">
        <v>0</v>
      </c>
      <c r="AB748" s="2">
        <v>0</v>
      </c>
      <c r="AC748" s="2">
        <v>0</v>
      </c>
      <c r="AD748" s="4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9.26</v>
      </c>
      <c r="AN748" s="2">
        <v>9.26</v>
      </c>
      <c r="AO748" s="2">
        <v>0</v>
      </c>
      <c r="AP748" s="2">
        <v>0</v>
      </c>
      <c r="AQ748" s="2">
        <v>0</v>
      </c>
    </row>
    <row r="749" spans="1:43" x14ac:dyDescent="0.25">
      <c r="A749" s="1">
        <v>45922</v>
      </c>
      <c r="B749" t="s">
        <v>47</v>
      </c>
      <c r="C749">
        <v>649163</v>
      </c>
      <c r="D749">
        <v>2026760029</v>
      </c>
      <c r="E749" t="s">
        <v>358</v>
      </c>
      <c r="F749" t="s">
        <v>359</v>
      </c>
      <c r="G749" t="s">
        <v>50</v>
      </c>
      <c r="H749" t="s">
        <v>360</v>
      </c>
      <c r="I749" t="s">
        <v>306</v>
      </c>
      <c r="J749" t="s">
        <v>307</v>
      </c>
      <c r="K749">
        <v>767312</v>
      </c>
      <c r="L749" t="s">
        <v>122</v>
      </c>
      <c r="M749" t="s">
        <v>123</v>
      </c>
      <c r="N749" t="s">
        <v>1085</v>
      </c>
      <c r="O749" t="s">
        <v>56</v>
      </c>
      <c r="P749" s="1">
        <v>45682</v>
      </c>
      <c r="Q749" s="1">
        <v>45955</v>
      </c>
      <c r="R749" s="2">
        <v>22.84</v>
      </c>
      <c r="S749">
        <v>1</v>
      </c>
      <c r="T749" t="s">
        <v>57</v>
      </c>
      <c r="U749" t="s">
        <v>58</v>
      </c>
      <c r="V749" s="3">
        <v>0.375</v>
      </c>
      <c r="W749" s="2">
        <v>0</v>
      </c>
      <c r="X749">
        <v>0</v>
      </c>
      <c r="Y749" t="s">
        <v>70</v>
      </c>
      <c r="Z749" t="s">
        <v>60</v>
      </c>
      <c r="AA749">
        <v>0</v>
      </c>
      <c r="AB749" s="2">
        <v>0</v>
      </c>
      <c r="AC749" s="2">
        <v>0</v>
      </c>
      <c r="AD749" s="4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8.56</v>
      </c>
      <c r="AN749" s="2">
        <v>8.56</v>
      </c>
      <c r="AO749" s="2">
        <v>0</v>
      </c>
      <c r="AP749" s="2">
        <v>0</v>
      </c>
      <c r="AQ749" s="2">
        <v>0</v>
      </c>
    </row>
    <row r="750" spans="1:43" x14ac:dyDescent="0.25">
      <c r="A750" s="1">
        <v>45922</v>
      </c>
      <c r="B750" t="s">
        <v>47</v>
      </c>
      <c r="C750">
        <v>649163</v>
      </c>
      <c r="D750">
        <v>2029026297</v>
      </c>
      <c r="E750" t="s">
        <v>378</v>
      </c>
      <c r="F750" t="s">
        <v>379</v>
      </c>
      <c r="G750" t="s">
        <v>50</v>
      </c>
      <c r="H750" t="s">
        <v>83</v>
      </c>
      <c r="I750" t="s">
        <v>306</v>
      </c>
      <c r="J750" t="s">
        <v>307</v>
      </c>
      <c r="K750">
        <v>767312</v>
      </c>
      <c r="L750" t="s">
        <v>122</v>
      </c>
      <c r="M750" t="s">
        <v>123</v>
      </c>
      <c r="N750" t="s">
        <v>1085</v>
      </c>
      <c r="O750" t="s">
        <v>56</v>
      </c>
      <c r="P750" s="1">
        <v>45798</v>
      </c>
      <c r="Q750" s="1">
        <v>45951</v>
      </c>
      <c r="R750" s="2">
        <v>23.79</v>
      </c>
      <c r="S750">
        <v>1</v>
      </c>
      <c r="T750" t="s">
        <v>57</v>
      </c>
      <c r="U750" t="s">
        <v>58</v>
      </c>
      <c r="V750" s="3">
        <v>0.375</v>
      </c>
      <c r="W750" s="2">
        <v>0</v>
      </c>
      <c r="X750">
        <v>0</v>
      </c>
      <c r="Y750" t="s">
        <v>70</v>
      </c>
      <c r="Z750" t="s">
        <v>60</v>
      </c>
      <c r="AA750">
        <v>0</v>
      </c>
      <c r="AB750" s="2">
        <v>0</v>
      </c>
      <c r="AC750" s="2">
        <v>0</v>
      </c>
      <c r="AD750" s="4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8.92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</row>
    <row r="751" spans="1:43" x14ac:dyDescent="0.25">
      <c r="A751" s="1">
        <v>45922</v>
      </c>
      <c r="B751" t="s">
        <v>47</v>
      </c>
      <c r="C751">
        <v>649163</v>
      </c>
      <c r="D751">
        <v>2029062370</v>
      </c>
      <c r="E751" t="s">
        <v>384</v>
      </c>
      <c r="F751" t="s">
        <v>385</v>
      </c>
      <c r="G751" t="s">
        <v>50</v>
      </c>
      <c r="H751" t="s">
        <v>188</v>
      </c>
      <c r="I751" t="s">
        <v>306</v>
      </c>
      <c r="J751" t="s">
        <v>307</v>
      </c>
      <c r="K751">
        <v>767312</v>
      </c>
      <c r="L751" t="s">
        <v>122</v>
      </c>
      <c r="M751" t="s">
        <v>123</v>
      </c>
      <c r="N751" t="s">
        <v>1085</v>
      </c>
      <c r="O751" t="s">
        <v>56</v>
      </c>
      <c r="P751" s="1">
        <v>45800</v>
      </c>
      <c r="Q751" s="1">
        <v>45953</v>
      </c>
      <c r="R751" s="2">
        <v>122.99</v>
      </c>
      <c r="S751">
        <v>1</v>
      </c>
      <c r="T751" t="s">
        <v>57</v>
      </c>
      <c r="U751" t="s">
        <v>58</v>
      </c>
      <c r="V751" s="3">
        <v>0.375</v>
      </c>
      <c r="W751" s="2">
        <v>0</v>
      </c>
      <c r="X751">
        <v>0</v>
      </c>
      <c r="Y751" t="s">
        <v>70</v>
      </c>
      <c r="Z751" t="s">
        <v>60</v>
      </c>
      <c r="AA751">
        <v>0</v>
      </c>
      <c r="AB751" s="2">
        <v>0</v>
      </c>
      <c r="AC751" s="2">
        <v>0</v>
      </c>
      <c r="AD751" s="4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46.12</v>
      </c>
      <c r="AN751" s="2">
        <v>46.12</v>
      </c>
      <c r="AO751" s="2">
        <v>0</v>
      </c>
      <c r="AP751" s="2">
        <v>0</v>
      </c>
      <c r="AQ751" s="2">
        <v>0</v>
      </c>
    </row>
    <row r="752" spans="1:43" x14ac:dyDescent="0.25">
      <c r="A752" s="1">
        <v>45922</v>
      </c>
      <c r="B752" t="s">
        <v>47</v>
      </c>
      <c r="C752">
        <v>649163</v>
      </c>
      <c r="D752">
        <v>2030113889</v>
      </c>
      <c r="E752" t="s">
        <v>394</v>
      </c>
      <c r="F752" t="s">
        <v>395</v>
      </c>
      <c r="G752" t="s">
        <v>50</v>
      </c>
      <c r="H752" t="s">
        <v>180</v>
      </c>
      <c r="I752" t="s">
        <v>306</v>
      </c>
      <c r="J752" t="s">
        <v>307</v>
      </c>
      <c r="K752">
        <v>767312</v>
      </c>
      <c r="L752" t="s">
        <v>122</v>
      </c>
      <c r="M752" t="s">
        <v>123</v>
      </c>
      <c r="N752" t="s">
        <v>1085</v>
      </c>
      <c r="O752" t="s">
        <v>56</v>
      </c>
      <c r="P752" s="1">
        <v>45862</v>
      </c>
      <c r="Q752" s="1">
        <v>45954</v>
      </c>
      <c r="R752" s="2">
        <v>62.71</v>
      </c>
      <c r="S752">
        <v>1</v>
      </c>
      <c r="T752" t="s">
        <v>57</v>
      </c>
      <c r="U752" t="s">
        <v>58</v>
      </c>
      <c r="V752" s="3">
        <v>0.375</v>
      </c>
      <c r="W752" s="2">
        <v>0</v>
      </c>
      <c r="X752">
        <v>0</v>
      </c>
      <c r="Y752" t="s">
        <v>70</v>
      </c>
      <c r="Z752" t="s">
        <v>60</v>
      </c>
      <c r="AA752">
        <v>0</v>
      </c>
      <c r="AB752" s="2">
        <v>0</v>
      </c>
      <c r="AC752" s="2">
        <v>0</v>
      </c>
      <c r="AD752" s="4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23.52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</row>
    <row r="753" spans="1:43" x14ac:dyDescent="0.25">
      <c r="A753" s="1">
        <v>45922</v>
      </c>
      <c r="B753" t="s">
        <v>47</v>
      </c>
      <c r="C753">
        <v>649163</v>
      </c>
      <c r="D753">
        <v>2030461446</v>
      </c>
      <c r="E753" t="s">
        <v>398</v>
      </c>
      <c r="F753" t="s">
        <v>399</v>
      </c>
      <c r="G753" t="s">
        <v>50</v>
      </c>
      <c r="H753" t="s">
        <v>400</v>
      </c>
      <c r="I753" t="s">
        <v>306</v>
      </c>
      <c r="J753" t="s">
        <v>307</v>
      </c>
      <c r="K753">
        <v>767312</v>
      </c>
      <c r="L753" t="s">
        <v>122</v>
      </c>
      <c r="M753" t="s">
        <v>123</v>
      </c>
      <c r="N753" t="s">
        <v>1085</v>
      </c>
      <c r="O753" t="s">
        <v>56</v>
      </c>
      <c r="P753" s="1">
        <v>45892</v>
      </c>
      <c r="Q753" s="1">
        <v>45953</v>
      </c>
      <c r="R753" s="2">
        <v>79.27</v>
      </c>
      <c r="S753">
        <v>1</v>
      </c>
      <c r="T753" t="s">
        <v>57</v>
      </c>
      <c r="U753" t="s">
        <v>58</v>
      </c>
      <c r="V753" s="3">
        <v>0.375</v>
      </c>
      <c r="W753" s="2">
        <v>0</v>
      </c>
      <c r="X753">
        <v>0</v>
      </c>
      <c r="Y753" t="s">
        <v>70</v>
      </c>
      <c r="Z753" t="s">
        <v>60</v>
      </c>
      <c r="AA753">
        <v>0</v>
      </c>
      <c r="AB753" s="2">
        <v>0</v>
      </c>
      <c r="AC753" s="2">
        <v>0</v>
      </c>
      <c r="AD753" s="4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29.73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</row>
    <row r="754" spans="1:43" x14ac:dyDescent="0.25">
      <c r="A754" s="1">
        <v>45922</v>
      </c>
      <c r="B754" t="s">
        <v>47</v>
      </c>
      <c r="C754">
        <v>649163</v>
      </c>
      <c r="D754">
        <v>2030590884</v>
      </c>
      <c r="E754" t="s">
        <v>407</v>
      </c>
      <c r="F754" t="s">
        <v>393</v>
      </c>
      <c r="G754" t="s">
        <v>50</v>
      </c>
      <c r="H754" t="s">
        <v>408</v>
      </c>
      <c r="I754" t="s">
        <v>306</v>
      </c>
      <c r="J754" t="s">
        <v>307</v>
      </c>
      <c r="K754">
        <v>767312</v>
      </c>
      <c r="L754" t="s">
        <v>122</v>
      </c>
      <c r="M754" t="s">
        <v>123</v>
      </c>
      <c r="N754" t="s">
        <v>1085</v>
      </c>
      <c r="O754" t="s">
        <v>56</v>
      </c>
      <c r="P754" s="1">
        <v>45890</v>
      </c>
      <c r="Q754" s="1">
        <v>45951</v>
      </c>
      <c r="R754" s="2">
        <v>17.37</v>
      </c>
      <c r="S754">
        <v>1</v>
      </c>
      <c r="T754" t="s">
        <v>57</v>
      </c>
      <c r="U754" t="s">
        <v>58</v>
      </c>
      <c r="V754" s="3">
        <v>0.375</v>
      </c>
      <c r="W754" s="2">
        <v>0</v>
      </c>
      <c r="X754">
        <v>0</v>
      </c>
      <c r="Y754" t="s">
        <v>70</v>
      </c>
      <c r="Z754" t="s">
        <v>60</v>
      </c>
      <c r="AA754">
        <v>0</v>
      </c>
      <c r="AB754" s="2">
        <v>0</v>
      </c>
      <c r="AC754" s="2">
        <v>0</v>
      </c>
      <c r="AD754" s="4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6.51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</row>
    <row r="755" spans="1:43" x14ac:dyDescent="0.25">
      <c r="A755" s="1">
        <v>45922</v>
      </c>
      <c r="B755" t="s">
        <v>47</v>
      </c>
      <c r="C755">
        <v>649163</v>
      </c>
      <c r="D755">
        <v>2023973863</v>
      </c>
      <c r="E755" t="s">
        <v>460</v>
      </c>
      <c r="F755" t="s">
        <v>461</v>
      </c>
      <c r="G755" t="s">
        <v>50</v>
      </c>
      <c r="H755" t="s">
        <v>151</v>
      </c>
      <c r="I755" t="s">
        <v>441</v>
      </c>
      <c r="J755" t="s">
        <v>442</v>
      </c>
      <c r="K755">
        <v>767312</v>
      </c>
      <c r="L755" t="s">
        <v>122</v>
      </c>
      <c r="M755" t="s">
        <v>123</v>
      </c>
      <c r="N755" t="s">
        <v>1085</v>
      </c>
      <c r="O755" t="s">
        <v>56</v>
      </c>
      <c r="P755" s="1">
        <v>45493</v>
      </c>
      <c r="Q755" s="1">
        <v>45950</v>
      </c>
      <c r="R755" s="2">
        <v>27.81</v>
      </c>
      <c r="S755">
        <v>1</v>
      </c>
      <c r="T755" t="s">
        <v>57</v>
      </c>
      <c r="U755" t="s">
        <v>58</v>
      </c>
      <c r="V755" s="4">
        <v>0.1</v>
      </c>
      <c r="W755" s="2">
        <v>0</v>
      </c>
      <c r="X755">
        <v>0</v>
      </c>
      <c r="Y755" t="s">
        <v>59</v>
      </c>
      <c r="Z755" t="s">
        <v>60</v>
      </c>
      <c r="AA755">
        <v>0</v>
      </c>
      <c r="AB755" s="2">
        <v>0</v>
      </c>
      <c r="AC755" s="2">
        <v>0</v>
      </c>
      <c r="AD755" s="4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2.78</v>
      </c>
      <c r="AN755" s="2">
        <v>2.78</v>
      </c>
      <c r="AO755" s="2">
        <v>0</v>
      </c>
      <c r="AP755" s="2">
        <v>0</v>
      </c>
      <c r="AQ755" s="2">
        <v>0</v>
      </c>
    </row>
    <row r="756" spans="1:43" x14ac:dyDescent="0.25">
      <c r="A756" s="1">
        <v>45922</v>
      </c>
      <c r="B756" t="s">
        <v>47</v>
      </c>
      <c r="C756">
        <v>649163</v>
      </c>
      <c r="D756">
        <v>2023973864</v>
      </c>
      <c r="E756" t="s">
        <v>460</v>
      </c>
      <c r="F756" t="s">
        <v>461</v>
      </c>
      <c r="G756" t="s">
        <v>50</v>
      </c>
      <c r="H756" t="s">
        <v>151</v>
      </c>
      <c r="I756" t="s">
        <v>441</v>
      </c>
      <c r="J756" t="s">
        <v>445</v>
      </c>
      <c r="K756">
        <v>767312</v>
      </c>
      <c r="L756" t="s">
        <v>122</v>
      </c>
      <c r="M756" t="s">
        <v>123</v>
      </c>
      <c r="N756" t="s">
        <v>1085</v>
      </c>
      <c r="O756" t="s">
        <v>56</v>
      </c>
      <c r="P756" s="1">
        <v>45493</v>
      </c>
      <c r="Q756" s="1">
        <v>45950</v>
      </c>
      <c r="R756" s="2">
        <v>10.75</v>
      </c>
      <c r="S756">
        <v>1</v>
      </c>
      <c r="T756" t="s">
        <v>57</v>
      </c>
      <c r="U756" t="s">
        <v>58</v>
      </c>
      <c r="V756" s="4">
        <v>0.15</v>
      </c>
      <c r="W756" s="2">
        <v>0</v>
      </c>
      <c r="X756">
        <v>0</v>
      </c>
      <c r="Y756" t="s">
        <v>59</v>
      </c>
      <c r="Z756" t="s">
        <v>60</v>
      </c>
      <c r="AA756">
        <v>0</v>
      </c>
      <c r="AB756" s="2">
        <v>0</v>
      </c>
      <c r="AC756" s="2">
        <v>0</v>
      </c>
      <c r="AD756" s="4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1.61</v>
      </c>
      <c r="AN756" s="2">
        <v>1.61</v>
      </c>
      <c r="AO756" s="2">
        <v>0</v>
      </c>
      <c r="AP756" s="2">
        <v>0</v>
      </c>
      <c r="AQ756" s="2">
        <v>0</v>
      </c>
    </row>
    <row r="757" spans="1:43" x14ac:dyDescent="0.25">
      <c r="A757" s="1">
        <v>45922</v>
      </c>
      <c r="B757" t="s">
        <v>47</v>
      </c>
      <c r="C757">
        <v>649163</v>
      </c>
      <c r="D757">
        <v>2025154616</v>
      </c>
      <c r="E757" t="s">
        <v>345</v>
      </c>
      <c r="F757" t="s">
        <v>346</v>
      </c>
      <c r="G757" t="s">
        <v>50</v>
      </c>
      <c r="H757" t="s">
        <v>115</v>
      </c>
      <c r="I757" t="s">
        <v>441</v>
      </c>
      <c r="J757" t="s">
        <v>445</v>
      </c>
      <c r="K757">
        <v>767312</v>
      </c>
      <c r="L757" t="s">
        <v>122</v>
      </c>
      <c r="M757" t="s">
        <v>123</v>
      </c>
      <c r="N757" t="s">
        <v>1085</v>
      </c>
      <c r="O757" t="s">
        <v>56</v>
      </c>
      <c r="P757" s="1">
        <v>45581</v>
      </c>
      <c r="Q757" s="1">
        <v>45946</v>
      </c>
      <c r="R757" s="2">
        <v>-129.22</v>
      </c>
      <c r="S757">
        <v>1</v>
      </c>
      <c r="T757" t="s">
        <v>57</v>
      </c>
      <c r="U757" t="s">
        <v>58</v>
      </c>
      <c r="V757" s="4">
        <v>0.7</v>
      </c>
      <c r="W757" s="2">
        <v>0</v>
      </c>
      <c r="X757">
        <v>-1</v>
      </c>
      <c r="Y757" t="s">
        <v>70</v>
      </c>
      <c r="Z757" t="s">
        <v>60</v>
      </c>
      <c r="AA757">
        <v>0</v>
      </c>
      <c r="AB757" s="2">
        <v>0</v>
      </c>
      <c r="AC757" s="2">
        <v>0</v>
      </c>
      <c r="AD757" s="4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-90.45</v>
      </c>
      <c r="AN757" s="2">
        <v>-90.45</v>
      </c>
      <c r="AO757" s="2">
        <v>0</v>
      </c>
      <c r="AP757" s="2">
        <v>0</v>
      </c>
      <c r="AQ757" s="2">
        <v>0</v>
      </c>
    </row>
    <row r="758" spans="1:43" x14ac:dyDescent="0.25">
      <c r="A758" s="1">
        <v>45922</v>
      </c>
      <c r="B758" t="s">
        <v>47</v>
      </c>
      <c r="C758">
        <v>649163</v>
      </c>
      <c r="D758">
        <v>2025233513</v>
      </c>
      <c r="E758" t="s">
        <v>119</v>
      </c>
      <c r="F758" t="s">
        <v>120</v>
      </c>
      <c r="G758" t="s">
        <v>50</v>
      </c>
      <c r="H758" t="s">
        <v>121</v>
      </c>
      <c r="I758" t="s">
        <v>441</v>
      </c>
      <c r="J758" t="s">
        <v>445</v>
      </c>
      <c r="K758">
        <v>767312</v>
      </c>
      <c r="L758" t="s">
        <v>122</v>
      </c>
      <c r="M758" t="s">
        <v>123</v>
      </c>
      <c r="N758" t="s">
        <v>1085</v>
      </c>
      <c r="O758" t="s">
        <v>56</v>
      </c>
      <c r="P758" s="1">
        <v>45586</v>
      </c>
      <c r="Q758" s="1">
        <v>45951</v>
      </c>
      <c r="R758" s="2">
        <v>28.73</v>
      </c>
      <c r="S758">
        <v>1</v>
      </c>
      <c r="T758" t="s">
        <v>57</v>
      </c>
      <c r="U758" t="s">
        <v>58</v>
      </c>
      <c r="V758" s="4">
        <v>0.7</v>
      </c>
      <c r="W758" s="2">
        <v>0</v>
      </c>
      <c r="X758">
        <v>0</v>
      </c>
      <c r="Y758" t="s">
        <v>70</v>
      </c>
      <c r="Z758" t="s">
        <v>60</v>
      </c>
      <c r="AA758">
        <v>0</v>
      </c>
      <c r="AB758" s="2">
        <v>0</v>
      </c>
      <c r="AC758" s="2">
        <v>0</v>
      </c>
      <c r="AD758" s="4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20.11</v>
      </c>
      <c r="AN758" s="2">
        <v>20.11</v>
      </c>
      <c r="AO758" s="2">
        <v>0</v>
      </c>
      <c r="AP758" s="2">
        <v>0</v>
      </c>
      <c r="AQ758" s="2">
        <v>0</v>
      </c>
    </row>
    <row r="759" spans="1:43" x14ac:dyDescent="0.25">
      <c r="A759" s="1">
        <v>45922</v>
      </c>
      <c r="B759" t="s">
        <v>47</v>
      </c>
      <c r="C759">
        <v>649163</v>
      </c>
      <c r="D759">
        <v>2025432387</v>
      </c>
      <c r="E759" t="s">
        <v>469</v>
      </c>
      <c r="F759" t="s">
        <v>470</v>
      </c>
      <c r="G759" t="s">
        <v>50</v>
      </c>
      <c r="H759" t="s">
        <v>115</v>
      </c>
      <c r="I759" t="s">
        <v>441</v>
      </c>
      <c r="J759" t="s">
        <v>442</v>
      </c>
      <c r="K759">
        <v>767312</v>
      </c>
      <c r="L759" t="s">
        <v>122</v>
      </c>
      <c r="M759" t="s">
        <v>123</v>
      </c>
      <c r="N759" t="s">
        <v>1085</v>
      </c>
      <c r="O759" t="s">
        <v>56</v>
      </c>
      <c r="P759" s="1">
        <v>45588</v>
      </c>
      <c r="Q759" s="1">
        <v>45953</v>
      </c>
      <c r="R759" s="2">
        <v>31.17</v>
      </c>
      <c r="S759">
        <v>1</v>
      </c>
      <c r="T759" t="s">
        <v>57</v>
      </c>
      <c r="U759" t="s">
        <v>58</v>
      </c>
      <c r="V759" s="4">
        <v>0.9</v>
      </c>
      <c r="W759" s="2">
        <v>0</v>
      </c>
      <c r="X759">
        <v>0</v>
      </c>
      <c r="Y759" t="s">
        <v>70</v>
      </c>
      <c r="Z759" t="s">
        <v>60</v>
      </c>
      <c r="AA759">
        <v>0</v>
      </c>
      <c r="AB759" s="2">
        <v>0</v>
      </c>
      <c r="AC759" s="2">
        <v>0</v>
      </c>
      <c r="AD759" s="4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28.05</v>
      </c>
      <c r="AN759" s="2">
        <v>28.05</v>
      </c>
      <c r="AO759" s="2">
        <v>0</v>
      </c>
      <c r="AP759" s="2">
        <v>0</v>
      </c>
      <c r="AQ759" s="2">
        <v>0</v>
      </c>
    </row>
    <row r="760" spans="1:43" x14ac:dyDescent="0.25">
      <c r="A760" s="1">
        <v>45922</v>
      </c>
      <c r="B760" t="s">
        <v>47</v>
      </c>
      <c r="C760">
        <v>649163</v>
      </c>
      <c r="D760">
        <v>2026669941</v>
      </c>
      <c r="E760" t="s">
        <v>147</v>
      </c>
      <c r="F760" t="s">
        <v>148</v>
      </c>
      <c r="G760" t="s">
        <v>50</v>
      </c>
      <c r="H760" t="s">
        <v>77</v>
      </c>
      <c r="I760" t="s">
        <v>441</v>
      </c>
      <c r="J760" t="s">
        <v>445</v>
      </c>
      <c r="K760">
        <v>767312</v>
      </c>
      <c r="L760" t="s">
        <v>122</v>
      </c>
      <c r="M760" t="s">
        <v>123</v>
      </c>
      <c r="N760" t="s">
        <v>1085</v>
      </c>
      <c r="O760" t="s">
        <v>56</v>
      </c>
      <c r="P760" s="1">
        <v>45677</v>
      </c>
      <c r="Q760" s="1">
        <v>45950</v>
      </c>
      <c r="R760" s="2">
        <v>26.32</v>
      </c>
      <c r="S760">
        <v>1</v>
      </c>
      <c r="T760" t="s">
        <v>57</v>
      </c>
      <c r="U760" t="s">
        <v>58</v>
      </c>
      <c r="V760" s="4">
        <v>0.7</v>
      </c>
      <c r="W760" s="2">
        <v>0</v>
      </c>
      <c r="X760">
        <v>0</v>
      </c>
      <c r="Y760" t="s">
        <v>70</v>
      </c>
      <c r="Z760" t="s">
        <v>60</v>
      </c>
      <c r="AA760">
        <v>0</v>
      </c>
      <c r="AB760" s="2">
        <v>0</v>
      </c>
      <c r="AC760" s="2">
        <v>0</v>
      </c>
      <c r="AD760" s="4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18.420000000000002</v>
      </c>
      <c r="AN760" s="2">
        <v>18.420000000000002</v>
      </c>
      <c r="AO760" s="2">
        <v>0</v>
      </c>
      <c r="AP760" s="2">
        <v>0</v>
      </c>
      <c r="AQ760" s="2">
        <v>0</v>
      </c>
    </row>
    <row r="761" spans="1:43" x14ac:dyDescent="0.25">
      <c r="A761" s="1">
        <v>45922</v>
      </c>
      <c r="B761" t="s">
        <v>47</v>
      </c>
      <c r="C761">
        <v>649163</v>
      </c>
      <c r="D761">
        <v>2026693770</v>
      </c>
      <c r="E761" t="s">
        <v>481</v>
      </c>
      <c r="F761" t="s">
        <v>482</v>
      </c>
      <c r="G761" t="s">
        <v>50</v>
      </c>
      <c r="H761" t="s">
        <v>405</v>
      </c>
      <c r="I761" t="s">
        <v>441</v>
      </c>
      <c r="J761" t="s">
        <v>442</v>
      </c>
      <c r="K761">
        <v>767312</v>
      </c>
      <c r="L761" t="s">
        <v>122</v>
      </c>
      <c r="M761" t="s">
        <v>123</v>
      </c>
      <c r="N761" t="s">
        <v>1085</v>
      </c>
      <c r="O761" t="s">
        <v>56</v>
      </c>
      <c r="P761" s="1">
        <v>45679</v>
      </c>
      <c r="Q761" s="1">
        <v>45952</v>
      </c>
      <c r="R761" s="2">
        <v>58.17</v>
      </c>
      <c r="S761">
        <v>1</v>
      </c>
      <c r="T761" t="s">
        <v>57</v>
      </c>
      <c r="U761" t="s">
        <v>58</v>
      </c>
      <c r="V761" s="4">
        <v>0.9</v>
      </c>
      <c r="W761" s="2">
        <v>0</v>
      </c>
      <c r="X761">
        <v>0</v>
      </c>
      <c r="Y761" t="s">
        <v>70</v>
      </c>
      <c r="Z761" t="s">
        <v>60</v>
      </c>
      <c r="AA761">
        <v>0</v>
      </c>
      <c r="AB761" s="2">
        <v>0</v>
      </c>
      <c r="AC761" s="2">
        <v>0</v>
      </c>
      <c r="AD761" s="4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52.35</v>
      </c>
      <c r="AN761" s="2">
        <v>52.35</v>
      </c>
      <c r="AO761" s="2">
        <v>0</v>
      </c>
      <c r="AP761" s="2">
        <v>0</v>
      </c>
      <c r="AQ761" s="2">
        <v>0</v>
      </c>
    </row>
    <row r="762" spans="1:43" x14ac:dyDescent="0.25">
      <c r="A762" s="1">
        <v>45922</v>
      </c>
      <c r="B762" t="s">
        <v>47</v>
      </c>
      <c r="C762">
        <v>649163</v>
      </c>
      <c r="D762">
        <v>2029026298</v>
      </c>
      <c r="E762" t="s">
        <v>378</v>
      </c>
      <c r="F762" t="s">
        <v>379</v>
      </c>
      <c r="G762" t="s">
        <v>50</v>
      </c>
      <c r="H762" t="s">
        <v>83</v>
      </c>
      <c r="I762" t="s">
        <v>441</v>
      </c>
      <c r="J762" t="s">
        <v>442</v>
      </c>
      <c r="K762">
        <v>767312</v>
      </c>
      <c r="L762" t="s">
        <v>122</v>
      </c>
      <c r="M762" t="s">
        <v>123</v>
      </c>
      <c r="N762" t="s">
        <v>1085</v>
      </c>
      <c r="O762" t="s">
        <v>56</v>
      </c>
      <c r="P762" s="1">
        <v>45798</v>
      </c>
      <c r="Q762" s="1">
        <v>45951</v>
      </c>
      <c r="R762" s="2">
        <v>44.13</v>
      </c>
      <c r="S762">
        <v>1</v>
      </c>
      <c r="T762" t="s">
        <v>57</v>
      </c>
      <c r="U762" t="s">
        <v>58</v>
      </c>
      <c r="V762" s="4">
        <v>0.9</v>
      </c>
      <c r="W762" s="2">
        <v>0</v>
      </c>
      <c r="X762">
        <v>0</v>
      </c>
      <c r="Y762" t="s">
        <v>70</v>
      </c>
      <c r="Z762" t="s">
        <v>60</v>
      </c>
      <c r="AA762">
        <v>0</v>
      </c>
      <c r="AB762" s="2">
        <v>0</v>
      </c>
      <c r="AC762" s="2">
        <v>0</v>
      </c>
      <c r="AD762" s="4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39.72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</row>
    <row r="763" spans="1:43" x14ac:dyDescent="0.25">
      <c r="A763" s="1">
        <v>45922</v>
      </c>
      <c r="B763" t="s">
        <v>47</v>
      </c>
      <c r="C763">
        <v>649163</v>
      </c>
      <c r="D763">
        <v>2029039457</v>
      </c>
      <c r="E763" t="s">
        <v>505</v>
      </c>
      <c r="F763" t="s">
        <v>506</v>
      </c>
      <c r="G763" t="s">
        <v>50</v>
      </c>
      <c r="H763" t="s">
        <v>151</v>
      </c>
      <c r="I763" t="s">
        <v>441</v>
      </c>
      <c r="J763" t="s">
        <v>445</v>
      </c>
      <c r="K763">
        <v>767312</v>
      </c>
      <c r="L763" t="s">
        <v>122</v>
      </c>
      <c r="M763" t="s">
        <v>123</v>
      </c>
      <c r="N763" t="s">
        <v>1085</v>
      </c>
      <c r="O763" t="s">
        <v>56</v>
      </c>
      <c r="P763" s="1">
        <v>45798</v>
      </c>
      <c r="Q763" s="1">
        <v>45951</v>
      </c>
      <c r="R763" s="2">
        <v>23</v>
      </c>
      <c r="S763">
        <v>1</v>
      </c>
      <c r="T763" t="s">
        <v>57</v>
      </c>
      <c r="U763" t="s">
        <v>58</v>
      </c>
      <c r="V763" s="4">
        <v>0.7</v>
      </c>
      <c r="W763" s="2">
        <v>0</v>
      </c>
      <c r="X763">
        <v>0</v>
      </c>
      <c r="Y763" t="s">
        <v>70</v>
      </c>
      <c r="Z763" t="s">
        <v>60</v>
      </c>
      <c r="AA763">
        <v>0</v>
      </c>
      <c r="AB763" s="2">
        <v>0</v>
      </c>
      <c r="AC763" s="2">
        <v>0</v>
      </c>
      <c r="AD763" s="4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16.100000000000001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</row>
    <row r="764" spans="1:43" x14ac:dyDescent="0.25">
      <c r="A764" s="1">
        <v>45922</v>
      </c>
      <c r="B764" t="s">
        <v>47</v>
      </c>
      <c r="C764">
        <v>649163</v>
      </c>
      <c r="D764">
        <v>2029039458</v>
      </c>
      <c r="E764" t="s">
        <v>505</v>
      </c>
      <c r="F764" t="s">
        <v>506</v>
      </c>
      <c r="G764" t="s">
        <v>50</v>
      </c>
      <c r="H764" t="s">
        <v>151</v>
      </c>
      <c r="I764" t="s">
        <v>441</v>
      </c>
      <c r="J764" t="s">
        <v>442</v>
      </c>
      <c r="K764">
        <v>767312</v>
      </c>
      <c r="L764" t="s">
        <v>122</v>
      </c>
      <c r="M764" t="s">
        <v>123</v>
      </c>
      <c r="N764" t="s">
        <v>1085</v>
      </c>
      <c r="O764" t="s">
        <v>56</v>
      </c>
      <c r="P764" s="1">
        <v>45798</v>
      </c>
      <c r="Q764" s="1">
        <v>45951</v>
      </c>
      <c r="R764" s="2">
        <v>48</v>
      </c>
      <c r="S764">
        <v>1</v>
      </c>
      <c r="T764" t="s">
        <v>57</v>
      </c>
      <c r="U764" t="s">
        <v>58</v>
      </c>
      <c r="V764" s="4">
        <v>0.9</v>
      </c>
      <c r="W764" s="2">
        <v>0</v>
      </c>
      <c r="X764">
        <v>0</v>
      </c>
      <c r="Y764" t="s">
        <v>70</v>
      </c>
      <c r="Z764" t="s">
        <v>60</v>
      </c>
      <c r="AA764">
        <v>0</v>
      </c>
      <c r="AB764" s="2">
        <v>0</v>
      </c>
      <c r="AC764" s="2">
        <v>0</v>
      </c>
      <c r="AD764" s="4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43.2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</row>
    <row r="765" spans="1:43" x14ac:dyDescent="0.25">
      <c r="A765" s="1">
        <v>45922</v>
      </c>
      <c r="B765" t="s">
        <v>47</v>
      </c>
      <c r="C765">
        <v>649163</v>
      </c>
      <c r="D765">
        <v>2029062371</v>
      </c>
      <c r="E765" t="s">
        <v>384</v>
      </c>
      <c r="F765" t="s">
        <v>385</v>
      </c>
      <c r="G765" t="s">
        <v>50</v>
      </c>
      <c r="H765" t="s">
        <v>188</v>
      </c>
      <c r="I765" t="s">
        <v>441</v>
      </c>
      <c r="J765" t="s">
        <v>442</v>
      </c>
      <c r="K765">
        <v>767312</v>
      </c>
      <c r="L765" t="s">
        <v>122</v>
      </c>
      <c r="M765" t="s">
        <v>123</v>
      </c>
      <c r="N765" t="s">
        <v>1085</v>
      </c>
      <c r="O765" t="s">
        <v>56</v>
      </c>
      <c r="P765" s="1">
        <v>45800</v>
      </c>
      <c r="Q765" s="1">
        <v>45953</v>
      </c>
      <c r="R765" s="2">
        <v>28.83</v>
      </c>
      <c r="S765">
        <v>1</v>
      </c>
      <c r="T765" t="s">
        <v>57</v>
      </c>
      <c r="U765" t="s">
        <v>58</v>
      </c>
      <c r="V765" s="4">
        <v>0.9</v>
      </c>
      <c r="W765" s="2">
        <v>0</v>
      </c>
      <c r="X765">
        <v>0</v>
      </c>
      <c r="Y765" t="s">
        <v>70</v>
      </c>
      <c r="Z765" t="s">
        <v>60</v>
      </c>
      <c r="AA765">
        <v>0</v>
      </c>
      <c r="AB765" s="2">
        <v>0</v>
      </c>
      <c r="AC765" s="2">
        <v>0</v>
      </c>
      <c r="AD765" s="4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25.95</v>
      </c>
      <c r="AN765" s="2">
        <v>25.95</v>
      </c>
      <c r="AO765" s="2">
        <v>0</v>
      </c>
      <c r="AP765" s="2">
        <v>0</v>
      </c>
      <c r="AQ765" s="2">
        <v>0</v>
      </c>
    </row>
    <row r="766" spans="1:43" x14ac:dyDescent="0.25">
      <c r="A766" s="1">
        <v>45922</v>
      </c>
      <c r="B766" t="s">
        <v>47</v>
      </c>
      <c r="C766">
        <v>649163</v>
      </c>
      <c r="D766">
        <v>2029062372</v>
      </c>
      <c r="E766" t="s">
        <v>384</v>
      </c>
      <c r="F766" t="s">
        <v>385</v>
      </c>
      <c r="G766" t="s">
        <v>50</v>
      </c>
      <c r="H766" t="s">
        <v>188</v>
      </c>
      <c r="I766" t="s">
        <v>441</v>
      </c>
      <c r="J766" t="s">
        <v>445</v>
      </c>
      <c r="K766">
        <v>767312</v>
      </c>
      <c r="L766" t="s">
        <v>122</v>
      </c>
      <c r="M766" t="s">
        <v>123</v>
      </c>
      <c r="N766" t="s">
        <v>1085</v>
      </c>
      <c r="O766" t="s">
        <v>56</v>
      </c>
      <c r="P766" s="1">
        <v>45800</v>
      </c>
      <c r="Q766" s="1">
        <v>45953</v>
      </c>
      <c r="R766" s="2">
        <v>29.48</v>
      </c>
      <c r="S766">
        <v>1</v>
      </c>
      <c r="T766" t="s">
        <v>57</v>
      </c>
      <c r="U766" t="s">
        <v>58</v>
      </c>
      <c r="V766" s="4">
        <v>0.7</v>
      </c>
      <c r="W766" s="2">
        <v>0</v>
      </c>
      <c r="X766">
        <v>0</v>
      </c>
      <c r="Y766" t="s">
        <v>70</v>
      </c>
      <c r="Z766" t="s">
        <v>60</v>
      </c>
      <c r="AA766">
        <v>0</v>
      </c>
      <c r="AB766" s="2">
        <v>0</v>
      </c>
      <c r="AC766" s="2">
        <v>0</v>
      </c>
      <c r="AD766" s="4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20.64</v>
      </c>
      <c r="AN766" s="2">
        <v>20.64</v>
      </c>
      <c r="AO766" s="2">
        <v>0</v>
      </c>
      <c r="AP766" s="2">
        <v>0</v>
      </c>
      <c r="AQ766" s="2">
        <v>0</v>
      </c>
    </row>
    <row r="767" spans="1:43" x14ac:dyDescent="0.25">
      <c r="A767" s="1">
        <v>45922</v>
      </c>
      <c r="B767" t="s">
        <v>47</v>
      </c>
      <c r="C767">
        <v>649163</v>
      </c>
      <c r="D767">
        <v>2029101373</v>
      </c>
      <c r="E767" t="s">
        <v>189</v>
      </c>
      <c r="F767" t="s">
        <v>190</v>
      </c>
      <c r="G767" t="s">
        <v>50</v>
      </c>
      <c r="H767" t="s">
        <v>151</v>
      </c>
      <c r="I767" t="s">
        <v>441</v>
      </c>
      <c r="J767" t="s">
        <v>442</v>
      </c>
      <c r="K767">
        <v>767312</v>
      </c>
      <c r="L767" t="s">
        <v>122</v>
      </c>
      <c r="M767" t="s">
        <v>123</v>
      </c>
      <c r="N767" t="s">
        <v>1085</v>
      </c>
      <c r="O767" t="s">
        <v>56</v>
      </c>
      <c r="P767" s="1">
        <v>45801</v>
      </c>
      <c r="Q767" s="1">
        <v>45954</v>
      </c>
      <c r="R767" s="2">
        <v>33.75</v>
      </c>
      <c r="S767">
        <v>1</v>
      </c>
      <c r="T767" t="s">
        <v>57</v>
      </c>
      <c r="U767" t="s">
        <v>58</v>
      </c>
      <c r="V767" s="4">
        <v>0.9</v>
      </c>
      <c r="W767" s="2">
        <v>0</v>
      </c>
      <c r="X767">
        <v>0</v>
      </c>
      <c r="Y767" t="s">
        <v>70</v>
      </c>
      <c r="Z767" t="s">
        <v>60</v>
      </c>
      <c r="AA767">
        <v>0</v>
      </c>
      <c r="AB767" s="2">
        <v>0</v>
      </c>
      <c r="AC767" s="2">
        <v>0</v>
      </c>
      <c r="AD767" s="4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30.38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</row>
    <row r="768" spans="1:43" x14ac:dyDescent="0.25">
      <c r="A768" s="1">
        <v>45922</v>
      </c>
      <c r="B768" t="s">
        <v>47</v>
      </c>
      <c r="C768">
        <v>649163</v>
      </c>
      <c r="D768">
        <v>2029101374</v>
      </c>
      <c r="E768" t="s">
        <v>189</v>
      </c>
      <c r="F768" t="s">
        <v>190</v>
      </c>
      <c r="G768" t="s">
        <v>50</v>
      </c>
      <c r="H768" t="s">
        <v>151</v>
      </c>
      <c r="I768" t="s">
        <v>441</v>
      </c>
      <c r="J768" t="s">
        <v>445</v>
      </c>
      <c r="K768">
        <v>767312</v>
      </c>
      <c r="L768" t="s">
        <v>122</v>
      </c>
      <c r="M768" t="s">
        <v>123</v>
      </c>
      <c r="N768" t="s">
        <v>1085</v>
      </c>
      <c r="O768" t="s">
        <v>56</v>
      </c>
      <c r="P768" s="1">
        <v>45801</v>
      </c>
      <c r="Q768" s="1">
        <v>45954</v>
      </c>
      <c r="R768" s="2">
        <v>27.89</v>
      </c>
      <c r="S768">
        <v>1</v>
      </c>
      <c r="T768" t="s">
        <v>57</v>
      </c>
      <c r="U768" t="s">
        <v>58</v>
      </c>
      <c r="V768" s="4">
        <v>0.7</v>
      </c>
      <c r="W768" s="2">
        <v>0</v>
      </c>
      <c r="X768">
        <v>0</v>
      </c>
      <c r="Y768" t="s">
        <v>70</v>
      </c>
      <c r="Z768" t="s">
        <v>60</v>
      </c>
      <c r="AA768">
        <v>0</v>
      </c>
      <c r="AB768" s="2">
        <v>0</v>
      </c>
      <c r="AC768" s="2">
        <v>0</v>
      </c>
      <c r="AD768" s="4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19.52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</row>
    <row r="769" spans="1:43" x14ac:dyDescent="0.25">
      <c r="A769" s="1">
        <v>45922</v>
      </c>
      <c r="B769" t="s">
        <v>47</v>
      </c>
      <c r="C769">
        <v>649163</v>
      </c>
      <c r="D769">
        <v>2029567227</v>
      </c>
      <c r="E769" t="s">
        <v>196</v>
      </c>
      <c r="F769" t="s">
        <v>197</v>
      </c>
      <c r="G769" t="s">
        <v>50</v>
      </c>
      <c r="H769" t="s">
        <v>115</v>
      </c>
      <c r="I769" t="s">
        <v>441</v>
      </c>
      <c r="J769" t="s">
        <v>445</v>
      </c>
      <c r="K769">
        <v>767312</v>
      </c>
      <c r="L769" t="s">
        <v>122</v>
      </c>
      <c r="M769" t="s">
        <v>123</v>
      </c>
      <c r="N769" t="s">
        <v>1085</v>
      </c>
      <c r="O769" t="s">
        <v>56</v>
      </c>
      <c r="P769" s="1">
        <v>45829</v>
      </c>
      <c r="Q769" s="1">
        <v>45951</v>
      </c>
      <c r="R769" s="2">
        <v>190.26</v>
      </c>
      <c r="S769">
        <v>1</v>
      </c>
      <c r="T769" t="s">
        <v>57</v>
      </c>
      <c r="U769" t="s">
        <v>58</v>
      </c>
      <c r="V769" s="4">
        <v>0.7</v>
      </c>
      <c r="W769" s="2">
        <v>0</v>
      </c>
      <c r="X769">
        <v>0</v>
      </c>
      <c r="Y769" t="s">
        <v>70</v>
      </c>
      <c r="Z769" t="s">
        <v>60</v>
      </c>
      <c r="AA769">
        <v>0</v>
      </c>
      <c r="AB769" s="2">
        <v>0</v>
      </c>
      <c r="AC769" s="2">
        <v>0</v>
      </c>
      <c r="AD769" s="4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133.18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</row>
    <row r="770" spans="1:43" x14ac:dyDescent="0.25">
      <c r="A770" s="1">
        <v>45922</v>
      </c>
      <c r="B770" t="s">
        <v>47</v>
      </c>
      <c r="C770">
        <v>649163</v>
      </c>
      <c r="D770">
        <v>2030113890</v>
      </c>
      <c r="E770" t="s">
        <v>394</v>
      </c>
      <c r="F770" t="s">
        <v>395</v>
      </c>
      <c r="G770" t="s">
        <v>50</v>
      </c>
      <c r="H770" t="s">
        <v>180</v>
      </c>
      <c r="I770" t="s">
        <v>441</v>
      </c>
      <c r="J770" t="s">
        <v>445</v>
      </c>
      <c r="K770">
        <v>767312</v>
      </c>
      <c r="L770" t="s">
        <v>122</v>
      </c>
      <c r="M770" t="s">
        <v>123</v>
      </c>
      <c r="N770" t="s">
        <v>1085</v>
      </c>
      <c r="O770" t="s">
        <v>56</v>
      </c>
      <c r="P770" s="1">
        <v>45862</v>
      </c>
      <c r="Q770" s="1">
        <v>45954</v>
      </c>
      <c r="R770" s="2">
        <v>16.510000000000002</v>
      </c>
      <c r="S770">
        <v>1</v>
      </c>
      <c r="T770" t="s">
        <v>57</v>
      </c>
      <c r="U770" t="s">
        <v>58</v>
      </c>
      <c r="V770" s="4">
        <v>0.7</v>
      </c>
      <c r="W770" s="2">
        <v>0</v>
      </c>
      <c r="X770">
        <v>0</v>
      </c>
      <c r="Y770" t="s">
        <v>70</v>
      </c>
      <c r="Z770" t="s">
        <v>60</v>
      </c>
      <c r="AA770">
        <v>0</v>
      </c>
      <c r="AB770" s="2">
        <v>0</v>
      </c>
      <c r="AC770" s="2">
        <v>0</v>
      </c>
      <c r="AD770" s="4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11.56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</row>
    <row r="771" spans="1:43" x14ac:dyDescent="0.25">
      <c r="A771" s="1">
        <v>45922</v>
      </c>
      <c r="B771" t="s">
        <v>47</v>
      </c>
      <c r="C771">
        <v>649163</v>
      </c>
      <c r="D771">
        <v>2030117415</v>
      </c>
      <c r="E771" t="s">
        <v>394</v>
      </c>
      <c r="F771" t="s">
        <v>395</v>
      </c>
      <c r="G771" t="s">
        <v>50</v>
      </c>
      <c r="H771" t="s">
        <v>180</v>
      </c>
      <c r="I771" t="s">
        <v>441</v>
      </c>
      <c r="J771" t="s">
        <v>442</v>
      </c>
      <c r="K771">
        <v>767312</v>
      </c>
      <c r="L771" t="s">
        <v>122</v>
      </c>
      <c r="M771" t="s">
        <v>123</v>
      </c>
      <c r="N771" t="s">
        <v>1085</v>
      </c>
      <c r="O771" t="s">
        <v>56</v>
      </c>
      <c r="P771" s="1">
        <v>45863</v>
      </c>
      <c r="Q771" s="1">
        <v>45955</v>
      </c>
      <c r="R771" s="2">
        <v>69.08</v>
      </c>
      <c r="S771">
        <v>1</v>
      </c>
      <c r="T771" t="s">
        <v>57</v>
      </c>
      <c r="U771" t="s">
        <v>58</v>
      </c>
      <c r="V771" s="4">
        <v>0.9</v>
      </c>
      <c r="W771" s="2">
        <v>0</v>
      </c>
      <c r="X771">
        <v>0</v>
      </c>
      <c r="Y771" t="s">
        <v>70</v>
      </c>
      <c r="Z771" t="s">
        <v>60</v>
      </c>
      <c r="AA771">
        <v>0</v>
      </c>
      <c r="AB771" s="2">
        <v>0</v>
      </c>
      <c r="AC771" s="2">
        <v>0</v>
      </c>
      <c r="AD771" s="4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62.17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</row>
    <row r="772" spans="1:43" x14ac:dyDescent="0.25">
      <c r="A772" s="1">
        <v>45922</v>
      </c>
      <c r="B772" t="s">
        <v>47</v>
      </c>
      <c r="C772">
        <v>649163</v>
      </c>
      <c r="D772">
        <v>2030359370</v>
      </c>
      <c r="E772" t="s">
        <v>542</v>
      </c>
      <c r="F772" t="s">
        <v>543</v>
      </c>
      <c r="G772" t="s">
        <v>50</v>
      </c>
      <c r="H772" t="s">
        <v>544</v>
      </c>
      <c r="I772" t="s">
        <v>441</v>
      </c>
      <c r="J772" t="s">
        <v>451</v>
      </c>
      <c r="K772">
        <v>767312</v>
      </c>
      <c r="L772" t="s">
        <v>122</v>
      </c>
      <c r="M772" t="s">
        <v>123</v>
      </c>
      <c r="N772" t="s">
        <v>1085</v>
      </c>
      <c r="O772" t="s">
        <v>56</v>
      </c>
      <c r="P772" s="1">
        <v>45879</v>
      </c>
      <c r="Q772" s="1">
        <v>45940</v>
      </c>
      <c r="R772" s="2">
        <v>15.73</v>
      </c>
      <c r="S772">
        <v>1</v>
      </c>
      <c r="T772" t="s">
        <v>57</v>
      </c>
      <c r="U772" t="s">
        <v>58</v>
      </c>
      <c r="V772" s="4">
        <v>0.42</v>
      </c>
      <c r="W772" s="2">
        <v>0</v>
      </c>
      <c r="X772">
        <v>0</v>
      </c>
      <c r="Y772" t="s">
        <v>70</v>
      </c>
      <c r="Z772" t="s">
        <v>60</v>
      </c>
      <c r="AA772">
        <v>0</v>
      </c>
      <c r="AB772" s="2">
        <v>0</v>
      </c>
      <c r="AC772" s="2">
        <v>0</v>
      </c>
      <c r="AD772" s="4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6.61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</row>
    <row r="773" spans="1:43" x14ac:dyDescent="0.25">
      <c r="A773" s="1">
        <v>45922</v>
      </c>
      <c r="B773" t="s">
        <v>47</v>
      </c>
      <c r="C773">
        <v>649163</v>
      </c>
      <c r="D773">
        <v>2030359371</v>
      </c>
      <c r="E773" t="s">
        <v>542</v>
      </c>
      <c r="F773" t="s">
        <v>543</v>
      </c>
      <c r="G773" t="s">
        <v>50</v>
      </c>
      <c r="H773" t="s">
        <v>544</v>
      </c>
      <c r="I773" t="s">
        <v>441</v>
      </c>
      <c r="J773" t="s">
        <v>442</v>
      </c>
      <c r="K773">
        <v>767312</v>
      </c>
      <c r="L773" t="s">
        <v>122</v>
      </c>
      <c r="M773" t="s">
        <v>123</v>
      </c>
      <c r="N773" t="s">
        <v>1085</v>
      </c>
      <c r="O773" t="s">
        <v>56</v>
      </c>
      <c r="P773" s="1">
        <v>45879</v>
      </c>
      <c r="Q773" s="1">
        <v>45940</v>
      </c>
      <c r="R773" s="2">
        <v>37.42</v>
      </c>
      <c r="S773">
        <v>1</v>
      </c>
      <c r="T773" t="s">
        <v>57</v>
      </c>
      <c r="U773" t="s">
        <v>58</v>
      </c>
      <c r="V773" s="4">
        <v>0.9</v>
      </c>
      <c r="W773" s="2">
        <v>0</v>
      </c>
      <c r="X773">
        <v>0</v>
      </c>
      <c r="Y773" t="s">
        <v>70</v>
      </c>
      <c r="Z773" t="s">
        <v>60</v>
      </c>
      <c r="AA773">
        <v>0</v>
      </c>
      <c r="AB773" s="2">
        <v>0</v>
      </c>
      <c r="AC773" s="2">
        <v>0</v>
      </c>
      <c r="AD773" s="4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33.68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</row>
    <row r="774" spans="1:43" x14ac:dyDescent="0.25">
      <c r="A774" s="1">
        <v>45922</v>
      </c>
      <c r="B774" t="s">
        <v>47</v>
      </c>
      <c r="C774">
        <v>649163</v>
      </c>
      <c r="D774">
        <v>2030461447</v>
      </c>
      <c r="E774" t="s">
        <v>398</v>
      </c>
      <c r="F774" t="s">
        <v>399</v>
      </c>
      <c r="G774" t="s">
        <v>50</v>
      </c>
      <c r="H774" t="s">
        <v>400</v>
      </c>
      <c r="I774" t="s">
        <v>441</v>
      </c>
      <c r="J774" t="s">
        <v>442</v>
      </c>
      <c r="K774">
        <v>767312</v>
      </c>
      <c r="L774" t="s">
        <v>122</v>
      </c>
      <c r="M774" t="s">
        <v>123</v>
      </c>
      <c r="N774" t="s">
        <v>1085</v>
      </c>
      <c r="O774" t="s">
        <v>56</v>
      </c>
      <c r="P774" s="1">
        <v>45892</v>
      </c>
      <c r="Q774" s="1">
        <v>45953</v>
      </c>
      <c r="R774" s="2">
        <v>51.25</v>
      </c>
      <c r="S774">
        <v>1</v>
      </c>
      <c r="T774" t="s">
        <v>57</v>
      </c>
      <c r="U774" t="s">
        <v>58</v>
      </c>
      <c r="V774" s="4">
        <v>0.9</v>
      </c>
      <c r="W774" s="2">
        <v>0</v>
      </c>
      <c r="X774">
        <v>0</v>
      </c>
      <c r="Y774" t="s">
        <v>70</v>
      </c>
      <c r="Z774" t="s">
        <v>60</v>
      </c>
      <c r="AA774">
        <v>0</v>
      </c>
      <c r="AB774" s="2">
        <v>0</v>
      </c>
      <c r="AC774" s="2">
        <v>0</v>
      </c>
      <c r="AD774" s="4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46.12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</row>
    <row r="775" spans="1:43" x14ac:dyDescent="0.25">
      <c r="A775" s="1">
        <v>45922</v>
      </c>
      <c r="B775" t="s">
        <v>47</v>
      </c>
      <c r="C775">
        <v>649163</v>
      </c>
      <c r="D775">
        <v>2025295163</v>
      </c>
      <c r="E775" t="s">
        <v>582</v>
      </c>
      <c r="F775" t="s">
        <v>583</v>
      </c>
      <c r="G775" t="s">
        <v>50</v>
      </c>
      <c r="H775" t="s">
        <v>405</v>
      </c>
      <c r="I775" t="s">
        <v>574</v>
      </c>
      <c r="J775" t="s">
        <v>575</v>
      </c>
      <c r="K775">
        <v>767312</v>
      </c>
      <c r="L775" t="s">
        <v>122</v>
      </c>
      <c r="M775" t="s">
        <v>123</v>
      </c>
      <c r="N775" t="s">
        <v>1085</v>
      </c>
      <c r="O775" t="s">
        <v>56</v>
      </c>
      <c r="P775" s="1">
        <v>45580</v>
      </c>
      <c r="Q775" s="1">
        <v>45945</v>
      </c>
      <c r="R775" s="2">
        <v>60.92</v>
      </c>
      <c r="S775">
        <v>1</v>
      </c>
      <c r="T775" t="s">
        <v>57</v>
      </c>
      <c r="U775" t="s">
        <v>58</v>
      </c>
      <c r="V775" s="4">
        <v>0.47</v>
      </c>
      <c r="W775" s="2">
        <v>0</v>
      </c>
      <c r="X775">
        <v>0</v>
      </c>
      <c r="Y775" t="s">
        <v>70</v>
      </c>
      <c r="Z775" t="s">
        <v>60</v>
      </c>
      <c r="AA775">
        <v>0</v>
      </c>
      <c r="AB775" s="2">
        <v>0</v>
      </c>
      <c r="AC775" s="2">
        <v>0</v>
      </c>
      <c r="AD775" s="4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28.63</v>
      </c>
      <c r="AN775" s="2">
        <v>28.63</v>
      </c>
      <c r="AO775" s="2">
        <v>0</v>
      </c>
      <c r="AP775" s="2">
        <v>0</v>
      </c>
      <c r="AQ775" s="2">
        <v>0</v>
      </c>
    </row>
    <row r="776" spans="1:43" x14ac:dyDescent="0.25">
      <c r="A776" s="1">
        <v>45922</v>
      </c>
      <c r="B776" t="s">
        <v>47</v>
      </c>
      <c r="C776">
        <v>649163</v>
      </c>
      <c r="D776">
        <v>2027883703</v>
      </c>
      <c r="E776" t="s">
        <v>591</v>
      </c>
      <c r="F776" t="s">
        <v>592</v>
      </c>
      <c r="G776" t="s">
        <v>50</v>
      </c>
      <c r="H776" t="s">
        <v>151</v>
      </c>
      <c r="I776" t="s">
        <v>574</v>
      </c>
      <c r="J776" t="s">
        <v>575</v>
      </c>
      <c r="K776">
        <v>767312</v>
      </c>
      <c r="L776" t="s">
        <v>122</v>
      </c>
      <c r="M776" t="s">
        <v>123</v>
      </c>
      <c r="N776" t="s">
        <v>1085</v>
      </c>
      <c r="O776" t="s">
        <v>56</v>
      </c>
      <c r="P776" s="1">
        <v>45735</v>
      </c>
      <c r="Q776" s="1">
        <v>45949</v>
      </c>
      <c r="R776" s="2">
        <v>31.52</v>
      </c>
      <c r="S776">
        <v>1</v>
      </c>
      <c r="T776" t="s">
        <v>57</v>
      </c>
      <c r="U776" t="s">
        <v>58</v>
      </c>
      <c r="V776" s="4">
        <v>0.47</v>
      </c>
      <c r="W776" s="2">
        <v>0</v>
      </c>
      <c r="X776">
        <v>0</v>
      </c>
      <c r="Y776" t="s">
        <v>70</v>
      </c>
      <c r="Z776" t="s">
        <v>60</v>
      </c>
      <c r="AA776">
        <v>0</v>
      </c>
      <c r="AB776" s="2">
        <v>0</v>
      </c>
      <c r="AC776" s="2">
        <v>0</v>
      </c>
      <c r="AD776" s="4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14.81</v>
      </c>
      <c r="AN776" s="2">
        <v>14.81</v>
      </c>
      <c r="AO776" s="2">
        <v>0</v>
      </c>
      <c r="AP776" s="2">
        <v>0</v>
      </c>
      <c r="AQ776" s="2">
        <v>0</v>
      </c>
    </row>
    <row r="777" spans="1:43" x14ac:dyDescent="0.25">
      <c r="A777" s="1">
        <v>45915</v>
      </c>
      <c r="B777" t="s">
        <v>47</v>
      </c>
      <c r="C777">
        <v>649163</v>
      </c>
      <c r="D777">
        <v>2024834573</v>
      </c>
      <c r="E777" t="s">
        <v>734</v>
      </c>
      <c r="F777" t="s">
        <v>409</v>
      </c>
      <c r="G777" t="s">
        <v>50</v>
      </c>
      <c r="H777" t="s">
        <v>405</v>
      </c>
      <c r="I777" t="s">
        <v>106</v>
      </c>
      <c r="J777" t="s">
        <v>107</v>
      </c>
      <c r="K777">
        <v>767312</v>
      </c>
      <c r="L777" t="s">
        <v>122</v>
      </c>
      <c r="M777" t="s">
        <v>123</v>
      </c>
      <c r="N777" t="s">
        <v>1085</v>
      </c>
      <c r="O777" t="s">
        <v>56</v>
      </c>
      <c r="P777" s="1">
        <v>45549</v>
      </c>
      <c r="Q777" s="1">
        <v>45944</v>
      </c>
      <c r="R777" s="2">
        <v>41.42</v>
      </c>
      <c r="S777">
        <v>1</v>
      </c>
      <c r="T777" t="s">
        <v>57</v>
      </c>
      <c r="U777" t="s">
        <v>58</v>
      </c>
      <c r="V777" s="4">
        <v>0.1</v>
      </c>
      <c r="W777" s="2">
        <v>0</v>
      </c>
      <c r="X777">
        <v>0</v>
      </c>
      <c r="Y777" t="s">
        <v>59</v>
      </c>
      <c r="Z777" t="s">
        <v>60</v>
      </c>
      <c r="AA777">
        <v>0</v>
      </c>
      <c r="AB777" s="2">
        <v>0</v>
      </c>
      <c r="AC777" s="2">
        <v>0</v>
      </c>
      <c r="AD777" s="4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4.1399999999999997</v>
      </c>
      <c r="AN777" s="2">
        <v>4.1399999999999997</v>
      </c>
      <c r="AO777" s="2">
        <v>0</v>
      </c>
      <c r="AP777" s="2">
        <v>0</v>
      </c>
      <c r="AQ777" s="2">
        <v>0</v>
      </c>
    </row>
    <row r="778" spans="1:43" x14ac:dyDescent="0.25">
      <c r="A778" s="1">
        <v>45915</v>
      </c>
      <c r="B778" t="s">
        <v>47</v>
      </c>
      <c r="C778">
        <v>649163</v>
      </c>
      <c r="D778">
        <v>2025254892</v>
      </c>
      <c r="E778" t="s">
        <v>1027</v>
      </c>
      <c r="F778" t="s">
        <v>1026</v>
      </c>
      <c r="G778" t="s">
        <v>50</v>
      </c>
      <c r="H778" t="s">
        <v>400</v>
      </c>
      <c r="I778" t="s">
        <v>106</v>
      </c>
      <c r="J778" t="s">
        <v>116</v>
      </c>
      <c r="K778">
        <v>767312</v>
      </c>
      <c r="L778" t="s">
        <v>122</v>
      </c>
      <c r="M778" t="s">
        <v>123</v>
      </c>
      <c r="N778" t="s">
        <v>1085</v>
      </c>
      <c r="O778" t="s">
        <v>56</v>
      </c>
      <c r="P778" s="1">
        <v>45576</v>
      </c>
      <c r="Q778" s="1">
        <v>45941</v>
      </c>
      <c r="R778" s="2">
        <v>48.79</v>
      </c>
      <c r="S778">
        <v>1</v>
      </c>
      <c r="T778" t="s">
        <v>57</v>
      </c>
      <c r="U778" t="s">
        <v>58</v>
      </c>
      <c r="V778" s="4">
        <v>0.75</v>
      </c>
      <c r="W778" s="2">
        <v>0</v>
      </c>
      <c r="X778">
        <v>0</v>
      </c>
      <c r="Y778" t="s">
        <v>70</v>
      </c>
      <c r="Z778" t="s">
        <v>60</v>
      </c>
      <c r="AA778">
        <v>0</v>
      </c>
      <c r="AB778" s="2">
        <v>0</v>
      </c>
      <c r="AC778" s="2">
        <v>0</v>
      </c>
      <c r="AD778" s="4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36.590000000000003</v>
      </c>
      <c r="AN778" s="2">
        <v>36.590000000000003</v>
      </c>
      <c r="AO778" s="2">
        <v>0</v>
      </c>
      <c r="AP778" s="2">
        <v>0</v>
      </c>
      <c r="AQ778" s="2">
        <v>0</v>
      </c>
    </row>
    <row r="779" spans="1:43" x14ac:dyDescent="0.25">
      <c r="A779" s="1">
        <v>45915</v>
      </c>
      <c r="B779" t="s">
        <v>47</v>
      </c>
      <c r="C779">
        <v>649163</v>
      </c>
      <c r="D779">
        <v>2025316510</v>
      </c>
      <c r="E779" t="s">
        <v>1024</v>
      </c>
      <c r="F779" t="s">
        <v>163</v>
      </c>
      <c r="G779" t="s">
        <v>50</v>
      </c>
      <c r="H779" t="s">
        <v>157</v>
      </c>
      <c r="I779" t="s">
        <v>106</v>
      </c>
      <c r="J779" t="s">
        <v>107</v>
      </c>
      <c r="K779">
        <v>767312</v>
      </c>
      <c r="L779" t="s">
        <v>122</v>
      </c>
      <c r="M779" t="s">
        <v>123</v>
      </c>
      <c r="N779" t="s">
        <v>1085</v>
      </c>
      <c r="O779" t="s">
        <v>56</v>
      </c>
      <c r="P779" s="1">
        <v>45580</v>
      </c>
      <c r="Q779" s="1">
        <v>45945</v>
      </c>
      <c r="R779" s="2">
        <v>19.309999999999999</v>
      </c>
      <c r="S779">
        <v>1</v>
      </c>
      <c r="T779" t="s">
        <v>57</v>
      </c>
      <c r="U779" t="s">
        <v>58</v>
      </c>
      <c r="V779" s="4">
        <v>0.9</v>
      </c>
      <c r="W779" s="2">
        <v>0</v>
      </c>
      <c r="X779">
        <v>0</v>
      </c>
      <c r="Y779" t="s">
        <v>70</v>
      </c>
      <c r="Z779" t="s">
        <v>60</v>
      </c>
      <c r="AA779">
        <v>0</v>
      </c>
      <c r="AB779" s="2">
        <v>0</v>
      </c>
      <c r="AC779" s="2">
        <v>0</v>
      </c>
      <c r="AD779" s="4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17.38</v>
      </c>
      <c r="AN779" s="2">
        <v>17.38</v>
      </c>
      <c r="AO779" s="2">
        <v>0</v>
      </c>
      <c r="AP779" s="2">
        <v>0</v>
      </c>
      <c r="AQ779" s="2">
        <v>0</v>
      </c>
    </row>
    <row r="780" spans="1:43" x14ac:dyDescent="0.25">
      <c r="A780" s="1">
        <v>45915</v>
      </c>
      <c r="B780" t="s">
        <v>47</v>
      </c>
      <c r="C780">
        <v>649163</v>
      </c>
      <c r="D780">
        <v>2026581911</v>
      </c>
      <c r="E780" t="s">
        <v>990</v>
      </c>
      <c r="F780" t="s">
        <v>286</v>
      </c>
      <c r="G780" t="s">
        <v>50</v>
      </c>
      <c r="H780" t="s">
        <v>115</v>
      </c>
      <c r="I780" t="s">
        <v>106</v>
      </c>
      <c r="J780" t="s">
        <v>107</v>
      </c>
      <c r="K780">
        <v>767312</v>
      </c>
      <c r="L780" t="s">
        <v>122</v>
      </c>
      <c r="M780" t="s">
        <v>123</v>
      </c>
      <c r="N780" t="s">
        <v>1085</v>
      </c>
      <c r="O780" t="s">
        <v>56</v>
      </c>
      <c r="P780" s="1">
        <v>45672</v>
      </c>
      <c r="Q780" s="1">
        <v>45945</v>
      </c>
      <c r="R780" s="2">
        <v>76.959999999999994</v>
      </c>
      <c r="S780">
        <v>1</v>
      </c>
      <c r="T780" t="s">
        <v>57</v>
      </c>
      <c r="U780" t="s">
        <v>58</v>
      </c>
      <c r="V780" s="4">
        <v>0.9</v>
      </c>
      <c r="W780" s="2">
        <v>0</v>
      </c>
      <c r="X780">
        <v>0</v>
      </c>
      <c r="Y780" t="s">
        <v>70</v>
      </c>
      <c r="Z780" t="s">
        <v>60</v>
      </c>
      <c r="AA780">
        <v>0</v>
      </c>
      <c r="AB780" s="2">
        <v>0</v>
      </c>
      <c r="AC780" s="2">
        <v>0</v>
      </c>
      <c r="AD780" s="4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69.260000000000005</v>
      </c>
      <c r="AN780" s="2">
        <v>69.260000000000005</v>
      </c>
      <c r="AO780" s="2">
        <v>0</v>
      </c>
      <c r="AP780" s="2">
        <v>0</v>
      </c>
      <c r="AQ780" s="2">
        <v>0</v>
      </c>
    </row>
    <row r="781" spans="1:43" x14ac:dyDescent="0.25">
      <c r="A781" s="1">
        <v>45915</v>
      </c>
      <c r="B781" t="s">
        <v>47</v>
      </c>
      <c r="C781">
        <v>649163</v>
      </c>
      <c r="D781">
        <v>2026617754</v>
      </c>
      <c r="E781" t="s">
        <v>990</v>
      </c>
      <c r="F781" t="s">
        <v>123</v>
      </c>
      <c r="G781" t="s">
        <v>50</v>
      </c>
      <c r="H781" t="s">
        <v>115</v>
      </c>
      <c r="I781" t="s">
        <v>106</v>
      </c>
      <c r="J781" t="s">
        <v>107</v>
      </c>
      <c r="K781">
        <v>767312</v>
      </c>
      <c r="L781" t="s">
        <v>122</v>
      </c>
      <c r="M781" t="s">
        <v>123</v>
      </c>
      <c r="N781" t="s">
        <v>1085</v>
      </c>
      <c r="O781" t="s">
        <v>56</v>
      </c>
      <c r="P781" s="1">
        <v>45673</v>
      </c>
      <c r="Q781" s="1">
        <v>45946</v>
      </c>
      <c r="R781" s="2">
        <v>72.290000000000006</v>
      </c>
      <c r="S781">
        <v>1</v>
      </c>
      <c r="T781" t="s">
        <v>57</v>
      </c>
      <c r="U781" t="s">
        <v>58</v>
      </c>
      <c r="V781" s="4">
        <v>0.9</v>
      </c>
      <c r="W781" s="2">
        <v>0</v>
      </c>
      <c r="X781">
        <v>0</v>
      </c>
      <c r="Y781" t="s">
        <v>70</v>
      </c>
      <c r="Z781" t="s">
        <v>60</v>
      </c>
      <c r="AA781">
        <v>0</v>
      </c>
      <c r="AB781" s="2">
        <v>0</v>
      </c>
      <c r="AC781" s="2">
        <v>0</v>
      </c>
      <c r="AD781" s="4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65.06</v>
      </c>
      <c r="AN781" s="2">
        <v>65.06</v>
      </c>
      <c r="AO781" s="2">
        <v>0</v>
      </c>
      <c r="AP781" s="2">
        <v>0</v>
      </c>
      <c r="AQ781" s="2">
        <v>0</v>
      </c>
    </row>
    <row r="782" spans="1:43" x14ac:dyDescent="0.25">
      <c r="A782" s="1">
        <v>45915</v>
      </c>
      <c r="B782" t="s">
        <v>47</v>
      </c>
      <c r="C782">
        <v>649163</v>
      </c>
      <c r="D782">
        <v>2029938124</v>
      </c>
      <c r="E782" t="s">
        <v>837</v>
      </c>
      <c r="F782" t="s">
        <v>836</v>
      </c>
      <c r="G782" t="s">
        <v>50</v>
      </c>
      <c r="H782" t="s">
        <v>512</v>
      </c>
      <c r="I782" t="s">
        <v>106</v>
      </c>
      <c r="J782" t="s">
        <v>107</v>
      </c>
      <c r="K782">
        <v>767312</v>
      </c>
      <c r="L782" t="s">
        <v>122</v>
      </c>
      <c r="M782" t="s">
        <v>123</v>
      </c>
      <c r="N782" t="s">
        <v>1085</v>
      </c>
      <c r="O782" t="s">
        <v>56</v>
      </c>
      <c r="P782" s="1">
        <v>45853</v>
      </c>
      <c r="Q782" s="1">
        <v>45945</v>
      </c>
      <c r="R782" s="2">
        <v>50.87</v>
      </c>
      <c r="S782">
        <v>1</v>
      </c>
      <c r="T782" t="s">
        <v>57</v>
      </c>
      <c r="U782" t="s">
        <v>58</v>
      </c>
      <c r="V782" s="4">
        <v>0.9</v>
      </c>
      <c r="W782" s="2">
        <v>0</v>
      </c>
      <c r="X782">
        <v>0</v>
      </c>
      <c r="Y782" t="s">
        <v>70</v>
      </c>
      <c r="Z782" t="s">
        <v>60</v>
      </c>
      <c r="AA782">
        <v>0</v>
      </c>
      <c r="AB782" s="2">
        <v>0</v>
      </c>
      <c r="AC782" s="2">
        <v>0</v>
      </c>
      <c r="AD782" s="4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45.78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</row>
    <row r="783" spans="1:43" x14ac:dyDescent="0.25">
      <c r="A783" s="1">
        <v>45915</v>
      </c>
      <c r="B783" t="s">
        <v>47</v>
      </c>
      <c r="C783">
        <v>649163</v>
      </c>
      <c r="D783">
        <v>2030341226</v>
      </c>
      <c r="E783" t="s">
        <v>720</v>
      </c>
      <c r="F783" t="s">
        <v>719</v>
      </c>
      <c r="G783" t="s">
        <v>50</v>
      </c>
      <c r="H783" t="s">
        <v>544</v>
      </c>
      <c r="I783" t="s">
        <v>106</v>
      </c>
      <c r="J783" t="s">
        <v>107</v>
      </c>
      <c r="K783">
        <v>767312</v>
      </c>
      <c r="L783" t="s">
        <v>122</v>
      </c>
      <c r="M783" t="s">
        <v>123</v>
      </c>
      <c r="N783" t="s">
        <v>1085</v>
      </c>
      <c r="O783" t="s">
        <v>56</v>
      </c>
      <c r="P783" s="1">
        <v>45879</v>
      </c>
      <c r="Q783" s="1">
        <v>45940</v>
      </c>
      <c r="R783" s="2">
        <v>26.88</v>
      </c>
      <c r="S783">
        <v>1</v>
      </c>
      <c r="T783" t="s">
        <v>57</v>
      </c>
      <c r="U783" t="s">
        <v>58</v>
      </c>
      <c r="V783" s="4">
        <v>0.9</v>
      </c>
      <c r="W783" s="2">
        <v>0</v>
      </c>
      <c r="X783">
        <v>0</v>
      </c>
      <c r="Y783" t="s">
        <v>70</v>
      </c>
      <c r="Z783" t="s">
        <v>60</v>
      </c>
      <c r="AA783">
        <v>0</v>
      </c>
      <c r="AB783" s="2">
        <v>0</v>
      </c>
      <c r="AC783" s="2">
        <v>0</v>
      </c>
      <c r="AD783" s="4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24.19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</row>
    <row r="784" spans="1:43" x14ac:dyDescent="0.25">
      <c r="A784" s="1">
        <v>45915</v>
      </c>
      <c r="B784" t="s">
        <v>47</v>
      </c>
      <c r="C784">
        <v>649163</v>
      </c>
      <c r="D784">
        <v>2030474901</v>
      </c>
      <c r="E784" t="s">
        <v>1064</v>
      </c>
      <c r="F784" t="s">
        <v>1063</v>
      </c>
      <c r="G784" t="s">
        <v>50</v>
      </c>
      <c r="H784" t="s">
        <v>115</v>
      </c>
      <c r="I784" t="s">
        <v>106</v>
      </c>
      <c r="J784" t="s">
        <v>107</v>
      </c>
      <c r="K784">
        <v>767312</v>
      </c>
      <c r="L784" t="s">
        <v>122</v>
      </c>
      <c r="M784" t="s">
        <v>123</v>
      </c>
      <c r="N784" t="s">
        <v>1085</v>
      </c>
      <c r="O784" t="s">
        <v>56</v>
      </c>
      <c r="P784" s="1">
        <v>45883</v>
      </c>
      <c r="Q784" s="1">
        <v>45944</v>
      </c>
      <c r="R784" s="2">
        <v>104.71</v>
      </c>
      <c r="S784">
        <v>1</v>
      </c>
      <c r="T784" t="s">
        <v>57</v>
      </c>
      <c r="U784" t="s">
        <v>58</v>
      </c>
      <c r="V784" s="4">
        <v>0.9</v>
      </c>
      <c r="W784" s="2">
        <v>0</v>
      </c>
      <c r="X784">
        <v>0</v>
      </c>
      <c r="Y784" t="s">
        <v>70</v>
      </c>
      <c r="Z784" t="s">
        <v>60</v>
      </c>
      <c r="AA784">
        <v>0</v>
      </c>
      <c r="AB784" s="2">
        <v>0</v>
      </c>
      <c r="AC784" s="2">
        <v>0</v>
      </c>
      <c r="AD784" s="4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94.24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</row>
    <row r="785" spans="1:43" x14ac:dyDescent="0.25">
      <c r="A785" s="1">
        <v>45915</v>
      </c>
      <c r="B785" t="s">
        <v>47</v>
      </c>
      <c r="C785">
        <v>649163</v>
      </c>
      <c r="D785">
        <v>2024356430</v>
      </c>
      <c r="E785" t="s">
        <v>736</v>
      </c>
      <c r="F785" t="s">
        <v>187</v>
      </c>
      <c r="G785" t="s">
        <v>50</v>
      </c>
      <c r="H785" t="s">
        <v>93</v>
      </c>
      <c r="I785" t="s">
        <v>306</v>
      </c>
      <c r="J785" t="s">
        <v>307</v>
      </c>
      <c r="K785">
        <v>767312</v>
      </c>
      <c r="L785" t="s">
        <v>122</v>
      </c>
      <c r="M785" t="s">
        <v>123</v>
      </c>
      <c r="N785" t="s">
        <v>1085</v>
      </c>
      <c r="O785" t="s">
        <v>56</v>
      </c>
      <c r="P785" s="1">
        <v>45517</v>
      </c>
      <c r="Q785" s="1">
        <v>45943</v>
      </c>
      <c r="R785" s="2">
        <v>27.22</v>
      </c>
      <c r="S785">
        <v>1</v>
      </c>
      <c r="T785" t="s">
        <v>57</v>
      </c>
      <c r="U785" t="s">
        <v>58</v>
      </c>
      <c r="V785" s="4">
        <v>0.06</v>
      </c>
      <c r="W785" s="2">
        <v>0</v>
      </c>
      <c r="X785">
        <v>0</v>
      </c>
      <c r="Y785" t="s">
        <v>59</v>
      </c>
      <c r="Z785" t="s">
        <v>60</v>
      </c>
      <c r="AA785">
        <v>0</v>
      </c>
      <c r="AB785" s="2">
        <v>0</v>
      </c>
      <c r="AC785" s="2">
        <v>0</v>
      </c>
      <c r="AD785" s="4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1.63</v>
      </c>
      <c r="AN785" s="2">
        <v>1.63</v>
      </c>
      <c r="AO785" s="2">
        <v>0</v>
      </c>
      <c r="AP785" s="2">
        <v>0</v>
      </c>
      <c r="AQ785" s="2">
        <v>0</v>
      </c>
    </row>
    <row r="786" spans="1:43" x14ac:dyDescent="0.25">
      <c r="A786" s="1">
        <v>45915</v>
      </c>
      <c r="B786" t="s">
        <v>47</v>
      </c>
      <c r="C786">
        <v>649163</v>
      </c>
      <c r="D786">
        <v>2024834571</v>
      </c>
      <c r="E786" t="s">
        <v>734</v>
      </c>
      <c r="F786" t="s">
        <v>409</v>
      </c>
      <c r="G786" t="s">
        <v>50</v>
      </c>
      <c r="H786" t="s">
        <v>405</v>
      </c>
      <c r="I786" t="s">
        <v>306</v>
      </c>
      <c r="J786" t="s">
        <v>307</v>
      </c>
      <c r="K786">
        <v>767312</v>
      </c>
      <c r="L786" t="s">
        <v>122</v>
      </c>
      <c r="M786" t="s">
        <v>123</v>
      </c>
      <c r="N786" t="s">
        <v>1085</v>
      </c>
      <c r="O786" t="s">
        <v>56</v>
      </c>
      <c r="P786" s="1">
        <v>45549</v>
      </c>
      <c r="Q786" s="1">
        <v>45944</v>
      </c>
      <c r="R786" s="2">
        <v>75.599999999999994</v>
      </c>
      <c r="S786">
        <v>1</v>
      </c>
      <c r="T786" t="s">
        <v>57</v>
      </c>
      <c r="U786" t="s">
        <v>58</v>
      </c>
      <c r="V786" s="4">
        <v>0.06</v>
      </c>
      <c r="W786" s="2">
        <v>0</v>
      </c>
      <c r="X786">
        <v>0</v>
      </c>
      <c r="Y786" t="s">
        <v>59</v>
      </c>
      <c r="Z786" t="s">
        <v>60</v>
      </c>
      <c r="AA786">
        <v>0</v>
      </c>
      <c r="AB786" s="2">
        <v>0</v>
      </c>
      <c r="AC786" s="2">
        <v>0</v>
      </c>
      <c r="AD786" s="4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4.54</v>
      </c>
      <c r="AN786" s="2">
        <v>4.54</v>
      </c>
      <c r="AO786" s="2">
        <v>0</v>
      </c>
      <c r="AP786" s="2">
        <v>0</v>
      </c>
      <c r="AQ786" s="2">
        <v>0</v>
      </c>
    </row>
    <row r="787" spans="1:43" x14ac:dyDescent="0.25">
      <c r="A787" s="1">
        <v>45915</v>
      </c>
      <c r="B787" t="s">
        <v>47</v>
      </c>
      <c r="C787">
        <v>649163</v>
      </c>
      <c r="D787">
        <v>2024865456</v>
      </c>
      <c r="E787" t="s">
        <v>1040</v>
      </c>
      <c r="F787" t="s">
        <v>277</v>
      </c>
      <c r="G787" t="s">
        <v>50</v>
      </c>
      <c r="H787" t="s">
        <v>112</v>
      </c>
      <c r="I787" t="s">
        <v>306</v>
      </c>
      <c r="J787" t="s">
        <v>307</v>
      </c>
      <c r="K787">
        <v>767312</v>
      </c>
      <c r="L787" t="s">
        <v>122</v>
      </c>
      <c r="M787" t="s">
        <v>123</v>
      </c>
      <c r="N787" t="s">
        <v>1085</v>
      </c>
      <c r="O787" t="s">
        <v>56</v>
      </c>
      <c r="P787" s="1">
        <v>45549</v>
      </c>
      <c r="Q787" s="1">
        <v>45944</v>
      </c>
      <c r="R787" s="2">
        <v>27.67</v>
      </c>
      <c r="S787">
        <v>1</v>
      </c>
      <c r="T787" t="s">
        <v>57</v>
      </c>
      <c r="U787" t="s">
        <v>58</v>
      </c>
      <c r="V787" s="4">
        <v>0.06</v>
      </c>
      <c r="W787" s="2">
        <v>0</v>
      </c>
      <c r="X787">
        <v>0</v>
      </c>
      <c r="Y787" t="s">
        <v>59</v>
      </c>
      <c r="Z787" t="s">
        <v>60</v>
      </c>
      <c r="AA787">
        <v>0</v>
      </c>
      <c r="AB787" s="2">
        <v>0</v>
      </c>
      <c r="AC787" s="2">
        <v>0</v>
      </c>
      <c r="AD787" s="4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1.66</v>
      </c>
      <c r="AN787" s="2">
        <v>1.66</v>
      </c>
      <c r="AO787" s="2">
        <v>0</v>
      </c>
      <c r="AP787" s="2">
        <v>0</v>
      </c>
      <c r="AQ787" s="2">
        <v>0</v>
      </c>
    </row>
    <row r="788" spans="1:43" x14ac:dyDescent="0.25">
      <c r="A788" s="1">
        <v>45915</v>
      </c>
      <c r="B788" t="s">
        <v>47</v>
      </c>
      <c r="C788">
        <v>649163</v>
      </c>
      <c r="D788">
        <v>2025154617</v>
      </c>
      <c r="E788" t="s">
        <v>345</v>
      </c>
      <c r="F788" t="s">
        <v>346</v>
      </c>
      <c r="G788" t="s">
        <v>50</v>
      </c>
      <c r="H788" t="s">
        <v>115</v>
      </c>
      <c r="I788" t="s">
        <v>306</v>
      </c>
      <c r="J788" t="s">
        <v>307</v>
      </c>
      <c r="K788">
        <v>767312</v>
      </c>
      <c r="L788" t="s">
        <v>122</v>
      </c>
      <c r="M788" t="s">
        <v>123</v>
      </c>
      <c r="N788" t="s">
        <v>1085</v>
      </c>
      <c r="O788" t="s">
        <v>56</v>
      </c>
      <c r="P788" s="1">
        <v>45581</v>
      </c>
      <c r="Q788" s="1">
        <v>45946</v>
      </c>
      <c r="R788" s="2">
        <v>27.52</v>
      </c>
      <c r="S788">
        <v>1</v>
      </c>
      <c r="T788" t="s">
        <v>57</v>
      </c>
      <c r="U788" t="s">
        <v>58</v>
      </c>
      <c r="V788" s="3">
        <v>0.375</v>
      </c>
      <c r="W788" s="2">
        <v>0</v>
      </c>
      <c r="X788">
        <v>0</v>
      </c>
      <c r="Y788" t="s">
        <v>70</v>
      </c>
      <c r="Z788" t="s">
        <v>60</v>
      </c>
      <c r="AA788">
        <v>0</v>
      </c>
      <c r="AB788" s="2">
        <v>0</v>
      </c>
      <c r="AC788" s="2">
        <v>0</v>
      </c>
      <c r="AD788" s="4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10.32</v>
      </c>
      <c r="AN788" s="2">
        <v>10.32</v>
      </c>
      <c r="AO788" s="2">
        <v>0</v>
      </c>
      <c r="AP788" s="2">
        <v>0</v>
      </c>
      <c r="AQ788" s="2">
        <v>0</v>
      </c>
    </row>
    <row r="789" spans="1:43" x14ac:dyDescent="0.25">
      <c r="A789" s="1">
        <v>45915</v>
      </c>
      <c r="B789" t="s">
        <v>47</v>
      </c>
      <c r="C789">
        <v>649163</v>
      </c>
      <c r="D789">
        <v>2025254889</v>
      </c>
      <c r="E789" t="s">
        <v>1027</v>
      </c>
      <c r="F789" t="s">
        <v>1026</v>
      </c>
      <c r="G789" t="s">
        <v>50</v>
      </c>
      <c r="H789" t="s">
        <v>400</v>
      </c>
      <c r="I789" t="s">
        <v>306</v>
      </c>
      <c r="J789" t="s">
        <v>307</v>
      </c>
      <c r="K789">
        <v>767312</v>
      </c>
      <c r="L789" t="s">
        <v>122</v>
      </c>
      <c r="M789" t="s">
        <v>123</v>
      </c>
      <c r="N789" t="s">
        <v>1085</v>
      </c>
      <c r="O789" t="s">
        <v>56</v>
      </c>
      <c r="P789" s="1">
        <v>45576</v>
      </c>
      <c r="Q789" s="1">
        <v>45941</v>
      </c>
      <c r="R789" s="2">
        <v>23.54</v>
      </c>
      <c r="S789">
        <v>1</v>
      </c>
      <c r="T789" t="s">
        <v>57</v>
      </c>
      <c r="U789" t="s">
        <v>58</v>
      </c>
      <c r="V789" s="3">
        <v>0.375</v>
      </c>
      <c r="W789" s="2">
        <v>0</v>
      </c>
      <c r="X789">
        <v>0</v>
      </c>
      <c r="Y789" t="s">
        <v>70</v>
      </c>
      <c r="Z789" t="s">
        <v>60</v>
      </c>
      <c r="AA789">
        <v>0</v>
      </c>
      <c r="AB789" s="2">
        <v>0</v>
      </c>
      <c r="AC789" s="2">
        <v>0</v>
      </c>
      <c r="AD789" s="4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8.83</v>
      </c>
      <c r="AN789" s="2">
        <v>8.83</v>
      </c>
      <c r="AO789" s="2">
        <v>0</v>
      </c>
      <c r="AP789" s="2">
        <v>0</v>
      </c>
      <c r="AQ789" s="2">
        <v>0</v>
      </c>
    </row>
    <row r="790" spans="1:43" x14ac:dyDescent="0.25">
      <c r="A790" s="1">
        <v>45915</v>
      </c>
      <c r="B790" t="s">
        <v>47</v>
      </c>
      <c r="C790">
        <v>649163</v>
      </c>
      <c r="D790">
        <v>2025316508</v>
      </c>
      <c r="E790" t="s">
        <v>1024</v>
      </c>
      <c r="F790" t="s">
        <v>163</v>
      </c>
      <c r="G790" t="s">
        <v>50</v>
      </c>
      <c r="H790" t="s">
        <v>157</v>
      </c>
      <c r="I790" t="s">
        <v>306</v>
      </c>
      <c r="J790" t="s">
        <v>307</v>
      </c>
      <c r="K790">
        <v>767312</v>
      </c>
      <c r="L790" t="s">
        <v>122</v>
      </c>
      <c r="M790" t="s">
        <v>123</v>
      </c>
      <c r="N790" t="s">
        <v>1085</v>
      </c>
      <c r="O790" t="s">
        <v>56</v>
      </c>
      <c r="P790" s="1">
        <v>45580</v>
      </c>
      <c r="Q790" s="1">
        <v>45945</v>
      </c>
      <c r="R790" s="2">
        <v>14.84</v>
      </c>
      <c r="S790">
        <v>1</v>
      </c>
      <c r="T790" t="s">
        <v>57</v>
      </c>
      <c r="U790" t="s">
        <v>58</v>
      </c>
      <c r="V790" s="3">
        <v>0.375</v>
      </c>
      <c r="W790" s="2">
        <v>0</v>
      </c>
      <c r="X790">
        <v>0</v>
      </c>
      <c r="Y790" t="s">
        <v>70</v>
      </c>
      <c r="Z790" t="s">
        <v>60</v>
      </c>
      <c r="AA790">
        <v>0</v>
      </c>
      <c r="AB790" s="2">
        <v>0</v>
      </c>
      <c r="AC790" s="2">
        <v>0</v>
      </c>
      <c r="AD790" s="4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5.56</v>
      </c>
      <c r="AN790" s="2">
        <v>5.56</v>
      </c>
      <c r="AO790" s="2">
        <v>0</v>
      </c>
      <c r="AP790" s="2">
        <v>0</v>
      </c>
      <c r="AQ790" s="2">
        <v>0</v>
      </c>
    </row>
    <row r="791" spans="1:43" x14ac:dyDescent="0.25">
      <c r="A791" s="1">
        <v>45915</v>
      </c>
      <c r="B791" t="s">
        <v>47</v>
      </c>
      <c r="C791">
        <v>649163</v>
      </c>
      <c r="D791">
        <v>2025738648</v>
      </c>
      <c r="E791" t="s">
        <v>1038</v>
      </c>
      <c r="F791" t="s">
        <v>1037</v>
      </c>
      <c r="G791" t="s">
        <v>50</v>
      </c>
      <c r="H791" t="s">
        <v>405</v>
      </c>
      <c r="I791" t="s">
        <v>306</v>
      </c>
      <c r="J791" t="s">
        <v>307</v>
      </c>
      <c r="K791">
        <v>767312</v>
      </c>
      <c r="L791" t="s">
        <v>122</v>
      </c>
      <c r="M791" t="s">
        <v>123</v>
      </c>
      <c r="N791" t="s">
        <v>1085</v>
      </c>
      <c r="O791" t="s">
        <v>56</v>
      </c>
      <c r="P791" s="1">
        <v>45609</v>
      </c>
      <c r="Q791" s="1">
        <v>45943</v>
      </c>
      <c r="R791" s="2">
        <v>18.66</v>
      </c>
      <c r="S791">
        <v>1</v>
      </c>
      <c r="T791" t="s">
        <v>57</v>
      </c>
      <c r="U791" t="s">
        <v>58</v>
      </c>
      <c r="V791" s="3">
        <v>0.375</v>
      </c>
      <c r="W791" s="2">
        <v>0</v>
      </c>
      <c r="X791">
        <v>0</v>
      </c>
      <c r="Y791" t="s">
        <v>70</v>
      </c>
      <c r="Z791" t="s">
        <v>60</v>
      </c>
      <c r="AA791">
        <v>0</v>
      </c>
      <c r="AB791" s="2">
        <v>0</v>
      </c>
      <c r="AC791" s="2">
        <v>0</v>
      </c>
      <c r="AD791" s="4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7</v>
      </c>
      <c r="AN791" s="2">
        <v>7</v>
      </c>
      <c r="AO791" s="2">
        <v>0</v>
      </c>
      <c r="AP791" s="2">
        <v>0</v>
      </c>
      <c r="AQ791" s="2">
        <v>0</v>
      </c>
    </row>
    <row r="792" spans="1:43" x14ac:dyDescent="0.25">
      <c r="A792" s="1">
        <v>45915</v>
      </c>
      <c r="B792" t="s">
        <v>47</v>
      </c>
      <c r="C792">
        <v>649163</v>
      </c>
      <c r="D792">
        <v>2026186217</v>
      </c>
      <c r="E792" t="s">
        <v>1002</v>
      </c>
      <c r="F792" t="s">
        <v>1001</v>
      </c>
      <c r="G792" t="s">
        <v>50</v>
      </c>
      <c r="H792" t="s">
        <v>121</v>
      </c>
      <c r="I792" t="s">
        <v>306</v>
      </c>
      <c r="J792" t="s">
        <v>307</v>
      </c>
      <c r="K792">
        <v>767312</v>
      </c>
      <c r="L792" t="s">
        <v>122</v>
      </c>
      <c r="M792" t="s">
        <v>123</v>
      </c>
      <c r="N792" t="s">
        <v>1085</v>
      </c>
      <c r="O792" t="s">
        <v>56</v>
      </c>
      <c r="P792" s="1">
        <v>45641</v>
      </c>
      <c r="Q792" s="1">
        <v>45945</v>
      </c>
      <c r="R792" s="2">
        <v>26.74</v>
      </c>
      <c r="S792">
        <v>1</v>
      </c>
      <c r="T792" t="s">
        <v>57</v>
      </c>
      <c r="U792" t="s">
        <v>58</v>
      </c>
      <c r="V792" s="3">
        <v>0.375</v>
      </c>
      <c r="W792" s="2">
        <v>0</v>
      </c>
      <c r="X792">
        <v>0</v>
      </c>
      <c r="Y792" t="s">
        <v>70</v>
      </c>
      <c r="Z792" t="s">
        <v>60</v>
      </c>
      <c r="AA792">
        <v>0</v>
      </c>
      <c r="AB792" s="2">
        <v>0</v>
      </c>
      <c r="AC792" s="2">
        <v>0</v>
      </c>
      <c r="AD792" s="4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10.029999999999999</v>
      </c>
      <c r="AN792" s="2">
        <v>10.029999999999999</v>
      </c>
      <c r="AO792" s="2">
        <v>0</v>
      </c>
      <c r="AP792" s="2">
        <v>0</v>
      </c>
      <c r="AQ792" s="2">
        <v>0</v>
      </c>
    </row>
    <row r="793" spans="1:43" x14ac:dyDescent="0.25">
      <c r="A793" s="1">
        <v>45915</v>
      </c>
      <c r="B793" t="s">
        <v>47</v>
      </c>
      <c r="C793">
        <v>649163</v>
      </c>
      <c r="D793">
        <v>2026581909</v>
      </c>
      <c r="E793" t="s">
        <v>990</v>
      </c>
      <c r="F793" t="s">
        <v>286</v>
      </c>
      <c r="G793" t="s">
        <v>50</v>
      </c>
      <c r="H793" t="s">
        <v>115</v>
      </c>
      <c r="I793" t="s">
        <v>306</v>
      </c>
      <c r="J793" t="s">
        <v>307</v>
      </c>
      <c r="K793">
        <v>767312</v>
      </c>
      <c r="L793" t="s">
        <v>122</v>
      </c>
      <c r="M793" t="s">
        <v>123</v>
      </c>
      <c r="N793" t="s">
        <v>1085</v>
      </c>
      <c r="O793" t="s">
        <v>56</v>
      </c>
      <c r="P793" s="1">
        <v>45672</v>
      </c>
      <c r="Q793" s="1">
        <v>45945</v>
      </c>
      <c r="R793" s="2">
        <v>126.89</v>
      </c>
      <c r="S793">
        <v>1</v>
      </c>
      <c r="T793" t="s">
        <v>57</v>
      </c>
      <c r="U793" t="s">
        <v>58</v>
      </c>
      <c r="V793" s="3">
        <v>0.375</v>
      </c>
      <c r="W793" s="2">
        <v>0</v>
      </c>
      <c r="X793">
        <v>0</v>
      </c>
      <c r="Y793" t="s">
        <v>70</v>
      </c>
      <c r="Z793" t="s">
        <v>60</v>
      </c>
      <c r="AA793">
        <v>0</v>
      </c>
      <c r="AB793" s="2">
        <v>0</v>
      </c>
      <c r="AC793" s="2">
        <v>0</v>
      </c>
      <c r="AD793" s="4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47.58</v>
      </c>
      <c r="AN793" s="2">
        <v>47.58</v>
      </c>
      <c r="AO793" s="2">
        <v>0</v>
      </c>
      <c r="AP793" s="2">
        <v>0</v>
      </c>
      <c r="AQ793" s="2">
        <v>0</v>
      </c>
    </row>
    <row r="794" spans="1:43" x14ac:dyDescent="0.25">
      <c r="A794" s="1">
        <v>45915</v>
      </c>
      <c r="B794" t="s">
        <v>47</v>
      </c>
      <c r="C794">
        <v>649163</v>
      </c>
      <c r="D794">
        <v>2025167144</v>
      </c>
      <c r="E794" t="s">
        <v>1031</v>
      </c>
      <c r="F794" t="s">
        <v>1030</v>
      </c>
      <c r="G794" t="s">
        <v>50</v>
      </c>
      <c r="H794" t="s">
        <v>115</v>
      </c>
      <c r="I794" t="s">
        <v>441</v>
      </c>
      <c r="J794" t="s">
        <v>445</v>
      </c>
      <c r="K794">
        <v>767312</v>
      </c>
      <c r="L794" t="s">
        <v>122</v>
      </c>
      <c r="M794" t="s">
        <v>123</v>
      </c>
      <c r="N794" t="s">
        <v>1085</v>
      </c>
      <c r="O794" t="s">
        <v>56</v>
      </c>
      <c r="P794" s="1">
        <v>45581</v>
      </c>
      <c r="Q794" s="1">
        <v>45946</v>
      </c>
      <c r="R794" s="2">
        <v>68.61</v>
      </c>
      <c r="S794">
        <v>1</v>
      </c>
      <c r="T794" t="s">
        <v>57</v>
      </c>
      <c r="U794" t="s">
        <v>58</v>
      </c>
      <c r="V794" s="4">
        <v>0.7</v>
      </c>
      <c r="W794" s="2">
        <v>0</v>
      </c>
      <c r="X794">
        <v>0</v>
      </c>
      <c r="Y794" t="s">
        <v>70</v>
      </c>
      <c r="Z794" t="s">
        <v>60</v>
      </c>
      <c r="AA794">
        <v>0</v>
      </c>
      <c r="AB794" s="2">
        <v>0</v>
      </c>
      <c r="AC794" s="2">
        <v>0</v>
      </c>
      <c r="AD794" s="4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48.03</v>
      </c>
      <c r="AN794" s="2">
        <v>48.03</v>
      </c>
      <c r="AO794" s="2">
        <v>0</v>
      </c>
      <c r="AP794" s="2">
        <v>0</v>
      </c>
      <c r="AQ794" s="2">
        <v>0</v>
      </c>
    </row>
    <row r="795" spans="1:43" x14ac:dyDescent="0.25">
      <c r="A795" s="1">
        <v>45915</v>
      </c>
      <c r="B795" t="s">
        <v>47</v>
      </c>
      <c r="C795">
        <v>649163</v>
      </c>
      <c r="D795">
        <v>2025167151</v>
      </c>
      <c r="E795" t="s">
        <v>1029</v>
      </c>
      <c r="F795" t="s">
        <v>1028</v>
      </c>
      <c r="G795" t="s">
        <v>50</v>
      </c>
      <c r="H795" t="s">
        <v>115</v>
      </c>
      <c r="I795" t="s">
        <v>441</v>
      </c>
      <c r="J795" t="s">
        <v>445</v>
      </c>
      <c r="K795">
        <v>767312</v>
      </c>
      <c r="L795" t="s">
        <v>122</v>
      </c>
      <c r="M795" t="s">
        <v>123</v>
      </c>
      <c r="N795" t="s">
        <v>1085</v>
      </c>
      <c r="O795" t="s">
        <v>56</v>
      </c>
      <c r="P795" s="1">
        <v>45581</v>
      </c>
      <c r="Q795" s="1">
        <v>45946</v>
      </c>
      <c r="R795" s="2">
        <v>109.36</v>
      </c>
      <c r="S795">
        <v>1</v>
      </c>
      <c r="T795" t="s">
        <v>57</v>
      </c>
      <c r="U795" t="s">
        <v>58</v>
      </c>
      <c r="V795" s="4">
        <v>0.7</v>
      </c>
      <c r="W795" s="2">
        <v>0</v>
      </c>
      <c r="X795">
        <v>0</v>
      </c>
      <c r="Y795" t="s">
        <v>70</v>
      </c>
      <c r="Z795" t="s">
        <v>60</v>
      </c>
      <c r="AA795">
        <v>0</v>
      </c>
      <c r="AB795" s="2">
        <v>0</v>
      </c>
      <c r="AC795" s="2">
        <v>0</v>
      </c>
      <c r="AD795" s="4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76.55</v>
      </c>
      <c r="AN795" s="2">
        <v>76.55</v>
      </c>
      <c r="AO795" s="2">
        <v>0</v>
      </c>
      <c r="AP795" s="2">
        <v>0</v>
      </c>
      <c r="AQ795" s="2">
        <v>0</v>
      </c>
    </row>
    <row r="796" spans="1:43" x14ac:dyDescent="0.25">
      <c r="A796" s="1">
        <v>45915</v>
      </c>
      <c r="B796" t="s">
        <v>47</v>
      </c>
      <c r="C796">
        <v>649163</v>
      </c>
      <c r="D796">
        <v>2025254890</v>
      </c>
      <c r="E796" t="s">
        <v>1027</v>
      </c>
      <c r="F796" t="s">
        <v>1026</v>
      </c>
      <c r="G796" t="s">
        <v>50</v>
      </c>
      <c r="H796" t="s">
        <v>400</v>
      </c>
      <c r="I796" t="s">
        <v>441</v>
      </c>
      <c r="J796" t="s">
        <v>445</v>
      </c>
      <c r="K796">
        <v>767312</v>
      </c>
      <c r="L796" t="s">
        <v>122</v>
      </c>
      <c r="M796" t="s">
        <v>123</v>
      </c>
      <c r="N796" t="s">
        <v>1085</v>
      </c>
      <c r="O796" t="s">
        <v>56</v>
      </c>
      <c r="P796" s="1">
        <v>45576</v>
      </c>
      <c r="Q796" s="1">
        <v>45941</v>
      </c>
      <c r="R796" s="2">
        <v>35.04</v>
      </c>
      <c r="S796">
        <v>1</v>
      </c>
      <c r="T796" t="s">
        <v>57</v>
      </c>
      <c r="U796" t="s">
        <v>58</v>
      </c>
      <c r="V796" s="4">
        <v>0.7</v>
      </c>
      <c r="W796" s="2">
        <v>0</v>
      </c>
      <c r="X796">
        <v>0</v>
      </c>
      <c r="Y796" t="s">
        <v>70</v>
      </c>
      <c r="Z796" t="s">
        <v>60</v>
      </c>
      <c r="AA796">
        <v>0</v>
      </c>
      <c r="AB796" s="2">
        <v>0</v>
      </c>
      <c r="AC796" s="2">
        <v>0</v>
      </c>
      <c r="AD796" s="4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24.53</v>
      </c>
      <c r="AN796" s="2">
        <v>24.53</v>
      </c>
      <c r="AO796" s="2">
        <v>0</v>
      </c>
      <c r="AP796" s="2">
        <v>0</v>
      </c>
      <c r="AQ796" s="2">
        <v>0</v>
      </c>
    </row>
    <row r="797" spans="1:43" x14ac:dyDescent="0.25">
      <c r="A797" s="1">
        <v>45915</v>
      </c>
      <c r="B797" t="s">
        <v>47</v>
      </c>
      <c r="C797">
        <v>649163</v>
      </c>
      <c r="D797">
        <v>2025254891</v>
      </c>
      <c r="E797" t="s">
        <v>1027</v>
      </c>
      <c r="F797" t="s">
        <v>1026</v>
      </c>
      <c r="G797" t="s">
        <v>50</v>
      </c>
      <c r="H797" t="s">
        <v>400</v>
      </c>
      <c r="I797" t="s">
        <v>441</v>
      </c>
      <c r="J797" t="s">
        <v>442</v>
      </c>
      <c r="K797">
        <v>767312</v>
      </c>
      <c r="L797" t="s">
        <v>122</v>
      </c>
      <c r="M797" t="s">
        <v>123</v>
      </c>
      <c r="N797" t="s">
        <v>1085</v>
      </c>
      <c r="O797" t="s">
        <v>56</v>
      </c>
      <c r="P797" s="1">
        <v>45576</v>
      </c>
      <c r="Q797" s="1">
        <v>45941</v>
      </c>
      <c r="R797" s="2">
        <v>19.28</v>
      </c>
      <c r="S797">
        <v>1</v>
      </c>
      <c r="T797" t="s">
        <v>57</v>
      </c>
      <c r="U797" t="s">
        <v>58</v>
      </c>
      <c r="V797" s="4">
        <v>0.9</v>
      </c>
      <c r="W797" s="2">
        <v>0</v>
      </c>
      <c r="X797">
        <v>0</v>
      </c>
      <c r="Y797" t="s">
        <v>70</v>
      </c>
      <c r="Z797" t="s">
        <v>60</v>
      </c>
      <c r="AA797">
        <v>0</v>
      </c>
      <c r="AB797" s="2">
        <v>0</v>
      </c>
      <c r="AC797" s="2">
        <v>0</v>
      </c>
      <c r="AD797" s="4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17.350000000000001</v>
      </c>
      <c r="AN797" s="2">
        <v>17.350000000000001</v>
      </c>
      <c r="AO797" s="2">
        <v>0</v>
      </c>
      <c r="AP797" s="2">
        <v>0</v>
      </c>
      <c r="AQ797" s="2">
        <v>0</v>
      </c>
    </row>
    <row r="798" spans="1:43" x14ac:dyDescent="0.25">
      <c r="A798" s="1">
        <v>45915</v>
      </c>
      <c r="B798" t="s">
        <v>47</v>
      </c>
      <c r="C798">
        <v>649163</v>
      </c>
      <c r="D798">
        <v>2025316509</v>
      </c>
      <c r="E798" t="s">
        <v>1024</v>
      </c>
      <c r="F798" t="s">
        <v>163</v>
      </c>
      <c r="G798" t="s">
        <v>50</v>
      </c>
      <c r="H798" t="s">
        <v>157</v>
      </c>
      <c r="I798" t="s">
        <v>441</v>
      </c>
      <c r="J798" t="s">
        <v>445</v>
      </c>
      <c r="K798">
        <v>767312</v>
      </c>
      <c r="L798" t="s">
        <v>122</v>
      </c>
      <c r="M798" t="s">
        <v>123</v>
      </c>
      <c r="N798" t="s">
        <v>1085</v>
      </c>
      <c r="O798" t="s">
        <v>56</v>
      </c>
      <c r="P798" s="1">
        <v>45580</v>
      </c>
      <c r="Q798" s="1">
        <v>45945</v>
      </c>
      <c r="R798" s="2">
        <v>46.36</v>
      </c>
      <c r="S798">
        <v>1</v>
      </c>
      <c r="T798" t="s">
        <v>57</v>
      </c>
      <c r="U798" t="s">
        <v>58</v>
      </c>
      <c r="V798" s="4">
        <v>0.7</v>
      </c>
      <c r="W798" s="2">
        <v>0</v>
      </c>
      <c r="X798">
        <v>0</v>
      </c>
      <c r="Y798" t="s">
        <v>70</v>
      </c>
      <c r="Z798" t="s">
        <v>60</v>
      </c>
      <c r="AA798">
        <v>0</v>
      </c>
      <c r="AB798" s="2">
        <v>0</v>
      </c>
      <c r="AC798" s="2">
        <v>0</v>
      </c>
      <c r="AD798" s="4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32.450000000000003</v>
      </c>
      <c r="AN798" s="2">
        <v>32.450000000000003</v>
      </c>
      <c r="AO798" s="2">
        <v>0</v>
      </c>
      <c r="AP798" s="2">
        <v>0</v>
      </c>
      <c r="AQ798" s="2">
        <v>0</v>
      </c>
    </row>
    <row r="799" spans="1:43" x14ac:dyDescent="0.25">
      <c r="A799" s="1">
        <v>45915</v>
      </c>
      <c r="B799" t="s">
        <v>47</v>
      </c>
      <c r="C799">
        <v>649163</v>
      </c>
      <c r="D799">
        <v>2025324175</v>
      </c>
      <c r="E799" t="s">
        <v>156</v>
      </c>
      <c r="F799" t="s">
        <v>1023</v>
      </c>
      <c r="G799" t="s">
        <v>50</v>
      </c>
      <c r="H799" t="s">
        <v>180</v>
      </c>
      <c r="I799" t="s">
        <v>441</v>
      </c>
      <c r="J799" t="s">
        <v>442</v>
      </c>
      <c r="K799">
        <v>767312</v>
      </c>
      <c r="L799" t="s">
        <v>122</v>
      </c>
      <c r="M799" t="s">
        <v>123</v>
      </c>
      <c r="N799" t="s">
        <v>1085</v>
      </c>
      <c r="O799" t="s">
        <v>56</v>
      </c>
      <c r="P799" s="1">
        <v>45584</v>
      </c>
      <c r="Q799" s="1">
        <v>45949</v>
      </c>
      <c r="R799" s="2">
        <v>99.25</v>
      </c>
      <c r="S799">
        <v>1</v>
      </c>
      <c r="T799" t="s">
        <v>57</v>
      </c>
      <c r="U799" t="s">
        <v>58</v>
      </c>
      <c r="V799" s="4">
        <v>0.9</v>
      </c>
      <c r="W799" s="2">
        <v>0</v>
      </c>
      <c r="X799">
        <v>0</v>
      </c>
      <c r="Y799" t="s">
        <v>70</v>
      </c>
      <c r="Z799" t="s">
        <v>60</v>
      </c>
      <c r="AA799">
        <v>0</v>
      </c>
      <c r="AB799" s="2">
        <v>0</v>
      </c>
      <c r="AC799" s="2">
        <v>0</v>
      </c>
      <c r="AD799" s="4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89.32</v>
      </c>
      <c r="AN799" s="2">
        <v>89.32</v>
      </c>
      <c r="AO799" s="2">
        <v>0</v>
      </c>
      <c r="AP799" s="2">
        <v>0</v>
      </c>
      <c r="AQ799" s="2">
        <v>0</v>
      </c>
    </row>
    <row r="800" spans="1:43" x14ac:dyDescent="0.25">
      <c r="A800" s="1">
        <v>45915</v>
      </c>
      <c r="B800" t="s">
        <v>47</v>
      </c>
      <c r="C800">
        <v>649163</v>
      </c>
      <c r="D800">
        <v>2025783063</v>
      </c>
      <c r="E800" t="s">
        <v>883</v>
      </c>
      <c r="F800" t="s">
        <v>1017</v>
      </c>
      <c r="G800" t="s">
        <v>50</v>
      </c>
      <c r="H800" t="s">
        <v>400</v>
      </c>
      <c r="I800" t="s">
        <v>441</v>
      </c>
      <c r="J800" t="s">
        <v>442</v>
      </c>
      <c r="K800">
        <v>767312</v>
      </c>
      <c r="L800" t="s">
        <v>122</v>
      </c>
      <c r="M800" t="s">
        <v>123</v>
      </c>
      <c r="N800" t="s">
        <v>1085</v>
      </c>
      <c r="O800" t="s">
        <v>56</v>
      </c>
      <c r="P800" s="1">
        <v>45612</v>
      </c>
      <c r="Q800" s="1">
        <v>45946</v>
      </c>
      <c r="R800" s="2">
        <v>58.17</v>
      </c>
      <c r="S800">
        <v>1</v>
      </c>
      <c r="T800" t="s">
        <v>57</v>
      </c>
      <c r="U800" t="s">
        <v>58</v>
      </c>
      <c r="V800" s="4">
        <v>0.9</v>
      </c>
      <c r="W800" s="2">
        <v>0</v>
      </c>
      <c r="X800">
        <v>0</v>
      </c>
      <c r="Y800" t="s">
        <v>70</v>
      </c>
      <c r="Z800" t="s">
        <v>60</v>
      </c>
      <c r="AA800">
        <v>0</v>
      </c>
      <c r="AB800" s="2">
        <v>0</v>
      </c>
      <c r="AC800" s="2">
        <v>0</v>
      </c>
      <c r="AD800" s="4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52.35</v>
      </c>
      <c r="AN800" s="2">
        <v>52.35</v>
      </c>
      <c r="AO800" s="2">
        <v>0</v>
      </c>
      <c r="AP800" s="2">
        <v>0</v>
      </c>
      <c r="AQ800" s="2">
        <v>0</v>
      </c>
    </row>
    <row r="801" spans="1:43" x14ac:dyDescent="0.25">
      <c r="A801" s="1">
        <v>45915</v>
      </c>
      <c r="B801" t="s">
        <v>47</v>
      </c>
      <c r="C801">
        <v>649163</v>
      </c>
      <c r="D801">
        <v>2025783978</v>
      </c>
      <c r="E801" t="s">
        <v>883</v>
      </c>
      <c r="F801" t="s">
        <v>882</v>
      </c>
      <c r="G801" t="s">
        <v>50</v>
      </c>
      <c r="H801" t="s">
        <v>400</v>
      </c>
      <c r="I801" t="s">
        <v>441</v>
      </c>
      <c r="J801" t="s">
        <v>442</v>
      </c>
      <c r="K801">
        <v>767312</v>
      </c>
      <c r="L801" t="s">
        <v>122</v>
      </c>
      <c r="M801" t="s">
        <v>123</v>
      </c>
      <c r="N801" t="s">
        <v>1085</v>
      </c>
      <c r="O801" t="s">
        <v>56</v>
      </c>
      <c r="P801" s="1">
        <v>45612</v>
      </c>
      <c r="Q801" s="1">
        <v>45946</v>
      </c>
      <c r="R801" s="2">
        <v>16.63</v>
      </c>
      <c r="S801">
        <v>1</v>
      </c>
      <c r="T801" t="s">
        <v>57</v>
      </c>
      <c r="U801" t="s">
        <v>58</v>
      </c>
      <c r="V801" s="4">
        <v>0.9</v>
      </c>
      <c r="W801" s="2">
        <v>0</v>
      </c>
      <c r="X801">
        <v>0</v>
      </c>
      <c r="Y801" t="s">
        <v>70</v>
      </c>
      <c r="Z801" t="s">
        <v>60</v>
      </c>
      <c r="AA801">
        <v>0</v>
      </c>
      <c r="AB801" s="2">
        <v>0</v>
      </c>
      <c r="AC801" s="2">
        <v>0</v>
      </c>
      <c r="AD801" s="4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14.97</v>
      </c>
      <c r="AN801" s="2">
        <v>14.97</v>
      </c>
      <c r="AO801" s="2">
        <v>0</v>
      </c>
      <c r="AP801" s="2">
        <v>0</v>
      </c>
      <c r="AQ801" s="2">
        <v>0</v>
      </c>
    </row>
    <row r="802" spans="1:43" x14ac:dyDescent="0.25">
      <c r="A802" s="1">
        <v>45915</v>
      </c>
      <c r="B802" t="s">
        <v>47</v>
      </c>
      <c r="C802">
        <v>649163</v>
      </c>
      <c r="D802">
        <v>2026186218</v>
      </c>
      <c r="E802" t="s">
        <v>1002</v>
      </c>
      <c r="F802" t="s">
        <v>1001</v>
      </c>
      <c r="G802" t="s">
        <v>50</v>
      </c>
      <c r="H802" t="s">
        <v>121</v>
      </c>
      <c r="I802" t="s">
        <v>441</v>
      </c>
      <c r="J802" t="s">
        <v>445</v>
      </c>
      <c r="K802">
        <v>767312</v>
      </c>
      <c r="L802" t="s">
        <v>122</v>
      </c>
      <c r="M802" t="s">
        <v>123</v>
      </c>
      <c r="N802" t="s">
        <v>1085</v>
      </c>
      <c r="O802" t="s">
        <v>56</v>
      </c>
      <c r="P802" s="1">
        <v>45641</v>
      </c>
      <c r="Q802" s="1">
        <v>45945</v>
      </c>
      <c r="R802" s="2">
        <v>94.38</v>
      </c>
      <c r="S802">
        <v>1</v>
      </c>
      <c r="T802" t="s">
        <v>57</v>
      </c>
      <c r="U802" t="s">
        <v>58</v>
      </c>
      <c r="V802" s="4">
        <v>0.7</v>
      </c>
      <c r="W802" s="2">
        <v>0</v>
      </c>
      <c r="X802">
        <v>0</v>
      </c>
      <c r="Y802" t="s">
        <v>70</v>
      </c>
      <c r="Z802" t="s">
        <v>60</v>
      </c>
      <c r="AA802">
        <v>0</v>
      </c>
      <c r="AB802" s="2">
        <v>0</v>
      </c>
      <c r="AC802" s="2">
        <v>0</v>
      </c>
      <c r="AD802" s="4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66.069999999999993</v>
      </c>
      <c r="AN802" s="2">
        <v>66.069999999999993</v>
      </c>
      <c r="AO802" s="2">
        <v>0</v>
      </c>
      <c r="AP802" s="2">
        <v>0</v>
      </c>
      <c r="AQ802" s="2">
        <v>0</v>
      </c>
    </row>
    <row r="803" spans="1:43" x14ac:dyDescent="0.25">
      <c r="A803" s="1">
        <v>45915</v>
      </c>
      <c r="B803" t="s">
        <v>47</v>
      </c>
      <c r="C803">
        <v>649163</v>
      </c>
      <c r="D803">
        <v>2026206771</v>
      </c>
      <c r="E803" t="s">
        <v>996</v>
      </c>
      <c r="F803" t="s">
        <v>583</v>
      </c>
      <c r="G803" t="s">
        <v>50</v>
      </c>
      <c r="H803" t="s">
        <v>115</v>
      </c>
      <c r="I803" t="s">
        <v>441</v>
      </c>
      <c r="J803" t="s">
        <v>442</v>
      </c>
      <c r="K803">
        <v>767312</v>
      </c>
      <c r="L803" t="s">
        <v>122</v>
      </c>
      <c r="M803" t="s">
        <v>123</v>
      </c>
      <c r="N803" t="s">
        <v>1085</v>
      </c>
      <c r="O803" t="s">
        <v>56</v>
      </c>
      <c r="P803" s="1">
        <v>45645</v>
      </c>
      <c r="Q803" s="1">
        <v>45949</v>
      </c>
      <c r="R803" s="2">
        <v>51.78</v>
      </c>
      <c r="S803">
        <v>1</v>
      </c>
      <c r="T803" t="s">
        <v>57</v>
      </c>
      <c r="U803" t="s">
        <v>58</v>
      </c>
      <c r="V803" s="4">
        <v>0.9</v>
      </c>
      <c r="W803" s="2">
        <v>0</v>
      </c>
      <c r="X803">
        <v>0</v>
      </c>
      <c r="Y803" t="s">
        <v>70</v>
      </c>
      <c r="Z803" t="s">
        <v>60</v>
      </c>
      <c r="AA803">
        <v>0</v>
      </c>
      <c r="AB803" s="2">
        <v>0</v>
      </c>
      <c r="AC803" s="2">
        <v>0</v>
      </c>
      <c r="AD803" s="4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46.6</v>
      </c>
      <c r="AN803" s="2">
        <v>46.6</v>
      </c>
      <c r="AO803" s="2">
        <v>0</v>
      </c>
      <c r="AP803" s="2">
        <v>0</v>
      </c>
      <c r="AQ803" s="2">
        <v>0</v>
      </c>
    </row>
    <row r="804" spans="1:43" x14ac:dyDescent="0.25">
      <c r="A804" s="1">
        <v>45915</v>
      </c>
      <c r="B804" t="s">
        <v>47</v>
      </c>
      <c r="C804">
        <v>649163</v>
      </c>
      <c r="D804">
        <v>2026581910</v>
      </c>
      <c r="E804" t="s">
        <v>990</v>
      </c>
      <c r="F804" t="s">
        <v>286</v>
      </c>
      <c r="G804" t="s">
        <v>50</v>
      </c>
      <c r="H804" t="s">
        <v>115</v>
      </c>
      <c r="I804" t="s">
        <v>441</v>
      </c>
      <c r="J804" t="s">
        <v>445</v>
      </c>
      <c r="K804">
        <v>767312</v>
      </c>
      <c r="L804" t="s">
        <v>122</v>
      </c>
      <c r="M804" t="s">
        <v>123</v>
      </c>
      <c r="N804" t="s">
        <v>1085</v>
      </c>
      <c r="O804" t="s">
        <v>56</v>
      </c>
      <c r="P804" s="1">
        <v>45672</v>
      </c>
      <c r="Q804" s="1">
        <v>45945</v>
      </c>
      <c r="R804" s="2">
        <v>198.42</v>
      </c>
      <c r="S804">
        <v>1</v>
      </c>
      <c r="T804" t="s">
        <v>57</v>
      </c>
      <c r="U804" t="s">
        <v>58</v>
      </c>
      <c r="V804" s="4">
        <v>0.7</v>
      </c>
      <c r="W804" s="2">
        <v>0</v>
      </c>
      <c r="X804">
        <v>0</v>
      </c>
      <c r="Y804" t="s">
        <v>70</v>
      </c>
      <c r="Z804" t="s">
        <v>60</v>
      </c>
      <c r="AA804">
        <v>0</v>
      </c>
      <c r="AB804" s="2">
        <v>0</v>
      </c>
      <c r="AC804" s="2">
        <v>0</v>
      </c>
      <c r="AD804" s="4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138.88999999999999</v>
      </c>
      <c r="AN804" s="2">
        <v>138.88999999999999</v>
      </c>
      <c r="AO804" s="2">
        <v>0</v>
      </c>
      <c r="AP804" s="2">
        <v>0</v>
      </c>
      <c r="AQ804" s="2">
        <v>0</v>
      </c>
    </row>
    <row r="805" spans="1:43" x14ac:dyDescent="0.25">
      <c r="A805" s="1">
        <v>45915</v>
      </c>
      <c r="B805" t="s">
        <v>47</v>
      </c>
      <c r="C805">
        <v>649163</v>
      </c>
      <c r="D805">
        <v>2026607947</v>
      </c>
      <c r="E805" t="s">
        <v>895</v>
      </c>
      <c r="F805" t="s">
        <v>131</v>
      </c>
      <c r="G805" t="s">
        <v>50</v>
      </c>
      <c r="H805" t="s">
        <v>151</v>
      </c>
      <c r="I805" t="s">
        <v>441</v>
      </c>
      <c r="J805" t="s">
        <v>445</v>
      </c>
      <c r="K805">
        <v>767312</v>
      </c>
      <c r="L805" t="s">
        <v>122</v>
      </c>
      <c r="M805" t="s">
        <v>123</v>
      </c>
      <c r="N805" t="s">
        <v>1085</v>
      </c>
      <c r="O805" t="s">
        <v>56</v>
      </c>
      <c r="P805" s="1">
        <v>45673</v>
      </c>
      <c r="Q805" s="1">
        <v>45946</v>
      </c>
      <c r="R805" s="2">
        <v>29.79</v>
      </c>
      <c r="S805">
        <v>1</v>
      </c>
      <c r="T805" t="s">
        <v>57</v>
      </c>
      <c r="U805" t="s">
        <v>58</v>
      </c>
      <c r="V805" s="4">
        <v>0.7</v>
      </c>
      <c r="W805" s="2">
        <v>0</v>
      </c>
      <c r="X805">
        <v>0</v>
      </c>
      <c r="Y805" t="s">
        <v>70</v>
      </c>
      <c r="Z805" t="s">
        <v>60</v>
      </c>
      <c r="AA805">
        <v>0</v>
      </c>
      <c r="AB805" s="2">
        <v>0</v>
      </c>
      <c r="AC805" s="2">
        <v>0</v>
      </c>
      <c r="AD805" s="4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20.85</v>
      </c>
      <c r="AN805" s="2">
        <v>20.85</v>
      </c>
      <c r="AO805" s="2">
        <v>0</v>
      </c>
      <c r="AP805" s="2">
        <v>0</v>
      </c>
      <c r="AQ805" s="2">
        <v>0</v>
      </c>
    </row>
    <row r="806" spans="1:43" x14ac:dyDescent="0.25">
      <c r="A806" s="1">
        <v>45915</v>
      </c>
      <c r="B806" t="s">
        <v>47</v>
      </c>
      <c r="C806">
        <v>649163</v>
      </c>
      <c r="D806">
        <v>2026617755</v>
      </c>
      <c r="E806" t="s">
        <v>990</v>
      </c>
      <c r="F806" t="s">
        <v>123</v>
      </c>
      <c r="G806" t="s">
        <v>50</v>
      </c>
      <c r="H806" t="s">
        <v>115</v>
      </c>
      <c r="I806" t="s">
        <v>441</v>
      </c>
      <c r="J806" t="s">
        <v>445</v>
      </c>
      <c r="K806">
        <v>767312</v>
      </c>
      <c r="L806" t="s">
        <v>122</v>
      </c>
      <c r="M806" t="s">
        <v>123</v>
      </c>
      <c r="N806" t="s">
        <v>1085</v>
      </c>
      <c r="O806" t="s">
        <v>56</v>
      </c>
      <c r="P806" s="1">
        <v>45673</v>
      </c>
      <c r="Q806" s="1">
        <v>45946</v>
      </c>
      <c r="R806" s="2">
        <v>198.42</v>
      </c>
      <c r="S806">
        <v>1</v>
      </c>
      <c r="T806" t="s">
        <v>57</v>
      </c>
      <c r="U806" t="s">
        <v>58</v>
      </c>
      <c r="V806" s="4">
        <v>0.7</v>
      </c>
      <c r="W806" s="2">
        <v>0</v>
      </c>
      <c r="X806">
        <v>0</v>
      </c>
      <c r="Y806" t="s">
        <v>70</v>
      </c>
      <c r="Z806" t="s">
        <v>60</v>
      </c>
      <c r="AA806">
        <v>0</v>
      </c>
      <c r="AB806" s="2">
        <v>0</v>
      </c>
      <c r="AC806" s="2">
        <v>0</v>
      </c>
      <c r="AD806" s="4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138.88999999999999</v>
      </c>
      <c r="AN806" s="2">
        <v>138.88999999999999</v>
      </c>
      <c r="AO806" s="2">
        <v>0</v>
      </c>
      <c r="AP806" s="2">
        <v>0</v>
      </c>
      <c r="AQ806" s="2">
        <v>0</v>
      </c>
    </row>
    <row r="807" spans="1:43" x14ac:dyDescent="0.25">
      <c r="A807" s="1">
        <v>45915</v>
      </c>
      <c r="B807" t="s">
        <v>47</v>
      </c>
      <c r="C807">
        <v>649163</v>
      </c>
      <c r="D807">
        <v>2026625854</v>
      </c>
      <c r="E807" t="s">
        <v>234</v>
      </c>
      <c r="F807" t="s">
        <v>892</v>
      </c>
      <c r="G807" t="s">
        <v>50</v>
      </c>
      <c r="H807" t="s">
        <v>405</v>
      </c>
      <c r="I807" t="s">
        <v>441</v>
      </c>
      <c r="J807" t="s">
        <v>445</v>
      </c>
      <c r="K807">
        <v>767312</v>
      </c>
      <c r="L807" t="s">
        <v>122</v>
      </c>
      <c r="M807" t="s">
        <v>123</v>
      </c>
      <c r="N807" t="s">
        <v>1085</v>
      </c>
      <c r="O807" t="s">
        <v>56</v>
      </c>
      <c r="P807" s="1">
        <v>45674</v>
      </c>
      <c r="Q807" s="1">
        <v>45947</v>
      </c>
      <c r="R807" s="2">
        <v>114</v>
      </c>
      <c r="S807">
        <v>1</v>
      </c>
      <c r="T807" t="s">
        <v>57</v>
      </c>
      <c r="U807" t="s">
        <v>58</v>
      </c>
      <c r="V807" s="4">
        <v>0.7</v>
      </c>
      <c r="W807" s="2">
        <v>0</v>
      </c>
      <c r="X807">
        <v>0</v>
      </c>
      <c r="Y807" t="s">
        <v>70</v>
      </c>
      <c r="Z807" t="s">
        <v>60</v>
      </c>
      <c r="AA807">
        <v>0</v>
      </c>
      <c r="AB807" s="2">
        <v>0</v>
      </c>
      <c r="AC807" s="2">
        <v>0</v>
      </c>
      <c r="AD807" s="4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79.8</v>
      </c>
      <c r="AN807" s="2">
        <v>79.8</v>
      </c>
      <c r="AO807" s="2">
        <v>0</v>
      </c>
      <c r="AP807" s="2">
        <v>0</v>
      </c>
      <c r="AQ807" s="2">
        <v>0</v>
      </c>
    </row>
    <row r="808" spans="1:43" x14ac:dyDescent="0.25">
      <c r="A808" s="1">
        <v>45915</v>
      </c>
      <c r="B808" t="s">
        <v>47</v>
      </c>
      <c r="C808">
        <v>649163</v>
      </c>
      <c r="D808">
        <v>2027012191</v>
      </c>
      <c r="E808" t="s">
        <v>891</v>
      </c>
      <c r="F808" t="s">
        <v>890</v>
      </c>
      <c r="G808" t="s">
        <v>50</v>
      </c>
      <c r="H808" t="s">
        <v>405</v>
      </c>
      <c r="I808" t="s">
        <v>441</v>
      </c>
      <c r="J808" t="s">
        <v>442</v>
      </c>
      <c r="K808">
        <v>767312</v>
      </c>
      <c r="L808" t="s">
        <v>122</v>
      </c>
      <c r="M808" t="s">
        <v>123</v>
      </c>
      <c r="N808" t="s">
        <v>1085</v>
      </c>
      <c r="O808" t="s">
        <v>56</v>
      </c>
      <c r="P808" s="1">
        <v>45696</v>
      </c>
      <c r="Q808" s="1">
        <v>45938</v>
      </c>
      <c r="R808" s="2">
        <v>-50.18</v>
      </c>
      <c r="S808">
        <v>1</v>
      </c>
      <c r="T808" t="s">
        <v>57</v>
      </c>
      <c r="U808" t="s">
        <v>58</v>
      </c>
      <c r="V808" s="4">
        <v>0.9</v>
      </c>
      <c r="W808" s="2">
        <v>0</v>
      </c>
      <c r="X808">
        <v>-1</v>
      </c>
      <c r="Y808" t="s">
        <v>70</v>
      </c>
      <c r="Z808" t="s">
        <v>60</v>
      </c>
      <c r="AA808">
        <v>0</v>
      </c>
      <c r="AB808" s="2">
        <v>0</v>
      </c>
      <c r="AC808" s="2">
        <v>0</v>
      </c>
      <c r="AD808" s="4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-45.16</v>
      </c>
      <c r="AN808" s="2">
        <v>-45.16</v>
      </c>
      <c r="AO808" s="2">
        <v>0</v>
      </c>
      <c r="AP808" s="2">
        <v>0</v>
      </c>
      <c r="AQ808" s="2">
        <v>0</v>
      </c>
    </row>
    <row r="809" spans="1:43" x14ac:dyDescent="0.25">
      <c r="A809" s="1">
        <v>45915</v>
      </c>
      <c r="B809" t="s">
        <v>47</v>
      </c>
      <c r="C809">
        <v>649163</v>
      </c>
      <c r="D809">
        <v>2027182069</v>
      </c>
      <c r="E809" t="s">
        <v>883</v>
      </c>
      <c r="F809" t="s">
        <v>981</v>
      </c>
      <c r="G809" t="s">
        <v>50</v>
      </c>
      <c r="H809" t="s">
        <v>400</v>
      </c>
      <c r="I809" t="s">
        <v>441</v>
      </c>
      <c r="J809" t="s">
        <v>442</v>
      </c>
      <c r="K809">
        <v>767312</v>
      </c>
      <c r="L809" t="s">
        <v>122</v>
      </c>
      <c r="M809" t="s">
        <v>123</v>
      </c>
      <c r="N809" t="s">
        <v>1085</v>
      </c>
      <c r="O809" t="s">
        <v>56</v>
      </c>
      <c r="P809" s="1">
        <v>45707</v>
      </c>
      <c r="Q809" s="1">
        <v>45949</v>
      </c>
      <c r="R809" s="2">
        <v>42.42</v>
      </c>
      <c r="S809">
        <v>1</v>
      </c>
      <c r="T809" t="s">
        <v>57</v>
      </c>
      <c r="U809" t="s">
        <v>58</v>
      </c>
      <c r="V809" s="4">
        <v>0.9</v>
      </c>
      <c r="W809" s="2">
        <v>0</v>
      </c>
      <c r="X809">
        <v>0</v>
      </c>
      <c r="Y809" t="s">
        <v>70</v>
      </c>
      <c r="Z809" t="s">
        <v>60</v>
      </c>
      <c r="AA809">
        <v>0</v>
      </c>
      <c r="AB809" s="2">
        <v>0</v>
      </c>
      <c r="AC809" s="2">
        <v>0</v>
      </c>
      <c r="AD809" s="4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38.18</v>
      </c>
      <c r="AN809" s="2">
        <v>38.18</v>
      </c>
      <c r="AO809" s="2">
        <v>0</v>
      </c>
      <c r="AP809" s="2">
        <v>0</v>
      </c>
      <c r="AQ809" s="2">
        <v>0</v>
      </c>
    </row>
    <row r="810" spans="1:43" x14ac:dyDescent="0.25">
      <c r="A810" s="1">
        <v>45915</v>
      </c>
      <c r="B810" t="s">
        <v>47</v>
      </c>
      <c r="C810">
        <v>649163</v>
      </c>
      <c r="D810">
        <v>2028135305</v>
      </c>
      <c r="E810" t="s">
        <v>153</v>
      </c>
      <c r="F810" t="s">
        <v>830</v>
      </c>
      <c r="G810" t="s">
        <v>50</v>
      </c>
      <c r="H810" t="s">
        <v>112</v>
      </c>
      <c r="I810" t="s">
        <v>441</v>
      </c>
      <c r="J810" t="s">
        <v>445</v>
      </c>
      <c r="K810">
        <v>767312</v>
      </c>
      <c r="L810" t="s">
        <v>122</v>
      </c>
      <c r="M810" t="s">
        <v>123</v>
      </c>
      <c r="N810" t="s">
        <v>1085</v>
      </c>
      <c r="O810" t="s">
        <v>56</v>
      </c>
      <c r="P810" s="1">
        <v>45748</v>
      </c>
      <c r="Q810" s="1">
        <v>45931</v>
      </c>
      <c r="R810" s="2">
        <v>17.64</v>
      </c>
      <c r="S810">
        <v>1</v>
      </c>
      <c r="T810" t="s">
        <v>57</v>
      </c>
      <c r="U810" t="s">
        <v>58</v>
      </c>
      <c r="V810" s="4">
        <v>0.7</v>
      </c>
      <c r="W810" s="2">
        <v>0</v>
      </c>
      <c r="X810">
        <v>0</v>
      </c>
      <c r="Y810" t="s">
        <v>70</v>
      </c>
      <c r="Z810" t="s">
        <v>60</v>
      </c>
      <c r="AA810">
        <v>0</v>
      </c>
      <c r="AB810" s="2">
        <v>0</v>
      </c>
      <c r="AC810" s="2">
        <v>0</v>
      </c>
      <c r="AD810" s="4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12.35</v>
      </c>
      <c r="AN810" s="2">
        <v>12.35</v>
      </c>
      <c r="AO810" s="2">
        <v>0</v>
      </c>
      <c r="AP810" s="2">
        <v>0</v>
      </c>
      <c r="AQ810" s="2">
        <v>0</v>
      </c>
    </row>
    <row r="811" spans="1:43" x14ac:dyDescent="0.25">
      <c r="A811" s="1">
        <v>45915</v>
      </c>
      <c r="B811" t="s">
        <v>47</v>
      </c>
      <c r="C811">
        <v>649163</v>
      </c>
      <c r="D811">
        <v>2028135306</v>
      </c>
      <c r="E811" t="s">
        <v>153</v>
      </c>
      <c r="F811" t="s">
        <v>830</v>
      </c>
      <c r="G811" t="s">
        <v>50</v>
      </c>
      <c r="H811" t="s">
        <v>112</v>
      </c>
      <c r="I811" t="s">
        <v>441</v>
      </c>
      <c r="J811" t="s">
        <v>442</v>
      </c>
      <c r="K811">
        <v>767312</v>
      </c>
      <c r="L811" t="s">
        <v>122</v>
      </c>
      <c r="M811" t="s">
        <v>123</v>
      </c>
      <c r="N811" t="s">
        <v>1085</v>
      </c>
      <c r="O811" t="s">
        <v>56</v>
      </c>
      <c r="P811" s="1">
        <v>45748</v>
      </c>
      <c r="Q811" s="1">
        <v>45931</v>
      </c>
      <c r="R811" s="2">
        <v>43.81</v>
      </c>
      <c r="S811">
        <v>1</v>
      </c>
      <c r="T811" t="s">
        <v>57</v>
      </c>
      <c r="U811" t="s">
        <v>58</v>
      </c>
      <c r="V811" s="4">
        <v>0.9</v>
      </c>
      <c r="W811" s="2">
        <v>0</v>
      </c>
      <c r="X811">
        <v>0</v>
      </c>
      <c r="Y811" t="s">
        <v>70</v>
      </c>
      <c r="Z811" t="s">
        <v>60</v>
      </c>
      <c r="AA811">
        <v>0</v>
      </c>
      <c r="AB811" s="2">
        <v>0</v>
      </c>
      <c r="AC811" s="2">
        <v>0</v>
      </c>
      <c r="AD811" s="4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39.43</v>
      </c>
      <c r="AN811" s="2">
        <v>39.43</v>
      </c>
      <c r="AO811" s="2">
        <v>0</v>
      </c>
      <c r="AP811" s="2">
        <v>0</v>
      </c>
      <c r="AQ811" s="2">
        <v>0</v>
      </c>
    </row>
    <row r="812" spans="1:43" x14ac:dyDescent="0.25">
      <c r="A812" s="1">
        <v>45915</v>
      </c>
      <c r="B812" t="s">
        <v>47</v>
      </c>
      <c r="C812">
        <v>649163</v>
      </c>
      <c r="D812">
        <v>2029852609</v>
      </c>
      <c r="E812" t="s">
        <v>345</v>
      </c>
      <c r="F812" t="s">
        <v>926</v>
      </c>
      <c r="G812" t="s">
        <v>50</v>
      </c>
      <c r="H812" t="s">
        <v>157</v>
      </c>
      <c r="I812" t="s">
        <v>441</v>
      </c>
      <c r="J812" t="s">
        <v>445</v>
      </c>
      <c r="K812">
        <v>767312</v>
      </c>
      <c r="L812" t="s">
        <v>122</v>
      </c>
      <c r="M812" t="s">
        <v>123</v>
      </c>
      <c r="N812" t="s">
        <v>1085</v>
      </c>
      <c r="O812" t="s">
        <v>56</v>
      </c>
      <c r="P812" s="1">
        <v>45857</v>
      </c>
      <c r="Q812" s="1">
        <v>45949</v>
      </c>
      <c r="R812" s="2">
        <v>179.96</v>
      </c>
      <c r="S812">
        <v>1</v>
      </c>
      <c r="T812" t="s">
        <v>57</v>
      </c>
      <c r="U812" t="s">
        <v>58</v>
      </c>
      <c r="V812" s="4">
        <v>0.7</v>
      </c>
      <c r="W812" s="2">
        <v>0</v>
      </c>
      <c r="X812">
        <v>0</v>
      </c>
      <c r="Y812" t="s">
        <v>70</v>
      </c>
      <c r="Z812" t="s">
        <v>60</v>
      </c>
      <c r="AA812">
        <v>0</v>
      </c>
      <c r="AB812" s="2">
        <v>0</v>
      </c>
      <c r="AC812" s="2">
        <v>0</v>
      </c>
      <c r="AD812" s="4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125.97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</row>
    <row r="813" spans="1:43" x14ac:dyDescent="0.25">
      <c r="A813" s="1">
        <v>45915</v>
      </c>
      <c r="B813" t="s">
        <v>47</v>
      </c>
      <c r="C813">
        <v>649163</v>
      </c>
      <c r="D813">
        <v>2029938123</v>
      </c>
      <c r="E813" t="s">
        <v>837</v>
      </c>
      <c r="F813" t="s">
        <v>836</v>
      </c>
      <c r="G813" t="s">
        <v>50</v>
      </c>
      <c r="H813" t="s">
        <v>512</v>
      </c>
      <c r="I813" t="s">
        <v>441</v>
      </c>
      <c r="J813" t="s">
        <v>445</v>
      </c>
      <c r="K813">
        <v>767312</v>
      </c>
      <c r="L813" t="s">
        <v>122</v>
      </c>
      <c r="M813" t="s">
        <v>123</v>
      </c>
      <c r="N813" t="s">
        <v>1085</v>
      </c>
      <c r="O813" t="s">
        <v>56</v>
      </c>
      <c r="P813" s="1">
        <v>45853</v>
      </c>
      <c r="Q813" s="1">
        <v>45945</v>
      </c>
      <c r="R813" s="2">
        <v>75.900000000000006</v>
      </c>
      <c r="S813">
        <v>1</v>
      </c>
      <c r="T813" t="s">
        <v>57</v>
      </c>
      <c r="U813" t="s">
        <v>58</v>
      </c>
      <c r="V813" s="4">
        <v>0.7</v>
      </c>
      <c r="W813" s="2">
        <v>0</v>
      </c>
      <c r="X813">
        <v>0</v>
      </c>
      <c r="Y813" t="s">
        <v>70</v>
      </c>
      <c r="Z813" t="s">
        <v>60</v>
      </c>
      <c r="AA813">
        <v>0</v>
      </c>
      <c r="AB813" s="2">
        <v>0</v>
      </c>
      <c r="AC813" s="2">
        <v>0</v>
      </c>
      <c r="AD813" s="4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53.13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</row>
    <row r="814" spans="1:43" x14ac:dyDescent="0.25">
      <c r="A814" s="1">
        <v>45915</v>
      </c>
      <c r="B814" t="s">
        <v>47</v>
      </c>
      <c r="C814">
        <v>649163</v>
      </c>
      <c r="D814">
        <v>2026607948</v>
      </c>
      <c r="E814" t="s">
        <v>895</v>
      </c>
      <c r="F814" t="s">
        <v>131</v>
      </c>
      <c r="G814" t="s">
        <v>50</v>
      </c>
      <c r="H814" t="s">
        <v>151</v>
      </c>
      <c r="I814" t="s">
        <v>306</v>
      </c>
      <c r="J814" t="s">
        <v>307</v>
      </c>
      <c r="K814">
        <v>767312</v>
      </c>
      <c r="L814" t="s">
        <v>122</v>
      </c>
      <c r="M814" t="s">
        <v>123</v>
      </c>
      <c r="N814" t="s">
        <v>1085</v>
      </c>
      <c r="O814" t="s">
        <v>56</v>
      </c>
      <c r="P814" s="1">
        <v>45673</v>
      </c>
      <c r="Q814" s="1">
        <v>45946</v>
      </c>
      <c r="R814" s="2">
        <v>27.97</v>
      </c>
      <c r="S814">
        <v>1</v>
      </c>
      <c r="T814" t="s">
        <v>57</v>
      </c>
      <c r="U814" t="s">
        <v>58</v>
      </c>
      <c r="V814" s="3">
        <v>0.375</v>
      </c>
      <c r="W814" s="2">
        <v>0</v>
      </c>
      <c r="X814">
        <v>0</v>
      </c>
      <c r="Y814" t="s">
        <v>70</v>
      </c>
      <c r="Z814" t="s">
        <v>60</v>
      </c>
      <c r="AA814">
        <v>0</v>
      </c>
      <c r="AB814" s="2">
        <v>0</v>
      </c>
      <c r="AC814" s="2">
        <v>0</v>
      </c>
      <c r="AD814" s="4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10.49</v>
      </c>
      <c r="AN814" s="2">
        <v>10.49</v>
      </c>
      <c r="AO814" s="2">
        <v>0</v>
      </c>
      <c r="AP814" s="2">
        <v>0</v>
      </c>
      <c r="AQ814" s="2">
        <v>0</v>
      </c>
    </row>
    <row r="815" spans="1:43" x14ac:dyDescent="0.25">
      <c r="A815" s="1">
        <v>45915</v>
      </c>
      <c r="B815" t="s">
        <v>47</v>
      </c>
      <c r="C815">
        <v>649163</v>
      </c>
      <c r="D815">
        <v>2026615682</v>
      </c>
      <c r="E815" t="s">
        <v>894</v>
      </c>
      <c r="F815" t="s">
        <v>153</v>
      </c>
      <c r="G815" t="s">
        <v>50</v>
      </c>
      <c r="H815" t="s">
        <v>405</v>
      </c>
      <c r="I815" t="s">
        <v>306</v>
      </c>
      <c r="J815" t="s">
        <v>307</v>
      </c>
      <c r="K815">
        <v>767312</v>
      </c>
      <c r="L815" t="s">
        <v>122</v>
      </c>
      <c r="M815" t="s">
        <v>123</v>
      </c>
      <c r="N815" t="s">
        <v>1085</v>
      </c>
      <c r="O815" t="s">
        <v>56</v>
      </c>
      <c r="P815" s="1">
        <v>45673</v>
      </c>
      <c r="Q815" s="1">
        <v>45946</v>
      </c>
      <c r="R815" s="2">
        <v>29.08</v>
      </c>
      <c r="S815">
        <v>1</v>
      </c>
      <c r="T815" t="s">
        <v>57</v>
      </c>
      <c r="U815" t="s">
        <v>58</v>
      </c>
      <c r="V815" s="3">
        <v>0.375</v>
      </c>
      <c r="W815" s="2">
        <v>0</v>
      </c>
      <c r="X815">
        <v>0</v>
      </c>
      <c r="Y815" t="s">
        <v>70</v>
      </c>
      <c r="Z815" t="s">
        <v>60</v>
      </c>
      <c r="AA815">
        <v>0</v>
      </c>
      <c r="AB815" s="2">
        <v>0</v>
      </c>
      <c r="AC815" s="2">
        <v>0</v>
      </c>
      <c r="AD815" s="4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10.9</v>
      </c>
      <c r="AN815" s="2">
        <v>10.9</v>
      </c>
      <c r="AO815" s="2">
        <v>0</v>
      </c>
      <c r="AP815" s="2">
        <v>0</v>
      </c>
      <c r="AQ815" s="2">
        <v>0</v>
      </c>
    </row>
    <row r="816" spans="1:43" x14ac:dyDescent="0.25">
      <c r="A816" s="1">
        <v>45915</v>
      </c>
      <c r="B816" t="s">
        <v>47</v>
      </c>
      <c r="C816">
        <v>649163</v>
      </c>
      <c r="D816">
        <v>2026625853</v>
      </c>
      <c r="E816" t="s">
        <v>234</v>
      </c>
      <c r="F816" t="s">
        <v>892</v>
      </c>
      <c r="G816" t="s">
        <v>50</v>
      </c>
      <c r="H816" t="s">
        <v>405</v>
      </c>
      <c r="I816" t="s">
        <v>306</v>
      </c>
      <c r="J816" t="s">
        <v>307</v>
      </c>
      <c r="K816">
        <v>767312</v>
      </c>
      <c r="L816" t="s">
        <v>122</v>
      </c>
      <c r="M816" t="s">
        <v>123</v>
      </c>
      <c r="N816" t="s">
        <v>1085</v>
      </c>
      <c r="O816" t="s">
        <v>56</v>
      </c>
      <c r="P816" s="1">
        <v>45674</v>
      </c>
      <c r="Q816" s="1">
        <v>45947</v>
      </c>
      <c r="R816" s="2">
        <v>24.71</v>
      </c>
      <c r="S816">
        <v>1</v>
      </c>
      <c r="T816" t="s">
        <v>57</v>
      </c>
      <c r="U816" t="s">
        <v>58</v>
      </c>
      <c r="V816" s="3">
        <v>0.375</v>
      </c>
      <c r="W816" s="2">
        <v>0</v>
      </c>
      <c r="X816">
        <v>0</v>
      </c>
      <c r="Y816" t="s">
        <v>70</v>
      </c>
      <c r="Z816" t="s">
        <v>60</v>
      </c>
      <c r="AA816">
        <v>0</v>
      </c>
      <c r="AB816" s="2">
        <v>0</v>
      </c>
      <c r="AC816" s="2">
        <v>0</v>
      </c>
      <c r="AD816" s="4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9.27</v>
      </c>
      <c r="AN816" s="2">
        <v>9.27</v>
      </c>
      <c r="AO816" s="2">
        <v>0</v>
      </c>
      <c r="AP816" s="2">
        <v>0</v>
      </c>
      <c r="AQ816" s="2">
        <v>0</v>
      </c>
    </row>
    <row r="817" spans="1:43" x14ac:dyDescent="0.25">
      <c r="A817" s="1">
        <v>45915</v>
      </c>
      <c r="B817" t="s">
        <v>47</v>
      </c>
      <c r="C817">
        <v>649163</v>
      </c>
      <c r="D817">
        <v>2027012190</v>
      </c>
      <c r="E817" t="s">
        <v>891</v>
      </c>
      <c r="F817" t="s">
        <v>890</v>
      </c>
      <c r="G817" t="s">
        <v>50</v>
      </c>
      <c r="H817" t="s">
        <v>405</v>
      </c>
      <c r="I817" t="s">
        <v>306</v>
      </c>
      <c r="J817" t="s">
        <v>307</v>
      </c>
      <c r="K817">
        <v>767312</v>
      </c>
      <c r="L817" t="s">
        <v>122</v>
      </c>
      <c r="M817" t="s">
        <v>123</v>
      </c>
      <c r="N817" t="s">
        <v>1085</v>
      </c>
      <c r="O817" t="s">
        <v>56</v>
      </c>
      <c r="P817" s="1">
        <v>45696</v>
      </c>
      <c r="Q817" s="1">
        <v>45938</v>
      </c>
      <c r="R817" s="2">
        <v>-51.49</v>
      </c>
      <c r="S817">
        <v>1</v>
      </c>
      <c r="T817" t="s">
        <v>57</v>
      </c>
      <c r="U817" t="s">
        <v>58</v>
      </c>
      <c r="V817" s="3">
        <v>0.375</v>
      </c>
      <c r="W817" s="2">
        <v>0</v>
      </c>
      <c r="X817">
        <v>-1</v>
      </c>
      <c r="Y817" t="s">
        <v>70</v>
      </c>
      <c r="Z817" t="s">
        <v>60</v>
      </c>
      <c r="AA817">
        <v>0</v>
      </c>
      <c r="AB817" s="2">
        <v>0</v>
      </c>
      <c r="AC817" s="2">
        <v>0</v>
      </c>
      <c r="AD817" s="4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-19.309999999999999</v>
      </c>
      <c r="AN817" s="2">
        <v>-19.309999999999999</v>
      </c>
      <c r="AO817" s="2">
        <v>0</v>
      </c>
      <c r="AP817" s="2">
        <v>0</v>
      </c>
      <c r="AQ817" s="2">
        <v>0</v>
      </c>
    </row>
    <row r="818" spans="1:43" x14ac:dyDescent="0.25">
      <c r="A818" s="1">
        <v>45915</v>
      </c>
      <c r="B818" t="s">
        <v>47</v>
      </c>
      <c r="C818">
        <v>649163</v>
      </c>
      <c r="D818">
        <v>2027182058</v>
      </c>
      <c r="E818" t="s">
        <v>883</v>
      </c>
      <c r="F818" t="s">
        <v>882</v>
      </c>
      <c r="G818" t="s">
        <v>50</v>
      </c>
      <c r="H818" t="s">
        <v>400</v>
      </c>
      <c r="I818" t="s">
        <v>306</v>
      </c>
      <c r="J818" t="s">
        <v>307</v>
      </c>
      <c r="K818">
        <v>767312</v>
      </c>
      <c r="L818" t="s">
        <v>122</v>
      </c>
      <c r="M818" t="s">
        <v>123</v>
      </c>
      <c r="N818" t="s">
        <v>1085</v>
      </c>
      <c r="O818" t="s">
        <v>56</v>
      </c>
      <c r="P818" s="1">
        <v>45707</v>
      </c>
      <c r="Q818" s="1">
        <v>45949</v>
      </c>
      <c r="R818" s="2">
        <v>36.69</v>
      </c>
      <c r="S818">
        <v>1</v>
      </c>
      <c r="T818" t="s">
        <v>57</v>
      </c>
      <c r="U818" t="s">
        <v>58</v>
      </c>
      <c r="V818" s="3">
        <v>0.375</v>
      </c>
      <c r="W818" s="2">
        <v>0</v>
      </c>
      <c r="X818">
        <v>0</v>
      </c>
      <c r="Y818" t="s">
        <v>70</v>
      </c>
      <c r="Z818" t="s">
        <v>60</v>
      </c>
      <c r="AA818">
        <v>0</v>
      </c>
      <c r="AB818" s="2">
        <v>0</v>
      </c>
      <c r="AC818" s="2">
        <v>0</v>
      </c>
      <c r="AD818" s="4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13.76</v>
      </c>
      <c r="AN818" s="2">
        <v>13.76</v>
      </c>
      <c r="AO818" s="2">
        <v>0</v>
      </c>
      <c r="AP818" s="2">
        <v>0</v>
      </c>
      <c r="AQ818" s="2">
        <v>0</v>
      </c>
    </row>
    <row r="819" spans="1:43" x14ac:dyDescent="0.25">
      <c r="A819" s="1">
        <v>45915</v>
      </c>
      <c r="B819" t="s">
        <v>47</v>
      </c>
      <c r="C819">
        <v>649163</v>
      </c>
      <c r="D819">
        <v>2028459881</v>
      </c>
      <c r="E819" t="s">
        <v>866</v>
      </c>
      <c r="F819" t="s">
        <v>865</v>
      </c>
      <c r="G819" t="s">
        <v>50</v>
      </c>
      <c r="H819" t="s">
        <v>121</v>
      </c>
      <c r="I819" t="s">
        <v>306</v>
      </c>
      <c r="J819" t="s">
        <v>307</v>
      </c>
      <c r="K819">
        <v>767312</v>
      </c>
      <c r="L819" t="s">
        <v>122</v>
      </c>
      <c r="M819" t="s">
        <v>123</v>
      </c>
      <c r="N819" t="s">
        <v>1085</v>
      </c>
      <c r="O819" t="s">
        <v>56</v>
      </c>
      <c r="P819" s="1">
        <v>45765</v>
      </c>
      <c r="Q819" s="1">
        <v>45948</v>
      </c>
      <c r="R819" s="2">
        <v>31.93</v>
      </c>
      <c r="S819">
        <v>1</v>
      </c>
      <c r="T819" t="s">
        <v>57</v>
      </c>
      <c r="U819" t="s">
        <v>58</v>
      </c>
      <c r="V819" s="3">
        <v>0.375</v>
      </c>
      <c r="W819" s="2">
        <v>0</v>
      </c>
      <c r="X819">
        <v>0</v>
      </c>
      <c r="Y819" t="s">
        <v>70</v>
      </c>
      <c r="Z819" t="s">
        <v>60</v>
      </c>
      <c r="AA819">
        <v>0</v>
      </c>
      <c r="AB819" s="2">
        <v>0</v>
      </c>
      <c r="AC819" s="2">
        <v>0</v>
      </c>
      <c r="AD819" s="4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11.97</v>
      </c>
      <c r="AN819" s="2">
        <v>11.97</v>
      </c>
      <c r="AO819" s="2">
        <v>0</v>
      </c>
      <c r="AP819" s="2">
        <v>0</v>
      </c>
      <c r="AQ819" s="2">
        <v>0</v>
      </c>
    </row>
    <row r="820" spans="1:43" x14ac:dyDescent="0.25">
      <c r="A820" s="1">
        <v>45915</v>
      </c>
      <c r="B820" t="s">
        <v>47</v>
      </c>
      <c r="C820">
        <v>649163</v>
      </c>
      <c r="D820">
        <v>2028983174</v>
      </c>
      <c r="E820" t="s">
        <v>847</v>
      </c>
      <c r="F820" t="s">
        <v>846</v>
      </c>
      <c r="G820" t="s">
        <v>50</v>
      </c>
      <c r="H820" t="s">
        <v>405</v>
      </c>
      <c r="I820" t="s">
        <v>306</v>
      </c>
      <c r="J820" t="s">
        <v>307</v>
      </c>
      <c r="K820">
        <v>767312</v>
      </c>
      <c r="L820" t="s">
        <v>122</v>
      </c>
      <c r="M820" t="s">
        <v>123</v>
      </c>
      <c r="N820" t="s">
        <v>1085</v>
      </c>
      <c r="O820" t="s">
        <v>56</v>
      </c>
      <c r="P820" s="1">
        <v>45794</v>
      </c>
      <c r="Q820" s="1">
        <v>45947</v>
      </c>
      <c r="R820" s="2">
        <v>29.08</v>
      </c>
      <c r="S820">
        <v>1</v>
      </c>
      <c r="T820" t="s">
        <v>57</v>
      </c>
      <c r="U820" t="s">
        <v>58</v>
      </c>
      <c r="V820" s="3">
        <v>0.375</v>
      </c>
      <c r="W820" s="2">
        <v>0</v>
      </c>
      <c r="X820">
        <v>0</v>
      </c>
      <c r="Y820" t="s">
        <v>70</v>
      </c>
      <c r="Z820" t="s">
        <v>60</v>
      </c>
      <c r="AA820">
        <v>0</v>
      </c>
      <c r="AB820" s="2">
        <v>0</v>
      </c>
      <c r="AC820" s="2">
        <v>0</v>
      </c>
      <c r="AD820" s="4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10.9</v>
      </c>
      <c r="AN820" s="2">
        <v>10.9</v>
      </c>
      <c r="AO820" s="2">
        <v>0</v>
      </c>
      <c r="AP820" s="2">
        <v>0</v>
      </c>
      <c r="AQ820" s="2">
        <v>0</v>
      </c>
    </row>
    <row r="821" spans="1:43" x14ac:dyDescent="0.25">
      <c r="A821" s="1">
        <v>45915</v>
      </c>
      <c r="B821" t="s">
        <v>47</v>
      </c>
      <c r="C821">
        <v>649163</v>
      </c>
      <c r="D821">
        <v>2029341342</v>
      </c>
      <c r="E821" t="s">
        <v>85</v>
      </c>
      <c r="F821" t="s">
        <v>335</v>
      </c>
      <c r="G821" t="s">
        <v>50</v>
      </c>
      <c r="H821" t="s">
        <v>188</v>
      </c>
      <c r="I821" t="s">
        <v>306</v>
      </c>
      <c r="J821" t="s">
        <v>307</v>
      </c>
      <c r="K821">
        <v>767312</v>
      </c>
      <c r="L821" t="s">
        <v>122</v>
      </c>
      <c r="M821" t="s">
        <v>123</v>
      </c>
      <c r="N821" t="s">
        <v>1085</v>
      </c>
      <c r="O821" t="s">
        <v>56</v>
      </c>
      <c r="P821" s="1">
        <v>45821</v>
      </c>
      <c r="Q821" s="1">
        <v>45943</v>
      </c>
      <c r="R821" s="2">
        <v>49.62</v>
      </c>
      <c r="S821">
        <v>1</v>
      </c>
      <c r="T821" t="s">
        <v>57</v>
      </c>
      <c r="U821" t="s">
        <v>58</v>
      </c>
      <c r="V821" s="3">
        <v>0.375</v>
      </c>
      <c r="W821" s="2">
        <v>0</v>
      </c>
      <c r="X821">
        <v>0</v>
      </c>
      <c r="Y821" t="s">
        <v>70</v>
      </c>
      <c r="Z821" t="s">
        <v>60</v>
      </c>
      <c r="AA821">
        <v>0</v>
      </c>
      <c r="AB821" s="2">
        <v>0</v>
      </c>
      <c r="AC821" s="2">
        <v>0</v>
      </c>
      <c r="AD821" s="4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18.61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</row>
    <row r="822" spans="1:43" x14ac:dyDescent="0.25">
      <c r="A822" s="1">
        <v>45915</v>
      </c>
      <c r="B822" t="s">
        <v>47</v>
      </c>
      <c r="C822">
        <v>649163</v>
      </c>
      <c r="D822">
        <v>2029938125</v>
      </c>
      <c r="E822" t="s">
        <v>837</v>
      </c>
      <c r="F822" t="s">
        <v>836</v>
      </c>
      <c r="G822" t="s">
        <v>50</v>
      </c>
      <c r="H822" t="s">
        <v>512</v>
      </c>
      <c r="I822" t="s">
        <v>306</v>
      </c>
      <c r="J822" t="s">
        <v>307</v>
      </c>
      <c r="K822">
        <v>767312</v>
      </c>
      <c r="L822" t="s">
        <v>122</v>
      </c>
      <c r="M822" t="s">
        <v>123</v>
      </c>
      <c r="N822" t="s">
        <v>1085</v>
      </c>
      <c r="O822" t="s">
        <v>56</v>
      </c>
      <c r="P822" s="1">
        <v>45853</v>
      </c>
      <c r="Q822" s="1">
        <v>45945</v>
      </c>
      <c r="R822" s="2">
        <v>110.61</v>
      </c>
      <c r="S822">
        <v>1</v>
      </c>
      <c r="T822" t="s">
        <v>57</v>
      </c>
      <c r="U822" t="s">
        <v>58</v>
      </c>
      <c r="V822" s="3">
        <v>0.375</v>
      </c>
      <c r="W822" s="2">
        <v>0</v>
      </c>
      <c r="X822">
        <v>0</v>
      </c>
      <c r="Y822" t="s">
        <v>70</v>
      </c>
      <c r="Z822" t="s">
        <v>60</v>
      </c>
      <c r="AA822">
        <v>0</v>
      </c>
      <c r="AB822" s="2">
        <v>0</v>
      </c>
      <c r="AC822" s="2">
        <v>0</v>
      </c>
      <c r="AD822" s="4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41.48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</row>
    <row r="823" spans="1:43" x14ac:dyDescent="0.25">
      <c r="A823" s="1">
        <v>45915</v>
      </c>
      <c r="B823" t="s">
        <v>47</v>
      </c>
      <c r="C823">
        <v>649163</v>
      </c>
      <c r="D823">
        <v>2024356429</v>
      </c>
      <c r="E823" t="s">
        <v>736</v>
      </c>
      <c r="F823" t="s">
        <v>187</v>
      </c>
      <c r="G823" t="s">
        <v>50</v>
      </c>
      <c r="H823" t="s">
        <v>93</v>
      </c>
      <c r="I823" t="s">
        <v>441</v>
      </c>
      <c r="J823" t="s">
        <v>445</v>
      </c>
      <c r="K823">
        <v>767312</v>
      </c>
      <c r="L823" t="s">
        <v>122</v>
      </c>
      <c r="M823" t="s">
        <v>123</v>
      </c>
      <c r="N823" t="s">
        <v>1085</v>
      </c>
      <c r="O823" t="s">
        <v>56</v>
      </c>
      <c r="P823" s="1">
        <v>45517</v>
      </c>
      <c r="Q823" s="1">
        <v>45943</v>
      </c>
      <c r="R823" s="2">
        <v>28.9</v>
      </c>
      <c r="S823">
        <v>1</v>
      </c>
      <c r="T823" t="s">
        <v>57</v>
      </c>
      <c r="U823" t="s">
        <v>58</v>
      </c>
      <c r="V823" s="4">
        <v>0.15</v>
      </c>
      <c r="W823" s="2">
        <v>0</v>
      </c>
      <c r="X823">
        <v>0</v>
      </c>
      <c r="Y823" t="s">
        <v>59</v>
      </c>
      <c r="Z823" t="s">
        <v>60</v>
      </c>
      <c r="AA823">
        <v>0</v>
      </c>
      <c r="AB823" s="2">
        <v>0</v>
      </c>
      <c r="AC823" s="2">
        <v>0</v>
      </c>
      <c r="AD823" s="4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4.34</v>
      </c>
      <c r="AN823" s="2">
        <v>4.34</v>
      </c>
      <c r="AO823" s="2">
        <v>0</v>
      </c>
      <c r="AP823" s="2">
        <v>0</v>
      </c>
      <c r="AQ823" s="2">
        <v>0</v>
      </c>
    </row>
    <row r="824" spans="1:43" x14ac:dyDescent="0.25">
      <c r="A824" s="1">
        <v>45915</v>
      </c>
      <c r="B824" t="s">
        <v>47</v>
      </c>
      <c r="C824">
        <v>649163</v>
      </c>
      <c r="D824">
        <v>2024834572</v>
      </c>
      <c r="E824" t="s">
        <v>734</v>
      </c>
      <c r="F824" t="s">
        <v>409</v>
      </c>
      <c r="G824" t="s">
        <v>50</v>
      </c>
      <c r="H824" t="s">
        <v>405</v>
      </c>
      <c r="I824" t="s">
        <v>441</v>
      </c>
      <c r="J824" t="s">
        <v>445</v>
      </c>
      <c r="K824">
        <v>767312</v>
      </c>
      <c r="L824" t="s">
        <v>122</v>
      </c>
      <c r="M824" t="s">
        <v>123</v>
      </c>
      <c r="N824" t="s">
        <v>1085</v>
      </c>
      <c r="O824" t="s">
        <v>56</v>
      </c>
      <c r="P824" s="1">
        <v>45549</v>
      </c>
      <c r="Q824" s="1">
        <v>45944</v>
      </c>
      <c r="R824" s="2">
        <v>87.77</v>
      </c>
      <c r="S824">
        <v>1</v>
      </c>
      <c r="T824" t="s">
        <v>57</v>
      </c>
      <c r="U824" t="s">
        <v>58</v>
      </c>
      <c r="V824" s="4">
        <v>0.15</v>
      </c>
      <c r="W824" s="2">
        <v>0</v>
      </c>
      <c r="X824">
        <v>0</v>
      </c>
      <c r="Y824" t="s">
        <v>59</v>
      </c>
      <c r="Z824" t="s">
        <v>60</v>
      </c>
      <c r="AA824">
        <v>0</v>
      </c>
      <c r="AB824" s="2">
        <v>0</v>
      </c>
      <c r="AC824" s="2">
        <v>0</v>
      </c>
      <c r="AD824" s="4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13.17</v>
      </c>
      <c r="AN824" s="2">
        <v>13.17</v>
      </c>
      <c r="AO824" s="2">
        <v>0</v>
      </c>
      <c r="AP824" s="2">
        <v>0</v>
      </c>
      <c r="AQ824" s="2">
        <v>0</v>
      </c>
    </row>
    <row r="825" spans="1:43" x14ac:dyDescent="0.25">
      <c r="A825" s="1">
        <v>45915</v>
      </c>
      <c r="B825" t="s">
        <v>47</v>
      </c>
      <c r="C825">
        <v>649163</v>
      </c>
      <c r="D825">
        <v>2024864177</v>
      </c>
      <c r="E825" t="s">
        <v>731</v>
      </c>
      <c r="F825" t="s">
        <v>730</v>
      </c>
      <c r="G825" t="s">
        <v>50</v>
      </c>
      <c r="H825" t="s">
        <v>115</v>
      </c>
      <c r="I825" t="s">
        <v>441</v>
      </c>
      <c r="J825" t="s">
        <v>442</v>
      </c>
      <c r="K825">
        <v>767312</v>
      </c>
      <c r="L825" t="s">
        <v>122</v>
      </c>
      <c r="M825" t="s">
        <v>123</v>
      </c>
      <c r="N825" t="s">
        <v>1085</v>
      </c>
      <c r="O825" t="s">
        <v>56</v>
      </c>
      <c r="P825" s="1">
        <v>45549</v>
      </c>
      <c r="Q825" s="1">
        <v>45944</v>
      </c>
      <c r="R825" s="2">
        <v>19.309999999999999</v>
      </c>
      <c r="S825">
        <v>1</v>
      </c>
      <c r="T825" t="s">
        <v>57</v>
      </c>
      <c r="U825" t="s">
        <v>58</v>
      </c>
      <c r="V825" s="4">
        <v>0.1</v>
      </c>
      <c r="W825" s="2">
        <v>0</v>
      </c>
      <c r="X825">
        <v>0</v>
      </c>
      <c r="Y825" t="s">
        <v>59</v>
      </c>
      <c r="Z825" t="s">
        <v>60</v>
      </c>
      <c r="AA825">
        <v>0</v>
      </c>
      <c r="AB825" s="2">
        <v>0</v>
      </c>
      <c r="AC825" s="2">
        <v>0</v>
      </c>
      <c r="AD825" s="4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1.93</v>
      </c>
      <c r="AN825" s="2">
        <v>1.93</v>
      </c>
      <c r="AO825" s="2">
        <v>0</v>
      </c>
      <c r="AP825" s="2">
        <v>0</v>
      </c>
      <c r="AQ825" s="2">
        <v>0</v>
      </c>
    </row>
    <row r="826" spans="1:43" x14ac:dyDescent="0.25">
      <c r="A826" s="1">
        <v>45915</v>
      </c>
      <c r="B826" t="s">
        <v>47</v>
      </c>
      <c r="C826">
        <v>649163</v>
      </c>
      <c r="D826">
        <v>2024895605</v>
      </c>
      <c r="E826" t="s">
        <v>729</v>
      </c>
      <c r="F826" t="s">
        <v>85</v>
      </c>
      <c r="G826" t="s">
        <v>50</v>
      </c>
      <c r="H826" t="s">
        <v>115</v>
      </c>
      <c r="I826" t="s">
        <v>441</v>
      </c>
      <c r="J826" t="s">
        <v>445</v>
      </c>
      <c r="K826">
        <v>767312</v>
      </c>
      <c r="L826" t="s">
        <v>122</v>
      </c>
      <c r="M826" t="s">
        <v>123</v>
      </c>
      <c r="N826" t="s">
        <v>1085</v>
      </c>
      <c r="O826" t="s">
        <v>56</v>
      </c>
      <c r="P826" s="1">
        <v>45552</v>
      </c>
      <c r="Q826" s="1">
        <v>45947</v>
      </c>
      <c r="R826" s="2">
        <v>60.4</v>
      </c>
      <c r="S826">
        <v>1</v>
      </c>
      <c r="T826" t="s">
        <v>57</v>
      </c>
      <c r="U826" t="s">
        <v>58</v>
      </c>
      <c r="V826" s="4">
        <v>0.15</v>
      </c>
      <c r="W826" s="2">
        <v>0</v>
      </c>
      <c r="X826">
        <v>0</v>
      </c>
      <c r="Y826" t="s">
        <v>59</v>
      </c>
      <c r="Z826" t="s">
        <v>60</v>
      </c>
      <c r="AA826">
        <v>0</v>
      </c>
      <c r="AB826" s="2">
        <v>0</v>
      </c>
      <c r="AC826" s="2">
        <v>0</v>
      </c>
      <c r="AD826" s="4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9.06</v>
      </c>
      <c r="AN826" s="2">
        <v>9.06</v>
      </c>
      <c r="AO826" s="2">
        <v>0</v>
      </c>
      <c r="AP826" s="2">
        <v>0</v>
      </c>
      <c r="AQ826" s="2">
        <v>0</v>
      </c>
    </row>
    <row r="827" spans="1:43" x14ac:dyDescent="0.25">
      <c r="A827" s="1">
        <v>45915</v>
      </c>
      <c r="B827" t="s">
        <v>47</v>
      </c>
      <c r="C827">
        <v>649163</v>
      </c>
      <c r="D827">
        <v>2025154616</v>
      </c>
      <c r="E827" t="s">
        <v>345</v>
      </c>
      <c r="F827" t="s">
        <v>346</v>
      </c>
      <c r="G827" t="s">
        <v>50</v>
      </c>
      <c r="H827" t="s">
        <v>115</v>
      </c>
      <c r="I827" t="s">
        <v>441</v>
      </c>
      <c r="J827" t="s">
        <v>445</v>
      </c>
      <c r="K827">
        <v>767312</v>
      </c>
      <c r="L827" t="s">
        <v>122</v>
      </c>
      <c r="M827" t="s">
        <v>123</v>
      </c>
      <c r="N827" t="s">
        <v>1085</v>
      </c>
      <c r="O827" t="s">
        <v>56</v>
      </c>
      <c r="P827" s="1">
        <v>45581</v>
      </c>
      <c r="Q827" s="1">
        <v>45946</v>
      </c>
      <c r="R827" s="2">
        <v>129.22</v>
      </c>
      <c r="S827">
        <v>1</v>
      </c>
      <c r="T827" t="s">
        <v>57</v>
      </c>
      <c r="U827" t="s">
        <v>58</v>
      </c>
      <c r="V827" s="4">
        <v>0.7</v>
      </c>
      <c r="W827" s="2">
        <v>0</v>
      </c>
      <c r="X827">
        <v>0</v>
      </c>
      <c r="Y827" t="s">
        <v>70</v>
      </c>
      <c r="Z827" t="s">
        <v>60</v>
      </c>
      <c r="AA827">
        <v>0</v>
      </c>
      <c r="AB827" s="2">
        <v>0</v>
      </c>
      <c r="AC827" s="2">
        <v>0</v>
      </c>
      <c r="AD827" s="4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90.45</v>
      </c>
      <c r="AN827" s="2">
        <v>90.45</v>
      </c>
      <c r="AO827" s="2">
        <v>0</v>
      </c>
      <c r="AP827" s="2">
        <v>0</v>
      </c>
      <c r="AQ827" s="2">
        <v>0</v>
      </c>
    </row>
    <row r="828" spans="1:43" x14ac:dyDescent="0.25">
      <c r="A828" s="1">
        <v>45915</v>
      </c>
      <c r="B828" t="s">
        <v>47</v>
      </c>
      <c r="C828">
        <v>649163</v>
      </c>
      <c r="D828">
        <v>2030329697</v>
      </c>
      <c r="E828" t="s">
        <v>726</v>
      </c>
      <c r="F828" t="s">
        <v>725</v>
      </c>
      <c r="G828" t="s">
        <v>50</v>
      </c>
      <c r="H828" t="s">
        <v>188</v>
      </c>
      <c r="I828" t="s">
        <v>441</v>
      </c>
      <c r="J828" t="s">
        <v>445</v>
      </c>
      <c r="K828">
        <v>767312</v>
      </c>
      <c r="L828" t="s">
        <v>122</v>
      </c>
      <c r="M828" t="s">
        <v>123</v>
      </c>
      <c r="N828" t="s">
        <v>1085</v>
      </c>
      <c r="O828" t="s">
        <v>56</v>
      </c>
      <c r="P828" s="1">
        <v>45882</v>
      </c>
      <c r="Q828" s="1">
        <v>45943</v>
      </c>
      <c r="R828" s="2">
        <v>174.5</v>
      </c>
      <c r="S828">
        <v>1</v>
      </c>
      <c r="T828" t="s">
        <v>57</v>
      </c>
      <c r="U828" t="s">
        <v>58</v>
      </c>
      <c r="V828" s="4">
        <v>0.7</v>
      </c>
      <c r="W828" s="2">
        <v>0</v>
      </c>
      <c r="X828">
        <v>0</v>
      </c>
      <c r="Y828" t="s">
        <v>70</v>
      </c>
      <c r="Z828" t="s">
        <v>60</v>
      </c>
      <c r="AA828">
        <v>0</v>
      </c>
      <c r="AB828" s="2">
        <v>0</v>
      </c>
      <c r="AC828" s="2">
        <v>0</v>
      </c>
      <c r="AD828" s="4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122.15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</row>
    <row r="829" spans="1:43" x14ac:dyDescent="0.25">
      <c r="A829" s="1">
        <v>45915</v>
      </c>
      <c r="B829" t="s">
        <v>47</v>
      </c>
      <c r="C829">
        <v>649163</v>
      </c>
      <c r="D829">
        <v>2030341225</v>
      </c>
      <c r="E829" t="s">
        <v>720</v>
      </c>
      <c r="F829" t="s">
        <v>719</v>
      </c>
      <c r="G829" t="s">
        <v>50</v>
      </c>
      <c r="H829" t="s">
        <v>544</v>
      </c>
      <c r="I829" t="s">
        <v>441</v>
      </c>
      <c r="J829" t="s">
        <v>451</v>
      </c>
      <c r="K829">
        <v>767312</v>
      </c>
      <c r="L829" t="s">
        <v>122</v>
      </c>
      <c r="M829" t="s">
        <v>123</v>
      </c>
      <c r="N829" t="s">
        <v>1085</v>
      </c>
      <c r="O829" t="s">
        <v>56</v>
      </c>
      <c r="P829" s="1">
        <v>45879</v>
      </c>
      <c r="Q829" s="1">
        <v>45940</v>
      </c>
      <c r="R829" s="2">
        <v>24.4</v>
      </c>
      <c r="S829">
        <v>1</v>
      </c>
      <c r="T829" t="s">
        <v>57</v>
      </c>
      <c r="U829" t="s">
        <v>58</v>
      </c>
      <c r="V829" s="4">
        <v>0.42</v>
      </c>
      <c r="W829" s="2">
        <v>0</v>
      </c>
      <c r="X829">
        <v>0</v>
      </c>
      <c r="Y829" t="s">
        <v>70</v>
      </c>
      <c r="Z829" t="s">
        <v>60</v>
      </c>
      <c r="AA829">
        <v>0</v>
      </c>
      <c r="AB829" s="2">
        <v>0</v>
      </c>
      <c r="AC829" s="2">
        <v>0</v>
      </c>
      <c r="AD829" s="4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10.25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</row>
    <row r="830" spans="1:43" x14ac:dyDescent="0.25">
      <c r="A830" s="1">
        <v>45915</v>
      </c>
      <c r="B830" t="s">
        <v>47</v>
      </c>
      <c r="C830">
        <v>649163</v>
      </c>
      <c r="D830">
        <v>2030380188</v>
      </c>
      <c r="E830" t="s">
        <v>718</v>
      </c>
      <c r="F830" t="s">
        <v>717</v>
      </c>
      <c r="G830" t="s">
        <v>50</v>
      </c>
      <c r="H830" t="s">
        <v>405</v>
      </c>
      <c r="I830" t="s">
        <v>441</v>
      </c>
      <c r="J830" t="s">
        <v>442</v>
      </c>
      <c r="K830">
        <v>767312</v>
      </c>
      <c r="L830" t="s">
        <v>122</v>
      </c>
      <c r="M830" t="s">
        <v>123</v>
      </c>
      <c r="N830" t="s">
        <v>1085</v>
      </c>
      <c r="O830" t="s">
        <v>56</v>
      </c>
      <c r="P830" s="1">
        <v>45884</v>
      </c>
      <c r="Q830" s="1">
        <v>45945</v>
      </c>
      <c r="R830" s="2">
        <v>35.85</v>
      </c>
      <c r="S830">
        <v>1</v>
      </c>
      <c r="T830" t="s">
        <v>57</v>
      </c>
      <c r="U830" t="s">
        <v>58</v>
      </c>
      <c r="V830" s="4">
        <v>0.9</v>
      </c>
      <c r="W830" s="2">
        <v>0</v>
      </c>
      <c r="X830">
        <v>0</v>
      </c>
      <c r="Y830" t="s">
        <v>70</v>
      </c>
      <c r="Z830" t="s">
        <v>60</v>
      </c>
      <c r="AA830">
        <v>0</v>
      </c>
      <c r="AB830" s="2">
        <v>0</v>
      </c>
      <c r="AC830" s="2">
        <v>0</v>
      </c>
      <c r="AD830" s="4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32.26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</row>
    <row r="831" spans="1:43" x14ac:dyDescent="0.25">
      <c r="A831" s="1">
        <v>45922</v>
      </c>
      <c r="B831" t="s">
        <v>47</v>
      </c>
      <c r="C831">
        <v>649163</v>
      </c>
      <c r="D831">
        <v>2029567228</v>
      </c>
      <c r="E831" t="s">
        <v>196</v>
      </c>
      <c r="F831" t="s">
        <v>197</v>
      </c>
      <c r="G831" t="s">
        <v>50</v>
      </c>
      <c r="H831" t="s">
        <v>115</v>
      </c>
      <c r="I831" t="s">
        <v>106</v>
      </c>
      <c r="J831" t="s">
        <v>107</v>
      </c>
      <c r="K831">
        <v>767312</v>
      </c>
      <c r="L831" t="s">
        <v>122</v>
      </c>
      <c r="M831" t="s">
        <v>123</v>
      </c>
      <c r="N831" t="s">
        <v>1085</v>
      </c>
      <c r="O831" t="s">
        <v>56</v>
      </c>
      <c r="P831" s="1">
        <v>45829</v>
      </c>
      <c r="Q831" s="1">
        <v>45951</v>
      </c>
      <c r="R831" s="2">
        <v>47.75</v>
      </c>
      <c r="S831">
        <v>1</v>
      </c>
      <c r="T831" t="s">
        <v>57</v>
      </c>
      <c r="U831" t="s">
        <v>96</v>
      </c>
      <c r="V831" s="4">
        <v>0.9</v>
      </c>
      <c r="W831" s="2">
        <v>0</v>
      </c>
      <c r="X831">
        <v>0</v>
      </c>
      <c r="Y831" t="s">
        <v>70</v>
      </c>
      <c r="Z831" t="s">
        <v>97</v>
      </c>
      <c r="AA831">
        <v>0</v>
      </c>
      <c r="AB831" s="2">
        <v>0</v>
      </c>
      <c r="AC831" s="2">
        <v>0</v>
      </c>
      <c r="AD831" s="4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42.98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</row>
    <row r="832" spans="1:43" x14ac:dyDescent="0.25">
      <c r="A832" s="1">
        <v>45922</v>
      </c>
      <c r="B832" t="s">
        <v>47</v>
      </c>
      <c r="C832">
        <v>649163</v>
      </c>
      <c r="D832">
        <v>2029567229</v>
      </c>
      <c r="E832" t="s">
        <v>196</v>
      </c>
      <c r="F832" t="s">
        <v>197</v>
      </c>
      <c r="G832" t="s">
        <v>50</v>
      </c>
      <c r="H832" t="s">
        <v>115</v>
      </c>
      <c r="I832" t="s">
        <v>306</v>
      </c>
      <c r="J832" t="s">
        <v>307</v>
      </c>
      <c r="K832">
        <v>767312</v>
      </c>
      <c r="L832" t="s">
        <v>122</v>
      </c>
      <c r="M832" t="s">
        <v>123</v>
      </c>
      <c r="N832" t="s">
        <v>1085</v>
      </c>
      <c r="O832" t="s">
        <v>56</v>
      </c>
      <c r="P832" s="1">
        <v>45829</v>
      </c>
      <c r="Q832" s="1">
        <v>45951</v>
      </c>
      <c r="R832" s="2">
        <v>74.290000000000006</v>
      </c>
      <c r="S832">
        <v>1</v>
      </c>
      <c r="T832" t="s">
        <v>57</v>
      </c>
      <c r="U832" t="s">
        <v>96</v>
      </c>
      <c r="V832" s="3">
        <v>0.375</v>
      </c>
      <c r="W832" s="2">
        <v>0</v>
      </c>
      <c r="X832">
        <v>0</v>
      </c>
      <c r="Y832" t="s">
        <v>70</v>
      </c>
      <c r="Z832" t="s">
        <v>97</v>
      </c>
      <c r="AA832">
        <v>0</v>
      </c>
      <c r="AB832" s="2">
        <v>0</v>
      </c>
      <c r="AC832" s="2">
        <v>0</v>
      </c>
      <c r="AD832" s="4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27.86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</row>
    <row r="833" spans="1:43" x14ac:dyDescent="0.25">
      <c r="A833" s="1">
        <v>45915</v>
      </c>
      <c r="B833" t="s">
        <v>47</v>
      </c>
      <c r="C833">
        <v>649163</v>
      </c>
      <c r="D833">
        <v>2028941656</v>
      </c>
      <c r="E833" t="s">
        <v>547</v>
      </c>
      <c r="F833" t="s">
        <v>855</v>
      </c>
      <c r="G833" t="s">
        <v>50</v>
      </c>
      <c r="H833" t="s">
        <v>121</v>
      </c>
      <c r="I833" t="s">
        <v>106</v>
      </c>
      <c r="J833" t="s">
        <v>107</v>
      </c>
      <c r="K833">
        <v>822723</v>
      </c>
      <c r="L833" t="s">
        <v>828</v>
      </c>
      <c r="M833" t="s">
        <v>827</v>
      </c>
      <c r="N833" t="s">
        <v>1132</v>
      </c>
      <c r="O833" t="s">
        <v>56</v>
      </c>
      <c r="P833" s="1">
        <v>45792</v>
      </c>
      <c r="Q833" s="1">
        <v>45945</v>
      </c>
      <c r="R833" s="2">
        <v>143.63</v>
      </c>
      <c r="S833">
        <v>1</v>
      </c>
      <c r="T833" t="s">
        <v>57</v>
      </c>
      <c r="U833" t="s">
        <v>58</v>
      </c>
      <c r="V833" s="4">
        <v>0.9</v>
      </c>
      <c r="W833" s="2">
        <v>0</v>
      </c>
      <c r="X833">
        <v>0</v>
      </c>
      <c r="Y833" t="s">
        <v>70</v>
      </c>
      <c r="Z833" t="s">
        <v>60</v>
      </c>
      <c r="AA833">
        <v>0</v>
      </c>
      <c r="AB833" s="2">
        <v>0</v>
      </c>
      <c r="AC833" s="2">
        <v>0</v>
      </c>
      <c r="AD833" s="4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129.27000000000001</v>
      </c>
      <c r="AN833" s="2">
        <v>129.27000000000001</v>
      </c>
      <c r="AO833" s="2">
        <v>0</v>
      </c>
      <c r="AP833" s="2">
        <v>0</v>
      </c>
      <c r="AQ833" s="2">
        <v>0</v>
      </c>
    </row>
    <row r="834" spans="1:43" x14ac:dyDescent="0.25">
      <c r="A834" s="1">
        <v>45915</v>
      </c>
      <c r="B834" t="s">
        <v>47</v>
      </c>
      <c r="C834">
        <v>649163</v>
      </c>
      <c r="D834">
        <v>2028941657</v>
      </c>
      <c r="E834" t="s">
        <v>547</v>
      </c>
      <c r="F834" t="s">
        <v>855</v>
      </c>
      <c r="G834" t="s">
        <v>50</v>
      </c>
      <c r="H834" t="s">
        <v>121</v>
      </c>
      <c r="I834" t="s">
        <v>441</v>
      </c>
      <c r="J834" t="s">
        <v>445</v>
      </c>
      <c r="K834">
        <v>822723</v>
      </c>
      <c r="L834" t="s">
        <v>828</v>
      </c>
      <c r="M834" t="s">
        <v>827</v>
      </c>
      <c r="N834" t="s">
        <v>1132</v>
      </c>
      <c r="O834" t="s">
        <v>56</v>
      </c>
      <c r="P834" s="1">
        <v>45792</v>
      </c>
      <c r="Q834" s="1">
        <v>45945</v>
      </c>
      <c r="R834" s="2">
        <v>134.86000000000001</v>
      </c>
      <c r="S834">
        <v>1</v>
      </c>
      <c r="T834" t="s">
        <v>57</v>
      </c>
      <c r="U834" t="s">
        <v>58</v>
      </c>
      <c r="V834" s="4">
        <v>0.7</v>
      </c>
      <c r="W834" s="2">
        <v>0</v>
      </c>
      <c r="X834">
        <v>0</v>
      </c>
      <c r="Y834" t="s">
        <v>70</v>
      </c>
      <c r="Z834" t="s">
        <v>60</v>
      </c>
      <c r="AA834">
        <v>0</v>
      </c>
      <c r="AB834" s="2">
        <v>0</v>
      </c>
      <c r="AC834" s="2">
        <v>0</v>
      </c>
      <c r="AD834" s="4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94.4</v>
      </c>
      <c r="AN834" s="2">
        <v>94.4</v>
      </c>
      <c r="AO834" s="2">
        <v>0</v>
      </c>
      <c r="AP834" s="2">
        <v>0</v>
      </c>
      <c r="AQ834" s="2">
        <v>0</v>
      </c>
    </row>
    <row r="835" spans="1:43" x14ac:dyDescent="0.25">
      <c r="A835" s="1">
        <v>45915</v>
      </c>
      <c r="B835" t="s">
        <v>47</v>
      </c>
      <c r="C835">
        <v>649163</v>
      </c>
      <c r="D835">
        <v>2029935514</v>
      </c>
      <c r="E835" t="s">
        <v>922</v>
      </c>
      <c r="F835" t="s">
        <v>921</v>
      </c>
      <c r="G835" t="s">
        <v>50</v>
      </c>
      <c r="H835" t="s">
        <v>121</v>
      </c>
      <c r="I835" t="s">
        <v>441</v>
      </c>
      <c r="J835" t="s">
        <v>445</v>
      </c>
      <c r="K835">
        <v>822723</v>
      </c>
      <c r="L835" t="s">
        <v>828</v>
      </c>
      <c r="M835" t="s">
        <v>827</v>
      </c>
      <c r="N835" t="s">
        <v>1132</v>
      </c>
      <c r="O835" t="s">
        <v>56</v>
      </c>
      <c r="P835" s="1">
        <v>45853</v>
      </c>
      <c r="Q835" s="1">
        <v>45945</v>
      </c>
      <c r="R835" s="2">
        <v>155.81</v>
      </c>
      <c r="S835">
        <v>1</v>
      </c>
      <c r="T835" t="s">
        <v>57</v>
      </c>
      <c r="U835" t="s">
        <v>58</v>
      </c>
      <c r="V835" s="4">
        <v>0.7</v>
      </c>
      <c r="W835" s="2">
        <v>0</v>
      </c>
      <c r="X835">
        <v>0</v>
      </c>
      <c r="Y835" t="s">
        <v>70</v>
      </c>
      <c r="Z835" t="s">
        <v>60</v>
      </c>
      <c r="AA835">
        <v>0</v>
      </c>
      <c r="AB835" s="2">
        <v>0</v>
      </c>
      <c r="AC835" s="2">
        <v>0</v>
      </c>
      <c r="AD835" s="4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109.07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</row>
    <row r="836" spans="1:43" x14ac:dyDescent="0.25">
      <c r="A836" s="1">
        <v>45915</v>
      </c>
      <c r="B836" t="s">
        <v>47</v>
      </c>
      <c r="C836">
        <v>649163</v>
      </c>
      <c r="D836">
        <v>2029971479</v>
      </c>
      <c r="E836" t="s">
        <v>829</v>
      </c>
      <c r="F836" t="s">
        <v>179</v>
      </c>
      <c r="G836" t="s">
        <v>50</v>
      </c>
      <c r="H836" t="s">
        <v>121</v>
      </c>
      <c r="I836" t="s">
        <v>441</v>
      </c>
      <c r="J836" t="s">
        <v>445</v>
      </c>
      <c r="K836">
        <v>822723</v>
      </c>
      <c r="L836" t="s">
        <v>828</v>
      </c>
      <c r="M836" t="s">
        <v>827</v>
      </c>
      <c r="N836" t="s">
        <v>1132</v>
      </c>
      <c r="O836" t="s">
        <v>56</v>
      </c>
      <c r="P836" s="1">
        <v>45854</v>
      </c>
      <c r="Q836" s="1">
        <v>45946</v>
      </c>
      <c r="R836" s="2">
        <v>15.75</v>
      </c>
      <c r="S836">
        <v>1</v>
      </c>
      <c r="T836" t="s">
        <v>57</v>
      </c>
      <c r="U836" t="s">
        <v>58</v>
      </c>
      <c r="V836" s="4">
        <v>0.7</v>
      </c>
      <c r="W836" s="2">
        <v>0</v>
      </c>
      <c r="X836">
        <v>0</v>
      </c>
      <c r="Y836" t="s">
        <v>70</v>
      </c>
      <c r="Z836" t="s">
        <v>60</v>
      </c>
      <c r="AA836">
        <v>0</v>
      </c>
      <c r="AB836" s="2">
        <v>0</v>
      </c>
      <c r="AC836" s="2">
        <v>0</v>
      </c>
      <c r="AD836" s="4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11.02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</row>
    <row r="837" spans="1:43" x14ac:dyDescent="0.25">
      <c r="A837" s="1">
        <v>45915</v>
      </c>
      <c r="B837" t="s">
        <v>47</v>
      </c>
      <c r="C837">
        <v>649163</v>
      </c>
      <c r="D837">
        <v>2028941655</v>
      </c>
      <c r="E837" t="s">
        <v>547</v>
      </c>
      <c r="F837" t="s">
        <v>855</v>
      </c>
      <c r="G837" t="s">
        <v>50</v>
      </c>
      <c r="H837" t="s">
        <v>121</v>
      </c>
      <c r="I837" t="s">
        <v>306</v>
      </c>
      <c r="J837" t="s">
        <v>307</v>
      </c>
      <c r="K837">
        <v>822723</v>
      </c>
      <c r="L837" t="s">
        <v>828</v>
      </c>
      <c r="M837" t="s">
        <v>827</v>
      </c>
      <c r="N837" t="s">
        <v>1132</v>
      </c>
      <c r="O837" t="s">
        <v>56</v>
      </c>
      <c r="P837" s="1">
        <v>45792</v>
      </c>
      <c r="Q837" s="1">
        <v>45945</v>
      </c>
      <c r="R837" s="2">
        <v>69.41</v>
      </c>
      <c r="S837">
        <v>1</v>
      </c>
      <c r="T837" t="s">
        <v>57</v>
      </c>
      <c r="U837" t="s">
        <v>58</v>
      </c>
      <c r="V837" s="3">
        <v>0.375</v>
      </c>
      <c r="W837" s="2">
        <v>0</v>
      </c>
      <c r="X837">
        <v>0</v>
      </c>
      <c r="Y837" t="s">
        <v>70</v>
      </c>
      <c r="Z837" t="s">
        <v>60</v>
      </c>
      <c r="AA837">
        <v>0</v>
      </c>
      <c r="AB837" s="2">
        <v>0</v>
      </c>
      <c r="AC837" s="2">
        <v>0</v>
      </c>
      <c r="AD837" s="4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26.03</v>
      </c>
      <c r="AN837" s="2">
        <v>26.03</v>
      </c>
      <c r="AO837" s="2">
        <v>0</v>
      </c>
      <c r="AP837" s="2">
        <v>0</v>
      </c>
      <c r="AQ837" s="2">
        <v>0</v>
      </c>
    </row>
    <row r="838" spans="1:43" x14ac:dyDescent="0.25">
      <c r="A838" s="1">
        <v>45915</v>
      </c>
      <c r="B838" t="s">
        <v>47</v>
      </c>
      <c r="C838">
        <v>649163</v>
      </c>
      <c r="D838">
        <v>2029971480</v>
      </c>
      <c r="E838" t="s">
        <v>829</v>
      </c>
      <c r="F838" t="s">
        <v>179</v>
      </c>
      <c r="G838" t="s">
        <v>50</v>
      </c>
      <c r="H838" t="s">
        <v>121</v>
      </c>
      <c r="I838" t="s">
        <v>306</v>
      </c>
      <c r="J838" t="s">
        <v>307</v>
      </c>
      <c r="K838">
        <v>822723</v>
      </c>
      <c r="L838" t="s">
        <v>828</v>
      </c>
      <c r="M838" t="s">
        <v>827</v>
      </c>
      <c r="N838" t="s">
        <v>1132</v>
      </c>
      <c r="O838" t="s">
        <v>56</v>
      </c>
      <c r="P838" s="1">
        <v>45854</v>
      </c>
      <c r="Q838" s="1">
        <v>45946</v>
      </c>
      <c r="R838" s="2">
        <v>188.04</v>
      </c>
      <c r="S838">
        <v>1</v>
      </c>
      <c r="T838" t="s">
        <v>57</v>
      </c>
      <c r="U838" t="s">
        <v>58</v>
      </c>
      <c r="V838" s="3">
        <v>0.375</v>
      </c>
      <c r="W838" s="2">
        <v>0</v>
      </c>
      <c r="X838">
        <v>0</v>
      </c>
      <c r="Y838" t="s">
        <v>70</v>
      </c>
      <c r="Z838" t="s">
        <v>60</v>
      </c>
      <c r="AA838">
        <v>0</v>
      </c>
      <c r="AB838" s="2">
        <v>0</v>
      </c>
      <c r="AC838" s="2">
        <v>0</v>
      </c>
      <c r="AD838" s="4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70.52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</row>
    <row r="839" spans="1:43" x14ac:dyDescent="0.25">
      <c r="A839" s="1">
        <v>45915</v>
      </c>
      <c r="B839" t="s">
        <v>47</v>
      </c>
      <c r="C839">
        <v>649163</v>
      </c>
      <c r="D839">
        <v>2026958695</v>
      </c>
      <c r="E839" t="s">
        <v>1072</v>
      </c>
      <c r="F839" t="s">
        <v>789</v>
      </c>
      <c r="G839" t="s">
        <v>50</v>
      </c>
      <c r="H839" t="s">
        <v>51</v>
      </c>
      <c r="I839" t="s">
        <v>52</v>
      </c>
      <c r="J839" t="s">
        <v>53</v>
      </c>
      <c r="K839">
        <v>677095</v>
      </c>
      <c r="L839" t="s">
        <v>1071</v>
      </c>
      <c r="M839" t="s">
        <v>179</v>
      </c>
      <c r="N839" t="s">
        <v>1131</v>
      </c>
      <c r="O839" t="s">
        <v>56</v>
      </c>
      <c r="P839" s="1">
        <v>45702</v>
      </c>
      <c r="Q839" s="1">
        <v>45944</v>
      </c>
      <c r="R839" s="2">
        <v>52.69</v>
      </c>
      <c r="S839">
        <v>1</v>
      </c>
      <c r="T839" t="s">
        <v>57</v>
      </c>
      <c r="U839" t="s">
        <v>58</v>
      </c>
      <c r="V839" s="4">
        <v>0.2</v>
      </c>
      <c r="W839" s="2">
        <v>0</v>
      </c>
      <c r="X839">
        <v>0</v>
      </c>
      <c r="Y839" t="s">
        <v>70</v>
      </c>
      <c r="Z839" t="s">
        <v>60</v>
      </c>
      <c r="AA839">
        <v>0</v>
      </c>
      <c r="AB839" s="2">
        <v>0</v>
      </c>
      <c r="AC839" s="2">
        <v>0</v>
      </c>
      <c r="AD839" s="4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10.54</v>
      </c>
      <c r="AN839" s="2">
        <v>10.54</v>
      </c>
      <c r="AO839" s="2">
        <v>0</v>
      </c>
      <c r="AP839" s="2">
        <v>0</v>
      </c>
      <c r="AQ839" s="2">
        <v>0</v>
      </c>
    </row>
    <row r="840" spans="1:43" x14ac:dyDescent="0.25">
      <c r="A840" s="1">
        <v>45922</v>
      </c>
      <c r="B840" t="s">
        <v>47</v>
      </c>
      <c r="C840">
        <v>649163</v>
      </c>
      <c r="D840">
        <v>2026190010</v>
      </c>
      <c r="E840" t="s">
        <v>135</v>
      </c>
      <c r="F840" t="s">
        <v>136</v>
      </c>
      <c r="G840" t="s">
        <v>50</v>
      </c>
      <c r="H840" t="s">
        <v>93</v>
      </c>
      <c r="I840" t="s">
        <v>106</v>
      </c>
      <c r="J840" t="s">
        <v>116</v>
      </c>
      <c r="K840">
        <v>792847</v>
      </c>
      <c r="L840" t="s">
        <v>137</v>
      </c>
      <c r="M840" t="s">
        <v>138</v>
      </c>
      <c r="N840" t="s">
        <v>1106</v>
      </c>
      <c r="O840" t="s">
        <v>56</v>
      </c>
      <c r="P840" s="1">
        <v>45647</v>
      </c>
      <c r="Q840" s="1">
        <v>45951</v>
      </c>
      <c r="R840" s="2">
        <v>51.73</v>
      </c>
      <c r="S840">
        <v>1</v>
      </c>
      <c r="T840" t="s">
        <v>57</v>
      </c>
      <c r="U840" t="s">
        <v>58</v>
      </c>
      <c r="V840" s="4">
        <v>0.75</v>
      </c>
      <c r="W840" s="2">
        <v>0</v>
      </c>
      <c r="X840">
        <v>0</v>
      </c>
      <c r="Y840" t="s">
        <v>70</v>
      </c>
      <c r="Z840" t="s">
        <v>60</v>
      </c>
      <c r="AA840">
        <v>0</v>
      </c>
      <c r="AB840" s="2">
        <v>0</v>
      </c>
      <c r="AC840" s="2">
        <v>0</v>
      </c>
      <c r="AD840" s="4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38.799999999999997</v>
      </c>
      <c r="AN840" s="2">
        <v>38.799999999999997</v>
      </c>
      <c r="AO840" s="2">
        <v>0</v>
      </c>
      <c r="AP840" s="2">
        <v>0</v>
      </c>
      <c r="AQ840" s="2">
        <v>0</v>
      </c>
    </row>
    <row r="841" spans="1:43" x14ac:dyDescent="0.25">
      <c r="A841" s="1">
        <v>45922</v>
      </c>
      <c r="B841" t="s">
        <v>47</v>
      </c>
      <c r="C841">
        <v>649163</v>
      </c>
      <c r="D841">
        <v>2029910877</v>
      </c>
      <c r="E841" t="s">
        <v>202</v>
      </c>
      <c r="F841" t="s">
        <v>203</v>
      </c>
      <c r="G841" t="s">
        <v>50</v>
      </c>
      <c r="H841" t="s">
        <v>204</v>
      </c>
      <c r="I841" t="s">
        <v>106</v>
      </c>
      <c r="J841" t="s">
        <v>116</v>
      </c>
      <c r="K841">
        <v>792847</v>
      </c>
      <c r="L841" t="s">
        <v>137</v>
      </c>
      <c r="M841" t="s">
        <v>138</v>
      </c>
      <c r="N841" t="s">
        <v>1106</v>
      </c>
      <c r="O841" t="s">
        <v>56</v>
      </c>
      <c r="P841" s="1">
        <v>45850</v>
      </c>
      <c r="Q841" s="1">
        <v>45942</v>
      </c>
      <c r="R841" s="2">
        <v>150.47999999999999</v>
      </c>
      <c r="S841">
        <v>1</v>
      </c>
      <c r="T841" t="s">
        <v>57</v>
      </c>
      <c r="U841" t="s">
        <v>58</v>
      </c>
      <c r="V841" s="4">
        <v>0.75</v>
      </c>
      <c r="W841" s="2">
        <v>0</v>
      </c>
      <c r="X841">
        <v>0</v>
      </c>
      <c r="Y841" t="s">
        <v>70</v>
      </c>
      <c r="Z841" t="s">
        <v>60</v>
      </c>
      <c r="AA841">
        <v>0</v>
      </c>
      <c r="AB841" s="2">
        <v>0</v>
      </c>
      <c r="AC841" s="2">
        <v>0</v>
      </c>
      <c r="AD841" s="4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112.86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</row>
    <row r="842" spans="1:43" x14ac:dyDescent="0.25">
      <c r="A842" s="1">
        <v>45922</v>
      </c>
      <c r="B842" t="s">
        <v>47</v>
      </c>
      <c r="C842">
        <v>649163</v>
      </c>
      <c r="D842">
        <v>2026506852</v>
      </c>
      <c r="E842" t="s">
        <v>399</v>
      </c>
      <c r="F842" t="s">
        <v>480</v>
      </c>
      <c r="G842" t="s">
        <v>50</v>
      </c>
      <c r="H842" t="s">
        <v>115</v>
      </c>
      <c r="I842" t="s">
        <v>441</v>
      </c>
      <c r="J842" t="s">
        <v>445</v>
      </c>
      <c r="K842">
        <v>792847</v>
      </c>
      <c r="L842" t="s">
        <v>137</v>
      </c>
      <c r="M842" t="s">
        <v>138</v>
      </c>
      <c r="N842" t="s">
        <v>1106</v>
      </c>
      <c r="O842" t="s">
        <v>56</v>
      </c>
      <c r="P842" s="1">
        <v>45677</v>
      </c>
      <c r="Q842" s="1">
        <v>45950</v>
      </c>
      <c r="R842" s="2">
        <v>48.76</v>
      </c>
      <c r="S842">
        <v>1</v>
      </c>
      <c r="T842" t="s">
        <v>57</v>
      </c>
      <c r="U842" t="s">
        <v>58</v>
      </c>
      <c r="V842" s="4">
        <v>0.7</v>
      </c>
      <c r="W842" s="2">
        <v>0</v>
      </c>
      <c r="X842">
        <v>0</v>
      </c>
      <c r="Y842" t="s">
        <v>70</v>
      </c>
      <c r="Z842" t="s">
        <v>60</v>
      </c>
      <c r="AA842">
        <v>0</v>
      </c>
      <c r="AB842" s="2">
        <v>0</v>
      </c>
      <c r="AC842" s="2">
        <v>0</v>
      </c>
      <c r="AD842" s="4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34.130000000000003</v>
      </c>
      <c r="AN842" s="2">
        <v>34.130000000000003</v>
      </c>
      <c r="AO842" s="2">
        <v>0</v>
      </c>
      <c r="AP842" s="2">
        <v>0</v>
      </c>
      <c r="AQ842" s="2">
        <v>0</v>
      </c>
    </row>
    <row r="843" spans="1:43" x14ac:dyDescent="0.25">
      <c r="A843" s="1">
        <v>45922</v>
      </c>
      <c r="B843" t="s">
        <v>47</v>
      </c>
      <c r="C843">
        <v>649163</v>
      </c>
      <c r="D843">
        <v>2029910878</v>
      </c>
      <c r="E843" t="s">
        <v>202</v>
      </c>
      <c r="F843" t="s">
        <v>203</v>
      </c>
      <c r="G843" t="s">
        <v>50</v>
      </c>
      <c r="H843" t="s">
        <v>204</v>
      </c>
      <c r="I843" t="s">
        <v>441</v>
      </c>
      <c r="J843" t="s">
        <v>445</v>
      </c>
      <c r="K843">
        <v>792847</v>
      </c>
      <c r="L843" t="s">
        <v>137</v>
      </c>
      <c r="M843" t="s">
        <v>138</v>
      </c>
      <c r="N843" t="s">
        <v>1106</v>
      </c>
      <c r="O843" t="s">
        <v>56</v>
      </c>
      <c r="P843" s="1">
        <v>45850</v>
      </c>
      <c r="Q843" s="1">
        <v>45942</v>
      </c>
      <c r="R843" s="2">
        <v>175.37</v>
      </c>
      <c r="S843">
        <v>1</v>
      </c>
      <c r="T843" t="s">
        <v>57</v>
      </c>
      <c r="U843" t="s">
        <v>58</v>
      </c>
      <c r="V843" s="4">
        <v>0.7</v>
      </c>
      <c r="W843" s="2">
        <v>0</v>
      </c>
      <c r="X843">
        <v>0</v>
      </c>
      <c r="Y843" t="s">
        <v>70</v>
      </c>
      <c r="Z843" t="s">
        <v>60</v>
      </c>
      <c r="AA843">
        <v>0</v>
      </c>
      <c r="AB843" s="2">
        <v>0</v>
      </c>
      <c r="AC843" s="2">
        <v>0</v>
      </c>
      <c r="AD843" s="4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122.76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</row>
    <row r="844" spans="1:43" x14ac:dyDescent="0.25">
      <c r="A844" s="1">
        <v>45915</v>
      </c>
      <c r="B844" t="s">
        <v>47</v>
      </c>
      <c r="C844">
        <v>649163</v>
      </c>
      <c r="D844">
        <v>2028965775</v>
      </c>
      <c r="E844" t="s">
        <v>137</v>
      </c>
      <c r="F844" t="s">
        <v>773</v>
      </c>
      <c r="G844" t="s">
        <v>50</v>
      </c>
      <c r="H844" t="s">
        <v>93</v>
      </c>
      <c r="I844" t="s">
        <v>106</v>
      </c>
      <c r="J844" t="s">
        <v>184</v>
      </c>
      <c r="K844">
        <v>792847</v>
      </c>
      <c r="L844" t="s">
        <v>137</v>
      </c>
      <c r="M844" t="s">
        <v>138</v>
      </c>
      <c r="N844" t="s">
        <v>1106</v>
      </c>
      <c r="O844" t="s">
        <v>56</v>
      </c>
      <c r="P844" s="1">
        <v>45793</v>
      </c>
      <c r="Q844" s="1">
        <v>45946</v>
      </c>
      <c r="R844" s="2">
        <v>19.3</v>
      </c>
      <c r="S844">
        <v>1</v>
      </c>
      <c r="T844" t="s">
        <v>57</v>
      </c>
      <c r="U844" t="s">
        <v>58</v>
      </c>
      <c r="V844" s="4">
        <v>0.75</v>
      </c>
      <c r="W844" s="2">
        <v>0</v>
      </c>
      <c r="X844">
        <v>0</v>
      </c>
      <c r="Y844" t="s">
        <v>70</v>
      </c>
      <c r="Z844" t="s">
        <v>60</v>
      </c>
      <c r="AA844">
        <v>0</v>
      </c>
      <c r="AB844" s="2">
        <v>0</v>
      </c>
      <c r="AC844" s="2">
        <v>0</v>
      </c>
      <c r="AD844" s="4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14.48</v>
      </c>
      <c r="AN844" s="2">
        <v>14.48</v>
      </c>
      <c r="AO844" s="2">
        <v>0</v>
      </c>
      <c r="AP844" s="2">
        <v>0</v>
      </c>
      <c r="AQ844" s="2">
        <v>0</v>
      </c>
    </row>
    <row r="845" spans="1:43" x14ac:dyDescent="0.25">
      <c r="A845" s="1">
        <v>45915</v>
      </c>
      <c r="B845" t="s">
        <v>47</v>
      </c>
      <c r="C845">
        <v>649163</v>
      </c>
      <c r="D845">
        <v>2028965806</v>
      </c>
      <c r="E845" t="s">
        <v>137</v>
      </c>
      <c r="F845" t="s">
        <v>714</v>
      </c>
      <c r="G845" t="s">
        <v>50</v>
      </c>
      <c r="H845" t="s">
        <v>204</v>
      </c>
      <c r="I845" t="s">
        <v>106</v>
      </c>
      <c r="J845" t="s">
        <v>184</v>
      </c>
      <c r="K845">
        <v>792847</v>
      </c>
      <c r="L845" t="s">
        <v>137</v>
      </c>
      <c r="M845" t="s">
        <v>138</v>
      </c>
      <c r="N845" t="s">
        <v>1106</v>
      </c>
      <c r="O845" t="s">
        <v>56</v>
      </c>
      <c r="P845" s="1">
        <v>45793</v>
      </c>
      <c r="Q845" s="1">
        <v>45946</v>
      </c>
      <c r="R845" s="2">
        <v>73.42</v>
      </c>
      <c r="S845">
        <v>1</v>
      </c>
      <c r="T845" t="s">
        <v>57</v>
      </c>
      <c r="U845" t="s">
        <v>58</v>
      </c>
      <c r="V845" s="4">
        <v>0.75</v>
      </c>
      <c r="W845" s="2">
        <v>0</v>
      </c>
      <c r="X845">
        <v>0</v>
      </c>
      <c r="Y845" t="s">
        <v>70</v>
      </c>
      <c r="Z845" t="s">
        <v>60</v>
      </c>
      <c r="AA845">
        <v>0</v>
      </c>
      <c r="AB845" s="2">
        <v>0</v>
      </c>
      <c r="AC845" s="2">
        <v>0</v>
      </c>
      <c r="AD845" s="4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55.06</v>
      </c>
      <c r="AN845" s="2">
        <v>55.06</v>
      </c>
      <c r="AO845" s="2">
        <v>0</v>
      </c>
      <c r="AP845" s="2">
        <v>0</v>
      </c>
      <c r="AQ845" s="2">
        <v>0</v>
      </c>
    </row>
    <row r="846" spans="1:43" x14ac:dyDescent="0.25">
      <c r="A846" s="1">
        <v>45915</v>
      </c>
      <c r="B846" t="s">
        <v>47</v>
      </c>
      <c r="C846">
        <v>649163</v>
      </c>
      <c r="D846">
        <v>2029910877</v>
      </c>
      <c r="E846" t="s">
        <v>202</v>
      </c>
      <c r="F846" t="s">
        <v>203</v>
      </c>
      <c r="G846" t="s">
        <v>50</v>
      </c>
      <c r="H846" t="s">
        <v>204</v>
      </c>
      <c r="I846" t="s">
        <v>106</v>
      </c>
      <c r="J846" t="s">
        <v>116</v>
      </c>
      <c r="K846">
        <v>792847</v>
      </c>
      <c r="L846" t="s">
        <v>137</v>
      </c>
      <c r="M846" t="s">
        <v>138</v>
      </c>
      <c r="N846" t="s">
        <v>1106</v>
      </c>
      <c r="O846" t="s">
        <v>56</v>
      </c>
      <c r="P846" s="1">
        <v>45850</v>
      </c>
      <c r="Q846" s="1">
        <v>45942</v>
      </c>
      <c r="R846" s="2">
        <v>-150.47999999999999</v>
      </c>
      <c r="S846">
        <v>1</v>
      </c>
      <c r="T846" t="s">
        <v>57</v>
      </c>
      <c r="U846" t="s">
        <v>58</v>
      </c>
      <c r="V846" s="4">
        <v>0.75</v>
      </c>
      <c r="W846" s="2">
        <v>0</v>
      </c>
      <c r="X846">
        <v>-1</v>
      </c>
      <c r="Y846" t="s">
        <v>70</v>
      </c>
      <c r="Z846" t="s">
        <v>60</v>
      </c>
      <c r="AA846">
        <v>0</v>
      </c>
      <c r="AB846" s="2">
        <v>0</v>
      </c>
      <c r="AC846" s="2">
        <v>0</v>
      </c>
      <c r="AD846" s="4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-112.86</v>
      </c>
      <c r="AN846" s="2">
        <v>-112.86</v>
      </c>
      <c r="AO846" s="2">
        <v>0</v>
      </c>
      <c r="AP846" s="2">
        <v>0</v>
      </c>
      <c r="AQ846" s="2">
        <v>0</v>
      </c>
    </row>
    <row r="847" spans="1:43" x14ac:dyDescent="0.25">
      <c r="A847" s="1">
        <v>45915</v>
      </c>
      <c r="B847" t="s">
        <v>47</v>
      </c>
      <c r="C847">
        <v>649163</v>
      </c>
      <c r="D847">
        <v>2026114177</v>
      </c>
      <c r="E847" t="s">
        <v>1010</v>
      </c>
      <c r="F847" t="s">
        <v>49</v>
      </c>
      <c r="G847" t="s">
        <v>50</v>
      </c>
      <c r="H847" t="s">
        <v>115</v>
      </c>
      <c r="I847" t="s">
        <v>306</v>
      </c>
      <c r="J847" t="s">
        <v>307</v>
      </c>
      <c r="K847">
        <v>792847</v>
      </c>
      <c r="L847" t="s">
        <v>137</v>
      </c>
      <c r="M847" t="s">
        <v>138</v>
      </c>
      <c r="N847" t="s">
        <v>1106</v>
      </c>
      <c r="O847" t="s">
        <v>56</v>
      </c>
      <c r="P847" s="1">
        <v>45638</v>
      </c>
      <c r="Q847" s="1">
        <v>45942</v>
      </c>
      <c r="R847" s="2">
        <v>40.909999999999997</v>
      </c>
      <c r="S847">
        <v>1</v>
      </c>
      <c r="T847" t="s">
        <v>57</v>
      </c>
      <c r="U847" t="s">
        <v>58</v>
      </c>
      <c r="V847" s="3">
        <v>0.375</v>
      </c>
      <c r="W847" s="2">
        <v>0</v>
      </c>
      <c r="X847">
        <v>0</v>
      </c>
      <c r="Y847" t="s">
        <v>70</v>
      </c>
      <c r="Z847" t="s">
        <v>60</v>
      </c>
      <c r="AA847">
        <v>0</v>
      </c>
      <c r="AB847" s="2">
        <v>0</v>
      </c>
      <c r="AC847" s="2">
        <v>0</v>
      </c>
      <c r="AD847" s="4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15.34</v>
      </c>
      <c r="AN847" s="2">
        <v>15.34</v>
      </c>
      <c r="AO847" s="2">
        <v>0</v>
      </c>
      <c r="AP847" s="2">
        <v>0</v>
      </c>
      <c r="AQ847" s="2">
        <v>0</v>
      </c>
    </row>
    <row r="848" spans="1:43" x14ac:dyDescent="0.25">
      <c r="A848" s="1">
        <v>45915</v>
      </c>
      <c r="B848" t="s">
        <v>47</v>
      </c>
      <c r="C848">
        <v>649163</v>
      </c>
      <c r="D848">
        <v>2026114178</v>
      </c>
      <c r="E848" t="s">
        <v>1010</v>
      </c>
      <c r="F848" t="s">
        <v>49</v>
      </c>
      <c r="G848" t="s">
        <v>50</v>
      </c>
      <c r="H848" t="s">
        <v>115</v>
      </c>
      <c r="I848" t="s">
        <v>441</v>
      </c>
      <c r="J848" t="s">
        <v>445</v>
      </c>
      <c r="K848">
        <v>792847</v>
      </c>
      <c r="L848" t="s">
        <v>137</v>
      </c>
      <c r="M848" t="s">
        <v>138</v>
      </c>
      <c r="N848" t="s">
        <v>1106</v>
      </c>
      <c r="O848" t="s">
        <v>56</v>
      </c>
      <c r="P848" s="1">
        <v>45638</v>
      </c>
      <c r="Q848" s="1">
        <v>45942</v>
      </c>
      <c r="R848" s="2">
        <v>13</v>
      </c>
      <c r="S848">
        <v>1</v>
      </c>
      <c r="T848" t="s">
        <v>57</v>
      </c>
      <c r="U848" t="s">
        <v>58</v>
      </c>
      <c r="V848" s="4">
        <v>0.7</v>
      </c>
      <c r="W848" s="2">
        <v>0</v>
      </c>
      <c r="X848">
        <v>0</v>
      </c>
      <c r="Y848" t="s">
        <v>70</v>
      </c>
      <c r="Z848" t="s">
        <v>60</v>
      </c>
      <c r="AA848">
        <v>0</v>
      </c>
      <c r="AB848" s="2">
        <v>0</v>
      </c>
      <c r="AC848" s="2">
        <v>0</v>
      </c>
      <c r="AD848" s="4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9.1</v>
      </c>
      <c r="AN848" s="2">
        <v>9.1</v>
      </c>
      <c r="AO848" s="2">
        <v>0</v>
      </c>
      <c r="AP848" s="2">
        <v>0</v>
      </c>
      <c r="AQ848" s="2">
        <v>0</v>
      </c>
    </row>
    <row r="849" spans="1:43" x14ac:dyDescent="0.25">
      <c r="A849" s="1">
        <v>45915</v>
      </c>
      <c r="B849" t="s">
        <v>47</v>
      </c>
      <c r="C849">
        <v>649163</v>
      </c>
      <c r="D849">
        <v>2026561983</v>
      </c>
      <c r="E849" t="s">
        <v>994</v>
      </c>
      <c r="F849" t="s">
        <v>993</v>
      </c>
      <c r="G849" t="s">
        <v>50</v>
      </c>
      <c r="H849" t="s">
        <v>93</v>
      </c>
      <c r="I849" t="s">
        <v>441</v>
      </c>
      <c r="J849" t="s">
        <v>445</v>
      </c>
      <c r="K849">
        <v>792847</v>
      </c>
      <c r="L849" t="s">
        <v>137</v>
      </c>
      <c r="M849" t="s">
        <v>138</v>
      </c>
      <c r="N849" t="s">
        <v>1106</v>
      </c>
      <c r="O849" t="s">
        <v>56</v>
      </c>
      <c r="P849" s="1">
        <v>45672</v>
      </c>
      <c r="Q849" s="1">
        <v>45945</v>
      </c>
      <c r="R849" s="2">
        <v>49.8</v>
      </c>
      <c r="S849">
        <v>1</v>
      </c>
      <c r="T849" t="s">
        <v>57</v>
      </c>
      <c r="U849" t="s">
        <v>58</v>
      </c>
      <c r="V849" s="4">
        <v>0.7</v>
      </c>
      <c r="W849" s="2">
        <v>0</v>
      </c>
      <c r="X849">
        <v>0</v>
      </c>
      <c r="Y849" t="s">
        <v>70</v>
      </c>
      <c r="Z849" t="s">
        <v>60</v>
      </c>
      <c r="AA849">
        <v>0</v>
      </c>
      <c r="AB849" s="2">
        <v>0</v>
      </c>
      <c r="AC849" s="2">
        <v>0</v>
      </c>
      <c r="AD849" s="4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34.86</v>
      </c>
      <c r="AN849" s="2">
        <v>34.86</v>
      </c>
      <c r="AO849" s="2">
        <v>0</v>
      </c>
      <c r="AP849" s="2">
        <v>0</v>
      </c>
      <c r="AQ849" s="2">
        <v>0</v>
      </c>
    </row>
    <row r="850" spans="1:43" x14ac:dyDescent="0.25">
      <c r="A850" s="1">
        <v>45915</v>
      </c>
      <c r="B850" t="s">
        <v>47</v>
      </c>
      <c r="C850">
        <v>649163</v>
      </c>
      <c r="D850">
        <v>2026608909</v>
      </c>
      <c r="E850" t="s">
        <v>991</v>
      </c>
      <c r="F850" t="s">
        <v>337</v>
      </c>
      <c r="G850" t="s">
        <v>50</v>
      </c>
      <c r="H850" t="s">
        <v>93</v>
      </c>
      <c r="I850" t="s">
        <v>441</v>
      </c>
      <c r="J850" t="s">
        <v>445</v>
      </c>
      <c r="K850">
        <v>792847</v>
      </c>
      <c r="L850" t="s">
        <v>137</v>
      </c>
      <c r="M850" t="s">
        <v>138</v>
      </c>
      <c r="N850" t="s">
        <v>1106</v>
      </c>
      <c r="O850" t="s">
        <v>56</v>
      </c>
      <c r="P850" s="1">
        <v>45673</v>
      </c>
      <c r="Q850" s="1">
        <v>45946</v>
      </c>
      <c r="R850" s="2">
        <v>58.24</v>
      </c>
      <c r="S850">
        <v>1</v>
      </c>
      <c r="T850" t="s">
        <v>57</v>
      </c>
      <c r="U850" t="s">
        <v>58</v>
      </c>
      <c r="V850" s="4">
        <v>0.7</v>
      </c>
      <c r="W850" s="2">
        <v>0</v>
      </c>
      <c r="X850">
        <v>0</v>
      </c>
      <c r="Y850" t="s">
        <v>70</v>
      </c>
      <c r="Z850" t="s">
        <v>60</v>
      </c>
      <c r="AA850">
        <v>0</v>
      </c>
      <c r="AB850" s="2">
        <v>0</v>
      </c>
      <c r="AC850" s="2">
        <v>0</v>
      </c>
      <c r="AD850" s="4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40.770000000000003</v>
      </c>
      <c r="AN850" s="2">
        <v>40.770000000000003</v>
      </c>
      <c r="AO850" s="2">
        <v>0</v>
      </c>
      <c r="AP850" s="2">
        <v>0</v>
      </c>
      <c r="AQ850" s="2">
        <v>0</v>
      </c>
    </row>
    <row r="851" spans="1:43" x14ac:dyDescent="0.25">
      <c r="A851" s="1">
        <v>45915</v>
      </c>
      <c r="B851" t="s">
        <v>47</v>
      </c>
      <c r="C851">
        <v>649163</v>
      </c>
      <c r="D851">
        <v>2026618369</v>
      </c>
      <c r="E851" t="s">
        <v>893</v>
      </c>
      <c r="F851" t="s">
        <v>480</v>
      </c>
      <c r="G851" t="s">
        <v>50</v>
      </c>
      <c r="H851" t="s">
        <v>93</v>
      </c>
      <c r="I851" t="s">
        <v>441</v>
      </c>
      <c r="J851" t="s">
        <v>445</v>
      </c>
      <c r="K851">
        <v>792847</v>
      </c>
      <c r="L851" t="s">
        <v>137</v>
      </c>
      <c r="M851" t="s">
        <v>138</v>
      </c>
      <c r="N851" t="s">
        <v>1106</v>
      </c>
      <c r="O851" t="s">
        <v>56</v>
      </c>
      <c r="P851" s="1">
        <v>45673</v>
      </c>
      <c r="Q851" s="1">
        <v>45946</v>
      </c>
      <c r="R851" s="2">
        <v>52</v>
      </c>
      <c r="S851">
        <v>1</v>
      </c>
      <c r="T851" t="s">
        <v>57</v>
      </c>
      <c r="U851" t="s">
        <v>58</v>
      </c>
      <c r="V851" s="4">
        <v>0.7</v>
      </c>
      <c r="W851" s="2">
        <v>0</v>
      </c>
      <c r="X851">
        <v>0</v>
      </c>
      <c r="Y851" t="s">
        <v>70</v>
      </c>
      <c r="Z851" t="s">
        <v>60</v>
      </c>
      <c r="AA851">
        <v>0</v>
      </c>
      <c r="AB851" s="2">
        <v>0</v>
      </c>
      <c r="AC851" s="2">
        <v>0</v>
      </c>
      <c r="AD851" s="4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36.4</v>
      </c>
      <c r="AN851" s="2">
        <v>36.4</v>
      </c>
      <c r="AO851" s="2">
        <v>0</v>
      </c>
      <c r="AP851" s="2">
        <v>0</v>
      </c>
      <c r="AQ851" s="2">
        <v>0</v>
      </c>
    </row>
    <row r="852" spans="1:43" x14ac:dyDescent="0.25">
      <c r="A852" s="1">
        <v>45915</v>
      </c>
      <c r="B852" t="s">
        <v>47</v>
      </c>
      <c r="C852">
        <v>649163</v>
      </c>
      <c r="D852">
        <v>2027106748</v>
      </c>
      <c r="E852" t="s">
        <v>887</v>
      </c>
      <c r="F852" t="s">
        <v>258</v>
      </c>
      <c r="G852" t="s">
        <v>50</v>
      </c>
      <c r="H852" t="s">
        <v>93</v>
      </c>
      <c r="I852" t="s">
        <v>441</v>
      </c>
      <c r="J852" t="s">
        <v>445</v>
      </c>
      <c r="K852">
        <v>792847</v>
      </c>
      <c r="L852" t="s">
        <v>137</v>
      </c>
      <c r="M852" t="s">
        <v>138</v>
      </c>
      <c r="N852" t="s">
        <v>1106</v>
      </c>
      <c r="O852" t="s">
        <v>56</v>
      </c>
      <c r="P852" s="1">
        <v>45703</v>
      </c>
      <c r="Q852" s="1">
        <v>45945</v>
      </c>
      <c r="R852" s="2">
        <v>11.5</v>
      </c>
      <c r="S852">
        <v>1</v>
      </c>
      <c r="T852" t="s">
        <v>57</v>
      </c>
      <c r="U852" t="s">
        <v>58</v>
      </c>
      <c r="V852" s="4">
        <v>0.7</v>
      </c>
      <c r="W852" s="2">
        <v>0</v>
      </c>
      <c r="X852">
        <v>0</v>
      </c>
      <c r="Y852" t="s">
        <v>70</v>
      </c>
      <c r="Z852" t="s">
        <v>60</v>
      </c>
      <c r="AA852">
        <v>0</v>
      </c>
      <c r="AB852" s="2">
        <v>0</v>
      </c>
      <c r="AC852" s="2">
        <v>0</v>
      </c>
      <c r="AD852" s="4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8.0500000000000007</v>
      </c>
      <c r="AN852" s="2">
        <v>8.0500000000000007</v>
      </c>
      <c r="AO852" s="2">
        <v>0</v>
      </c>
      <c r="AP852" s="2">
        <v>0</v>
      </c>
      <c r="AQ852" s="2">
        <v>0</v>
      </c>
    </row>
    <row r="853" spans="1:43" x14ac:dyDescent="0.25">
      <c r="A853" s="1">
        <v>45915</v>
      </c>
      <c r="B853" t="s">
        <v>47</v>
      </c>
      <c r="C853">
        <v>649163</v>
      </c>
      <c r="D853">
        <v>2027164318</v>
      </c>
      <c r="E853" t="s">
        <v>885</v>
      </c>
      <c r="F853" t="s">
        <v>884</v>
      </c>
      <c r="G853" t="s">
        <v>50</v>
      </c>
      <c r="H853" t="s">
        <v>93</v>
      </c>
      <c r="I853" t="s">
        <v>441</v>
      </c>
      <c r="J853" t="s">
        <v>445</v>
      </c>
      <c r="K853">
        <v>792847</v>
      </c>
      <c r="L853" t="s">
        <v>137</v>
      </c>
      <c r="M853" t="s">
        <v>138</v>
      </c>
      <c r="N853" t="s">
        <v>1106</v>
      </c>
      <c r="O853" t="s">
        <v>56</v>
      </c>
      <c r="P853" s="1">
        <v>45706</v>
      </c>
      <c r="Q853" s="1">
        <v>45948</v>
      </c>
      <c r="R853" s="2">
        <v>46.46</v>
      </c>
      <c r="S853">
        <v>1</v>
      </c>
      <c r="T853" t="s">
        <v>57</v>
      </c>
      <c r="U853" t="s">
        <v>58</v>
      </c>
      <c r="V853" s="4">
        <v>0.7</v>
      </c>
      <c r="W853" s="2">
        <v>0</v>
      </c>
      <c r="X853">
        <v>0</v>
      </c>
      <c r="Y853" t="s">
        <v>70</v>
      </c>
      <c r="Z853" t="s">
        <v>60</v>
      </c>
      <c r="AA853">
        <v>0</v>
      </c>
      <c r="AB853" s="2">
        <v>0</v>
      </c>
      <c r="AC853" s="2">
        <v>0</v>
      </c>
      <c r="AD853" s="4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32.520000000000003</v>
      </c>
      <c r="AN853" s="2">
        <v>32.520000000000003</v>
      </c>
      <c r="AO853" s="2">
        <v>0</v>
      </c>
      <c r="AP853" s="2">
        <v>0</v>
      </c>
      <c r="AQ853" s="2">
        <v>0</v>
      </c>
    </row>
    <row r="854" spans="1:43" x14ac:dyDescent="0.25">
      <c r="A854" s="1">
        <v>45915</v>
      </c>
      <c r="B854" t="s">
        <v>47</v>
      </c>
      <c r="C854">
        <v>649163</v>
      </c>
      <c r="D854">
        <v>2028965776</v>
      </c>
      <c r="E854" t="s">
        <v>137</v>
      </c>
      <c r="F854" t="s">
        <v>773</v>
      </c>
      <c r="G854" t="s">
        <v>50</v>
      </c>
      <c r="H854" t="s">
        <v>93</v>
      </c>
      <c r="I854" t="s">
        <v>441</v>
      </c>
      <c r="J854" t="s">
        <v>445</v>
      </c>
      <c r="K854">
        <v>792847</v>
      </c>
      <c r="L854" t="s">
        <v>137</v>
      </c>
      <c r="M854" t="s">
        <v>138</v>
      </c>
      <c r="N854" t="s">
        <v>1106</v>
      </c>
      <c r="O854" t="s">
        <v>56</v>
      </c>
      <c r="P854" s="1">
        <v>45793</v>
      </c>
      <c r="Q854" s="1">
        <v>45946</v>
      </c>
      <c r="R854" s="2">
        <v>58.24</v>
      </c>
      <c r="S854">
        <v>1</v>
      </c>
      <c r="T854" t="s">
        <v>57</v>
      </c>
      <c r="U854" t="s">
        <v>58</v>
      </c>
      <c r="V854" s="4">
        <v>0.7</v>
      </c>
      <c r="W854" s="2">
        <v>0</v>
      </c>
      <c r="X854">
        <v>0</v>
      </c>
      <c r="Y854" t="s">
        <v>70</v>
      </c>
      <c r="Z854" t="s">
        <v>60</v>
      </c>
      <c r="AA854">
        <v>0</v>
      </c>
      <c r="AB854" s="2">
        <v>0</v>
      </c>
      <c r="AC854" s="2">
        <v>0</v>
      </c>
      <c r="AD854" s="4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40.770000000000003</v>
      </c>
      <c r="AN854" s="2">
        <v>40.770000000000003</v>
      </c>
      <c r="AO854" s="2">
        <v>0</v>
      </c>
      <c r="AP854" s="2">
        <v>0</v>
      </c>
      <c r="AQ854" s="2">
        <v>0</v>
      </c>
    </row>
    <row r="855" spans="1:43" x14ac:dyDescent="0.25">
      <c r="A855" s="1">
        <v>45915</v>
      </c>
      <c r="B855" t="s">
        <v>47</v>
      </c>
      <c r="C855">
        <v>649163</v>
      </c>
      <c r="D855">
        <v>2028965822</v>
      </c>
      <c r="E855" t="s">
        <v>947</v>
      </c>
      <c r="F855" t="s">
        <v>946</v>
      </c>
      <c r="G855" t="s">
        <v>50</v>
      </c>
      <c r="H855" t="s">
        <v>204</v>
      </c>
      <c r="I855" t="s">
        <v>441</v>
      </c>
      <c r="J855" t="s">
        <v>445</v>
      </c>
      <c r="K855">
        <v>792847</v>
      </c>
      <c r="L855" t="s">
        <v>137</v>
      </c>
      <c r="M855" t="s">
        <v>138</v>
      </c>
      <c r="N855" t="s">
        <v>1106</v>
      </c>
      <c r="O855" t="s">
        <v>56</v>
      </c>
      <c r="P855" s="1">
        <v>45793</v>
      </c>
      <c r="Q855" s="1">
        <v>45946</v>
      </c>
      <c r="R855" s="2">
        <v>34</v>
      </c>
      <c r="S855">
        <v>1</v>
      </c>
      <c r="T855" t="s">
        <v>57</v>
      </c>
      <c r="U855" t="s">
        <v>58</v>
      </c>
      <c r="V855" s="4">
        <v>0.7</v>
      </c>
      <c r="W855" s="2">
        <v>0</v>
      </c>
      <c r="X855">
        <v>0</v>
      </c>
      <c r="Y855" t="s">
        <v>70</v>
      </c>
      <c r="Z855" t="s">
        <v>60</v>
      </c>
      <c r="AA855">
        <v>0</v>
      </c>
      <c r="AB855" s="2">
        <v>0</v>
      </c>
      <c r="AC855" s="2">
        <v>0</v>
      </c>
      <c r="AD855" s="4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23.8</v>
      </c>
      <c r="AN855" s="2">
        <v>23.8</v>
      </c>
      <c r="AO855" s="2">
        <v>0</v>
      </c>
      <c r="AP855" s="2">
        <v>0</v>
      </c>
      <c r="AQ855" s="2">
        <v>0</v>
      </c>
    </row>
    <row r="856" spans="1:43" x14ac:dyDescent="0.25">
      <c r="A856" s="1">
        <v>45915</v>
      </c>
      <c r="B856" t="s">
        <v>47</v>
      </c>
      <c r="C856">
        <v>649163</v>
      </c>
      <c r="D856">
        <v>2029056123</v>
      </c>
      <c r="E856" t="s">
        <v>324</v>
      </c>
      <c r="F856" t="s">
        <v>842</v>
      </c>
      <c r="G856" t="s">
        <v>50</v>
      </c>
      <c r="H856" t="s">
        <v>115</v>
      </c>
      <c r="I856" t="s">
        <v>441</v>
      </c>
      <c r="J856" t="s">
        <v>445</v>
      </c>
      <c r="K856">
        <v>792847</v>
      </c>
      <c r="L856" t="s">
        <v>137</v>
      </c>
      <c r="M856" t="s">
        <v>138</v>
      </c>
      <c r="N856" t="s">
        <v>1106</v>
      </c>
      <c r="O856" t="s">
        <v>56</v>
      </c>
      <c r="P856" s="1">
        <v>45799</v>
      </c>
      <c r="Q856" s="1">
        <v>45922</v>
      </c>
      <c r="R856" s="2">
        <v>83</v>
      </c>
      <c r="S856">
        <v>1</v>
      </c>
      <c r="T856" t="s">
        <v>57</v>
      </c>
      <c r="U856" t="s">
        <v>58</v>
      </c>
      <c r="V856" s="4">
        <v>0.7</v>
      </c>
      <c r="W856" s="2">
        <v>0</v>
      </c>
      <c r="X856">
        <v>0</v>
      </c>
      <c r="Y856" t="s">
        <v>70</v>
      </c>
      <c r="Z856" t="s">
        <v>60</v>
      </c>
      <c r="AA856">
        <v>0</v>
      </c>
      <c r="AB856" s="2">
        <v>0</v>
      </c>
      <c r="AC856" s="2">
        <v>0</v>
      </c>
      <c r="AD856" s="4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58.1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</row>
    <row r="857" spans="1:43" x14ac:dyDescent="0.25">
      <c r="A857" s="1">
        <v>45915</v>
      </c>
      <c r="B857" t="s">
        <v>47</v>
      </c>
      <c r="C857">
        <v>649163</v>
      </c>
      <c r="D857">
        <v>2029910878</v>
      </c>
      <c r="E857" t="s">
        <v>202</v>
      </c>
      <c r="F857" t="s">
        <v>203</v>
      </c>
      <c r="G857" t="s">
        <v>50</v>
      </c>
      <c r="H857" t="s">
        <v>204</v>
      </c>
      <c r="I857" t="s">
        <v>441</v>
      </c>
      <c r="J857" t="s">
        <v>445</v>
      </c>
      <c r="K857">
        <v>792847</v>
      </c>
      <c r="L857" t="s">
        <v>137</v>
      </c>
      <c r="M857" t="s">
        <v>138</v>
      </c>
      <c r="N857" t="s">
        <v>1106</v>
      </c>
      <c r="O857" t="s">
        <v>56</v>
      </c>
      <c r="P857" s="1">
        <v>45850</v>
      </c>
      <c r="Q857" s="1">
        <v>45942</v>
      </c>
      <c r="R857" s="2">
        <v>-175.37</v>
      </c>
      <c r="S857">
        <v>1</v>
      </c>
      <c r="T857" t="s">
        <v>57</v>
      </c>
      <c r="U857" t="s">
        <v>58</v>
      </c>
      <c r="V857" s="4">
        <v>0.7</v>
      </c>
      <c r="W857" s="2">
        <v>0</v>
      </c>
      <c r="X857">
        <v>-1</v>
      </c>
      <c r="Y857" t="s">
        <v>70</v>
      </c>
      <c r="Z857" t="s">
        <v>60</v>
      </c>
      <c r="AA857">
        <v>0</v>
      </c>
      <c r="AB857" s="2">
        <v>0</v>
      </c>
      <c r="AC857" s="2">
        <v>0</v>
      </c>
      <c r="AD857" s="4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-122.76</v>
      </c>
      <c r="AN857" s="2">
        <v>-122.76</v>
      </c>
      <c r="AO857" s="2">
        <v>0</v>
      </c>
      <c r="AP857" s="2">
        <v>0</v>
      </c>
      <c r="AQ857" s="2">
        <v>0</v>
      </c>
    </row>
    <row r="858" spans="1:43" x14ac:dyDescent="0.25">
      <c r="A858" s="1">
        <v>45915</v>
      </c>
      <c r="B858" t="s">
        <v>47</v>
      </c>
      <c r="C858">
        <v>649163</v>
      </c>
      <c r="D858">
        <v>2026618368</v>
      </c>
      <c r="E858" t="s">
        <v>893</v>
      </c>
      <c r="F858" t="s">
        <v>480</v>
      </c>
      <c r="G858" t="s">
        <v>50</v>
      </c>
      <c r="H858" t="s">
        <v>93</v>
      </c>
      <c r="I858" t="s">
        <v>306</v>
      </c>
      <c r="J858" t="s">
        <v>307</v>
      </c>
      <c r="K858">
        <v>792847</v>
      </c>
      <c r="L858" t="s">
        <v>137</v>
      </c>
      <c r="M858" t="s">
        <v>138</v>
      </c>
      <c r="N858" t="s">
        <v>1106</v>
      </c>
      <c r="O858" t="s">
        <v>56</v>
      </c>
      <c r="P858" s="1">
        <v>45673</v>
      </c>
      <c r="Q858" s="1">
        <v>45946</v>
      </c>
      <c r="R858" s="2">
        <v>35.29</v>
      </c>
      <c r="S858">
        <v>1</v>
      </c>
      <c r="T858" t="s">
        <v>57</v>
      </c>
      <c r="U858" t="s">
        <v>58</v>
      </c>
      <c r="V858" s="3">
        <v>0.375</v>
      </c>
      <c r="W858" s="2">
        <v>0</v>
      </c>
      <c r="X858">
        <v>0</v>
      </c>
      <c r="Y858" t="s">
        <v>70</v>
      </c>
      <c r="Z858" t="s">
        <v>60</v>
      </c>
      <c r="AA858">
        <v>0</v>
      </c>
      <c r="AB858" s="2">
        <v>0</v>
      </c>
      <c r="AC858" s="2">
        <v>0</v>
      </c>
      <c r="AD858" s="4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13.23</v>
      </c>
      <c r="AN858" s="2">
        <v>13.23</v>
      </c>
      <c r="AO858" s="2">
        <v>0</v>
      </c>
      <c r="AP858" s="2">
        <v>0</v>
      </c>
      <c r="AQ858" s="2">
        <v>0</v>
      </c>
    </row>
    <row r="859" spans="1:43" x14ac:dyDescent="0.25">
      <c r="A859" s="1">
        <v>45915</v>
      </c>
      <c r="B859" t="s">
        <v>47</v>
      </c>
      <c r="C859">
        <v>649163</v>
      </c>
      <c r="D859">
        <v>2027106747</v>
      </c>
      <c r="E859" t="s">
        <v>887</v>
      </c>
      <c r="F859" t="s">
        <v>258</v>
      </c>
      <c r="G859" t="s">
        <v>50</v>
      </c>
      <c r="H859" t="s">
        <v>93</v>
      </c>
      <c r="I859" t="s">
        <v>306</v>
      </c>
      <c r="J859" t="s">
        <v>307</v>
      </c>
      <c r="K859">
        <v>792847</v>
      </c>
      <c r="L859" t="s">
        <v>137</v>
      </c>
      <c r="M859" t="s">
        <v>138</v>
      </c>
      <c r="N859" t="s">
        <v>1106</v>
      </c>
      <c r="O859" t="s">
        <v>56</v>
      </c>
      <c r="P859" s="1">
        <v>45703</v>
      </c>
      <c r="Q859" s="1">
        <v>45945</v>
      </c>
      <c r="R859" s="2">
        <v>48.61</v>
      </c>
      <c r="S859">
        <v>1</v>
      </c>
      <c r="T859" t="s">
        <v>57</v>
      </c>
      <c r="U859" t="s">
        <v>58</v>
      </c>
      <c r="V859" s="3">
        <v>0.375</v>
      </c>
      <c r="W859" s="2">
        <v>0</v>
      </c>
      <c r="X859">
        <v>0</v>
      </c>
      <c r="Y859" t="s">
        <v>70</v>
      </c>
      <c r="Z859" t="s">
        <v>60</v>
      </c>
      <c r="AA859">
        <v>0</v>
      </c>
      <c r="AB859" s="2">
        <v>0</v>
      </c>
      <c r="AC859" s="2">
        <v>0</v>
      </c>
      <c r="AD859" s="4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18.23</v>
      </c>
      <c r="AN859" s="2">
        <v>18.23</v>
      </c>
      <c r="AO859" s="2">
        <v>0</v>
      </c>
      <c r="AP859" s="2">
        <v>0</v>
      </c>
      <c r="AQ859" s="2">
        <v>0</v>
      </c>
    </row>
    <row r="860" spans="1:43" x14ac:dyDescent="0.25">
      <c r="A860" s="1">
        <v>45915</v>
      </c>
      <c r="B860" t="s">
        <v>47</v>
      </c>
      <c r="C860">
        <v>649163</v>
      </c>
      <c r="D860">
        <v>2027164319</v>
      </c>
      <c r="E860" t="s">
        <v>885</v>
      </c>
      <c r="F860" t="s">
        <v>884</v>
      </c>
      <c r="G860" t="s">
        <v>50</v>
      </c>
      <c r="H860" t="s">
        <v>93</v>
      </c>
      <c r="I860" t="s">
        <v>306</v>
      </c>
      <c r="J860" t="s">
        <v>307</v>
      </c>
      <c r="K860">
        <v>792847</v>
      </c>
      <c r="L860" t="s">
        <v>137</v>
      </c>
      <c r="M860" t="s">
        <v>138</v>
      </c>
      <c r="N860" t="s">
        <v>1106</v>
      </c>
      <c r="O860" t="s">
        <v>56</v>
      </c>
      <c r="P860" s="1">
        <v>45706</v>
      </c>
      <c r="Q860" s="1">
        <v>45948</v>
      </c>
      <c r="R860" s="2">
        <v>64.760000000000005</v>
      </c>
      <c r="S860">
        <v>1</v>
      </c>
      <c r="T860" t="s">
        <v>57</v>
      </c>
      <c r="U860" t="s">
        <v>58</v>
      </c>
      <c r="V860" s="3">
        <v>0.375</v>
      </c>
      <c r="W860" s="2">
        <v>0</v>
      </c>
      <c r="X860">
        <v>0</v>
      </c>
      <c r="Y860" t="s">
        <v>70</v>
      </c>
      <c r="Z860" t="s">
        <v>60</v>
      </c>
      <c r="AA860">
        <v>0</v>
      </c>
      <c r="AB860" s="2">
        <v>0</v>
      </c>
      <c r="AC860" s="2">
        <v>0</v>
      </c>
      <c r="AD860" s="4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24.28</v>
      </c>
      <c r="AN860" s="2">
        <v>24.28</v>
      </c>
      <c r="AO860" s="2">
        <v>0</v>
      </c>
      <c r="AP860" s="2">
        <v>0</v>
      </c>
      <c r="AQ860" s="2">
        <v>0</v>
      </c>
    </row>
    <row r="861" spans="1:43" x14ac:dyDescent="0.25">
      <c r="A861" s="1">
        <v>45915</v>
      </c>
      <c r="B861" t="s">
        <v>47</v>
      </c>
      <c r="C861">
        <v>649163</v>
      </c>
      <c r="D861">
        <v>2029056124</v>
      </c>
      <c r="E861" t="s">
        <v>324</v>
      </c>
      <c r="F861" t="s">
        <v>842</v>
      </c>
      <c r="G861" t="s">
        <v>50</v>
      </c>
      <c r="H861" t="s">
        <v>115</v>
      </c>
      <c r="I861" t="s">
        <v>306</v>
      </c>
      <c r="J861" t="s">
        <v>307</v>
      </c>
      <c r="K861">
        <v>792847</v>
      </c>
      <c r="L861" t="s">
        <v>137</v>
      </c>
      <c r="M861" t="s">
        <v>138</v>
      </c>
      <c r="N861" t="s">
        <v>1106</v>
      </c>
      <c r="O861" t="s">
        <v>56</v>
      </c>
      <c r="P861" s="1">
        <v>45799</v>
      </c>
      <c r="Q861" s="1">
        <v>45922</v>
      </c>
      <c r="R861" s="2">
        <v>68.19</v>
      </c>
      <c r="S861">
        <v>1</v>
      </c>
      <c r="T861" t="s">
        <v>57</v>
      </c>
      <c r="U861" t="s">
        <v>58</v>
      </c>
      <c r="V861" s="3">
        <v>0.375</v>
      </c>
      <c r="W861" s="2">
        <v>0</v>
      </c>
      <c r="X861">
        <v>0</v>
      </c>
      <c r="Y861" t="s">
        <v>70</v>
      </c>
      <c r="Z861" t="s">
        <v>60</v>
      </c>
      <c r="AA861">
        <v>0</v>
      </c>
      <c r="AB861" s="2">
        <v>0</v>
      </c>
      <c r="AC861" s="2">
        <v>0</v>
      </c>
      <c r="AD861" s="4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25.57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</row>
    <row r="862" spans="1:43" x14ac:dyDescent="0.25">
      <c r="A862" s="1">
        <v>45922</v>
      </c>
      <c r="B862" t="s">
        <v>47</v>
      </c>
      <c r="C862">
        <v>649163</v>
      </c>
      <c r="D862">
        <v>2030108810</v>
      </c>
      <c r="E862" t="s">
        <v>219</v>
      </c>
      <c r="F862" t="s">
        <v>220</v>
      </c>
      <c r="G862" t="s">
        <v>50</v>
      </c>
      <c r="H862" t="s">
        <v>141</v>
      </c>
      <c r="I862" t="s">
        <v>106</v>
      </c>
      <c r="J862" t="s">
        <v>107</v>
      </c>
      <c r="K862">
        <v>796984</v>
      </c>
      <c r="L862" t="s">
        <v>221</v>
      </c>
      <c r="M862" t="s">
        <v>62</v>
      </c>
      <c r="N862" t="s">
        <v>1109</v>
      </c>
      <c r="O862" t="s">
        <v>56</v>
      </c>
      <c r="P862" s="1">
        <v>45862</v>
      </c>
      <c r="Q862" s="1">
        <v>45954</v>
      </c>
      <c r="R862" s="2">
        <v>36.130000000000003</v>
      </c>
      <c r="S862">
        <v>1</v>
      </c>
      <c r="T862" t="s">
        <v>57</v>
      </c>
      <c r="U862" t="s">
        <v>58</v>
      </c>
      <c r="V862" s="4">
        <v>0.9</v>
      </c>
      <c r="W862" s="2">
        <v>0</v>
      </c>
      <c r="X862">
        <v>0</v>
      </c>
      <c r="Y862" t="s">
        <v>70</v>
      </c>
      <c r="Z862" t="s">
        <v>60</v>
      </c>
      <c r="AA862">
        <v>0</v>
      </c>
      <c r="AB862" s="2">
        <v>0</v>
      </c>
      <c r="AC862" s="2">
        <v>0</v>
      </c>
      <c r="AD862" s="4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32.520000000000003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</row>
    <row r="863" spans="1:43" x14ac:dyDescent="0.25">
      <c r="A863" s="1">
        <v>45922</v>
      </c>
      <c r="B863" t="s">
        <v>47</v>
      </c>
      <c r="C863">
        <v>649163</v>
      </c>
      <c r="D863">
        <v>2030108808</v>
      </c>
      <c r="E863" t="s">
        <v>219</v>
      </c>
      <c r="F863" t="s">
        <v>220</v>
      </c>
      <c r="G863" t="s">
        <v>50</v>
      </c>
      <c r="H863" t="s">
        <v>141</v>
      </c>
      <c r="I863" t="s">
        <v>306</v>
      </c>
      <c r="J863" t="s">
        <v>307</v>
      </c>
      <c r="K863">
        <v>796984</v>
      </c>
      <c r="L863" t="s">
        <v>221</v>
      </c>
      <c r="M863" t="s">
        <v>62</v>
      </c>
      <c r="N863" t="s">
        <v>1109</v>
      </c>
      <c r="O863" t="s">
        <v>56</v>
      </c>
      <c r="P863" s="1">
        <v>45862</v>
      </c>
      <c r="Q863" s="1">
        <v>45954</v>
      </c>
      <c r="R863" s="2">
        <v>47.28</v>
      </c>
      <c r="S863">
        <v>1</v>
      </c>
      <c r="T863" t="s">
        <v>57</v>
      </c>
      <c r="U863" t="s">
        <v>58</v>
      </c>
      <c r="V863" s="3">
        <v>0.375</v>
      </c>
      <c r="W863" s="2">
        <v>0</v>
      </c>
      <c r="X863">
        <v>0</v>
      </c>
      <c r="Y863" t="s">
        <v>70</v>
      </c>
      <c r="Z863" t="s">
        <v>60</v>
      </c>
      <c r="AA863">
        <v>0</v>
      </c>
      <c r="AB863" s="2">
        <v>0</v>
      </c>
      <c r="AC863" s="2">
        <v>0</v>
      </c>
      <c r="AD863" s="4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17.73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</row>
    <row r="864" spans="1:43" x14ac:dyDescent="0.25">
      <c r="A864" s="1">
        <v>45922</v>
      </c>
      <c r="B864" t="s">
        <v>47</v>
      </c>
      <c r="C864">
        <v>649163</v>
      </c>
      <c r="D864">
        <v>2030108811</v>
      </c>
      <c r="E864" t="s">
        <v>219</v>
      </c>
      <c r="F864" t="s">
        <v>220</v>
      </c>
      <c r="G864" t="s">
        <v>50</v>
      </c>
      <c r="H864" t="s">
        <v>141</v>
      </c>
      <c r="I864" t="s">
        <v>430</v>
      </c>
      <c r="J864" t="s">
        <v>431</v>
      </c>
      <c r="K864">
        <v>796984</v>
      </c>
      <c r="L864" t="s">
        <v>221</v>
      </c>
      <c r="M864" t="s">
        <v>62</v>
      </c>
      <c r="N864" t="s">
        <v>1109</v>
      </c>
      <c r="O864" t="s">
        <v>56</v>
      </c>
      <c r="P864" s="1">
        <v>45862</v>
      </c>
      <c r="Q864" s="1">
        <v>45954</v>
      </c>
      <c r="R864" s="2">
        <v>16.91</v>
      </c>
      <c r="S864">
        <v>1</v>
      </c>
      <c r="T864" t="s">
        <v>57</v>
      </c>
      <c r="U864" t="s">
        <v>58</v>
      </c>
      <c r="V864" s="4">
        <v>0.38</v>
      </c>
      <c r="W864" s="2">
        <v>0</v>
      </c>
      <c r="X864">
        <v>0</v>
      </c>
      <c r="Y864" t="s">
        <v>70</v>
      </c>
      <c r="Z864" t="s">
        <v>60</v>
      </c>
      <c r="AA864">
        <v>0</v>
      </c>
      <c r="AB864" s="2">
        <v>0</v>
      </c>
      <c r="AC864" s="2">
        <v>0</v>
      </c>
      <c r="AD864" s="4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6.43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</row>
    <row r="865" spans="1:43" x14ac:dyDescent="0.25">
      <c r="A865" s="1">
        <v>45922</v>
      </c>
      <c r="B865" t="s">
        <v>47</v>
      </c>
      <c r="C865">
        <v>649163</v>
      </c>
      <c r="D865">
        <v>2030108809</v>
      </c>
      <c r="E865" t="s">
        <v>219</v>
      </c>
      <c r="F865" t="s">
        <v>220</v>
      </c>
      <c r="G865" t="s">
        <v>50</v>
      </c>
      <c r="H865" t="s">
        <v>141</v>
      </c>
      <c r="I865" t="s">
        <v>441</v>
      </c>
      <c r="J865" t="s">
        <v>445</v>
      </c>
      <c r="K865">
        <v>796984</v>
      </c>
      <c r="L865" t="s">
        <v>221</v>
      </c>
      <c r="M865" t="s">
        <v>62</v>
      </c>
      <c r="N865" t="s">
        <v>1109</v>
      </c>
      <c r="O865" t="s">
        <v>56</v>
      </c>
      <c r="P865" s="1">
        <v>45862</v>
      </c>
      <c r="Q865" s="1">
        <v>45954</v>
      </c>
      <c r="R865" s="2">
        <v>9.1</v>
      </c>
      <c r="S865">
        <v>1</v>
      </c>
      <c r="T865" t="s">
        <v>57</v>
      </c>
      <c r="U865" t="s">
        <v>58</v>
      </c>
      <c r="V865" s="4">
        <v>0.7</v>
      </c>
      <c r="W865" s="2">
        <v>0</v>
      </c>
      <c r="X865">
        <v>0</v>
      </c>
      <c r="Y865" t="s">
        <v>70</v>
      </c>
      <c r="Z865" t="s">
        <v>60</v>
      </c>
      <c r="AA865">
        <v>0</v>
      </c>
      <c r="AB865" s="2">
        <v>0</v>
      </c>
      <c r="AC865" s="2">
        <v>0</v>
      </c>
      <c r="AD865" s="4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6.37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</row>
    <row r="866" spans="1:43" x14ac:dyDescent="0.25">
      <c r="A866" s="1">
        <v>45915</v>
      </c>
      <c r="B866" t="s">
        <v>47</v>
      </c>
      <c r="C866">
        <v>649163</v>
      </c>
      <c r="D866">
        <v>2025820174</v>
      </c>
      <c r="E866" t="s">
        <v>793</v>
      </c>
      <c r="F866" t="s">
        <v>792</v>
      </c>
      <c r="G866" t="s">
        <v>50</v>
      </c>
      <c r="H866" t="s">
        <v>141</v>
      </c>
      <c r="I866" t="s">
        <v>106</v>
      </c>
      <c r="J866" t="s">
        <v>107</v>
      </c>
      <c r="K866">
        <v>796984</v>
      </c>
      <c r="L866" t="s">
        <v>221</v>
      </c>
      <c r="M866" t="s">
        <v>62</v>
      </c>
      <c r="N866" t="s">
        <v>1109</v>
      </c>
      <c r="O866" t="s">
        <v>56</v>
      </c>
      <c r="P866" s="1">
        <v>45615</v>
      </c>
      <c r="Q866" s="1">
        <v>45949</v>
      </c>
      <c r="R866" s="2">
        <v>40.21</v>
      </c>
      <c r="S866">
        <v>1</v>
      </c>
      <c r="T866" t="s">
        <v>57</v>
      </c>
      <c r="U866" t="s">
        <v>58</v>
      </c>
      <c r="V866" s="4">
        <v>0.9</v>
      </c>
      <c r="W866" s="2">
        <v>0</v>
      </c>
      <c r="X866">
        <v>0</v>
      </c>
      <c r="Y866" t="s">
        <v>70</v>
      </c>
      <c r="Z866" t="s">
        <v>60</v>
      </c>
      <c r="AA866">
        <v>0</v>
      </c>
      <c r="AB866" s="2">
        <v>0</v>
      </c>
      <c r="AC866" s="2">
        <v>0</v>
      </c>
      <c r="AD866" s="4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36.19</v>
      </c>
      <c r="AN866" s="2">
        <v>36.19</v>
      </c>
      <c r="AO866" s="2">
        <v>0</v>
      </c>
      <c r="AP866" s="2">
        <v>0</v>
      </c>
      <c r="AQ866" s="2">
        <v>0</v>
      </c>
    </row>
    <row r="867" spans="1:43" x14ac:dyDescent="0.25">
      <c r="A867" s="1">
        <v>45915</v>
      </c>
      <c r="B867" t="s">
        <v>47</v>
      </c>
      <c r="C867">
        <v>649163</v>
      </c>
      <c r="D867">
        <v>2026061218</v>
      </c>
      <c r="E867" t="s">
        <v>790</v>
      </c>
      <c r="F867" t="s">
        <v>789</v>
      </c>
      <c r="G867" t="s">
        <v>50</v>
      </c>
      <c r="H867" t="s">
        <v>141</v>
      </c>
      <c r="I867" t="s">
        <v>106</v>
      </c>
      <c r="J867" t="s">
        <v>146</v>
      </c>
      <c r="K867">
        <v>796984</v>
      </c>
      <c r="L867" t="s">
        <v>221</v>
      </c>
      <c r="M867" t="s">
        <v>62</v>
      </c>
      <c r="N867" t="s">
        <v>1109</v>
      </c>
      <c r="O867" t="s">
        <v>56</v>
      </c>
      <c r="P867" s="1">
        <v>45641</v>
      </c>
      <c r="Q867" s="1">
        <v>45945</v>
      </c>
      <c r="R867" s="2">
        <v>37.130000000000003</v>
      </c>
      <c r="S867">
        <v>1</v>
      </c>
      <c r="T867" t="s">
        <v>57</v>
      </c>
      <c r="U867" t="s">
        <v>58</v>
      </c>
      <c r="V867" s="4">
        <v>0.65</v>
      </c>
      <c r="W867" s="2">
        <v>0</v>
      </c>
      <c r="X867">
        <v>0</v>
      </c>
      <c r="Y867" t="s">
        <v>70</v>
      </c>
      <c r="Z867" t="s">
        <v>60</v>
      </c>
      <c r="AA867">
        <v>0</v>
      </c>
      <c r="AB867" s="2">
        <v>0</v>
      </c>
      <c r="AC867" s="2">
        <v>0</v>
      </c>
      <c r="AD867" s="4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24.13</v>
      </c>
      <c r="AN867" s="2">
        <v>24.13</v>
      </c>
      <c r="AO867" s="2">
        <v>0</v>
      </c>
      <c r="AP867" s="2">
        <v>0</v>
      </c>
      <c r="AQ867" s="2">
        <v>0</v>
      </c>
    </row>
    <row r="868" spans="1:43" x14ac:dyDescent="0.25">
      <c r="A868" s="1">
        <v>45915</v>
      </c>
      <c r="B868" t="s">
        <v>47</v>
      </c>
      <c r="C868">
        <v>649163</v>
      </c>
      <c r="D868">
        <v>2026111642</v>
      </c>
      <c r="E868" t="s">
        <v>1012</v>
      </c>
      <c r="F868" t="s">
        <v>1011</v>
      </c>
      <c r="G868" t="s">
        <v>50</v>
      </c>
      <c r="H868" t="s">
        <v>141</v>
      </c>
      <c r="I868" t="s">
        <v>106</v>
      </c>
      <c r="J868" t="s">
        <v>146</v>
      </c>
      <c r="K868">
        <v>796984</v>
      </c>
      <c r="L868" t="s">
        <v>221</v>
      </c>
      <c r="M868" t="s">
        <v>62</v>
      </c>
      <c r="N868" t="s">
        <v>1109</v>
      </c>
      <c r="O868" t="s">
        <v>56</v>
      </c>
      <c r="P868" s="1">
        <v>45641</v>
      </c>
      <c r="Q868" s="1">
        <v>45945</v>
      </c>
      <c r="R868" s="2">
        <v>58.48</v>
      </c>
      <c r="S868">
        <v>1</v>
      </c>
      <c r="T868" t="s">
        <v>57</v>
      </c>
      <c r="U868" t="s">
        <v>58</v>
      </c>
      <c r="V868" s="4">
        <v>0.65</v>
      </c>
      <c r="W868" s="2">
        <v>0</v>
      </c>
      <c r="X868">
        <v>0</v>
      </c>
      <c r="Y868" t="s">
        <v>70</v>
      </c>
      <c r="Z868" t="s">
        <v>60</v>
      </c>
      <c r="AA868">
        <v>0</v>
      </c>
      <c r="AB868" s="2">
        <v>0</v>
      </c>
      <c r="AC868" s="2">
        <v>0</v>
      </c>
      <c r="AD868" s="4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38.01</v>
      </c>
      <c r="AN868" s="2">
        <v>38.01</v>
      </c>
      <c r="AO868" s="2">
        <v>0</v>
      </c>
      <c r="AP868" s="2">
        <v>0</v>
      </c>
      <c r="AQ868" s="2">
        <v>0</v>
      </c>
    </row>
    <row r="869" spans="1:43" x14ac:dyDescent="0.25">
      <c r="A869" s="1">
        <v>45915</v>
      </c>
      <c r="B869" t="s">
        <v>47</v>
      </c>
      <c r="C869">
        <v>649163</v>
      </c>
      <c r="D869">
        <v>2026111643</v>
      </c>
      <c r="E869" t="s">
        <v>1012</v>
      </c>
      <c r="F869" t="s">
        <v>1011</v>
      </c>
      <c r="G869" t="s">
        <v>50</v>
      </c>
      <c r="H869" t="s">
        <v>141</v>
      </c>
      <c r="I869" t="s">
        <v>306</v>
      </c>
      <c r="J869" t="s">
        <v>307</v>
      </c>
      <c r="K869">
        <v>796984</v>
      </c>
      <c r="L869" t="s">
        <v>221</v>
      </c>
      <c r="M869" t="s">
        <v>62</v>
      </c>
      <c r="N869" t="s">
        <v>1109</v>
      </c>
      <c r="O869" t="s">
        <v>56</v>
      </c>
      <c r="P869" s="1">
        <v>45641</v>
      </c>
      <c r="Q869" s="1">
        <v>45945</v>
      </c>
      <c r="R869" s="2">
        <v>105.78</v>
      </c>
      <c r="S869">
        <v>1</v>
      </c>
      <c r="T869" t="s">
        <v>57</v>
      </c>
      <c r="U869" t="s">
        <v>58</v>
      </c>
      <c r="V869" s="3">
        <v>0.375</v>
      </c>
      <c r="W869" s="2">
        <v>0</v>
      </c>
      <c r="X869">
        <v>0</v>
      </c>
      <c r="Y869" t="s">
        <v>70</v>
      </c>
      <c r="Z869" t="s">
        <v>60</v>
      </c>
      <c r="AA869">
        <v>0</v>
      </c>
      <c r="AB869" s="2">
        <v>0</v>
      </c>
      <c r="AC869" s="2">
        <v>0</v>
      </c>
      <c r="AD869" s="4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39.67</v>
      </c>
      <c r="AN869" s="2">
        <v>39.67</v>
      </c>
      <c r="AO869" s="2">
        <v>0</v>
      </c>
      <c r="AP869" s="2">
        <v>0</v>
      </c>
      <c r="AQ869" s="2">
        <v>0</v>
      </c>
    </row>
    <row r="870" spans="1:43" x14ac:dyDescent="0.25">
      <c r="A870" s="1">
        <v>45915</v>
      </c>
      <c r="B870" t="s">
        <v>47</v>
      </c>
      <c r="C870">
        <v>649163</v>
      </c>
      <c r="D870">
        <v>2025820173</v>
      </c>
      <c r="E870" t="s">
        <v>793</v>
      </c>
      <c r="F870" t="s">
        <v>792</v>
      </c>
      <c r="G870" t="s">
        <v>50</v>
      </c>
      <c r="H870" t="s">
        <v>141</v>
      </c>
      <c r="I870" t="s">
        <v>441</v>
      </c>
      <c r="J870" t="s">
        <v>445</v>
      </c>
      <c r="K870">
        <v>796984</v>
      </c>
      <c r="L870" t="s">
        <v>221</v>
      </c>
      <c r="M870" t="s">
        <v>62</v>
      </c>
      <c r="N870" t="s">
        <v>1109</v>
      </c>
      <c r="O870" t="s">
        <v>56</v>
      </c>
      <c r="P870" s="1">
        <v>45615</v>
      </c>
      <c r="Q870" s="1">
        <v>45949</v>
      </c>
      <c r="R870" s="2">
        <v>9.6999999999999993</v>
      </c>
      <c r="S870">
        <v>1</v>
      </c>
      <c r="T870" t="s">
        <v>57</v>
      </c>
      <c r="U870" t="s">
        <v>58</v>
      </c>
      <c r="V870" s="4">
        <v>0.7</v>
      </c>
      <c r="W870" s="2">
        <v>0</v>
      </c>
      <c r="X870">
        <v>0</v>
      </c>
      <c r="Y870" t="s">
        <v>70</v>
      </c>
      <c r="Z870" t="s">
        <v>60</v>
      </c>
      <c r="AA870">
        <v>0</v>
      </c>
      <c r="AB870" s="2">
        <v>0</v>
      </c>
      <c r="AC870" s="2">
        <v>0</v>
      </c>
      <c r="AD870" s="4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6.79</v>
      </c>
      <c r="AN870" s="2">
        <v>6.79</v>
      </c>
      <c r="AO870" s="2">
        <v>0</v>
      </c>
      <c r="AP870" s="2">
        <v>0</v>
      </c>
      <c r="AQ870" s="2">
        <v>0</v>
      </c>
    </row>
    <row r="871" spans="1:43" x14ac:dyDescent="0.25">
      <c r="A871" s="1">
        <v>45915</v>
      </c>
      <c r="B871" t="s">
        <v>47</v>
      </c>
      <c r="C871">
        <v>649163</v>
      </c>
      <c r="D871">
        <v>2026061217</v>
      </c>
      <c r="E871" t="s">
        <v>790</v>
      </c>
      <c r="F871" t="s">
        <v>789</v>
      </c>
      <c r="G871" t="s">
        <v>50</v>
      </c>
      <c r="H871" t="s">
        <v>141</v>
      </c>
      <c r="I871" t="s">
        <v>441</v>
      </c>
      <c r="J871" t="s">
        <v>445</v>
      </c>
      <c r="K871">
        <v>796984</v>
      </c>
      <c r="L871" t="s">
        <v>221</v>
      </c>
      <c r="M871" t="s">
        <v>62</v>
      </c>
      <c r="N871" t="s">
        <v>1109</v>
      </c>
      <c r="O871" t="s">
        <v>56</v>
      </c>
      <c r="P871" s="1">
        <v>45641</v>
      </c>
      <c r="Q871" s="1">
        <v>45945</v>
      </c>
      <c r="R871" s="2">
        <v>7.89</v>
      </c>
      <c r="S871">
        <v>1</v>
      </c>
      <c r="T871" t="s">
        <v>57</v>
      </c>
      <c r="U871" t="s">
        <v>58</v>
      </c>
      <c r="V871" s="4">
        <v>0.7</v>
      </c>
      <c r="W871" s="2">
        <v>0</v>
      </c>
      <c r="X871">
        <v>0</v>
      </c>
      <c r="Y871" t="s">
        <v>70</v>
      </c>
      <c r="Z871" t="s">
        <v>60</v>
      </c>
      <c r="AA871">
        <v>0</v>
      </c>
      <c r="AB871" s="2">
        <v>0</v>
      </c>
      <c r="AC871" s="2">
        <v>0</v>
      </c>
      <c r="AD871" s="4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5.52</v>
      </c>
      <c r="AN871" s="2">
        <v>5.52</v>
      </c>
      <c r="AO871" s="2">
        <v>0</v>
      </c>
      <c r="AP871" s="2">
        <v>0</v>
      </c>
      <c r="AQ871" s="2">
        <v>0</v>
      </c>
    </row>
    <row r="872" spans="1:43" x14ac:dyDescent="0.25">
      <c r="A872" s="1">
        <v>45915</v>
      </c>
      <c r="B872" t="s">
        <v>47</v>
      </c>
      <c r="C872">
        <v>649163</v>
      </c>
      <c r="D872">
        <v>2026111641</v>
      </c>
      <c r="E872" t="s">
        <v>1012</v>
      </c>
      <c r="F872" t="s">
        <v>1011</v>
      </c>
      <c r="G872" t="s">
        <v>50</v>
      </c>
      <c r="H872" t="s">
        <v>141</v>
      </c>
      <c r="I872" t="s">
        <v>441</v>
      </c>
      <c r="J872" t="s">
        <v>445</v>
      </c>
      <c r="K872">
        <v>796984</v>
      </c>
      <c r="L872" t="s">
        <v>221</v>
      </c>
      <c r="M872" t="s">
        <v>62</v>
      </c>
      <c r="N872" t="s">
        <v>1109</v>
      </c>
      <c r="O872" t="s">
        <v>56</v>
      </c>
      <c r="P872" s="1">
        <v>45641</v>
      </c>
      <c r="Q872" s="1">
        <v>45945</v>
      </c>
      <c r="R872" s="2">
        <v>27.38</v>
      </c>
      <c r="S872">
        <v>1</v>
      </c>
      <c r="T872" t="s">
        <v>57</v>
      </c>
      <c r="U872" t="s">
        <v>58</v>
      </c>
      <c r="V872" s="4">
        <v>0.7</v>
      </c>
      <c r="W872" s="2">
        <v>0</v>
      </c>
      <c r="X872">
        <v>0</v>
      </c>
      <c r="Y872" t="s">
        <v>70</v>
      </c>
      <c r="Z872" t="s">
        <v>60</v>
      </c>
      <c r="AA872">
        <v>0</v>
      </c>
      <c r="AB872" s="2">
        <v>0</v>
      </c>
      <c r="AC872" s="2">
        <v>0</v>
      </c>
      <c r="AD872" s="4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19.170000000000002</v>
      </c>
      <c r="AN872" s="2">
        <v>19.170000000000002</v>
      </c>
      <c r="AO872" s="2">
        <v>0</v>
      </c>
      <c r="AP872" s="2">
        <v>0</v>
      </c>
      <c r="AQ872" s="2">
        <v>0</v>
      </c>
    </row>
    <row r="873" spans="1:43" x14ac:dyDescent="0.25">
      <c r="A873" s="1">
        <v>45915</v>
      </c>
      <c r="B873" t="s">
        <v>47</v>
      </c>
      <c r="C873">
        <v>649163</v>
      </c>
      <c r="D873">
        <v>2025820172</v>
      </c>
      <c r="E873" t="s">
        <v>793</v>
      </c>
      <c r="F873" t="s">
        <v>792</v>
      </c>
      <c r="G873" t="s">
        <v>50</v>
      </c>
      <c r="H873" t="s">
        <v>141</v>
      </c>
      <c r="I873" t="s">
        <v>430</v>
      </c>
      <c r="J873" t="s">
        <v>431</v>
      </c>
      <c r="K873">
        <v>796984</v>
      </c>
      <c r="L873" t="s">
        <v>221</v>
      </c>
      <c r="M873" t="s">
        <v>62</v>
      </c>
      <c r="N873" t="s">
        <v>1109</v>
      </c>
      <c r="O873" t="s">
        <v>56</v>
      </c>
      <c r="P873" s="1">
        <v>45615</v>
      </c>
      <c r="Q873" s="1">
        <v>45949</v>
      </c>
      <c r="R873" s="2">
        <v>26.43</v>
      </c>
      <c r="S873">
        <v>1</v>
      </c>
      <c r="T873" t="s">
        <v>57</v>
      </c>
      <c r="U873" t="s">
        <v>58</v>
      </c>
      <c r="V873" s="4">
        <v>0.38</v>
      </c>
      <c r="W873" s="2">
        <v>0</v>
      </c>
      <c r="X873">
        <v>0</v>
      </c>
      <c r="Y873" t="s">
        <v>70</v>
      </c>
      <c r="Z873" t="s">
        <v>60</v>
      </c>
      <c r="AA873">
        <v>0</v>
      </c>
      <c r="AB873" s="2">
        <v>0</v>
      </c>
      <c r="AC873" s="2">
        <v>0</v>
      </c>
      <c r="AD873" s="4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10.039999999999999</v>
      </c>
      <c r="AN873" s="2">
        <v>10.039999999999999</v>
      </c>
      <c r="AO873" s="2">
        <v>0</v>
      </c>
      <c r="AP873" s="2">
        <v>0</v>
      </c>
      <c r="AQ873" s="2">
        <v>0</v>
      </c>
    </row>
    <row r="874" spans="1:43" x14ac:dyDescent="0.25">
      <c r="A874" s="1">
        <v>45915</v>
      </c>
      <c r="B874" t="s">
        <v>47</v>
      </c>
      <c r="C874">
        <v>649163</v>
      </c>
      <c r="D874">
        <v>2026061219</v>
      </c>
      <c r="E874" t="s">
        <v>790</v>
      </c>
      <c r="F874" t="s">
        <v>789</v>
      </c>
      <c r="G874" t="s">
        <v>50</v>
      </c>
      <c r="H874" t="s">
        <v>141</v>
      </c>
      <c r="I874" t="s">
        <v>430</v>
      </c>
      <c r="J874" t="s">
        <v>431</v>
      </c>
      <c r="K874">
        <v>796984</v>
      </c>
      <c r="L874" t="s">
        <v>221</v>
      </c>
      <c r="M874" t="s">
        <v>62</v>
      </c>
      <c r="N874" t="s">
        <v>1109</v>
      </c>
      <c r="O874" t="s">
        <v>56</v>
      </c>
      <c r="P874" s="1">
        <v>45641</v>
      </c>
      <c r="Q874" s="1">
        <v>45945</v>
      </c>
      <c r="R874" s="2">
        <v>33.31</v>
      </c>
      <c r="S874">
        <v>1</v>
      </c>
      <c r="T874" t="s">
        <v>57</v>
      </c>
      <c r="U874" t="s">
        <v>58</v>
      </c>
      <c r="V874" s="4">
        <v>0.38</v>
      </c>
      <c r="W874" s="2">
        <v>0</v>
      </c>
      <c r="X874">
        <v>0</v>
      </c>
      <c r="Y874" t="s">
        <v>70</v>
      </c>
      <c r="Z874" t="s">
        <v>60</v>
      </c>
      <c r="AA874">
        <v>0</v>
      </c>
      <c r="AB874" s="2">
        <v>0</v>
      </c>
      <c r="AC874" s="2">
        <v>0</v>
      </c>
      <c r="AD874" s="4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12.66</v>
      </c>
      <c r="AN874" s="2">
        <v>12.66</v>
      </c>
      <c r="AO874" s="2">
        <v>0</v>
      </c>
      <c r="AP874" s="2">
        <v>0</v>
      </c>
      <c r="AQ874" s="2">
        <v>0</v>
      </c>
    </row>
    <row r="875" spans="1:43" x14ac:dyDescent="0.25">
      <c r="A875" s="1">
        <v>45922</v>
      </c>
      <c r="B875" t="s">
        <v>47</v>
      </c>
      <c r="C875">
        <v>649163</v>
      </c>
      <c r="D875">
        <v>2030600738</v>
      </c>
      <c r="E875" t="s">
        <v>288</v>
      </c>
      <c r="F875" t="s">
        <v>289</v>
      </c>
      <c r="G875" t="s">
        <v>50</v>
      </c>
      <c r="H875" t="s">
        <v>115</v>
      </c>
      <c r="I875" t="s">
        <v>243</v>
      </c>
      <c r="J875" t="s">
        <v>244</v>
      </c>
      <c r="K875">
        <v>882919</v>
      </c>
      <c r="L875" t="s">
        <v>290</v>
      </c>
      <c r="M875" t="s">
        <v>291</v>
      </c>
      <c r="N875" t="s">
        <v>1112</v>
      </c>
      <c r="O875" t="s">
        <v>56</v>
      </c>
      <c r="P875" s="1">
        <v>45894</v>
      </c>
      <c r="Q875" s="1">
        <v>45955</v>
      </c>
      <c r="R875" s="2">
        <v>15</v>
      </c>
      <c r="S875">
        <v>1</v>
      </c>
      <c r="T875" t="s">
        <v>57</v>
      </c>
      <c r="U875" t="s">
        <v>58</v>
      </c>
      <c r="V875" s="4">
        <v>0.28999999999999998</v>
      </c>
      <c r="W875" s="2">
        <v>0</v>
      </c>
      <c r="X875">
        <v>0</v>
      </c>
      <c r="Y875" t="s">
        <v>70</v>
      </c>
      <c r="Z875" t="s">
        <v>60</v>
      </c>
      <c r="AA875">
        <v>0</v>
      </c>
      <c r="AB875" s="2">
        <v>0</v>
      </c>
      <c r="AC875" s="2">
        <v>0</v>
      </c>
      <c r="AD875" s="4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4.3499999999999996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</row>
    <row r="876" spans="1:43" x14ac:dyDescent="0.25">
      <c r="A876" s="1">
        <v>45922</v>
      </c>
      <c r="B876" t="s">
        <v>47</v>
      </c>
      <c r="C876">
        <v>649163</v>
      </c>
      <c r="D876">
        <v>2030600737</v>
      </c>
      <c r="E876" t="s">
        <v>288</v>
      </c>
      <c r="F876" t="s">
        <v>289</v>
      </c>
      <c r="G876" t="s">
        <v>50</v>
      </c>
      <c r="H876" t="s">
        <v>115</v>
      </c>
      <c r="I876" t="s">
        <v>569</v>
      </c>
      <c r="J876" t="s">
        <v>571</v>
      </c>
      <c r="K876">
        <v>882919</v>
      </c>
      <c r="L876" t="s">
        <v>290</v>
      </c>
      <c r="M876" t="s">
        <v>291</v>
      </c>
      <c r="N876" t="s">
        <v>1112</v>
      </c>
      <c r="O876" t="s">
        <v>56</v>
      </c>
      <c r="P876" s="1">
        <v>45894</v>
      </c>
      <c r="Q876" s="1">
        <v>45955</v>
      </c>
      <c r="R876" s="2">
        <v>89.62</v>
      </c>
      <c r="S876">
        <v>1</v>
      </c>
      <c r="T876" t="s">
        <v>57</v>
      </c>
      <c r="U876" t="s">
        <v>58</v>
      </c>
      <c r="V876" s="4">
        <v>0.28999999999999998</v>
      </c>
      <c r="W876" s="2">
        <v>0</v>
      </c>
      <c r="X876">
        <v>0</v>
      </c>
      <c r="Y876" t="s">
        <v>70</v>
      </c>
      <c r="Z876" t="s">
        <v>60</v>
      </c>
      <c r="AA876">
        <v>0</v>
      </c>
      <c r="AB876" s="2">
        <v>0</v>
      </c>
      <c r="AC876" s="2">
        <v>0</v>
      </c>
      <c r="AD876" s="4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25.99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570C5-C4F9-480C-AF4D-C5724BDCF6E0}">
  <dimension ref="A1:BA844"/>
  <sheetViews>
    <sheetView topLeftCell="A31" zoomScaleNormal="100" workbookViewId="0">
      <selection activeCell="E66" sqref="E66"/>
    </sheetView>
  </sheetViews>
  <sheetFormatPr defaultRowHeight="15" x14ac:dyDescent="0.25"/>
  <cols>
    <col min="1" max="1" width="11" bestFit="1" customWidth="1"/>
    <col min="2" max="2" width="9" customWidth="1"/>
    <col min="3" max="3" width="8.85546875" customWidth="1"/>
    <col min="4" max="4" width="22.5703125" customWidth="1"/>
    <col min="5" max="5" width="32.7109375" customWidth="1"/>
    <col min="6" max="6" width="15" bestFit="1" customWidth="1"/>
    <col min="7" max="7" width="19.140625" customWidth="1"/>
    <col min="8" max="8" width="12.140625" bestFit="1" customWidth="1"/>
    <col min="9" max="9" width="14.85546875" customWidth="1"/>
    <col min="10" max="10" width="17.85546875" customWidth="1"/>
    <col min="11" max="11" width="15.85546875" bestFit="1" customWidth="1"/>
    <col min="12" max="12" width="7.28515625" bestFit="1" customWidth="1"/>
    <col min="13" max="14" width="7.28515625" customWidth="1"/>
    <col min="15" max="15" width="11.140625" bestFit="1" customWidth="1"/>
    <col min="16" max="16" width="11.140625" style="15" customWidth="1"/>
    <col min="17" max="17" width="12.85546875" bestFit="1" customWidth="1"/>
    <col min="18" max="18" width="19" bestFit="1" customWidth="1"/>
    <col min="19" max="19" width="20.85546875" bestFit="1" customWidth="1"/>
  </cols>
  <sheetData>
    <row r="1" spans="1:53" x14ac:dyDescent="0.25">
      <c r="A1" t="s">
        <v>3</v>
      </c>
      <c r="B1" t="s">
        <v>4</v>
      </c>
      <c r="C1" t="s">
        <v>5</v>
      </c>
      <c r="E1" t="s">
        <v>9</v>
      </c>
      <c r="F1" t="s">
        <v>10</v>
      </c>
      <c r="G1" t="s">
        <v>1074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O1" t="s">
        <v>20</v>
      </c>
      <c r="Q1" t="s">
        <v>36</v>
      </c>
      <c r="R1" t="s">
        <v>37</v>
      </c>
      <c r="S1" t="s">
        <v>38</v>
      </c>
    </row>
    <row r="2" spans="1:53" x14ac:dyDescent="0.25">
      <c r="A2" s="6">
        <v>2027010993</v>
      </c>
      <c r="B2" s="6" t="s">
        <v>154</v>
      </c>
      <c r="C2" s="6" t="s">
        <v>155</v>
      </c>
      <c r="D2" s="6" t="str">
        <f t="shared" ref="D2:D65" si="0">CONCATENATE(C2, " ",B2)</f>
        <v>KURT JOHNSON</v>
      </c>
      <c r="E2" s="6" t="s">
        <v>447</v>
      </c>
      <c r="F2" s="6">
        <v>16865615</v>
      </c>
      <c r="G2" s="6" t="s">
        <v>1107</v>
      </c>
      <c r="H2" s="6" t="s">
        <v>56</v>
      </c>
      <c r="I2" s="5">
        <v>45697</v>
      </c>
      <c r="J2" s="5">
        <v>45939</v>
      </c>
      <c r="K2" s="7">
        <v>6.3</v>
      </c>
      <c r="L2" s="6">
        <f t="shared" ref="L2:L65" si="1">DATEDIF(I2,J2,"M")</f>
        <v>8</v>
      </c>
      <c r="M2" s="6" t="s">
        <v>59</v>
      </c>
      <c r="N2" s="6" t="s">
        <v>1148</v>
      </c>
      <c r="O2" s="9">
        <v>0.7</v>
      </c>
      <c r="P2" s="16">
        <f t="shared" ref="P2:P65" si="2">K2*O2</f>
        <v>4.4099999999999993</v>
      </c>
      <c r="Q2" s="7">
        <v>0</v>
      </c>
      <c r="R2" s="7">
        <v>4.41</v>
      </c>
      <c r="S2" s="7">
        <v>4.41</v>
      </c>
      <c r="T2" s="6" t="s">
        <v>447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:53" s="6" customFormat="1" x14ac:dyDescent="0.25">
      <c r="A3" s="6">
        <v>2026295210</v>
      </c>
      <c r="B3" s="6" t="s">
        <v>144</v>
      </c>
      <c r="C3" s="6" t="s">
        <v>145</v>
      </c>
      <c r="D3" s="6" t="str">
        <f t="shared" si="0"/>
        <v>CHARLES RANDALL</v>
      </c>
      <c r="E3" s="6" t="s">
        <v>447</v>
      </c>
      <c r="F3" s="6">
        <v>16865615</v>
      </c>
      <c r="G3" s="6" t="s">
        <v>1107</v>
      </c>
      <c r="H3" s="6" t="s">
        <v>56</v>
      </c>
      <c r="I3" s="5">
        <v>45650</v>
      </c>
      <c r="J3" s="5">
        <v>45954</v>
      </c>
      <c r="K3" s="7">
        <v>14.65</v>
      </c>
      <c r="L3" s="6">
        <f t="shared" si="1"/>
        <v>10</v>
      </c>
      <c r="M3" s="6" t="s">
        <v>59</v>
      </c>
      <c r="N3" s="6" t="s">
        <v>1148</v>
      </c>
      <c r="O3" s="9">
        <v>0.7</v>
      </c>
      <c r="P3" s="16">
        <f t="shared" si="2"/>
        <v>10.254999999999999</v>
      </c>
      <c r="Q3" s="7">
        <v>0</v>
      </c>
      <c r="R3" s="7">
        <v>10.26</v>
      </c>
      <c r="S3" s="7">
        <v>10.26</v>
      </c>
      <c r="T3" s="6" t="s">
        <v>447</v>
      </c>
    </row>
    <row r="4" spans="1:53" s="6" customFormat="1" x14ac:dyDescent="0.25">
      <c r="A4" s="6">
        <v>2026262567</v>
      </c>
      <c r="B4" s="6" t="s">
        <v>139</v>
      </c>
      <c r="C4" s="6" t="s">
        <v>140</v>
      </c>
      <c r="D4" s="6" t="str">
        <f t="shared" si="0"/>
        <v>ESTEBAN RIZO</v>
      </c>
      <c r="E4" s="6" t="s">
        <v>447</v>
      </c>
      <c r="F4" s="6">
        <v>16865615</v>
      </c>
      <c r="G4" s="6" t="s">
        <v>1107</v>
      </c>
      <c r="H4" s="6" t="s">
        <v>56</v>
      </c>
      <c r="I4" s="5">
        <v>45647</v>
      </c>
      <c r="J4" s="5">
        <v>45951</v>
      </c>
      <c r="K4" s="7">
        <v>6.3</v>
      </c>
      <c r="L4" s="6">
        <f t="shared" si="1"/>
        <v>10</v>
      </c>
      <c r="M4" s="6" t="s">
        <v>59</v>
      </c>
      <c r="N4" s="6" t="s">
        <v>1148</v>
      </c>
      <c r="O4" s="9">
        <v>0.7</v>
      </c>
      <c r="P4" s="16">
        <f t="shared" si="2"/>
        <v>4.4099999999999993</v>
      </c>
      <c r="Q4" s="7">
        <v>0</v>
      </c>
      <c r="R4" s="7">
        <v>4.41</v>
      </c>
      <c r="S4" s="7">
        <v>4.41</v>
      </c>
      <c r="T4" s="6" t="s">
        <v>447</v>
      </c>
    </row>
    <row r="5" spans="1:53" s="6" customFormat="1" x14ac:dyDescent="0.25">
      <c r="A5">
        <v>2030488870</v>
      </c>
      <c r="B5" t="s">
        <v>699</v>
      </c>
      <c r="C5" t="s">
        <v>698</v>
      </c>
      <c r="D5" s="6" t="str">
        <f t="shared" si="0"/>
        <v>KAI BARNES</v>
      </c>
      <c r="E5" t="s">
        <v>545</v>
      </c>
      <c r="F5">
        <v>5442438</v>
      </c>
      <c r="G5" t="s">
        <v>1077</v>
      </c>
      <c r="H5" t="s">
        <v>56</v>
      </c>
      <c r="I5" s="1">
        <v>45884</v>
      </c>
      <c r="J5" s="1">
        <v>45945</v>
      </c>
      <c r="K5" s="2">
        <v>24.61</v>
      </c>
      <c r="L5">
        <f t="shared" si="1"/>
        <v>2</v>
      </c>
      <c r="M5" t="s">
        <v>59</v>
      </c>
      <c r="N5" t="s">
        <v>1148</v>
      </c>
      <c r="O5" s="4">
        <v>0.7</v>
      </c>
      <c r="P5" s="16">
        <f t="shared" si="2"/>
        <v>17.226999999999997</v>
      </c>
      <c r="Q5" s="2">
        <v>17.23</v>
      </c>
      <c r="R5" s="2">
        <v>0</v>
      </c>
      <c r="S5" s="2">
        <v>0</v>
      </c>
      <c r="T5" t="s">
        <v>447</v>
      </c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</row>
    <row r="6" spans="1:53" s="6" customFormat="1" x14ac:dyDescent="0.25">
      <c r="A6">
        <v>2030450005</v>
      </c>
      <c r="B6" t="s">
        <v>713</v>
      </c>
      <c r="C6" t="s">
        <v>712</v>
      </c>
      <c r="D6" s="6" t="str">
        <f t="shared" si="0"/>
        <v>URSULA EDELENBOS</v>
      </c>
      <c r="E6" t="s">
        <v>545</v>
      </c>
      <c r="F6">
        <v>5442438</v>
      </c>
      <c r="G6" t="s">
        <v>1077</v>
      </c>
      <c r="H6" t="s">
        <v>56</v>
      </c>
      <c r="I6" s="1">
        <v>45888</v>
      </c>
      <c r="J6" s="1">
        <v>45949</v>
      </c>
      <c r="K6" s="2">
        <v>24.61</v>
      </c>
      <c r="L6">
        <f t="shared" si="1"/>
        <v>2</v>
      </c>
      <c r="M6" t="s">
        <v>59</v>
      </c>
      <c r="N6" t="s">
        <v>1148</v>
      </c>
      <c r="O6" s="4">
        <v>0.7</v>
      </c>
      <c r="P6" s="16">
        <f t="shared" si="2"/>
        <v>17.226999999999997</v>
      </c>
      <c r="Q6" s="2">
        <v>17.23</v>
      </c>
      <c r="R6" s="2">
        <v>0</v>
      </c>
      <c r="S6" s="2">
        <v>0</v>
      </c>
      <c r="T6" t="s">
        <v>447</v>
      </c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</row>
    <row r="7" spans="1:53" s="6" customFormat="1" x14ac:dyDescent="0.25">
      <c r="A7">
        <v>2030454170</v>
      </c>
      <c r="B7" t="s">
        <v>711</v>
      </c>
      <c r="C7" t="s">
        <v>123</v>
      </c>
      <c r="D7" s="6" t="str">
        <f t="shared" si="0"/>
        <v>THOMAS GEHRING</v>
      </c>
      <c r="E7" t="s">
        <v>545</v>
      </c>
      <c r="F7">
        <v>5442438</v>
      </c>
      <c r="G7" t="s">
        <v>1077</v>
      </c>
      <c r="H7" t="s">
        <v>56</v>
      </c>
      <c r="I7" s="1">
        <v>45883</v>
      </c>
      <c r="J7" s="1">
        <v>45944</v>
      </c>
      <c r="K7" s="2">
        <v>24.61</v>
      </c>
      <c r="L7">
        <f t="shared" si="1"/>
        <v>2</v>
      </c>
      <c r="M7" t="s">
        <v>59</v>
      </c>
      <c r="N7" t="s">
        <v>1148</v>
      </c>
      <c r="O7" s="4">
        <v>0.7</v>
      </c>
      <c r="P7" s="16">
        <f t="shared" si="2"/>
        <v>17.226999999999997</v>
      </c>
      <c r="Q7" s="2">
        <v>17.23</v>
      </c>
      <c r="R7" s="2">
        <v>0</v>
      </c>
      <c r="S7" s="2">
        <v>0</v>
      </c>
      <c r="T7" t="s">
        <v>447</v>
      </c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</row>
    <row r="8" spans="1:53" s="6" customFormat="1" x14ac:dyDescent="0.25">
      <c r="A8">
        <v>2030463472</v>
      </c>
      <c r="B8" t="s">
        <v>228</v>
      </c>
      <c r="C8" t="s">
        <v>229</v>
      </c>
      <c r="D8" s="6" t="str">
        <f t="shared" si="0"/>
        <v>THUHA GIANG</v>
      </c>
      <c r="E8" t="s">
        <v>545</v>
      </c>
      <c r="F8">
        <v>5442438</v>
      </c>
      <c r="G8" t="s">
        <v>1077</v>
      </c>
      <c r="H8" t="s">
        <v>56</v>
      </c>
      <c r="I8" s="1">
        <v>45885</v>
      </c>
      <c r="J8" s="1">
        <v>45946</v>
      </c>
      <c r="K8" s="2">
        <v>55.58</v>
      </c>
      <c r="L8">
        <f t="shared" si="1"/>
        <v>2</v>
      </c>
      <c r="M8" t="s">
        <v>59</v>
      </c>
      <c r="N8" t="s">
        <v>1148</v>
      </c>
      <c r="O8" s="4">
        <v>0.7</v>
      </c>
      <c r="P8" s="16">
        <f t="shared" si="2"/>
        <v>38.905999999999999</v>
      </c>
      <c r="Q8" s="2">
        <v>38.909999999999997</v>
      </c>
      <c r="R8" s="2">
        <v>0</v>
      </c>
      <c r="S8" s="2">
        <v>0</v>
      </c>
      <c r="T8" t="s">
        <v>447</v>
      </c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</row>
    <row r="9" spans="1:53" s="6" customFormat="1" x14ac:dyDescent="0.25">
      <c r="A9">
        <v>2030463472</v>
      </c>
      <c r="B9" t="s">
        <v>228</v>
      </c>
      <c r="C9" t="s">
        <v>229</v>
      </c>
      <c r="D9" s="6" t="str">
        <f t="shared" si="0"/>
        <v>THUHA GIANG</v>
      </c>
      <c r="E9" t="s">
        <v>545</v>
      </c>
      <c r="F9">
        <v>5442438</v>
      </c>
      <c r="G9" t="s">
        <v>1077</v>
      </c>
      <c r="H9" t="s">
        <v>230</v>
      </c>
      <c r="I9" s="1">
        <v>45885</v>
      </c>
      <c r="J9" s="1">
        <v>45946</v>
      </c>
      <c r="K9" s="2">
        <v>-55.58</v>
      </c>
      <c r="L9">
        <f t="shared" si="1"/>
        <v>2</v>
      </c>
      <c r="M9" t="s">
        <v>59</v>
      </c>
      <c r="N9" t="s">
        <v>1148</v>
      </c>
      <c r="O9" s="4">
        <v>0.7</v>
      </c>
      <c r="P9" s="16">
        <f t="shared" si="2"/>
        <v>-38.905999999999999</v>
      </c>
      <c r="Q9" s="2">
        <v>0</v>
      </c>
      <c r="R9" s="2">
        <v>-38.909999999999997</v>
      </c>
      <c r="S9" s="2">
        <v>-38.909999999999997</v>
      </c>
      <c r="T9" t="s">
        <v>447</v>
      </c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</row>
    <row r="10" spans="1:53" s="6" customFormat="1" x14ac:dyDescent="0.25">
      <c r="A10">
        <v>2030463472</v>
      </c>
      <c r="B10" t="s">
        <v>228</v>
      </c>
      <c r="C10" t="s">
        <v>229</v>
      </c>
      <c r="D10" s="6" t="str">
        <f t="shared" si="0"/>
        <v>THUHA GIANG</v>
      </c>
      <c r="E10" t="s">
        <v>545</v>
      </c>
      <c r="F10">
        <v>5442438</v>
      </c>
      <c r="G10" t="s">
        <v>1077</v>
      </c>
      <c r="H10" t="s">
        <v>230</v>
      </c>
      <c r="I10" s="1">
        <v>45885</v>
      </c>
      <c r="J10" s="1">
        <v>45946</v>
      </c>
      <c r="K10" s="2">
        <v>-55.58</v>
      </c>
      <c r="L10">
        <f t="shared" si="1"/>
        <v>2</v>
      </c>
      <c r="M10" t="s">
        <v>59</v>
      </c>
      <c r="N10" t="s">
        <v>1148</v>
      </c>
      <c r="O10" s="4">
        <v>0.7</v>
      </c>
      <c r="P10" s="16">
        <f t="shared" si="2"/>
        <v>-38.905999999999999</v>
      </c>
      <c r="Q10" s="2">
        <v>0</v>
      </c>
      <c r="R10" s="2">
        <v>-38.909999999999997</v>
      </c>
      <c r="S10" s="2">
        <v>-38.909999999999997</v>
      </c>
      <c r="T10" t="s">
        <v>447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</row>
    <row r="11" spans="1:53" s="6" customFormat="1" x14ac:dyDescent="0.25">
      <c r="A11">
        <v>2030501935</v>
      </c>
      <c r="B11" t="s">
        <v>697</v>
      </c>
      <c r="C11" t="s">
        <v>277</v>
      </c>
      <c r="D11" s="6" t="str">
        <f t="shared" si="0"/>
        <v>JAMES LEWIS</v>
      </c>
      <c r="E11" t="s">
        <v>545</v>
      </c>
      <c r="F11">
        <v>9079571</v>
      </c>
      <c r="G11" t="s">
        <v>1092</v>
      </c>
      <c r="H11" t="s">
        <v>56</v>
      </c>
      <c r="I11" s="1">
        <v>45884</v>
      </c>
      <c r="J11" s="1">
        <v>45945</v>
      </c>
      <c r="K11" s="2">
        <v>24.61</v>
      </c>
      <c r="L11">
        <f t="shared" si="1"/>
        <v>2</v>
      </c>
      <c r="M11" t="s">
        <v>59</v>
      </c>
      <c r="N11" t="s">
        <v>1148</v>
      </c>
      <c r="O11" s="4">
        <v>0.7</v>
      </c>
      <c r="P11" s="16">
        <f t="shared" si="2"/>
        <v>17.226999999999997</v>
      </c>
      <c r="Q11" s="2">
        <v>17.23</v>
      </c>
      <c r="R11" s="2">
        <v>0</v>
      </c>
      <c r="S11" s="2">
        <v>0</v>
      </c>
      <c r="T11" t="s">
        <v>447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</row>
    <row r="12" spans="1:53" s="6" customFormat="1" x14ac:dyDescent="0.25">
      <c r="A12">
        <v>2029980506</v>
      </c>
      <c r="B12" t="s">
        <v>205</v>
      </c>
      <c r="C12" t="s">
        <v>206</v>
      </c>
      <c r="D12" s="6" t="str">
        <f t="shared" si="0"/>
        <v>STALLKAMP RHONDA</v>
      </c>
      <c r="E12" t="s">
        <v>447</v>
      </c>
      <c r="F12">
        <v>8977234</v>
      </c>
      <c r="G12" t="s">
        <v>1078</v>
      </c>
      <c r="H12" t="s">
        <v>56</v>
      </c>
      <c r="I12" s="1">
        <v>45884</v>
      </c>
      <c r="J12" s="1">
        <v>45945</v>
      </c>
      <c r="K12" s="2">
        <v>21.44</v>
      </c>
      <c r="L12">
        <f t="shared" si="1"/>
        <v>2</v>
      </c>
      <c r="M12" t="s">
        <v>59</v>
      </c>
      <c r="N12" t="s">
        <v>1148</v>
      </c>
      <c r="O12" s="4">
        <v>0.7</v>
      </c>
      <c r="P12" s="16">
        <f t="shared" si="2"/>
        <v>15.007999999999999</v>
      </c>
      <c r="Q12" s="2">
        <v>15.01</v>
      </c>
      <c r="R12" s="2">
        <v>0</v>
      </c>
      <c r="S12" s="2">
        <v>0</v>
      </c>
      <c r="T12" t="s">
        <v>447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</row>
    <row r="13" spans="1:53" s="6" customFormat="1" x14ac:dyDescent="0.25">
      <c r="A13">
        <v>2030567353</v>
      </c>
      <c r="B13" t="s">
        <v>104</v>
      </c>
      <c r="C13" t="s">
        <v>231</v>
      </c>
      <c r="D13" s="6" t="str">
        <f t="shared" si="0"/>
        <v>YOUNG STEVEN</v>
      </c>
      <c r="E13" t="s">
        <v>447</v>
      </c>
      <c r="F13">
        <v>5442438</v>
      </c>
      <c r="G13" t="s">
        <v>1077</v>
      </c>
      <c r="H13" t="s">
        <v>56</v>
      </c>
      <c r="I13" s="1">
        <v>45892</v>
      </c>
      <c r="J13" s="1">
        <v>45953</v>
      </c>
      <c r="K13" s="2">
        <v>24.61</v>
      </c>
      <c r="L13">
        <f t="shared" si="1"/>
        <v>2</v>
      </c>
      <c r="M13" t="s">
        <v>59</v>
      </c>
      <c r="N13" t="s">
        <v>1148</v>
      </c>
      <c r="O13" s="4">
        <v>0.7</v>
      </c>
      <c r="P13" s="16">
        <f t="shared" si="2"/>
        <v>17.226999999999997</v>
      </c>
      <c r="Q13" s="2">
        <v>17.23</v>
      </c>
      <c r="R13" s="2">
        <v>0</v>
      </c>
      <c r="S13" s="2">
        <v>0</v>
      </c>
      <c r="T13" t="s">
        <v>447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</row>
    <row r="14" spans="1:53" s="6" customFormat="1" x14ac:dyDescent="0.25">
      <c r="A14">
        <v>2030315873</v>
      </c>
      <c r="B14" t="s">
        <v>224</v>
      </c>
      <c r="C14" t="s">
        <v>225</v>
      </c>
      <c r="D14" s="6" t="str">
        <f t="shared" si="0"/>
        <v>MORRIS WILMER</v>
      </c>
      <c r="E14" t="s">
        <v>447</v>
      </c>
      <c r="F14">
        <v>5442438</v>
      </c>
      <c r="G14" t="s">
        <v>1077</v>
      </c>
      <c r="H14" t="s">
        <v>56</v>
      </c>
      <c r="I14" s="1">
        <v>45890</v>
      </c>
      <c r="J14" s="1">
        <v>45951</v>
      </c>
      <c r="K14" s="2">
        <v>24.61</v>
      </c>
      <c r="L14">
        <f t="shared" si="1"/>
        <v>2</v>
      </c>
      <c r="M14" t="s">
        <v>59</v>
      </c>
      <c r="N14" t="s">
        <v>1148</v>
      </c>
      <c r="O14" s="4">
        <v>0.7</v>
      </c>
      <c r="P14" s="16">
        <f t="shared" si="2"/>
        <v>17.226999999999997</v>
      </c>
      <c r="Q14" s="2">
        <v>17.23</v>
      </c>
      <c r="R14" s="2">
        <v>0</v>
      </c>
      <c r="S14" s="2">
        <v>0</v>
      </c>
      <c r="T14" t="s">
        <v>447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</row>
    <row r="15" spans="1:53" s="6" customFormat="1" x14ac:dyDescent="0.25">
      <c r="A15">
        <v>2029894140</v>
      </c>
      <c r="B15" t="s">
        <v>923</v>
      </c>
      <c r="C15" t="s">
        <v>74</v>
      </c>
      <c r="D15" s="6" t="str">
        <f t="shared" si="0"/>
        <v>CAROL BALLA</v>
      </c>
      <c r="E15" t="s">
        <v>545</v>
      </c>
      <c r="F15">
        <v>8977234</v>
      </c>
      <c r="G15" t="s">
        <v>1078</v>
      </c>
      <c r="H15" t="s">
        <v>56</v>
      </c>
      <c r="I15" s="1">
        <v>45852</v>
      </c>
      <c r="J15" s="1">
        <v>45944</v>
      </c>
      <c r="K15" s="2">
        <v>23.39</v>
      </c>
      <c r="L15">
        <f t="shared" si="1"/>
        <v>3</v>
      </c>
      <c r="M15" t="s">
        <v>59</v>
      </c>
      <c r="N15" t="s">
        <v>1148</v>
      </c>
      <c r="O15" s="4">
        <v>0.7</v>
      </c>
      <c r="P15" s="16">
        <f t="shared" si="2"/>
        <v>16.373000000000001</v>
      </c>
      <c r="Q15" s="2">
        <v>16.37</v>
      </c>
      <c r="R15" s="2">
        <v>0</v>
      </c>
      <c r="S15" s="2">
        <v>0</v>
      </c>
      <c r="T15" t="s">
        <v>447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</row>
    <row r="16" spans="1:53" s="6" customFormat="1" x14ac:dyDescent="0.25">
      <c r="A16">
        <v>2029737099</v>
      </c>
      <c r="B16" t="s">
        <v>927</v>
      </c>
      <c r="C16" t="s">
        <v>630</v>
      </c>
      <c r="D16" s="6" t="str">
        <f t="shared" si="0"/>
        <v>CHRISTOPHER FEEMSTER</v>
      </c>
      <c r="E16" t="s">
        <v>545</v>
      </c>
      <c r="F16">
        <v>5442438</v>
      </c>
      <c r="G16" t="s">
        <v>1077</v>
      </c>
      <c r="H16" t="s">
        <v>56</v>
      </c>
      <c r="I16" s="1">
        <v>45856</v>
      </c>
      <c r="J16" s="1">
        <v>45948</v>
      </c>
      <c r="K16" s="2">
        <v>24.61</v>
      </c>
      <c r="L16">
        <f t="shared" si="1"/>
        <v>3</v>
      </c>
      <c r="M16" t="s">
        <v>59</v>
      </c>
      <c r="N16" t="s">
        <v>1148</v>
      </c>
      <c r="O16" s="4">
        <v>0.7</v>
      </c>
      <c r="P16" s="16">
        <f t="shared" si="2"/>
        <v>17.226999999999997</v>
      </c>
      <c r="Q16" s="2">
        <v>17.23</v>
      </c>
      <c r="R16" s="2">
        <v>0</v>
      </c>
      <c r="S16" s="2">
        <v>0</v>
      </c>
      <c r="T16" t="s">
        <v>447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</row>
    <row r="17" spans="1:53" s="6" customFormat="1" x14ac:dyDescent="0.25">
      <c r="A17">
        <v>2029995394</v>
      </c>
      <c r="B17" t="s">
        <v>651</v>
      </c>
      <c r="C17" t="s">
        <v>179</v>
      </c>
      <c r="D17" s="6" t="str">
        <f t="shared" si="0"/>
        <v>TIMOTHY LOVING</v>
      </c>
      <c r="E17" t="s">
        <v>545</v>
      </c>
      <c r="F17">
        <v>21605264</v>
      </c>
      <c r="G17" t="s">
        <v>1135</v>
      </c>
      <c r="H17" t="s">
        <v>56</v>
      </c>
      <c r="I17" s="1">
        <v>45855</v>
      </c>
      <c r="J17" s="1">
        <v>45947</v>
      </c>
      <c r="K17" s="2">
        <v>25.73</v>
      </c>
      <c r="L17">
        <f t="shared" si="1"/>
        <v>3</v>
      </c>
      <c r="M17" t="s">
        <v>59</v>
      </c>
      <c r="N17" t="s">
        <v>1148</v>
      </c>
      <c r="O17" s="4">
        <v>0.7</v>
      </c>
      <c r="P17" s="16">
        <f t="shared" si="2"/>
        <v>18.010999999999999</v>
      </c>
      <c r="Q17" s="2">
        <v>18.010000000000002</v>
      </c>
      <c r="R17" s="2">
        <v>0</v>
      </c>
      <c r="S17" s="2">
        <v>0</v>
      </c>
      <c r="T17" t="s">
        <v>447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</row>
    <row r="18" spans="1:53" s="6" customFormat="1" x14ac:dyDescent="0.25">
      <c r="A18">
        <v>2029967974</v>
      </c>
      <c r="B18" t="s">
        <v>910</v>
      </c>
      <c r="C18" t="s">
        <v>909</v>
      </c>
      <c r="D18" s="6" t="str">
        <f t="shared" si="0"/>
        <v>SEMAB QURESHI</v>
      </c>
      <c r="E18" t="s">
        <v>545</v>
      </c>
      <c r="F18">
        <v>5442438</v>
      </c>
      <c r="G18" t="s">
        <v>1077</v>
      </c>
      <c r="H18" t="s">
        <v>56</v>
      </c>
      <c r="I18" s="1">
        <v>45854</v>
      </c>
      <c r="J18" s="1">
        <v>45946</v>
      </c>
      <c r="K18" s="2">
        <v>24.61</v>
      </c>
      <c r="L18">
        <f t="shared" si="1"/>
        <v>3</v>
      </c>
      <c r="M18" t="s">
        <v>59</v>
      </c>
      <c r="N18" t="s">
        <v>1148</v>
      </c>
      <c r="O18" s="4">
        <v>0.7</v>
      </c>
      <c r="P18" s="16">
        <f t="shared" si="2"/>
        <v>17.226999999999997</v>
      </c>
      <c r="Q18" s="2">
        <v>17.23</v>
      </c>
      <c r="R18" s="2">
        <v>0</v>
      </c>
      <c r="S18" s="2">
        <v>0</v>
      </c>
      <c r="T18" t="s">
        <v>447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</row>
    <row r="19" spans="1:53" s="6" customFormat="1" x14ac:dyDescent="0.25">
      <c r="A19">
        <v>2030079840</v>
      </c>
      <c r="B19" t="s">
        <v>212</v>
      </c>
      <c r="C19" t="s">
        <v>213</v>
      </c>
      <c r="D19" s="6" t="str">
        <f t="shared" si="0"/>
        <v>MESEROLL STEPHANIE</v>
      </c>
      <c r="E19" t="s">
        <v>447</v>
      </c>
      <c r="F19">
        <v>5442438</v>
      </c>
      <c r="G19" t="s">
        <v>1077</v>
      </c>
      <c r="H19" t="s">
        <v>56</v>
      </c>
      <c r="I19" s="1">
        <v>45861</v>
      </c>
      <c r="J19" s="1">
        <v>45953</v>
      </c>
      <c r="K19" s="2">
        <v>24.61</v>
      </c>
      <c r="L19">
        <f t="shared" si="1"/>
        <v>3</v>
      </c>
      <c r="M19" t="s">
        <v>59</v>
      </c>
      <c r="N19" t="s">
        <v>1148</v>
      </c>
      <c r="O19" s="4">
        <v>0.7</v>
      </c>
      <c r="P19" s="16">
        <f t="shared" si="2"/>
        <v>17.226999999999997</v>
      </c>
      <c r="Q19" s="2">
        <v>17.23</v>
      </c>
      <c r="R19" s="2">
        <v>0</v>
      </c>
      <c r="S19" s="2">
        <v>0</v>
      </c>
      <c r="T19" t="s">
        <v>447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</row>
    <row r="20" spans="1:53" s="6" customFormat="1" x14ac:dyDescent="0.25">
      <c r="A20">
        <v>2028840699</v>
      </c>
      <c r="B20" t="s">
        <v>622</v>
      </c>
      <c r="C20" t="s">
        <v>163</v>
      </c>
      <c r="D20" s="6" t="str">
        <f t="shared" si="0"/>
        <v>JORDAN HOLSENDOLPH</v>
      </c>
      <c r="E20" t="s">
        <v>545</v>
      </c>
      <c r="F20">
        <v>8977234</v>
      </c>
      <c r="G20" t="s">
        <v>1078</v>
      </c>
      <c r="H20" t="s">
        <v>230</v>
      </c>
      <c r="I20" s="1">
        <v>45809</v>
      </c>
      <c r="J20" s="1">
        <v>45931</v>
      </c>
      <c r="K20" s="2">
        <v>-17.149999999999999</v>
      </c>
      <c r="L20">
        <f t="shared" si="1"/>
        <v>4</v>
      </c>
      <c r="M20" t="s">
        <v>59</v>
      </c>
      <c r="N20" t="s">
        <v>1148</v>
      </c>
      <c r="O20" s="4">
        <v>0.7</v>
      </c>
      <c r="P20" s="16">
        <f t="shared" si="2"/>
        <v>-12.004999999999999</v>
      </c>
      <c r="Q20" s="2">
        <v>0</v>
      </c>
      <c r="R20" s="2">
        <v>-12</v>
      </c>
      <c r="S20" s="2">
        <v>-12</v>
      </c>
      <c r="T20" t="s">
        <v>447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</row>
    <row r="21" spans="1:53" s="6" customFormat="1" x14ac:dyDescent="0.25">
      <c r="A21">
        <v>2028338806</v>
      </c>
      <c r="B21" t="s">
        <v>872</v>
      </c>
      <c r="C21" t="s">
        <v>349</v>
      </c>
      <c r="D21" s="6" t="str">
        <f t="shared" si="0"/>
        <v>DAVID BITTERMAN</v>
      </c>
      <c r="E21" t="s">
        <v>545</v>
      </c>
      <c r="F21">
        <v>8977234</v>
      </c>
      <c r="G21" t="s">
        <v>1078</v>
      </c>
      <c r="H21" t="s">
        <v>56</v>
      </c>
      <c r="I21" s="1">
        <v>45778</v>
      </c>
      <c r="J21" s="1">
        <v>45931</v>
      </c>
      <c r="K21" s="2">
        <v>25.73</v>
      </c>
      <c r="L21">
        <f t="shared" si="1"/>
        <v>5</v>
      </c>
      <c r="M21" t="s">
        <v>59</v>
      </c>
      <c r="N21" t="s">
        <v>1148</v>
      </c>
      <c r="O21" s="4">
        <v>0.7</v>
      </c>
      <c r="P21" s="16">
        <f t="shared" si="2"/>
        <v>18.010999999999999</v>
      </c>
      <c r="Q21" s="2">
        <v>0</v>
      </c>
      <c r="R21" s="2">
        <v>18.010000000000002</v>
      </c>
      <c r="S21" s="2">
        <v>18.010000000000002</v>
      </c>
      <c r="T21" t="s">
        <v>447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</row>
    <row r="22" spans="1:53" s="6" customFormat="1" x14ac:dyDescent="0.25">
      <c r="A22">
        <v>2029078148</v>
      </c>
      <c r="B22" t="s">
        <v>510</v>
      </c>
      <c r="C22" t="s">
        <v>511</v>
      </c>
      <c r="D22" s="6" t="str">
        <f t="shared" si="0"/>
        <v>LOUCINDA KRESGE</v>
      </c>
      <c r="E22" t="s">
        <v>447</v>
      </c>
      <c r="F22">
        <v>19279958</v>
      </c>
      <c r="G22" t="s">
        <v>1100</v>
      </c>
      <c r="H22" t="s">
        <v>56</v>
      </c>
      <c r="I22" s="1">
        <v>45800</v>
      </c>
      <c r="J22" s="1">
        <v>45953</v>
      </c>
      <c r="K22" s="2">
        <v>25.73</v>
      </c>
      <c r="L22">
        <f t="shared" si="1"/>
        <v>5</v>
      </c>
      <c r="M22" t="s">
        <v>59</v>
      </c>
      <c r="N22" t="s">
        <v>1148</v>
      </c>
      <c r="O22" s="4">
        <v>0.7</v>
      </c>
      <c r="P22" s="16">
        <f t="shared" si="2"/>
        <v>18.010999999999999</v>
      </c>
      <c r="Q22" s="2">
        <v>18.010000000000002</v>
      </c>
      <c r="R22" s="2">
        <v>0</v>
      </c>
      <c r="S22" s="2">
        <v>0</v>
      </c>
      <c r="T22" t="s">
        <v>447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</row>
    <row r="23" spans="1:53" s="6" customFormat="1" x14ac:dyDescent="0.25">
      <c r="A23">
        <v>2027642346</v>
      </c>
      <c r="B23" t="s">
        <v>162</v>
      </c>
      <c r="C23" t="s">
        <v>163</v>
      </c>
      <c r="D23" s="6" t="str">
        <f t="shared" si="0"/>
        <v>JORDAN PERSON</v>
      </c>
      <c r="E23" t="s">
        <v>447</v>
      </c>
      <c r="F23">
        <v>8307933</v>
      </c>
      <c r="G23" t="s">
        <v>1098</v>
      </c>
      <c r="H23" t="s">
        <v>56</v>
      </c>
      <c r="I23" s="1">
        <v>45754</v>
      </c>
      <c r="J23" s="1">
        <v>45937</v>
      </c>
      <c r="K23" s="2">
        <v>21.44</v>
      </c>
      <c r="L23">
        <f t="shared" si="1"/>
        <v>6</v>
      </c>
      <c r="M23" t="s">
        <v>59</v>
      </c>
      <c r="N23" t="s">
        <v>1148</v>
      </c>
      <c r="O23" s="4">
        <v>0.7</v>
      </c>
      <c r="P23" s="16">
        <f t="shared" si="2"/>
        <v>15.007999999999999</v>
      </c>
      <c r="Q23" s="2">
        <v>0</v>
      </c>
      <c r="R23" s="2">
        <v>15.01</v>
      </c>
      <c r="S23" s="2">
        <v>15.01</v>
      </c>
      <c r="T23" t="s">
        <v>447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</row>
    <row r="24" spans="1:53" s="6" customFormat="1" x14ac:dyDescent="0.25">
      <c r="A24">
        <v>2028488145</v>
      </c>
      <c r="B24" t="s">
        <v>780</v>
      </c>
      <c r="C24" t="s">
        <v>779</v>
      </c>
      <c r="D24" s="6" t="str">
        <f t="shared" si="0"/>
        <v>CHELSEA REITENBACH</v>
      </c>
      <c r="E24" t="s">
        <v>545</v>
      </c>
      <c r="F24">
        <v>18781057</v>
      </c>
      <c r="G24" t="s">
        <v>1089</v>
      </c>
      <c r="H24" t="s">
        <v>56</v>
      </c>
      <c r="I24" s="1">
        <v>45766</v>
      </c>
      <c r="J24" s="1">
        <v>45949</v>
      </c>
      <c r="K24" s="2">
        <v>51.46</v>
      </c>
      <c r="L24">
        <f t="shared" si="1"/>
        <v>6</v>
      </c>
      <c r="M24" t="s">
        <v>59</v>
      </c>
      <c r="N24" t="s">
        <v>1148</v>
      </c>
      <c r="O24" s="4">
        <v>0.7</v>
      </c>
      <c r="P24" s="16">
        <f t="shared" si="2"/>
        <v>36.021999999999998</v>
      </c>
      <c r="Q24" s="2">
        <v>0</v>
      </c>
      <c r="R24" s="2">
        <v>36.020000000000003</v>
      </c>
      <c r="S24" s="2">
        <v>36.020000000000003</v>
      </c>
      <c r="T24" t="s">
        <v>447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</row>
    <row r="25" spans="1:53" s="6" customFormat="1" x14ac:dyDescent="0.25">
      <c r="A25">
        <v>2027825906</v>
      </c>
      <c r="B25" t="s">
        <v>684</v>
      </c>
      <c r="C25" t="s">
        <v>978</v>
      </c>
      <c r="D25" s="6" t="str">
        <f t="shared" si="0"/>
        <v>JAX GARRETT</v>
      </c>
      <c r="E25" t="s">
        <v>545</v>
      </c>
      <c r="F25">
        <v>8977234</v>
      </c>
      <c r="G25" t="s">
        <v>1078</v>
      </c>
      <c r="H25" t="s">
        <v>56</v>
      </c>
      <c r="I25" s="1">
        <v>45731</v>
      </c>
      <c r="J25" s="1">
        <v>45945</v>
      </c>
      <c r="K25" s="2">
        <v>25.73</v>
      </c>
      <c r="L25">
        <f t="shared" si="1"/>
        <v>7</v>
      </c>
      <c r="M25" t="s">
        <v>59</v>
      </c>
      <c r="N25" t="s">
        <v>1148</v>
      </c>
      <c r="O25" s="4">
        <v>0.7</v>
      </c>
      <c r="P25" s="16">
        <f t="shared" si="2"/>
        <v>18.010999999999999</v>
      </c>
      <c r="Q25" s="2">
        <v>0</v>
      </c>
      <c r="R25" s="2">
        <v>18.010000000000002</v>
      </c>
      <c r="S25" s="2">
        <v>18.010000000000002</v>
      </c>
      <c r="T25" t="s">
        <v>447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</row>
    <row r="26" spans="1:53" s="6" customFormat="1" x14ac:dyDescent="0.25">
      <c r="A26">
        <v>2027258065</v>
      </c>
      <c r="B26" t="s">
        <v>160</v>
      </c>
      <c r="C26" t="s">
        <v>161</v>
      </c>
      <c r="D26" s="6" t="str">
        <f t="shared" si="0"/>
        <v>VIVIANA BUSH</v>
      </c>
      <c r="E26" t="s">
        <v>447</v>
      </c>
      <c r="F26">
        <v>8977234</v>
      </c>
      <c r="G26" t="s">
        <v>1078</v>
      </c>
      <c r="H26" t="s">
        <v>56</v>
      </c>
      <c r="I26" s="1">
        <v>45710</v>
      </c>
      <c r="J26" s="1">
        <v>45952</v>
      </c>
      <c r="K26" s="2">
        <v>25.73</v>
      </c>
      <c r="L26">
        <f t="shared" si="1"/>
        <v>8</v>
      </c>
      <c r="M26" t="s">
        <v>59</v>
      </c>
      <c r="N26" t="s">
        <v>1148</v>
      </c>
      <c r="O26" s="4">
        <v>0.7</v>
      </c>
      <c r="P26" s="16">
        <f t="shared" si="2"/>
        <v>18.010999999999999</v>
      </c>
      <c r="Q26" s="2">
        <v>0</v>
      </c>
      <c r="R26" s="2">
        <v>18.010000000000002</v>
      </c>
      <c r="S26" s="2">
        <v>18.010000000000002</v>
      </c>
      <c r="T26" t="s">
        <v>447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</row>
    <row r="27" spans="1:53" s="6" customFormat="1" x14ac:dyDescent="0.25">
      <c r="A27">
        <v>2026783377</v>
      </c>
      <c r="B27" t="s">
        <v>149</v>
      </c>
      <c r="C27" t="s">
        <v>150</v>
      </c>
      <c r="D27" s="6" t="str">
        <f t="shared" si="0"/>
        <v>MARK CERRETANI</v>
      </c>
      <c r="E27" t="s">
        <v>447</v>
      </c>
      <c r="F27">
        <v>8977234</v>
      </c>
      <c r="G27" t="s">
        <v>1078</v>
      </c>
      <c r="H27" t="s">
        <v>56</v>
      </c>
      <c r="I27" s="1">
        <v>45709</v>
      </c>
      <c r="J27" s="1">
        <v>45951</v>
      </c>
      <c r="K27" s="2">
        <v>25.73</v>
      </c>
      <c r="L27">
        <f t="shared" si="1"/>
        <v>8</v>
      </c>
      <c r="M27" t="s">
        <v>59</v>
      </c>
      <c r="N27" t="s">
        <v>1148</v>
      </c>
      <c r="O27" s="4">
        <v>0.7</v>
      </c>
      <c r="P27" s="16">
        <f t="shared" si="2"/>
        <v>18.010999999999999</v>
      </c>
      <c r="Q27" s="2">
        <v>0</v>
      </c>
      <c r="R27" s="2">
        <v>18.010000000000002</v>
      </c>
      <c r="S27" s="2">
        <v>18.010000000000002</v>
      </c>
      <c r="T27" t="s">
        <v>447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</row>
    <row r="28" spans="1:53" s="6" customFormat="1" x14ac:dyDescent="0.25">
      <c r="A28">
        <v>2026421758</v>
      </c>
      <c r="B28" t="s">
        <v>277</v>
      </c>
      <c r="C28" t="s">
        <v>347</v>
      </c>
      <c r="D28" s="6" t="str">
        <f t="shared" si="0"/>
        <v>BETTY JAMES</v>
      </c>
      <c r="E28" t="s">
        <v>447</v>
      </c>
      <c r="F28">
        <v>8977234</v>
      </c>
      <c r="G28" t="s">
        <v>1078</v>
      </c>
      <c r="H28" t="s">
        <v>56</v>
      </c>
      <c r="I28" s="1">
        <v>45689</v>
      </c>
      <c r="J28" s="1">
        <v>45931</v>
      </c>
      <c r="K28" s="2">
        <v>-12.01</v>
      </c>
      <c r="L28">
        <f t="shared" si="1"/>
        <v>8</v>
      </c>
      <c r="M28" t="s">
        <v>59</v>
      </c>
      <c r="N28" t="s">
        <v>1148</v>
      </c>
      <c r="O28" s="4">
        <v>0.7</v>
      </c>
      <c r="P28" s="16">
        <f t="shared" si="2"/>
        <v>-8.407</v>
      </c>
      <c r="Q28" s="2">
        <v>0</v>
      </c>
      <c r="R28" s="2">
        <v>-8.41</v>
      </c>
      <c r="S28" s="2">
        <v>-8.41</v>
      </c>
      <c r="T28" t="s">
        <v>447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</row>
    <row r="29" spans="1:53" s="6" customFormat="1" x14ac:dyDescent="0.25">
      <c r="A29">
        <v>2026603378</v>
      </c>
      <c r="B29" t="s">
        <v>433</v>
      </c>
      <c r="C29" t="s">
        <v>434</v>
      </c>
      <c r="D29" s="6" t="str">
        <f t="shared" si="0"/>
        <v>VALERIE COAD-THOMAS</v>
      </c>
      <c r="E29" t="s">
        <v>447</v>
      </c>
      <c r="F29">
        <v>18781057</v>
      </c>
      <c r="G29" t="s">
        <v>1089</v>
      </c>
      <c r="H29" t="s">
        <v>56</v>
      </c>
      <c r="I29" s="1">
        <v>45673</v>
      </c>
      <c r="J29" s="1">
        <v>45946</v>
      </c>
      <c r="K29" s="2">
        <v>25.73</v>
      </c>
      <c r="L29">
        <f t="shared" si="1"/>
        <v>9</v>
      </c>
      <c r="M29" t="s">
        <v>59</v>
      </c>
      <c r="N29" t="s">
        <v>1148</v>
      </c>
      <c r="O29" s="4">
        <v>0.7</v>
      </c>
      <c r="P29" s="16">
        <f t="shared" si="2"/>
        <v>18.010999999999999</v>
      </c>
      <c r="Q29" s="2">
        <v>0</v>
      </c>
      <c r="R29" s="2">
        <v>18.010000000000002</v>
      </c>
      <c r="S29" s="2">
        <v>18.010000000000002</v>
      </c>
      <c r="T29" t="s">
        <v>447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</row>
    <row r="30" spans="1:53" s="6" customFormat="1" x14ac:dyDescent="0.25">
      <c r="A30">
        <v>2026586621</v>
      </c>
      <c r="B30" t="s">
        <v>786</v>
      </c>
      <c r="C30" t="s">
        <v>337</v>
      </c>
      <c r="D30" s="6" t="str">
        <f t="shared" si="0"/>
        <v>ALEXANDRA STOCKTON</v>
      </c>
      <c r="E30" t="s">
        <v>545</v>
      </c>
      <c r="F30">
        <v>19279958</v>
      </c>
      <c r="G30" t="s">
        <v>1100</v>
      </c>
      <c r="H30" t="s">
        <v>56</v>
      </c>
      <c r="I30" s="1">
        <v>45672</v>
      </c>
      <c r="J30" s="1">
        <v>45945</v>
      </c>
      <c r="K30" s="2">
        <v>25.73</v>
      </c>
      <c r="L30">
        <f t="shared" si="1"/>
        <v>9</v>
      </c>
      <c r="M30" t="s">
        <v>59</v>
      </c>
      <c r="N30" t="s">
        <v>1148</v>
      </c>
      <c r="O30" s="4">
        <v>0.7</v>
      </c>
      <c r="P30" s="16">
        <f t="shared" si="2"/>
        <v>18.010999999999999</v>
      </c>
      <c r="Q30" s="2">
        <v>0</v>
      </c>
      <c r="R30" s="2">
        <v>18.010000000000002</v>
      </c>
      <c r="S30" s="2">
        <v>18.010000000000002</v>
      </c>
      <c r="T30" t="s">
        <v>447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</row>
    <row r="31" spans="1:53" s="6" customFormat="1" x14ac:dyDescent="0.25">
      <c r="A31">
        <v>2025850684</v>
      </c>
      <c r="B31" t="s">
        <v>556</v>
      </c>
      <c r="C31" t="s">
        <v>791</v>
      </c>
      <c r="D31" s="6" t="str">
        <f t="shared" si="0"/>
        <v>WANIETA TAYLOR</v>
      </c>
      <c r="E31" t="s">
        <v>545</v>
      </c>
      <c r="F31">
        <v>8977234</v>
      </c>
      <c r="G31" t="s">
        <v>1078</v>
      </c>
      <c r="H31" t="s">
        <v>56</v>
      </c>
      <c r="I31" s="1">
        <v>45658</v>
      </c>
      <c r="J31" s="1">
        <v>45931</v>
      </c>
      <c r="K31" s="2">
        <v>25.73</v>
      </c>
      <c r="L31">
        <f t="shared" si="1"/>
        <v>9</v>
      </c>
      <c r="M31" t="s">
        <v>59</v>
      </c>
      <c r="N31" t="s">
        <v>1148</v>
      </c>
      <c r="O31" s="4">
        <v>0.7</v>
      </c>
      <c r="P31" s="16">
        <f t="shared" si="2"/>
        <v>18.010999999999999</v>
      </c>
      <c r="Q31" s="2">
        <v>0</v>
      </c>
      <c r="R31" s="2">
        <v>18.010000000000002</v>
      </c>
      <c r="S31" s="2">
        <v>18.010000000000002</v>
      </c>
      <c r="T31" t="s">
        <v>447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</row>
    <row r="32" spans="1:53" s="6" customFormat="1" x14ac:dyDescent="0.25">
      <c r="A32">
        <v>2026594774</v>
      </c>
      <c r="B32" t="s">
        <v>348</v>
      </c>
      <c r="C32" t="s">
        <v>349</v>
      </c>
      <c r="D32" s="6" t="str">
        <f t="shared" si="0"/>
        <v>DAVID ZAHURANCE</v>
      </c>
      <c r="E32" t="s">
        <v>447</v>
      </c>
      <c r="F32">
        <v>8977234</v>
      </c>
      <c r="G32" t="s">
        <v>1078</v>
      </c>
      <c r="H32" t="s">
        <v>56</v>
      </c>
      <c r="I32" s="1">
        <v>45678</v>
      </c>
      <c r="J32" s="1">
        <v>45951</v>
      </c>
      <c r="K32" s="2">
        <v>25.73</v>
      </c>
      <c r="L32">
        <f t="shared" si="1"/>
        <v>9</v>
      </c>
      <c r="M32" t="s">
        <v>59</v>
      </c>
      <c r="N32" t="s">
        <v>1148</v>
      </c>
      <c r="O32" s="4">
        <v>0.7</v>
      </c>
      <c r="P32" s="16">
        <f t="shared" si="2"/>
        <v>18.010999999999999</v>
      </c>
      <c r="Q32" s="2">
        <v>0</v>
      </c>
      <c r="R32" s="2">
        <v>18.010000000000002</v>
      </c>
      <c r="S32" s="2">
        <v>18.010000000000002</v>
      </c>
      <c r="T32" t="s">
        <v>447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</row>
    <row r="33" spans="1:53" s="6" customFormat="1" x14ac:dyDescent="0.25">
      <c r="A33">
        <v>2025785647</v>
      </c>
      <c r="B33" t="s">
        <v>1016</v>
      </c>
      <c r="C33" t="s">
        <v>1015</v>
      </c>
      <c r="D33" s="6" t="str">
        <f t="shared" si="0"/>
        <v>KEITH RODECK</v>
      </c>
      <c r="E33" t="s">
        <v>545</v>
      </c>
      <c r="F33">
        <v>8977234</v>
      </c>
      <c r="G33" t="s">
        <v>1078</v>
      </c>
      <c r="H33" t="s">
        <v>56</v>
      </c>
      <c r="I33" s="1">
        <v>45612</v>
      </c>
      <c r="J33" s="1">
        <v>45946</v>
      </c>
      <c r="K33" s="2">
        <v>51.46</v>
      </c>
      <c r="L33">
        <f t="shared" si="1"/>
        <v>11</v>
      </c>
      <c r="M33" t="s">
        <v>59</v>
      </c>
      <c r="N33" t="s">
        <v>1148</v>
      </c>
      <c r="O33" s="4">
        <v>0.7</v>
      </c>
      <c r="P33" s="16">
        <f t="shared" si="2"/>
        <v>36.021999999999998</v>
      </c>
      <c r="Q33" s="2">
        <v>0</v>
      </c>
      <c r="R33" s="2">
        <v>36.020000000000003</v>
      </c>
      <c r="S33" s="2">
        <v>36.020000000000003</v>
      </c>
      <c r="T33" t="s">
        <v>447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</row>
    <row r="34" spans="1:53" s="6" customFormat="1" x14ac:dyDescent="0.25">
      <c r="A34">
        <v>2024425644</v>
      </c>
      <c r="B34" t="s">
        <v>735</v>
      </c>
      <c r="C34" t="s">
        <v>346</v>
      </c>
      <c r="D34" s="6" t="str">
        <f t="shared" si="0"/>
        <v>JACQUELINE FARTHING</v>
      </c>
      <c r="E34" t="s">
        <v>545</v>
      </c>
      <c r="F34">
        <v>8977234</v>
      </c>
      <c r="G34" t="s">
        <v>1078</v>
      </c>
      <c r="H34" t="s">
        <v>56</v>
      </c>
      <c r="I34" s="1">
        <v>45521</v>
      </c>
      <c r="J34" s="1">
        <v>45947</v>
      </c>
      <c r="K34" s="2">
        <v>8.3699999999999992</v>
      </c>
      <c r="L34">
        <f t="shared" si="1"/>
        <v>14</v>
      </c>
      <c r="M34" t="s">
        <v>59</v>
      </c>
      <c r="N34" t="s">
        <v>1148</v>
      </c>
      <c r="O34" s="4">
        <v>0.15</v>
      </c>
      <c r="P34" s="16">
        <f t="shared" si="2"/>
        <v>1.2554999999999998</v>
      </c>
      <c r="Q34" s="2">
        <v>0</v>
      </c>
      <c r="R34" s="2">
        <v>1.26</v>
      </c>
      <c r="S34" s="2">
        <v>1.26</v>
      </c>
      <c r="T34" t="s">
        <v>447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</row>
    <row r="35" spans="1:53" s="6" customFormat="1" x14ac:dyDescent="0.25">
      <c r="A35">
        <v>2021939084</v>
      </c>
      <c r="B35" t="s">
        <v>453</v>
      </c>
      <c r="C35" t="s">
        <v>454</v>
      </c>
      <c r="D35" s="6" t="str">
        <f t="shared" si="0"/>
        <v>CORINNE DITTLINGER</v>
      </c>
      <c r="E35" t="s">
        <v>447</v>
      </c>
      <c r="F35">
        <v>8977234</v>
      </c>
      <c r="G35" t="s">
        <v>1078</v>
      </c>
      <c r="H35" t="s">
        <v>56</v>
      </c>
      <c r="I35" s="1">
        <v>45346</v>
      </c>
      <c r="J35" s="1">
        <v>45954</v>
      </c>
      <c r="K35" s="2">
        <v>8.3699999999999992</v>
      </c>
      <c r="L35">
        <f t="shared" si="1"/>
        <v>20</v>
      </c>
      <c r="M35" t="s">
        <v>59</v>
      </c>
      <c r="N35" t="s">
        <v>1148</v>
      </c>
      <c r="O35" s="4">
        <v>0.15</v>
      </c>
      <c r="P35" s="16">
        <f t="shared" si="2"/>
        <v>1.2554999999999998</v>
      </c>
      <c r="Q35" s="2">
        <v>0</v>
      </c>
      <c r="R35" s="2">
        <v>1.26</v>
      </c>
      <c r="S35" s="2">
        <v>1.26</v>
      </c>
      <c r="T35" t="s">
        <v>447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</row>
    <row r="36" spans="1:53" s="6" customFormat="1" x14ac:dyDescent="0.25">
      <c r="A36">
        <v>2020780791</v>
      </c>
      <c r="B36" t="s">
        <v>746</v>
      </c>
      <c r="C36" t="s">
        <v>745</v>
      </c>
      <c r="D36" s="6" t="str">
        <f t="shared" si="0"/>
        <v>VACILIKI RESS</v>
      </c>
      <c r="E36" t="s">
        <v>545</v>
      </c>
      <c r="F36">
        <v>8307933</v>
      </c>
      <c r="G36" t="s">
        <v>1098</v>
      </c>
      <c r="H36" t="s">
        <v>56</v>
      </c>
      <c r="I36" s="1">
        <v>45245</v>
      </c>
      <c r="J36" s="1">
        <v>45945</v>
      </c>
      <c r="K36" s="2">
        <v>25.73</v>
      </c>
      <c r="L36">
        <f t="shared" si="1"/>
        <v>23</v>
      </c>
      <c r="M36" t="s">
        <v>59</v>
      </c>
      <c r="N36" t="s">
        <v>1148</v>
      </c>
      <c r="O36" s="4">
        <v>0.15</v>
      </c>
      <c r="P36" s="16">
        <f t="shared" si="2"/>
        <v>3.8594999999999997</v>
      </c>
      <c r="Q36" s="2">
        <v>0</v>
      </c>
      <c r="R36" s="2">
        <v>3.86</v>
      </c>
      <c r="S36" s="2">
        <v>3.86</v>
      </c>
      <c r="T36" t="s">
        <v>447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</row>
    <row r="37" spans="1:53" s="6" customFormat="1" x14ac:dyDescent="0.25">
      <c r="A37">
        <v>2020174612</v>
      </c>
      <c r="B37" t="s">
        <v>748</v>
      </c>
      <c r="C37" t="s">
        <v>747</v>
      </c>
      <c r="D37" s="6" t="str">
        <f t="shared" si="0"/>
        <v>DENISE JEROUSEK</v>
      </c>
      <c r="E37" t="s">
        <v>545</v>
      </c>
      <c r="F37">
        <v>9079571</v>
      </c>
      <c r="G37" t="s">
        <v>1092</v>
      </c>
      <c r="H37" t="s">
        <v>56</v>
      </c>
      <c r="I37" s="1">
        <v>45214</v>
      </c>
      <c r="J37" s="1">
        <v>45945</v>
      </c>
      <c r="K37" s="2">
        <v>24.61</v>
      </c>
      <c r="L37">
        <f t="shared" si="1"/>
        <v>24</v>
      </c>
      <c r="M37" t="s">
        <v>59</v>
      </c>
      <c r="N37" t="s">
        <v>1148</v>
      </c>
      <c r="O37" s="4">
        <v>0.15</v>
      </c>
      <c r="P37" s="16">
        <f t="shared" si="2"/>
        <v>3.6914999999999996</v>
      </c>
      <c r="Q37" s="2">
        <v>0</v>
      </c>
      <c r="R37" s="2">
        <v>3.69</v>
      </c>
      <c r="S37" s="2">
        <v>3.69</v>
      </c>
      <c r="T37" t="s">
        <v>447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</row>
    <row r="38" spans="1:53" s="6" customFormat="1" x14ac:dyDescent="0.25">
      <c r="A38">
        <v>2019665208</v>
      </c>
      <c r="B38" t="s">
        <v>312</v>
      </c>
      <c r="C38" t="s">
        <v>313</v>
      </c>
      <c r="D38" s="6" t="str">
        <f t="shared" si="0"/>
        <v>ALAN CLARK</v>
      </c>
      <c r="E38" t="s">
        <v>447</v>
      </c>
      <c r="F38">
        <v>8977234</v>
      </c>
      <c r="G38" t="s">
        <v>1078</v>
      </c>
      <c r="H38" t="s">
        <v>56</v>
      </c>
      <c r="I38" s="1">
        <v>45192</v>
      </c>
      <c r="J38" s="1">
        <v>45953</v>
      </c>
      <c r="K38" s="2">
        <v>8.3699999999999992</v>
      </c>
      <c r="L38">
        <f t="shared" si="1"/>
        <v>25</v>
      </c>
      <c r="M38" t="s">
        <v>59</v>
      </c>
      <c r="N38" t="s">
        <v>1148</v>
      </c>
      <c r="O38" s="4">
        <v>0.15</v>
      </c>
      <c r="P38" s="16">
        <f t="shared" si="2"/>
        <v>1.2554999999999998</v>
      </c>
      <c r="Q38" s="2">
        <v>0</v>
      </c>
      <c r="R38" s="2">
        <v>1.26</v>
      </c>
      <c r="S38" s="2">
        <v>1.26</v>
      </c>
      <c r="T38" t="s">
        <v>447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</row>
    <row r="39" spans="1:53" s="6" customFormat="1" x14ac:dyDescent="0.25">
      <c r="A39">
        <v>2019768188</v>
      </c>
      <c r="B39" t="s">
        <v>749</v>
      </c>
      <c r="C39" t="s">
        <v>368</v>
      </c>
      <c r="D39" s="6" t="str">
        <f t="shared" si="0"/>
        <v>LISA BERNHARD</v>
      </c>
      <c r="E39" t="s">
        <v>545</v>
      </c>
      <c r="F39">
        <v>8977234</v>
      </c>
      <c r="G39" t="s">
        <v>1078</v>
      </c>
      <c r="H39" t="s">
        <v>56</v>
      </c>
      <c r="I39" s="1">
        <v>45157</v>
      </c>
      <c r="J39" s="1">
        <v>45949</v>
      </c>
      <c r="K39" s="2">
        <v>10.54</v>
      </c>
      <c r="L39">
        <f t="shared" si="1"/>
        <v>26</v>
      </c>
      <c r="M39" t="s">
        <v>59</v>
      </c>
      <c r="N39" t="s">
        <v>1148</v>
      </c>
      <c r="O39" s="4">
        <v>0.15</v>
      </c>
      <c r="P39" s="16">
        <f t="shared" si="2"/>
        <v>1.5809999999999997</v>
      </c>
      <c r="Q39" s="2">
        <v>0</v>
      </c>
      <c r="R39" s="2">
        <v>1.58</v>
      </c>
      <c r="S39" s="2">
        <v>1.58</v>
      </c>
      <c r="T39" t="s">
        <v>447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</row>
    <row r="40" spans="1:53" s="6" customFormat="1" x14ac:dyDescent="0.25">
      <c r="A40">
        <v>2018582688</v>
      </c>
      <c r="B40" t="s">
        <v>452</v>
      </c>
      <c r="C40" t="s">
        <v>179</v>
      </c>
      <c r="D40" s="6" t="str">
        <f t="shared" si="0"/>
        <v>TIMOTHY WOLFZORN</v>
      </c>
      <c r="E40" t="s">
        <v>447</v>
      </c>
      <c r="F40">
        <v>8977234</v>
      </c>
      <c r="G40" t="s">
        <v>1078</v>
      </c>
      <c r="H40" t="s">
        <v>56</v>
      </c>
      <c r="I40" s="1">
        <v>45096</v>
      </c>
      <c r="J40" s="1">
        <v>45949</v>
      </c>
      <c r="K40" s="2">
        <v>51.46</v>
      </c>
      <c r="L40">
        <f t="shared" si="1"/>
        <v>28</v>
      </c>
      <c r="M40" t="s">
        <v>59</v>
      </c>
      <c r="N40" t="s">
        <v>1148</v>
      </c>
      <c r="O40" s="4">
        <v>0.15</v>
      </c>
      <c r="P40" s="16">
        <f t="shared" si="2"/>
        <v>7.7189999999999994</v>
      </c>
      <c r="Q40" s="2">
        <v>0</v>
      </c>
      <c r="R40" s="2">
        <v>7.72</v>
      </c>
      <c r="S40" s="2">
        <v>7.72</v>
      </c>
      <c r="T40" t="s">
        <v>447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</row>
    <row r="41" spans="1:53" s="6" customFormat="1" x14ac:dyDescent="0.25">
      <c r="A41">
        <v>2018417445</v>
      </c>
      <c r="B41" t="s">
        <v>110</v>
      </c>
      <c r="C41" t="s">
        <v>111</v>
      </c>
      <c r="D41" s="6" t="str">
        <f t="shared" si="0"/>
        <v>AUSTIN BENNETT</v>
      </c>
      <c r="E41" t="s">
        <v>447</v>
      </c>
      <c r="F41">
        <v>8307933</v>
      </c>
      <c r="G41" t="s">
        <v>1098</v>
      </c>
      <c r="H41" t="s">
        <v>56</v>
      </c>
      <c r="I41" s="1">
        <v>45037</v>
      </c>
      <c r="J41" s="1">
        <v>45951</v>
      </c>
      <c r="K41" s="2">
        <v>25.73</v>
      </c>
      <c r="L41">
        <f t="shared" si="1"/>
        <v>30</v>
      </c>
      <c r="M41" t="s">
        <v>59</v>
      </c>
      <c r="N41" t="s">
        <v>1148</v>
      </c>
      <c r="O41" s="4">
        <v>0.15</v>
      </c>
      <c r="P41" s="16">
        <f t="shared" si="2"/>
        <v>3.8594999999999997</v>
      </c>
      <c r="Q41" s="2">
        <v>0</v>
      </c>
      <c r="R41" s="2">
        <v>3.86</v>
      </c>
      <c r="S41" s="2">
        <v>3.86</v>
      </c>
      <c r="T41" t="s">
        <v>447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</row>
    <row r="42" spans="1:53" s="6" customFormat="1" x14ac:dyDescent="0.25">
      <c r="A42">
        <v>2017683724</v>
      </c>
      <c r="B42" t="s">
        <v>755</v>
      </c>
      <c r="C42" t="s">
        <v>754</v>
      </c>
      <c r="D42" s="6" t="str">
        <f t="shared" si="0"/>
        <v>ARTHUR CARLSON</v>
      </c>
      <c r="E42" t="s">
        <v>545</v>
      </c>
      <c r="F42">
        <v>20436896</v>
      </c>
      <c r="G42" t="s">
        <v>1120</v>
      </c>
      <c r="H42" t="s">
        <v>56</v>
      </c>
      <c r="I42" s="1">
        <v>44974</v>
      </c>
      <c r="J42" s="1">
        <v>45947</v>
      </c>
      <c r="K42" s="2">
        <v>25.73</v>
      </c>
      <c r="L42">
        <f t="shared" si="1"/>
        <v>32</v>
      </c>
      <c r="M42" t="s">
        <v>59</v>
      </c>
      <c r="N42" t="s">
        <v>1148</v>
      </c>
      <c r="O42" s="4">
        <v>0.15</v>
      </c>
      <c r="P42" s="16">
        <f t="shared" si="2"/>
        <v>3.8594999999999997</v>
      </c>
      <c r="Q42" s="2">
        <v>0</v>
      </c>
      <c r="R42" s="2">
        <v>3.86</v>
      </c>
      <c r="S42" s="2">
        <v>3.86</v>
      </c>
      <c r="T42" t="s">
        <v>447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</row>
    <row r="43" spans="1:53" s="6" customFormat="1" x14ac:dyDescent="0.25">
      <c r="A43">
        <v>2016853591</v>
      </c>
      <c r="B43" t="s">
        <v>443</v>
      </c>
      <c r="C43" t="s">
        <v>444</v>
      </c>
      <c r="D43" s="6" t="str">
        <f t="shared" si="0"/>
        <v>ROBERT HEARON</v>
      </c>
      <c r="E43" t="s">
        <v>447</v>
      </c>
      <c r="F43">
        <v>20436896</v>
      </c>
      <c r="G43" t="s">
        <v>1120</v>
      </c>
      <c r="H43" t="s">
        <v>56</v>
      </c>
      <c r="I43" s="1">
        <v>44927</v>
      </c>
      <c r="J43" s="1">
        <v>45931</v>
      </c>
      <c r="K43" s="2">
        <v>-12.87</v>
      </c>
      <c r="L43">
        <f t="shared" si="1"/>
        <v>33</v>
      </c>
      <c r="M43" t="s">
        <v>59</v>
      </c>
      <c r="N43" t="s">
        <v>1148</v>
      </c>
      <c r="O43" s="4">
        <v>0.15</v>
      </c>
      <c r="P43" s="16">
        <f t="shared" si="2"/>
        <v>-1.9304999999999999</v>
      </c>
      <c r="Q43" s="2">
        <v>0</v>
      </c>
      <c r="R43" s="2">
        <v>-1.93</v>
      </c>
      <c r="S43" s="2">
        <v>-1.93</v>
      </c>
      <c r="T43" t="s">
        <v>447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</row>
    <row r="44" spans="1:53" s="6" customFormat="1" x14ac:dyDescent="0.25">
      <c r="A44">
        <v>2016819082</v>
      </c>
      <c r="B44" t="s">
        <v>758</v>
      </c>
      <c r="C44" t="s">
        <v>757</v>
      </c>
      <c r="D44" s="6" t="str">
        <f t="shared" si="0"/>
        <v>AMATA BROMUND</v>
      </c>
      <c r="E44" t="s">
        <v>545</v>
      </c>
      <c r="F44">
        <v>20436896</v>
      </c>
      <c r="G44" t="s">
        <v>1120</v>
      </c>
      <c r="H44" t="s">
        <v>56</v>
      </c>
      <c r="I44" s="1">
        <v>44880</v>
      </c>
      <c r="J44" s="1">
        <v>45945</v>
      </c>
      <c r="K44" s="2">
        <v>25.73</v>
      </c>
      <c r="L44">
        <f t="shared" si="1"/>
        <v>35</v>
      </c>
      <c r="M44" t="s">
        <v>59</v>
      </c>
      <c r="N44" t="s">
        <v>1148</v>
      </c>
      <c r="O44" s="4">
        <v>0.15</v>
      </c>
      <c r="P44" s="16">
        <f t="shared" si="2"/>
        <v>3.8594999999999997</v>
      </c>
      <c r="Q44" s="2">
        <v>0</v>
      </c>
      <c r="R44" s="2">
        <v>3.86</v>
      </c>
      <c r="S44" s="2">
        <v>3.86</v>
      </c>
      <c r="T44" t="s">
        <v>447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</row>
    <row r="45" spans="1:53" s="10" customFormat="1" x14ac:dyDescent="0.25">
      <c r="A45" s="10">
        <v>2030583042</v>
      </c>
      <c r="B45" s="10" t="s">
        <v>403</v>
      </c>
      <c r="C45" s="10" t="s">
        <v>404</v>
      </c>
      <c r="D45" s="10" t="str">
        <f t="shared" si="0"/>
        <v>ISBELL KANDICE</v>
      </c>
      <c r="E45" s="10" t="s">
        <v>307</v>
      </c>
      <c r="F45" s="10">
        <v>20411454</v>
      </c>
      <c r="G45" s="10" t="s">
        <v>1152</v>
      </c>
      <c r="H45" s="10" t="s">
        <v>56</v>
      </c>
      <c r="I45" s="11">
        <v>45889</v>
      </c>
      <c r="J45" s="11">
        <v>45950</v>
      </c>
      <c r="K45" s="12">
        <v>11.71</v>
      </c>
      <c r="L45" s="10">
        <f t="shared" si="1"/>
        <v>2</v>
      </c>
      <c r="M45" s="10" t="s">
        <v>59</v>
      </c>
      <c r="N45" s="10" t="s">
        <v>1148</v>
      </c>
      <c r="O45" s="13">
        <v>9.5000000000000001E-2</v>
      </c>
      <c r="P45" s="17">
        <f t="shared" si="2"/>
        <v>1.1124500000000002</v>
      </c>
      <c r="Q45" s="12">
        <v>11.71</v>
      </c>
      <c r="R45" s="12">
        <v>0</v>
      </c>
      <c r="S45" s="12">
        <v>0</v>
      </c>
      <c r="T45" s="10" t="s">
        <v>1151</v>
      </c>
    </row>
    <row r="46" spans="1:53" s="10" customFormat="1" x14ac:dyDescent="0.25">
      <c r="A46" s="10">
        <v>2030583041</v>
      </c>
      <c r="B46" s="10" t="s">
        <v>403</v>
      </c>
      <c r="C46" s="10" t="s">
        <v>404</v>
      </c>
      <c r="D46" s="10" t="str">
        <f t="shared" si="0"/>
        <v>ISBELL KANDICE</v>
      </c>
      <c r="E46" s="10" t="s">
        <v>445</v>
      </c>
      <c r="F46" s="10">
        <v>20411454</v>
      </c>
      <c r="G46" s="10" t="s">
        <v>1152</v>
      </c>
      <c r="H46" s="10" t="s">
        <v>56</v>
      </c>
      <c r="I46" s="11">
        <v>45889</v>
      </c>
      <c r="J46" s="11">
        <v>45950</v>
      </c>
      <c r="K46" s="12">
        <v>3.45</v>
      </c>
      <c r="L46" s="10">
        <f t="shared" si="1"/>
        <v>2</v>
      </c>
      <c r="M46" s="10" t="s">
        <v>59</v>
      </c>
      <c r="N46" s="10" t="s">
        <v>1148</v>
      </c>
      <c r="O46" s="14">
        <v>0.3</v>
      </c>
      <c r="P46" s="17">
        <f t="shared" si="2"/>
        <v>1.0349999999999999</v>
      </c>
      <c r="Q46" s="12">
        <v>3.45</v>
      </c>
      <c r="R46" s="12">
        <v>0</v>
      </c>
      <c r="S46" s="12">
        <v>0</v>
      </c>
      <c r="T46" s="10" t="s">
        <v>1151</v>
      </c>
    </row>
    <row r="47" spans="1:53" s="10" customFormat="1" x14ac:dyDescent="0.25">
      <c r="A47" s="10">
        <v>2029973107</v>
      </c>
      <c r="B47" s="10" t="s">
        <v>826</v>
      </c>
      <c r="C47" s="10" t="s">
        <v>303</v>
      </c>
      <c r="D47" s="10" t="str">
        <f t="shared" si="0"/>
        <v>ADAM OVERSTREET</v>
      </c>
      <c r="E47" s="10" t="s">
        <v>307</v>
      </c>
      <c r="F47" s="10">
        <v>20411454</v>
      </c>
      <c r="G47" s="10" t="s">
        <v>1152</v>
      </c>
      <c r="H47" s="10" t="s">
        <v>56</v>
      </c>
      <c r="I47" s="11">
        <v>45854</v>
      </c>
      <c r="J47" s="11">
        <v>45946</v>
      </c>
      <c r="K47" s="12">
        <v>4.2300000000000004</v>
      </c>
      <c r="L47" s="10">
        <f t="shared" si="1"/>
        <v>3</v>
      </c>
      <c r="M47" s="10" t="s">
        <v>59</v>
      </c>
      <c r="N47" s="10" t="s">
        <v>1148</v>
      </c>
      <c r="O47" s="13">
        <v>9.5000000000000001E-2</v>
      </c>
      <c r="P47" s="17">
        <f t="shared" si="2"/>
        <v>0.40185000000000004</v>
      </c>
      <c r="Q47" s="12">
        <v>4.2300000000000004</v>
      </c>
      <c r="R47" s="12">
        <v>0</v>
      </c>
      <c r="S47" s="12">
        <v>0</v>
      </c>
      <c r="T47" s="10" t="s">
        <v>1151</v>
      </c>
    </row>
    <row r="48" spans="1:53" s="10" customFormat="1" x14ac:dyDescent="0.25">
      <c r="A48" s="10">
        <v>2029973108</v>
      </c>
      <c r="B48" s="10" t="s">
        <v>826</v>
      </c>
      <c r="C48" s="10" t="s">
        <v>303</v>
      </c>
      <c r="D48" s="10" t="str">
        <f t="shared" si="0"/>
        <v>ADAM OVERSTREET</v>
      </c>
      <c r="E48" s="10" t="s">
        <v>445</v>
      </c>
      <c r="F48" s="10">
        <v>20411454</v>
      </c>
      <c r="G48" s="10" t="s">
        <v>1152</v>
      </c>
      <c r="H48" s="10" t="s">
        <v>56</v>
      </c>
      <c r="I48" s="11">
        <v>45854</v>
      </c>
      <c r="J48" s="11">
        <v>45946</v>
      </c>
      <c r="K48" s="12">
        <v>5.7</v>
      </c>
      <c r="L48" s="10">
        <f t="shared" si="1"/>
        <v>3</v>
      </c>
      <c r="M48" s="10" t="s">
        <v>59</v>
      </c>
      <c r="N48" s="10" t="s">
        <v>1148</v>
      </c>
      <c r="O48" s="14">
        <v>0.3</v>
      </c>
      <c r="P48" s="17">
        <f t="shared" si="2"/>
        <v>1.71</v>
      </c>
      <c r="Q48" s="12">
        <v>5.7</v>
      </c>
      <c r="R48" s="12">
        <v>0</v>
      </c>
      <c r="S48" s="12">
        <v>0</v>
      </c>
      <c r="T48" s="10" t="s">
        <v>1151</v>
      </c>
    </row>
    <row r="49" spans="1:20" s="10" customFormat="1" x14ac:dyDescent="0.25">
      <c r="A49" s="10">
        <v>2028942144</v>
      </c>
      <c r="B49" s="10" t="s">
        <v>952</v>
      </c>
      <c r="C49" s="10" t="s">
        <v>951</v>
      </c>
      <c r="D49" s="10" t="str">
        <f t="shared" si="0"/>
        <v>WAYNE PARKER</v>
      </c>
      <c r="E49" s="10" t="s">
        <v>445</v>
      </c>
      <c r="F49" s="10">
        <v>20411454</v>
      </c>
      <c r="G49" s="10" t="s">
        <v>1152</v>
      </c>
      <c r="H49" s="10" t="s">
        <v>56</v>
      </c>
      <c r="I49" s="11">
        <v>45792</v>
      </c>
      <c r="J49" s="11">
        <v>45945</v>
      </c>
      <c r="K49" s="12">
        <v>0</v>
      </c>
      <c r="L49" s="10">
        <f t="shared" si="1"/>
        <v>5</v>
      </c>
      <c r="M49" s="10" t="s">
        <v>59</v>
      </c>
      <c r="N49" s="10" t="s">
        <v>1148</v>
      </c>
      <c r="O49" s="14">
        <v>0.3</v>
      </c>
      <c r="P49" s="17">
        <f t="shared" si="2"/>
        <v>0</v>
      </c>
      <c r="Q49" s="12">
        <v>0</v>
      </c>
      <c r="R49" s="12">
        <v>9.48</v>
      </c>
      <c r="S49" s="12">
        <v>9.48</v>
      </c>
      <c r="T49" s="10" t="s">
        <v>1151</v>
      </c>
    </row>
    <row r="50" spans="1:20" s="10" customFormat="1" x14ac:dyDescent="0.25">
      <c r="A50" s="10">
        <v>2026958695</v>
      </c>
      <c r="B50" s="10" t="s">
        <v>1072</v>
      </c>
      <c r="C50" s="10" t="s">
        <v>789</v>
      </c>
      <c r="D50" s="10" t="str">
        <f t="shared" si="0"/>
        <v>JOSEPH KABEL</v>
      </c>
      <c r="E50" s="10" t="s">
        <v>53</v>
      </c>
      <c r="F50" s="10">
        <v>20411454</v>
      </c>
      <c r="G50" s="10" t="s">
        <v>1152</v>
      </c>
      <c r="H50" s="10" t="s">
        <v>56</v>
      </c>
      <c r="I50" s="11">
        <v>45702</v>
      </c>
      <c r="J50" s="11">
        <v>45944</v>
      </c>
      <c r="K50" s="12">
        <v>10.54</v>
      </c>
      <c r="L50" s="10">
        <f t="shared" si="1"/>
        <v>8</v>
      </c>
      <c r="M50" s="10" t="s">
        <v>59</v>
      </c>
      <c r="N50" s="10" t="s">
        <v>1148</v>
      </c>
      <c r="O50" s="14">
        <v>0.2</v>
      </c>
      <c r="P50" s="17">
        <f t="shared" si="2"/>
        <v>2.1080000000000001</v>
      </c>
      <c r="Q50" s="12">
        <v>10.54</v>
      </c>
      <c r="R50" s="12">
        <v>10.54</v>
      </c>
      <c r="S50" s="12">
        <v>10.54</v>
      </c>
      <c r="T50" s="10" t="s">
        <v>1151</v>
      </c>
    </row>
    <row r="51" spans="1:20" s="6" customFormat="1" x14ac:dyDescent="0.25">
      <c r="A51" s="6">
        <v>2029910877</v>
      </c>
      <c r="B51" s="6" t="s">
        <v>202</v>
      </c>
      <c r="C51" s="6" t="s">
        <v>203</v>
      </c>
      <c r="D51" s="6" t="str">
        <f t="shared" si="0"/>
        <v>DEYANIRA ALMENDAREZ</v>
      </c>
      <c r="E51" s="6" t="s">
        <v>116</v>
      </c>
      <c r="F51" s="6">
        <v>21283956</v>
      </c>
      <c r="G51" s="6" t="s">
        <v>1106</v>
      </c>
      <c r="H51" s="6" t="s">
        <v>56</v>
      </c>
      <c r="I51" s="5">
        <v>45850</v>
      </c>
      <c r="J51" s="5">
        <v>45942</v>
      </c>
      <c r="K51" s="7">
        <v>150.47999999999999</v>
      </c>
      <c r="L51" s="6">
        <f t="shared" si="1"/>
        <v>3</v>
      </c>
      <c r="M51" s="6" t="s">
        <v>59</v>
      </c>
      <c r="N51" s="6" t="s">
        <v>1145</v>
      </c>
      <c r="O51" s="9">
        <v>0.75</v>
      </c>
      <c r="P51" s="16">
        <f t="shared" si="2"/>
        <v>112.85999999999999</v>
      </c>
      <c r="Q51" s="7">
        <v>112.86</v>
      </c>
      <c r="R51" s="7">
        <v>0</v>
      </c>
      <c r="S51" s="7">
        <v>0</v>
      </c>
      <c r="T51" s="6" t="s">
        <v>1141</v>
      </c>
    </row>
    <row r="52" spans="1:20" s="6" customFormat="1" x14ac:dyDescent="0.25">
      <c r="A52" s="6">
        <v>2029910877</v>
      </c>
      <c r="B52" s="6" t="s">
        <v>202</v>
      </c>
      <c r="C52" s="6" t="s">
        <v>203</v>
      </c>
      <c r="D52" s="6" t="str">
        <f t="shared" si="0"/>
        <v>DEYANIRA ALMENDAREZ</v>
      </c>
      <c r="E52" s="6" t="s">
        <v>116</v>
      </c>
      <c r="F52" s="6">
        <v>21283956</v>
      </c>
      <c r="G52" s="6" t="s">
        <v>1106</v>
      </c>
      <c r="H52" s="6" t="s">
        <v>56</v>
      </c>
      <c r="I52" s="5">
        <v>45850</v>
      </c>
      <c r="J52" s="5">
        <v>45942</v>
      </c>
      <c r="K52" s="7">
        <v>-150.47999999999999</v>
      </c>
      <c r="L52" s="6">
        <f t="shared" si="1"/>
        <v>3</v>
      </c>
      <c r="M52" s="6" t="s">
        <v>59</v>
      </c>
      <c r="N52" s="6" t="s">
        <v>1145</v>
      </c>
      <c r="O52" s="9">
        <v>0.75</v>
      </c>
      <c r="P52" s="16">
        <f t="shared" si="2"/>
        <v>-112.85999999999999</v>
      </c>
      <c r="Q52" s="7">
        <v>0</v>
      </c>
      <c r="R52" s="7">
        <v>-112.86</v>
      </c>
      <c r="S52" s="7">
        <v>-112.86</v>
      </c>
      <c r="T52" s="6" t="s">
        <v>1141</v>
      </c>
    </row>
    <row r="53" spans="1:20" s="6" customFormat="1" x14ac:dyDescent="0.25">
      <c r="A53" s="6">
        <v>2029969605</v>
      </c>
      <c r="B53" s="6" t="s">
        <v>831</v>
      </c>
      <c r="C53" s="6" t="s">
        <v>830</v>
      </c>
      <c r="D53" s="6" t="str">
        <f t="shared" si="0"/>
        <v>STEPHEN DUNCAN</v>
      </c>
      <c r="E53" s="6" t="s">
        <v>184</v>
      </c>
      <c r="F53" s="6">
        <v>16865615</v>
      </c>
      <c r="G53" s="6" t="s">
        <v>1107</v>
      </c>
      <c r="H53" s="6" t="s">
        <v>56</v>
      </c>
      <c r="I53" s="5">
        <v>45854</v>
      </c>
      <c r="J53" s="5">
        <v>45946</v>
      </c>
      <c r="K53" s="7">
        <v>52.84</v>
      </c>
      <c r="L53" s="6">
        <f t="shared" si="1"/>
        <v>3</v>
      </c>
      <c r="M53" s="6" t="s">
        <v>59</v>
      </c>
      <c r="N53" s="6" t="s">
        <v>1145</v>
      </c>
      <c r="O53" s="9">
        <v>0.75</v>
      </c>
      <c r="P53" s="16">
        <f t="shared" si="2"/>
        <v>39.630000000000003</v>
      </c>
      <c r="Q53" s="7">
        <v>39.630000000000003</v>
      </c>
      <c r="R53" s="7">
        <v>0</v>
      </c>
      <c r="S53" s="7">
        <v>0</v>
      </c>
      <c r="T53" s="6" t="s">
        <v>1141</v>
      </c>
    </row>
    <row r="54" spans="1:20" s="6" customFormat="1" x14ac:dyDescent="0.25">
      <c r="A54" s="6">
        <v>2030077439</v>
      </c>
      <c r="B54" s="6" t="s">
        <v>207</v>
      </c>
      <c r="C54" s="6" t="s">
        <v>208</v>
      </c>
      <c r="D54" s="6" t="str">
        <f t="shared" si="0"/>
        <v>BLACK TONYA</v>
      </c>
      <c r="E54" s="6" t="s">
        <v>184</v>
      </c>
      <c r="F54" s="6">
        <v>18201929</v>
      </c>
      <c r="G54" s="6" t="s">
        <v>1081</v>
      </c>
      <c r="H54" s="6" t="s">
        <v>56</v>
      </c>
      <c r="I54" s="5">
        <v>45860</v>
      </c>
      <c r="J54" s="5">
        <v>45952</v>
      </c>
      <c r="K54" s="7">
        <v>48.01</v>
      </c>
      <c r="L54" s="6">
        <f t="shared" si="1"/>
        <v>3</v>
      </c>
      <c r="M54" s="6" t="s">
        <v>59</v>
      </c>
      <c r="N54" s="6" t="s">
        <v>1145</v>
      </c>
      <c r="O54" s="9">
        <v>0.75</v>
      </c>
      <c r="P54" s="16">
        <f t="shared" si="2"/>
        <v>36.0075</v>
      </c>
      <c r="Q54" s="7">
        <v>36.01</v>
      </c>
      <c r="R54" s="7">
        <v>0</v>
      </c>
      <c r="S54" s="7">
        <v>0</v>
      </c>
      <c r="T54" s="6" t="s">
        <v>1141</v>
      </c>
    </row>
    <row r="55" spans="1:20" s="6" customFormat="1" x14ac:dyDescent="0.25">
      <c r="A55" s="6">
        <v>2029544667</v>
      </c>
      <c r="B55" s="6" t="s">
        <v>191</v>
      </c>
      <c r="C55" s="6" t="s">
        <v>192</v>
      </c>
      <c r="D55" s="6" t="str">
        <f t="shared" si="0"/>
        <v>GUY HEBERLING</v>
      </c>
      <c r="E55" s="6" t="s">
        <v>184</v>
      </c>
      <c r="F55" s="6">
        <v>19681796</v>
      </c>
      <c r="G55" s="6" t="s">
        <v>1118</v>
      </c>
      <c r="H55" s="6" t="s">
        <v>56</v>
      </c>
      <c r="I55" s="5">
        <v>45828</v>
      </c>
      <c r="J55" s="5">
        <v>45950</v>
      </c>
      <c r="K55" s="7">
        <v>76.900000000000006</v>
      </c>
      <c r="L55" s="6">
        <f t="shared" si="1"/>
        <v>4</v>
      </c>
      <c r="M55" s="6" t="s">
        <v>59</v>
      </c>
      <c r="N55" s="6" t="s">
        <v>1145</v>
      </c>
      <c r="O55" s="9">
        <v>0.75</v>
      </c>
      <c r="P55" s="16">
        <f t="shared" si="2"/>
        <v>57.675000000000004</v>
      </c>
      <c r="Q55" s="7">
        <v>57.68</v>
      </c>
      <c r="R55" s="7">
        <v>0</v>
      </c>
      <c r="S55" s="7">
        <v>0</v>
      </c>
      <c r="T55" s="6" t="s">
        <v>1141</v>
      </c>
    </row>
    <row r="56" spans="1:20" s="6" customFormat="1" x14ac:dyDescent="0.25">
      <c r="A56" s="6">
        <v>2028965775</v>
      </c>
      <c r="B56" s="6" t="s">
        <v>137</v>
      </c>
      <c r="C56" s="6" t="s">
        <v>773</v>
      </c>
      <c r="D56" s="6" t="str">
        <f t="shared" si="0"/>
        <v>MELISSA FUENTES</v>
      </c>
      <c r="E56" s="6" t="s">
        <v>184</v>
      </c>
      <c r="F56" s="6">
        <v>21283956</v>
      </c>
      <c r="G56" s="6" t="s">
        <v>1106</v>
      </c>
      <c r="H56" s="6" t="s">
        <v>56</v>
      </c>
      <c r="I56" s="5">
        <v>45793</v>
      </c>
      <c r="J56" s="5">
        <v>45946</v>
      </c>
      <c r="K56" s="7">
        <v>19.3</v>
      </c>
      <c r="L56" s="6">
        <f t="shared" si="1"/>
        <v>5</v>
      </c>
      <c r="M56" s="6" t="s">
        <v>59</v>
      </c>
      <c r="N56" s="6" t="s">
        <v>1145</v>
      </c>
      <c r="O56" s="9">
        <v>0.75</v>
      </c>
      <c r="P56" s="16">
        <f t="shared" si="2"/>
        <v>14.475000000000001</v>
      </c>
      <c r="Q56" s="7">
        <v>0</v>
      </c>
      <c r="R56" s="7">
        <v>14.48</v>
      </c>
      <c r="S56" s="7">
        <v>14.48</v>
      </c>
      <c r="T56" s="6" t="s">
        <v>1141</v>
      </c>
    </row>
    <row r="57" spans="1:20" s="6" customFormat="1" x14ac:dyDescent="0.25">
      <c r="A57" s="6">
        <v>2028965806</v>
      </c>
      <c r="B57" s="6" t="s">
        <v>137</v>
      </c>
      <c r="C57" s="6" t="s">
        <v>714</v>
      </c>
      <c r="D57" s="6" t="str">
        <f t="shared" si="0"/>
        <v>SANDRA FUENTES</v>
      </c>
      <c r="E57" s="6" t="s">
        <v>184</v>
      </c>
      <c r="F57" s="6">
        <v>21283956</v>
      </c>
      <c r="G57" s="6" t="s">
        <v>1106</v>
      </c>
      <c r="H57" s="6" t="s">
        <v>56</v>
      </c>
      <c r="I57" s="5">
        <v>45793</v>
      </c>
      <c r="J57" s="5">
        <v>45946</v>
      </c>
      <c r="K57" s="7">
        <v>73.42</v>
      </c>
      <c r="L57" s="6">
        <f t="shared" si="1"/>
        <v>5</v>
      </c>
      <c r="M57" s="6" t="s">
        <v>59</v>
      </c>
      <c r="N57" s="6" t="s">
        <v>1145</v>
      </c>
      <c r="O57" s="9">
        <v>0.75</v>
      </c>
      <c r="P57" s="16">
        <f t="shared" si="2"/>
        <v>55.064999999999998</v>
      </c>
      <c r="Q57" s="7">
        <v>0</v>
      </c>
      <c r="R57" s="7">
        <v>55.06</v>
      </c>
      <c r="S57" s="7">
        <v>55.06</v>
      </c>
      <c r="T57" s="6" t="s">
        <v>1141</v>
      </c>
    </row>
    <row r="58" spans="1:20" s="6" customFormat="1" x14ac:dyDescent="0.25">
      <c r="A58" s="6">
        <v>2028935096</v>
      </c>
      <c r="B58" s="6" t="s">
        <v>958</v>
      </c>
      <c r="C58" s="6" t="s">
        <v>957</v>
      </c>
      <c r="D58" s="6" t="str">
        <f t="shared" si="0"/>
        <v>JUANITA SINGH</v>
      </c>
      <c r="E58" s="6" t="s">
        <v>184</v>
      </c>
      <c r="F58" s="6">
        <v>19586992</v>
      </c>
      <c r="G58" s="6" t="s">
        <v>1104</v>
      </c>
      <c r="H58" s="6" t="s">
        <v>56</v>
      </c>
      <c r="I58" s="5">
        <v>45792</v>
      </c>
      <c r="J58" s="5">
        <v>45945</v>
      </c>
      <c r="K58" s="7">
        <v>50.98</v>
      </c>
      <c r="L58" s="6">
        <f t="shared" si="1"/>
        <v>5</v>
      </c>
      <c r="M58" s="6" t="s">
        <v>59</v>
      </c>
      <c r="N58" s="6" t="s">
        <v>1145</v>
      </c>
      <c r="O58" s="9">
        <v>0.75</v>
      </c>
      <c r="P58" s="16">
        <f t="shared" si="2"/>
        <v>38.234999999999999</v>
      </c>
      <c r="Q58" s="7">
        <v>0</v>
      </c>
      <c r="R58" s="7">
        <v>38.24</v>
      </c>
      <c r="S58" s="7">
        <v>38.24</v>
      </c>
      <c r="T58" s="6" t="s">
        <v>1141</v>
      </c>
    </row>
    <row r="59" spans="1:20" s="6" customFormat="1" x14ac:dyDescent="0.25">
      <c r="A59" s="6">
        <v>2028470694</v>
      </c>
      <c r="B59" s="6" t="s">
        <v>972</v>
      </c>
      <c r="C59" s="6" t="s">
        <v>485</v>
      </c>
      <c r="D59" s="6" t="str">
        <f t="shared" si="0"/>
        <v>PAMELA MITCHELL</v>
      </c>
      <c r="E59" s="6" t="s">
        <v>116</v>
      </c>
      <c r="F59" s="6">
        <v>19681796</v>
      </c>
      <c r="G59" s="6" t="s">
        <v>1118</v>
      </c>
      <c r="H59" s="6" t="s">
        <v>56</v>
      </c>
      <c r="I59" s="5">
        <v>45765</v>
      </c>
      <c r="J59" s="5">
        <v>45948</v>
      </c>
      <c r="K59" s="7">
        <v>60.28</v>
      </c>
      <c r="L59" s="6">
        <f t="shared" si="1"/>
        <v>6</v>
      </c>
      <c r="M59" s="6" t="s">
        <v>59</v>
      </c>
      <c r="N59" s="6" t="s">
        <v>1145</v>
      </c>
      <c r="O59" s="9">
        <v>0.75</v>
      </c>
      <c r="P59" s="16">
        <f t="shared" si="2"/>
        <v>45.21</v>
      </c>
      <c r="Q59" s="7">
        <v>0</v>
      </c>
      <c r="R59" s="7">
        <v>45.21</v>
      </c>
      <c r="S59" s="7">
        <v>45.21</v>
      </c>
      <c r="T59" s="6" t="s">
        <v>1141</v>
      </c>
    </row>
    <row r="60" spans="1:20" s="6" customFormat="1" x14ac:dyDescent="0.25">
      <c r="A60" s="6">
        <v>2028379894</v>
      </c>
      <c r="B60" s="6" t="s">
        <v>871</v>
      </c>
      <c r="C60" s="6" t="s">
        <v>870</v>
      </c>
      <c r="D60" s="6" t="str">
        <f t="shared" si="0"/>
        <v>CONNIE SHOCKLEY</v>
      </c>
      <c r="E60" s="6" t="s">
        <v>116</v>
      </c>
      <c r="F60" s="6">
        <v>21421111</v>
      </c>
      <c r="G60" s="6" t="s">
        <v>1096</v>
      </c>
      <c r="H60" s="6" t="s">
        <v>56</v>
      </c>
      <c r="I60" s="5">
        <v>45760</v>
      </c>
      <c r="J60" s="5">
        <v>45943</v>
      </c>
      <c r="K60" s="7">
        <v>81.099999999999994</v>
      </c>
      <c r="L60" s="6">
        <f t="shared" si="1"/>
        <v>6</v>
      </c>
      <c r="M60" s="6" t="s">
        <v>59</v>
      </c>
      <c r="N60" s="6" t="s">
        <v>1145</v>
      </c>
      <c r="O60" s="9">
        <v>0.75</v>
      </c>
      <c r="P60" s="16">
        <f t="shared" si="2"/>
        <v>60.824999999999996</v>
      </c>
      <c r="Q60" s="7">
        <v>0</v>
      </c>
      <c r="R60" s="7">
        <v>60.82</v>
      </c>
      <c r="S60" s="7">
        <v>60.82</v>
      </c>
      <c r="T60" s="6" t="s">
        <v>1141</v>
      </c>
    </row>
    <row r="61" spans="1:20" s="6" customFormat="1" x14ac:dyDescent="0.25">
      <c r="A61" s="6">
        <v>2028498800</v>
      </c>
      <c r="B61" s="6" t="s">
        <v>178</v>
      </c>
      <c r="C61" s="6" t="s">
        <v>179</v>
      </c>
      <c r="D61" s="6" t="str">
        <f t="shared" si="0"/>
        <v>TIMOTHY VAWTER</v>
      </c>
      <c r="E61" s="6" t="s">
        <v>116</v>
      </c>
      <c r="F61" s="6">
        <v>16633294</v>
      </c>
      <c r="G61" s="6" t="s">
        <v>1079</v>
      </c>
      <c r="H61" s="6" t="s">
        <v>56</v>
      </c>
      <c r="I61" s="5">
        <v>45772</v>
      </c>
      <c r="J61" s="5">
        <v>45955</v>
      </c>
      <c r="K61" s="7">
        <v>28.95</v>
      </c>
      <c r="L61" s="6">
        <f t="shared" si="1"/>
        <v>6</v>
      </c>
      <c r="M61" s="6" t="s">
        <v>59</v>
      </c>
      <c r="N61" s="6" t="s">
        <v>1145</v>
      </c>
      <c r="O61" s="9">
        <v>0.75</v>
      </c>
      <c r="P61" s="16">
        <f t="shared" si="2"/>
        <v>21.712499999999999</v>
      </c>
      <c r="Q61" s="7">
        <v>0</v>
      </c>
      <c r="R61" s="7">
        <v>21.71</v>
      </c>
      <c r="S61" s="7">
        <v>21.71</v>
      </c>
      <c r="T61" s="6" t="s">
        <v>1141</v>
      </c>
    </row>
    <row r="62" spans="1:20" s="6" customFormat="1" x14ac:dyDescent="0.25">
      <c r="A62" s="6">
        <v>2027895298</v>
      </c>
      <c r="B62" s="6" t="s">
        <v>976</v>
      </c>
      <c r="C62" s="6" t="s">
        <v>975</v>
      </c>
      <c r="D62" s="6" t="str">
        <f t="shared" si="0"/>
        <v>DOBROMILA PAVLASOVA</v>
      </c>
      <c r="E62" s="6" t="s">
        <v>116</v>
      </c>
      <c r="F62" s="6">
        <v>8325282</v>
      </c>
      <c r="G62" s="6" t="s">
        <v>1091</v>
      </c>
      <c r="H62" s="6" t="s">
        <v>56</v>
      </c>
      <c r="I62" s="5">
        <v>45735</v>
      </c>
      <c r="J62" s="5">
        <v>45949</v>
      </c>
      <c r="K62" s="7">
        <v>166.25</v>
      </c>
      <c r="L62" s="6">
        <f t="shared" si="1"/>
        <v>7</v>
      </c>
      <c r="M62" s="6" t="s">
        <v>59</v>
      </c>
      <c r="N62" s="6" t="s">
        <v>1148</v>
      </c>
      <c r="O62" s="9">
        <v>0.75</v>
      </c>
      <c r="P62" s="16">
        <f t="shared" si="2"/>
        <v>124.6875</v>
      </c>
      <c r="Q62" s="7">
        <v>0</v>
      </c>
      <c r="R62" s="7">
        <v>124.69</v>
      </c>
      <c r="S62" s="7">
        <v>124.69</v>
      </c>
      <c r="T62" s="6" t="s">
        <v>1141</v>
      </c>
    </row>
    <row r="63" spans="1:20" s="6" customFormat="1" x14ac:dyDescent="0.25">
      <c r="A63" s="6">
        <v>2027223263</v>
      </c>
      <c r="B63" s="6" t="s">
        <v>156</v>
      </c>
      <c r="C63" s="6" t="s">
        <v>49</v>
      </c>
      <c r="D63" s="6" t="str">
        <f t="shared" si="0"/>
        <v>MICHAEL MARTIN</v>
      </c>
      <c r="E63" s="6" t="s">
        <v>116</v>
      </c>
      <c r="F63" s="6">
        <v>21421111</v>
      </c>
      <c r="G63" s="6" t="s">
        <v>1096</v>
      </c>
      <c r="H63" s="6" t="s">
        <v>56</v>
      </c>
      <c r="I63" s="5">
        <v>45709</v>
      </c>
      <c r="J63" s="5">
        <v>45951</v>
      </c>
      <c r="K63" s="7">
        <v>94.78</v>
      </c>
      <c r="L63" s="6">
        <f t="shared" si="1"/>
        <v>8</v>
      </c>
      <c r="M63" s="6" t="s">
        <v>59</v>
      </c>
      <c r="N63" s="6" t="s">
        <v>1148</v>
      </c>
      <c r="O63" s="9">
        <v>0.75</v>
      </c>
      <c r="P63" s="16">
        <f t="shared" si="2"/>
        <v>71.085000000000008</v>
      </c>
      <c r="Q63" s="7">
        <v>0</v>
      </c>
      <c r="R63" s="7">
        <v>71.08</v>
      </c>
      <c r="S63" s="7">
        <v>71.08</v>
      </c>
      <c r="T63" s="6" t="s">
        <v>1141</v>
      </c>
    </row>
    <row r="64" spans="1:20" s="6" customFormat="1" x14ac:dyDescent="0.25">
      <c r="A64" s="6">
        <v>2027176337</v>
      </c>
      <c r="B64" s="6" t="s">
        <v>259</v>
      </c>
      <c r="C64" s="6" t="s">
        <v>594</v>
      </c>
      <c r="D64" s="6" t="str">
        <f t="shared" si="0"/>
        <v>DALE WALENGA</v>
      </c>
      <c r="E64" s="6" t="s">
        <v>116</v>
      </c>
      <c r="F64" s="6">
        <v>8325282</v>
      </c>
      <c r="G64" s="6" t="s">
        <v>1091</v>
      </c>
      <c r="H64" s="6" t="s">
        <v>56</v>
      </c>
      <c r="I64" s="5">
        <v>45707</v>
      </c>
      <c r="J64" s="5">
        <v>45949</v>
      </c>
      <c r="K64" s="7">
        <v>114.3</v>
      </c>
      <c r="L64" s="6">
        <f t="shared" si="1"/>
        <v>8</v>
      </c>
      <c r="M64" s="6" t="s">
        <v>59</v>
      </c>
      <c r="N64" s="6" t="s">
        <v>1148</v>
      </c>
      <c r="O64" s="9">
        <v>0.75</v>
      </c>
      <c r="P64" s="16">
        <f t="shared" si="2"/>
        <v>85.724999999999994</v>
      </c>
      <c r="Q64" s="7">
        <v>0</v>
      </c>
      <c r="R64" s="7">
        <v>85.72</v>
      </c>
      <c r="S64" s="7">
        <v>85.72</v>
      </c>
      <c r="T64" s="6" t="s">
        <v>1141</v>
      </c>
    </row>
    <row r="65" spans="1:53" s="6" customFormat="1" x14ac:dyDescent="0.25">
      <c r="A65" s="6">
        <v>2026190010</v>
      </c>
      <c r="B65" s="6" t="s">
        <v>135</v>
      </c>
      <c r="C65" s="6" t="s">
        <v>136</v>
      </c>
      <c r="D65" s="6" t="str">
        <f t="shared" si="0"/>
        <v>TRACY LENCIONI</v>
      </c>
      <c r="E65" s="6" t="s">
        <v>116</v>
      </c>
      <c r="F65" s="6">
        <v>21283956</v>
      </c>
      <c r="G65" s="6" t="s">
        <v>1106</v>
      </c>
      <c r="H65" s="6" t="s">
        <v>56</v>
      </c>
      <c r="I65" s="5">
        <v>45647</v>
      </c>
      <c r="J65" s="5">
        <v>45951</v>
      </c>
      <c r="K65" s="7">
        <v>51.73</v>
      </c>
      <c r="L65" s="6">
        <f t="shared" si="1"/>
        <v>10</v>
      </c>
      <c r="M65" s="6" t="s">
        <v>59</v>
      </c>
      <c r="N65" s="6" t="s">
        <v>1148</v>
      </c>
      <c r="O65" s="9">
        <v>0.75</v>
      </c>
      <c r="P65" s="16">
        <f t="shared" si="2"/>
        <v>38.797499999999999</v>
      </c>
      <c r="Q65" s="7">
        <v>0</v>
      </c>
      <c r="R65" s="7">
        <v>38.799999999999997</v>
      </c>
      <c r="S65" s="7">
        <v>38.799999999999997</v>
      </c>
      <c r="T65" s="6" t="s">
        <v>1141</v>
      </c>
    </row>
    <row r="66" spans="1:53" s="6" customFormat="1" x14ac:dyDescent="0.25">
      <c r="A66" s="6">
        <v>2025254892</v>
      </c>
      <c r="B66" s="6" t="s">
        <v>1027</v>
      </c>
      <c r="C66" s="6" t="s">
        <v>1026</v>
      </c>
      <c r="D66" s="6" t="str">
        <f t="shared" ref="D66:D129" si="3">CONCATENATE(C66, " ",B66)</f>
        <v>KRISTIN DICKINSON</v>
      </c>
      <c r="E66" s="6" t="s">
        <v>116</v>
      </c>
      <c r="F66" s="6">
        <v>371819</v>
      </c>
      <c r="G66" s="6" t="s">
        <v>1085</v>
      </c>
      <c r="H66" s="6" t="s">
        <v>56</v>
      </c>
      <c r="I66" s="5">
        <v>45576</v>
      </c>
      <c r="J66" s="5">
        <v>45941</v>
      </c>
      <c r="K66" s="7">
        <v>48.79</v>
      </c>
      <c r="L66" s="6">
        <f t="shared" ref="L66:L129" si="4">DATEDIF(I66,J66,"M")</f>
        <v>12</v>
      </c>
      <c r="M66" s="6" t="s">
        <v>59</v>
      </c>
      <c r="N66" s="6" t="s">
        <v>1148</v>
      </c>
      <c r="O66" s="9">
        <v>0.75</v>
      </c>
      <c r="P66" s="16">
        <f t="shared" ref="P66:P129" si="5">K66*O66</f>
        <v>36.592500000000001</v>
      </c>
      <c r="Q66" s="7">
        <v>0</v>
      </c>
      <c r="R66" s="7">
        <v>36.590000000000003</v>
      </c>
      <c r="S66" s="7">
        <v>36.590000000000003</v>
      </c>
      <c r="T66" s="6" t="s">
        <v>1141</v>
      </c>
    </row>
    <row r="67" spans="1:53" s="6" customFormat="1" x14ac:dyDescent="0.25">
      <c r="A67">
        <v>2030574907</v>
      </c>
      <c r="B67" t="s">
        <v>609</v>
      </c>
      <c r="C67" t="s">
        <v>608</v>
      </c>
      <c r="D67" s="6" t="str">
        <f t="shared" si="3"/>
        <v>LORENA FIERRO</v>
      </c>
      <c r="E67" t="s">
        <v>184</v>
      </c>
      <c r="F67">
        <v>17437820</v>
      </c>
      <c r="G67" t="s">
        <v>1082</v>
      </c>
      <c r="H67" t="s">
        <v>230</v>
      </c>
      <c r="I67" s="1">
        <v>45901</v>
      </c>
      <c r="J67" s="1">
        <v>45931</v>
      </c>
      <c r="K67" s="2">
        <v>-70.12</v>
      </c>
      <c r="L67">
        <f t="shared" si="4"/>
        <v>1</v>
      </c>
      <c r="M67" t="s">
        <v>59</v>
      </c>
      <c r="N67" t="s">
        <v>1148</v>
      </c>
      <c r="O67" s="4">
        <v>0.75</v>
      </c>
      <c r="P67" s="16">
        <f t="shared" si="5"/>
        <v>-52.59</v>
      </c>
      <c r="Q67" s="2">
        <v>0</v>
      </c>
      <c r="R67" s="2">
        <v>-52.59</v>
      </c>
      <c r="S67" s="2">
        <v>-52.59</v>
      </c>
      <c r="T67" t="s">
        <v>1141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</row>
    <row r="68" spans="1:53" s="6" customFormat="1" x14ac:dyDescent="0.25">
      <c r="A68">
        <v>2030429653</v>
      </c>
      <c r="B68" t="s">
        <v>226</v>
      </c>
      <c r="C68" t="s">
        <v>227</v>
      </c>
      <c r="D68" s="6" t="str">
        <f t="shared" si="3"/>
        <v>BOOKER LINDA</v>
      </c>
      <c r="E68" t="s">
        <v>116</v>
      </c>
      <c r="F68">
        <v>8307933</v>
      </c>
      <c r="G68" t="s">
        <v>1098</v>
      </c>
      <c r="H68" t="s">
        <v>56</v>
      </c>
      <c r="I68" s="1">
        <v>45889</v>
      </c>
      <c r="J68" s="1">
        <v>45950</v>
      </c>
      <c r="K68" s="2">
        <v>132.5</v>
      </c>
      <c r="L68">
        <f t="shared" si="4"/>
        <v>2</v>
      </c>
      <c r="M68" t="s">
        <v>59</v>
      </c>
      <c r="N68" t="s">
        <v>1148</v>
      </c>
      <c r="O68" s="4">
        <v>0.75</v>
      </c>
      <c r="P68" s="16">
        <f t="shared" si="5"/>
        <v>99.375</v>
      </c>
      <c r="Q68" s="2">
        <v>99.38</v>
      </c>
      <c r="R68" s="2">
        <v>0</v>
      </c>
      <c r="S68" s="2">
        <v>0</v>
      </c>
      <c r="T68" t="s">
        <v>1141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</row>
    <row r="69" spans="1:53" s="6" customFormat="1" x14ac:dyDescent="0.25">
      <c r="A69">
        <v>2029980504</v>
      </c>
      <c r="B69" t="s">
        <v>205</v>
      </c>
      <c r="C69" t="s">
        <v>206</v>
      </c>
      <c r="D69" s="6" t="str">
        <f t="shared" si="3"/>
        <v>STALLKAMP RHONDA</v>
      </c>
      <c r="E69" t="s">
        <v>184</v>
      </c>
      <c r="F69">
        <v>8977234</v>
      </c>
      <c r="G69" t="s">
        <v>1078</v>
      </c>
      <c r="H69" t="s">
        <v>56</v>
      </c>
      <c r="I69" s="1">
        <v>45884</v>
      </c>
      <c r="J69" s="1">
        <v>45945</v>
      </c>
      <c r="K69" s="2">
        <v>85.81</v>
      </c>
      <c r="L69">
        <f t="shared" si="4"/>
        <v>2</v>
      </c>
      <c r="M69" t="s">
        <v>59</v>
      </c>
      <c r="N69" t="s">
        <v>1148</v>
      </c>
      <c r="O69" s="4">
        <v>0.75</v>
      </c>
      <c r="P69" s="16">
        <f t="shared" si="5"/>
        <v>64.357500000000002</v>
      </c>
      <c r="Q69" s="2">
        <v>64.36</v>
      </c>
      <c r="R69" s="2">
        <v>0</v>
      </c>
      <c r="S69" s="2">
        <v>0</v>
      </c>
      <c r="T69" t="s">
        <v>1141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</row>
    <row r="70" spans="1:53" s="6" customFormat="1" x14ac:dyDescent="0.25">
      <c r="A70">
        <v>2029894138</v>
      </c>
      <c r="B70" t="s">
        <v>923</v>
      </c>
      <c r="C70" t="s">
        <v>74</v>
      </c>
      <c r="D70" s="6" t="str">
        <f t="shared" si="3"/>
        <v>CAROL BALLA</v>
      </c>
      <c r="E70" t="s">
        <v>184</v>
      </c>
      <c r="F70">
        <v>8977234</v>
      </c>
      <c r="G70" t="s">
        <v>1078</v>
      </c>
      <c r="H70" t="s">
        <v>56</v>
      </c>
      <c r="I70" s="1">
        <v>45852</v>
      </c>
      <c r="J70" s="1">
        <v>45944</v>
      </c>
      <c r="K70" s="2">
        <v>80.8</v>
      </c>
      <c r="L70">
        <f t="shared" si="4"/>
        <v>3</v>
      </c>
      <c r="M70" t="s">
        <v>59</v>
      </c>
      <c r="N70" t="s">
        <v>1148</v>
      </c>
      <c r="O70" s="4">
        <v>0.75</v>
      </c>
      <c r="P70" s="16">
        <f t="shared" si="5"/>
        <v>60.599999999999994</v>
      </c>
      <c r="Q70" s="2">
        <v>60.6</v>
      </c>
      <c r="R70" s="2">
        <v>0</v>
      </c>
      <c r="S70" s="2">
        <v>0</v>
      </c>
      <c r="T70" t="s">
        <v>1141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</row>
    <row r="71" spans="1:53" s="6" customFormat="1" x14ac:dyDescent="0.25">
      <c r="A71">
        <v>2029878253</v>
      </c>
      <c r="B71" t="s">
        <v>924</v>
      </c>
      <c r="C71" t="s">
        <v>171</v>
      </c>
      <c r="D71" s="6" t="str">
        <f t="shared" si="3"/>
        <v>JACOB DEUSER</v>
      </c>
      <c r="E71" t="s">
        <v>184</v>
      </c>
      <c r="F71">
        <v>19396223</v>
      </c>
      <c r="G71" t="s">
        <v>1133</v>
      </c>
      <c r="H71" t="s">
        <v>56</v>
      </c>
      <c r="I71" s="1">
        <v>45853</v>
      </c>
      <c r="J71" s="1">
        <v>45945</v>
      </c>
      <c r="K71" s="2">
        <v>15.97</v>
      </c>
      <c r="L71">
        <f t="shared" si="4"/>
        <v>3</v>
      </c>
      <c r="M71" t="s">
        <v>59</v>
      </c>
      <c r="N71" t="s">
        <v>1148</v>
      </c>
      <c r="O71" s="4">
        <v>0.75</v>
      </c>
      <c r="P71" s="16">
        <f t="shared" si="5"/>
        <v>11.977500000000001</v>
      </c>
      <c r="Q71" s="2">
        <v>11.98</v>
      </c>
      <c r="R71" s="2">
        <v>0</v>
      </c>
      <c r="S71" s="2">
        <v>0</v>
      </c>
      <c r="T71" t="s">
        <v>1141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</row>
    <row r="72" spans="1:53" s="6" customFormat="1" x14ac:dyDescent="0.25">
      <c r="A72">
        <v>2029951925</v>
      </c>
      <c r="B72" t="s">
        <v>164</v>
      </c>
      <c r="C72" t="s">
        <v>835</v>
      </c>
      <c r="D72" s="6" t="str">
        <f t="shared" si="3"/>
        <v>URIEL MARTINEZ</v>
      </c>
      <c r="E72" t="s">
        <v>116</v>
      </c>
      <c r="F72">
        <v>19396223</v>
      </c>
      <c r="G72" t="s">
        <v>1133</v>
      </c>
      <c r="H72" t="s">
        <v>56</v>
      </c>
      <c r="I72" s="1">
        <v>45853</v>
      </c>
      <c r="J72" s="1">
        <v>45945</v>
      </c>
      <c r="K72" s="2">
        <v>19.25</v>
      </c>
      <c r="L72">
        <f t="shared" si="4"/>
        <v>3</v>
      </c>
      <c r="M72" t="s">
        <v>59</v>
      </c>
      <c r="N72" t="s">
        <v>1148</v>
      </c>
      <c r="O72" s="4">
        <v>0.75</v>
      </c>
      <c r="P72" s="16">
        <f t="shared" si="5"/>
        <v>14.4375</v>
      </c>
      <c r="Q72" s="2">
        <v>14.44</v>
      </c>
      <c r="R72" s="2">
        <v>0</v>
      </c>
      <c r="S72" s="2">
        <v>0</v>
      </c>
      <c r="T72" t="s">
        <v>1141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</row>
    <row r="73" spans="1:53" s="6" customFormat="1" x14ac:dyDescent="0.25">
      <c r="A73">
        <v>2030085142</v>
      </c>
      <c r="B73" t="s">
        <v>217</v>
      </c>
      <c r="C73" t="s">
        <v>218</v>
      </c>
      <c r="D73" s="6" t="str">
        <f t="shared" si="3"/>
        <v>GARRARD NOREEN</v>
      </c>
      <c r="E73" t="s">
        <v>184</v>
      </c>
      <c r="F73">
        <v>8977234</v>
      </c>
      <c r="G73" t="s">
        <v>1078</v>
      </c>
      <c r="H73" t="s">
        <v>56</v>
      </c>
      <c r="I73" s="1">
        <v>45861</v>
      </c>
      <c r="J73" s="1">
        <v>45953</v>
      </c>
      <c r="K73" s="2">
        <v>78.430000000000007</v>
      </c>
      <c r="L73">
        <f t="shared" si="4"/>
        <v>3</v>
      </c>
      <c r="M73" t="s">
        <v>59</v>
      </c>
      <c r="N73" t="s">
        <v>1148</v>
      </c>
      <c r="O73" s="4">
        <v>0.75</v>
      </c>
      <c r="P73" s="16">
        <f t="shared" si="5"/>
        <v>58.822500000000005</v>
      </c>
      <c r="Q73" s="2">
        <v>58.82</v>
      </c>
      <c r="R73" s="2">
        <v>0</v>
      </c>
      <c r="S73" s="2">
        <v>0</v>
      </c>
      <c r="T73" t="s">
        <v>1141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</row>
    <row r="74" spans="1:53" s="6" customFormat="1" x14ac:dyDescent="0.25">
      <c r="A74">
        <v>2030008352</v>
      </c>
      <c r="B74" t="s">
        <v>905</v>
      </c>
      <c r="C74" t="s">
        <v>554</v>
      </c>
      <c r="D74" s="6" t="str">
        <f t="shared" si="3"/>
        <v>YVETTE POPE</v>
      </c>
      <c r="E74" t="s">
        <v>184</v>
      </c>
      <c r="F74">
        <v>8977234</v>
      </c>
      <c r="G74" t="s">
        <v>1078</v>
      </c>
      <c r="H74" t="s">
        <v>56</v>
      </c>
      <c r="I74" s="1">
        <v>45856</v>
      </c>
      <c r="J74" s="1">
        <v>45948</v>
      </c>
      <c r="K74" s="2">
        <v>66.73</v>
      </c>
      <c r="L74">
        <f t="shared" si="4"/>
        <v>3</v>
      </c>
      <c r="M74" t="s">
        <v>59</v>
      </c>
      <c r="N74" t="s">
        <v>1148</v>
      </c>
      <c r="O74" s="4">
        <v>0.75</v>
      </c>
      <c r="P74" s="16">
        <f t="shared" si="5"/>
        <v>50.047499999999999</v>
      </c>
      <c r="Q74" s="2">
        <v>50.05</v>
      </c>
      <c r="R74" s="2">
        <v>0</v>
      </c>
      <c r="S74" s="2">
        <v>0</v>
      </c>
      <c r="T74" t="s">
        <v>1141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</row>
    <row r="75" spans="1:53" s="6" customFormat="1" x14ac:dyDescent="0.25">
      <c r="A75">
        <v>2029502358</v>
      </c>
      <c r="B75" t="s">
        <v>152</v>
      </c>
      <c r="C75" t="s">
        <v>153</v>
      </c>
      <c r="D75" s="6" t="str">
        <f t="shared" si="3"/>
        <v>RYAN CALTAGIRONE</v>
      </c>
      <c r="E75" t="s">
        <v>184</v>
      </c>
      <c r="F75">
        <v>8977234</v>
      </c>
      <c r="G75" t="s">
        <v>1078</v>
      </c>
      <c r="H75" t="s">
        <v>56</v>
      </c>
      <c r="I75" s="1">
        <v>45826</v>
      </c>
      <c r="J75" s="1">
        <v>45948</v>
      </c>
      <c r="K75" s="2">
        <v>35.380000000000003</v>
      </c>
      <c r="L75">
        <f t="shared" si="4"/>
        <v>4</v>
      </c>
      <c r="M75" t="s">
        <v>59</v>
      </c>
      <c r="N75" t="s">
        <v>1148</v>
      </c>
      <c r="O75" s="4">
        <v>0.75</v>
      </c>
      <c r="P75" s="16">
        <f t="shared" si="5"/>
        <v>26.535000000000004</v>
      </c>
      <c r="Q75" s="2">
        <v>26.54</v>
      </c>
      <c r="R75" s="2">
        <v>0</v>
      </c>
      <c r="S75" s="2">
        <v>0</v>
      </c>
      <c r="T75" t="s">
        <v>1141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</row>
    <row r="76" spans="1:53" s="6" customFormat="1" x14ac:dyDescent="0.25">
      <c r="A76">
        <v>2028840700</v>
      </c>
      <c r="B76" t="s">
        <v>622</v>
      </c>
      <c r="C76" t="s">
        <v>163</v>
      </c>
      <c r="D76" s="6" t="str">
        <f t="shared" si="3"/>
        <v>JORDAN HOLSENDOLPH</v>
      </c>
      <c r="E76" t="s">
        <v>184</v>
      </c>
      <c r="F76">
        <v>8977234</v>
      </c>
      <c r="G76" t="s">
        <v>1078</v>
      </c>
      <c r="H76" t="s">
        <v>230</v>
      </c>
      <c r="I76" s="1">
        <v>45809</v>
      </c>
      <c r="J76" s="1">
        <v>45931</v>
      </c>
      <c r="K76" s="2">
        <v>-6.51</v>
      </c>
      <c r="L76">
        <f t="shared" si="4"/>
        <v>4</v>
      </c>
      <c r="M76" t="s">
        <v>59</v>
      </c>
      <c r="N76" t="s">
        <v>1148</v>
      </c>
      <c r="O76" s="4">
        <v>0.75</v>
      </c>
      <c r="P76" s="16">
        <f t="shared" si="5"/>
        <v>-4.8825000000000003</v>
      </c>
      <c r="Q76" s="2">
        <v>0</v>
      </c>
      <c r="R76" s="2">
        <v>-4.88</v>
      </c>
      <c r="S76" s="2">
        <v>-4.88</v>
      </c>
      <c r="T76" t="s">
        <v>1141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</row>
    <row r="77" spans="1:53" s="6" customFormat="1" x14ac:dyDescent="0.25">
      <c r="A77">
        <v>2029185271</v>
      </c>
      <c r="B77" t="s">
        <v>940</v>
      </c>
      <c r="C77" t="s">
        <v>939</v>
      </c>
      <c r="D77" s="6" t="str">
        <f t="shared" si="3"/>
        <v>JILL MCKEE</v>
      </c>
      <c r="E77" t="s">
        <v>184</v>
      </c>
      <c r="F77">
        <v>8977234</v>
      </c>
      <c r="G77" t="s">
        <v>1078</v>
      </c>
      <c r="H77" t="s">
        <v>56</v>
      </c>
      <c r="I77" s="1">
        <v>45825</v>
      </c>
      <c r="J77" s="1">
        <v>45947</v>
      </c>
      <c r="K77" s="2">
        <v>66.03</v>
      </c>
      <c r="L77">
        <f t="shared" si="4"/>
        <v>4</v>
      </c>
      <c r="M77" t="s">
        <v>59</v>
      </c>
      <c r="N77" t="s">
        <v>1148</v>
      </c>
      <c r="O77" s="4">
        <v>0.75</v>
      </c>
      <c r="P77" s="16">
        <f t="shared" si="5"/>
        <v>49.522500000000001</v>
      </c>
      <c r="Q77" s="2">
        <v>49.52</v>
      </c>
      <c r="R77" s="2">
        <v>0</v>
      </c>
      <c r="S77" s="2">
        <v>0</v>
      </c>
      <c r="T77" t="s">
        <v>1141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</row>
    <row r="78" spans="1:53" s="6" customFormat="1" x14ac:dyDescent="0.25">
      <c r="A78">
        <v>2029038485</v>
      </c>
      <c r="B78" t="s">
        <v>186</v>
      </c>
      <c r="C78" t="s">
        <v>187</v>
      </c>
      <c r="D78" s="6" t="str">
        <f t="shared" si="3"/>
        <v>SEAN HANAFI</v>
      </c>
      <c r="E78" t="s">
        <v>184</v>
      </c>
      <c r="F78">
        <v>8977234</v>
      </c>
      <c r="G78" t="s">
        <v>1078</v>
      </c>
      <c r="H78" t="s">
        <v>56</v>
      </c>
      <c r="I78" s="1">
        <v>45798</v>
      </c>
      <c r="J78" s="1">
        <v>45951</v>
      </c>
      <c r="K78" s="2">
        <v>50.74</v>
      </c>
      <c r="L78">
        <f t="shared" si="4"/>
        <v>5</v>
      </c>
      <c r="M78" t="s">
        <v>59</v>
      </c>
      <c r="N78" t="s">
        <v>1148</v>
      </c>
      <c r="O78" s="4">
        <v>0.75</v>
      </c>
      <c r="P78" s="16">
        <f t="shared" si="5"/>
        <v>38.055</v>
      </c>
      <c r="Q78" s="2">
        <v>38.06</v>
      </c>
      <c r="R78" s="2">
        <v>0</v>
      </c>
      <c r="S78" s="2">
        <v>0</v>
      </c>
      <c r="T78" t="s">
        <v>1141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</row>
    <row r="79" spans="1:53" s="6" customFormat="1" x14ac:dyDescent="0.25">
      <c r="A79">
        <v>2028857840</v>
      </c>
      <c r="B79" t="s">
        <v>181</v>
      </c>
      <c r="C79" t="s">
        <v>182</v>
      </c>
      <c r="D79" s="6" t="str">
        <f t="shared" si="3"/>
        <v>DEE PARKS</v>
      </c>
      <c r="E79" t="s">
        <v>184</v>
      </c>
      <c r="F79">
        <v>8307933</v>
      </c>
      <c r="G79" t="s">
        <v>1098</v>
      </c>
      <c r="H79" t="s">
        <v>56</v>
      </c>
      <c r="I79" s="1">
        <v>45789</v>
      </c>
      <c r="J79" s="1">
        <v>45942</v>
      </c>
      <c r="K79" s="2">
        <v>68.7</v>
      </c>
      <c r="L79">
        <f t="shared" si="4"/>
        <v>5</v>
      </c>
      <c r="M79" t="s">
        <v>59</v>
      </c>
      <c r="N79" t="s">
        <v>1148</v>
      </c>
      <c r="O79" s="4">
        <v>0.75</v>
      </c>
      <c r="P79" s="16">
        <f t="shared" si="5"/>
        <v>51.525000000000006</v>
      </c>
      <c r="Q79" s="2">
        <v>0</v>
      </c>
      <c r="R79" s="2">
        <v>51.52</v>
      </c>
      <c r="S79" s="2">
        <v>51.52</v>
      </c>
      <c r="T79" t="s">
        <v>1141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</row>
    <row r="80" spans="1:53" s="6" customFormat="1" x14ac:dyDescent="0.25">
      <c r="A80">
        <v>2028303459</v>
      </c>
      <c r="B80" t="s">
        <v>154</v>
      </c>
      <c r="C80" t="s">
        <v>1065</v>
      </c>
      <c r="D80" s="6" t="str">
        <f t="shared" si="3"/>
        <v>SHELLEY JOHNSON</v>
      </c>
      <c r="E80" t="s">
        <v>116</v>
      </c>
      <c r="F80">
        <v>8307933</v>
      </c>
      <c r="G80" t="s">
        <v>1098</v>
      </c>
      <c r="H80" t="s">
        <v>56</v>
      </c>
      <c r="I80" s="1">
        <v>45762</v>
      </c>
      <c r="J80" s="1">
        <v>45945</v>
      </c>
      <c r="K80" s="2">
        <v>132.5</v>
      </c>
      <c r="L80">
        <f t="shared" si="4"/>
        <v>6</v>
      </c>
      <c r="M80" t="s">
        <v>59</v>
      </c>
      <c r="N80" t="s">
        <v>1148</v>
      </c>
      <c r="O80" s="4">
        <v>0.75</v>
      </c>
      <c r="P80" s="16">
        <f t="shared" si="5"/>
        <v>99.375</v>
      </c>
      <c r="Q80" s="2">
        <v>0</v>
      </c>
      <c r="R80" s="2">
        <v>99.38</v>
      </c>
      <c r="S80" s="2">
        <v>99.38</v>
      </c>
      <c r="T80" t="s">
        <v>1141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</row>
    <row r="81" spans="1:53" s="6" customFormat="1" x14ac:dyDescent="0.25">
      <c r="A81">
        <v>2027855574</v>
      </c>
      <c r="B81" t="s">
        <v>977</v>
      </c>
      <c r="C81" t="s">
        <v>538</v>
      </c>
      <c r="D81" s="6" t="str">
        <f t="shared" si="3"/>
        <v>ANGELA ROBSON</v>
      </c>
      <c r="E81" t="s">
        <v>116</v>
      </c>
      <c r="F81">
        <v>8307933</v>
      </c>
      <c r="G81" t="s">
        <v>1098</v>
      </c>
      <c r="H81" t="s">
        <v>56</v>
      </c>
      <c r="I81" s="1">
        <v>45734</v>
      </c>
      <c r="J81" s="1">
        <v>45948</v>
      </c>
      <c r="K81" s="2">
        <v>75.8</v>
      </c>
      <c r="L81">
        <f t="shared" si="4"/>
        <v>7</v>
      </c>
      <c r="M81" t="s">
        <v>59</v>
      </c>
      <c r="N81" t="s">
        <v>1148</v>
      </c>
      <c r="O81" s="4">
        <v>0.75</v>
      </c>
      <c r="P81" s="16">
        <f t="shared" si="5"/>
        <v>56.849999999999994</v>
      </c>
      <c r="Q81" s="2">
        <v>0</v>
      </c>
      <c r="R81" s="2">
        <v>56.85</v>
      </c>
      <c r="S81" s="2">
        <v>56.85</v>
      </c>
      <c r="T81" t="s">
        <v>1141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</row>
    <row r="82" spans="1:53" s="6" customFormat="1" x14ac:dyDescent="0.25">
      <c r="A82">
        <v>2026526003</v>
      </c>
      <c r="B82" t="s">
        <v>1067</v>
      </c>
      <c r="C82" t="s">
        <v>1066</v>
      </c>
      <c r="D82" s="6" t="str">
        <f t="shared" si="3"/>
        <v>KIMYA HOLDER</v>
      </c>
      <c r="E82" t="s">
        <v>116</v>
      </c>
      <c r="F82">
        <v>8307933</v>
      </c>
      <c r="G82" t="s">
        <v>1098</v>
      </c>
      <c r="H82" t="s">
        <v>56</v>
      </c>
      <c r="I82" s="1">
        <v>45695</v>
      </c>
      <c r="J82" s="1">
        <v>45937</v>
      </c>
      <c r="K82" s="2">
        <v>-67.099999999999994</v>
      </c>
      <c r="L82">
        <f t="shared" si="4"/>
        <v>8</v>
      </c>
      <c r="M82" t="s">
        <v>59</v>
      </c>
      <c r="N82" t="s">
        <v>1148</v>
      </c>
      <c r="O82" s="4">
        <v>0.75</v>
      </c>
      <c r="P82" s="16">
        <f t="shared" si="5"/>
        <v>-50.324999999999996</v>
      </c>
      <c r="Q82" s="2">
        <v>0</v>
      </c>
      <c r="R82" s="2">
        <v>-50.32</v>
      </c>
      <c r="S82" s="2">
        <v>-50.32</v>
      </c>
      <c r="T82" t="s">
        <v>1141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</row>
    <row r="83" spans="1:53" s="6" customFormat="1" x14ac:dyDescent="0.25">
      <c r="A83">
        <v>2026206373</v>
      </c>
      <c r="B83" t="s">
        <v>998</v>
      </c>
      <c r="C83" t="s">
        <v>997</v>
      </c>
      <c r="D83" s="6" t="str">
        <f t="shared" si="3"/>
        <v>SHEILA BRORMAN</v>
      </c>
      <c r="E83" t="s">
        <v>116</v>
      </c>
      <c r="F83">
        <v>8307933</v>
      </c>
      <c r="G83" t="s">
        <v>1098</v>
      </c>
      <c r="H83" t="s">
        <v>56</v>
      </c>
      <c r="I83" s="1">
        <v>45644</v>
      </c>
      <c r="J83" s="1">
        <v>45948</v>
      </c>
      <c r="K83" s="2">
        <v>97.8</v>
      </c>
      <c r="L83">
        <f t="shared" si="4"/>
        <v>10</v>
      </c>
      <c r="M83" t="s">
        <v>59</v>
      </c>
      <c r="N83" t="s">
        <v>1148</v>
      </c>
      <c r="O83" s="4">
        <v>0.75</v>
      </c>
      <c r="P83" s="16">
        <f t="shared" si="5"/>
        <v>73.349999999999994</v>
      </c>
      <c r="Q83" s="2">
        <v>0</v>
      </c>
      <c r="R83" s="2">
        <v>73.349999999999994</v>
      </c>
      <c r="S83" s="2">
        <v>73.349999999999994</v>
      </c>
      <c r="T83" t="s">
        <v>1141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</row>
    <row r="84" spans="1:53" s="6" customFormat="1" x14ac:dyDescent="0.25">
      <c r="A84">
        <v>2025816907</v>
      </c>
      <c r="B84" t="s">
        <v>132</v>
      </c>
      <c r="C84" t="s">
        <v>133</v>
      </c>
      <c r="D84" s="6" t="str">
        <f t="shared" si="3"/>
        <v>DAPHNIE KLUMPP</v>
      </c>
      <c r="E84" t="s">
        <v>116</v>
      </c>
      <c r="F84">
        <v>8307933</v>
      </c>
      <c r="G84" t="s">
        <v>1098</v>
      </c>
      <c r="H84" t="s">
        <v>56</v>
      </c>
      <c r="I84" s="1">
        <v>45648</v>
      </c>
      <c r="J84" s="1">
        <v>45952</v>
      </c>
      <c r="K84" s="2">
        <v>116.52</v>
      </c>
      <c r="L84">
        <f t="shared" si="4"/>
        <v>10</v>
      </c>
      <c r="M84" t="s">
        <v>59</v>
      </c>
      <c r="N84" t="s">
        <v>1148</v>
      </c>
      <c r="O84" s="4">
        <v>0.75</v>
      </c>
      <c r="P84" s="16">
        <f t="shared" si="5"/>
        <v>87.39</v>
      </c>
      <c r="Q84" s="2">
        <v>0</v>
      </c>
      <c r="R84" s="2">
        <v>87.39</v>
      </c>
      <c r="S84" s="2">
        <v>87.39</v>
      </c>
      <c r="T84" t="s">
        <v>1141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</row>
    <row r="85" spans="1:53" s="6" customFormat="1" x14ac:dyDescent="0.25">
      <c r="A85">
        <v>2022682155</v>
      </c>
      <c r="B85" t="s">
        <v>113</v>
      </c>
      <c r="C85" t="s">
        <v>114</v>
      </c>
      <c r="D85" s="6" t="str">
        <f t="shared" si="3"/>
        <v>BLAKE DEALESSANDRO</v>
      </c>
      <c r="E85" t="s">
        <v>116</v>
      </c>
      <c r="F85">
        <v>8307933</v>
      </c>
      <c r="G85" t="s">
        <v>1098</v>
      </c>
      <c r="H85" t="s">
        <v>56</v>
      </c>
      <c r="I85" s="1">
        <v>45418</v>
      </c>
      <c r="J85" s="1">
        <v>45936</v>
      </c>
      <c r="K85" s="2">
        <v>-38.82</v>
      </c>
      <c r="L85">
        <f t="shared" si="4"/>
        <v>17</v>
      </c>
      <c r="M85" t="s">
        <v>59</v>
      </c>
      <c r="N85" t="s">
        <v>1148</v>
      </c>
      <c r="O85" s="4">
        <v>0.1</v>
      </c>
      <c r="P85" s="16">
        <f t="shared" si="5"/>
        <v>-3.8820000000000001</v>
      </c>
      <c r="Q85" s="2">
        <v>0</v>
      </c>
      <c r="R85" s="2">
        <v>-3.88</v>
      </c>
      <c r="S85" s="2">
        <v>-3.88</v>
      </c>
      <c r="T85" t="s">
        <v>1141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</row>
    <row r="86" spans="1:53" s="6" customFormat="1" x14ac:dyDescent="0.25">
      <c r="A86" s="6">
        <v>2030455582</v>
      </c>
      <c r="B86" s="6" t="s">
        <v>710</v>
      </c>
      <c r="C86" s="6" t="s">
        <v>398</v>
      </c>
      <c r="D86" s="6" t="str">
        <f t="shared" si="3"/>
        <v>JASON TROUT</v>
      </c>
      <c r="E86" s="6" t="s">
        <v>146</v>
      </c>
      <c r="F86" s="6">
        <v>16865615</v>
      </c>
      <c r="G86" s="6" t="s">
        <v>1107</v>
      </c>
      <c r="H86" s="6" t="s">
        <v>56</v>
      </c>
      <c r="I86" s="5">
        <v>45882</v>
      </c>
      <c r="J86" s="5">
        <v>45943</v>
      </c>
      <c r="K86" s="7">
        <v>29.88</v>
      </c>
      <c r="L86" s="6">
        <f t="shared" si="4"/>
        <v>2</v>
      </c>
      <c r="M86" s="6" t="s">
        <v>59</v>
      </c>
      <c r="N86" s="6" t="s">
        <v>1145</v>
      </c>
      <c r="O86" s="9">
        <v>0.65</v>
      </c>
      <c r="P86" s="16">
        <f t="shared" si="5"/>
        <v>19.422000000000001</v>
      </c>
      <c r="Q86" s="7">
        <v>19.420000000000002</v>
      </c>
      <c r="R86" s="7">
        <v>0</v>
      </c>
      <c r="S86" s="7">
        <v>0</v>
      </c>
      <c r="T86" s="6" t="s">
        <v>1150</v>
      </c>
    </row>
    <row r="87" spans="1:53" s="6" customFormat="1" x14ac:dyDescent="0.25">
      <c r="A87" s="6">
        <v>2029955373</v>
      </c>
      <c r="B87" s="6" t="s">
        <v>774</v>
      </c>
      <c r="C87" s="6" t="s">
        <v>773</v>
      </c>
      <c r="D87" s="6" t="str">
        <f t="shared" si="3"/>
        <v>MELISSA LOUIE</v>
      </c>
      <c r="E87" s="6" t="s">
        <v>146</v>
      </c>
      <c r="F87" s="6">
        <v>6634327</v>
      </c>
      <c r="G87" s="6" t="s">
        <v>1134</v>
      </c>
      <c r="H87" s="6" t="s">
        <v>56</v>
      </c>
      <c r="I87" s="5">
        <v>45853</v>
      </c>
      <c r="J87" s="5">
        <v>45945</v>
      </c>
      <c r="K87" s="7">
        <v>29.98</v>
      </c>
      <c r="L87" s="6">
        <f t="shared" si="4"/>
        <v>3</v>
      </c>
      <c r="M87" s="6" t="s">
        <v>59</v>
      </c>
      <c r="N87" s="6" t="s">
        <v>1145</v>
      </c>
      <c r="O87" s="9">
        <v>0.65</v>
      </c>
      <c r="P87" s="16">
        <f t="shared" si="5"/>
        <v>19.487000000000002</v>
      </c>
      <c r="Q87" s="7">
        <v>19.489999999999998</v>
      </c>
      <c r="R87" s="7">
        <v>0</v>
      </c>
      <c r="S87" s="7">
        <v>0</v>
      </c>
      <c r="T87" s="6" t="s">
        <v>1150</v>
      </c>
    </row>
    <row r="88" spans="1:53" s="6" customFormat="1" x14ac:dyDescent="0.25">
      <c r="A88" s="6">
        <v>2029067255</v>
      </c>
      <c r="B88" s="6" t="s">
        <v>620</v>
      </c>
      <c r="C88" s="6" t="s">
        <v>619</v>
      </c>
      <c r="D88" s="6" t="str">
        <f t="shared" si="3"/>
        <v>DRAY CHAVEZ</v>
      </c>
      <c r="E88" s="6" t="s">
        <v>146</v>
      </c>
      <c r="F88" s="6">
        <v>16865615</v>
      </c>
      <c r="G88" s="6" t="s">
        <v>1107</v>
      </c>
      <c r="H88" s="6" t="s">
        <v>230</v>
      </c>
      <c r="I88" s="5">
        <v>45809</v>
      </c>
      <c r="J88" s="5">
        <v>45931</v>
      </c>
      <c r="K88" s="7">
        <v>-17.350000000000001</v>
      </c>
      <c r="L88" s="6">
        <f t="shared" si="4"/>
        <v>4</v>
      </c>
      <c r="M88" s="6" t="s">
        <v>59</v>
      </c>
      <c r="N88" s="6" t="s">
        <v>1145</v>
      </c>
      <c r="O88" s="9">
        <v>0.65</v>
      </c>
      <c r="P88" s="16">
        <f t="shared" si="5"/>
        <v>-11.277500000000002</v>
      </c>
      <c r="Q88" s="7">
        <v>0</v>
      </c>
      <c r="R88" s="7">
        <v>-11.28</v>
      </c>
      <c r="S88" s="7">
        <v>-11.28</v>
      </c>
      <c r="T88" s="6" t="s">
        <v>1150</v>
      </c>
    </row>
    <row r="89" spans="1:53" s="6" customFormat="1" x14ac:dyDescent="0.25">
      <c r="A89" s="6">
        <v>2029101372</v>
      </c>
      <c r="B89" s="6" t="s">
        <v>189</v>
      </c>
      <c r="C89" s="6" t="s">
        <v>190</v>
      </c>
      <c r="D89" s="6" t="str">
        <f t="shared" si="3"/>
        <v>JEREMY HIGDON</v>
      </c>
      <c r="E89" s="6" t="s">
        <v>146</v>
      </c>
      <c r="F89" s="6">
        <v>371819</v>
      </c>
      <c r="G89" s="6" t="s">
        <v>1085</v>
      </c>
      <c r="H89" s="6" t="s">
        <v>56</v>
      </c>
      <c r="I89" s="5">
        <v>45801</v>
      </c>
      <c r="J89" s="5">
        <v>45954</v>
      </c>
      <c r="K89" s="7">
        <v>53.79</v>
      </c>
      <c r="L89" s="6">
        <f t="shared" si="4"/>
        <v>5</v>
      </c>
      <c r="M89" s="6" t="s">
        <v>59</v>
      </c>
      <c r="N89" s="6" t="s">
        <v>1145</v>
      </c>
      <c r="O89" s="9">
        <v>0.65</v>
      </c>
      <c r="P89" s="16">
        <f t="shared" si="5"/>
        <v>34.963500000000003</v>
      </c>
      <c r="Q89" s="7">
        <v>34.96</v>
      </c>
      <c r="R89" s="7">
        <v>0</v>
      </c>
      <c r="S89" s="7">
        <v>0</v>
      </c>
      <c r="T89" s="6" t="s">
        <v>1150</v>
      </c>
    </row>
    <row r="90" spans="1:53" s="6" customFormat="1" x14ac:dyDescent="0.25">
      <c r="A90" s="6">
        <v>2028004036</v>
      </c>
      <c r="B90" s="6" t="s">
        <v>172</v>
      </c>
      <c r="C90" s="6" t="s">
        <v>173</v>
      </c>
      <c r="D90" s="6" t="str">
        <f t="shared" si="3"/>
        <v>BRENDA LOYA</v>
      </c>
      <c r="E90" s="6" t="s">
        <v>146</v>
      </c>
      <c r="F90" s="6">
        <v>16865615</v>
      </c>
      <c r="G90" s="6" t="s">
        <v>1107</v>
      </c>
      <c r="H90" s="6" t="s">
        <v>56</v>
      </c>
      <c r="I90" s="5">
        <v>45741</v>
      </c>
      <c r="J90" s="5">
        <v>45955</v>
      </c>
      <c r="K90" s="7">
        <v>21.96</v>
      </c>
      <c r="L90" s="6">
        <f t="shared" si="4"/>
        <v>7</v>
      </c>
      <c r="M90" s="6" t="s">
        <v>59</v>
      </c>
      <c r="N90" s="6" t="s">
        <v>1148</v>
      </c>
      <c r="O90" s="9">
        <v>0.65</v>
      </c>
      <c r="P90" s="16">
        <f t="shared" si="5"/>
        <v>14.274000000000001</v>
      </c>
      <c r="Q90" s="7">
        <v>0</v>
      </c>
      <c r="R90" s="7">
        <v>14.27</v>
      </c>
      <c r="S90" s="7">
        <v>14.27</v>
      </c>
      <c r="T90" s="6" t="s">
        <v>1150</v>
      </c>
    </row>
    <row r="91" spans="1:53" s="6" customFormat="1" x14ac:dyDescent="0.25">
      <c r="A91" s="6">
        <v>2027010992</v>
      </c>
      <c r="B91" s="6" t="s">
        <v>154</v>
      </c>
      <c r="C91" s="6" t="s">
        <v>155</v>
      </c>
      <c r="D91" s="6" t="str">
        <f t="shared" si="3"/>
        <v>KURT JOHNSON</v>
      </c>
      <c r="E91" s="6" t="s">
        <v>146</v>
      </c>
      <c r="F91" s="6">
        <v>16865615</v>
      </c>
      <c r="G91" s="6" t="s">
        <v>1107</v>
      </c>
      <c r="H91" s="6" t="s">
        <v>56</v>
      </c>
      <c r="I91" s="5">
        <v>45697</v>
      </c>
      <c r="J91" s="5">
        <v>45939</v>
      </c>
      <c r="K91" s="7">
        <v>47.01</v>
      </c>
      <c r="L91" s="6">
        <f t="shared" si="4"/>
        <v>8</v>
      </c>
      <c r="M91" s="6" t="s">
        <v>59</v>
      </c>
      <c r="N91" s="6" t="s">
        <v>1148</v>
      </c>
      <c r="O91" s="9">
        <v>0.65</v>
      </c>
      <c r="P91" s="16">
        <f t="shared" si="5"/>
        <v>30.5565</v>
      </c>
      <c r="Q91" s="7">
        <v>0</v>
      </c>
      <c r="R91" s="7">
        <v>30.56</v>
      </c>
      <c r="S91" s="7">
        <v>30.56</v>
      </c>
      <c r="T91" s="6" t="s">
        <v>1150</v>
      </c>
    </row>
    <row r="92" spans="1:53" s="6" customFormat="1" x14ac:dyDescent="0.25">
      <c r="A92" s="6">
        <v>2026180758</v>
      </c>
      <c r="B92" s="6" t="s">
        <v>1005</v>
      </c>
      <c r="C92" s="6" t="s">
        <v>1004</v>
      </c>
      <c r="D92" s="6" t="str">
        <f t="shared" si="3"/>
        <v>CARRIE DOBSCH</v>
      </c>
      <c r="E92" s="6" t="s">
        <v>146</v>
      </c>
      <c r="F92" s="6">
        <v>16865615</v>
      </c>
      <c r="G92" s="6" t="s">
        <v>1107</v>
      </c>
      <c r="H92" s="6" t="s">
        <v>56</v>
      </c>
      <c r="I92" s="5">
        <v>45641</v>
      </c>
      <c r="J92" s="5">
        <v>45945</v>
      </c>
      <c r="K92" s="7">
        <v>18.7</v>
      </c>
      <c r="L92" s="6">
        <f t="shared" si="4"/>
        <v>10</v>
      </c>
      <c r="M92" s="6" t="s">
        <v>59</v>
      </c>
      <c r="N92" s="6" t="s">
        <v>1148</v>
      </c>
      <c r="O92" s="9">
        <v>0.65</v>
      </c>
      <c r="P92" s="16">
        <f t="shared" si="5"/>
        <v>12.154999999999999</v>
      </c>
      <c r="Q92" s="7">
        <v>0</v>
      </c>
      <c r="R92" s="7">
        <v>12.16</v>
      </c>
      <c r="S92" s="7">
        <v>12.16</v>
      </c>
      <c r="T92" s="6" t="s">
        <v>1150</v>
      </c>
    </row>
    <row r="93" spans="1:53" s="6" customFormat="1" x14ac:dyDescent="0.25">
      <c r="A93" s="6">
        <v>2026184418</v>
      </c>
      <c r="B93" s="6" t="s">
        <v>1003</v>
      </c>
      <c r="C93" s="6" t="s">
        <v>394</v>
      </c>
      <c r="D93" s="6" t="str">
        <f t="shared" si="3"/>
        <v>DAWN FELOSA</v>
      </c>
      <c r="E93" s="6" t="s">
        <v>146</v>
      </c>
      <c r="F93" s="6">
        <v>16865615</v>
      </c>
      <c r="G93" s="6" t="s">
        <v>1107</v>
      </c>
      <c r="H93" s="6" t="s">
        <v>56</v>
      </c>
      <c r="I93" s="5">
        <v>45641</v>
      </c>
      <c r="J93" s="5">
        <v>45945</v>
      </c>
      <c r="K93" s="7">
        <v>45.51</v>
      </c>
      <c r="L93" s="6">
        <f t="shared" si="4"/>
        <v>10</v>
      </c>
      <c r="M93" s="6" t="s">
        <v>59</v>
      </c>
      <c r="N93" s="6" t="s">
        <v>1148</v>
      </c>
      <c r="O93" s="9">
        <v>0.65</v>
      </c>
      <c r="P93" s="16">
        <f t="shared" si="5"/>
        <v>29.581499999999998</v>
      </c>
      <c r="Q93" s="7">
        <v>0</v>
      </c>
      <c r="R93" s="7">
        <v>29.58</v>
      </c>
      <c r="S93" s="7">
        <v>29.58</v>
      </c>
      <c r="T93" s="6" t="s">
        <v>1150</v>
      </c>
    </row>
    <row r="94" spans="1:53" s="6" customFormat="1" x14ac:dyDescent="0.25">
      <c r="A94" s="6">
        <v>2026061218</v>
      </c>
      <c r="B94" s="6" t="s">
        <v>790</v>
      </c>
      <c r="C94" s="6" t="s">
        <v>789</v>
      </c>
      <c r="D94" s="6" t="str">
        <f t="shared" si="3"/>
        <v>JOSEPH HINTZICKER</v>
      </c>
      <c r="E94" s="6" t="s">
        <v>146</v>
      </c>
      <c r="F94" s="6">
        <v>21313588</v>
      </c>
      <c r="G94" s="6" t="s">
        <v>1109</v>
      </c>
      <c r="H94" s="6" t="s">
        <v>56</v>
      </c>
      <c r="I94" s="5">
        <v>45641</v>
      </c>
      <c r="J94" s="5">
        <v>45945</v>
      </c>
      <c r="K94" s="7">
        <v>37.130000000000003</v>
      </c>
      <c r="L94" s="6">
        <f t="shared" si="4"/>
        <v>10</v>
      </c>
      <c r="M94" s="6" t="s">
        <v>59</v>
      </c>
      <c r="N94" s="6" t="s">
        <v>1148</v>
      </c>
      <c r="O94" s="9">
        <v>0.65</v>
      </c>
      <c r="P94" s="16">
        <f t="shared" si="5"/>
        <v>24.134500000000003</v>
      </c>
      <c r="Q94" s="7">
        <v>0</v>
      </c>
      <c r="R94" s="7">
        <v>24.13</v>
      </c>
      <c r="S94" s="7">
        <v>24.13</v>
      </c>
      <c r="T94" s="6" t="s">
        <v>1150</v>
      </c>
    </row>
    <row r="95" spans="1:53" s="6" customFormat="1" x14ac:dyDescent="0.25">
      <c r="A95" s="6">
        <v>2026295211</v>
      </c>
      <c r="B95" s="6" t="s">
        <v>144</v>
      </c>
      <c r="C95" s="6" t="s">
        <v>145</v>
      </c>
      <c r="D95" s="6" t="str">
        <f t="shared" si="3"/>
        <v>CHARLES RANDALL</v>
      </c>
      <c r="E95" s="6" t="s">
        <v>146</v>
      </c>
      <c r="F95" s="6">
        <v>16865615</v>
      </c>
      <c r="G95" s="6" t="s">
        <v>1107</v>
      </c>
      <c r="H95" s="6" t="s">
        <v>56</v>
      </c>
      <c r="I95" s="5">
        <v>45650</v>
      </c>
      <c r="J95" s="5">
        <v>45954</v>
      </c>
      <c r="K95" s="7">
        <v>42.22</v>
      </c>
      <c r="L95" s="6">
        <f t="shared" si="4"/>
        <v>10</v>
      </c>
      <c r="M95" s="6" t="s">
        <v>59</v>
      </c>
      <c r="N95" s="6" t="s">
        <v>1148</v>
      </c>
      <c r="O95" s="9">
        <v>0.65</v>
      </c>
      <c r="P95" s="16">
        <f t="shared" si="5"/>
        <v>27.443000000000001</v>
      </c>
      <c r="Q95" s="7">
        <v>0</v>
      </c>
      <c r="R95" s="7">
        <v>27.44</v>
      </c>
      <c r="S95" s="7">
        <v>27.44</v>
      </c>
      <c r="T95" s="6" t="s">
        <v>1150</v>
      </c>
    </row>
    <row r="96" spans="1:53" s="6" customFormat="1" x14ac:dyDescent="0.25">
      <c r="A96" s="6">
        <v>2026111642</v>
      </c>
      <c r="B96" s="6" t="s">
        <v>1012</v>
      </c>
      <c r="C96" s="6" t="s">
        <v>1011</v>
      </c>
      <c r="D96" s="6" t="str">
        <f t="shared" si="3"/>
        <v>NIKKI SANDOVAL</v>
      </c>
      <c r="E96" s="6" t="s">
        <v>146</v>
      </c>
      <c r="F96" s="6">
        <v>21313588</v>
      </c>
      <c r="G96" s="6" t="s">
        <v>1109</v>
      </c>
      <c r="H96" s="6" t="s">
        <v>56</v>
      </c>
      <c r="I96" s="5">
        <v>45641</v>
      </c>
      <c r="J96" s="5">
        <v>45945</v>
      </c>
      <c r="K96" s="7">
        <v>58.48</v>
      </c>
      <c r="L96" s="6">
        <f t="shared" si="4"/>
        <v>10</v>
      </c>
      <c r="M96" s="6" t="s">
        <v>59</v>
      </c>
      <c r="N96" s="6" t="s">
        <v>1148</v>
      </c>
      <c r="O96" s="9">
        <v>0.65</v>
      </c>
      <c r="P96" s="16">
        <f t="shared" si="5"/>
        <v>38.012</v>
      </c>
      <c r="Q96" s="7">
        <v>0</v>
      </c>
      <c r="R96" s="7">
        <v>38.01</v>
      </c>
      <c r="S96" s="7">
        <v>38.01</v>
      </c>
      <c r="T96" s="6" t="s">
        <v>1150</v>
      </c>
    </row>
    <row r="97" spans="1:53" s="6" customFormat="1" x14ac:dyDescent="0.25">
      <c r="A97">
        <v>2027965834</v>
      </c>
      <c r="B97" t="s">
        <v>168</v>
      </c>
      <c r="C97" t="s">
        <v>169</v>
      </c>
      <c r="D97" s="6" t="str">
        <f t="shared" si="3"/>
        <v>ANTHONY LOUIS</v>
      </c>
      <c r="E97" t="s">
        <v>146</v>
      </c>
      <c r="F97">
        <v>18754354</v>
      </c>
      <c r="G97" t="s">
        <v>1108</v>
      </c>
      <c r="H97" t="s">
        <v>56</v>
      </c>
      <c r="I97" s="1">
        <v>45738</v>
      </c>
      <c r="J97" s="1">
        <v>45952</v>
      </c>
      <c r="K97" s="2">
        <v>8.64</v>
      </c>
      <c r="L97">
        <f t="shared" si="4"/>
        <v>7</v>
      </c>
      <c r="M97" t="s">
        <v>59</v>
      </c>
      <c r="N97" t="s">
        <v>1148</v>
      </c>
      <c r="O97" s="4">
        <v>0.65</v>
      </c>
      <c r="P97" s="16">
        <f t="shared" si="5"/>
        <v>5.6160000000000005</v>
      </c>
      <c r="Q97" s="2">
        <v>0</v>
      </c>
      <c r="R97" s="2">
        <v>5.62</v>
      </c>
      <c r="S97" s="2">
        <v>5.62</v>
      </c>
      <c r="T97" t="s">
        <v>1150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</row>
    <row r="98" spans="1:53" s="6" customFormat="1" x14ac:dyDescent="0.25">
      <c r="A98">
        <v>2027258066</v>
      </c>
      <c r="B98" t="s">
        <v>160</v>
      </c>
      <c r="C98" t="s">
        <v>161</v>
      </c>
      <c r="D98" s="6" t="str">
        <f t="shared" si="3"/>
        <v>VIVIANA BUSH</v>
      </c>
      <c r="E98" t="s">
        <v>146</v>
      </c>
      <c r="F98">
        <v>8977234</v>
      </c>
      <c r="G98" t="s">
        <v>1078</v>
      </c>
      <c r="H98" t="s">
        <v>56</v>
      </c>
      <c r="I98" s="1">
        <v>45710</v>
      </c>
      <c r="J98" s="1">
        <v>45952</v>
      </c>
      <c r="K98" s="2">
        <v>78.239999999999995</v>
      </c>
      <c r="L98">
        <f t="shared" si="4"/>
        <v>8</v>
      </c>
      <c r="M98" t="s">
        <v>59</v>
      </c>
      <c r="N98" t="s">
        <v>1148</v>
      </c>
      <c r="O98" s="4">
        <v>0.65</v>
      </c>
      <c r="P98" s="16">
        <f t="shared" si="5"/>
        <v>50.856000000000002</v>
      </c>
      <c r="Q98" s="2">
        <v>0</v>
      </c>
      <c r="R98" s="2">
        <v>50.86</v>
      </c>
      <c r="S98" s="2">
        <v>50.86</v>
      </c>
      <c r="T98" t="s">
        <v>1150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</row>
    <row r="99" spans="1:53" s="6" customFormat="1" x14ac:dyDescent="0.25">
      <c r="A99">
        <v>2026783376</v>
      </c>
      <c r="B99" t="s">
        <v>149</v>
      </c>
      <c r="C99" t="s">
        <v>150</v>
      </c>
      <c r="D99" s="6" t="str">
        <f t="shared" si="3"/>
        <v>MARK CERRETANI</v>
      </c>
      <c r="E99" t="s">
        <v>146</v>
      </c>
      <c r="F99">
        <v>8977234</v>
      </c>
      <c r="G99" t="s">
        <v>1078</v>
      </c>
      <c r="H99" t="s">
        <v>56</v>
      </c>
      <c r="I99" s="1">
        <v>45709</v>
      </c>
      <c r="J99" s="1">
        <v>45951</v>
      </c>
      <c r="K99" s="2">
        <v>66.489999999999995</v>
      </c>
      <c r="L99">
        <f t="shared" si="4"/>
        <v>8</v>
      </c>
      <c r="M99" t="s">
        <v>59</v>
      </c>
      <c r="N99" t="s">
        <v>1148</v>
      </c>
      <c r="O99" s="4">
        <v>0.65</v>
      </c>
      <c r="P99" s="16">
        <f t="shared" si="5"/>
        <v>43.218499999999999</v>
      </c>
      <c r="Q99" s="2">
        <v>0</v>
      </c>
      <c r="R99" s="2">
        <v>43.22</v>
      </c>
      <c r="S99" s="2">
        <v>43.22</v>
      </c>
      <c r="T99" t="s">
        <v>1150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</row>
    <row r="100" spans="1:53" s="6" customFormat="1" x14ac:dyDescent="0.25">
      <c r="A100">
        <v>2025850686</v>
      </c>
      <c r="B100" t="s">
        <v>556</v>
      </c>
      <c r="C100" t="s">
        <v>791</v>
      </c>
      <c r="D100" s="6" t="str">
        <f t="shared" si="3"/>
        <v>WANIETA TAYLOR</v>
      </c>
      <c r="E100" t="s">
        <v>146</v>
      </c>
      <c r="F100">
        <v>8977234</v>
      </c>
      <c r="G100" t="s">
        <v>1078</v>
      </c>
      <c r="H100" t="s">
        <v>56</v>
      </c>
      <c r="I100" s="1">
        <v>45658</v>
      </c>
      <c r="J100" s="1">
        <v>45931</v>
      </c>
      <c r="K100" s="2">
        <v>126.15</v>
      </c>
      <c r="L100">
        <f t="shared" si="4"/>
        <v>9</v>
      </c>
      <c r="M100" t="s">
        <v>59</v>
      </c>
      <c r="N100" t="s">
        <v>1148</v>
      </c>
      <c r="O100" s="4">
        <v>0.65</v>
      </c>
      <c r="P100" s="16">
        <f t="shared" si="5"/>
        <v>81.997500000000002</v>
      </c>
      <c r="Q100" s="2">
        <v>0</v>
      </c>
      <c r="R100" s="2">
        <v>82</v>
      </c>
      <c r="S100" s="2">
        <v>82</v>
      </c>
      <c r="T100" t="s">
        <v>1150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</row>
    <row r="101" spans="1:53" s="6" customFormat="1" x14ac:dyDescent="0.25">
      <c r="A101">
        <v>2022254779</v>
      </c>
      <c r="B101" t="s">
        <v>740</v>
      </c>
      <c r="C101" t="s">
        <v>145</v>
      </c>
      <c r="D101" s="6" t="str">
        <f t="shared" si="3"/>
        <v>CHARLES MOHLER</v>
      </c>
      <c r="E101" t="s">
        <v>146</v>
      </c>
      <c r="F101">
        <v>8977234</v>
      </c>
      <c r="G101" t="s">
        <v>1078</v>
      </c>
      <c r="H101" t="s">
        <v>56</v>
      </c>
      <c r="I101" s="1">
        <v>45364</v>
      </c>
      <c r="J101" s="1">
        <v>45943</v>
      </c>
      <c r="K101" s="2">
        <v>150.51</v>
      </c>
      <c r="L101">
        <f t="shared" si="4"/>
        <v>19</v>
      </c>
      <c r="M101" t="s">
        <v>59</v>
      </c>
      <c r="N101" t="s">
        <v>1148</v>
      </c>
      <c r="O101" s="4">
        <v>0.1</v>
      </c>
      <c r="P101" s="16">
        <f t="shared" si="5"/>
        <v>15.051</v>
      </c>
      <c r="Q101" s="2">
        <v>0</v>
      </c>
      <c r="R101" s="2">
        <v>15.05</v>
      </c>
      <c r="S101" s="2">
        <v>15.05</v>
      </c>
      <c r="T101" t="s">
        <v>1150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</row>
    <row r="102" spans="1:53" s="6" customFormat="1" x14ac:dyDescent="0.25">
      <c r="A102" s="6">
        <v>2030341226</v>
      </c>
      <c r="B102" s="6" t="s">
        <v>720</v>
      </c>
      <c r="C102" s="6" t="s">
        <v>719</v>
      </c>
      <c r="D102" s="6" t="str">
        <f t="shared" si="3"/>
        <v>KODI LAKE</v>
      </c>
      <c r="E102" s="6" t="s">
        <v>107</v>
      </c>
      <c r="F102" s="6">
        <v>371819</v>
      </c>
      <c r="G102" s="6" t="s">
        <v>1085</v>
      </c>
      <c r="H102" s="6" t="s">
        <v>56</v>
      </c>
      <c r="I102" s="5">
        <v>45879</v>
      </c>
      <c r="J102" s="5">
        <v>45940</v>
      </c>
      <c r="K102" s="7">
        <v>26.88</v>
      </c>
      <c r="L102" s="6">
        <f t="shared" si="4"/>
        <v>2</v>
      </c>
      <c r="M102" s="6" t="s">
        <v>59</v>
      </c>
      <c r="N102" s="6" t="s">
        <v>1145</v>
      </c>
      <c r="O102" s="9">
        <v>0.9</v>
      </c>
      <c r="P102" s="16">
        <f t="shared" si="5"/>
        <v>24.192</v>
      </c>
      <c r="Q102" s="7">
        <v>24.19</v>
      </c>
      <c r="R102" s="7">
        <v>0</v>
      </c>
      <c r="S102" s="7">
        <v>0</v>
      </c>
      <c r="T102" s="6" t="s">
        <v>1142</v>
      </c>
    </row>
    <row r="103" spans="1:53" s="6" customFormat="1" x14ac:dyDescent="0.25">
      <c r="A103" s="6">
        <v>2030474901</v>
      </c>
      <c r="B103" s="6" t="s">
        <v>1064</v>
      </c>
      <c r="C103" s="6" t="s">
        <v>1063</v>
      </c>
      <c r="D103" s="6" t="str">
        <f t="shared" si="3"/>
        <v>LATONYS THOMPSON</v>
      </c>
      <c r="E103" s="6" t="s">
        <v>107</v>
      </c>
      <c r="F103" s="6">
        <v>371819</v>
      </c>
      <c r="G103" s="6" t="s">
        <v>1085</v>
      </c>
      <c r="H103" s="6" t="s">
        <v>56</v>
      </c>
      <c r="I103" s="5">
        <v>45883</v>
      </c>
      <c r="J103" s="5">
        <v>45944</v>
      </c>
      <c r="K103" s="7">
        <v>104.71</v>
      </c>
      <c r="L103" s="6">
        <f t="shared" si="4"/>
        <v>2</v>
      </c>
      <c r="M103" s="6" t="s">
        <v>59</v>
      </c>
      <c r="N103" s="6" t="s">
        <v>1145</v>
      </c>
      <c r="O103" s="9">
        <v>0.9</v>
      </c>
      <c r="P103" s="16">
        <f t="shared" si="5"/>
        <v>94.23899999999999</v>
      </c>
      <c r="Q103" s="7">
        <v>94.24</v>
      </c>
      <c r="R103" s="7">
        <v>0</v>
      </c>
      <c r="S103" s="7">
        <v>0</v>
      </c>
      <c r="T103" s="6" t="s">
        <v>1142</v>
      </c>
    </row>
    <row r="104" spans="1:53" s="6" customFormat="1" x14ac:dyDescent="0.25">
      <c r="A104" s="6">
        <v>2029938124</v>
      </c>
      <c r="B104" s="6" t="s">
        <v>837</v>
      </c>
      <c r="C104" s="6" t="s">
        <v>836</v>
      </c>
      <c r="D104" s="6" t="str">
        <f t="shared" si="3"/>
        <v>KENZIE DUKE</v>
      </c>
      <c r="E104" s="6" t="s">
        <v>107</v>
      </c>
      <c r="F104" s="6">
        <v>371819</v>
      </c>
      <c r="G104" s="6" t="s">
        <v>1085</v>
      </c>
      <c r="H104" s="6" t="s">
        <v>56</v>
      </c>
      <c r="I104" s="5">
        <v>45853</v>
      </c>
      <c r="J104" s="5">
        <v>45945</v>
      </c>
      <c r="K104" s="7">
        <v>50.87</v>
      </c>
      <c r="L104" s="6">
        <f t="shared" si="4"/>
        <v>3</v>
      </c>
      <c r="M104" s="6" t="s">
        <v>59</v>
      </c>
      <c r="N104" s="6" t="s">
        <v>1145</v>
      </c>
      <c r="O104" s="9">
        <v>0.9</v>
      </c>
      <c r="P104" s="16">
        <f t="shared" si="5"/>
        <v>45.783000000000001</v>
      </c>
      <c r="Q104" s="7">
        <v>45.78</v>
      </c>
      <c r="R104" s="7">
        <v>0</v>
      </c>
      <c r="S104" s="7">
        <v>0</v>
      </c>
      <c r="T104" s="6" t="s">
        <v>1142</v>
      </c>
    </row>
    <row r="105" spans="1:53" s="6" customFormat="1" x14ac:dyDescent="0.25">
      <c r="A105" s="6">
        <v>2030108810</v>
      </c>
      <c r="B105" s="6" t="s">
        <v>219</v>
      </c>
      <c r="C105" s="6" t="s">
        <v>220</v>
      </c>
      <c r="D105" s="6" t="str">
        <f t="shared" si="3"/>
        <v>CARR LAUREN</v>
      </c>
      <c r="E105" s="6" t="s">
        <v>107</v>
      </c>
      <c r="F105" s="6">
        <v>21313588</v>
      </c>
      <c r="G105" s="6" t="s">
        <v>1109</v>
      </c>
      <c r="H105" s="6" t="s">
        <v>56</v>
      </c>
      <c r="I105" s="5">
        <v>45862</v>
      </c>
      <c r="J105" s="5">
        <v>45954</v>
      </c>
      <c r="K105" s="7">
        <v>36.130000000000003</v>
      </c>
      <c r="L105" s="6">
        <f t="shared" si="4"/>
        <v>3</v>
      </c>
      <c r="M105" s="6" t="s">
        <v>59</v>
      </c>
      <c r="N105" s="6" t="s">
        <v>1145</v>
      </c>
      <c r="O105" s="9">
        <v>0.9</v>
      </c>
      <c r="P105" s="16">
        <f t="shared" si="5"/>
        <v>32.517000000000003</v>
      </c>
      <c r="Q105" s="7">
        <v>32.520000000000003</v>
      </c>
      <c r="R105" s="7">
        <v>0</v>
      </c>
      <c r="S105" s="7">
        <v>0</v>
      </c>
      <c r="T105" s="6" t="s">
        <v>1142</v>
      </c>
    </row>
    <row r="106" spans="1:53" s="6" customFormat="1" x14ac:dyDescent="0.25">
      <c r="A106" s="6">
        <v>2030145092</v>
      </c>
      <c r="B106" s="6" t="s">
        <v>222</v>
      </c>
      <c r="C106" s="6" t="s">
        <v>223</v>
      </c>
      <c r="D106" s="6" t="str">
        <f t="shared" si="3"/>
        <v>CHEREGI RALUCA</v>
      </c>
      <c r="E106" s="6" t="s">
        <v>107</v>
      </c>
      <c r="F106" s="6">
        <v>7470776</v>
      </c>
      <c r="G106" s="6" t="s">
        <v>1093</v>
      </c>
      <c r="H106" s="6" t="s">
        <v>56</v>
      </c>
      <c r="I106" s="5">
        <v>45864</v>
      </c>
      <c r="J106" s="5">
        <v>45956</v>
      </c>
      <c r="K106" s="7">
        <v>62.71</v>
      </c>
      <c r="L106" s="6">
        <f t="shared" si="4"/>
        <v>3</v>
      </c>
      <c r="M106" s="6" t="s">
        <v>59</v>
      </c>
      <c r="N106" s="6" t="s">
        <v>1145</v>
      </c>
      <c r="O106" s="9">
        <v>0.9</v>
      </c>
      <c r="P106" s="16">
        <f t="shared" si="5"/>
        <v>56.439</v>
      </c>
      <c r="Q106" s="7">
        <v>56.44</v>
      </c>
      <c r="R106" s="7">
        <v>0</v>
      </c>
      <c r="S106" s="7">
        <v>0</v>
      </c>
      <c r="T106" s="6" t="s">
        <v>1142</v>
      </c>
    </row>
    <row r="107" spans="1:53" s="6" customFormat="1" x14ac:dyDescent="0.25">
      <c r="A107" s="6">
        <v>2029528276</v>
      </c>
      <c r="B107" s="6" t="s">
        <v>840</v>
      </c>
      <c r="C107" s="6" t="s">
        <v>789</v>
      </c>
      <c r="D107" s="6" t="str">
        <f t="shared" si="3"/>
        <v>JOSEPH BIZZIERI</v>
      </c>
      <c r="E107" s="6" t="s">
        <v>107</v>
      </c>
      <c r="F107" s="6">
        <v>21421111</v>
      </c>
      <c r="G107" s="6" t="s">
        <v>1096</v>
      </c>
      <c r="H107" s="6" t="s">
        <v>56</v>
      </c>
      <c r="I107" s="5">
        <v>45827</v>
      </c>
      <c r="J107" s="5">
        <v>45949</v>
      </c>
      <c r="K107" s="7">
        <v>47.65</v>
      </c>
      <c r="L107" s="6">
        <f t="shared" si="4"/>
        <v>4</v>
      </c>
      <c r="M107" s="6" t="s">
        <v>59</v>
      </c>
      <c r="N107" s="6" t="s">
        <v>1145</v>
      </c>
      <c r="O107" s="9">
        <v>0.9</v>
      </c>
      <c r="P107" s="16">
        <f t="shared" si="5"/>
        <v>42.884999999999998</v>
      </c>
      <c r="Q107" s="7">
        <v>42.88</v>
      </c>
      <c r="R107" s="7">
        <v>0</v>
      </c>
      <c r="S107" s="7">
        <v>0</v>
      </c>
      <c r="T107" s="6" t="s">
        <v>1142</v>
      </c>
    </row>
    <row r="108" spans="1:53" s="6" customFormat="1" x14ac:dyDescent="0.25">
      <c r="A108" s="6">
        <v>2029620629</v>
      </c>
      <c r="B108" s="6" t="s">
        <v>198</v>
      </c>
      <c r="C108" s="6" t="s">
        <v>199</v>
      </c>
      <c r="D108" s="6" t="str">
        <f t="shared" si="3"/>
        <v>CETRE CARLOS</v>
      </c>
      <c r="E108" s="6" t="s">
        <v>107</v>
      </c>
      <c r="F108" s="6">
        <v>7470776</v>
      </c>
      <c r="G108" s="6" t="s">
        <v>1093</v>
      </c>
      <c r="H108" s="6" t="s">
        <v>56</v>
      </c>
      <c r="I108" s="5">
        <v>45833</v>
      </c>
      <c r="J108" s="5">
        <v>45955</v>
      </c>
      <c r="K108" s="7">
        <v>145.06</v>
      </c>
      <c r="L108" s="6">
        <f t="shared" si="4"/>
        <v>4</v>
      </c>
      <c r="M108" s="6" t="s">
        <v>59</v>
      </c>
      <c r="N108" s="6" t="s">
        <v>1145</v>
      </c>
      <c r="O108" s="9">
        <v>0.9</v>
      </c>
      <c r="P108" s="16">
        <f t="shared" si="5"/>
        <v>130.554</v>
      </c>
      <c r="Q108" s="7">
        <v>130.55000000000001</v>
      </c>
      <c r="R108" s="7">
        <v>0</v>
      </c>
      <c r="S108" s="7">
        <v>0</v>
      </c>
      <c r="T108" s="6" t="s">
        <v>1142</v>
      </c>
    </row>
    <row r="109" spans="1:53" s="6" customFormat="1" x14ac:dyDescent="0.25">
      <c r="A109" s="6">
        <v>2029567228</v>
      </c>
      <c r="B109" s="6" t="s">
        <v>196</v>
      </c>
      <c r="C109" s="6" t="s">
        <v>197</v>
      </c>
      <c r="D109" s="6" t="str">
        <f t="shared" si="3"/>
        <v>CRYSTAL PINA</v>
      </c>
      <c r="E109" s="6" t="s">
        <v>107</v>
      </c>
      <c r="F109" s="6">
        <v>371819</v>
      </c>
      <c r="G109" s="6" t="s">
        <v>1085</v>
      </c>
      <c r="H109" s="6" t="s">
        <v>56</v>
      </c>
      <c r="I109" s="5">
        <v>45829</v>
      </c>
      <c r="J109" s="5">
        <v>45951</v>
      </c>
      <c r="K109" s="7">
        <v>47.75</v>
      </c>
      <c r="L109" s="6">
        <f t="shared" si="4"/>
        <v>4</v>
      </c>
      <c r="M109" s="6" t="s">
        <v>59</v>
      </c>
      <c r="N109" s="6" t="s">
        <v>1145</v>
      </c>
      <c r="O109" s="9">
        <v>0.9</v>
      </c>
      <c r="P109" s="16">
        <f t="shared" si="5"/>
        <v>42.975000000000001</v>
      </c>
      <c r="Q109" s="7">
        <v>42.98</v>
      </c>
      <c r="R109" s="7">
        <v>0</v>
      </c>
      <c r="S109" s="7">
        <v>0</v>
      </c>
      <c r="T109" s="6" t="s">
        <v>1142</v>
      </c>
    </row>
    <row r="110" spans="1:53" s="6" customFormat="1" x14ac:dyDescent="0.25">
      <c r="A110" s="6">
        <v>2028466943</v>
      </c>
      <c r="B110" s="6" t="s">
        <v>176</v>
      </c>
      <c r="C110" s="6" t="s">
        <v>177</v>
      </c>
      <c r="D110" s="6" t="str">
        <f t="shared" si="3"/>
        <v>QUINN HUNCHAR</v>
      </c>
      <c r="E110" s="6" t="s">
        <v>107</v>
      </c>
      <c r="F110" s="6">
        <v>16865615</v>
      </c>
      <c r="G110" s="6" t="s">
        <v>1107</v>
      </c>
      <c r="H110" s="6" t="s">
        <v>56</v>
      </c>
      <c r="I110" s="5">
        <v>45767</v>
      </c>
      <c r="J110" s="5">
        <v>45950</v>
      </c>
      <c r="K110" s="7">
        <v>31.08</v>
      </c>
      <c r="L110" s="6">
        <f t="shared" si="4"/>
        <v>6</v>
      </c>
      <c r="M110" s="6" t="s">
        <v>59</v>
      </c>
      <c r="N110" s="6" t="s">
        <v>1145</v>
      </c>
      <c r="O110" s="9">
        <v>0.9</v>
      </c>
      <c r="P110" s="16">
        <f t="shared" si="5"/>
        <v>27.971999999999998</v>
      </c>
      <c r="Q110" s="7">
        <v>0</v>
      </c>
      <c r="R110" s="7">
        <v>27.97</v>
      </c>
      <c r="S110" s="7">
        <v>27.97</v>
      </c>
      <c r="T110" s="6" t="s">
        <v>1142</v>
      </c>
    </row>
    <row r="111" spans="1:53" s="6" customFormat="1" x14ac:dyDescent="0.25">
      <c r="A111" s="6">
        <v>2028461883</v>
      </c>
      <c r="B111" s="6" t="s">
        <v>174</v>
      </c>
      <c r="C111" s="6" t="s">
        <v>175</v>
      </c>
      <c r="D111" s="6" t="str">
        <f t="shared" si="3"/>
        <v>JULIA LAIT</v>
      </c>
      <c r="E111" s="6" t="s">
        <v>107</v>
      </c>
      <c r="F111" s="6">
        <v>16633294</v>
      </c>
      <c r="G111" s="6" t="s">
        <v>1079</v>
      </c>
      <c r="H111" s="6" t="s">
        <v>56</v>
      </c>
      <c r="I111" s="5">
        <v>45772</v>
      </c>
      <c r="J111" s="5">
        <v>45955</v>
      </c>
      <c r="K111" s="7">
        <v>36.82</v>
      </c>
      <c r="L111" s="6">
        <f t="shared" si="4"/>
        <v>6</v>
      </c>
      <c r="M111" s="6" t="s">
        <v>59</v>
      </c>
      <c r="N111" s="6" t="s">
        <v>1145</v>
      </c>
      <c r="O111" s="9">
        <v>0.9</v>
      </c>
      <c r="P111" s="16">
        <f t="shared" si="5"/>
        <v>33.137999999999998</v>
      </c>
      <c r="Q111" s="7">
        <v>0</v>
      </c>
      <c r="R111" s="7">
        <v>33.14</v>
      </c>
      <c r="S111" s="7">
        <v>33.14</v>
      </c>
      <c r="T111" s="6" t="s">
        <v>1142</v>
      </c>
    </row>
    <row r="112" spans="1:53" s="6" customFormat="1" x14ac:dyDescent="0.25">
      <c r="A112" s="6">
        <v>2027913474</v>
      </c>
      <c r="B112" s="6" t="s">
        <v>166</v>
      </c>
      <c r="C112" s="6" t="s">
        <v>167</v>
      </c>
      <c r="D112" s="6" t="str">
        <f t="shared" si="3"/>
        <v>MONIKA AUFDERHEIDE</v>
      </c>
      <c r="E112" s="6" t="s">
        <v>107</v>
      </c>
      <c r="F112" s="6">
        <v>16865615</v>
      </c>
      <c r="G112" s="6" t="s">
        <v>1107</v>
      </c>
      <c r="H112" s="6" t="s">
        <v>56</v>
      </c>
      <c r="I112" s="5">
        <v>45738</v>
      </c>
      <c r="J112" s="5">
        <v>45952</v>
      </c>
      <c r="K112" s="7">
        <v>111.54</v>
      </c>
      <c r="L112" s="6">
        <f t="shared" si="4"/>
        <v>7</v>
      </c>
      <c r="M112" s="6" t="s">
        <v>59</v>
      </c>
      <c r="N112" s="6" t="s">
        <v>1148</v>
      </c>
      <c r="O112" s="9">
        <v>0.9</v>
      </c>
      <c r="P112" s="16">
        <f t="shared" si="5"/>
        <v>100.38600000000001</v>
      </c>
      <c r="Q112" s="7">
        <v>0</v>
      </c>
      <c r="R112" s="7">
        <v>100.39</v>
      </c>
      <c r="S112" s="7">
        <v>100.39</v>
      </c>
      <c r="T112" s="6" t="s">
        <v>1142</v>
      </c>
    </row>
    <row r="113" spans="1:53" s="6" customFormat="1" x14ac:dyDescent="0.25">
      <c r="A113" s="6">
        <v>2027867339</v>
      </c>
      <c r="B113" s="6" t="s">
        <v>164</v>
      </c>
      <c r="C113" s="6" t="s">
        <v>165</v>
      </c>
      <c r="D113" s="6" t="str">
        <f t="shared" si="3"/>
        <v>DERREK MARTINEZ</v>
      </c>
      <c r="E113" s="6" t="s">
        <v>107</v>
      </c>
      <c r="F113" s="6">
        <v>16865615</v>
      </c>
      <c r="G113" s="6" t="s">
        <v>1107</v>
      </c>
      <c r="H113" s="6" t="s">
        <v>56</v>
      </c>
      <c r="I113" s="5">
        <v>45736</v>
      </c>
      <c r="J113" s="5">
        <v>45950</v>
      </c>
      <c r="K113" s="7">
        <v>59.42</v>
      </c>
      <c r="L113" s="6">
        <f t="shared" si="4"/>
        <v>7</v>
      </c>
      <c r="M113" s="6" t="s">
        <v>59</v>
      </c>
      <c r="N113" s="6" t="s">
        <v>1148</v>
      </c>
      <c r="O113" s="9">
        <v>0.9</v>
      </c>
      <c r="P113" s="16">
        <f t="shared" si="5"/>
        <v>53.478000000000002</v>
      </c>
      <c r="Q113" s="7">
        <v>0</v>
      </c>
      <c r="R113" s="7">
        <v>53.48</v>
      </c>
      <c r="S113" s="7">
        <v>53.48</v>
      </c>
      <c r="T113" s="6" t="s">
        <v>1142</v>
      </c>
    </row>
    <row r="114" spans="1:53" s="6" customFormat="1" x14ac:dyDescent="0.25">
      <c r="A114" s="6">
        <v>2027115500</v>
      </c>
      <c r="B114" s="6" t="s">
        <v>987</v>
      </c>
      <c r="C114" s="6" t="s">
        <v>986</v>
      </c>
      <c r="D114" s="6" t="str">
        <f t="shared" si="3"/>
        <v>MADELYN CLEAVE</v>
      </c>
      <c r="E114" s="6" t="s">
        <v>107</v>
      </c>
      <c r="F114" s="6">
        <v>16912722</v>
      </c>
      <c r="G114" s="6" t="s">
        <v>1111</v>
      </c>
      <c r="H114" s="6" t="s">
        <v>56</v>
      </c>
      <c r="I114" s="5">
        <v>45703</v>
      </c>
      <c r="J114" s="5">
        <v>45945</v>
      </c>
      <c r="K114" s="7">
        <v>13.92</v>
      </c>
      <c r="L114" s="6">
        <f t="shared" si="4"/>
        <v>8</v>
      </c>
      <c r="M114" s="6" t="s">
        <v>59</v>
      </c>
      <c r="N114" s="6" t="s">
        <v>1148</v>
      </c>
      <c r="O114" s="9">
        <v>0.9</v>
      </c>
      <c r="P114" s="16">
        <f t="shared" si="5"/>
        <v>12.528</v>
      </c>
      <c r="Q114" s="7">
        <v>0</v>
      </c>
      <c r="R114" s="7">
        <v>12.53</v>
      </c>
      <c r="S114" s="7">
        <v>12.53</v>
      </c>
      <c r="T114" s="6" t="s">
        <v>1142</v>
      </c>
    </row>
    <row r="115" spans="1:53" s="6" customFormat="1" x14ac:dyDescent="0.25">
      <c r="A115" s="6">
        <v>2026581911</v>
      </c>
      <c r="B115" s="6" t="s">
        <v>990</v>
      </c>
      <c r="C115" s="6" t="s">
        <v>286</v>
      </c>
      <c r="D115" s="6" t="str">
        <f t="shared" si="3"/>
        <v>EDWARD CARROLL</v>
      </c>
      <c r="E115" s="6" t="s">
        <v>107</v>
      </c>
      <c r="F115" s="6">
        <v>371819</v>
      </c>
      <c r="G115" s="6" t="s">
        <v>1085</v>
      </c>
      <c r="H115" s="6" t="s">
        <v>56</v>
      </c>
      <c r="I115" s="5">
        <v>45672</v>
      </c>
      <c r="J115" s="5">
        <v>45945</v>
      </c>
      <c r="K115" s="7">
        <v>76.959999999999994</v>
      </c>
      <c r="L115" s="6">
        <f t="shared" si="4"/>
        <v>9</v>
      </c>
      <c r="M115" s="6" t="s">
        <v>59</v>
      </c>
      <c r="N115" s="6" t="s">
        <v>1148</v>
      </c>
      <c r="O115" s="9">
        <v>0.9</v>
      </c>
      <c r="P115" s="16">
        <f t="shared" si="5"/>
        <v>69.263999999999996</v>
      </c>
      <c r="Q115" s="7">
        <v>0</v>
      </c>
      <c r="R115" s="7">
        <v>69.260000000000005</v>
      </c>
      <c r="S115" s="7">
        <v>69.260000000000005</v>
      </c>
      <c r="T115" s="6" t="s">
        <v>1142</v>
      </c>
    </row>
    <row r="116" spans="1:53" s="6" customFormat="1" x14ac:dyDescent="0.25">
      <c r="A116" s="6">
        <v>2026617754</v>
      </c>
      <c r="B116" s="6" t="s">
        <v>990</v>
      </c>
      <c r="C116" s="6" t="s">
        <v>123</v>
      </c>
      <c r="D116" s="6" t="str">
        <f t="shared" si="3"/>
        <v>THOMAS CARROLL</v>
      </c>
      <c r="E116" s="6" t="s">
        <v>107</v>
      </c>
      <c r="F116" s="6">
        <v>371819</v>
      </c>
      <c r="G116" s="6" t="s">
        <v>1085</v>
      </c>
      <c r="H116" s="6" t="s">
        <v>56</v>
      </c>
      <c r="I116" s="5">
        <v>45673</v>
      </c>
      <c r="J116" s="5">
        <v>45946</v>
      </c>
      <c r="K116" s="7">
        <v>72.290000000000006</v>
      </c>
      <c r="L116" s="6">
        <f t="shared" si="4"/>
        <v>9</v>
      </c>
      <c r="M116" s="6" t="s">
        <v>59</v>
      </c>
      <c r="N116" s="6" t="s">
        <v>1148</v>
      </c>
      <c r="O116" s="9">
        <v>0.9</v>
      </c>
      <c r="P116" s="16">
        <f t="shared" si="5"/>
        <v>65.061000000000007</v>
      </c>
      <c r="Q116" s="7">
        <v>0</v>
      </c>
      <c r="R116" s="7">
        <v>65.06</v>
      </c>
      <c r="S116" s="7">
        <v>65.06</v>
      </c>
      <c r="T116" s="6" t="s">
        <v>1142</v>
      </c>
    </row>
    <row r="117" spans="1:53" s="6" customFormat="1" x14ac:dyDescent="0.25">
      <c r="A117" s="6">
        <v>2026669942</v>
      </c>
      <c r="B117" s="6" t="s">
        <v>147</v>
      </c>
      <c r="C117" s="6" t="s">
        <v>148</v>
      </c>
      <c r="D117" s="6" t="str">
        <f t="shared" si="3"/>
        <v>TERRELL REESE</v>
      </c>
      <c r="E117" s="6" t="s">
        <v>107</v>
      </c>
      <c r="F117" s="6">
        <v>371819</v>
      </c>
      <c r="G117" s="6" t="s">
        <v>1085</v>
      </c>
      <c r="H117" s="6" t="s">
        <v>56</v>
      </c>
      <c r="I117" s="5">
        <v>45677</v>
      </c>
      <c r="J117" s="5">
        <v>45950</v>
      </c>
      <c r="K117" s="7">
        <v>17.02</v>
      </c>
      <c r="L117" s="6">
        <f t="shared" si="4"/>
        <v>9</v>
      </c>
      <c r="M117" s="6" t="s">
        <v>59</v>
      </c>
      <c r="N117" s="6" t="s">
        <v>1148</v>
      </c>
      <c r="O117" s="9">
        <v>0.9</v>
      </c>
      <c r="P117" s="16">
        <f t="shared" si="5"/>
        <v>15.318</v>
      </c>
      <c r="Q117" s="7">
        <v>0</v>
      </c>
      <c r="R117" s="7">
        <v>15.32</v>
      </c>
      <c r="S117" s="7">
        <v>15.32</v>
      </c>
      <c r="T117" s="6" t="s">
        <v>1142</v>
      </c>
    </row>
    <row r="118" spans="1:53" s="6" customFormat="1" x14ac:dyDescent="0.25">
      <c r="A118" s="6">
        <v>2026262566</v>
      </c>
      <c r="B118" s="6" t="s">
        <v>139</v>
      </c>
      <c r="C118" s="6" t="s">
        <v>140</v>
      </c>
      <c r="D118" s="6" t="str">
        <f t="shared" si="3"/>
        <v>ESTEBAN RIZO</v>
      </c>
      <c r="E118" s="6" t="s">
        <v>107</v>
      </c>
      <c r="F118" s="6">
        <v>16865615</v>
      </c>
      <c r="G118" s="6" t="s">
        <v>1107</v>
      </c>
      <c r="H118" s="6" t="s">
        <v>56</v>
      </c>
      <c r="I118" s="5">
        <v>45647</v>
      </c>
      <c r="J118" s="5">
        <v>45951</v>
      </c>
      <c r="K118" s="7">
        <v>31.71</v>
      </c>
      <c r="L118" s="6">
        <f t="shared" si="4"/>
        <v>10</v>
      </c>
      <c r="M118" s="6" t="s">
        <v>59</v>
      </c>
      <c r="N118" s="6" t="s">
        <v>1148</v>
      </c>
      <c r="O118" s="9">
        <v>0.9</v>
      </c>
      <c r="P118" s="16">
        <f t="shared" si="5"/>
        <v>28.539000000000001</v>
      </c>
      <c r="Q118" s="7">
        <v>0</v>
      </c>
      <c r="R118" s="7">
        <v>28.54</v>
      </c>
      <c r="S118" s="7">
        <v>28.54</v>
      </c>
      <c r="T118" s="6" t="s">
        <v>1142</v>
      </c>
    </row>
    <row r="119" spans="1:53" s="6" customFormat="1" x14ac:dyDescent="0.25">
      <c r="A119" s="6">
        <v>2025820174</v>
      </c>
      <c r="B119" s="6" t="s">
        <v>793</v>
      </c>
      <c r="C119" s="6" t="s">
        <v>792</v>
      </c>
      <c r="D119" s="6" t="str">
        <f t="shared" si="3"/>
        <v>MERIWTHER HARDIE</v>
      </c>
      <c r="E119" s="6" t="s">
        <v>107</v>
      </c>
      <c r="F119" s="6">
        <v>21313588</v>
      </c>
      <c r="G119" s="6" t="s">
        <v>1109</v>
      </c>
      <c r="H119" s="6" t="s">
        <v>56</v>
      </c>
      <c r="I119" s="5">
        <v>45615</v>
      </c>
      <c r="J119" s="5">
        <v>45949</v>
      </c>
      <c r="K119" s="7">
        <v>40.21</v>
      </c>
      <c r="L119" s="6">
        <f t="shared" si="4"/>
        <v>11</v>
      </c>
      <c r="M119" s="6" t="s">
        <v>59</v>
      </c>
      <c r="N119" s="6" t="s">
        <v>1148</v>
      </c>
      <c r="O119" s="9">
        <v>0.9</v>
      </c>
      <c r="P119" s="16">
        <f t="shared" si="5"/>
        <v>36.189</v>
      </c>
      <c r="Q119" s="7">
        <v>0</v>
      </c>
      <c r="R119" s="7">
        <v>36.19</v>
      </c>
      <c r="S119" s="7">
        <v>36.19</v>
      </c>
      <c r="T119" s="6" t="s">
        <v>1142</v>
      </c>
    </row>
    <row r="120" spans="1:53" s="6" customFormat="1" x14ac:dyDescent="0.25">
      <c r="A120" s="6">
        <v>2025233514</v>
      </c>
      <c r="B120" s="6" t="s">
        <v>119</v>
      </c>
      <c r="C120" s="6" t="s">
        <v>120</v>
      </c>
      <c r="D120" s="6" t="str">
        <f t="shared" si="3"/>
        <v>KELSEY DREW</v>
      </c>
      <c r="E120" s="6" t="s">
        <v>107</v>
      </c>
      <c r="F120" s="6">
        <v>371819</v>
      </c>
      <c r="G120" s="6" t="s">
        <v>1085</v>
      </c>
      <c r="H120" s="6" t="s">
        <v>56</v>
      </c>
      <c r="I120" s="5">
        <v>45586</v>
      </c>
      <c r="J120" s="5">
        <v>45951</v>
      </c>
      <c r="K120" s="7">
        <v>14.94</v>
      </c>
      <c r="L120" s="6">
        <f t="shared" si="4"/>
        <v>12</v>
      </c>
      <c r="M120" s="6" t="s">
        <v>59</v>
      </c>
      <c r="N120" s="6" t="s">
        <v>1148</v>
      </c>
      <c r="O120" s="9">
        <v>0.9</v>
      </c>
      <c r="P120" s="16">
        <f t="shared" si="5"/>
        <v>13.446</v>
      </c>
      <c r="Q120" s="7">
        <v>0</v>
      </c>
      <c r="R120" s="7">
        <v>13.45</v>
      </c>
      <c r="S120" s="7">
        <v>13.45</v>
      </c>
      <c r="T120" s="6" t="s">
        <v>1142</v>
      </c>
    </row>
    <row r="121" spans="1:53" s="6" customFormat="1" x14ac:dyDescent="0.25">
      <c r="A121" s="6">
        <v>2025316510</v>
      </c>
      <c r="B121" s="6" t="s">
        <v>1024</v>
      </c>
      <c r="C121" s="6" t="s">
        <v>163</v>
      </c>
      <c r="D121" s="6" t="str">
        <f t="shared" si="3"/>
        <v>JORDAN ROWELL</v>
      </c>
      <c r="E121" s="6" t="s">
        <v>107</v>
      </c>
      <c r="F121" s="6">
        <v>371819</v>
      </c>
      <c r="G121" s="6" t="s">
        <v>1085</v>
      </c>
      <c r="H121" s="6" t="s">
        <v>56</v>
      </c>
      <c r="I121" s="5">
        <v>45580</v>
      </c>
      <c r="J121" s="5">
        <v>45945</v>
      </c>
      <c r="K121" s="7">
        <v>19.309999999999999</v>
      </c>
      <c r="L121" s="6">
        <f t="shared" si="4"/>
        <v>12</v>
      </c>
      <c r="M121" s="6" t="s">
        <v>59</v>
      </c>
      <c r="N121" s="6" t="s">
        <v>1148</v>
      </c>
      <c r="O121" s="9">
        <v>0.9</v>
      </c>
      <c r="P121" s="16">
        <f t="shared" si="5"/>
        <v>17.378999999999998</v>
      </c>
      <c r="Q121" s="7">
        <v>0</v>
      </c>
      <c r="R121" s="7">
        <v>17.38</v>
      </c>
      <c r="S121" s="7">
        <v>17.38</v>
      </c>
      <c r="T121" s="6" t="s">
        <v>1142</v>
      </c>
    </row>
    <row r="122" spans="1:53" s="6" customFormat="1" x14ac:dyDescent="0.25">
      <c r="A122" s="6">
        <v>2024834573</v>
      </c>
      <c r="B122" s="6" t="s">
        <v>734</v>
      </c>
      <c r="C122" s="6" t="s">
        <v>409</v>
      </c>
      <c r="D122" s="6" t="str">
        <f t="shared" si="3"/>
        <v>SARAH PHILLIPS</v>
      </c>
      <c r="E122" s="6" t="s">
        <v>107</v>
      </c>
      <c r="F122" s="6">
        <v>371819</v>
      </c>
      <c r="G122" s="6" t="s">
        <v>1085</v>
      </c>
      <c r="H122" s="6" t="s">
        <v>56</v>
      </c>
      <c r="I122" s="5">
        <v>45549</v>
      </c>
      <c r="J122" s="5">
        <v>45944</v>
      </c>
      <c r="K122" s="7">
        <v>41.42</v>
      </c>
      <c r="L122" s="6">
        <f t="shared" si="4"/>
        <v>13</v>
      </c>
      <c r="M122" s="6" t="s">
        <v>59</v>
      </c>
      <c r="N122" s="6" t="s">
        <v>1148</v>
      </c>
      <c r="O122" s="9">
        <v>0.1</v>
      </c>
      <c r="P122" s="16">
        <f t="shared" si="5"/>
        <v>4.1420000000000003</v>
      </c>
      <c r="Q122" s="7">
        <v>0</v>
      </c>
      <c r="R122" s="7">
        <v>4.1399999999999997</v>
      </c>
      <c r="S122" s="7">
        <v>4.1399999999999997</v>
      </c>
      <c r="T122" s="6" t="s">
        <v>1142</v>
      </c>
    </row>
    <row r="123" spans="1:53" s="6" customFormat="1" x14ac:dyDescent="0.25">
      <c r="A123">
        <v>2030868834</v>
      </c>
      <c r="B123" t="s">
        <v>234</v>
      </c>
      <c r="C123" t="s">
        <v>109</v>
      </c>
      <c r="D123" s="6" t="str">
        <f t="shared" si="3"/>
        <v>GREGORY WALKER</v>
      </c>
      <c r="E123" t="s">
        <v>107</v>
      </c>
      <c r="F123">
        <v>8307933</v>
      </c>
      <c r="G123" t="s">
        <v>1098</v>
      </c>
      <c r="H123" t="s">
        <v>56</v>
      </c>
      <c r="I123" s="1">
        <v>45906</v>
      </c>
      <c r="J123" s="1">
        <v>45936</v>
      </c>
      <c r="K123" s="2">
        <v>242.05</v>
      </c>
      <c r="L123">
        <f t="shared" si="4"/>
        <v>1</v>
      </c>
      <c r="M123" t="s">
        <v>59</v>
      </c>
      <c r="N123" t="s">
        <v>1148</v>
      </c>
      <c r="O123" s="4">
        <v>0.9</v>
      </c>
      <c r="P123" s="16">
        <f t="shared" si="5"/>
        <v>217.84500000000003</v>
      </c>
      <c r="Q123" s="2">
        <v>0</v>
      </c>
      <c r="R123" s="2">
        <v>217.84</v>
      </c>
      <c r="S123" s="2">
        <v>217.84</v>
      </c>
      <c r="T123" t="s">
        <v>1142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</row>
    <row r="124" spans="1:53" s="6" customFormat="1" x14ac:dyDescent="0.25">
      <c r="A124">
        <v>2030868834</v>
      </c>
      <c r="B124" t="s">
        <v>234</v>
      </c>
      <c r="C124" t="s">
        <v>109</v>
      </c>
      <c r="D124" s="6" t="str">
        <f t="shared" si="3"/>
        <v>GREGORY WALKER</v>
      </c>
      <c r="E124" t="s">
        <v>107</v>
      </c>
      <c r="F124">
        <v>8307933</v>
      </c>
      <c r="G124" t="s">
        <v>1098</v>
      </c>
      <c r="H124" t="s">
        <v>230</v>
      </c>
      <c r="I124" s="1">
        <v>45906</v>
      </c>
      <c r="J124" s="1">
        <v>45936</v>
      </c>
      <c r="K124" s="2">
        <v>-242.05</v>
      </c>
      <c r="L124">
        <f t="shared" si="4"/>
        <v>1</v>
      </c>
      <c r="M124" t="s">
        <v>59</v>
      </c>
      <c r="N124" t="s">
        <v>1148</v>
      </c>
      <c r="O124" s="4">
        <v>0.9</v>
      </c>
      <c r="P124" s="16">
        <f t="shared" si="5"/>
        <v>-217.84500000000003</v>
      </c>
      <c r="Q124" s="2">
        <v>0</v>
      </c>
      <c r="R124" s="2">
        <v>-217.84</v>
      </c>
      <c r="S124" s="2">
        <v>-217.84</v>
      </c>
      <c r="T124" t="s">
        <v>1142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</row>
    <row r="125" spans="1:53" s="6" customFormat="1" x14ac:dyDescent="0.25">
      <c r="A125">
        <v>2030488872</v>
      </c>
      <c r="B125" t="s">
        <v>699</v>
      </c>
      <c r="C125" t="s">
        <v>698</v>
      </c>
      <c r="D125" s="6" t="str">
        <f t="shared" si="3"/>
        <v>KAI BARNES</v>
      </c>
      <c r="E125" t="s">
        <v>107</v>
      </c>
      <c r="F125">
        <v>5442438</v>
      </c>
      <c r="G125" t="s">
        <v>1077</v>
      </c>
      <c r="H125" t="s">
        <v>56</v>
      </c>
      <c r="I125" s="1">
        <v>45884</v>
      </c>
      <c r="J125" s="1">
        <v>45945</v>
      </c>
      <c r="K125" s="2">
        <v>46.94</v>
      </c>
      <c r="L125">
        <f t="shared" si="4"/>
        <v>2</v>
      </c>
      <c r="M125" t="s">
        <v>59</v>
      </c>
      <c r="N125" t="s">
        <v>1148</v>
      </c>
      <c r="O125" s="4">
        <v>0.9</v>
      </c>
      <c r="P125" s="16">
        <f t="shared" si="5"/>
        <v>42.246000000000002</v>
      </c>
      <c r="Q125" s="2">
        <v>42.25</v>
      </c>
      <c r="R125" s="2">
        <v>0</v>
      </c>
      <c r="S125" s="2">
        <v>0</v>
      </c>
      <c r="T125" t="s">
        <v>1142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</row>
    <row r="126" spans="1:53" s="6" customFormat="1" x14ac:dyDescent="0.25">
      <c r="A126">
        <v>2030450006</v>
      </c>
      <c r="B126" t="s">
        <v>713</v>
      </c>
      <c r="C126" t="s">
        <v>712</v>
      </c>
      <c r="D126" s="6" t="str">
        <f t="shared" si="3"/>
        <v>URSULA EDELENBOS</v>
      </c>
      <c r="E126" t="s">
        <v>107</v>
      </c>
      <c r="F126">
        <v>5442438</v>
      </c>
      <c r="G126" t="s">
        <v>1077</v>
      </c>
      <c r="H126" t="s">
        <v>56</v>
      </c>
      <c r="I126" s="1">
        <v>45888</v>
      </c>
      <c r="J126" s="1">
        <v>45949</v>
      </c>
      <c r="K126" s="2">
        <v>30.8</v>
      </c>
      <c r="L126">
        <f t="shared" si="4"/>
        <v>2</v>
      </c>
      <c r="M126" t="s">
        <v>59</v>
      </c>
      <c r="N126" t="s">
        <v>1148</v>
      </c>
      <c r="O126" s="4">
        <v>0.9</v>
      </c>
      <c r="P126" s="16">
        <f t="shared" si="5"/>
        <v>27.720000000000002</v>
      </c>
      <c r="Q126" s="2">
        <v>27.72</v>
      </c>
      <c r="R126" s="2">
        <v>0</v>
      </c>
      <c r="S126" s="2">
        <v>0</v>
      </c>
      <c r="T126" t="s">
        <v>1142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</row>
    <row r="127" spans="1:53" s="6" customFormat="1" x14ac:dyDescent="0.25">
      <c r="A127">
        <v>2030454169</v>
      </c>
      <c r="B127" t="s">
        <v>711</v>
      </c>
      <c r="C127" t="s">
        <v>123</v>
      </c>
      <c r="D127" s="6" t="str">
        <f t="shared" si="3"/>
        <v>THOMAS GEHRING</v>
      </c>
      <c r="E127" t="s">
        <v>107</v>
      </c>
      <c r="F127">
        <v>5442438</v>
      </c>
      <c r="G127" t="s">
        <v>1077</v>
      </c>
      <c r="H127" t="s">
        <v>56</v>
      </c>
      <c r="I127" s="1">
        <v>45883</v>
      </c>
      <c r="J127" s="1">
        <v>45944</v>
      </c>
      <c r="K127" s="2">
        <v>92.5</v>
      </c>
      <c r="L127">
        <f t="shared" si="4"/>
        <v>2</v>
      </c>
      <c r="M127" t="s">
        <v>59</v>
      </c>
      <c r="N127" t="s">
        <v>1148</v>
      </c>
      <c r="O127" s="4">
        <v>0.9</v>
      </c>
      <c r="P127" s="16">
        <f t="shared" si="5"/>
        <v>83.25</v>
      </c>
      <c r="Q127" s="2">
        <v>83.25</v>
      </c>
      <c r="R127" s="2">
        <v>0</v>
      </c>
      <c r="S127" s="2">
        <v>0</v>
      </c>
      <c r="T127" t="s">
        <v>1142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</row>
    <row r="128" spans="1:53" s="6" customFormat="1" x14ac:dyDescent="0.25">
      <c r="A128">
        <v>2030463473</v>
      </c>
      <c r="B128" t="s">
        <v>228</v>
      </c>
      <c r="C128" t="s">
        <v>229</v>
      </c>
      <c r="D128" s="6" t="str">
        <f t="shared" si="3"/>
        <v>THUHA GIANG</v>
      </c>
      <c r="E128" t="s">
        <v>107</v>
      </c>
      <c r="F128">
        <v>5442438</v>
      </c>
      <c r="G128" t="s">
        <v>1077</v>
      </c>
      <c r="H128" t="s">
        <v>56</v>
      </c>
      <c r="I128" s="1">
        <v>45885</v>
      </c>
      <c r="J128" s="1">
        <v>45946</v>
      </c>
      <c r="K128" s="2">
        <v>149.66999999999999</v>
      </c>
      <c r="L128">
        <f t="shared" si="4"/>
        <v>2</v>
      </c>
      <c r="M128" t="s">
        <v>59</v>
      </c>
      <c r="N128" t="s">
        <v>1148</v>
      </c>
      <c r="O128" s="4">
        <v>0.9</v>
      </c>
      <c r="P128" s="16">
        <f t="shared" si="5"/>
        <v>134.703</v>
      </c>
      <c r="Q128" s="2">
        <v>134.69999999999999</v>
      </c>
      <c r="R128" s="2">
        <v>0</v>
      </c>
      <c r="S128" s="2">
        <v>0</v>
      </c>
      <c r="T128" t="s">
        <v>1142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</row>
    <row r="129" spans="1:53" s="6" customFormat="1" x14ac:dyDescent="0.25">
      <c r="A129">
        <v>2030463473</v>
      </c>
      <c r="B129" t="s">
        <v>228</v>
      </c>
      <c r="C129" t="s">
        <v>229</v>
      </c>
      <c r="D129" s="6" t="str">
        <f t="shared" si="3"/>
        <v>THUHA GIANG</v>
      </c>
      <c r="E129" t="s">
        <v>107</v>
      </c>
      <c r="F129">
        <v>5442438</v>
      </c>
      <c r="G129" t="s">
        <v>1077</v>
      </c>
      <c r="H129" t="s">
        <v>230</v>
      </c>
      <c r="I129" s="1">
        <v>45885</v>
      </c>
      <c r="J129" s="1">
        <v>45946</v>
      </c>
      <c r="K129" s="2">
        <v>-149.66999999999999</v>
      </c>
      <c r="L129">
        <f t="shared" si="4"/>
        <v>2</v>
      </c>
      <c r="M129" t="s">
        <v>59</v>
      </c>
      <c r="N129" t="s">
        <v>1148</v>
      </c>
      <c r="O129" s="4">
        <v>0.9</v>
      </c>
      <c r="P129" s="16">
        <f t="shared" si="5"/>
        <v>-134.703</v>
      </c>
      <c r="Q129" s="2">
        <v>0</v>
      </c>
      <c r="R129" s="2">
        <v>-134.69999999999999</v>
      </c>
      <c r="S129" s="2">
        <v>-134.69999999999999</v>
      </c>
      <c r="T129" t="s">
        <v>1142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</row>
    <row r="130" spans="1:53" s="6" customFormat="1" x14ac:dyDescent="0.25">
      <c r="A130">
        <v>2030463473</v>
      </c>
      <c r="B130" t="s">
        <v>228</v>
      </c>
      <c r="C130" t="s">
        <v>229</v>
      </c>
      <c r="D130" s="6" t="str">
        <f t="shared" ref="D130:D193" si="6">CONCATENATE(C130, " ",B130)</f>
        <v>THUHA GIANG</v>
      </c>
      <c r="E130" t="s">
        <v>107</v>
      </c>
      <c r="F130">
        <v>5442438</v>
      </c>
      <c r="G130" t="s">
        <v>1077</v>
      </c>
      <c r="H130" t="s">
        <v>230</v>
      </c>
      <c r="I130" s="1">
        <v>45885</v>
      </c>
      <c r="J130" s="1">
        <v>45946</v>
      </c>
      <c r="K130" s="2">
        <v>-149.66999999999999</v>
      </c>
      <c r="L130">
        <f t="shared" ref="L130:L193" si="7">DATEDIF(I130,J130,"M")</f>
        <v>2</v>
      </c>
      <c r="M130" t="s">
        <v>59</v>
      </c>
      <c r="N130" t="s">
        <v>1148</v>
      </c>
      <c r="O130" s="4">
        <v>0.9</v>
      </c>
      <c r="P130" s="16">
        <f t="shared" ref="P130:P193" si="8">K130*O130</f>
        <v>-134.703</v>
      </c>
      <c r="Q130" s="2">
        <v>0</v>
      </c>
      <c r="R130" s="2">
        <v>-134.69999999999999</v>
      </c>
      <c r="S130" s="2">
        <v>-134.69999999999999</v>
      </c>
      <c r="T130" t="s">
        <v>1142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</row>
    <row r="131" spans="1:53" s="6" customFormat="1" x14ac:dyDescent="0.25">
      <c r="A131">
        <v>2030501934</v>
      </c>
      <c r="B131" t="s">
        <v>697</v>
      </c>
      <c r="C131" t="s">
        <v>277</v>
      </c>
      <c r="D131" s="6" t="str">
        <f t="shared" si="6"/>
        <v>JAMES LEWIS</v>
      </c>
      <c r="E131" t="s">
        <v>107</v>
      </c>
      <c r="F131">
        <v>9079571</v>
      </c>
      <c r="G131" t="s">
        <v>1092</v>
      </c>
      <c r="H131" t="s">
        <v>56</v>
      </c>
      <c r="I131" s="1">
        <v>45884</v>
      </c>
      <c r="J131" s="1">
        <v>45945</v>
      </c>
      <c r="K131" s="2">
        <v>77.959999999999994</v>
      </c>
      <c r="L131">
        <f t="shared" si="7"/>
        <v>2</v>
      </c>
      <c r="M131" t="s">
        <v>59</v>
      </c>
      <c r="N131" t="s">
        <v>1148</v>
      </c>
      <c r="O131" s="4">
        <v>0.9</v>
      </c>
      <c r="P131" s="16">
        <f t="shared" si="8"/>
        <v>70.164000000000001</v>
      </c>
      <c r="Q131" s="2">
        <v>70.16</v>
      </c>
      <c r="R131" s="2">
        <v>0</v>
      </c>
      <c r="S131" s="2">
        <v>0</v>
      </c>
      <c r="T131" t="s">
        <v>1142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</row>
    <row r="132" spans="1:53" s="6" customFormat="1" x14ac:dyDescent="0.25">
      <c r="A132">
        <v>2030135277</v>
      </c>
      <c r="B132" t="s">
        <v>225</v>
      </c>
      <c r="C132" t="s">
        <v>444</v>
      </c>
      <c r="D132" s="6" t="str">
        <f t="shared" si="6"/>
        <v>ROBERT MORRIS</v>
      </c>
      <c r="E132" t="s">
        <v>107</v>
      </c>
      <c r="F132">
        <v>19279958</v>
      </c>
      <c r="G132" t="s">
        <v>1100</v>
      </c>
      <c r="H132" t="s">
        <v>56</v>
      </c>
      <c r="I132" s="1">
        <v>45863</v>
      </c>
      <c r="J132" s="1">
        <v>45925</v>
      </c>
      <c r="K132" s="2">
        <v>178.17</v>
      </c>
      <c r="L132">
        <f t="shared" si="7"/>
        <v>2</v>
      </c>
      <c r="M132" t="s">
        <v>59</v>
      </c>
      <c r="N132" t="s">
        <v>1148</v>
      </c>
      <c r="O132" s="4">
        <v>0.9</v>
      </c>
      <c r="P132" s="16">
        <f t="shared" si="8"/>
        <v>160.35299999999998</v>
      </c>
      <c r="Q132" s="2">
        <v>160.35</v>
      </c>
      <c r="R132" s="2">
        <v>0</v>
      </c>
      <c r="S132" s="2">
        <v>0</v>
      </c>
      <c r="T132" t="s">
        <v>1142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</row>
    <row r="133" spans="1:53" s="6" customFormat="1" x14ac:dyDescent="0.25">
      <c r="A133">
        <v>2030567354</v>
      </c>
      <c r="B133" t="s">
        <v>104</v>
      </c>
      <c r="C133" t="s">
        <v>231</v>
      </c>
      <c r="D133" s="6" t="str">
        <f t="shared" si="6"/>
        <v>YOUNG STEVEN</v>
      </c>
      <c r="E133" t="s">
        <v>107</v>
      </c>
      <c r="F133">
        <v>5442438</v>
      </c>
      <c r="G133" t="s">
        <v>1077</v>
      </c>
      <c r="H133" t="s">
        <v>56</v>
      </c>
      <c r="I133" s="1">
        <v>45892</v>
      </c>
      <c r="J133" s="1">
        <v>45953</v>
      </c>
      <c r="K133" s="2">
        <v>106.25</v>
      </c>
      <c r="L133">
        <f t="shared" si="7"/>
        <v>2</v>
      </c>
      <c r="M133" t="s">
        <v>59</v>
      </c>
      <c r="N133" t="s">
        <v>1148</v>
      </c>
      <c r="O133" s="4">
        <v>0.9</v>
      </c>
      <c r="P133" s="16">
        <f t="shared" si="8"/>
        <v>95.625</v>
      </c>
      <c r="Q133" s="2">
        <v>95.62</v>
      </c>
      <c r="R133" s="2">
        <v>0</v>
      </c>
      <c r="S133" s="2">
        <v>0</v>
      </c>
      <c r="T133" t="s">
        <v>1142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</row>
    <row r="134" spans="1:53" s="6" customFormat="1" x14ac:dyDescent="0.25">
      <c r="A134">
        <v>2030313518</v>
      </c>
      <c r="B134" t="s">
        <v>898</v>
      </c>
      <c r="C134" t="s">
        <v>897</v>
      </c>
      <c r="D134" s="6" t="str">
        <f t="shared" si="6"/>
        <v>OCTA'VYON WATSON</v>
      </c>
      <c r="E134" t="s">
        <v>107</v>
      </c>
      <c r="F134">
        <v>5442438</v>
      </c>
      <c r="G134" t="s">
        <v>1077</v>
      </c>
      <c r="H134" t="s">
        <v>56</v>
      </c>
      <c r="I134" s="1">
        <v>45884</v>
      </c>
      <c r="J134" s="1">
        <v>45945</v>
      </c>
      <c r="K134" s="2">
        <v>20.059999999999999</v>
      </c>
      <c r="L134">
        <f t="shared" si="7"/>
        <v>2</v>
      </c>
      <c r="M134" t="s">
        <v>59</v>
      </c>
      <c r="N134" t="s">
        <v>1148</v>
      </c>
      <c r="O134" s="4">
        <v>0.9</v>
      </c>
      <c r="P134" s="16">
        <f t="shared" si="8"/>
        <v>18.053999999999998</v>
      </c>
      <c r="Q134" s="2">
        <v>18.05</v>
      </c>
      <c r="R134" s="2">
        <v>0</v>
      </c>
      <c r="S134" s="2">
        <v>0</v>
      </c>
      <c r="T134" t="s">
        <v>1142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</row>
    <row r="135" spans="1:53" s="6" customFormat="1" x14ac:dyDescent="0.25">
      <c r="A135">
        <v>2030315874</v>
      </c>
      <c r="B135" t="s">
        <v>224</v>
      </c>
      <c r="C135" t="s">
        <v>225</v>
      </c>
      <c r="D135" s="6" t="str">
        <f t="shared" si="6"/>
        <v>MORRIS WILMER</v>
      </c>
      <c r="E135" t="s">
        <v>107</v>
      </c>
      <c r="F135">
        <v>5442438</v>
      </c>
      <c r="G135" t="s">
        <v>1077</v>
      </c>
      <c r="H135" t="s">
        <v>56</v>
      </c>
      <c r="I135" s="1">
        <v>45890</v>
      </c>
      <c r="J135" s="1">
        <v>45951</v>
      </c>
      <c r="K135" s="2">
        <v>129.13999999999999</v>
      </c>
      <c r="L135">
        <f t="shared" si="7"/>
        <v>2</v>
      </c>
      <c r="M135" t="s">
        <v>59</v>
      </c>
      <c r="N135" t="s">
        <v>1148</v>
      </c>
      <c r="O135" s="4">
        <v>0.9</v>
      </c>
      <c r="P135" s="16">
        <f t="shared" si="8"/>
        <v>116.22599999999998</v>
      </c>
      <c r="Q135" s="2">
        <v>116.23</v>
      </c>
      <c r="R135" s="2">
        <v>0</v>
      </c>
      <c r="S135" s="2">
        <v>0</v>
      </c>
      <c r="T135" t="s">
        <v>1142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</row>
    <row r="136" spans="1:53" s="6" customFormat="1" x14ac:dyDescent="0.25">
      <c r="A136">
        <v>2029967975</v>
      </c>
      <c r="B136" t="s">
        <v>910</v>
      </c>
      <c r="C136" t="s">
        <v>909</v>
      </c>
      <c r="D136" s="6" t="str">
        <f t="shared" si="6"/>
        <v>SEMAB QURESHI</v>
      </c>
      <c r="E136" t="s">
        <v>107</v>
      </c>
      <c r="F136">
        <v>5442438</v>
      </c>
      <c r="G136" t="s">
        <v>1077</v>
      </c>
      <c r="H136" t="s">
        <v>56</v>
      </c>
      <c r="I136" s="1">
        <v>45854</v>
      </c>
      <c r="J136" s="1">
        <v>45946</v>
      </c>
      <c r="K136" s="2">
        <v>107.63</v>
      </c>
      <c r="L136">
        <f t="shared" si="7"/>
        <v>3</v>
      </c>
      <c r="M136" t="s">
        <v>59</v>
      </c>
      <c r="N136" t="s">
        <v>1148</v>
      </c>
      <c r="O136" s="4">
        <v>0.9</v>
      </c>
      <c r="P136" s="16">
        <f t="shared" si="8"/>
        <v>96.867000000000004</v>
      </c>
      <c r="Q136" s="2">
        <v>96.87</v>
      </c>
      <c r="R136" s="2">
        <v>0</v>
      </c>
      <c r="S136" s="2">
        <v>0</v>
      </c>
      <c r="T136" t="s">
        <v>1142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</row>
    <row r="137" spans="1:53" s="6" customFormat="1" x14ac:dyDescent="0.25">
      <c r="A137">
        <v>2030079839</v>
      </c>
      <c r="B137" t="s">
        <v>212</v>
      </c>
      <c r="C137" t="s">
        <v>213</v>
      </c>
      <c r="D137" s="6" t="str">
        <f t="shared" si="6"/>
        <v>MESEROLL STEPHANIE</v>
      </c>
      <c r="E137" t="s">
        <v>107</v>
      </c>
      <c r="F137">
        <v>5442438</v>
      </c>
      <c r="G137" t="s">
        <v>1077</v>
      </c>
      <c r="H137" t="s">
        <v>56</v>
      </c>
      <c r="I137" s="1">
        <v>45861</v>
      </c>
      <c r="J137" s="1">
        <v>45953</v>
      </c>
      <c r="K137" s="2">
        <v>100.34</v>
      </c>
      <c r="L137">
        <f t="shared" si="7"/>
        <v>3</v>
      </c>
      <c r="M137" t="s">
        <v>59</v>
      </c>
      <c r="N137" t="s">
        <v>1148</v>
      </c>
      <c r="O137" s="4">
        <v>0.9</v>
      </c>
      <c r="P137" s="16">
        <f t="shared" si="8"/>
        <v>90.306000000000012</v>
      </c>
      <c r="Q137" s="2">
        <v>90.31</v>
      </c>
      <c r="R137" s="2">
        <v>0</v>
      </c>
      <c r="S137" s="2">
        <v>0</v>
      </c>
      <c r="T137" t="s">
        <v>1142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</row>
    <row r="138" spans="1:53" s="6" customFormat="1" x14ac:dyDescent="0.25">
      <c r="A138">
        <v>2028992070</v>
      </c>
      <c r="B138" t="s">
        <v>185</v>
      </c>
      <c r="C138" t="s">
        <v>55</v>
      </c>
      <c r="D138" s="6" t="str">
        <f t="shared" si="6"/>
        <v>SCOTT CROWE</v>
      </c>
      <c r="E138" t="s">
        <v>107</v>
      </c>
      <c r="F138">
        <v>1706194</v>
      </c>
      <c r="G138" t="s">
        <v>1105</v>
      </c>
      <c r="H138" t="s">
        <v>56</v>
      </c>
      <c r="I138" s="1">
        <v>45799</v>
      </c>
      <c r="J138" s="1">
        <v>45952</v>
      </c>
      <c r="K138" s="2">
        <v>78.150000000000006</v>
      </c>
      <c r="L138">
        <f t="shared" si="7"/>
        <v>5</v>
      </c>
      <c r="M138" t="s">
        <v>59</v>
      </c>
      <c r="N138" t="s">
        <v>1148</v>
      </c>
      <c r="O138" s="4">
        <v>0.9</v>
      </c>
      <c r="P138" s="16">
        <f t="shared" si="8"/>
        <v>70.335000000000008</v>
      </c>
      <c r="Q138" s="2">
        <v>70.34</v>
      </c>
      <c r="R138" s="2">
        <v>0</v>
      </c>
      <c r="S138" s="2">
        <v>0</v>
      </c>
      <c r="T138" t="s">
        <v>1142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</row>
    <row r="139" spans="1:53" s="6" customFormat="1" x14ac:dyDescent="0.25">
      <c r="A139">
        <v>2028219139</v>
      </c>
      <c r="B139" t="s">
        <v>973</v>
      </c>
      <c r="C139" t="s">
        <v>277</v>
      </c>
      <c r="D139" s="6" t="str">
        <f t="shared" si="6"/>
        <v>JAMES PATTERSON</v>
      </c>
      <c r="E139" t="s">
        <v>107</v>
      </c>
      <c r="F139">
        <v>1706194</v>
      </c>
      <c r="G139" t="s">
        <v>1105</v>
      </c>
      <c r="H139" t="s">
        <v>56</v>
      </c>
      <c r="I139" s="1">
        <v>45790</v>
      </c>
      <c r="J139" s="1">
        <v>45943</v>
      </c>
      <c r="K139" s="2">
        <v>234.5</v>
      </c>
      <c r="L139">
        <f t="shared" si="7"/>
        <v>5</v>
      </c>
      <c r="M139" t="s">
        <v>59</v>
      </c>
      <c r="N139" t="s">
        <v>1148</v>
      </c>
      <c r="O139" s="4">
        <v>0.9</v>
      </c>
      <c r="P139" s="16">
        <f t="shared" si="8"/>
        <v>211.05</v>
      </c>
      <c r="Q139" s="2">
        <v>0</v>
      </c>
      <c r="R139" s="2">
        <v>211.05</v>
      </c>
      <c r="S139" s="2">
        <v>211.05</v>
      </c>
      <c r="T139" t="s">
        <v>1142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</row>
    <row r="140" spans="1:53" s="6" customFormat="1" x14ac:dyDescent="0.25">
      <c r="A140">
        <v>2028941656</v>
      </c>
      <c r="B140" t="s">
        <v>547</v>
      </c>
      <c r="C140" t="s">
        <v>855</v>
      </c>
      <c r="D140" s="6" t="str">
        <f t="shared" si="6"/>
        <v>DUSTIN WILLIAMS</v>
      </c>
      <c r="E140" t="s">
        <v>107</v>
      </c>
      <c r="F140">
        <v>18581063</v>
      </c>
      <c r="G140" t="s">
        <v>1132</v>
      </c>
      <c r="H140" t="s">
        <v>56</v>
      </c>
      <c r="I140" s="1">
        <v>45792</v>
      </c>
      <c r="J140" s="1">
        <v>45945</v>
      </c>
      <c r="K140" s="2">
        <v>143.63</v>
      </c>
      <c r="L140">
        <f t="shared" si="7"/>
        <v>5</v>
      </c>
      <c r="M140" t="s">
        <v>59</v>
      </c>
      <c r="N140" t="s">
        <v>1148</v>
      </c>
      <c r="O140" s="4">
        <v>0.9</v>
      </c>
      <c r="P140" s="16">
        <f t="shared" si="8"/>
        <v>129.267</v>
      </c>
      <c r="Q140" s="2">
        <v>0</v>
      </c>
      <c r="R140" s="2">
        <v>129.27000000000001</v>
      </c>
      <c r="S140" s="2">
        <v>129.27000000000001</v>
      </c>
      <c r="T140" t="s">
        <v>1142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</row>
    <row r="141" spans="1:53" s="6" customFormat="1" x14ac:dyDescent="0.25">
      <c r="A141">
        <v>2028958358</v>
      </c>
      <c r="B141" t="s">
        <v>777</v>
      </c>
      <c r="C141" t="s">
        <v>349</v>
      </c>
      <c r="D141" s="6" t="str">
        <f t="shared" si="6"/>
        <v>DAVID WRING</v>
      </c>
      <c r="E141" t="s">
        <v>107</v>
      </c>
      <c r="F141">
        <v>8977234</v>
      </c>
      <c r="G141" t="s">
        <v>1078</v>
      </c>
      <c r="H141" t="s">
        <v>56</v>
      </c>
      <c r="I141" s="1">
        <v>45793</v>
      </c>
      <c r="J141" s="1">
        <v>45946</v>
      </c>
      <c r="K141" s="2">
        <v>50.96</v>
      </c>
      <c r="L141">
        <f t="shared" si="7"/>
        <v>5</v>
      </c>
      <c r="M141" t="s">
        <v>59</v>
      </c>
      <c r="N141" t="s">
        <v>1148</v>
      </c>
      <c r="O141" s="4">
        <v>0.9</v>
      </c>
      <c r="P141" s="16">
        <f t="shared" si="8"/>
        <v>45.864000000000004</v>
      </c>
      <c r="Q141" s="2">
        <v>0</v>
      </c>
      <c r="R141" s="2">
        <v>45.86</v>
      </c>
      <c r="S141" s="2">
        <v>45.86</v>
      </c>
      <c r="T141" t="s">
        <v>1142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</row>
    <row r="142" spans="1:53" s="6" customFormat="1" x14ac:dyDescent="0.25">
      <c r="A142">
        <v>2028048547</v>
      </c>
      <c r="B142" t="s">
        <v>974</v>
      </c>
      <c r="C142" t="s">
        <v>281</v>
      </c>
      <c r="D142" s="6" t="str">
        <f t="shared" si="6"/>
        <v>ANDREW DRESHER</v>
      </c>
      <c r="E142" t="s">
        <v>107</v>
      </c>
      <c r="F142">
        <v>1706194</v>
      </c>
      <c r="G142" t="s">
        <v>1105</v>
      </c>
      <c r="H142" t="s">
        <v>56</v>
      </c>
      <c r="I142" s="1">
        <v>45748</v>
      </c>
      <c r="J142" s="1">
        <v>45931</v>
      </c>
      <c r="K142" s="2">
        <v>326</v>
      </c>
      <c r="L142">
        <f t="shared" si="7"/>
        <v>6</v>
      </c>
      <c r="M142" t="s">
        <v>59</v>
      </c>
      <c r="N142" t="s">
        <v>1148</v>
      </c>
      <c r="O142" s="4">
        <v>0.9</v>
      </c>
      <c r="P142" s="16">
        <f t="shared" si="8"/>
        <v>293.40000000000003</v>
      </c>
      <c r="Q142" s="2">
        <v>0</v>
      </c>
      <c r="R142" s="2">
        <v>293.39999999999998</v>
      </c>
      <c r="S142" s="2">
        <v>293.39999999999998</v>
      </c>
      <c r="T142" t="s">
        <v>1142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</row>
    <row r="143" spans="1:53" s="6" customFormat="1" x14ac:dyDescent="0.25">
      <c r="A143">
        <v>2027642345</v>
      </c>
      <c r="B143" t="s">
        <v>162</v>
      </c>
      <c r="C143" t="s">
        <v>163</v>
      </c>
      <c r="D143" s="6" t="str">
        <f t="shared" si="6"/>
        <v>JORDAN PERSON</v>
      </c>
      <c r="E143" t="s">
        <v>107</v>
      </c>
      <c r="F143">
        <v>8307933</v>
      </c>
      <c r="G143" t="s">
        <v>1098</v>
      </c>
      <c r="H143" t="s">
        <v>56</v>
      </c>
      <c r="I143" s="1">
        <v>45754</v>
      </c>
      <c r="J143" s="1">
        <v>45937</v>
      </c>
      <c r="K143" s="2">
        <v>119.92</v>
      </c>
      <c r="L143">
        <f t="shared" si="7"/>
        <v>6</v>
      </c>
      <c r="M143" t="s">
        <v>59</v>
      </c>
      <c r="N143" t="s">
        <v>1148</v>
      </c>
      <c r="O143" s="4">
        <v>0.9</v>
      </c>
      <c r="P143" s="16">
        <f t="shared" si="8"/>
        <v>107.928</v>
      </c>
      <c r="Q143" s="2">
        <v>0</v>
      </c>
      <c r="R143" s="2">
        <v>107.93</v>
      </c>
      <c r="S143" s="2">
        <v>107.93</v>
      </c>
      <c r="T143" t="s">
        <v>1142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</row>
    <row r="144" spans="1:53" s="6" customFormat="1" x14ac:dyDescent="0.25">
      <c r="A144">
        <v>2025727275</v>
      </c>
      <c r="B144" t="s">
        <v>128</v>
      </c>
      <c r="C144" t="s">
        <v>129</v>
      </c>
      <c r="D144" s="6" t="str">
        <f t="shared" si="6"/>
        <v>SAGE PAGE</v>
      </c>
      <c r="E144" t="s">
        <v>107</v>
      </c>
      <c r="F144">
        <v>1706194</v>
      </c>
      <c r="G144" t="s">
        <v>1105</v>
      </c>
      <c r="H144" t="s">
        <v>56</v>
      </c>
      <c r="I144" s="1">
        <v>45658</v>
      </c>
      <c r="J144" s="1">
        <v>45931</v>
      </c>
      <c r="K144" s="2">
        <v>-181.71</v>
      </c>
      <c r="L144">
        <f t="shared" si="7"/>
        <v>9</v>
      </c>
      <c r="M144" t="s">
        <v>59</v>
      </c>
      <c r="N144" t="s">
        <v>1148</v>
      </c>
      <c r="O144" s="4">
        <v>0.9</v>
      </c>
      <c r="P144" s="16">
        <f t="shared" si="8"/>
        <v>-163.53900000000002</v>
      </c>
      <c r="Q144" s="2">
        <v>0</v>
      </c>
      <c r="R144" s="2">
        <v>-163.54</v>
      </c>
      <c r="S144" s="2">
        <v>-163.54</v>
      </c>
      <c r="T144" t="s">
        <v>1142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</row>
    <row r="145" spans="1:53" s="6" customFormat="1" x14ac:dyDescent="0.25">
      <c r="A145">
        <v>2025747991</v>
      </c>
      <c r="B145" t="s">
        <v>1018</v>
      </c>
      <c r="C145" t="s">
        <v>238</v>
      </c>
      <c r="D145" s="6" t="str">
        <f t="shared" si="6"/>
        <v>MARGARET RODENHOUSE</v>
      </c>
      <c r="E145" t="s">
        <v>107</v>
      </c>
      <c r="F145">
        <v>8307933</v>
      </c>
      <c r="G145" t="s">
        <v>1098</v>
      </c>
      <c r="H145" t="s">
        <v>230</v>
      </c>
      <c r="I145" s="1">
        <v>45664</v>
      </c>
      <c r="J145" s="1">
        <v>45937</v>
      </c>
      <c r="K145" s="2">
        <v>-75.47</v>
      </c>
      <c r="L145">
        <f t="shared" si="7"/>
        <v>9</v>
      </c>
      <c r="M145" t="s">
        <v>59</v>
      </c>
      <c r="N145" t="s">
        <v>1148</v>
      </c>
      <c r="O145" s="4">
        <v>0.9</v>
      </c>
      <c r="P145" s="16">
        <f t="shared" si="8"/>
        <v>-67.923000000000002</v>
      </c>
      <c r="Q145" s="2">
        <v>0</v>
      </c>
      <c r="R145" s="2">
        <v>-67.92</v>
      </c>
      <c r="S145" s="2">
        <v>-67.92</v>
      </c>
      <c r="T145" t="s">
        <v>1142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</row>
    <row r="146" spans="1:53" s="6" customFormat="1" x14ac:dyDescent="0.25">
      <c r="A146">
        <v>2025693148</v>
      </c>
      <c r="B146" t="s">
        <v>125</v>
      </c>
      <c r="C146" t="s">
        <v>126</v>
      </c>
      <c r="D146" s="6" t="str">
        <f t="shared" si="6"/>
        <v>REBECCA MILLER</v>
      </c>
      <c r="E146" t="s">
        <v>107</v>
      </c>
      <c r="F146">
        <v>8307933</v>
      </c>
      <c r="G146" t="s">
        <v>1098</v>
      </c>
      <c r="H146" t="s">
        <v>56</v>
      </c>
      <c r="I146" s="1">
        <v>45648</v>
      </c>
      <c r="J146" s="1">
        <v>45952</v>
      </c>
      <c r="K146" s="2">
        <v>226.81</v>
      </c>
      <c r="L146">
        <f t="shared" si="7"/>
        <v>10</v>
      </c>
      <c r="M146" t="s">
        <v>59</v>
      </c>
      <c r="N146" t="s">
        <v>1148</v>
      </c>
      <c r="O146" s="4">
        <v>0.9</v>
      </c>
      <c r="P146" s="16">
        <f t="shared" si="8"/>
        <v>204.12900000000002</v>
      </c>
      <c r="Q146" s="2">
        <v>0</v>
      </c>
      <c r="R146" s="2">
        <v>204.13</v>
      </c>
      <c r="S146" s="2">
        <v>204.13</v>
      </c>
      <c r="T146" t="s">
        <v>1142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</row>
    <row r="147" spans="1:53" s="6" customFormat="1" x14ac:dyDescent="0.25">
      <c r="A147">
        <v>2025404174</v>
      </c>
      <c r="B147" t="s">
        <v>110</v>
      </c>
      <c r="C147" t="s">
        <v>124</v>
      </c>
      <c r="D147" s="6" t="str">
        <f t="shared" si="6"/>
        <v>CARL BENNETT</v>
      </c>
      <c r="E147" t="s">
        <v>107</v>
      </c>
      <c r="F147">
        <v>8307933</v>
      </c>
      <c r="G147" t="s">
        <v>1098</v>
      </c>
      <c r="H147" t="s">
        <v>56</v>
      </c>
      <c r="I147" s="1">
        <v>45587</v>
      </c>
      <c r="J147" s="1">
        <v>45952</v>
      </c>
      <c r="K147" s="2">
        <v>253</v>
      </c>
      <c r="L147">
        <f t="shared" si="7"/>
        <v>12</v>
      </c>
      <c r="M147" t="s">
        <v>59</v>
      </c>
      <c r="N147" t="s">
        <v>1148</v>
      </c>
      <c r="O147" s="4">
        <v>0.9</v>
      </c>
      <c r="P147" s="16">
        <f t="shared" si="8"/>
        <v>227.70000000000002</v>
      </c>
      <c r="Q147" s="2">
        <v>0</v>
      </c>
      <c r="R147" s="2">
        <v>227.7</v>
      </c>
      <c r="S147" s="2">
        <v>227.7</v>
      </c>
      <c r="T147" t="s">
        <v>1142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</row>
    <row r="148" spans="1:53" s="6" customFormat="1" x14ac:dyDescent="0.25">
      <c r="A148">
        <v>2024462651</v>
      </c>
      <c r="B148" t="s">
        <v>118</v>
      </c>
      <c r="C148" t="s">
        <v>85</v>
      </c>
      <c r="D148" s="6" t="str">
        <f t="shared" si="6"/>
        <v>JOHN BATES</v>
      </c>
      <c r="E148" t="s">
        <v>107</v>
      </c>
      <c r="F148">
        <v>8307933</v>
      </c>
      <c r="G148" t="s">
        <v>1098</v>
      </c>
      <c r="H148" t="s">
        <v>56</v>
      </c>
      <c r="I148" s="1">
        <v>45524</v>
      </c>
      <c r="J148" s="1">
        <v>45950</v>
      </c>
      <c r="K148" s="2">
        <v>108.16</v>
      </c>
      <c r="L148">
        <f t="shared" si="7"/>
        <v>14</v>
      </c>
      <c r="M148" t="s">
        <v>59</v>
      </c>
      <c r="N148" t="s">
        <v>1148</v>
      </c>
      <c r="O148" s="4">
        <v>0.1</v>
      </c>
      <c r="P148" s="16">
        <f t="shared" si="8"/>
        <v>10.816000000000001</v>
      </c>
      <c r="Q148" s="2">
        <v>0</v>
      </c>
      <c r="R148" s="2">
        <v>10.82</v>
      </c>
      <c r="S148" s="2">
        <v>10.82</v>
      </c>
      <c r="T148" t="s">
        <v>1142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</row>
    <row r="149" spans="1:53" s="6" customFormat="1" x14ac:dyDescent="0.25">
      <c r="A149">
        <v>2024217399</v>
      </c>
      <c r="B149" t="s">
        <v>1068</v>
      </c>
      <c r="C149" t="s">
        <v>374</v>
      </c>
      <c r="D149" s="6" t="str">
        <f t="shared" si="6"/>
        <v>ELIZABETH STEVENSON</v>
      </c>
      <c r="E149" t="s">
        <v>107</v>
      </c>
      <c r="F149">
        <v>8977234</v>
      </c>
      <c r="G149" t="s">
        <v>1078</v>
      </c>
      <c r="H149" t="s">
        <v>230</v>
      </c>
      <c r="I149" s="1">
        <v>45507</v>
      </c>
      <c r="J149" s="1">
        <v>45933</v>
      </c>
      <c r="K149" s="2">
        <v>-128.19</v>
      </c>
      <c r="L149">
        <f t="shared" si="7"/>
        <v>14</v>
      </c>
      <c r="M149" t="s">
        <v>59</v>
      </c>
      <c r="N149" t="s">
        <v>1148</v>
      </c>
      <c r="O149" s="4">
        <v>0.1</v>
      </c>
      <c r="P149" s="16">
        <f t="shared" si="8"/>
        <v>-12.819000000000001</v>
      </c>
      <c r="Q149" s="2">
        <v>0</v>
      </c>
      <c r="R149" s="2">
        <v>-12.82</v>
      </c>
      <c r="S149" s="2">
        <v>-12.82</v>
      </c>
      <c r="T149" t="s">
        <v>1142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</row>
    <row r="150" spans="1:53" s="6" customFormat="1" x14ac:dyDescent="0.25">
      <c r="A150">
        <v>2022762069</v>
      </c>
      <c r="B150" t="s">
        <v>67</v>
      </c>
      <c r="C150" t="s">
        <v>117</v>
      </c>
      <c r="D150" s="6" t="str">
        <f t="shared" si="6"/>
        <v>RICHARD JACKSON</v>
      </c>
      <c r="E150" t="s">
        <v>107</v>
      </c>
      <c r="F150">
        <v>8307933</v>
      </c>
      <c r="G150" t="s">
        <v>1098</v>
      </c>
      <c r="H150" t="s">
        <v>56</v>
      </c>
      <c r="I150" s="1">
        <v>45407</v>
      </c>
      <c r="J150" s="1">
        <v>45955</v>
      </c>
      <c r="K150" s="2">
        <v>178.58</v>
      </c>
      <c r="L150">
        <f t="shared" si="7"/>
        <v>18</v>
      </c>
      <c r="M150" t="s">
        <v>59</v>
      </c>
      <c r="N150" t="s">
        <v>1148</v>
      </c>
      <c r="O150" s="4">
        <v>0.1</v>
      </c>
      <c r="P150" s="16">
        <f t="shared" si="8"/>
        <v>17.858000000000001</v>
      </c>
      <c r="Q150" s="2">
        <v>0</v>
      </c>
      <c r="R150" s="2">
        <v>17.86</v>
      </c>
      <c r="S150" s="2">
        <v>17.86</v>
      </c>
      <c r="T150" t="s">
        <v>1142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</row>
    <row r="151" spans="1:53" s="6" customFormat="1" x14ac:dyDescent="0.25">
      <c r="A151">
        <v>2021470574</v>
      </c>
      <c r="B151" t="s">
        <v>1070</v>
      </c>
      <c r="C151" t="s">
        <v>1069</v>
      </c>
      <c r="D151" s="6" t="str">
        <f t="shared" si="6"/>
        <v>LIUV SUAREZ</v>
      </c>
      <c r="E151" t="s">
        <v>107</v>
      </c>
      <c r="F151">
        <v>8307933</v>
      </c>
      <c r="G151" t="s">
        <v>1098</v>
      </c>
      <c r="H151" t="s">
        <v>56</v>
      </c>
      <c r="I151" s="1">
        <v>45341</v>
      </c>
      <c r="J151" s="1">
        <v>45949</v>
      </c>
      <c r="K151" s="2">
        <v>103.16</v>
      </c>
      <c r="L151">
        <f t="shared" si="7"/>
        <v>20</v>
      </c>
      <c r="M151" t="s">
        <v>59</v>
      </c>
      <c r="N151" t="s">
        <v>1148</v>
      </c>
      <c r="O151" s="4">
        <v>0.1</v>
      </c>
      <c r="P151" s="16">
        <f t="shared" si="8"/>
        <v>10.316000000000001</v>
      </c>
      <c r="Q151" s="2">
        <v>0</v>
      </c>
      <c r="R151" s="2">
        <v>10.32</v>
      </c>
      <c r="S151" s="2">
        <v>10.32</v>
      </c>
      <c r="T151" t="s">
        <v>1142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</row>
    <row r="152" spans="1:53" s="6" customFormat="1" x14ac:dyDescent="0.25">
      <c r="A152">
        <v>2020174611</v>
      </c>
      <c r="B152" t="s">
        <v>748</v>
      </c>
      <c r="C152" t="s">
        <v>747</v>
      </c>
      <c r="D152" s="6" t="str">
        <f t="shared" si="6"/>
        <v>DENISE JEROUSEK</v>
      </c>
      <c r="E152" t="s">
        <v>107</v>
      </c>
      <c r="F152">
        <v>9079571</v>
      </c>
      <c r="G152" t="s">
        <v>1092</v>
      </c>
      <c r="H152" t="s">
        <v>56</v>
      </c>
      <c r="I152" s="1">
        <v>45214</v>
      </c>
      <c r="J152" s="1">
        <v>45945</v>
      </c>
      <c r="K152" s="2">
        <v>246.44</v>
      </c>
      <c r="L152">
        <f t="shared" si="7"/>
        <v>24</v>
      </c>
      <c r="M152" t="s">
        <v>59</v>
      </c>
      <c r="N152" t="s">
        <v>1148</v>
      </c>
      <c r="O152" s="4">
        <v>0.1</v>
      </c>
      <c r="P152" s="16">
        <f t="shared" si="8"/>
        <v>24.644000000000002</v>
      </c>
      <c r="Q152" s="2">
        <v>0</v>
      </c>
      <c r="R152" s="2">
        <v>24.64</v>
      </c>
      <c r="S152" s="2">
        <v>24.64</v>
      </c>
      <c r="T152" t="s">
        <v>1142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</row>
    <row r="153" spans="1:53" s="6" customFormat="1" x14ac:dyDescent="0.25">
      <c r="A153">
        <v>2018417444</v>
      </c>
      <c r="B153" t="s">
        <v>110</v>
      </c>
      <c r="C153" t="s">
        <v>111</v>
      </c>
      <c r="D153" s="6" t="str">
        <f t="shared" si="6"/>
        <v>AUSTIN BENNETT</v>
      </c>
      <c r="E153" t="s">
        <v>107</v>
      </c>
      <c r="F153">
        <v>8307933</v>
      </c>
      <c r="G153" t="s">
        <v>1098</v>
      </c>
      <c r="H153" t="s">
        <v>56</v>
      </c>
      <c r="I153" s="1">
        <v>45037</v>
      </c>
      <c r="J153" s="1">
        <v>45951</v>
      </c>
      <c r="K153" s="2">
        <v>55.33</v>
      </c>
      <c r="L153">
        <f t="shared" si="7"/>
        <v>30</v>
      </c>
      <c r="M153" t="s">
        <v>59</v>
      </c>
      <c r="N153" t="s">
        <v>1148</v>
      </c>
      <c r="O153" s="4">
        <v>0.1</v>
      </c>
      <c r="P153" s="16">
        <f t="shared" si="8"/>
        <v>5.5330000000000004</v>
      </c>
      <c r="Q153" s="2">
        <v>0</v>
      </c>
      <c r="R153" s="2">
        <v>5.53</v>
      </c>
      <c r="S153" s="2">
        <v>5.53</v>
      </c>
      <c r="T153" t="s">
        <v>1142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</row>
    <row r="154" spans="1:53" s="6" customFormat="1" x14ac:dyDescent="0.25">
      <c r="A154">
        <v>2016328594</v>
      </c>
      <c r="B154" t="s">
        <v>103</v>
      </c>
      <c r="C154" t="s">
        <v>104</v>
      </c>
      <c r="D154" s="6" t="str">
        <f t="shared" si="6"/>
        <v>STEVEN DIETZ</v>
      </c>
      <c r="E154" t="s">
        <v>107</v>
      </c>
      <c r="F154">
        <v>8307933</v>
      </c>
      <c r="G154" t="s">
        <v>1098</v>
      </c>
      <c r="H154" t="s">
        <v>56</v>
      </c>
      <c r="I154" s="1">
        <v>44829</v>
      </c>
      <c r="J154" s="1">
        <v>45955</v>
      </c>
      <c r="K154" s="2">
        <v>85.84</v>
      </c>
      <c r="L154">
        <f t="shared" si="7"/>
        <v>37</v>
      </c>
      <c r="M154" t="s">
        <v>59</v>
      </c>
      <c r="N154" t="s">
        <v>1148</v>
      </c>
      <c r="O154" s="4">
        <v>0.1</v>
      </c>
      <c r="P154" s="16">
        <f t="shared" si="8"/>
        <v>8.5840000000000014</v>
      </c>
      <c r="Q154" s="2">
        <v>0</v>
      </c>
      <c r="R154" s="2">
        <v>8.58</v>
      </c>
      <c r="S154" s="2">
        <v>8.58</v>
      </c>
      <c r="T154" t="s">
        <v>1142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</row>
    <row r="155" spans="1:53" s="6" customFormat="1" x14ac:dyDescent="0.25">
      <c r="A155" s="6">
        <v>2030244511</v>
      </c>
      <c r="B155" s="6" t="s">
        <v>899</v>
      </c>
      <c r="C155" s="6" t="s">
        <v>583</v>
      </c>
      <c r="D155" s="6" t="str">
        <f t="shared" si="6"/>
        <v>PAUL HTOO</v>
      </c>
      <c r="E155" s="6" t="s">
        <v>451</v>
      </c>
      <c r="F155" s="6">
        <v>8405446</v>
      </c>
      <c r="G155" s="6" t="s">
        <v>1139</v>
      </c>
      <c r="H155" s="6" t="s">
        <v>56</v>
      </c>
      <c r="I155" s="5">
        <v>45884</v>
      </c>
      <c r="J155" s="5">
        <v>45945</v>
      </c>
      <c r="K155" s="7">
        <v>42.5</v>
      </c>
      <c r="L155" s="6">
        <f t="shared" si="7"/>
        <v>2</v>
      </c>
      <c r="M155" s="6" t="s">
        <v>59</v>
      </c>
      <c r="N155" s="6" t="s">
        <v>1145</v>
      </c>
      <c r="O155" s="9">
        <v>0.42</v>
      </c>
      <c r="P155" s="16">
        <f t="shared" si="8"/>
        <v>17.849999999999998</v>
      </c>
      <c r="Q155" s="7">
        <v>17.850000000000001</v>
      </c>
      <c r="R155" s="7">
        <v>0</v>
      </c>
      <c r="S155" s="7">
        <v>0</v>
      </c>
      <c r="T155" s="6" t="s">
        <v>451</v>
      </c>
    </row>
    <row r="156" spans="1:53" s="6" customFormat="1" x14ac:dyDescent="0.25">
      <c r="A156" s="6">
        <v>2030341225</v>
      </c>
      <c r="B156" s="6" t="s">
        <v>720</v>
      </c>
      <c r="C156" s="6" t="s">
        <v>719</v>
      </c>
      <c r="D156" s="6" t="str">
        <f t="shared" si="6"/>
        <v>KODI LAKE</v>
      </c>
      <c r="E156" s="6" t="s">
        <v>451</v>
      </c>
      <c r="F156" s="6">
        <v>371819</v>
      </c>
      <c r="G156" s="6" t="s">
        <v>1085</v>
      </c>
      <c r="H156" s="6" t="s">
        <v>56</v>
      </c>
      <c r="I156" s="5">
        <v>45879</v>
      </c>
      <c r="J156" s="5">
        <v>45940</v>
      </c>
      <c r="K156" s="7">
        <v>24.4</v>
      </c>
      <c r="L156" s="6">
        <f t="shared" si="7"/>
        <v>2</v>
      </c>
      <c r="M156" s="6" t="s">
        <v>59</v>
      </c>
      <c r="N156" s="6" t="s">
        <v>1145</v>
      </c>
      <c r="O156" s="9">
        <v>0.42</v>
      </c>
      <c r="P156" s="16">
        <f t="shared" si="8"/>
        <v>10.247999999999999</v>
      </c>
      <c r="Q156" s="7">
        <v>10.25</v>
      </c>
      <c r="R156" s="7">
        <v>0</v>
      </c>
      <c r="S156" s="7">
        <v>0</v>
      </c>
      <c r="T156" s="6" t="s">
        <v>451</v>
      </c>
    </row>
    <row r="157" spans="1:53" s="6" customFormat="1" x14ac:dyDescent="0.25">
      <c r="A157" s="6">
        <v>2030337261</v>
      </c>
      <c r="B157" s="6" t="s">
        <v>724</v>
      </c>
      <c r="C157" s="6" t="s">
        <v>723</v>
      </c>
      <c r="D157" s="6" t="str">
        <f t="shared" si="6"/>
        <v>BETHANY LUANGKHAM</v>
      </c>
      <c r="E157" s="6" t="s">
        <v>451</v>
      </c>
      <c r="F157" s="6">
        <v>8405446</v>
      </c>
      <c r="G157" s="6" t="s">
        <v>1139</v>
      </c>
      <c r="H157" s="6" t="s">
        <v>56</v>
      </c>
      <c r="I157" s="5">
        <v>45884</v>
      </c>
      <c r="J157" s="5">
        <v>45945</v>
      </c>
      <c r="K157" s="7">
        <v>35.4</v>
      </c>
      <c r="L157" s="6">
        <f t="shared" si="7"/>
        <v>2</v>
      </c>
      <c r="M157" s="6" t="s">
        <v>59</v>
      </c>
      <c r="N157" s="6" t="s">
        <v>1145</v>
      </c>
      <c r="O157" s="9">
        <v>0.42</v>
      </c>
      <c r="P157" s="16">
        <f t="shared" si="8"/>
        <v>14.867999999999999</v>
      </c>
      <c r="Q157" s="7">
        <v>14.87</v>
      </c>
      <c r="R157" s="7">
        <v>0</v>
      </c>
      <c r="S157" s="7">
        <v>0</v>
      </c>
      <c r="T157" s="6" t="s">
        <v>451</v>
      </c>
    </row>
    <row r="158" spans="1:53" s="6" customFormat="1" x14ac:dyDescent="0.25">
      <c r="A158" s="6">
        <v>2030359370</v>
      </c>
      <c r="B158" s="6" t="s">
        <v>542</v>
      </c>
      <c r="C158" s="6" t="s">
        <v>543</v>
      </c>
      <c r="D158" s="6" t="str">
        <f t="shared" si="6"/>
        <v>PLAINFEATHER LUJUANA</v>
      </c>
      <c r="E158" s="6" t="s">
        <v>451</v>
      </c>
      <c r="F158" s="6">
        <v>371819</v>
      </c>
      <c r="G158" s="6" t="s">
        <v>1085</v>
      </c>
      <c r="H158" s="6" t="s">
        <v>56</v>
      </c>
      <c r="I158" s="5">
        <v>45879</v>
      </c>
      <c r="J158" s="5">
        <v>45940</v>
      </c>
      <c r="K158" s="7">
        <v>15.73</v>
      </c>
      <c r="L158" s="6">
        <f t="shared" si="7"/>
        <v>2</v>
      </c>
      <c r="M158" s="6" t="s">
        <v>59</v>
      </c>
      <c r="N158" s="6" t="s">
        <v>1145</v>
      </c>
      <c r="O158" s="9">
        <v>0.42</v>
      </c>
      <c r="P158" s="16">
        <f t="shared" si="8"/>
        <v>6.6066000000000003</v>
      </c>
      <c r="Q158" s="7">
        <v>6.61</v>
      </c>
      <c r="R158" s="7">
        <v>0</v>
      </c>
      <c r="S158" s="7">
        <v>0</v>
      </c>
      <c r="T158" s="6" t="s">
        <v>451</v>
      </c>
    </row>
    <row r="159" spans="1:53" s="6" customFormat="1" x14ac:dyDescent="0.25">
      <c r="A159" s="6">
        <v>2030512187</v>
      </c>
      <c r="B159" s="6" t="s">
        <v>695</v>
      </c>
      <c r="C159" s="6" t="s">
        <v>145</v>
      </c>
      <c r="D159" s="6" t="str">
        <f t="shared" si="6"/>
        <v>CHARLES SELKE</v>
      </c>
      <c r="E159" s="6" t="s">
        <v>451</v>
      </c>
      <c r="F159" s="6">
        <v>17143996</v>
      </c>
      <c r="G159" s="6" t="s">
        <v>1127</v>
      </c>
      <c r="H159" s="6" t="s">
        <v>56</v>
      </c>
      <c r="I159" s="5">
        <v>45887</v>
      </c>
      <c r="J159" s="5">
        <v>45948</v>
      </c>
      <c r="K159" s="7">
        <v>32.64</v>
      </c>
      <c r="L159" s="6">
        <f t="shared" si="7"/>
        <v>2</v>
      </c>
      <c r="M159" s="6" t="s">
        <v>59</v>
      </c>
      <c r="N159" s="6" t="s">
        <v>1145</v>
      </c>
      <c r="O159" s="9">
        <v>0.42</v>
      </c>
      <c r="P159" s="16">
        <f t="shared" si="8"/>
        <v>13.7088</v>
      </c>
      <c r="Q159" s="7">
        <v>13.71</v>
      </c>
      <c r="R159" s="7">
        <v>0</v>
      </c>
      <c r="S159" s="7">
        <v>0</v>
      </c>
      <c r="T159" s="6" t="s">
        <v>451</v>
      </c>
    </row>
    <row r="160" spans="1:53" s="6" customFormat="1" x14ac:dyDescent="0.25">
      <c r="A160" s="6">
        <v>2030382340</v>
      </c>
      <c r="B160" s="6" t="s">
        <v>716</v>
      </c>
      <c r="C160" s="6" t="s">
        <v>339</v>
      </c>
      <c r="D160" s="6" t="str">
        <f t="shared" si="6"/>
        <v>STACEY WATKINS</v>
      </c>
      <c r="E160" s="6" t="s">
        <v>451</v>
      </c>
      <c r="F160" s="6">
        <v>7146581</v>
      </c>
      <c r="G160" s="6" t="s">
        <v>1110</v>
      </c>
      <c r="H160" s="6" t="s">
        <v>56</v>
      </c>
      <c r="I160" s="5">
        <v>45877</v>
      </c>
      <c r="J160" s="5">
        <v>45938</v>
      </c>
      <c r="K160" s="7">
        <v>-102.1</v>
      </c>
      <c r="L160" s="6">
        <f t="shared" si="7"/>
        <v>2</v>
      </c>
      <c r="M160" s="6" t="s">
        <v>59</v>
      </c>
      <c r="N160" s="6" t="s">
        <v>1145</v>
      </c>
      <c r="O160" s="9">
        <v>0.42</v>
      </c>
      <c r="P160" s="16">
        <f t="shared" si="8"/>
        <v>-42.881999999999998</v>
      </c>
      <c r="Q160" s="7">
        <v>0</v>
      </c>
      <c r="R160" s="7">
        <v>-42.88</v>
      </c>
      <c r="S160" s="7">
        <v>-42.88</v>
      </c>
      <c r="T160" s="6" t="s">
        <v>451</v>
      </c>
    </row>
    <row r="161" spans="1:53" s="6" customFormat="1" x14ac:dyDescent="0.25">
      <c r="A161" s="6">
        <v>2030084096</v>
      </c>
      <c r="B161" s="6" t="s">
        <v>532</v>
      </c>
      <c r="C161" s="6" t="s">
        <v>533</v>
      </c>
      <c r="D161" s="6" t="str">
        <f t="shared" si="6"/>
        <v>WEASE MIKE</v>
      </c>
      <c r="E161" s="6" t="s">
        <v>451</v>
      </c>
      <c r="F161" s="6">
        <v>17143996</v>
      </c>
      <c r="G161" s="6" t="s">
        <v>1127</v>
      </c>
      <c r="H161" s="6" t="s">
        <v>56</v>
      </c>
      <c r="I161" s="5">
        <v>45862</v>
      </c>
      <c r="J161" s="5">
        <v>45954</v>
      </c>
      <c r="K161" s="7">
        <v>25.08</v>
      </c>
      <c r="L161" s="6">
        <f t="shared" si="7"/>
        <v>3</v>
      </c>
      <c r="M161" s="6" t="s">
        <v>59</v>
      </c>
      <c r="N161" s="6" t="s">
        <v>1145</v>
      </c>
      <c r="O161" s="9">
        <v>0.42</v>
      </c>
      <c r="P161" s="16">
        <f t="shared" si="8"/>
        <v>10.533599999999998</v>
      </c>
      <c r="Q161" s="7">
        <v>10.53</v>
      </c>
      <c r="R161" s="7">
        <v>0</v>
      </c>
      <c r="S161" s="7">
        <v>0</v>
      </c>
      <c r="T161" s="6" t="s">
        <v>451</v>
      </c>
    </row>
    <row r="162" spans="1:53" s="6" customFormat="1" x14ac:dyDescent="0.25">
      <c r="A162" s="6">
        <v>2029968822</v>
      </c>
      <c r="B162" s="6" t="s">
        <v>123</v>
      </c>
      <c r="C162" s="6" t="s">
        <v>109</v>
      </c>
      <c r="D162" s="6" t="str">
        <f t="shared" si="6"/>
        <v>GREGORY THOMAS</v>
      </c>
      <c r="E162" s="6" t="s">
        <v>451</v>
      </c>
      <c r="F162" s="6">
        <v>8814784</v>
      </c>
      <c r="G162" s="6" t="s">
        <v>1095</v>
      </c>
      <c r="H162" s="6" t="s">
        <v>56</v>
      </c>
      <c r="I162" s="5">
        <v>45854</v>
      </c>
      <c r="J162" s="5">
        <v>45946</v>
      </c>
      <c r="K162" s="7">
        <v>25.08</v>
      </c>
      <c r="L162" s="6">
        <f t="shared" si="7"/>
        <v>3</v>
      </c>
      <c r="M162" s="6" t="s">
        <v>59</v>
      </c>
      <c r="N162" s="6" t="s">
        <v>1145</v>
      </c>
      <c r="O162" s="9">
        <v>0.42</v>
      </c>
      <c r="P162" s="16">
        <f t="shared" si="8"/>
        <v>10.533599999999998</v>
      </c>
      <c r="Q162" s="7">
        <v>10.53</v>
      </c>
      <c r="R162" s="7">
        <v>0</v>
      </c>
      <c r="S162" s="7">
        <v>0</v>
      </c>
      <c r="T162" s="6" t="s">
        <v>451</v>
      </c>
    </row>
    <row r="163" spans="1:53" s="6" customFormat="1" x14ac:dyDescent="0.25">
      <c r="A163" s="6">
        <v>2028917635</v>
      </c>
      <c r="B163" s="6" t="s">
        <v>493</v>
      </c>
      <c r="C163" s="6" t="s">
        <v>494</v>
      </c>
      <c r="D163" s="6" t="str">
        <f t="shared" si="6"/>
        <v>DASHNYAM ANARD</v>
      </c>
      <c r="E163" s="6" t="s">
        <v>451</v>
      </c>
      <c r="F163" s="6">
        <v>20220688</v>
      </c>
      <c r="G163" s="6" t="s">
        <v>1087</v>
      </c>
      <c r="H163" s="6" t="s">
        <v>56</v>
      </c>
      <c r="I163" s="5">
        <v>45791</v>
      </c>
      <c r="J163" s="5">
        <v>45944</v>
      </c>
      <c r="K163" s="7">
        <v>-30.09</v>
      </c>
      <c r="L163" s="6">
        <f t="shared" si="7"/>
        <v>5</v>
      </c>
      <c r="M163" s="6" t="s">
        <v>59</v>
      </c>
      <c r="N163" s="6" t="s">
        <v>1145</v>
      </c>
      <c r="O163" s="9">
        <v>0.42</v>
      </c>
      <c r="P163" s="16">
        <f t="shared" si="8"/>
        <v>-12.637799999999999</v>
      </c>
      <c r="Q163" s="7">
        <v>0</v>
      </c>
      <c r="R163" s="7">
        <v>-12.64</v>
      </c>
      <c r="S163" s="7">
        <v>-12.64</v>
      </c>
      <c r="T163" s="6" t="s">
        <v>451</v>
      </c>
    </row>
    <row r="164" spans="1:53" s="6" customFormat="1" x14ac:dyDescent="0.25">
      <c r="A164" s="6">
        <v>2028917635</v>
      </c>
      <c r="B164" s="6" t="s">
        <v>493</v>
      </c>
      <c r="C164" s="6" t="s">
        <v>494</v>
      </c>
      <c r="D164" s="6" t="str">
        <f t="shared" si="6"/>
        <v>DASHNYAM ANARD</v>
      </c>
      <c r="E164" s="6" t="s">
        <v>451</v>
      </c>
      <c r="F164" s="6">
        <v>20220688</v>
      </c>
      <c r="G164" s="6" t="s">
        <v>1087</v>
      </c>
      <c r="H164" s="6" t="s">
        <v>56</v>
      </c>
      <c r="I164" s="5">
        <v>45791</v>
      </c>
      <c r="J164" s="5">
        <v>45944</v>
      </c>
      <c r="K164" s="7">
        <v>30.09</v>
      </c>
      <c r="L164" s="6">
        <f t="shared" si="7"/>
        <v>5</v>
      </c>
      <c r="M164" s="6" t="s">
        <v>59</v>
      </c>
      <c r="N164" s="6" t="s">
        <v>1145</v>
      </c>
      <c r="O164" s="9">
        <v>0.42</v>
      </c>
      <c r="P164" s="16">
        <f t="shared" si="8"/>
        <v>12.637799999999999</v>
      </c>
      <c r="Q164" s="7">
        <v>0</v>
      </c>
      <c r="R164" s="7">
        <v>12.64</v>
      </c>
      <c r="S164" s="7">
        <v>12.64</v>
      </c>
      <c r="T164" s="6" t="s">
        <v>451</v>
      </c>
    </row>
    <row r="165" spans="1:53" s="6" customFormat="1" x14ac:dyDescent="0.25">
      <c r="A165">
        <v>2030488871</v>
      </c>
      <c r="B165" t="s">
        <v>699</v>
      </c>
      <c r="C165" t="s">
        <v>698</v>
      </c>
      <c r="D165" s="6" t="str">
        <f t="shared" si="6"/>
        <v>KAI BARNES</v>
      </c>
      <c r="E165" t="s">
        <v>451</v>
      </c>
      <c r="F165">
        <v>5442438</v>
      </c>
      <c r="G165" t="s">
        <v>1077</v>
      </c>
      <c r="H165" t="s">
        <v>56</v>
      </c>
      <c r="I165" s="1">
        <v>45884</v>
      </c>
      <c r="J165" s="1">
        <v>45945</v>
      </c>
      <c r="K165" s="2">
        <v>27.8</v>
      </c>
      <c r="L165">
        <f t="shared" si="7"/>
        <v>2</v>
      </c>
      <c r="M165" t="s">
        <v>59</v>
      </c>
      <c r="N165" t="s">
        <v>1148</v>
      </c>
      <c r="O165" s="4">
        <v>0.42</v>
      </c>
      <c r="P165" s="16">
        <f t="shared" si="8"/>
        <v>11.676</v>
      </c>
      <c r="Q165" s="2">
        <v>11.68</v>
      </c>
      <c r="R165" s="2">
        <v>0</v>
      </c>
      <c r="S165" s="2">
        <v>0</v>
      </c>
      <c r="T165" t="s">
        <v>451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</row>
    <row r="166" spans="1:53" s="6" customFormat="1" x14ac:dyDescent="0.25">
      <c r="A166">
        <v>2030450004</v>
      </c>
      <c r="B166" t="s">
        <v>713</v>
      </c>
      <c r="C166" t="s">
        <v>712</v>
      </c>
      <c r="D166" s="6" t="str">
        <f t="shared" si="6"/>
        <v>URSULA EDELENBOS</v>
      </c>
      <c r="E166" t="s">
        <v>451</v>
      </c>
      <c r="F166">
        <v>5442438</v>
      </c>
      <c r="G166" t="s">
        <v>1077</v>
      </c>
      <c r="H166" t="s">
        <v>56</v>
      </c>
      <c r="I166" s="1">
        <v>45888</v>
      </c>
      <c r="J166" s="1">
        <v>45949</v>
      </c>
      <c r="K166" s="2">
        <v>32.81</v>
      </c>
      <c r="L166">
        <f t="shared" si="7"/>
        <v>2</v>
      </c>
      <c r="M166" t="s">
        <v>59</v>
      </c>
      <c r="N166" t="s">
        <v>1148</v>
      </c>
      <c r="O166" s="4">
        <v>0.42</v>
      </c>
      <c r="P166" s="16">
        <f t="shared" si="8"/>
        <v>13.780200000000001</v>
      </c>
      <c r="Q166" s="2">
        <v>13.78</v>
      </c>
      <c r="R166" s="2">
        <v>0</v>
      </c>
      <c r="S166" s="2">
        <v>0</v>
      </c>
      <c r="T166" t="s">
        <v>451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</row>
    <row r="167" spans="1:53" s="6" customFormat="1" x14ac:dyDescent="0.25">
      <c r="A167">
        <v>2030560164</v>
      </c>
      <c r="B167" t="s">
        <v>693</v>
      </c>
      <c r="C167" t="s">
        <v>692</v>
      </c>
      <c r="D167" s="6" t="str">
        <f t="shared" si="6"/>
        <v>GEORGE KNOTTS</v>
      </c>
      <c r="E167" t="s">
        <v>451</v>
      </c>
      <c r="F167">
        <v>9079571</v>
      </c>
      <c r="G167" t="s">
        <v>1092</v>
      </c>
      <c r="H167" t="s">
        <v>56</v>
      </c>
      <c r="I167" s="1">
        <v>45888</v>
      </c>
      <c r="J167" s="1">
        <v>45949</v>
      </c>
      <c r="K167" s="2">
        <v>43.86</v>
      </c>
      <c r="L167">
        <f t="shared" si="7"/>
        <v>2</v>
      </c>
      <c r="M167" t="s">
        <v>59</v>
      </c>
      <c r="N167" t="s">
        <v>1148</v>
      </c>
      <c r="O167" s="4">
        <v>0.42</v>
      </c>
      <c r="P167" s="16">
        <f t="shared" si="8"/>
        <v>18.421199999999999</v>
      </c>
      <c r="Q167" s="2">
        <v>18.420000000000002</v>
      </c>
      <c r="R167" s="2">
        <v>0</v>
      </c>
      <c r="S167" s="2">
        <v>0</v>
      </c>
      <c r="T167" t="s">
        <v>451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</row>
    <row r="168" spans="1:53" s="6" customFormat="1" x14ac:dyDescent="0.25">
      <c r="A168">
        <v>2030567355</v>
      </c>
      <c r="B168" t="s">
        <v>104</v>
      </c>
      <c r="C168" t="s">
        <v>231</v>
      </c>
      <c r="D168" s="6" t="str">
        <f t="shared" si="6"/>
        <v>YOUNG STEVEN</v>
      </c>
      <c r="E168" t="s">
        <v>451</v>
      </c>
      <c r="F168">
        <v>5442438</v>
      </c>
      <c r="G168" t="s">
        <v>1077</v>
      </c>
      <c r="H168" t="s">
        <v>56</v>
      </c>
      <c r="I168" s="1">
        <v>45892</v>
      </c>
      <c r="J168" s="1">
        <v>45953</v>
      </c>
      <c r="K168" s="2">
        <v>38.85</v>
      </c>
      <c r="L168">
        <f t="shared" si="7"/>
        <v>2</v>
      </c>
      <c r="M168" t="s">
        <v>59</v>
      </c>
      <c r="N168" t="s">
        <v>1148</v>
      </c>
      <c r="O168" s="4">
        <v>0.42</v>
      </c>
      <c r="P168" s="16">
        <f t="shared" si="8"/>
        <v>16.317</v>
      </c>
      <c r="Q168" s="2">
        <v>16.32</v>
      </c>
      <c r="R168" s="2">
        <v>0</v>
      </c>
      <c r="S168" s="2">
        <v>0</v>
      </c>
      <c r="T168" t="s">
        <v>451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</row>
    <row r="169" spans="1:53" s="6" customFormat="1" x14ac:dyDescent="0.25">
      <c r="A169">
        <v>2030313517</v>
      </c>
      <c r="B169" t="s">
        <v>898</v>
      </c>
      <c r="C169" t="s">
        <v>897</v>
      </c>
      <c r="D169" s="6" t="str">
        <f t="shared" si="6"/>
        <v>OCTA'VYON WATSON</v>
      </c>
      <c r="E169" t="s">
        <v>451</v>
      </c>
      <c r="F169">
        <v>5442438</v>
      </c>
      <c r="G169" t="s">
        <v>1077</v>
      </c>
      <c r="H169" t="s">
        <v>56</v>
      </c>
      <c r="I169" s="1">
        <v>45884</v>
      </c>
      <c r="J169" s="1">
        <v>45945</v>
      </c>
      <c r="K169" s="2">
        <v>27.8</v>
      </c>
      <c r="L169">
        <f t="shared" si="7"/>
        <v>2</v>
      </c>
      <c r="M169" t="s">
        <v>59</v>
      </c>
      <c r="N169" t="s">
        <v>1148</v>
      </c>
      <c r="O169" s="4">
        <v>0.42</v>
      </c>
      <c r="P169" s="16">
        <f t="shared" si="8"/>
        <v>11.676</v>
      </c>
      <c r="Q169" s="2">
        <v>11.68</v>
      </c>
      <c r="R169" s="2">
        <v>0</v>
      </c>
      <c r="S169" s="2">
        <v>0</v>
      </c>
      <c r="T169" t="s">
        <v>451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</row>
    <row r="170" spans="1:53" s="6" customFormat="1" x14ac:dyDescent="0.25">
      <c r="A170">
        <v>2030315872</v>
      </c>
      <c r="B170" t="s">
        <v>224</v>
      </c>
      <c r="C170" t="s">
        <v>225</v>
      </c>
      <c r="D170" s="6" t="str">
        <f t="shared" si="6"/>
        <v>MORRIS WILMER</v>
      </c>
      <c r="E170" t="s">
        <v>451</v>
      </c>
      <c r="F170">
        <v>5442438</v>
      </c>
      <c r="G170" t="s">
        <v>1077</v>
      </c>
      <c r="H170" t="s">
        <v>56</v>
      </c>
      <c r="I170" s="1">
        <v>45890</v>
      </c>
      <c r="J170" s="1">
        <v>45951</v>
      </c>
      <c r="K170" s="2">
        <v>43.86</v>
      </c>
      <c r="L170">
        <f t="shared" si="7"/>
        <v>2</v>
      </c>
      <c r="M170" t="s">
        <v>59</v>
      </c>
      <c r="N170" t="s">
        <v>1148</v>
      </c>
      <c r="O170" s="4">
        <v>0.42</v>
      </c>
      <c r="P170" s="16">
        <f t="shared" si="8"/>
        <v>18.421199999999999</v>
      </c>
      <c r="Q170" s="2">
        <v>18.420000000000002</v>
      </c>
      <c r="R170" s="2">
        <v>0</v>
      </c>
      <c r="S170" s="2">
        <v>0</v>
      </c>
      <c r="T170" t="s">
        <v>451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</row>
    <row r="171" spans="1:53" s="6" customFormat="1" x14ac:dyDescent="0.25">
      <c r="A171">
        <v>2029967973</v>
      </c>
      <c r="B171" t="s">
        <v>910</v>
      </c>
      <c r="C171" t="s">
        <v>909</v>
      </c>
      <c r="D171" s="6" t="str">
        <f t="shared" si="6"/>
        <v>SEMAB QURESHI</v>
      </c>
      <c r="E171" t="s">
        <v>451</v>
      </c>
      <c r="F171">
        <v>5442438</v>
      </c>
      <c r="G171" t="s">
        <v>1077</v>
      </c>
      <c r="H171" t="s">
        <v>56</v>
      </c>
      <c r="I171" s="1">
        <v>45854</v>
      </c>
      <c r="J171" s="1">
        <v>45946</v>
      </c>
      <c r="K171" s="2">
        <v>32.81</v>
      </c>
      <c r="L171">
        <f t="shared" si="7"/>
        <v>3</v>
      </c>
      <c r="M171" t="s">
        <v>59</v>
      </c>
      <c r="N171" t="s">
        <v>1148</v>
      </c>
      <c r="O171" s="4">
        <v>0.42</v>
      </c>
      <c r="P171" s="16">
        <f t="shared" si="8"/>
        <v>13.780200000000001</v>
      </c>
      <c r="Q171" s="2">
        <v>13.78</v>
      </c>
      <c r="R171" s="2">
        <v>0</v>
      </c>
      <c r="S171" s="2">
        <v>0</v>
      </c>
      <c r="T171" t="s">
        <v>451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</row>
    <row r="172" spans="1:53" s="6" customFormat="1" x14ac:dyDescent="0.25">
      <c r="A172">
        <v>2016875098</v>
      </c>
      <c r="B172" t="s">
        <v>448</v>
      </c>
      <c r="C172" t="s">
        <v>449</v>
      </c>
      <c r="D172" s="6" t="str">
        <f t="shared" si="6"/>
        <v>PAULA HUBER</v>
      </c>
      <c r="E172" t="s">
        <v>451</v>
      </c>
      <c r="F172">
        <v>9079571</v>
      </c>
      <c r="G172" t="s">
        <v>1092</v>
      </c>
      <c r="H172" t="s">
        <v>56</v>
      </c>
      <c r="I172" s="1">
        <v>44887</v>
      </c>
      <c r="J172" s="1">
        <v>45952</v>
      </c>
      <c r="K172" s="2">
        <v>93.84</v>
      </c>
      <c r="L172">
        <f t="shared" si="7"/>
        <v>35</v>
      </c>
      <c r="M172" t="s">
        <v>59</v>
      </c>
      <c r="N172" t="s">
        <v>1148</v>
      </c>
      <c r="O172" s="4">
        <v>0.09</v>
      </c>
      <c r="P172" s="16">
        <f t="shared" si="8"/>
        <v>8.4456000000000007</v>
      </c>
      <c r="Q172" s="2">
        <v>0</v>
      </c>
      <c r="R172" s="2">
        <v>8.4499999999999993</v>
      </c>
      <c r="S172" s="2">
        <v>8.4499999999999993</v>
      </c>
      <c r="T172" t="s">
        <v>451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</row>
    <row r="173" spans="1:53" s="6" customFormat="1" x14ac:dyDescent="0.25">
      <c r="A173" s="6">
        <v>2030600738</v>
      </c>
      <c r="B173" s="6" t="s">
        <v>288</v>
      </c>
      <c r="C173" s="6" t="s">
        <v>289</v>
      </c>
      <c r="D173" s="6" t="str">
        <f t="shared" si="6"/>
        <v>EKUNDAYO AFOLASADE</v>
      </c>
      <c r="E173" s="6" t="s">
        <v>244</v>
      </c>
      <c r="F173" s="6">
        <v>21101146</v>
      </c>
      <c r="G173" s="6" t="s">
        <v>1112</v>
      </c>
      <c r="H173" s="6" t="s">
        <v>56</v>
      </c>
      <c r="I173" s="5">
        <v>45894</v>
      </c>
      <c r="J173" s="5">
        <v>45955</v>
      </c>
      <c r="K173" s="7">
        <v>15</v>
      </c>
      <c r="L173" s="6">
        <f t="shared" si="7"/>
        <v>2</v>
      </c>
      <c r="M173" s="6" t="s">
        <v>59</v>
      </c>
      <c r="N173" s="6" t="s">
        <v>1145</v>
      </c>
      <c r="O173" s="9">
        <v>0.28999999999999998</v>
      </c>
      <c r="P173" s="16">
        <f t="shared" si="8"/>
        <v>4.3499999999999996</v>
      </c>
      <c r="Q173" s="7">
        <v>4.3499999999999996</v>
      </c>
      <c r="R173" s="7">
        <v>0</v>
      </c>
      <c r="S173" s="7">
        <v>0</v>
      </c>
      <c r="T173" s="6" t="s">
        <v>1143</v>
      </c>
    </row>
    <row r="174" spans="1:53" s="6" customFormat="1" x14ac:dyDescent="0.25">
      <c r="A174" s="6">
        <v>2029051888</v>
      </c>
      <c r="B174" s="6" t="s">
        <v>160</v>
      </c>
      <c r="C174" s="6" t="s">
        <v>270</v>
      </c>
      <c r="D174" s="6" t="str">
        <f t="shared" si="6"/>
        <v>REX BUSH</v>
      </c>
      <c r="E174" s="6" t="s">
        <v>244</v>
      </c>
      <c r="F174" s="6">
        <v>18201929</v>
      </c>
      <c r="G174" s="6" t="s">
        <v>1081</v>
      </c>
      <c r="H174" s="6" t="s">
        <v>56</v>
      </c>
      <c r="I174" s="5">
        <v>45799</v>
      </c>
      <c r="J174" s="5">
        <v>45952</v>
      </c>
      <c r="K174" s="7">
        <v>15</v>
      </c>
      <c r="L174" s="6">
        <f t="shared" si="7"/>
        <v>5</v>
      </c>
      <c r="M174" s="6" t="s">
        <v>59</v>
      </c>
      <c r="N174" s="6" t="s">
        <v>1145</v>
      </c>
      <c r="O174" s="9">
        <v>0.28999999999999998</v>
      </c>
      <c r="P174" s="16">
        <f t="shared" si="8"/>
        <v>4.3499999999999996</v>
      </c>
      <c r="Q174" s="7">
        <v>0</v>
      </c>
      <c r="R174" s="7">
        <v>4.3499999999999996</v>
      </c>
      <c r="S174" s="7">
        <v>4.3499999999999996</v>
      </c>
      <c r="T174" s="6" t="s">
        <v>1143</v>
      </c>
    </row>
    <row r="175" spans="1:53" s="6" customFormat="1" x14ac:dyDescent="0.25">
      <c r="A175" s="6">
        <v>2027080634</v>
      </c>
      <c r="B175" s="6" t="s">
        <v>435</v>
      </c>
      <c r="C175" s="6" t="s">
        <v>1058</v>
      </c>
      <c r="D175" s="6" t="str">
        <f t="shared" si="6"/>
        <v>MARYANN GALLARELLO</v>
      </c>
      <c r="E175" s="6" t="s">
        <v>244</v>
      </c>
      <c r="F175" s="6">
        <v>7470776</v>
      </c>
      <c r="G175" s="6" t="s">
        <v>1093</v>
      </c>
      <c r="H175" s="6" t="s">
        <v>56</v>
      </c>
      <c r="I175" s="5">
        <v>45701</v>
      </c>
      <c r="J175" s="5">
        <v>45943</v>
      </c>
      <c r="K175" s="7">
        <v>15</v>
      </c>
      <c r="L175" s="6">
        <f t="shared" si="7"/>
        <v>8</v>
      </c>
      <c r="M175" s="6" t="s">
        <v>59</v>
      </c>
      <c r="N175" s="6" t="s">
        <v>1148</v>
      </c>
      <c r="O175" s="9">
        <v>0.28999999999999998</v>
      </c>
      <c r="P175" s="16">
        <f t="shared" si="8"/>
        <v>4.3499999999999996</v>
      </c>
      <c r="Q175" s="7">
        <v>0</v>
      </c>
      <c r="R175" s="7">
        <v>4.3499999999999996</v>
      </c>
      <c r="S175" s="7">
        <v>4.3499999999999996</v>
      </c>
      <c r="T175" s="6" t="s">
        <v>1143</v>
      </c>
    </row>
    <row r="176" spans="1:53" s="6" customFormat="1" x14ac:dyDescent="0.25">
      <c r="A176">
        <v>2030485608</v>
      </c>
      <c r="B176" t="s">
        <v>703</v>
      </c>
      <c r="C176" t="s">
        <v>702</v>
      </c>
      <c r="D176" s="6" t="str">
        <f t="shared" si="6"/>
        <v>KARENLYNN GREEN</v>
      </c>
      <c r="E176" t="s">
        <v>244</v>
      </c>
      <c r="F176">
        <v>20776610</v>
      </c>
      <c r="G176" t="s">
        <v>1136</v>
      </c>
      <c r="H176" t="s">
        <v>56</v>
      </c>
      <c r="I176" s="1">
        <v>45883</v>
      </c>
      <c r="J176" s="1">
        <v>45944</v>
      </c>
      <c r="K176" s="2">
        <v>15</v>
      </c>
      <c r="L176">
        <f t="shared" si="7"/>
        <v>2</v>
      </c>
      <c r="M176" t="s">
        <v>59</v>
      </c>
      <c r="N176" t="s">
        <v>1148</v>
      </c>
      <c r="O176" s="4">
        <v>0.28999999999999998</v>
      </c>
      <c r="P176" s="16">
        <f t="shared" si="8"/>
        <v>4.3499999999999996</v>
      </c>
      <c r="Q176" s="2">
        <v>0</v>
      </c>
      <c r="R176" s="2">
        <v>4.3499999999999996</v>
      </c>
      <c r="S176" s="2">
        <v>4.3499999999999996</v>
      </c>
      <c r="T176" t="s">
        <v>1143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</row>
    <row r="177" spans="1:53" s="6" customFormat="1" x14ac:dyDescent="0.25">
      <c r="A177">
        <v>2029995395</v>
      </c>
      <c r="B177" t="s">
        <v>651</v>
      </c>
      <c r="C177" t="s">
        <v>179</v>
      </c>
      <c r="D177" s="6" t="str">
        <f t="shared" si="6"/>
        <v>TIMOTHY LOVING</v>
      </c>
      <c r="E177" t="s">
        <v>244</v>
      </c>
      <c r="F177">
        <v>21605264</v>
      </c>
      <c r="G177" t="s">
        <v>1135</v>
      </c>
      <c r="H177" t="s">
        <v>56</v>
      </c>
      <c r="I177" s="1">
        <v>45855</v>
      </c>
      <c r="J177" s="1">
        <v>45947</v>
      </c>
      <c r="K177" s="2">
        <v>15</v>
      </c>
      <c r="L177">
        <f t="shared" si="7"/>
        <v>3</v>
      </c>
      <c r="M177" t="s">
        <v>59</v>
      </c>
      <c r="N177" t="s">
        <v>1148</v>
      </c>
      <c r="O177" s="4">
        <v>0.28999999999999998</v>
      </c>
      <c r="P177" s="16">
        <f t="shared" si="8"/>
        <v>4.3499999999999996</v>
      </c>
      <c r="Q177" s="2">
        <v>4.3499999999999996</v>
      </c>
      <c r="R177" s="2">
        <v>0</v>
      </c>
      <c r="S177" s="2">
        <v>0</v>
      </c>
      <c r="T177" t="s">
        <v>1143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</row>
    <row r="178" spans="1:53" s="6" customFormat="1" x14ac:dyDescent="0.25">
      <c r="A178">
        <v>2028437289</v>
      </c>
      <c r="B178" t="s">
        <v>1057</v>
      </c>
      <c r="C178" t="s">
        <v>1056</v>
      </c>
      <c r="D178" s="6" t="str">
        <f t="shared" si="6"/>
        <v>GYORGYI NOVAC</v>
      </c>
      <c r="E178" t="s">
        <v>244</v>
      </c>
      <c r="F178">
        <v>8977234</v>
      </c>
      <c r="G178" t="s">
        <v>1078</v>
      </c>
      <c r="H178" t="s">
        <v>56</v>
      </c>
      <c r="I178" s="1">
        <v>45764</v>
      </c>
      <c r="J178" s="1">
        <v>45947</v>
      </c>
      <c r="K178" s="2">
        <v>15</v>
      </c>
      <c r="L178">
        <f t="shared" si="7"/>
        <v>6</v>
      </c>
      <c r="M178" t="s">
        <v>59</v>
      </c>
      <c r="N178" t="s">
        <v>1148</v>
      </c>
      <c r="O178" s="4">
        <v>0.28999999999999998</v>
      </c>
      <c r="P178" s="16">
        <f t="shared" si="8"/>
        <v>4.3499999999999996</v>
      </c>
      <c r="Q178" s="2">
        <v>0</v>
      </c>
      <c r="R178" s="2">
        <v>4.3499999999999996</v>
      </c>
      <c r="S178" s="2">
        <v>4.3499999999999996</v>
      </c>
      <c r="T178" t="s">
        <v>1143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</row>
    <row r="179" spans="1:53" s="6" customFormat="1" x14ac:dyDescent="0.25">
      <c r="A179">
        <v>2024372430</v>
      </c>
      <c r="B179" t="s">
        <v>654</v>
      </c>
      <c r="C179" t="s">
        <v>653</v>
      </c>
      <c r="D179" s="6" t="str">
        <f t="shared" si="6"/>
        <v>LANDON BRITT</v>
      </c>
      <c r="E179" t="s">
        <v>244</v>
      </c>
      <c r="F179">
        <v>17437820</v>
      </c>
      <c r="G179" t="s">
        <v>1082</v>
      </c>
      <c r="H179" t="s">
        <v>56</v>
      </c>
      <c r="I179" s="1">
        <v>45518</v>
      </c>
      <c r="J179" s="1">
        <v>45944</v>
      </c>
      <c r="K179" s="2">
        <v>15</v>
      </c>
      <c r="L179">
        <f t="shared" si="7"/>
        <v>14</v>
      </c>
      <c r="M179" t="s">
        <v>59</v>
      </c>
      <c r="N179" t="s">
        <v>1148</v>
      </c>
      <c r="O179" s="4">
        <v>0.28999999999999998</v>
      </c>
      <c r="P179" s="16">
        <f t="shared" si="8"/>
        <v>4.3499999999999996</v>
      </c>
      <c r="Q179" s="2">
        <v>0</v>
      </c>
      <c r="R179" s="2">
        <v>4.3499999999999996</v>
      </c>
      <c r="S179" s="2">
        <v>4.3499999999999996</v>
      </c>
      <c r="T179" t="s">
        <v>1143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</row>
    <row r="180" spans="1:53" s="6" customFormat="1" x14ac:dyDescent="0.25">
      <c r="A180">
        <v>2022974572</v>
      </c>
      <c r="B180" t="s">
        <v>245</v>
      </c>
      <c r="C180" t="s">
        <v>246</v>
      </c>
      <c r="D180" s="6" t="str">
        <f t="shared" si="6"/>
        <v>GERALDO CHACIN</v>
      </c>
      <c r="E180" t="s">
        <v>244</v>
      </c>
      <c r="F180">
        <v>8307933</v>
      </c>
      <c r="G180" t="s">
        <v>1098</v>
      </c>
      <c r="H180" t="s">
        <v>56</v>
      </c>
      <c r="I180" s="1">
        <v>45433</v>
      </c>
      <c r="J180" s="1">
        <v>45951</v>
      </c>
      <c r="K180" s="2">
        <v>15</v>
      </c>
      <c r="L180">
        <f t="shared" si="7"/>
        <v>17</v>
      </c>
      <c r="M180" t="s">
        <v>59</v>
      </c>
      <c r="N180" t="s">
        <v>1148</v>
      </c>
      <c r="O180" s="4">
        <v>0.28999999999999998</v>
      </c>
      <c r="P180" s="16">
        <f t="shared" si="8"/>
        <v>4.3499999999999996</v>
      </c>
      <c r="Q180" s="2">
        <v>0</v>
      </c>
      <c r="R180" s="2">
        <v>4.3499999999999996</v>
      </c>
      <c r="S180" s="2">
        <v>4.3499999999999996</v>
      </c>
      <c r="T180" t="s">
        <v>1143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</row>
    <row r="181" spans="1:53" s="6" customFormat="1" x14ac:dyDescent="0.25">
      <c r="A181">
        <v>2020461027</v>
      </c>
      <c r="B181" t="s">
        <v>242</v>
      </c>
      <c r="C181" t="s">
        <v>179</v>
      </c>
      <c r="D181" s="6" t="str">
        <f t="shared" si="6"/>
        <v>TIMOTHY WASSELL</v>
      </c>
      <c r="E181" t="s">
        <v>244</v>
      </c>
      <c r="F181">
        <v>8977234</v>
      </c>
      <c r="G181" t="s">
        <v>1078</v>
      </c>
      <c r="H181" t="s">
        <v>56</v>
      </c>
      <c r="I181" s="1">
        <v>45284</v>
      </c>
      <c r="J181" s="1">
        <v>45954</v>
      </c>
      <c r="K181" s="2">
        <v>15</v>
      </c>
      <c r="L181">
        <f t="shared" si="7"/>
        <v>22</v>
      </c>
      <c r="M181" t="s">
        <v>59</v>
      </c>
      <c r="N181" t="s">
        <v>1148</v>
      </c>
      <c r="O181" s="4">
        <v>0.28999999999999998</v>
      </c>
      <c r="P181" s="16">
        <f t="shared" si="8"/>
        <v>4.3499999999999996</v>
      </c>
      <c r="Q181" s="2">
        <v>0</v>
      </c>
      <c r="R181" s="2">
        <v>4.3499999999999996</v>
      </c>
      <c r="S181" s="2">
        <v>4.3499999999999996</v>
      </c>
      <c r="T181" t="s">
        <v>1143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</row>
    <row r="182" spans="1:53" s="6" customFormat="1" x14ac:dyDescent="0.25">
      <c r="A182" s="6">
        <v>2029058325</v>
      </c>
      <c r="B182" s="6" t="s">
        <v>944</v>
      </c>
      <c r="C182" s="6" t="s">
        <v>943</v>
      </c>
      <c r="D182" s="6" t="str">
        <f t="shared" si="6"/>
        <v>TATE GOULD</v>
      </c>
      <c r="E182" s="6" t="s">
        <v>298</v>
      </c>
      <c r="F182" s="6">
        <v>16633294</v>
      </c>
      <c r="G182" s="6" t="s">
        <v>1079</v>
      </c>
      <c r="H182" s="6" t="s">
        <v>56</v>
      </c>
      <c r="I182" s="5">
        <v>45796</v>
      </c>
      <c r="J182" s="5">
        <v>45949</v>
      </c>
      <c r="K182" s="7">
        <v>15</v>
      </c>
      <c r="L182" s="6">
        <f t="shared" si="7"/>
        <v>5</v>
      </c>
      <c r="M182" s="6" t="s">
        <v>59</v>
      </c>
      <c r="N182" s="6" t="s">
        <v>1145</v>
      </c>
      <c r="O182" s="9">
        <v>0.19</v>
      </c>
      <c r="P182" s="16">
        <f t="shared" si="8"/>
        <v>2.85</v>
      </c>
      <c r="Q182" s="7">
        <v>0</v>
      </c>
      <c r="R182" s="7">
        <v>2.85</v>
      </c>
      <c r="S182" s="7">
        <v>2.85</v>
      </c>
      <c r="T182" s="6" t="s">
        <v>252</v>
      </c>
    </row>
    <row r="183" spans="1:53" s="6" customFormat="1" x14ac:dyDescent="0.25">
      <c r="A183">
        <v>2030023419</v>
      </c>
      <c r="B183" t="s">
        <v>771</v>
      </c>
      <c r="C183" t="s">
        <v>770</v>
      </c>
      <c r="D183" s="6" t="str">
        <f t="shared" si="6"/>
        <v>MIRCEA CALBAZA</v>
      </c>
      <c r="E183" t="s">
        <v>269</v>
      </c>
      <c r="F183">
        <v>20003537</v>
      </c>
      <c r="G183" t="s">
        <v>1102</v>
      </c>
      <c r="H183" t="s">
        <v>56</v>
      </c>
      <c r="I183" s="1">
        <v>45857</v>
      </c>
      <c r="J183" s="1">
        <v>45949</v>
      </c>
      <c r="K183" s="2">
        <v>15</v>
      </c>
      <c r="L183">
        <f t="shared" si="7"/>
        <v>3</v>
      </c>
      <c r="M183" t="s">
        <v>59</v>
      </c>
      <c r="N183" t="s">
        <v>1148</v>
      </c>
      <c r="O183" s="4">
        <v>0.19</v>
      </c>
      <c r="P183" s="16">
        <f t="shared" si="8"/>
        <v>2.85</v>
      </c>
      <c r="Q183" s="2">
        <v>2.85</v>
      </c>
      <c r="R183" s="2">
        <v>0</v>
      </c>
      <c r="S183" s="2">
        <v>0</v>
      </c>
      <c r="T183" t="s">
        <v>252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</row>
    <row r="184" spans="1:53" s="6" customFormat="1" x14ac:dyDescent="0.25">
      <c r="A184">
        <v>2030085147</v>
      </c>
      <c r="B184" t="s">
        <v>217</v>
      </c>
      <c r="C184" t="s">
        <v>218</v>
      </c>
      <c r="D184" s="6" t="str">
        <f t="shared" si="6"/>
        <v>GARRARD NOREEN</v>
      </c>
      <c r="E184" t="s">
        <v>269</v>
      </c>
      <c r="F184">
        <v>8977234</v>
      </c>
      <c r="G184" t="s">
        <v>1078</v>
      </c>
      <c r="H184" t="s">
        <v>56</v>
      </c>
      <c r="I184" s="1">
        <v>45861</v>
      </c>
      <c r="J184" s="1">
        <v>45953</v>
      </c>
      <c r="K184" s="2">
        <v>15</v>
      </c>
      <c r="L184">
        <f t="shared" si="7"/>
        <v>3</v>
      </c>
      <c r="M184" t="s">
        <v>59</v>
      </c>
      <c r="N184" t="s">
        <v>1148</v>
      </c>
      <c r="O184" s="4">
        <v>0.19</v>
      </c>
      <c r="P184" s="16">
        <f t="shared" si="8"/>
        <v>2.85</v>
      </c>
      <c r="Q184" s="2">
        <v>2.85</v>
      </c>
      <c r="R184" s="2">
        <v>0</v>
      </c>
      <c r="S184" s="2">
        <v>0</v>
      </c>
      <c r="T184" t="s">
        <v>252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</row>
    <row r="185" spans="1:53" s="6" customFormat="1" x14ac:dyDescent="0.25">
      <c r="A185">
        <v>2029038488</v>
      </c>
      <c r="B185" t="s">
        <v>186</v>
      </c>
      <c r="C185" t="s">
        <v>187</v>
      </c>
      <c r="D185" s="6" t="str">
        <f t="shared" si="6"/>
        <v>SEAN HANAFI</v>
      </c>
      <c r="E185" t="s">
        <v>269</v>
      </c>
      <c r="F185">
        <v>8977234</v>
      </c>
      <c r="G185" t="s">
        <v>1078</v>
      </c>
      <c r="H185" t="s">
        <v>56</v>
      </c>
      <c r="I185" s="1">
        <v>45798</v>
      </c>
      <c r="J185" s="1">
        <v>45951</v>
      </c>
      <c r="K185" s="2">
        <v>15</v>
      </c>
      <c r="L185">
        <f t="shared" si="7"/>
        <v>5</v>
      </c>
      <c r="M185" t="s">
        <v>59</v>
      </c>
      <c r="N185" t="s">
        <v>1148</v>
      </c>
      <c r="O185" s="4">
        <v>0.19</v>
      </c>
      <c r="P185" s="16">
        <f t="shared" si="8"/>
        <v>2.85</v>
      </c>
      <c r="Q185" s="2">
        <v>2.85</v>
      </c>
      <c r="R185" s="2">
        <v>0</v>
      </c>
      <c r="S185" s="2">
        <v>0</v>
      </c>
      <c r="T185" t="s">
        <v>252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</row>
    <row r="186" spans="1:53" s="6" customFormat="1" x14ac:dyDescent="0.25">
      <c r="A186">
        <v>2028958359</v>
      </c>
      <c r="B186" t="s">
        <v>777</v>
      </c>
      <c r="C186" t="s">
        <v>349</v>
      </c>
      <c r="D186" s="6" t="str">
        <f t="shared" si="6"/>
        <v>DAVID WRING</v>
      </c>
      <c r="E186" t="s">
        <v>269</v>
      </c>
      <c r="F186">
        <v>8977234</v>
      </c>
      <c r="G186" t="s">
        <v>1078</v>
      </c>
      <c r="H186" t="s">
        <v>56</v>
      </c>
      <c r="I186" s="1">
        <v>45793</v>
      </c>
      <c r="J186" s="1">
        <v>45946</v>
      </c>
      <c r="K186" s="2">
        <v>15</v>
      </c>
      <c r="L186">
        <f t="shared" si="7"/>
        <v>5</v>
      </c>
      <c r="M186" t="s">
        <v>59</v>
      </c>
      <c r="N186" t="s">
        <v>1148</v>
      </c>
      <c r="O186" s="4">
        <v>0.19</v>
      </c>
      <c r="P186" s="16">
        <f t="shared" si="8"/>
        <v>2.85</v>
      </c>
      <c r="Q186" s="2">
        <v>0</v>
      </c>
      <c r="R186" s="2">
        <v>2.85</v>
      </c>
      <c r="S186" s="2">
        <v>2.85</v>
      </c>
      <c r="T186" t="s">
        <v>252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</row>
    <row r="187" spans="1:53" s="6" customFormat="1" x14ac:dyDescent="0.25">
      <c r="A187">
        <v>2023913074</v>
      </c>
      <c r="B187" t="s">
        <v>655</v>
      </c>
      <c r="C187" t="s">
        <v>280</v>
      </c>
      <c r="D187" s="6" t="str">
        <f t="shared" si="6"/>
        <v>DOUGLAS GEISSINGER</v>
      </c>
      <c r="E187" t="s">
        <v>252</v>
      </c>
      <c r="F187">
        <v>8977234</v>
      </c>
      <c r="G187" t="s">
        <v>1078</v>
      </c>
      <c r="H187" t="s">
        <v>56</v>
      </c>
      <c r="I187" s="1">
        <v>45643</v>
      </c>
      <c r="J187" s="1">
        <v>45947</v>
      </c>
      <c r="K187" s="2">
        <v>15</v>
      </c>
      <c r="L187">
        <f t="shared" si="7"/>
        <v>10</v>
      </c>
      <c r="M187" t="s">
        <v>59</v>
      </c>
      <c r="N187" t="s">
        <v>1148</v>
      </c>
      <c r="O187" s="4">
        <v>0.19</v>
      </c>
      <c r="P187" s="16">
        <f t="shared" si="8"/>
        <v>2.85</v>
      </c>
      <c r="Q187" s="2">
        <v>0</v>
      </c>
      <c r="R187" s="2">
        <v>2.85</v>
      </c>
      <c r="S187" s="2">
        <v>2.85</v>
      </c>
      <c r="T187" t="s">
        <v>252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</row>
    <row r="188" spans="1:53" s="6" customFormat="1" x14ac:dyDescent="0.25">
      <c r="A188">
        <v>2023625918</v>
      </c>
      <c r="B188" t="s">
        <v>250</v>
      </c>
      <c r="C188" t="s">
        <v>251</v>
      </c>
      <c r="D188" s="6" t="str">
        <f t="shared" si="6"/>
        <v>THERESA KALMAN</v>
      </c>
      <c r="E188" t="s">
        <v>252</v>
      </c>
      <c r="F188">
        <v>8977234</v>
      </c>
      <c r="G188" t="s">
        <v>1078</v>
      </c>
      <c r="H188" t="s">
        <v>56</v>
      </c>
      <c r="I188" s="1">
        <v>45466</v>
      </c>
      <c r="J188" s="1">
        <v>45953</v>
      </c>
      <c r="K188" s="2">
        <v>15</v>
      </c>
      <c r="L188">
        <f t="shared" si="7"/>
        <v>16</v>
      </c>
      <c r="M188" t="s">
        <v>59</v>
      </c>
      <c r="N188" t="s">
        <v>1148</v>
      </c>
      <c r="O188" s="4">
        <v>0.19</v>
      </c>
      <c r="P188" s="16">
        <f t="shared" si="8"/>
        <v>2.85</v>
      </c>
      <c r="Q188" s="2">
        <v>0</v>
      </c>
      <c r="R188" s="2">
        <v>2.85</v>
      </c>
      <c r="S188" s="2">
        <v>2.85</v>
      </c>
      <c r="T188" t="s">
        <v>252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</row>
    <row r="189" spans="1:53" s="6" customFormat="1" x14ac:dyDescent="0.25">
      <c r="A189">
        <v>2030023417</v>
      </c>
      <c r="B189" t="s">
        <v>771</v>
      </c>
      <c r="C189" t="s">
        <v>770</v>
      </c>
      <c r="D189" s="6" t="str">
        <f t="shared" si="6"/>
        <v>MIRCEA CALBAZA</v>
      </c>
      <c r="E189" t="s">
        <v>440</v>
      </c>
      <c r="F189">
        <v>20003537</v>
      </c>
      <c r="G189" t="s">
        <v>1102</v>
      </c>
      <c r="H189" t="s">
        <v>56</v>
      </c>
      <c r="I189" s="1">
        <v>45857</v>
      </c>
      <c r="J189" s="1">
        <v>45949</v>
      </c>
      <c r="K189" s="2">
        <v>316.91000000000003</v>
      </c>
      <c r="L189">
        <f t="shared" si="7"/>
        <v>3</v>
      </c>
      <c r="M189" t="s">
        <v>59</v>
      </c>
      <c r="N189" t="s">
        <v>1148</v>
      </c>
      <c r="O189" s="4">
        <v>0.19</v>
      </c>
      <c r="P189" s="16">
        <f t="shared" si="8"/>
        <v>60.212900000000005</v>
      </c>
      <c r="Q189" s="2">
        <v>60.21</v>
      </c>
      <c r="R189" s="2">
        <v>0</v>
      </c>
      <c r="S189" s="2">
        <v>0</v>
      </c>
      <c r="T189" t="s">
        <v>1149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</row>
    <row r="190" spans="1:53" s="6" customFormat="1" x14ac:dyDescent="0.25">
      <c r="A190">
        <v>2030085145</v>
      </c>
      <c r="B190" t="s">
        <v>217</v>
      </c>
      <c r="C190" t="s">
        <v>218</v>
      </c>
      <c r="D190" s="6" t="str">
        <f t="shared" si="6"/>
        <v>GARRARD NOREEN</v>
      </c>
      <c r="E190" t="s">
        <v>440</v>
      </c>
      <c r="F190">
        <v>8977234</v>
      </c>
      <c r="G190" t="s">
        <v>1078</v>
      </c>
      <c r="H190" t="s">
        <v>56</v>
      </c>
      <c r="I190" s="1">
        <v>45861</v>
      </c>
      <c r="J190" s="1">
        <v>45953</v>
      </c>
      <c r="K190" s="2">
        <v>218.73</v>
      </c>
      <c r="L190">
        <f t="shared" si="7"/>
        <v>3</v>
      </c>
      <c r="M190" t="s">
        <v>59</v>
      </c>
      <c r="N190" t="s">
        <v>1148</v>
      </c>
      <c r="O190" s="4">
        <v>0.19</v>
      </c>
      <c r="P190" s="16">
        <f t="shared" si="8"/>
        <v>41.558700000000002</v>
      </c>
      <c r="Q190" s="2">
        <v>41.56</v>
      </c>
      <c r="R190" s="2">
        <v>0</v>
      </c>
      <c r="S190" s="2">
        <v>0</v>
      </c>
      <c r="T190" t="s">
        <v>1149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</row>
    <row r="191" spans="1:53" s="6" customFormat="1" x14ac:dyDescent="0.25">
      <c r="A191">
        <v>2029038483</v>
      </c>
      <c r="B191" t="s">
        <v>186</v>
      </c>
      <c r="C191" t="s">
        <v>187</v>
      </c>
      <c r="D191" s="6" t="str">
        <f t="shared" si="6"/>
        <v>SEAN HANAFI</v>
      </c>
      <c r="E191" t="s">
        <v>440</v>
      </c>
      <c r="F191">
        <v>8977234</v>
      </c>
      <c r="G191" t="s">
        <v>1078</v>
      </c>
      <c r="H191" t="s">
        <v>56</v>
      </c>
      <c r="I191" s="1">
        <v>45798</v>
      </c>
      <c r="J191" s="1">
        <v>45951</v>
      </c>
      <c r="K191" s="2">
        <v>146.72999999999999</v>
      </c>
      <c r="L191">
        <f t="shared" si="7"/>
        <v>5</v>
      </c>
      <c r="M191" t="s">
        <v>59</v>
      </c>
      <c r="N191" t="s">
        <v>1148</v>
      </c>
      <c r="O191" s="4">
        <v>0.19</v>
      </c>
      <c r="P191" s="16">
        <f t="shared" si="8"/>
        <v>27.878699999999998</v>
      </c>
      <c r="Q191" s="2">
        <v>27.88</v>
      </c>
      <c r="R191" s="2">
        <v>0</v>
      </c>
      <c r="S191" s="2">
        <v>0</v>
      </c>
      <c r="T191" t="s">
        <v>1149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</row>
    <row r="192" spans="1:53" s="6" customFormat="1" x14ac:dyDescent="0.25">
      <c r="A192">
        <v>2028958356</v>
      </c>
      <c r="B192" t="s">
        <v>777</v>
      </c>
      <c r="C192" t="s">
        <v>349</v>
      </c>
      <c r="D192" s="6" t="str">
        <f t="shared" si="6"/>
        <v>DAVID WRING</v>
      </c>
      <c r="E192" t="s">
        <v>440</v>
      </c>
      <c r="F192">
        <v>8977234</v>
      </c>
      <c r="G192" t="s">
        <v>1078</v>
      </c>
      <c r="H192" t="s">
        <v>56</v>
      </c>
      <c r="I192" s="1">
        <v>45793</v>
      </c>
      <c r="J192" s="1">
        <v>45946</v>
      </c>
      <c r="K192" s="2">
        <v>100.48</v>
      </c>
      <c r="L192">
        <f t="shared" si="7"/>
        <v>5</v>
      </c>
      <c r="M192" t="s">
        <v>59</v>
      </c>
      <c r="N192" t="s">
        <v>1148</v>
      </c>
      <c r="O192" s="4">
        <v>0.19</v>
      </c>
      <c r="P192" s="16">
        <f t="shared" si="8"/>
        <v>19.091200000000001</v>
      </c>
      <c r="Q192" s="2">
        <v>0</v>
      </c>
      <c r="R192" s="2">
        <v>19.09</v>
      </c>
      <c r="S192" s="2">
        <v>19.09</v>
      </c>
      <c r="T192" t="s">
        <v>1149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</row>
    <row r="193" spans="1:53" s="6" customFormat="1" x14ac:dyDescent="0.25">
      <c r="A193" s="6">
        <v>2030716398</v>
      </c>
      <c r="B193" s="6" t="s">
        <v>600</v>
      </c>
      <c r="C193" s="6" t="s">
        <v>601</v>
      </c>
      <c r="D193" s="6" t="str">
        <f t="shared" si="6"/>
        <v>BARBARA WOODS</v>
      </c>
      <c r="E193" s="6" t="s">
        <v>575</v>
      </c>
      <c r="F193" s="6">
        <v>8814784</v>
      </c>
      <c r="G193" s="6" t="s">
        <v>1095</v>
      </c>
      <c r="H193" s="6" t="s">
        <v>56</v>
      </c>
      <c r="I193" s="5">
        <v>45901</v>
      </c>
      <c r="J193" s="5">
        <v>45931</v>
      </c>
      <c r="K193" s="7">
        <v>-84.15</v>
      </c>
      <c r="L193" s="6">
        <f t="shared" si="7"/>
        <v>1</v>
      </c>
      <c r="M193" s="6" t="s">
        <v>59</v>
      </c>
      <c r="N193" s="6" t="s">
        <v>1145</v>
      </c>
      <c r="O193" s="9">
        <v>0.47</v>
      </c>
      <c r="P193" s="16">
        <f t="shared" si="8"/>
        <v>-39.5505</v>
      </c>
      <c r="Q193" s="7">
        <v>0</v>
      </c>
      <c r="R193" s="7">
        <v>-39.549999999999997</v>
      </c>
      <c r="S193" s="7">
        <v>-39.549999999999997</v>
      </c>
      <c r="T193" s="6" t="s">
        <v>575</v>
      </c>
    </row>
    <row r="194" spans="1:53" s="6" customFormat="1" x14ac:dyDescent="0.25">
      <c r="A194" s="6">
        <v>2030716398</v>
      </c>
      <c r="B194" s="6" t="s">
        <v>600</v>
      </c>
      <c r="C194" s="6" t="s">
        <v>601</v>
      </c>
      <c r="D194" s="6" t="str">
        <f t="shared" ref="D194:D257" si="9">CONCATENATE(C194, " ",B194)</f>
        <v>BARBARA WOODS</v>
      </c>
      <c r="E194" s="6" t="s">
        <v>575</v>
      </c>
      <c r="F194" s="6">
        <v>8814784</v>
      </c>
      <c r="G194" s="6" t="s">
        <v>1095</v>
      </c>
      <c r="H194" s="6" t="s">
        <v>56</v>
      </c>
      <c r="I194" s="5">
        <v>45901</v>
      </c>
      <c r="J194" s="5">
        <v>45931</v>
      </c>
      <c r="K194" s="7">
        <v>84.15</v>
      </c>
      <c r="L194" s="6">
        <f t="shared" ref="L194:L257" si="10">DATEDIF(I194,J194,"M")</f>
        <v>1</v>
      </c>
      <c r="M194" s="6" t="s">
        <v>59</v>
      </c>
      <c r="N194" s="6" t="s">
        <v>1145</v>
      </c>
      <c r="O194" s="9">
        <v>0.47</v>
      </c>
      <c r="P194" s="16">
        <f t="shared" ref="P194:P257" si="11">K194*O194</f>
        <v>39.5505</v>
      </c>
      <c r="Q194" s="7">
        <v>0</v>
      </c>
      <c r="R194" s="7">
        <v>39.549999999999997</v>
      </c>
      <c r="S194" s="7">
        <v>39.549999999999997</v>
      </c>
      <c r="T194" s="6" t="s">
        <v>575</v>
      </c>
    </row>
    <row r="195" spans="1:53" s="6" customFormat="1" x14ac:dyDescent="0.25">
      <c r="A195" s="6">
        <v>2030447105</v>
      </c>
      <c r="B195" s="6" t="s">
        <v>625</v>
      </c>
      <c r="C195" s="6" t="s">
        <v>394</v>
      </c>
      <c r="D195" s="6" t="str">
        <f t="shared" si="9"/>
        <v>DAWN ANDERSON</v>
      </c>
      <c r="E195" s="6" t="s">
        <v>575</v>
      </c>
      <c r="F195" s="6">
        <v>6634327</v>
      </c>
      <c r="G195" s="6" t="s">
        <v>1134</v>
      </c>
      <c r="H195" s="6" t="s">
        <v>56</v>
      </c>
      <c r="I195" s="5">
        <v>45882</v>
      </c>
      <c r="J195" s="5">
        <v>45943</v>
      </c>
      <c r="K195" s="7">
        <v>54.35</v>
      </c>
      <c r="L195" s="6">
        <f t="shared" si="10"/>
        <v>2</v>
      </c>
      <c r="M195" s="6" t="s">
        <v>59</v>
      </c>
      <c r="N195" s="6" t="s">
        <v>1145</v>
      </c>
      <c r="O195" s="9">
        <v>0.47</v>
      </c>
      <c r="P195" s="16">
        <f t="shared" si="11"/>
        <v>25.544499999999999</v>
      </c>
      <c r="Q195" s="7">
        <v>25.54</v>
      </c>
      <c r="R195" s="7">
        <v>0</v>
      </c>
      <c r="S195" s="7">
        <v>0</v>
      </c>
      <c r="T195" s="6" t="s">
        <v>575</v>
      </c>
    </row>
    <row r="196" spans="1:53" s="6" customFormat="1" x14ac:dyDescent="0.25">
      <c r="A196" s="6">
        <v>2029251415</v>
      </c>
      <c r="B196" s="6" t="s">
        <v>593</v>
      </c>
      <c r="C196" s="6" t="s">
        <v>594</v>
      </c>
      <c r="D196" s="6" t="str">
        <f t="shared" si="9"/>
        <v>DALE KELLEY</v>
      </c>
      <c r="E196" s="6" t="s">
        <v>575</v>
      </c>
      <c r="F196" s="6">
        <v>8814784</v>
      </c>
      <c r="G196" s="6" t="s">
        <v>1095</v>
      </c>
      <c r="H196" s="6" t="s">
        <v>56</v>
      </c>
      <c r="I196" s="5">
        <v>45824</v>
      </c>
      <c r="J196" s="5">
        <v>45946</v>
      </c>
      <c r="K196" s="7">
        <v>73.39</v>
      </c>
      <c r="L196" s="6">
        <f t="shared" si="10"/>
        <v>4</v>
      </c>
      <c r="M196" s="6" t="s">
        <v>59</v>
      </c>
      <c r="N196" s="6" t="s">
        <v>1145</v>
      </c>
      <c r="O196" s="9">
        <v>0.47</v>
      </c>
      <c r="P196" s="16">
        <f t="shared" si="11"/>
        <v>34.493299999999998</v>
      </c>
      <c r="Q196" s="7">
        <v>34.49</v>
      </c>
      <c r="R196" s="7">
        <v>0</v>
      </c>
      <c r="S196" s="7">
        <v>0</v>
      </c>
      <c r="T196" s="6" t="s">
        <v>575</v>
      </c>
    </row>
    <row r="197" spans="1:53" s="6" customFormat="1" x14ac:dyDescent="0.25">
      <c r="A197" s="6">
        <v>2027883703</v>
      </c>
      <c r="B197" s="6" t="s">
        <v>591</v>
      </c>
      <c r="C197" s="6" t="s">
        <v>592</v>
      </c>
      <c r="D197" s="6" t="str">
        <f t="shared" si="9"/>
        <v>CHINYERE ALIKOR</v>
      </c>
      <c r="E197" s="6" t="s">
        <v>575</v>
      </c>
      <c r="F197" s="6">
        <v>371819</v>
      </c>
      <c r="G197" s="6" t="s">
        <v>1085</v>
      </c>
      <c r="H197" s="6" t="s">
        <v>56</v>
      </c>
      <c r="I197" s="5">
        <v>45735</v>
      </c>
      <c r="J197" s="5">
        <v>45949</v>
      </c>
      <c r="K197" s="7">
        <v>31.52</v>
      </c>
      <c r="L197" s="6">
        <f t="shared" si="10"/>
        <v>7</v>
      </c>
      <c r="M197" s="6" t="s">
        <v>59</v>
      </c>
      <c r="N197" s="6" t="s">
        <v>1148</v>
      </c>
      <c r="O197" s="9">
        <v>0.47</v>
      </c>
      <c r="P197" s="16">
        <f t="shared" si="11"/>
        <v>14.814399999999999</v>
      </c>
      <c r="Q197" s="7">
        <v>0</v>
      </c>
      <c r="R197" s="7">
        <v>14.81</v>
      </c>
      <c r="S197" s="7">
        <v>14.81</v>
      </c>
      <c r="T197" s="6" t="s">
        <v>575</v>
      </c>
    </row>
    <row r="198" spans="1:53" s="6" customFormat="1" x14ac:dyDescent="0.25">
      <c r="A198" s="6">
        <v>2026572544</v>
      </c>
      <c r="B198" s="6" t="s">
        <v>629</v>
      </c>
      <c r="C198" s="6" t="s">
        <v>628</v>
      </c>
      <c r="D198" s="6" t="str">
        <f t="shared" si="9"/>
        <v>ESTHER HERRERA-LARSEN</v>
      </c>
      <c r="E198" s="6" t="s">
        <v>575</v>
      </c>
      <c r="F198" s="6">
        <v>17301495</v>
      </c>
      <c r="G198" s="6" t="s">
        <v>1137</v>
      </c>
      <c r="H198" s="6" t="s">
        <v>56</v>
      </c>
      <c r="I198" s="5">
        <v>45671</v>
      </c>
      <c r="J198" s="5">
        <v>45944</v>
      </c>
      <c r="K198" s="7">
        <v>55.04</v>
      </c>
      <c r="L198" s="6">
        <f t="shared" si="10"/>
        <v>9</v>
      </c>
      <c r="M198" s="6" t="s">
        <v>59</v>
      </c>
      <c r="N198" s="6" t="s">
        <v>1148</v>
      </c>
      <c r="O198" s="9">
        <v>0.47</v>
      </c>
      <c r="P198" s="16">
        <f t="shared" si="11"/>
        <v>25.868799999999997</v>
      </c>
      <c r="Q198" s="7">
        <v>0</v>
      </c>
      <c r="R198" s="7">
        <v>25.87</v>
      </c>
      <c r="S198" s="7">
        <v>25.87</v>
      </c>
      <c r="T198" s="6" t="s">
        <v>575</v>
      </c>
    </row>
    <row r="199" spans="1:53" s="6" customFormat="1" x14ac:dyDescent="0.25">
      <c r="A199" s="6">
        <v>2025295163</v>
      </c>
      <c r="B199" s="6" t="s">
        <v>582</v>
      </c>
      <c r="C199" s="6" t="s">
        <v>583</v>
      </c>
      <c r="D199" s="6" t="str">
        <f t="shared" si="9"/>
        <v>PAUL NGALLE</v>
      </c>
      <c r="E199" s="6" t="s">
        <v>575</v>
      </c>
      <c r="F199" s="6">
        <v>371819</v>
      </c>
      <c r="G199" s="6" t="s">
        <v>1085</v>
      </c>
      <c r="H199" s="6" t="s">
        <v>56</v>
      </c>
      <c r="I199" s="5">
        <v>45580</v>
      </c>
      <c r="J199" s="5">
        <v>45945</v>
      </c>
      <c r="K199" s="7">
        <v>60.92</v>
      </c>
      <c r="L199" s="6">
        <f t="shared" si="10"/>
        <v>12</v>
      </c>
      <c r="M199" s="6" t="s">
        <v>59</v>
      </c>
      <c r="N199" s="6" t="s">
        <v>1148</v>
      </c>
      <c r="O199" s="9">
        <v>0.47</v>
      </c>
      <c r="P199" s="16">
        <f t="shared" si="11"/>
        <v>28.632400000000001</v>
      </c>
      <c r="Q199" s="7">
        <v>0</v>
      </c>
      <c r="R199" s="7">
        <v>28.63</v>
      </c>
      <c r="S199" s="7">
        <v>28.63</v>
      </c>
      <c r="T199" s="6" t="s">
        <v>575</v>
      </c>
    </row>
    <row r="200" spans="1:53" s="6" customFormat="1" x14ac:dyDescent="0.25">
      <c r="A200" s="6">
        <v>2019687400</v>
      </c>
      <c r="B200" s="6" t="s">
        <v>635</v>
      </c>
      <c r="C200" s="6" t="s">
        <v>634</v>
      </c>
      <c r="D200" s="6" t="str">
        <f t="shared" si="9"/>
        <v>TRACI BARTON</v>
      </c>
      <c r="E200" s="6" t="s">
        <v>575</v>
      </c>
      <c r="F200" s="6">
        <v>19562245</v>
      </c>
      <c r="G200" s="6" t="s">
        <v>1114</v>
      </c>
      <c r="H200" s="6" t="s">
        <v>56</v>
      </c>
      <c r="I200" s="5">
        <v>45150</v>
      </c>
      <c r="J200" s="5">
        <v>45942</v>
      </c>
      <c r="K200" s="7">
        <v>64.540000000000006</v>
      </c>
      <c r="L200" s="6">
        <f t="shared" si="10"/>
        <v>26</v>
      </c>
      <c r="M200" s="6" t="s">
        <v>59</v>
      </c>
      <c r="N200" s="6" t="s">
        <v>1148</v>
      </c>
      <c r="O200" s="8">
        <v>5.2499999999999998E-2</v>
      </c>
      <c r="P200" s="16">
        <f t="shared" si="11"/>
        <v>3.3883500000000004</v>
      </c>
      <c r="Q200" s="7">
        <v>0</v>
      </c>
      <c r="R200" s="7">
        <v>3.39</v>
      </c>
      <c r="S200" s="7">
        <v>3.39</v>
      </c>
      <c r="T200" s="6" t="s">
        <v>575</v>
      </c>
    </row>
    <row r="201" spans="1:53" s="6" customFormat="1" x14ac:dyDescent="0.25">
      <c r="A201" s="6">
        <v>2019012741</v>
      </c>
      <c r="B201" s="6" t="s">
        <v>576</v>
      </c>
      <c r="C201" s="6" t="s">
        <v>577</v>
      </c>
      <c r="D201" s="6" t="str">
        <f t="shared" si="9"/>
        <v>MARYRAE MIKUS</v>
      </c>
      <c r="E201" s="6" t="s">
        <v>575</v>
      </c>
      <c r="F201" s="6">
        <v>19562245</v>
      </c>
      <c r="G201" s="6" t="s">
        <v>1114</v>
      </c>
      <c r="H201" s="6" t="s">
        <v>56</v>
      </c>
      <c r="I201" s="5">
        <v>45091</v>
      </c>
      <c r="J201" s="5">
        <v>45944</v>
      </c>
      <c r="K201" s="7">
        <v>-55.54</v>
      </c>
      <c r="L201" s="6">
        <f t="shared" si="10"/>
        <v>28</v>
      </c>
      <c r="M201" s="6" t="s">
        <v>59</v>
      </c>
      <c r="N201" s="6" t="s">
        <v>1148</v>
      </c>
      <c r="O201" s="8">
        <v>5.2499999999999998E-2</v>
      </c>
      <c r="P201" s="16">
        <f t="shared" si="11"/>
        <v>-2.9158499999999998</v>
      </c>
      <c r="Q201" s="7">
        <v>0</v>
      </c>
      <c r="R201" s="7">
        <v>-2.92</v>
      </c>
      <c r="S201" s="7">
        <v>-2.92</v>
      </c>
      <c r="T201" s="6" t="s">
        <v>575</v>
      </c>
    </row>
    <row r="202" spans="1:53" s="6" customFormat="1" x14ac:dyDescent="0.25">
      <c r="A202" s="6">
        <v>2019012741</v>
      </c>
      <c r="B202" s="6" t="s">
        <v>576</v>
      </c>
      <c r="C202" s="6" t="s">
        <v>577</v>
      </c>
      <c r="D202" s="6" t="str">
        <f t="shared" si="9"/>
        <v>MARYRAE MIKUS</v>
      </c>
      <c r="E202" s="6" t="s">
        <v>575</v>
      </c>
      <c r="F202" s="6">
        <v>19562245</v>
      </c>
      <c r="G202" s="6" t="s">
        <v>1114</v>
      </c>
      <c r="H202" s="6" t="s">
        <v>56</v>
      </c>
      <c r="I202" s="5">
        <v>45091</v>
      </c>
      <c r="J202" s="5">
        <v>45944</v>
      </c>
      <c r="K202" s="7">
        <v>55.54</v>
      </c>
      <c r="L202" s="6">
        <f t="shared" si="10"/>
        <v>28</v>
      </c>
      <c r="M202" s="6" t="s">
        <v>59</v>
      </c>
      <c r="N202" s="6" t="s">
        <v>1148</v>
      </c>
      <c r="O202" s="8">
        <v>5.2499999999999998E-2</v>
      </c>
      <c r="P202" s="16">
        <f t="shared" si="11"/>
        <v>2.9158499999999998</v>
      </c>
      <c r="Q202" s="7">
        <v>0</v>
      </c>
      <c r="R202" s="7">
        <v>2.92</v>
      </c>
      <c r="S202" s="7">
        <v>2.92</v>
      </c>
      <c r="T202" s="6" t="s">
        <v>575</v>
      </c>
    </row>
    <row r="203" spans="1:53" s="6" customFormat="1" x14ac:dyDescent="0.25">
      <c r="A203">
        <v>2030135276</v>
      </c>
      <c r="B203" t="s">
        <v>225</v>
      </c>
      <c r="C203" t="s">
        <v>444</v>
      </c>
      <c r="D203" s="6" t="str">
        <f t="shared" si="9"/>
        <v>ROBERT MORRIS</v>
      </c>
      <c r="E203" t="s">
        <v>575</v>
      </c>
      <c r="F203">
        <v>19279958</v>
      </c>
      <c r="G203" t="s">
        <v>1100</v>
      </c>
      <c r="H203" t="s">
        <v>56</v>
      </c>
      <c r="I203" s="1">
        <v>45863</v>
      </c>
      <c r="J203" s="1">
        <v>45925</v>
      </c>
      <c r="K203" s="2">
        <v>97.86</v>
      </c>
      <c r="L203">
        <f t="shared" si="10"/>
        <v>2</v>
      </c>
      <c r="M203" t="s">
        <v>59</v>
      </c>
      <c r="N203" t="s">
        <v>1148</v>
      </c>
      <c r="O203" s="4">
        <v>0.47</v>
      </c>
      <c r="P203" s="16">
        <f t="shared" si="11"/>
        <v>45.994199999999999</v>
      </c>
      <c r="Q203" s="2">
        <v>45.99</v>
      </c>
      <c r="R203" s="2">
        <v>0</v>
      </c>
      <c r="S203" s="2">
        <v>0</v>
      </c>
      <c r="T203" t="s">
        <v>575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</row>
    <row r="204" spans="1:53" s="6" customFormat="1" x14ac:dyDescent="0.25">
      <c r="A204">
        <v>2029358060</v>
      </c>
      <c r="B204" t="s">
        <v>627</v>
      </c>
      <c r="C204" t="s">
        <v>626</v>
      </c>
      <c r="D204" s="6" t="str">
        <f t="shared" si="9"/>
        <v>RAYMOND HADDAD</v>
      </c>
      <c r="E204" t="s">
        <v>575</v>
      </c>
      <c r="F204">
        <v>19278370</v>
      </c>
      <c r="G204" t="s">
        <v>1076</v>
      </c>
      <c r="H204" t="s">
        <v>56</v>
      </c>
      <c r="I204" s="1">
        <v>45817</v>
      </c>
      <c r="J204" s="1">
        <v>45939</v>
      </c>
      <c r="K204" s="2">
        <v>60.6</v>
      </c>
      <c r="L204">
        <f t="shared" si="10"/>
        <v>4</v>
      </c>
      <c r="M204" t="s">
        <v>59</v>
      </c>
      <c r="N204" t="s">
        <v>1148</v>
      </c>
      <c r="O204" s="4">
        <v>0.47</v>
      </c>
      <c r="P204" s="16">
        <f t="shared" si="11"/>
        <v>28.481999999999999</v>
      </c>
      <c r="Q204" s="2">
        <v>28.48</v>
      </c>
      <c r="R204" s="2">
        <v>0</v>
      </c>
      <c r="S204" s="2">
        <v>0</v>
      </c>
      <c r="T204" t="s">
        <v>575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</row>
    <row r="205" spans="1:53" s="6" customFormat="1" x14ac:dyDescent="0.25">
      <c r="A205">
        <v>2028973238</v>
      </c>
      <c r="B205" t="s">
        <v>621</v>
      </c>
      <c r="C205" t="s">
        <v>368</v>
      </c>
      <c r="D205" s="6" t="str">
        <f t="shared" si="9"/>
        <v>LISA MACCARELLI</v>
      </c>
      <c r="E205" t="s">
        <v>575</v>
      </c>
      <c r="F205" t="s">
        <v>1147</v>
      </c>
      <c r="G205" t="s">
        <v>1115</v>
      </c>
      <c r="H205" t="s">
        <v>230</v>
      </c>
      <c r="I205" s="1">
        <v>45809</v>
      </c>
      <c r="J205" s="1">
        <v>45931</v>
      </c>
      <c r="K205" s="2">
        <v>-232.35</v>
      </c>
      <c r="L205">
        <f t="shared" si="10"/>
        <v>4</v>
      </c>
      <c r="M205" t="s">
        <v>59</v>
      </c>
      <c r="N205" t="s">
        <v>1148</v>
      </c>
      <c r="O205" s="4">
        <v>0.47</v>
      </c>
      <c r="P205" s="16">
        <f t="shared" si="11"/>
        <v>-109.2045</v>
      </c>
      <c r="Q205" s="2">
        <v>0</v>
      </c>
      <c r="R205" s="2">
        <v>-109.2</v>
      </c>
      <c r="S205" s="2">
        <v>-109.2</v>
      </c>
      <c r="T205" t="s">
        <v>575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</row>
    <row r="206" spans="1:53" s="6" customFormat="1" x14ac:dyDescent="0.25">
      <c r="A206">
        <v>2029303774</v>
      </c>
      <c r="B206" t="s">
        <v>597</v>
      </c>
      <c r="C206" t="s">
        <v>598</v>
      </c>
      <c r="D206" s="6" t="str">
        <f t="shared" si="9"/>
        <v>BEVERLY GATHANY</v>
      </c>
      <c r="E206" t="s">
        <v>575</v>
      </c>
      <c r="F206" t="s">
        <v>1147</v>
      </c>
      <c r="G206" t="s">
        <v>1115</v>
      </c>
      <c r="H206" t="s">
        <v>56</v>
      </c>
      <c r="I206" s="1">
        <v>45798</v>
      </c>
      <c r="J206" s="1">
        <v>45951</v>
      </c>
      <c r="K206" s="2">
        <v>37.32</v>
      </c>
      <c r="L206">
        <f t="shared" si="10"/>
        <v>5</v>
      </c>
      <c r="M206" t="s">
        <v>59</v>
      </c>
      <c r="N206" t="s">
        <v>1148</v>
      </c>
      <c r="O206" s="4">
        <v>0.47</v>
      </c>
      <c r="P206" s="16">
        <f t="shared" si="11"/>
        <v>17.540399999999998</v>
      </c>
      <c r="Q206" s="2">
        <v>0</v>
      </c>
      <c r="R206" s="2">
        <v>17.54</v>
      </c>
      <c r="S206" s="2">
        <v>17.54</v>
      </c>
      <c r="T206" t="s">
        <v>575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</row>
    <row r="207" spans="1:53" s="6" customFormat="1" x14ac:dyDescent="0.25">
      <c r="A207">
        <v>2026607392</v>
      </c>
      <c r="B207" t="s">
        <v>590</v>
      </c>
      <c r="C207" t="s">
        <v>514</v>
      </c>
      <c r="D207" s="6" t="str">
        <f t="shared" si="9"/>
        <v>JUDITH DREISTADT</v>
      </c>
      <c r="E207" t="s">
        <v>575</v>
      </c>
      <c r="F207" t="s">
        <v>1147</v>
      </c>
      <c r="G207" t="s">
        <v>1115</v>
      </c>
      <c r="H207" t="s">
        <v>56</v>
      </c>
      <c r="I207" s="1">
        <v>45673</v>
      </c>
      <c r="J207" s="1">
        <v>45946</v>
      </c>
      <c r="K207" s="2">
        <v>78.83</v>
      </c>
      <c r="L207">
        <f t="shared" si="10"/>
        <v>9</v>
      </c>
      <c r="M207" t="s">
        <v>59</v>
      </c>
      <c r="N207" t="s">
        <v>1148</v>
      </c>
      <c r="O207" s="4">
        <v>0.47</v>
      </c>
      <c r="P207" s="16">
        <f t="shared" si="11"/>
        <v>37.0501</v>
      </c>
      <c r="Q207" s="2">
        <v>0</v>
      </c>
      <c r="R207" s="2">
        <v>37.049999999999997</v>
      </c>
      <c r="S207" s="2">
        <v>37.049999999999997</v>
      </c>
      <c r="T207" t="s">
        <v>575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</row>
    <row r="208" spans="1:53" s="6" customFormat="1" x14ac:dyDescent="0.25">
      <c r="A208">
        <v>2026164939</v>
      </c>
      <c r="B208" t="s">
        <v>631</v>
      </c>
      <c r="C208" t="s">
        <v>630</v>
      </c>
      <c r="D208" s="6" t="str">
        <f t="shared" si="9"/>
        <v>CHRISTOPHER RIDING</v>
      </c>
      <c r="E208" t="s">
        <v>575</v>
      </c>
      <c r="F208">
        <v>17528908</v>
      </c>
      <c r="G208" t="s">
        <v>1115</v>
      </c>
      <c r="H208" t="s">
        <v>56</v>
      </c>
      <c r="I208" s="1">
        <v>45640</v>
      </c>
      <c r="J208" s="1">
        <v>45944</v>
      </c>
      <c r="K208" s="2">
        <v>122.9</v>
      </c>
      <c r="L208">
        <f t="shared" si="10"/>
        <v>10</v>
      </c>
      <c r="M208" t="s">
        <v>59</v>
      </c>
      <c r="N208" t="s">
        <v>1148</v>
      </c>
      <c r="O208" s="4">
        <v>0.47</v>
      </c>
      <c r="P208" s="16">
        <f t="shared" si="11"/>
        <v>57.762999999999998</v>
      </c>
      <c r="Q208" s="2">
        <v>0</v>
      </c>
      <c r="R208" s="2">
        <v>57.76</v>
      </c>
      <c r="S208" s="2">
        <v>57.76</v>
      </c>
      <c r="T208" t="s">
        <v>575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</row>
    <row r="209" spans="1:53" s="6" customFormat="1" x14ac:dyDescent="0.25">
      <c r="A209">
        <v>2026212129</v>
      </c>
      <c r="B209" t="s">
        <v>589</v>
      </c>
      <c r="C209" t="s">
        <v>349</v>
      </c>
      <c r="D209" s="6" t="str">
        <f t="shared" si="9"/>
        <v>DAVID SACH</v>
      </c>
      <c r="E209" t="s">
        <v>575</v>
      </c>
      <c r="F209">
        <v>17528908</v>
      </c>
      <c r="G209" t="s">
        <v>1115</v>
      </c>
      <c r="H209" t="s">
        <v>56</v>
      </c>
      <c r="I209" s="1">
        <v>45644</v>
      </c>
      <c r="J209" s="1">
        <v>45948</v>
      </c>
      <c r="K209" s="2">
        <v>45.54</v>
      </c>
      <c r="L209">
        <f t="shared" si="10"/>
        <v>10</v>
      </c>
      <c r="M209" t="s">
        <v>59</v>
      </c>
      <c r="N209" t="s">
        <v>1148</v>
      </c>
      <c r="O209" s="4">
        <v>0.47</v>
      </c>
      <c r="P209" s="16">
        <f t="shared" si="11"/>
        <v>21.403799999999997</v>
      </c>
      <c r="Q209" s="2">
        <v>0</v>
      </c>
      <c r="R209" s="2">
        <v>21.4</v>
      </c>
      <c r="S209" s="2">
        <v>21.4</v>
      </c>
      <c r="T209" t="s">
        <v>575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</row>
    <row r="210" spans="1:53" s="6" customFormat="1" x14ac:dyDescent="0.25">
      <c r="A210">
        <v>2026211393</v>
      </c>
      <c r="B210" t="s">
        <v>587</v>
      </c>
      <c r="C210" t="s">
        <v>588</v>
      </c>
      <c r="D210" s="6" t="str">
        <f t="shared" si="9"/>
        <v>CORI SKELLIE</v>
      </c>
      <c r="E210" t="s">
        <v>575</v>
      </c>
      <c r="F210">
        <v>17528908</v>
      </c>
      <c r="G210" t="s">
        <v>1115</v>
      </c>
      <c r="H210" t="s">
        <v>56</v>
      </c>
      <c r="I210" s="1">
        <v>45644</v>
      </c>
      <c r="J210" s="1">
        <v>45948</v>
      </c>
      <c r="K210" s="2">
        <v>45.54</v>
      </c>
      <c r="L210">
        <f t="shared" si="10"/>
        <v>10</v>
      </c>
      <c r="M210" t="s">
        <v>59</v>
      </c>
      <c r="N210" t="s">
        <v>1148</v>
      </c>
      <c r="O210" s="4">
        <v>0.47</v>
      </c>
      <c r="P210" s="16">
        <f t="shared" si="11"/>
        <v>21.403799999999997</v>
      </c>
      <c r="Q210" s="2">
        <v>0</v>
      </c>
      <c r="R210" s="2">
        <v>21.4</v>
      </c>
      <c r="S210" s="2">
        <v>21.4</v>
      </c>
      <c r="T210" t="s">
        <v>575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</row>
    <row r="211" spans="1:53" s="6" customFormat="1" x14ac:dyDescent="0.25">
      <c r="A211">
        <v>2025333216</v>
      </c>
      <c r="B211" t="s">
        <v>584</v>
      </c>
      <c r="C211" t="s">
        <v>585</v>
      </c>
      <c r="D211" s="6" t="str">
        <f t="shared" si="9"/>
        <v>BEHRONZ AFRASSIAB</v>
      </c>
      <c r="E211" t="s">
        <v>575</v>
      </c>
      <c r="F211">
        <v>17094718</v>
      </c>
      <c r="G211" t="s">
        <v>1130</v>
      </c>
      <c r="H211" t="s">
        <v>56</v>
      </c>
      <c r="I211" s="1">
        <v>45581</v>
      </c>
      <c r="J211" s="1">
        <v>45946</v>
      </c>
      <c r="K211" s="2">
        <v>53.01</v>
      </c>
      <c r="L211">
        <f t="shared" si="10"/>
        <v>12</v>
      </c>
      <c r="M211" t="s">
        <v>59</v>
      </c>
      <c r="N211" t="s">
        <v>1148</v>
      </c>
      <c r="O211" s="4">
        <v>0.47</v>
      </c>
      <c r="P211" s="16">
        <f t="shared" si="11"/>
        <v>24.914699999999996</v>
      </c>
      <c r="Q211" s="2">
        <v>0</v>
      </c>
      <c r="R211" s="2">
        <v>24.91</v>
      </c>
      <c r="S211" s="2">
        <v>24.91</v>
      </c>
      <c r="T211" t="s">
        <v>575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</row>
    <row r="212" spans="1:53" s="6" customFormat="1" x14ac:dyDescent="0.25">
      <c r="A212">
        <v>2024385927</v>
      </c>
      <c r="B212" t="s">
        <v>547</v>
      </c>
      <c r="C212" t="s">
        <v>580</v>
      </c>
      <c r="D212" s="6" t="str">
        <f t="shared" si="9"/>
        <v>JACKIE WILLIAMS</v>
      </c>
      <c r="E212" t="s">
        <v>575</v>
      </c>
      <c r="F212">
        <v>17425766</v>
      </c>
      <c r="G212" t="s">
        <v>1097</v>
      </c>
      <c r="H212" t="s">
        <v>56</v>
      </c>
      <c r="I212" s="1">
        <v>45519</v>
      </c>
      <c r="J212" s="1">
        <v>45945</v>
      </c>
      <c r="K212" s="2">
        <v>46.07</v>
      </c>
      <c r="L212">
        <f t="shared" si="10"/>
        <v>14</v>
      </c>
      <c r="M212" t="s">
        <v>59</v>
      </c>
      <c r="N212" t="s">
        <v>1148</v>
      </c>
      <c r="O212" s="3">
        <v>5.2499999999999998E-2</v>
      </c>
      <c r="P212" s="16">
        <f t="shared" si="11"/>
        <v>2.4186749999999999</v>
      </c>
      <c r="Q212" s="2">
        <v>0</v>
      </c>
      <c r="R212" s="2">
        <v>2.42</v>
      </c>
      <c r="S212" s="2">
        <v>2.42</v>
      </c>
      <c r="T212" t="s">
        <v>575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</row>
    <row r="213" spans="1:53" s="6" customFormat="1" x14ac:dyDescent="0.25">
      <c r="A213">
        <v>2021761961</v>
      </c>
      <c r="B213" t="s">
        <v>632</v>
      </c>
      <c r="C213" t="s">
        <v>62</v>
      </c>
      <c r="D213" s="6" t="str">
        <f t="shared" si="9"/>
        <v>WILLIAM MOMEYER</v>
      </c>
      <c r="E213" t="s">
        <v>575</v>
      </c>
      <c r="F213">
        <v>17528908</v>
      </c>
      <c r="G213" t="s">
        <v>1115</v>
      </c>
      <c r="H213" t="s">
        <v>56</v>
      </c>
      <c r="I213" s="1">
        <v>45335</v>
      </c>
      <c r="J213" s="1">
        <v>45943</v>
      </c>
      <c r="K213" s="2">
        <v>43.59</v>
      </c>
      <c r="L213">
        <f t="shared" si="10"/>
        <v>20</v>
      </c>
      <c r="M213" t="s">
        <v>59</v>
      </c>
      <c r="N213" t="s">
        <v>1148</v>
      </c>
      <c r="O213" s="3">
        <v>5.2499999999999998E-2</v>
      </c>
      <c r="P213" s="16">
        <f t="shared" si="11"/>
        <v>2.288475</v>
      </c>
      <c r="Q213" s="2">
        <v>0</v>
      </c>
      <c r="R213" s="2">
        <v>2.29</v>
      </c>
      <c r="S213" s="2">
        <v>2.29</v>
      </c>
      <c r="T213" t="s">
        <v>575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</row>
    <row r="214" spans="1:53" s="6" customFormat="1" x14ac:dyDescent="0.25">
      <c r="A214">
        <v>2021071542</v>
      </c>
      <c r="B214" t="s">
        <v>350</v>
      </c>
      <c r="C214" t="s">
        <v>633</v>
      </c>
      <c r="D214" s="6" t="str">
        <f t="shared" si="9"/>
        <v>FRED FROST</v>
      </c>
      <c r="E214" t="s">
        <v>575</v>
      </c>
      <c r="F214">
        <v>17528908</v>
      </c>
      <c r="G214" t="s">
        <v>1115</v>
      </c>
      <c r="H214" t="s">
        <v>56</v>
      </c>
      <c r="I214" s="1">
        <v>45273</v>
      </c>
      <c r="J214" s="1">
        <v>45943</v>
      </c>
      <c r="K214" s="2">
        <v>98.83</v>
      </c>
      <c r="L214">
        <f t="shared" si="10"/>
        <v>22</v>
      </c>
      <c r="M214" t="s">
        <v>59</v>
      </c>
      <c r="N214" t="s">
        <v>1148</v>
      </c>
      <c r="O214" s="3">
        <v>5.2499999999999998E-2</v>
      </c>
      <c r="P214" s="16">
        <f t="shared" si="11"/>
        <v>5.1885750000000002</v>
      </c>
      <c r="Q214" s="2">
        <v>0</v>
      </c>
      <c r="R214" s="2">
        <v>5.19</v>
      </c>
      <c r="S214" s="2">
        <v>5.19</v>
      </c>
      <c r="T214" t="s">
        <v>575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</row>
    <row r="215" spans="1:53" s="6" customFormat="1" x14ac:dyDescent="0.25">
      <c r="A215">
        <v>2020850122</v>
      </c>
      <c r="B215" t="s">
        <v>578</v>
      </c>
      <c r="C215" t="s">
        <v>85</v>
      </c>
      <c r="D215" s="6" t="str">
        <f t="shared" si="9"/>
        <v>JOHN FENGER</v>
      </c>
      <c r="E215" t="s">
        <v>575</v>
      </c>
      <c r="F215">
        <v>15278437</v>
      </c>
      <c r="G215" t="s">
        <v>1129</v>
      </c>
      <c r="H215" t="s">
        <v>56</v>
      </c>
      <c r="I215" s="1">
        <v>45251</v>
      </c>
      <c r="J215" s="1">
        <v>45951</v>
      </c>
      <c r="K215" s="2">
        <v>130.83000000000001</v>
      </c>
      <c r="L215">
        <f t="shared" si="10"/>
        <v>23</v>
      </c>
      <c r="M215" t="s">
        <v>59</v>
      </c>
      <c r="N215" t="s">
        <v>1148</v>
      </c>
      <c r="O215" s="3">
        <v>5.2499999999999998E-2</v>
      </c>
      <c r="P215" s="16">
        <f t="shared" si="11"/>
        <v>6.8685750000000008</v>
      </c>
      <c r="Q215" s="2">
        <v>0</v>
      </c>
      <c r="R215" s="2">
        <v>6.87</v>
      </c>
      <c r="S215" s="2">
        <v>6.87</v>
      </c>
      <c r="T215" t="s">
        <v>575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</row>
    <row r="216" spans="1:53" s="6" customFormat="1" x14ac:dyDescent="0.25">
      <c r="A216">
        <v>2018582686</v>
      </c>
      <c r="B216" t="s">
        <v>452</v>
      </c>
      <c r="C216" t="s">
        <v>179</v>
      </c>
      <c r="D216" s="6" t="str">
        <f t="shared" si="9"/>
        <v>TIMOTHY WOLFZORN</v>
      </c>
      <c r="E216" t="s">
        <v>575</v>
      </c>
      <c r="F216">
        <v>8977234</v>
      </c>
      <c r="G216" t="s">
        <v>1078</v>
      </c>
      <c r="H216" t="s">
        <v>56</v>
      </c>
      <c r="I216" s="1">
        <v>45096</v>
      </c>
      <c r="J216" s="1">
        <v>45949</v>
      </c>
      <c r="K216" s="2">
        <v>95.21</v>
      </c>
      <c r="L216">
        <f t="shared" si="10"/>
        <v>28</v>
      </c>
      <c r="M216" t="s">
        <v>59</v>
      </c>
      <c r="N216" t="s">
        <v>1148</v>
      </c>
      <c r="O216" s="3">
        <v>5.2499999999999998E-2</v>
      </c>
      <c r="P216" s="16">
        <f t="shared" si="11"/>
        <v>4.9985249999999999</v>
      </c>
      <c r="Q216" s="2">
        <v>0</v>
      </c>
      <c r="R216" s="2">
        <v>5</v>
      </c>
      <c r="S216" s="2">
        <v>5</v>
      </c>
      <c r="T216" t="s">
        <v>575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</row>
    <row r="217" spans="1:53" s="6" customFormat="1" x14ac:dyDescent="0.25">
      <c r="A217">
        <v>2018421687</v>
      </c>
      <c r="B217" t="s">
        <v>573</v>
      </c>
      <c r="C217" t="s">
        <v>374</v>
      </c>
      <c r="D217" s="6" t="str">
        <f t="shared" si="9"/>
        <v>ELIZABETH BRIDGES</v>
      </c>
      <c r="E217" t="s">
        <v>575</v>
      </c>
      <c r="F217">
        <v>8977234</v>
      </c>
      <c r="G217" t="s">
        <v>1078</v>
      </c>
      <c r="H217" t="s">
        <v>56</v>
      </c>
      <c r="I217" s="1">
        <v>45037</v>
      </c>
      <c r="J217" s="1">
        <v>45951</v>
      </c>
      <c r="K217" s="2">
        <v>113.49</v>
      </c>
      <c r="L217">
        <f t="shared" si="10"/>
        <v>30</v>
      </c>
      <c r="M217" t="s">
        <v>59</v>
      </c>
      <c r="N217" t="s">
        <v>1148</v>
      </c>
      <c r="O217" s="3">
        <v>5.2499999999999998E-2</v>
      </c>
      <c r="P217" s="16">
        <f t="shared" si="11"/>
        <v>5.9582249999999997</v>
      </c>
      <c r="Q217" s="2">
        <v>0</v>
      </c>
      <c r="R217" s="2">
        <v>5.96</v>
      </c>
      <c r="S217" s="2">
        <v>5.96</v>
      </c>
      <c r="T217" t="s">
        <v>575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</row>
    <row r="218" spans="1:53" s="6" customFormat="1" x14ac:dyDescent="0.25">
      <c r="A218" s="6">
        <v>2030805541</v>
      </c>
      <c r="B218" s="6" t="s">
        <v>292</v>
      </c>
      <c r="C218" s="6" t="s">
        <v>293</v>
      </c>
      <c r="D218" s="6" t="str">
        <f t="shared" si="9"/>
        <v>JONATHAN CORRIGAN</v>
      </c>
      <c r="E218" s="6" t="s">
        <v>438</v>
      </c>
      <c r="F218" s="6">
        <v>19200754</v>
      </c>
      <c r="G218" s="6" t="s">
        <v>1094</v>
      </c>
      <c r="H218" s="6" t="s">
        <v>230</v>
      </c>
      <c r="I218" s="5">
        <v>45902</v>
      </c>
      <c r="J218" s="5">
        <v>45932</v>
      </c>
      <c r="K218" s="7">
        <v>-111.08</v>
      </c>
      <c r="L218" s="6">
        <f t="shared" si="10"/>
        <v>1</v>
      </c>
      <c r="M218" s="6" t="s">
        <v>59</v>
      </c>
      <c r="N218" s="6" t="s">
        <v>1145</v>
      </c>
      <c r="O218" s="9">
        <v>0.38</v>
      </c>
      <c r="P218" s="16">
        <f t="shared" si="11"/>
        <v>-42.2104</v>
      </c>
      <c r="Q218" s="7">
        <v>0</v>
      </c>
      <c r="R218" s="7">
        <v>-42.21</v>
      </c>
      <c r="S218" s="7">
        <v>-42.21</v>
      </c>
      <c r="T218" s="6" t="s">
        <v>431</v>
      </c>
    </row>
    <row r="219" spans="1:53" s="6" customFormat="1" x14ac:dyDescent="0.25">
      <c r="A219" s="6">
        <v>2030805542</v>
      </c>
      <c r="B219" s="6" t="s">
        <v>292</v>
      </c>
      <c r="C219" s="6" t="s">
        <v>293</v>
      </c>
      <c r="D219" s="6" t="str">
        <f t="shared" si="9"/>
        <v>JONATHAN CORRIGAN</v>
      </c>
      <c r="E219" s="6" t="s">
        <v>261</v>
      </c>
      <c r="F219" s="6">
        <v>19200754</v>
      </c>
      <c r="G219" s="6" t="s">
        <v>1094</v>
      </c>
      <c r="H219" s="6" t="s">
        <v>230</v>
      </c>
      <c r="I219" s="5">
        <v>45902</v>
      </c>
      <c r="J219" s="5">
        <v>45932</v>
      </c>
      <c r="K219" s="7">
        <v>-7</v>
      </c>
      <c r="L219" s="6">
        <f t="shared" si="10"/>
        <v>1</v>
      </c>
      <c r="M219" s="6" t="s">
        <v>59</v>
      </c>
      <c r="N219" s="6" t="s">
        <v>1145</v>
      </c>
      <c r="O219" s="9">
        <v>0.38</v>
      </c>
      <c r="P219" s="16">
        <f t="shared" si="11"/>
        <v>-2.66</v>
      </c>
      <c r="Q219" s="7">
        <v>0</v>
      </c>
      <c r="R219" s="7">
        <v>-2.66</v>
      </c>
      <c r="S219" s="7">
        <v>-2.66</v>
      </c>
      <c r="T219" s="6" t="s">
        <v>431</v>
      </c>
    </row>
    <row r="220" spans="1:53" s="6" customFormat="1" x14ac:dyDescent="0.25">
      <c r="A220" s="6">
        <v>2030217704</v>
      </c>
      <c r="B220" s="6" t="s">
        <v>280</v>
      </c>
      <c r="C220" s="6" t="s">
        <v>281</v>
      </c>
      <c r="D220" s="6" t="str">
        <f t="shared" si="9"/>
        <v>ANDREW DOUGLAS</v>
      </c>
      <c r="E220" s="6" t="s">
        <v>249</v>
      </c>
      <c r="F220" s="6">
        <v>16912722</v>
      </c>
      <c r="G220" s="6" t="s">
        <v>1111</v>
      </c>
      <c r="H220" s="6" t="s">
        <v>56</v>
      </c>
      <c r="I220" s="5">
        <v>45870</v>
      </c>
      <c r="J220" s="5">
        <v>45931</v>
      </c>
      <c r="K220" s="7">
        <v>-1</v>
      </c>
      <c r="L220" s="6">
        <f t="shared" si="10"/>
        <v>2</v>
      </c>
      <c r="M220" s="6" t="s">
        <v>59</v>
      </c>
      <c r="N220" s="6" t="s">
        <v>1145</v>
      </c>
      <c r="O220" s="9">
        <v>0.38</v>
      </c>
      <c r="P220" s="16">
        <f t="shared" si="11"/>
        <v>-0.38</v>
      </c>
      <c r="Q220" s="7">
        <v>0</v>
      </c>
      <c r="R220" s="7">
        <v>-0.38</v>
      </c>
      <c r="S220" s="7">
        <v>-0.38</v>
      </c>
      <c r="T220" s="6" t="s">
        <v>431</v>
      </c>
    </row>
    <row r="221" spans="1:53" s="6" customFormat="1" x14ac:dyDescent="0.25">
      <c r="A221" s="6">
        <v>2030217702</v>
      </c>
      <c r="B221" s="6" t="s">
        <v>280</v>
      </c>
      <c r="C221" s="6" t="s">
        <v>281</v>
      </c>
      <c r="D221" s="6" t="str">
        <f t="shared" si="9"/>
        <v>ANDREW DOUGLAS</v>
      </c>
      <c r="E221" s="6" t="s">
        <v>431</v>
      </c>
      <c r="F221" s="6">
        <v>16912722</v>
      </c>
      <c r="G221" s="6" t="s">
        <v>1111</v>
      </c>
      <c r="H221" s="6" t="s">
        <v>56</v>
      </c>
      <c r="I221" s="5">
        <v>45870</v>
      </c>
      <c r="J221" s="5">
        <v>45931</v>
      </c>
      <c r="K221" s="7">
        <v>-0.93</v>
      </c>
      <c r="L221" s="6">
        <f t="shared" si="10"/>
        <v>2</v>
      </c>
      <c r="M221" s="6" t="s">
        <v>59</v>
      </c>
      <c r="N221" s="6" t="s">
        <v>1145</v>
      </c>
      <c r="O221" s="9">
        <v>0.38</v>
      </c>
      <c r="P221" s="16">
        <f t="shared" si="11"/>
        <v>-0.35340000000000005</v>
      </c>
      <c r="Q221" s="7">
        <v>0</v>
      </c>
      <c r="R221" s="7">
        <v>-0.35</v>
      </c>
      <c r="S221" s="7">
        <v>-0.35</v>
      </c>
      <c r="T221" s="6" t="s">
        <v>431</v>
      </c>
    </row>
    <row r="222" spans="1:53" s="6" customFormat="1" x14ac:dyDescent="0.25">
      <c r="A222" s="6">
        <v>2030495947</v>
      </c>
      <c r="B222" s="6" t="s">
        <v>284</v>
      </c>
      <c r="C222" s="6" t="s">
        <v>285</v>
      </c>
      <c r="D222" s="6" t="str">
        <f t="shared" si="9"/>
        <v>KELSIE SUTHERLAND</v>
      </c>
      <c r="E222" s="6" t="s">
        <v>438</v>
      </c>
      <c r="F222" s="6">
        <v>16912722</v>
      </c>
      <c r="G222" s="6" t="s">
        <v>1111</v>
      </c>
      <c r="H222" s="6" t="s">
        <v>56</v>
      </c>
      <c r="I222" s="5">
        <v>45884</v>
      </c>
      <c r="J222" s="5">
        <v>45945</v>
      </c>
      <c r="K222" s="7">
        <v>-133.03</v>
      </c>
      <c r="L222" s="6">
        <f t="shared" si="10"/>
        <v>2</v>
      </c>
      <c r="M222" s="6" t="s">
        <v>59</v>
      </c>
      <c r="N222" s="6" t="s">
        <v>1145</v>
      </c>
      <c r="O222" s="9">
        <v>0.38</v>
      </c>
      <c r="P222" s="16">
        <f t="shared" si="11"/>
        <v>-50.551400000000001</v>
      </c>
      <c r="Q222" s="7">
        <v>0</v>
      </c>
      <c r="R222" s="7">
        <v>-50.55</v>
      </c>
      <c r="S222" s="7">
        <v>-50.55</v>
      </c>
      <c r="T222" s="6" t="s">
        <v>431</v>
      </c>
    </row>
    <row r="223" spans="1:53" s="6" customFormat="1" x14ac:dyDescent="0.25">
      <c r="A223" s="6">
        <v>2030495947</v>
      </c>
      <c r="B223" s="6" t="s">
        <v>284</v>
      </c>
      <c r="C223" s="6" t="s">
        <v>285</v>
      </c>
      <c r="D223" s="6" t="str">
        <f t="shared" si="9"/>
        <v>KELSIE SUTHERLAND</v>
      </c>
      <c r="E223" s="6" t="s">
        <v>438</v>
      </c>
      <c r="F223" s="6">
        <v>16912722</v>
      </c>
      <c r="G223" s="6" t="s">
        <v>1111</v>
      </c>
      <c r="H223" s="6" t="s">
        <v>56</v>
      </c>
      <c r="I223" s="5">
        <v>45884</v>
      </c>
      <c r="J223" s="5">
        <v>45945</v>
      </c>
      <c r="K223" s="7">
        <v>181.4</v>
      </c>
      <c r="L223" s="6">
        <f t="shared" si="10"/>
        <v>2</v>
      </c>
      <c r="M223" s="6" t="s">
        <v>59</v>
      </c>
      <c r="N223" s="6" t="s">
        <v>1145</v>
      </c>
      <c r="O223" s="9">
        <v>0.38</v>
      </c>
      <c r="P223" s="16">
        <f t="shared" si="11"/>
        <v>68.932000000000002</v>
      </c>
      <c r="Q223" s="7">
        <v>68.930000000000007</v>
      </c>
      <c r="R223" s="7">
        <v>0</v>
      </c>
      <c r="S223" s="7">
        <v>0</v>
      </c>
      <c r="T223" s="6" t="s">
        <v>431</v>
      </c>
    </row>
    <row r="224" spans="1:53" s="6" customFormat="1" x14ac:dyDescent="0.25">
      <c r="A224" s="6">
        <v>2030495948</v>
      </c>
      <c r="B224" s="6" t="s">
        <v>284</v>
      </c>
      <c r="C224" s="6" t="s">
        <v>285</v>
      </c>
      <c r="D224" s="6" t="str">
        <f t="shared" si="9"/>
        <v>KELSIE SUTHERLAND</v>
      </c>
      <c r="E224" s="6" t="s">
        <v>439</v>
      </c>
      <c r="F224" s="6">
        <v>16912722</v>
      </c>
      <c r="G224" s="6" t="s">
        <v>1111</v>
      </c>
      <c r="H224" s="6" t="s">
        <v>56</v>
      </c>
      <c r="I224" s="5">
        <v>45884</v>
      </c>
      <c r="J224" s="5">
        <v>45945</v>
      </c>
      <c r="K224" s="7">
        <v>-5.2</v>
      </c>
      <c r="L224" s="6">
        <f t="shared" si="10"/>
        <v>2</v>
      </c>
      <c r="M224" s="6" t="s">
        <v>59</v>
      </c>
      <c r="N224" s="6" t="s">
        <v>1145</v>
      </c>
      <c r="O224" s="9">
        <v>0.38</v>
      </c>
      <c r="P224" s="16">
        <f t="shared" si="11"/>
        <v>-1.9760000000000002</v>
      </c>
      <c r="Q224" s="7">
        <v>0</v>
      </c>
      <c r="R224" s="7">
        <v>-1.98</v>
      </c>
      <c r="S224" s="7">
        <v>-1.98</v>
      </c>
      <c r="T224" s="6" t="s">
        <v>431</v>
      </c>
    </row>
    <row r="225" spans="1:20" s="6" customFormat="1" x14ac:dyDescent="0.25">
      <c r="A225" s="6">
        <v>2030495948</v>
      </c>
      <c r="B225" s="6" t="s">
        <v>284</v>
      </c>
      <c r="C225" s="6" t="s">
        <v>285</v>
      </c>
      <c r="D225" s="6" t="str">
        <f t="shared" si="9"/>
        <v>KELSIE SUTHERLAND</v>
      </c>
      <c r="E225" s="6" t="s">
        <v>439</v>
      </c>
      <c r="F225" s="6">
        <v>16912722</v>
      </c>
      <c r="G225" s="6" t="s">
        <v>1111</v>
      </c>
      <c r="H225" s="6" t="s">
        <v>56</v>
      </c>
      <c r="I225" s="5">
        <v>45884</v>
      </c>
      <c r="J225" s="5">
        <v>45945</v>
      </c>
      <c r="K225" s="7">
        <v>7.09</v>
      </c>
      <c r="L225" s="6">
        <f t="shared" si="10"/>
        <v>2</v>
      </c>
      <c r="M225" s="6" t="s">
        <v>59</v>
      </c>
      <c r="N225" s="6" t="s">
        <v>1145</v>
      </c>
      <c r="O225" s="9">
        <v>0.38</v>
      </c>
      <c r="P225" s="16">
        <f t="shared" si="11"/>
        <v>2.6941999999999999</v>
      </c>
      <c r="Q225" s="7">
        <v>2.69</v>
      </c>
      <c r="R225" s="7">
        <v>0</v>
      </c>
      <c r="S225" s="7">
        <v>0</v>
      </c>
      <c r="T225" s="6" t="s">
        <v>431</v>
      </c>
    </row>
    <row r="226" spans="1:20" s="6" customFormat="1" x14ac:dyDescent="0.25">
      <c r="A226" s="6">
        <v>2030495950</v>
      </c>
      <c r="B226" s="6" t="s">
        <v>284</v>
      </c>
      <c r="C226" s="6" t="s">
        <v>285</v>
      </c>
      <c r="D226" s="6" t="str">
        <f t="shared" si="9"/>
        <v>KELSIE SUTHERLAND</v>
      </c>
      <c r="E226" s="6" t="s">
        <v>261</v>
      </c>
      <c r="F226" s="6">
        <v>16912722</v>
      </c>
      <c r="G226" s="6" t="s">
        <v>1111</v>
      </c>
      <c r="H226" s="6" t="s">
        <v>56</v>
      </c>
      <c r="I226" s="5">
        <v>45884</v>
      </c>
      <c r="J226" s="5">
        <v>45945</v>
      </c>
      <c r="K226" s="7">
        <v>-11</v>
      </c>
      <c r="L226" s="6">
        <f t="shared" si="10"/>
        <v>2</v>
      </c>
      <c r="M226" s="6" t="s">
        <v>59</v>
      </c>
      <c r="N226" s="6" t="s">
        <v>1145</v>
      </c>
      <c r="O226" s="9">
        <v>0.38</v>
      </c>
      <c r="P226" s="16">
        <f t="shared" si="11"/>
        <v>-4.18</v>
      </c>
      <c r="Q226" s="7">
        <v>0</v>
      </c>
      <c r="R226" s="7">
        <v>-4.18</v>
      </c>
      <c r="S226" s="7">
        <v>-4.18</v>
      </c>
      <c r="T226" s="6" t="s">
        <v>431</v>
      </c>
    </row>
    <row r="227" spans="1:20" s="6" customFormat="1" x14ac:dyDescent="0.25">
      <c r="A227" s="6">
        <v>2030495950</v>
      </c>
      <c r="B227" s="6" t="s">
        <v>284</v>
      </c>
      <c r="C227" s="6" t="s">
        <v>285</v>
      </c>
      <c r="D227" s="6" t="str">
        <f t="shared" si="9"/>
        <v>KELSIE SUTHERLAND</v>
      </c>
      <c r="E227" s="6" t="s">
        <v>261</v>
      </c>
      <c r="F227" s="6">
        <v>16912722</v>
      </c>
      <c r="G227" s="6" t="s">
        <v>1111</v>
      </c>
      <c r="H227" s="6" t="s">
        <v>56</v>
      </c>
      <c r="I227" s="5">
        <v>45884</v>
      </c>
      <c r="J227" s="5">
        <v>45945</v>
      </c>
      <c r="K227" s="7">
        <v>15</v>
      </c>
      <c r="L227" s="6">
        <f t="shared" si="10"/>
        <v>2</v>
      </c>
      <c r="M227" s="6" t="s">
        <v>59</v>
      </c>
      <c r="N227" s="6" t="s">
        <v>1145</v>
      </c>
      <c r="O227" s="9">
        <v>0.38</v>
      </c>
      <c r="P227" s="16">
        <f t="shared" si="11"/>
        <v>5.7</v>
      </c>
      <c r="Q227" s="7">
        <v>5.7</v>
      </c>
      <c r="R227" s="7">
        <v>0</v>
      </c>
      <c r="S227" s="7">
        <v>0</v>
      </c>
      <c r="T227" s="6" t="s">
        <v>431</v>
      </c>
    </row>
    <row r="228" spans="1:20" s="6" customFormat="1" x14ac:dyDescent="0.25">
      <c r="A228" s="6">
        <v>2030455579</v>
      </c>
      <c r="B228" s="6" t="s">
        <v>710</v>
      </c>
      <c r="C228" s="6" t="s">
        <v>398</v>
      </c>
      <c r="D228" s="6" t="str">
        <f t="shared" si="9"/>
        <v>JASON TROUT</v>
      </c>
      <c r="E228" s="6" t="s">
        <v>431</v>
      </c>
      <c r="F228" s="6">
        <v>16865615</v>
      </c>
      <c r="G228" s="6" t="s">
        <v>1107</v>
      </c>
      <c r="H228" s="6" t="s">
        <v>56</v>
      </c>
      <c r="I228" s="5">
        <v>45882</v>
      </c>
      <c r="J228" s="5">
        <v>45943</v>
      </c>
      <c r="K228" s="7">
        <v>60.5</v>
      </c>
      <c r="L228" s="6">
        <f t="shared" si="10"/>
        <v>2</v>
      </c>
      <c r="M228" s="6" t="s">
        <v>59</v>
      </c>
      <c r="N228" s="6" t="s">
        <v>1145</v>
      </c>
      <c r="O228" s="9">
        <v>0.38</v>
      </c>
      <c r="P228" s="16">
        <f t="shared" si="11"/>
        <v>22.990000000000002</v>
      </c>
      <c r="Q228" s="7">
        <v>22.99</v>
      </c>
      <c r="R228" s="7">
        <v>0</v>
      </c>
      <c r="S228" s="7">
        <v>0</v>
      </c>
      <c r="T228" s="6" t="s">
        <v>431</v>
      </c>
    </row>
    <row r="229" spans="1:20" s="6" customFormat="1" x14ac:dyDescent="0.25">
      <c r="A229" s="6">
        <v>2030108811</v>
      </c>
      <c r="B229" s="6" t="s">
        <v>219</v>
      </c>
      <c r="C229" s="6" t="s">
        <v>220</v>
      </c>
      <c r="D229" s="6" t="str">
        <f t="shared" si="9"/>
        <v>CARR LAUREN</v>
      </c>
      <c r="E229" s="6" t="s">
        <v>431</v>
      </c>
      <c r="F229" s="6">
        <v>21313588</v>
      </c>
      <c r="G229" s="6" t="s">
        <v>1109</v>
      </c>
      <c r="H229" s="6" t="s">
        <v>56</v>
      </c>
      <c r="I229" s="5">
        <v>45862</v>
      </c>
      <c r="J229" s="5">
        <v>45954</v>
      </c>
      <c r="K229" s="7">
        <v>16.91</v>
      </c>
      <c r="L229" s="6">
        <f t="shared" si="10"/>
        <v>3</v>
      </c>
      <c r="M229" s="6" t="s">
        <v>59</v>
      </c>
      <c r="N229" s="6" t="s">
        <v>1145</v>
      </c>
      <c r="O229" s="9">
        <v>0.38</v>
      </c>
      <c r="P229" s="16">
        <f t="shared" si="11"/>
        <v>6.4257999999999997</v>
      </c>
      <c r="Q229" s="7">
        <v>6.43</v>
      </c>
      <c r="R229" s="7">
        <v>0</v>
      </c>
      <c r="S229" s="7">
        <v>0</v>
      </c>
      <c r="T229" s="6" t="s">
        <v>431</v>
      </c>
    </row>
    <row r="230" spans="1:20" s="6" customFormat="1" x14ac:dyDescent="0.25">
      <c r="A230" s="6">
        <v>2030028579</v>
      </c>
      <c r="B230" s="6" t="s">
        <v>769</v>
      </c>
      <c r="C230" s="6" t="s">
        <v>321</v>
      </c>
      <c r="D230" s="6" t="str">
        <f t="shared" si="9"/>
        <v>JOEL LOREDO</v>
      </c>
      <c r="E230" s="6" t="s">
        <v>438</v>
      </c>
      <c r="F230" s="6">
        <v>16912722</v>
      </c>
      <c r="G230" s="6" t="s">
        <v>1111</v>
      </c>
      <c r="H230" s="6" t="s">
        <v>56</v>
      </c>
      <c r="I230" s="5">
        <v>45857</v>
      </c>
      <c r="J230" s="5">
        <v>45949</v>
      </c>
      <c r="K230" s="7">
        <v>530.48</v>
      </c>
      <c r="L230" s="6">
        <f t="shared" si="10"/>
        <v>3</v>
      </c>
      <c r="M230" s="6" t="s">
        <v>59</v>
      </c>
      <c r="N230" s="6" t="s">
        <v>1145</v>
      </c>
      <c r="O230" s="9">
        <v>0.38</v>
      </c>
      <c r="P230" s="16">
        <f t="shared" si="11"/>
        <v>201.58240000000001</v>
      </c>
      <c r="Q230" s="7">
        <v>201.58</v>
      </c>
      <c r="R230" s="7">
        <v>0</v>
      </c>
      <c r="S230" s="7">
        <v>0</v>
      </c>
      <c r="T230" s="6" t="s">
        <v>431</v>
      </c>
    </row>
    <row r="231" spans="1:20" s="6" customFormat="1" x14ac:dyDescent="0.25">
      <c r="A231" s="6">
        <v>2030028578</v>
      </c>
      <c r="B231" s="6" t="s">
        <v>769</v>
      </c>
      <c r="C231" s="6" t="s">
        <v>321</v>
      </c>
      <c r="D231" s="6" t="str">
        <f t="shared" si="9"/>
        <v>JOEL LOREDO</v>
      </c>
      <c r="E231" s="6" t="s">
        <v>439</v>
      </c>
      <c r="F231" s="6">
        <v>16912722</v>
      </c>
      <c r="G231" s="6" t="s">
        <v>1111</v>
      </c>
      <c r="H231" s="6" t="s">
        <v>56</v>
      </c>
      <c r="I231" s="5">
        <v>45857</v>
      </c>
      <c r="J231" s="5">
        <v>45949</v>
      </c>
      <c r="K231" s="7">
        <v>7.09</v>
      </c>
      <c r="L231" s="6">
        <f t="shared" si="10"/>
        <v>3</v>
      </c>
      <c r="M231" s="6" t="s">
        <v>59</v>
      </c>
      <c r="N231" s="6" t="s">
        <v>1145</v>
      </c>
      <c r="O231" s="9">
        <v>0.38</v>
      </c>
      <c r="P231" s="16">
        <f t="shared" si="11"/>
        <v>2.6941999999999999</v>
      </c>
      <c r="Q231" s="7">
        <v>2.69</v>
      </c>
      <c r="R231" s="7">
        <v>0</v>
      </c>
      <c r="S231" s="7">
        <v>0</v>
      </c>
      <c r="T231" s="6" t="s">
        <v>431</v>
      </c>
    </row>
    <row r="232" spans="1:20" s="6" customFormat="1" x14ac:dyDescent="0.25">
      <c r="A232" s="6">
        <v>2030028580</v>
      </c>
      <c r="B232" s="6" t="s">
        <v>769</v>
      </c>
      <c r="C232" s="6" t="s">
        <v>321</v>
      </c>
      <c r="D232" s="6" t="str">
        <f t="shared" si="9"/>
        <v>JOEL LOREDO</v>
      </c>
      <c r="E232" s="6" t="s">
        <v>261</v>
      </c>
      <c r="F232" s="6">
        <v>16912722</v>
      </c>
      <c r="G232" s="6" t="s">
        <v>1111</v>
      </c>
      <c r="H232" s="6" t="s">
        <v>56</v>
      </c>
      <c r="I232" s="5">
        <v>45857</v>
      </c>
      <c r="J232" s="5">
        <v>45949</v>
      </c>
      <c r="K232" s="7">
        <v>15</v>
      </c>
      <c r="L232" s="6">
        <f t="shared" si="10"/>
        <v>3</v>
      </c>
      <c r="M232" s="6" t="s">
        <v>59</v>
      </c>
      <c r="N232" s="6" t="s">
        <v>1145</v>
      </c>
      <c r="O232" s="9">
        <v>0.38</v>
      </c>
      <c r="P232" s="16">
        <f t="shared" si="11"/>
        <v>5.7</v>
      </c>
      <c r="Q232" s="7">
        <v>5.7</v>
      </c>
      <c r="R232" s="7">
        <v>0</v>
      </c>
      <c r="S232" s="7">
        <v>0</v>
      </c>
      <c r="T232" s="6" t="s">
        <v>431</v>
      </c>
    </row>
    <row r="233" spans="1:20" s="6" customFormat="1" x14ac:dyDescent="0.25">
      <c r="A233" s="6">
        <v>2029955374</v>
      </c>
      <c r="B233" s="6" t="s">
        <v>774</v>
      </c>
      <c r="C233" s="6" t="s">
        <v>773</v>
      </c>
      <c r="D233" s="6" t="str">
        <f t="shared" si="9"/>
        <v>MELISSA LOUIE</v>
      </c>
      <c r="E233" s="6" t="s">
        <v>431</v>
      </c>
      <c r="F233" s="6">
        <v>6634327</v>
      </c>
      <c r="G233" s="6" t="s">
        <v>1134</v>
      </c>
      <c r="H233" s="6" t="s">
        <v>56</v>
      </c>
      <c r="I233" s="5">
        <v>45853</v>
      </c>
      <c r="J233" s="5">
        <v>45945</v>
      </c>
      <c r="K233" s="7">
        <v>33.31</v>
      </c>
      <c r="L233" s="6">
        <f t="shared" si="10"/>
        <v>3</v>
      </c>
      <c r="M233" s="6" t="s">
        <v>59</v>
      </c>
      <c r="N233" s="6" t="s">
        <v>1145</v>
      </c>
      <c r="O233" s="9">
        <v>0.38</v>
      </c>
      <c r="P233" s="16">
        <f t="shared" si="11"/>
        <v>12.657800000000002</v>
      </c>
      <c r="Q233" s="7">
        <v>12.66</v>
      </c>
      <c r="R233" s="7">
        <v>0</v>
      </c>
      <c r="S233" s="7">
        <v>0</v>
      </c>
      <c r="T233" s="6" t="s">
        <v>431</v>
      </c>
    </row>
    <row r="234" spans="1:20" s="6" customFormat="1" x14ac:dyDescent="0.25">
      <c r="A234" s="6">
        <v>2029620627</v>
      </c>
      <c r="B234" s="6" t="s">
        <v>198</v>
      </c>
      <c r="C234" s="6" t="s">
        <v>199</v>
      </c>
      <c r="D234" s="6" t="str">
        <f t="shared" si="9"/>
        <v>CETRE CARLOS</v>
      </c>
      <c r="E234" s="6" t="s">
        <v>438</v>
      </c>
      <c r="F234" s="6">
        <v>7470776</v>
      </c>
      <c r="G234" s="6" t="s">
        <v>1093</v>
      </c>
      <c r="H234" s="6" t="s">
        <v>56</v>
      </c>
      <c r="I234" s="5">
        <v>45833</v>
      </c>
      <c r="J234" s="5">
        <v>45955</v>
      </c>
      <c r="K234" s="7">
        <v>226.98</v>
      </c>
      <c r="L234" s="6">
        <f t="shared" si="10"/>
        <v>4</v>
      </c>
      <c r="M234" s="6" t="s">
        <v>59</v>
      </c>
      <c r="N234" s="6" t="s">
        <v>1145</v>
      </c>
      <c r="O234" s="9">
        <v>0.38</v>
      </c>
      <c r="P234" s="16">
        <f t="shared" si="11"/>
        <v>86.252399999999994</v>
      </c>
      <c r="Q234" s="7">
        <v>86.25</v>
      </c>
      <c r="R234" s="7">
        <v>0</v>
      </c>
      <c r="S234" s="7">
        <v>0</v>
      </c>
      <c r="T234" s="6" t="s">
        <v>431</v>
      </c>
    </row>
    <row r="235" spans="1:20" s="6" customFormat="1" x14ac:dyDescent="0.25">
      <c r="A235" s="6">
        <v>2029620628</v>
      </c>
      <c r="B235" s="6" t="s">
        <v>198</v>
      </c>
      <c r="C235" s="6" t="s">
        <v>199</v>
      </c>
      <c r="D235" s="6" t="str">
        <f t="shared" si="9"/>
        <v>CETRE CARLOS</v>
      </c>
      <c r="E235" s="6" t="s">
        <v>439</v>
      </c>
      <c r="F235" s="6">
        <v>7470776</v>
      </c>
      <c r="G235" s="6" t="s">
        <v>1093</v>
      </c>
      <c r="H235" s="6" t="s">
        <v>56</v>
      </c>
      <c r="I235" s="5">
        <v>45833</v>
      </c>
      <c r="J235" s="5">
        <v>45955</v>
      </c>
      <c r="K235" s="7">
        <v>7.09</v>
      </c>
      <c r="L235" s="6">
        <f t="shared" si="10"/>
        <v>4</v>
      </c>
      <c r="M235" s="6" t="s">
        <v>59</v>
      </c>
      <c r="N235" s="6" t="s">
        <v>1145</v>
      </c>
      <c r="O235" s="9">
        <v>0.38</v>
      </c>
      <c r="P235" s="16">
        <f t="shared" si="11"/>
        <v>2.6941999999999999</v>
      </c>
      <c r="Q235" s="7">
        <v>2.69</v>
      </c>
      <c r="R235" s="7">
        <v>0</v>
      </c>
      <c r="S235" s="7">
        <v>0</v>
      </c>
      <c r="T235" s="6" t="s">
        <v>431</v>
      </c>
    </row>
    <row r="236" spans="1:20" s="6" customFormat="1" x14ac:dyDescent="0.25">
      <c r="A236" s="6">
        <v>2029620631</v>
      </c>
      <c r="B236" s="6" t="s">
        <v>198</v>
      </c>
      <c r="C236" s="6" t="s">
        <v>199</v>
      </c>
      <c r="D236" s="6" t="str">
        <f t="shared" si="9"/>
        <v>CETRE CARLOS</v>
      </c>
      <c r="E236" s="6" t="s">
        <v>261</v>
      </c>
      <c r="F236" s="6">
        <v>7470776</v>
      </c>
      <c r="G236" s="6" t="s">
        <v>1093</v>
      </c>
      <c r="H236" s="6" t="s">
        <v>56</v>
      </c>
      <c r="I236" s="5">
        <v>45833</v>
      </c>
      <c r="J236" s="5">
        <v>45955</v>
      </c>
      <c r="K236" s="7">
        <v>15</v>
      </c>
      <c r="L236" s="6">
        <f t="shared" si="10"/>
        <v>4</v>
      </c>
      <c r="M236" s="6" t="s">
        <v>59</v>
      </c>
      <c r="N236" s="6" t="s">
        <v>1145</v>
      </c>
      <c r="O236" s="9">
        <v>0.38</v>
      </c>
      <c r="P236" s="16">
        <f t="shared" si="11"/>
        <v>5.7</v>
      </c>
      <c r="Q236" s="7">
        <v>5.7</v>
      </c>
      <c r="R236" s="7">
        <v>0</v>
      </c>
      <c r="S236" s="7">
        <v>0</v>
      </c>
      <c r="T236" s="6" t="s">
        <v>431</v>
      </c>
    </row>
    <row r="237" spans="1:20" s="6" customFormat="1" x14ac:dyDescent="0.25">
      <c r="A237" s="6">
        <v>2029623274</v>
      </c>
      <c r="B237" s="6" t="s">
        <v>271</v>
      </c>
      <c r="C237" s="6" t="s">
        <v>272</v>
      </c>
      <c r="D237" s="6" t="str">
        <f t="shared" si="9"/>
        <v>KNOEBEL ETHAN</v>
      </c>
      <c r="E237" s="6" t="s">
        <v>438</v>
      </c>
      <c r="F237" s="6">
        <v>7146581</v>
      </c>
      <c r="G237" s="6" t="s">
        <v>1110</v>
      </c>
      <c r="H237" s="6" t="s">
        <v>56</v>
      </c>
      <c r="I237" s="5">
        <v>45833</v>
      </c>
      <c r="J237" s="5">
        <v>45955</v>
      </c>
      <c r="K237" s="7">
        <v>172.55</v>
      </c>
      <c r="L237" s="6">
        <f t="shared" si="10"/>
        <v>4</v>
      </c>
      <c r="M237" s="6" t="s">
        <v>59</v>
      </c>
      <c r="N237" s="6" t="s">
        <v>1145</v>
      </c>
      <c r="O237" s="9">
        <v>0.38</v>
      </c>
      <c r="P237" s="16">
        <f t="shared" si="11"/>
        <v>65.569000000000003</v>
      </c>
      <c r="Q237" s="7">
        <v>65.569999999999993</v>
      </c>
      <c r="R237" s="7">
        <v>0</v>
      </c>
      <c r="S237" s="7">
        <v>0</v>
      </c>
      <c r="T237" s="6" t="s">
        <v>431</v>
      </c>
    </row>
    <row r="238" spans="1:20" s="6" customFormat="1" x14ac:dyDescent="0.25">
      <c r="A238" s="6">
        <v>2029623275</v>
      </c>
      <c r="B238" s="6" t="s">
        <v>271</v>
      </c>
      <c r="C238" s="6" t="s">
        <v>272</v>
      </c>
      <c r="D238" s="6" t="str">
        <f t="shared" si="9"/>
        <v>KNOEBEL ETHAN</v>
      </c>
      <c r="E238" s="6" t="s">
        <v>439</v>
      </c>
      <c r="F238" s="6">
        <v>7146581</v>
      </c>
      <c r="G238" s="6" t="s">
        <v>1110</v>
      </c>
      <c r="H238" s="6" t="s">
        <v>56</v>
      </c>
      <c r="I238" s="5">
        <v>45833</v>
      </c>
      <c r="J238" s="5">
        <v>45955</v>
      </c>
      <c r="K238" s="7">
        <v>7.09</v>
      </c>
      <c r="L238" s="6">
        <f t="shared" si="10"/>
        <v>4</v>
      </c>
      <c r="M238" s="6" t="s">
        <v>59</v>
      </c>
      <c r="N238" s="6" t="s">
        <v>1145</v>
      </c>
      <c r="O238" s="9">
        <v>0.38</v>
      </c>
      <c r="P238" s="16">
        <f t="shared" si="11"/>
        <v>2.6941999999999999</v>
      </c>
      <c r="Q238" s="7">
        <v>2.69</v>
      </c>
      <c r="R238" s="7">
        <v>0</v>
      </c>
      <c r="S238" s="7">
        <v>0</v>
      </c>
      <c r="T238" s="6" t="s">
        <v>431</v>
      </c>
    </row>
    <row r="239" spans="1:20" s="6" customFormat="1" x14ac:dyDescent="0.25">
      <c r="A239" s="6">
        <v>2029623278</v>
      </c>
      <c r="B239" s="6" t="s">
        <v>271</v>
      </c>
      <c r="C239" s="6" t="s">
        <v>272</v>
      </c>
      <c r="D239" s="6" t="str">
        <f t="shared" si="9"/>
        <v>KNOEBEL ETHAN</v>
      </c>
      <c r="E239" s="6" t="s">
        <v>261</v>
      </c>
      <c r="F239" s="6">
        <v>7146581</v>
      </c>
      <c r="G239" s="6" t="s">
        <v>1110</v>
      </c>
      <c r="H239" s="6" t="s">
        <v>56</v>
      </c>
      <c r="I239" s="5">
        <v>45833</v>
      </c>
      <c r="J239" s="5">
        <v>45955</v>
      </c>
      <c r="K239" s="7">
        <v>15</v>
      </c>
      <c r="L239" s="6">
        <f t="shared" si="10"/>
        <v>4</v>
      </c>
      <c r="M239" s="6" t="s">
        <v>59</v>
      </c>
      <c r="N239" s="6" t="s">
        <v>1145</v>
      </c>
      <c r="O239" s="9">
        <v>0.38</v>
      </c>
      <c r="P239" s="16">
        <f t="shared" si="11"/>
        <v>5.7</v>
      </c>
      <c r="Q239" s="7">
        <v>5.7</v>
      </c>
      <c r="R239" s="7">
        <v>0</v>
      </c>
      <c r="S239" s="7">
        <v>0</v>
      </c>
      <c r="T239" s="6" t="s">
        <v>431</v>
      </c>
    </row>
    <row r="240" spans="1:20" s="6" customFormat="1" x14ac:dyDescent="0.25">
      <c r="A240" s="6">
        <v>2029623276</v>
      </c>
      <c r="B240" s="6" t="s">
        <v>271</v>
      </c>
      <c r="C240" s="6" t="s">
        <v>272</v>
      </c>
      <c r="D240" s="6" t="str">
        <f t="shared" si="9"/>
        <v>KNOEBEL ETHAN</v>
      </c>
      <c r="E240" s="6" t="s">
        <v>431</v>
      </c>
      <c r="F240" s="6">
        <v>7146581</v>
      </c>
      <c r="G240" s="6" t="s">
        <v>1110</v>
      </c>
      <c r="H240" s="6" t="s">
        <v>56</v>
      </c>
      <c r="I240" s="5">
        <v>45833</v>
      </c>
      <c r="J240" s="5">
        <v>45955</v>
      </c>
      <c r="K240" s="7">
        <v>11.71</v>
      </c>
      <c r="L240" s="6">
        <f t="shared" si="10"/>
        <v>4</v>
      </c>
      <c r="M240" s="6" t="s">
        <v>59</v>
      </c>
      <c r="N240" s="6" t="s">
        <v>1145</v>
      </c>
      <c r="O240" s="9">
        <v>0.38</v>
      </c>
      <c r="P240" s="16">
        <f t="shared" si="11"/>
        <v>4.4498000000000006</v>
      </c>
      <c r="Q240" s="7">
        <v>4.45</v>
      </c>
      <c r="R240" s="7">
        <v>0</v>
      </c>
      <c r="S240" s="7">
        <v>0</v>
      </c>
      <c r="T240" s="6" t="s">
        <v>431</v>
      </c>
    </row>
    <row r="241" spans="1:53" s="6" customFormat="1" x14ac:dyDescent="0.25">
      <c r="A241" s="6">
        <v>2029486075</v>
      </c>
      <c r="B241" s="6" t="s">
        <v>776</v>
      </c>
      <c r="C241" s="6" t="s">
        <v>775</v>
      </c>
      <c r="D241" s="6" t="str">
        <f t="shared" si="9"/>
        <v>TANJA JUKIC</v>
      </c>
      <c r="E241" s="6" t="s">
        <v>438</v>
      </c>
      <c r="F241" s="6">
        <v>7470776</v>
      </c>
      <c r="G241" s="6" t="s">
        <v>1093</v>
      </c>
      <c r="H241" s="6" t="s">
        <v>56</v>
      </c>
      <c r="I241" s="5">
        <v>45825</v>
      </c>
      <c r="J241" s="5">
        <v>45947</v>
      </c>
      <c r="K241" s="7">
        <v>139</v>
      </c>
      <c r="L241" s="6">
        <f t="shared" si="10"/>
        <v>4</v>
      </c>
      <c r="M241" s="6" t="s">
        <v>59</v>
      </c>
      <c r="N241" s="6" t="s">
        <v>1145</v>
      </c>
      <c r="O241" s="9">
        <v>0.38</v>
      </c>
      <c r="P241" s="16">
        <f t="shared" si="11"/>
        <v>52.82</v>
      </c>
      <c r="Q241" s="7">
        <v>52.82</v>
      </c>
      <c r="R241" s="7">
        <v>0</v>
      </c>
      <c r="S241" s="7">
        <v>0</v>
      </c>
      <c r="T241" s="6" t="s">
        <v>431</v>
      </c>
    </row>
    <row r="242" spans="1:53" s="6" customFormat="1" x14ac:dyDescent="0.25">
      <c r="A242" s="6">
        <v>2029486076</v>
      </c>
      <c r="B242" s="6" t="s">
        <v>776</v>
      </c>
      <c r="C242" s="6" t="s">
        <v>775</v>
      </c>
      <c r="D242" s="6" t="str">
        <f t="shared" si="9"/>
        <v>TANJA JUKIC</v>
      </c>
      <c r="E242" s="6" t="s">
        <v>439</v>
      </c>
      <c r="F242" s="6">
        <v>7470776</v>
      </c>
      <c r="G242" s="6" t="s">
        <v>1093</v>
      </c>
      <c r="H242" s="6" t="s">
        <v>56</v>
      </c>
      <c r="I242" s="5">
        <v>45825</v>
      </c>
      <c r="J242" s="5">
        <v>45947</v>
      </c>
      <c r="K242" s="7">
        <v>7.09</v>
      </c>
      <c r="L242" s="6">
        <f t="shared" si="10"/>
        <v>4</v>
      </c>
      <c r="M242" s="6" t="s">
        <v>59</v>
      </c>
      <c r="N242" s="6" t="s">
        <v>1145</v>
      </c>
      <c r="O242" s="9">
        <v>0.38</v>
      </c>
      <c r="P242" s="16">
        <f t="shared" si="11"/>
        <v>2.6941999999999999</v>
      </c>
      <c r="Q242" s="7">
        <v>2.69</v>
      </c>
      <c r="R242" s="7">
        <v>0</v>
      </c>
      <c r="S242" s="7">
        <v>0</v>
      </c>
      <c r="T242" s="6" t="s">
        <v>431</v>
      </c>
    </row>
    <row r="243" spans="1:53" s="6" customFormat="1" x14ac:dyDescent="0.25">
      <c r="A243" s="6">
        <v>2029486077</v>
      </c>
      <c r="B243" s="6" t="s">
        <v>776</v>
      </c>
      <c r="C243" s="6" t="s">
        <v>775</v>
      </c>
      <c r="D243" s="6" t="str">
        <f t="shared" si="9"/>
        <v>TANJA JUKIC</v>
      </c>
      <c r="E243" s="6" t="s">
        <v>261</v>
      </c>
      <c r="F243" s="6">
        <v>7470776</v>
      </c>
      <c r="G243" s="6" t="s">
        <v>1093</v>
      </c>
      <c r="H243" s="6" t="s">
        <v>56</v>
      </c>
      <c r="I243" s="5">
        <v>45825</v>
      </c>
      <c r="J243" s="5">
        <v>45947</v>
      </c>
      <c r="K243" s="7">
        <v>15</v>
      </c>
      <c r="L243" s="6">
        <f t="shared" si="10"/>
        <v>4</v>
      </c>
      <c r="M243" s="6" t="s">
        <v>59</v>
      </c>
      <c r="N243" s="6" t="s">
        <v>1145</v>
      </c>
      <c r="O243" s="9">
        <v>0.38</v>
      </c>
      <c r="P243" s="16">
        <f t="shared" si="11"/>
        <v>5.7</v>
      </c>
      <c r="Q243" s="7">
        <v>5.7</v>
      </c>
      <c r="R243" s="7">
        <v>0</v>
      </c>
      <c r="S243" s="7">
        <v>0</v>
      </c>
      <c r="T243" s="6" t="s">
        <v>431</v>
      </c>
    </row>
    <row r="244" spans="1:53" s="6" customFormat="1" x14ac:dyDescent="0.25">
      <c r="A244" s="6">
        <v>2028000915</v>
      </c>
      <c r="B244" s="6" t="s">
        <v>435</v>
      </c>
      <c r="C244" s="6" t="s">
        <v>436</v>
      </c>
      <c r="D244" s="6" t="str">
        <f t="shared" si="9"/>
        <v>ANGELO GALLARELLO</v>
      </c>
      <c r="E244" s="6" t="s">
        <v>438</v>
      </c>
      <c r="F244" s="6">
        <v>7470776</v>
      </c>
      <c r="G244" s="6" t="s">
        <v>1093</v>
      </c>
      <c r="H244" s="6" t="s">
        <v>56</v>
      </c>
      <c r="I244" s="5">
        <v>45770</v>
      </c>
      <c r="J244" s="5">
        <v>45953</v>
      </c>
      <c r="K244" s="7">
        <v>131.32</v>
      </c>
      <c r="L244" s="6">
        <f t="shared" si="10"/>
        <v>6</v>
      </c>
      <c r="M244" s="6" t="s">
        <v>59</v>
      </c>
      <c r="N244" s="6" t="s">
        <v>1145</v>
      </c>
      <c r="O244" s="9">
        <v>0.38</v>
      </c>
      <c r="P244" s="16">
        <f t="shared" si="11"/>
        <v>49.901599999999995</v>
      </c>
      <c r="Q244" s="7">
        <v>0</v>
      </c>
      <c r="R244" s="7">
        <v>49.9</v>
      </c>
      <c r="S244" s="7">
        <v>49.9</v>
      </c>
      <c r="T244" s="6" t="s">
        <v>431</v>
      </c>
    </row>
    <row r="245" spans="1:53" s="6" customFormat="1" x14ac:dyDescent="0.25">
      <c r="A245" s="6">
        <v>2028000916</v>
      </c>
      <c r="B245" s="6" t="s">
        <v>435</v>
      </c>
      <c r="C245" s="6" t="s">
        <v>436</v>
      </c>
      <c r="D245" s="6" t="str">
        <f t="shared" si="9"/>
        <v>ANGELO GALLARELLO</v>
      </c>
      <c r="E245" s="6" t="s">
        <v>439</v>
      </c>
      <c r="F245" s="6">
        <v>7470776</v>
      </c>
      <c r="G245" s="6" t="s">
        <v>1093</v>
      </c>
      <c r="H245" s="6" t="s">
        <v>56</v>
      </c>
      <c r="I245" s="5">
        <v>45770</v>
      </c>
      <c r="J245" s="5">
        <v>45953</v>
      </c>
      <c r="K245" s="7">
        <v>7.09</v>
      </c>
      <c r="L245" s="6">
        <f t="shared" si="10"/>
        <v>6</v>
      </c>
      <c r="M245" s="6" t="s">
        <v>59</v>
      </c>
      <c r="N245" s="6" t="s">
        <v>1145</v>
      </c>
      <c r="O245" s="9">
        <v>0.38</v>
      </c>
      <c r="P245" s="16">
        <f t="shared" si="11"/>
        <v>2.6941999999999999</v>
      </c>
      <c r="Q245" s="7">
        <v>0</v>
      </c>
      <c r="R245" s="7">
        <v>2.69</v>
      </c>
      <c r="S245" s="7">
        <v>2.69</v>
      </c>
      <c r="T245" s="6" t="s">
        <v>431</v>
      </c>
    </row>
    <row r="246" spans="1:53" s="6" customFormat="1" x14ac:dyDescent="0.25">
      <c r="A246" s="6">
        <v>2028466945</v>
      </c>
      <c r="B246" s="6" t="s">
        <v>176</v>
      </c>
      <c r="C246" s="6" t="s">
        <v>177</v>
      </c>
      <c r="D246" s="6" t="str">
        <f t="shared" si="9"/>
        <v>QUINN HUNCHAR</v>
      </c>
      <c r="E246" s="6" t="s">
        <v>431</v>
      </c>
      <c r="F246" s="6">
        <v>16865615</v>
      </c>
      <c r="G246" s="6" t="s">
        <v>1107</v>
      </c>
      <c r="H246" s="6" t="s">
        <v>56</v>
      </c>
      <c r="I246" s="5">
        <v>45767</v>
      </c>
      <c r="J246" s="5">
        <v>45950</v>
      </c>
      <c r="K246" s="7">
        <v>19.39</v>
      </c>
      <c r="L246" s="6">
        <f t="shared" si="10"/>
        <v>6</v>
      </c>
      <c r="M246" s="6" t="s">
        <v>59</v>
      </c>
      <c r="N246" s="6" t="s">
        <v>1145</v>
      </c>
      <c r="O246" s="9">
        <v>0.38</v>
      </c>
      <c r="P246" s="16">
        <f t="shared" si="11"/>
        <v>7.3681999999999999</v>
      </c>
      <c r="Q246" s="7">
        <v>0</v>
      </c>
      <c r="R246" s="7">
        <v>7.37</v>
      </c>
      <c r="S246" s="7">
        <v>7.37</v>
      </c>
      <c r="T246" s="6" t="s">
        <v>431</v>
      </c>
    </row>
    <row r="247" spans="1:53" s="6" customFormat="1" x14ac:dyDescent="0.25">
      <c r="A247" s="6">
        <v>2028533939</v>
      </c>
      <c r="B247" s="6" t="s">
        <v>259</v>
      </c>
      <c r="C247" s="6" t="s">
        <v>260</v>
      </c>
      <c r="D247" s="6" t="str">
        <f t="shared" si="9"/>
        <v>JENNIFER WALENGA</v>
      </c>
      <c r="E247" s="6" t="s">
        <v>438</v>
      </c>
      <c r="F247" s="6">
        <v>8325282</v>
      </c>
      <c r="G247" s="6" t="s">
        <v>1091</v>
      </c>
      <c r="H247" s="6" t="s">
        <v>56</v>
      </c>
      <c r="I247" s="5">
        <v>45770</v>
      </c>
      <c r="J247" s="5">
        <v>45953</v>
      </c>
      <c r="K247" s="7">
        <v>139</v>
      </c>
      <c r="L247" s="6">
        <f t="shared" si="10"/>
        <v>6</v>
      </c>
      <c r="M247" s="6" t="s">
        <v>59</v>
      </c>
      <c r="N247" s="6" t="s">
        <v>1145</v>
      </c>
      <c r="O247" s="9">
        <v>0.38</v>
      </c>
      <c r="P247" s="16">
        <f t="shared" si="11"/>
        <v>52.82</v>
      </c>
      <c r="Q247" s="7">
        <v>0</v>
      </c>
      <c r="R247" s="7">
        <v>52.82</v>
      </c>
      <c r="S247" s="7">
        <v>52.82</v>
      </c>
      <c r="T247" s="6" t="s">
        <v>431</v>
      </c>
    </row>
    <row r="248" spans="1:53" s="6" customFormat="1" x14ac:dyDescent="0.25">
      <c r="A248" s="6">
        <v>2028533940</v>
      </c>
      <c r="B248" s="6" t="s">
        <v>259</v>
      </c>
      <c r="C248" s="6" t="s">
        <v>260</v>
      </c>
      <c r="D248" s="6" t="str">
        <f t="shared" si="9"/>
        <v>JENNIFER WALENGA</v>
      </c>
      <c r="E248" s="6" t="s">
        <v>261</v>
      </c>
      <c r="F248" s="6">
        <v>8325282</v>
      </c>
      <c r="G248" s="6" t="s">
        <v>1091</v>
      </c>
      <c r="H248" s="6" t="s">
        <v>56</v>
      </c>
      <c r="I248" s="5">
        <v>45770</v>
      </c>
      <c r="J248" s="5">
        <v>45953</v>
      </c>
      <c r="K248" s="7">
        <v>15</v>
      </c>
      <c r="L248" s="6">
        <f t="shared" si="10"/>
        <v>6</v>
      </c>
      <c r="M248" s="6" t="s">
        <v>59</v>
      </c>
      <c r="N248" s="6" t="s">
        <v>1145</v>
      </c>
      <c r="O248" s="9">
        <v>0.38</v>
      </c>
      <c r="P248" s="16">
        <f t="shared" si="11"/>
        <v>5.7</v>
      </c>
      <c r="Q248" s="7">
        <v>0</v>
      </c>
      <c r="R248" s="7">
        <v>5.7</v>
      </c>
      <c r="S248" s="7">
        <v>5.7</v>
      </c>
      <c r="T248" s="6" t="s">
        <v>431</v>
      </c>
    </row>
    <row r="249" spans="1:53" s="6" customFormat="1" x14ac:dyDescent="0.25">
      <c r="A249" s="6">
        <v>2027913473</v>
      </c>
      <c r="B249" s="6" t="s">
        <v>166</v>
      </c>
      <c r="C249" s="6" t="s">
        <v>167</v>
      </c>
      <c r="D249" s="6" t="str">
        <f t="shared" si="9"/>
        <v>MONIKA AUFDERHEIDE</v>
      </c>
      <c r="E249" s="6" t="s">
        <v>431</v>
      </c>
      <c r="F249" s="6">
        <v>16865615</v>
      </c>
      <c r="G249" s="6" t="s">
        <v>1107</v>
      </c>
      <c r="H249" s="6" t="s">
        <v>56</v>
      </c>
      <c r="I249" s="5">
        <v>45738</v>
      </c>
      <c r="J249" s="5">
        <v>45952</v>
      </c>
      <c r="K249" s="7">
        <v>40.270000000000003</v>
      </c>
      <c r="L249" s="6">
        <f t="shared" si="10"/>
        <v>7</v>
      </c>
      <c r="M249" s="6" t="s">
        <v>59</v>
      </c>
      <c r="N249" s="6" t="s">
        <v>1148</v>
      </c>
      <c r="O249" s="9">
        <v>0.38</v>
      </c>
      <c r="P249" s="16">
        <f t="shared" si="11"/>
        <v>15.302600000000002</v>
      </c>
      <c r="Q249" s="7">
        <v>0</v>
      </c>
      <c r="R249" s="7">
        <v>15.3</v>
      </c>
      <c r="S249" s="7">
        <v>15.3</v>
      </c>
      <c r="T249" s="6" t="s">
        <v>431</v>
      </c>
    </row>
    <row r="250" spans="1:53" s="6" customFormat="1" x14ac:dyDescent="0.25">
      <c r="A250" s="6">
        <v>2027867340</v>
      </c>
      <c r="B250" s="6" t="s">
        <v>164</v>
      </c>
      <c r="C250" s="6" t="s">
        <v>165</v>
      </c>
      <c r="D250" s="6" t="str">
        <f t="shared" si="9"/>
        <v>DERREK MARTINEZ</v>
      </c>
      <c r="E250" s="6" t="s">
        <v>431</v>
      </c>
      <c r="F250" s="6">
        <v>16865615</v>
      </c>
      <c r="G250" s="6" t="s">
        <v>1107</v>
      </c>
      <c r="H250" s="6" t="s">
        <v>56</v>
      </c>
      <c r="I250" s="5">
        <v>45736</v>
      </c>
      <c r="J250" s="5">
        <v>45950</v>
      </c>
      <c r="K250" s="7">
        <v>16.91</v>
      </c>
      <c r="L250" s="6">
        <f t="shared" si="10"/>
        <v>7</v>
      </c>
      <c r="M250" s="6" t="s">
        <v>59</v>
      </c>
      <c r="N250" s="6" t="s">
        <v>1148</v>
      </c>
      <c r="O250" s="9">
        <v>0.38</v>
      </c>
      <c r="P250" s="16">
        <f t="shared" si="11"/>
        <v>6.4257999999999997</v>
      </c>
      <c r="Q250" s="7">
        <v>0</v>
      </c>
      <c r="R250" s="7">
        <v>6.43</v>
      </c>
      <c r="S250" s="7">
        <v>6.43</v>
      </c>
      <c r="T250" s="6" t="s">
        <v>431</v>
      </c>
    </row>
    <row r="251" spans="1:53" s="6" customFormat="1" x14ac:dyDescent="0.25">
      <c r="A251" s="6">
        <v>2027010990</v>
      </c>
      <c r="B251" s="6" t="s">
        <v>154</v>
      </c>
      <c r="C251" s="6" t="s">
        <v>155</v>
      </c>
      <c r="D251" s="6" t="str">
        <f t="shared" si="9"/>
        <v>KURT JOHNSON</v>
      </c>
      <c r="E251" s="6" t="s">
        <v>431</v>
      </c>
      <c r="F251" s="6">
        <v>16865615</v>
      </c>
      <c r="G251" s="6" t="s">
        <v>1107</v>
      </c>
      <c r="H251" s="6" t="s">
        <v>56</v>
      </c>
      <c r="I251" s="5">
        <v>45697</v>
      </c>
      <c r="J251" s="5">
        <v>45939</v>
      </c>
      <c r="K251" s="7">
        <v>29.31</v>
      </c>
      <c r="L251" s="6">
        <f t="shared" si="10"/>
        <v>8</v>
      </c>
      <c r="M251" s="6" t="s">
        <v>59</v>
      </c>
      <c r="N251" s="6" t="s">
        <v>1148</v>
      </c>
      <c r="O251" s="9">
        <v>0.38</v>
      </c>
      <c r="P251" s="16">
        <f t="shared" si="11"/>
        <v>11.1378</v>
      </c>
      <c r="Q251" s="7">
        <v>0</v>
      </c>
      <c r="R251" s="7">
        <v>11.14</v>
      </c>
      <c r="S251" s="7">
        <v>11.14</v>
      </c>
      <c r="T251" s="6" t="s">
        <v>431</v>
      </c>
    </row>
    <row r="252" spans="1:53" s="6" customFormat="1" x14ac:dyDescent="0.25">
      <c r="A252" s="6">
        <v>2026061219</v>
      </c>
      <c r="B252" s="6" t="s">
        <v>790</v>
      </c>
      <c r="C252" s="6" t="s">
        <v>789</v>
      </c>
      <c r="D252" s="6" t="str">
        <f t="shared" si="9"/>
        <v>JOSEPH HINTZICKER</v>
      </c>
      <c r="E252" s="6" t="s">
        <v>431</v>
      </c>
      <c r="F252" s="6">
        <v>21313588</v>
      </c>
      <c r="G252" s="6" t="s">
        <v>1109</v>
      </c>
      <c r="H252" s="6" t="s">
        <v>56</v>
      </c>
      <c r="I252" s="5">
        <v>45641</v>
      </c>
      <c r="J252" s="5">
        <v>45945</v>
      </c>
      <c r="K252" s="7">
        <v>33.31</v>
      </c>
      <c r="L252" s="6">
        <f t="shared" si="10"/>
        <v>10</v>
      </c>
      <c r="M252" s="6" t="s">
        <v>59</v>
      </c>
      <c r="N252" s="6" t="s">
        <v>1148</v>
      </c>
      <c r="O252" s="9">
        <v>0.38</v>
      </c>
      <c r="P252" s="16">
        <f t="shared" si="11"/>
        <v>12.657800000000002</v>
      </c>
      <c r="Q252" s="7">
        <v>0</v>
      </c>
      <c r="R252" s="7">
        <v>12.66</v>
      </c>
      <c r="S252" s="7">
        <v>12.66</v>
      </c>
      <c r="T252" s="6" t="s">
        <v>431</v>
      </c>
    </row>
    <row r="253" spans="1:53" s="6" customFormat="1" x14ac:dyDescent="0.25">
      <c r="A253" s="6">
        <v>2026262564</v>
      </c>
      <c r="B253" s="6" t="s">
        <v>139</v>
      </c>
      <c r="C253" s="6" t="s">
        <v>140</v>
      </c>
      <c r="D253" s="6" t="str">
        <f t="shared" si="9"/>
        <v>ESTEBAN RIZO</v>
      </c>
      <c r="E253" s="6" t="s">
        <v>431</v>
      </c>
      <c r="F253" s="6">
        <v>16865615</v>
      </c>
      <c r="G253" s="6" t="s">
        <v>1107</v>
      </c>
      <c r="H253" s="6" t="s">
        <v>56</v>
      </c>
      <c r="I253" s="5">
        <v>45647</v>
      </c>
      <c r="J253" s="5">
        <v>45951</v>
      </c>
      <c r="K253" s="7">
        <v>16.91</v>
      </c>
      <c r="L253" s="6">
        <f t="shared" si="10"/>
        <v>10</v>
      </c>
      <c r="M253" s="6" t="s">
        <v>59</v>
      </c>
      <c r="N253" s="6" t="s">
        <v>1148</v>
      </c>
      <c r="O253" s="9">
        <v>0.38</v>
      </c>
      <c r="P253" s="16">
        <f t="shared" si="11"/>
        <v>6.4257999999999997</v>
      </c>
      <c r="Q253" s="7">
        <v>0</v>
      </c>
      <c r="R253" s="7">
        <v>6.43</v>
      </c>
      <c r="S253" s="7">
        <v>6.43</v>
      </c>
      <c r="T253" s="6" t="s">
        <v>431</v>
      </c>
    </row>
    <row r="254" spans="1:53" s="6" customFormat="1" x14ac:dyDescent="0.25">
      <c r="A254" s="6">
        <v>2025820172</v>
      </c>
      <c r="B254" s="6" t="s">
        <v>793</v>
      </c>
      <c r="C254" s="6" t="s">
        <v>792</v>
      </c>
      <c r="D254" s="6" t="str">
        <f t="shared" si="9"/>
        <v>MERIWTHER HARDIE</v>
      </c>
      <c r="E254" s="6" t="s">
        <v>431</v>
      </c>
      <c r="F254" s="6">
        <v>21313588</v>
      </c>
      <c r="G254" s="6" t="s">
        <v>1109</v>
      </c>
      <c r="H254" s="6" t="s">
        <v>56</v>
      </c>
      <c r="I254" s="5">
        <v>45615</v>
      </c>
      <c r="J254" s="5">
        <v>45949</v>
      </c>
      <c r="K254" s="7">
        <v>26.43</v>
      </c>
      <c r="L254" s="6">
        <f t="shared" si="10"/>
        <v>11</v>
      </c>
      <c r="M254" s="6" t="s">
        <v>59</v>
      </c>
      <c r="N254" s="6" t="s">
        <v>1148</v>
      </c>
      <c r="O254" s="9">
        <v>0.38</v>
      </c>
      <c r="P254" s="16">
        <f t="shared" si="11"/>
        <v>10.0434</v>
      </c>
      <c r="Q254" s="7">
        <v>0</v>
      </c>
      <c r="R254" s="7">
        <v>10.039999999999999</v>
      </c>
      <c r="S254" s="7">
        <v>10.039999999999999</v>
      </c>
      <c r="T254" s="6" t="s">
        <v>431</v>
      </c>
    </row>
    <row r="255" spans="1:53" s="6" customFormat="1" x14ac:dyDescent="0.25">
      <c r="A255">
        <v>2030469675</v>
      </c>
      <c r="B255" t="s">
        <v>612</v>
      </c>
      <c r="C255" t="s">
        <v>611</v>
      </c>
      <c r="D255" s="6" t="str">
        <f t="shared" si="9"/>
        <v>NOAH STEVENS</v>
      </c>
      <c r="E255" t="s">
        <v>431</v>
      </c>
      <c r="F255">
        <v>18781057</v>
      </c>
      <c r="G255" t="s">
        <v>1089</v>
      </c>
      <c r="H255" t="s">
        <v>230</v>
      </c>
      <c r="I255" s="1">
        <v>45901</v>
      </c>
      <c r="J255" s="1">
        <v>45931</v>
      </c>
      <c r="K255" s="2">
        <v>-11.77</v>
      </c>
      <c r="L255">
        <f t="shared" si="10"/>
        <v>1</v>
      </c>
      <c r="M255" t="s">
        <v>59</v>
      </c>
      <c r="N255" t="s">
        <v>1148</v>
      </c>
      <c r="O255" s="4">
        <v>0.38</v>
      </c>
      <c r="P255" s="16">
        <f t="shared" si="11"/>
        <v>-4.4725999999999999</v>
      </c>
      <c r="Q255" s="2">
        <v>0</v>
      </c>
      <c r="R255" s="2">
        <v>-4.47</v>
      </c>
      <c r="S255" s="2">
        <v>-4.47</v>
      </c>
      <c r="T255" t="s">
        <v>431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</row>
    <row r="256" spans="1:53" s="6" customFormat="1" x14ac:dyDescent="0.25">
      <c r="A256">
        <v>2030591796</v>
      </c>
      <c r="B256" t="s">
        <v>286</v>
      </c>
      <c r="C256" t="s">
        <v>287</v>
      </c>
      <c r="D256" s="6" t="str">
        <f t="shared" si="9"/>
        <v>BURGENER EDWARD</v>
      </c>
      <c r="E256" t="s">
        <v>438</v>
      </c>
      <c r="F256">
        <v>20003537</v>
      </c>
      <c r="G256" t="s">
        <v>1102</v>
      </c>
      <c r="H256" t="s">
        <v>56</v>
      </c>
      <c r="I256" s="1">
        <v>45890</v>
      </c>
      <c r="J256" s="1">
        <v>45951</v>
      </c>
      <c r="K256" s="2">
        <v>187.73</v>
      </c>
      <c r="L256">
        <f t="shared" si="10"/>
        <v>2</v>
      </c>
      <c r="M256" t="s">
        <v>59</v>
      </c>
      <c r="N256" t="s">
        <v>1148</v>
      </c>
      <c r="O256" s="4">
        <v>0.38</v>
      </c>
      <c r="P256" s="16">
        <f t="shared" si="11"/>
        <v>71.337400000000002</v>
      </c>
      <c r="Q256" s="2">
        <v>71.34</v>
      </c>
      <c r="R256" s="2">
        <v>0</v>
      </c>
      <c r="S256" s="2">
        <v>0</v>
      </c>
      <c r="T256" t="s">
        <v>431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</row>
    <row r="257" spans="1:53" s="6" customFormat="1" x14ac:dyDescent="0.25">
      <c r="A257">
        <v>2030591798</v>
      </c>
      <c r="B257" t="s">
        <v>286</v>
      </c>
      <c r="C257" t="s">
        <v>287</v>
      </c>
      <c r="D257" s="6" t="str">
        <f t="shared" si="9"/>
        <v>BURGENER EDWARD</v>
      </c>
      <c r="E257" t="s">
        <v>439</v>
      </c>
      <c r="F257">
        <v>20003537</v>
      </c>
      <c r="G257" t="s">
        <v>1102</v>
      </c>
      <c r="H257" t="s">
        <v>56</v>
      </c>
      <c r="I257" s="1">
        <v>45890</v>
      </c>
      <c r="J257" s="1">
        <v>45951</v>
      </c>
      <c r="K257" s="2">
        <v>7.09</v>
      </c>
      <c r="L257">
        <f t="shared" si="10"/>
        <v>2</v>
      </c>
      <c r="M257" t="s">
        <v>59</v>
      </c>
      <c r="N257" t="s">
        <v>1148</v>
      </c>
      <c r="O257" s="4">
        <v>0.38</v>
      </c>
      <c r="P257" s="16">
        <f t="shared" si="11"/>
        <v>2.6941999999999999</v>
      </c>
      <c r="Q257" s="2">
        <v>2.69</v>
      </c>
      <c r="R257" s="2">
        <v>0</v>
      </c>
      <c r="S257" s="2">
        <v>0</v>
      </c>
      <c r="T257" t="s">
        <v>431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</row>
    <row r="258" spans="1:53" s="6" customFormat="1" x14ac:dyDescent="0.25">
      <c r="A258">
        <v>2030591799</v>
      </c>
      <c r="B258" t="s">
        <v>286</v>
      </c>
      <c r="C258" t="s">
        <v>287</v>
      </c>
      <c r="D258" s="6" t="str">
        <f t="shared" ref="D258:D321" si="12">CONCATENATE(C258, " ",B258)</f>
        <v>BURGENER EDWARD</v>
      </c>
      <c r="E258" t="s">
        <v>261</v>
      </c>
      <c r="F258">
        <v>20003537</v>
      </c>
      <c r="G258" t="s">
        <v>1102</v>
      </c>
      <c r="H258" t="s">
        <v>56</v>
      </c>
      <c r="I258" s="1">
        <v>45890</v>
      </c>
      <c r="J258" s="1">
        <v>45951</v>
      </c>
      <c r="K258" s="2">
        <v>15</v>
      </c>
      <c r="L258">
        <f t="shared" ref="L258:L321" si="13">DATEDIF(I258,J258,"M")</f>
        <v>2</v>
      </c>
      <c r="M258" t="s">
        <v>59</v>
      </c>
      <c r="N258" t="s">
        <v>1148</v>
      </c>
      <c r="O258" s="4">
        <v>0.38</v>
      </c>
      <c r="P258" s="16">
        <f t="shared" ref="P258:P321" si="14">K258*O258</f>
        <v>5.7</v>
      </c>
      <c r="Q258" s="2">
        <v>5.7</v>
      </c>
      <c r="R258" s="2">
        <v>0</v>
      </c>
      <c r="S258" s="2">
        <v>0</v>
      </c>
      <c r="T258" t="s">
        <v>431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</row>
    <row r="259" spans="1:53" s="6" customFormat="1" x14ac:dyDescent="0.25">
      <c r="A259">
        <v>2030516316</v>
      </c>
      <c r="B259" t="s">
        <v>768</v>
      </c>
      <c r="C259" t="s">
        <v>197</v>
      </c>
      <c r="D259" s="6" t="str">
        <f t="shared" si="12"/>
        <v>CRYSTAL FOX</v>
      </c>
      <c r="E259" t="s">
        <v>431</v>
      </c>
      <c r="F259">
        <v>18781057</v>
      </c>
      <c r="G259" t="s">
        <v>1089</v>
      </c>
      <c r="H259" t="s">
        <v>56</v>
      </c>
      <c r="I259" s="1">
        <v>45885</v>
      </c>
      <c r="J259" s="1">
        <v>45946</v>
      </c>
      <c r="K259" s="2">
        <v>40.35</v>
      </c>
      <c r="L259">
        <f t="shared" si="13"/>
        <v>2</v>
      </c>
      <c r="M259" t="s">
        <v>59</v>
      </c>
      <c r="N259" t="s">
        <v>1148</v>
      </c>
      <c r="O259" s="4">
        <v>0.38</v>
      </c>
      <c r="P259" s="16">
        <f t="shared" si="14"/>
        <v>15.333</v>
      </c>
      <c r="Q259" s="2">
        <v>15.33</v>
      </c>
      <c r="R259" s="2">
        <v>0</v>
      </c>
      <c r="S259" s="2">
        <v>0</v>
      </c>
      <c r="T259" t="s">
        <v>431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</row>
    <row r="260" spans="1:53" s="6" customFormat="1" x14ac:dyDescent="0.25">
      <c r="A260">
        <v>2030558287</v>
      </c>
      <c r="B260" t="s">
        <v>378</v>
      </c>
      <c r="C260" t="s">
        <v>117</v>
      </c>
      <c r="D260" s="6" t="str">
        <f t="shared" si="12"/>
        <v>RICHARD SMITH</v>
      </c>
      <c r="E260" t="s">
        <v>438</v>
      </c>
      <c r="F260">
        <v>17425766</v>
      </c>
      <c r="G260" t="s">
        <v>1097</v>
      </c>
      <c r="H260" t="s">
        <v>56</v>
      </c>
      <c r="I260" s="1">
        <v>45888</v>
      </c>
      <c r="J260" s="1">
        <v>45949</v>
      </c>
      <c r="K260" s="2">
        <v>115.38</v>
      </c>
      <c r="L260">
        <f t="shared" si="13"/>
        <v>2</v>
      </c>
      <c r="M260" t="s">
        <v>59</v>
      </c>
      <c r="N260" t="s">
        <v>1148</v>
      </c>
      <c r="O260" s="4">
        <v>0.38</v>
      </c>
      <c r="P260" s="16">
        <f t="shared" si="14"/>
        <v>43.8444</v>
      </c>
      <c r="Q260" s="2">
        <v>43.84</v>
      </c>
      <c r="R260" s="2">
        <v>0</v>
      </c>
      <c r="S260" s="2">
        <v>0</v>
      </c>
      <c r="T260" t="s">
        <v>431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</row>
    <row r="261" spans="1:53" s="6" customFormat="1" x14ac:dyDescent="0.25">
      <c r="A261">
        <v>2030558288</v>
      </c>
      <c r="B261" t="s">
        <v>378</v>
      </c>
      <c r="C261" t="s">
        <v>117</v>
      </c>
      <c r="D261" s="6" t="str">
        <f t="shared" si="12"/>
        <v>RICHARD SMITH</v>
      </c>
      <c r="E261" t="s">
        <v>439</v>
      </c>
      <c r="F261">
        <v>17425766</v>
      </c>
      <c r="G261" t="s">
        <v>1097</v>
      </c>
      <c r="H261" t="s">
        <v>56</v>
      </c>
      <c r="I261" s="1">
        <v>45888</v>
      </c>
      <c r="J261" s="1">
        <v>45949</v>
      </c>
      <c r="K261" s="2">
        <v>7.09</v>
      </c>
      <c r="L261">
        <f t="shared" si="13"/>
        <v>2</v>
      </c>
      <c r="M261" t="s">
        <v>59</v>
      </c>
      <c r="N261" t="s">
        <v>1148</v>
      </c>
      <c r="O261" s="4">
        <v>0.38</v>
      </c>
      <c r="P261" s="16">
        <f t="shared" si="14"/>
        <v>2.6941999999999999</v>
      </c>
      <c r="Q261" s="2">
        <v>2.69</v>
      </c>
      <c r="R261" s="2">
        <v>0</v>
      </c>
      <c r="S261" s="2">
        <v>0</v>
      </c>
      <c r="T261" t="s">
        <v>431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</row>
    <row r="262" spans="1:53" s="6" customFormat="1" x14ac:dyDescent="0.25">
      <c r="A262">
        <v>2030558289</v>
      </c>
      <c r="B262" t="s">
        <v>378</v>
      </c>
      <c r="C262" t="s">
        <v>117</v>
      </c>
      <c r="D262" s="6" t="str">
        <f t="shared" si="12"/>
        <v>RICHARD SMITH</v>
      </c>
      <c r="E262" t="s">
        <v>261</v>
      </c>
      <c r="F262">
        <v>17425766</v>
      </c>
      <c r="G262" t="s">
        <v>1097</v>
      </c>
      <c r="H262" t="s">
        <v>56</v>
      </c>
      <c r="I262" s="1">
        <v>45888</v>
      </c>
      <c r="J262" s="1">
        <v>45949</v>
      </c>
      <c r="K262" s="2">
        <v>15</v>
      </c>
      <c r="L262">
        <f t="shared" si="13"/>
        <v>2</v>
      </c>
      <c r="M262" t="s">
        <v>59</v>
      </c>
      <c r="N262" t="s">
        <v>1148</v>
      </c>
      <c r="O262" s="4">
        <v>0.38</v>
      </c>
      <c r="P262" s="16">
        <f t="shared" si="14"/>
        <v>5.7</v>
      </c>
      <c r="Q262" s="2">
        <v>5.7</v>
      </c>
      <c r="R262" s="2">
        <v>0</v>
      </c>
      <c r="S262" s="2">
        <v>0</v>
      </c>
      <c r="T262" t="s">
        <v>431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</row>
    <row r="263" spans="1:53" s="6" customFormat="1" x14ac:dyDescent="0.25">
      <c r="A263">
        <v>2030670141</v>
      </c>
      <c r="B263" t="s">
        <v>412</v>
      </c>
      <c r="C263" t="s">
        <v>413</v>
      </c>
      <c r="D263" s="6" t="str">
        <f t="shared" si="12"/>
        <v>KANAI TAKASHI</v>
      </c>
      <c r="E263" t="s">
        <v>431</v>
      </c>
      <c r="F263">
        <v>17425766</v>
      </c>
      <c r="G263" t="s">
        <v>1097</v>
      </c>
      <c r="H263" t="s">
        <v>56</v>
      </c>
      <c r="I263" s="1">
        <v>45895</v>
      </c>
      <c r="J263" s="1">
        <v>45956</v>
      </c>
      <c r="K263" s="2">
        <v>21.97</v>
      </c>
      <c r="L263">
        <f t="shared" si="13"/>
        <v>2</v>
      </c>
      <c r="M263" t="s">
        <v>59</v>
      </c>
      <c r="N263" t="s">
        <v>1148</v>
      </c>
      <c r="O263" s="4">
        <v>0.38</v>
      </c>
      <c r="P263" s="16">
        <f t="shared" si="14"/>
        <v>8.3485999999999994</v>
      </c>
      <c r="Q263" s="2">
        <v>8.35</v>
      </c>
      <c r="R263" s="2">
        <v>0</v>
      </c>
      <c r="S263" s="2">
        <v>0</v>
      </c>
      <c r="T263" t="s">
        <v>431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</row>
    <row r="264" spans="1:53" s="6" customFormat="1" x14ac:dyDescent="0.25">
      <c r="A264">
        <v>2030093004</v>
      </c>
      <c r="B264" t="s">
        <v>275</v>
      </c>
      <c r="C264" t="s">
        <v>276</v>
      </c>
      <c r="D264" s="6" t="str">
        <f t="shared" si="12"/>
        <v>MURPHY CYNTHIA</v>
      </c>
      <c r="E264" t="s">
        <v>438</v>
      </c>
      <c r="F264">
        <v>17425766</v>
      </c>
      <c r="G264" t="s">
        <v>1097</v>
      </c>
      <c r="H264" t="s">
        <v>56</v>
      </c>
      <c r="I264" s="1">
        <v>45861</v>
      </c>
      <c r="J264" s="1">
        <v>45953</v>
      </c>
      <c r="K264" s="2">
        <v>217.56</v>
      </c>
      <c r="L264">
        <f t="shared" si="13"/>
        <v>3</v>
      </c>
      <c r="M264" t="s">
        <v>59</v>
      </c>
      <c r="N264" t="s">
        <v>1148</v>
      </c>
      <c r="O264" s="4">
        <v>0.38</v>
      </c>
      <c r="P264" s="16">
        <f t="shared" si="14"/>
        <v>82.672799999999995</v>
      </c>
      <c r="Q264" s="2">
        <v>82.67</v>
      </c>
      <c r="R264" s="2">
        <v>0</v>
      </c>
      <c r="S264" s="2">
        <v>0</v>
      </c>
      <c r="T264" t="s">
        <v>431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</row>
    <row r="265" spans="1:53" s="6" customFormat="1" x14ac:dyDescent="0.25">
      <c r="A265">
        <v>2030093005</v>
      </c>
      <c r="B265" t="s">
        <v>275</v>
      </c>
      <c r="C265" t="s">
        <v>276</v>
      </c>
      <c r="D265" s="6" t="str">
        <f t="shared" si="12"/>
        <v>MURPHY CYNTHIA</v>
      </c>
      <c r="E265" t="s">
        <v>439</v>
      </c>
      <c r="F265">
        <v>17425766</v>
      </c>
      <c r="G265" t="s">
        <v>1097</v>
      </c>
      <c r="H265" t="s">
        <v>56</v>
      </c>
      <c r="I265" s="1">
        <v>45861</v>
      </c>
      <c r="J265" s="1">
        <v>45953</v>
      </c>
      <c r="K265" s="2">
        <v>7.09</v>
      </c>
      <c r="L265">
        <f t="shared" si="13"/>
        <v>3</v>
      </c>
      <c r="M265" t="s">
        <v>59</v>
      </c>
      <c r="N265" t="s">
        <v>1148</v>
      </c>
      <c r="O265" s="4">
        <v>0.38</v>
      </c>
      <c r="P265" s="16">
        <f t="shared" si="14"/>
        <v>2.6941999999999999</v>
      </c>
      <c r="Q265" s="2">
        <v>2.69</v>
      </c>
      <c r="R265" s="2">
        <v>0</v>
      </c>
      <c r="S265" s="2">
        <v>0</v>
      </c>
      <c r="T265" t="s">
        <v>431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</row>
    <row r="266" spans="1:53" s="6" customFormat="1" x14ac:dyDescent="0.25">
      <c r="A266">
        <v>2030093006</v>
      </c>
      <c r="B266" t="s">
        <v>275</v>
      </c>
      <c r="C266" t="s">
        <v>276</v>
      </c>
      <c r="D266" s="6" t="str">
        <f t="shared" si="12"/>
        <v>MURPHY CYNTHIA</v>
      </c>
      <c r="E266" t="s">
        <v>261</v>
      </c>
      <c r="F266">
        <v>17425766</v>
      </c>
      <c r="G266" t="s">
        <v>1097</v>
      </c>
      <c r="H266" t="s">
        <v>56</v>
      </c>
      <c r="I266" s="1">
        <v>45861</v>
      </c>
      <c r="J266" s="1">
        <v>45953</v>
      </c>
      <c r="K266" s="2">
        <v>15</v>
      </c>
      <c r="L266">
        <f t="shared" si="13"/>
        <v>3</v>
      </c>
      <c r="M266" t="s">
        <v>59</v>
      </c>
      <c r="N266" t="s">
        <v>1148</v>
      </c>
      <c r="O266" s="4">
        <v>0.38</v>
      </c>
      <c r="P266" s="16">
        <f t="shared" si="14"/>
        <v>5.7</v>
      </c>
      <c r="Q266" s="2">
        <v>5.7</v>
      </c>
      <c r="R266" s="2">
        <v>0</v>
      </c>
      <c r="S266" s="2">
        <v>0</v>
      </c>
      <c r="T266" t="s">
        <v>431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</row>
    <row r="267" spans="1:53" s="6" customFormat="1" x14ac:dyDescent="0.25">
      <c r="A267">
        <v>2030105688</v>
      </c>
      <c r="B267" t="s">
        <v>277</v>
      </c>
      <c r="C267" t="s">
        <v>278</v>
      </c>
      <c r="D267" s="6" t="str">
        <f t="shared" si="12"/>
        <v>NEUMEISTER JAMES</v>
      </c>
      <c r="E267" t="s">
        <v>438</v>
      </c>
      <c r="F267">
        <v>20003537</v>
      </c>
      <c r="G267" t="s">
        <v>1102</v>
      </c>
      <c r="H267" t="s">
        <v>56</v>
      </c>
      <c r="I267" s="1">
        <v>45862</v>
      </c>
      <c r="J267" s="1">
        <v>45954</v>
      </c>
      <c r="K267" s="2">
        <v>616.1</v>
      </c>
      <c r="L267">
        <f t="shared" si="13"/>
        <v>3</v>
      </c>
      <c r="M267" t="s">
        <v>59</v>
      </c>
      <c r="N267" t="s">
        <v>1148</v>
      </c>
      <c r="O267" s="4">
        <v>0.38</v>
      </c>
      <c r="P267" s="16">
        <f t="shared" si="14"/>
        <v>234.11800000000002</v>
      </c>
      <c r="Q267" s="2">
        <v>234.12</v>
      </c>
      <c r="R267" s="2">
        <v>0</v>
      </c>
      <c r="S267" s="2">
        <v>0</v>
      </c>
      <c r="T267" t="s">
        <v>431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</row>
    <row r="268" spans="1:53" s="6" customFormat="1" x14ac:dyDescent="0.25">
      <c r="A268">
        <v>2030105689</v>
      </c>
      <c r="B268" t="s">
        <v>277</v>
      </c>
      <c r="C268" t="s">
        <v>278</v>
      </c>
      <c r="D268" s="6" t="str">
        <f t="shared" si="12"/>
        <v>NEUMEISTER JAMES</v>
      </c>
      <c r="E268" t="s">
        <v>439</v>
      </c>
      <c r="F268">
        <v>20003537</v>
      </c>
      <c r="G268" t="s">
        <v>1102</v>
      </c>
      <c r="H268" t="s">
        <v>56</v>
      </c>
      <c r="I268" s="1">
        <v>45862</v>
      </c>
      <c r="J268" s="1">
        <v>45954</v>
      </c>
      <c r="K268" s="2">
        <v>7.09</v>
      </c>
      <c r="L268">
        <f t="shared" si="13"/>
        <v>3</v>
      </c>
      <c r="M268" t="s">
        <v>59</v>
      </c>
      <c r="N268" t="s">
        <v>1148</v>
      </c>
      <c r="O268" s="4">
        <v>0.38</v>
      </c>
      <c r="P268" s="16">
        <f t="shared" si="14"/>
        <v>2.6941999999999999</v>
      </c>
      <c r="Q268" s="2">
        <v>2.69</v>
      </c>
      <c r="R268" s="2">
        <v>0</v>
      </c>
      <c r="S268" s="2">
        <v>0</v>
      </c>
      <c r="T268" t="s">
        <v>431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</row>
    <row r="269" spans="1:53" s="6" customFormat="1" x14ac:dyDescent="0.25">
      <c r="A269">
        <v>2030105691</v>
      </c>
      <c r="B269" t="s">
        <v>277</v>
      </c>
      <c r="C269" t="s">
        <v>278</v>
      </c>
      <c r="D269" s="6" t="str">
        <f t="shared" si="12"/>
        <v>NEUMEISTER JAMES</v>
      </c>
      <c r="E269" t="s">
        <v>261</v>
      </c>
      <c r="F269">
        <v>20003537</v>
      </c>
      <c r="G269" t="s">
        <v>1102</v>
      </c>
      <c r="H269" t="s">
        <v>56</v>
      </c>
      <c r="I269" s="1">
        <v>45862</v>
      </c>
      <c r="J269" s="1">
        <v>45954</v>
      </c>
      <c r="K269" s="2">
        <v>15</v>
      </c>
      <c r="L269">
        <f t="shared" si="13"/>
        <v>3</v>
      </c>
      <c r="M269" t="s">
        <v>59</v>
      </c>
      <c r="N269" t="s">
        <v>1148</v>
      </c>
      <c r="O269" s="4">
        <v>0.38</v>
      </c>
      <c r="P269" s="16">
        <f t="shared" si="14"/>
        <v>5.7</v>
      </c>
      <c r="Q269" s="2">
        <v>5.7</v>
      </c>
      <c r="R269" s="2">
        <v>0</v>
      </c>
      <c r="S269" s="2">
        <v>0</v>
      </c>
      <c r="T269" t="s">
        <v>431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</row>
    <row r="270" spans="1:53" s="6" customFormat="1" x14ac:dyDescent="0.25">
      <c r="A270">
        <v>2030006364</v>
      </c>
      <c r="B270" t="s">
        <v>154</v>
      </c>
      <c r="C270" t="s">
        <v>772</v>
      </c>
      <c r="D270" s="6" t="str">
        <f t="shared" si="12"/>
        <v>KLYNTON JOHNSON</v>
      </c>
      <c r="E270" t="s">
        <v>438</v>
      </c>
      <c r="F270">
        <v>20003537</v>
      </c>
      <c r="G270" t="s">
        <v>1102</v>
      </c>
      <c r="H270" t="s">
        <v>56</v>
      </c>
      <c r="I270" s="1">
        <v>45856</v>
      </c>
      <c r="J270" s="1">
        <v>45948</v>
      </c>
      <c r="K270" s="2">
        <v>284.87</v>
      </c>
      <c r="L270">
        <f t="shared" si="13"/>
        <v>3</v>
      </c>
      <c r="M270" t="s">
        <v>59</v>
      </c>
      <c r="N270" t="s">
        <v>1148</v>
      </c>
      <c r="O270" s="4">
        <v>0.38</v>
      </c>
      <c r="P270" s="16">
        <f t="shared" si="14"/>
        <v>108.25060000000001</v>
      </c>
      <c r="Q270" s="2">
        <v>108.25</v>
      </c>
      <c r="R270" s="2">
        <v>0</v>
      </c>
      <c r="S270" s="2">
        <v>0</v>
      </c>
      <c r="T270" t="s">
        <v>431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</row>
    <row r="271" spans="1:53" s="6" customFormat="1" x14ac:dyDescent="0.25">
      <c r="A271">
        <v>2030006365</v>
      </c>
      <c r="B271" t="s">
        <v>154</v>
      </c>
      <c r="C271" t="s">
        <v>772</v>
      </c>
      <c r="D271" s="6" t="str">
        <f t="shared" si="12"/>
        <v>KLYNTON JOHNSON</v>
      </c>
      <c r="E271" t="s">
        <v>439</v>
      </c>
      <c r="F271">
        <v>20003537</v>
      </c>
      <c r="G271" t="s">
        <v>1102</v>
      </c>
      <c r="H271" t="s">
        <v>56</v>
      </c>
      <c r="I271" s="1">
        <v>45856</v>
      </c>
      <c r="J271" s="1">
        <v>45948</v>
      </c>
      <c r="K271" s="2">
        <v>7.09</v>
      </c>
      <c r="L271">
        <f t="shared" si="13"/>
        <v>3</v>
      </c>
      <c r="M271" t="s">
        <v>59</v>
      </c>
      <c r="N271" t="s">
        <v>1148</v>
      </c>
      <c r="O271" s="4">
        <v>0.38</v>
      </c>
      <c r="P271" s="16">
        <f t="shared" si="14"/>
        <v>2.6941999999999999</v>
      </c>
      <c r="Q271" s="2">
        <v>2.69</v>
      </c>
      <c r="R271" s="2">
        <v>0</v>
      </c>
      <c r="S271" s="2">
        <v>0</v>
      </c>
      <c r="T271" t="s">
        <v>431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</row>
    <row r="272" spans="1:53" s="6" customFormat="1" x14ac:dyDescent="0.25">
      <c r="A272">
        <v>2030006366</v>
      </c>
      <c r="B272" t="s">
        <v>154</v>
      </c>
      <c r="C272" t="s">
        <v>772</v>
      </c>
      <c r="D272" s="6" t="str">
        <f t="shared" si="12"/>
        <v>KLYNTON JOHNSON</v>
      </c>
      <c r="E272" t="s">
        <v>261</v>
      </c>
      <c r="F272">
        <v>20003537</v>
      </c>
      <c r="G272" t="s">
        <v>1102</v>
      </c>
      <c r="H272" t="s">
        <v>56</v>
      </c>
      <c r="I272" s="1">
        <v>45856</v>
      </c>
      <c r="J272" s="1">
        <v>45948</v>
      </c>
      <c r="K272" s="2">
        <v>15</v>
      </c>
      <c r="L272">
        <f t="shared" si="13"/>
        <v>3</v>
      </c>
      <c r="M272" t="s">
        <v>59</v>
      </c>
      <c r="N272" t="s">
        <v>1148</v>
      </c>
      <c r="O272" s="4">
        <v>0.38</v>
      </c>
      <c r="P272" s="16">
        <f t="shared" si="14"/>
        <v>5.7</v>
      </c>
      <c r="Q272" s="2">
        <v>5.7</v>
      </c>
      <c r="R272" s="2">
        <v>0</v>
      </c>
      <c r="S272" s="2">
        <v>0</v>
      </c>
      <c r="T272" t="s">
        <v>431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</row>
    <row r="273" spans="1:53" s="6" customFormat="1" x14ac:dyDescent="0.25">
      <c r="A273">
        <v>2030085146</v>
      </c>
      <c r="B273" t="s">
        <v>217</v>
      </c>
      <c r="C273" t="s">
        <v>218</v>
      </c>
      <c r="D273" s="6" t="str">
        <f t="shared" si="12"/>
        <v>GARRARD NOREEN</v>
      </c>
      <c r="E273" t="s">
        <v>439</v>
      </c>
      <c r="F273">
        <v>8977234</v>
      </c>
      <c r="G273" t="s">
        <v>1078</v>
      </c>
      <c r="H273" t="s">
        <v>56</v>
      </c>
      <c r="I273" s="1">
        <v>45861</v>
      </c>
      <c r="J273" s="1">
        <v>45953</v>
      </c>
      <c r="K273" s="2">
        <v>7.09</v>
      </c>
      <c r="L273">
        <f t="shared" si="13"/>
        <v>3</v>
      </c>
      <c r="M273" t="s">
        <v>59</v>
      </c>
      <c r="N273" t="s">
        <v>1148</v>
      </c>
      <c r="O273" s="4">
        <v>0.38</v>
      </c>
      <c r="P273" s="16">
        <f t="shared" si="14"/>
        <v>2.6941999999999999</v>
      </c>
      <c r="Q273" s="2">
        <v>2.69</v>
      </c>
      <c r="R273" s="2">
        <v>0</v>
      </c>
      <c r="S273" s="2">
        <v>0</v>
      </c>
      <c r="T273" t="s">
        <v>431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</row>
    <row r="274" spans="1:53" s="6" customFormat="1" x14ac:dyDescent="0.25">
      <c r="A274">
        <v>2029021816</v>
      </c>
      <c r="B274" t="s">
        <v>267</v>
      </c>
      <c r="C274" t="s">
        <v>268</v>
      </c>
      <c r="D274" s="6" t="str">
        <f t="shared" si="12"/>
        <v>RACHELLE DALY</v>
      </c>
      <c r="E274" t="s">
        <v>249</v>
      </c>
      <c r="F274">
        <v>17425766</v>
      </c>
      <c r="G274" t="s">
        <v>1097</v>
      </c>
      <c r="H274" t="s">
        <v>56</v>
      </c>
      <c r="I274" s="1">
        <v>45797</v>
      </c>
      <c r="J274" s="1">
        <v>45950</v>
      </c>
      <c r="K274" s="2">
        <v>15</v>
      </c>
      <c r="L274">
        <f t="shared" si="13"/>
        <v>5</v>
      </c>
      <c r="M274" t="s">
        <v>59</v>
      </c>
      <c r="N274" t="s">
        <v>1148</v>
      </c>
      <c r="O274" s="4">
        <v>0.38</v>
      </c>
      <c r="P274" s="16">
        <f t="shared" si="14"/>
        <v>5.7</v>
      </c>
      <c r="Q274" s="2">
        <v>5.7</v>
      </c>
      <c r="R274" s="2">
        <v>0</v>
      </c>
      <c r="S274" s="2">
        <v>0</v>
      </c>
      <c r="T274" t="s">
        <v>431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</row>
    <row r="275" spans="1:53" s="6" customFormat="1" x14ac:dyDescent="0.25">
      <c r="A275">
        <v>2029021814</v>
      </c>
      <c r="B275" t="s">
        <v>267</v>
      </c>
      <c r="C275" t="s">
        <v>268</v>
      </c>
      <c r="D275" s="6" t="str">
        <f t="shared" si="12"/>
        <v>RACHELLE DALY</v>
      </c>
      <c r="E275" t="s">
        <v>431</v>
      </c>
      <c r="F275">
        <v>17425766</v>
      </c>
      <c r="G275" t="s">
        <v>1097</v>
      </c>
      <c r="H275" t="s">
        <v>56</v>
      </c>
      <c r="I275" s="1">
        <v>45797</v>
      </c>
      <c r="J275" s="1">
        <v>45950</v>
      </c>
      <c r="K275" s="2">
        <v>20.76</v>
      </c>
      <c r="L275">
        <f t="shared" si="13"/>
        <v>5</v>
      </c>
      <c r="M275" t="s">
        <v>59</v>
      </c>
      <c r="N275" t="s">
        <v>1148</v>
      </c>
      <c r="O275" s="4">
        <v>0.38</v>
      </c>
      <c r="P275" s="16">
        <f t="shared" si="14"/>
        <v>7.8888000000000007</v>
      </c>
      <c r="Q275" s="2">
        <v>7.89</v>
      </c>
      <c r="R275" s="2">
        <v>0</v>
      </c>
      <c r="S275" s="2">
        <v>0</v>
      </c>
      <c r="T275" t="s">
        <v>431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</row>
    <row r="276" spans="1:53" s="6" customFormat="1" x14ac:dyDescent="0.25">
      <c r="A276">
        <v>2029038484</v>
      </c>
      <c r="B276" t="s">
        <v>186</v>
      </c>
      <c r="C276" t="s">
        <v>187</v>
      </c>
      <c r="D276" s="6" t="str">
        <f t="shared" si="12"/>
        <v>SEAN HANAFI</v>
      </c>
      <c r="E276" t="s">
        <v>439</v>
      </c>
      <c r="F276">
        <v>8977234</v>
      </c>
      <c r="G276" t="s">
        <v>1078</v>
      </c>
      <c r="H276" t="s">
        <v>56</v>
      </c>
      <c r="I276" s="1">
        <v>45798</v>
      </c>
      <c r="J276" s="1">
        <v>45951</v>
      </c>
      <c r="K276" s="2">
        <v>7.09</v>
      </c>
      <c r="L276">
        <f t="shared" si="13"/>
        <v>5</v>
      </c>
      <c r="M276" t="s">
        <v>59</v>
      </c>
      <c r="N276" t="s">
        <v>1148</v>
      </c>
      <c r="O276" s="4">
        <v>0.38</v>
      </c>
      <c r="P276" s="16">
        <f t="shared" si="14"/>
        <v>2.6941999999999999</v>
      </c>
      <c r="Q276" s="2">
        <v>2.69</v>
      </c>
      <c r="R276" s="2">
        <v>0</v>
      </c>
      <c r="S276" s="2">
        <v>0</v>
      </c>
      <c r="T276" t="s">
        <v>431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</row>
    <row r="277" spans="1:53" s="6" customFormat="1" x14ac:dyDescent="0.25">
      <c r="A277">
        <v>2028565358</v>
      </c>
      <c r="B277" t="s">
        <v>317</v>
      </c>
      <c r="C277" t="s">
        <v>778</v>
      </c>
      <c r="D277" s="6" t="str">
        <f t="shared" si="12"/>
        <v>GALEN KELLY</v>
      </c>
      <c r="E277" t="s">
        <v>249</v>
      </c>
      <c r="F277">
        <v>17425766</v>
      </c>
      <c r="G277" t="s">
        <v>1097</v>
      </c>
      <c r="H277" t="s">
        <v>56</v>
      </c>
      <c r="I277" s="1">
        <v>45777</v>
      </c>
      <c r="J277" s="1">
        <v>45930</v>
      </c>
      <c r="K277" s="2">
        <v>15</v>
      </c>
      <c r="L277">
        <f t="shared" si="13"/>
        <v>5</v>
      </c>
      <c r="M277" t="s">
        <v>59</v>
      </c>
      <c r="N277" t="s">
        <v>1148</v>
      </c>
      <c r="O277" s="4">
        <v>0.38</v>
      </c>
      <c r="P277" s="16">
        <f t="shared" si="14"/>
        <v>5.7</v>
      </c>
      <c r="Q277" s="2">
        <v>0</v>
      </c>
      <c r="R277" s="2">
        <v>5.7</v>
      </c>
      <c r="S277" s="2">
        <v>5.7</v>
      </c>
      <c r="T277" t="s">
        <v>431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</row>
    <row r="278" spans="1:53" s="6" customFormat="1" x14ac:dyDescent="0.25">
      <c r="A278">
        <v>2028565356</v>
      </c>
      <c r="B278" t="s">
        <v>317</v>
      </c>
      <c r="C278" t="s">
        <v>778</v>
      </c>
      <c r="D278" s="6" t="str">
        <f t="shared" si="12"/>
        <v>GALEN KELLY</v>
      </c>
      <c r="E278" t="s">
        <v>431</v>
      </c>
      <c r="F278">
        <v>17425766</v>
      </c>
      <c r="G278" t="s">
        <v>1097</v>
      </c>
      <c r="H278" t="s">
        <v>56</v>
      </c>
      <c r="I278" s="1">
        <v>45777</v>
      </c>
      <c r="J278" s="1">
        <v>45930</v>
      </c>
      <c r="K278" s="2">
        <v>39.340000000000003</v>
      </c>
      <c r="L278">
        <f t="shared" si="13"/>
        <v>5</v>
      </c>
      <c r="M278" t="s">
        <v>59</v>
      </c>
      <c r="N278" t="s">
        <v>1148</v>
      </c>
      <c r="O278" s="4">
        <v>0.38</v>
      </c>
      <c r="P278" s="16">
        <f t="shared" si="14"/>
        <v>14.949200000000001</v>
      </c>
      <c r="Q278" s="2">
        <v>0</v>
      </c>
      <c r="R278" s="2">
        <v>14.95</v>
      </c>
      <c r="S278" s="2">
        <v>14.95</v>
      </c>
      <c r="T278" t="s">
        <v>431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</row>
    <row r="279" spans="1:53" s="6" customFormat="1" x14ac:dyDescent="0.25">
      <c r="A279">
        <v>2028539830</v>
      </c>
      <c r="B279" t="s">
        <v>264</v>
      </c>
      <c r="C279" t="s">
        <v>265</v>
      </c>
      <c r="D279" s="6" t="str">
        <f t="shared" si="12"/>
        <v>MICHELE OBRIEN</v>
      </c>
      <c r="E279" t="s">
        <v>249</v>
      </c>
      <c r="F279">
        <v>8977234</v>
      </c>
      <c r="G279" t="s">
        <v>1078</v>
      </c>
      <c r="H279" t="s">
        <v>56</v>
      </c>
      <c r="I279" s="1">
        <v>45778</v>
      </c>
      <c r="J279" s="1">
        <v>45931</v>
      </c>
      <c r="K279" s="2">
        <v>-110</v>
      </c>
      <c r="L279">
        <f t="shared" si="13"/>
        <v>5</v>
      </c>
      <c r="M279" t="s">
        <v>59</v>
      </c>
      <c r="N279" t="s">
        <v>1148</v>
      </c>
      <c r="O279" s="4">
        <v>0.38</v>
      </c>
      <c r="P279" s="16">
        <f t="shared" si="14"/>
        <v>-41.8</v>
      </c>
      <c r="Q279" s="2">
        <v>0</v>
      </c>
      <c r="R279" s="2">
        <v>-41.8</v>
      </c>
      <c r="S279" s="2">
        <v>-41.8</v>
      </c>
      <c r="T279" t="s">
        <v>431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</row>
    <row r="280" spans="1:53" s="6" customFormat="1" x14ac:dyDescent="0.25">
      <c r="A280">
        <v>2027642347</v>
      </c>
      <c r="B280" t="s">
        <v>162</v>
      </c>
      <c r="C280" t="s">
        <v>163</v>
      </c>
      <c r="D280" s="6" t="str">
        <f t="shared" si="12"/>
        <v>JORDAN PERSON</v>
      </c>
      <c r="E280" t="s">
        <v>431</v>
      </c>
      <c r="F280">
        <v>8307933</v>
      </c>
      <c r="G280" t="s">
        <v>1098</v>
      </c>
      <c r="H280" t="s">
        <v>56</v>
      </c>
      <c r="I280" s="1">
        <v>45754</v>
      </c>
      <c r="J280" s="1">
        <v>45937</v>
      </c>
      <c r="K280" s="2">
        <v>21.53</v>
      </c>
      <c r="L280">
        <f t="shared" si="13"/>
        <v>6</v>
      </c>
      <c r="M280" t="s">
        <v>59</v>
      </c>
      <c r="N280" t="s">
        <v>1148</v>
      </c>
      <c r="O280" s="4">
        <v>0.38</v>
      </c>
      <c r="P280" s="16">
        <f t="shared" si="14"/>
        <v>8.1814</v>
      </c>
      <c r="Q280" s="2">
        <v>0</v>
      </c>
      <c r="R280" s="2">
        <v>8.18</v>
      </c>
      <c r="S280" s="2">
        <v>8.18</v>
      </c>
      <c r="T280" t="s">
        <v>431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</row>
    <row r="281" spans="1:53" s="6" customFormat="1" x14ac:dyDescent="0.25">
      <c r="A281">
        <v>2028488143</v>
      </c>
      <c r="B281" t="s">
        <v>780</v>
      </c>
      <c r="C281" t="s">
        <v>779</v>
      </c>
      <c r="D281" s="6" t="str">
        <f t="shared" si="12"/>
        <v>CHELSEA REITENBACH</v>
      </c>
      <c r="E281" t="s">
        <v>431</v>
      </c>
      <c r="F281">
        <v>18781057</v>
      </c>
      <c r="G281" t="s">
        <v>1089</v>
      </c>
      <c r="H281" t="s">
        <v>56</v>
      </c>
      <c r="I281" s="1">
        <v>45766</v>
      </c>
      <c r="J281" s="1">
        <v>45949</v>
      </c>
      <c r="K281" s="2">
        <v>89.62</v>
      </c>
      <c r="L281">
        <f t="shared" si="13"/>
        <v>6</v>
      </c>
      <c r="M281" t="s">
        <v>59</v>
      </c>
      <c r="N281" t="s">
        <v>1148</v>
      </c>
      <c r="O281" s="4">
        <v>0.38</v>
      </c>
      <c r="P281" s="16">
        <f t="shared" si="14"/>
        <v>34.055600000000005</v>
      </c>
      <c r="Q281" s="2">
        <v>0</v>
      </c>
      <c r="R281" s="2">
        <v>34.06</v>
      </c>
      <c r="S281" s="2">
        <v>34.06</v>
      </c>
      <c r="T281" t="s">
        <v>431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</row>
    <row r="282" spans="1:53" s="6" customFormat="1" x14ac:dyDescent="0.25">
      <c r="A282">
        <v>2027854738</v>
      </c>
      <c r="B282" t="s">
        <v>782</v>
      </c>
      <c r="C282" t="s">
        <v>781</v>
      </c>
      <c r="D282" s="6" t="str">
        <f t="shared" si="12"/>
        <v>TERESA COUSINEAU-VESELICA</v>
      </c>
      <c r="E282" t="s">
        <v>438</v>
      </c>
      <c r="F282">
        <v>8977234</v>
      </c>
      <c r="G282" t="s">
        <v>1078</v>
      </c>
      <c r="H282" t="s">
        <v>56</v>
      </c>
      <c r="I282" s="1">
        <v>45734</v>
      </c>
      <c r="J282" s="1">
        <v>45948</v>
      </c>
      <c r="K282" s="2">
        <v>217.56</v>
      </c>
      <c r="L282">
        <f t="shared" si="13"/>
        <v>7</v>
      </c>
      <c r="M282" t="s">
        <v>59</v>
      </c>
      <c r="N282" t="s">
        <v>1148</v>
      </c>
      <c r="O282" s="4">
        <v>0.38</v>
      </c>
      <c r="P282" s="16">
        <f t="shared" si="14"/>
        <v>82.672799999999995</v>
      </c>
      <c r="Q282" s="2">
        <v>0</v>
      </c>
      <c r="R282" s="2">
        <v>82.67</v>
      </c>
      <c r="S282" s="2">
        <v>82.67</v>
      </c>
      <c r="T282" t="s">
        <v>431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</row>
    <row r="283" spans="1:53" s="6" customFormat="1" x14ac:dyDescent="0.25">
      <c r="A283">
        <v>2027849976</v>
      </c>
      <c r="B283" t="s">
        <v>783</v>
      </c>
      <c r="C283" t="s">
        <v>65</v>
      </c>
      <c r="D283" s="6" t="str">
        <f t="shared" si="12"/>
        <v>CHAD DIXON</v>
      </c>
      <c r="E283" t="s">
        <v>249</v>
      </c>
      <c r="F283">
        <v>17425766</v>
      </c>
      <c r="G283" t="s">
        <v>1097</v>
      </c>
      <c r="H283" t="s">
        <v>56</v>
      </c>
      <c r="I283" s="1">
        <v>45733</v>
      </c>
      <c r="J283" s="1">
        <v>45947</v>
      </c>
      <c r="K283" s="2">
        <v>15</v>
      </c>
      <c r="L283">
        <f t="shared" si="13"/>
        <v>7</v>
      </c>
      <c r="M283" t="s">
        <v>59</v>
      </c>
      <c r="N283" t="s">
        <v>1148</v>
      </c>
      <c r="O283" s="4">
        <v>0.38</v>
      </c>
      <c r="P283" s="16">
        <f t="shared" si="14"/>
        <v>5.7</v>
      </c>
      <c r="Q283" s="2">
        <v>0</v>
      </c>
      <c r="R283" s="2">
        <v>5.7</v>
      </c>
      <c r="S283" s="2">
        <v>5.7</v>
      </c>
      <c r="T283" t="s">
        <v>431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</row>
    <row r="284" spans="1:53" s="6" customFormat="1" x14ac:dyDescent="0.25">
      <c r="A284">
        <v>2027849973</v>
      </c>
      <c r="B284" t="s">
        <v>783</v>
      </c>
      <c r="C284" t="s">
        <v>65</v>
      </c>
      <c r="D284" s="6" t="str">
        <f t="shared" si="12"/>
        <v>CHAD DIXON</v>
      </c>
      <c r="E284" t="s">
        <v>431</v>
      </c>
      <c r="F284">
        <v>17425766</v>
      </c>
      <c r="G284" t="s">
        <v>1097</v>
      </c>
      <c r="H284" t="s">
        <v>56</v>
      </c>
      <c r="I284" s="1">
        <v>45733</v>
      </c>
      <c r="J284" s="1">
        <v>45947</v>
      </c>
      <c r="K284" s="2">
        <v>48.95</v>
      </c>
      <c r="L284">
        <f t="shared" si="13"/>
        <v>7</v>
      </c>
      <c r="M284" t="s">
        <v>59</v>
      </c>
      <c r="N284" t="s">
        <v>1148</v>
      </c>
      <c r="O284" s="4">
        <v>0.38</v>
      </c>
      <c r="P284" s="16">
        <f t="shared" si="14"/>
        <v>18.601000000000003</v>
      </c>
      <c r="Q284" s="2">
        <v>0</v>
      </c>
      <c r="R284" s="2">
        <v>18.600000000000001</v>
      </c>
      <c r="S284" s="2">
        <v>18.600000000000001</v>
      </c>
      <c r="T284" t="s">
        <v>431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</row>
    <row r="285" spans="1:53" s="6" customFormat="1" x14ac:dyDescent="0.25">
      <c r="A285">
        <v>2026146812</v>
      </c>
      <c r="B285" t="s">
        <v>253</v>
      </c>
      <c r="C285" t="s">
        <v>254</v>
      </c>
      <c r="D285" s="6" t="str">
        <f t="shared" si="12"/>
        <v>ERIKA CARDONA-TIBURCIO</v>
      </c>
      <c r="E285" t="s">
        <v>249</v>
      </c>
      <c r="F285">
        <v>17425766</v>
      </c>
      <c r="G285" t="s">
        <v>1097</v>
      </c>
      <c r="H285" t="s">
        <v>56</v>
      </c>
      <c r="I285" s="1">
        <v>45658</v>
      </c>
      <c r="J285" s="1">
        <v>45931</v>
      </c>
      <c r="K285" s="2">
        <v>15</v>
      </c>
      <c r="L285">
        <f t="shared" si="13"/>
        <v>9</v>
      </c>
      <c r="M285" t="s">
        <v>59</v>
      </c>
      <c r="N285" t="s">
        <v>1148</v>
      </c>
      <c r="O285" s="4">
        <v>0.38</v>
      </c>
      <c r="P285" s="16">
        <f t="shared" si="14"/>
        <v>5.7</v>
      </c>
      <c r="Q285" s="2">
        <v>0</v>
      </c>
      <c r="R285" s="2">
        <v>5.7</v>
      </c>
      <c r="S285" s="2">
        <v>5.7</v>
      </c>
      <c r="T285" t="s">
        <v>431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</row>
    <row r="286" spans="1:53" s="6" customFormat="1" x14ac:dyDescent="0.25">
      <c r="A286">
        <v>2026146811</v>
      </c>
      <c r="B286" t="s">
        <v>253</v>
      </c>
      <c r="C286" t="s">
        <v>254</v>
      </c>
      <c r="D286" s="6" t="str">
        <f t="shared" si="12"/>
        <v>ERIKA CARDONA-TIBURCIO</v>
      </c>
      <c r="E286" t="s">
        <v>431</v>
      </c>
      <c r="F286">
        <v>17425766</v>
      </c>
      <c r="G286" t="s">
        <v>1097</v>
      </c>
      <c r="H286" t="s">
        <v>56</v>
      </c>
      <c r="I286" s="1">
        <v>45658</v>
      </c>
      <c r="J286" s="1">
        <v>45931</v>
      </c>
      <c r="K286" s="2">
        <v>35.35</v>
      </c>
      <c r="L286">
        <f t="shared" si="13"/>
        <v>9</v>
      </c>
      <c r="M286" t="s">
        <v>59</v>
      </c>
      <c r="N286" t="s">
        <v>1148</v>
      </c>
      <c r="O286" s="4">
        <v>0.38</v>
      </c>
      <c r="P286" s="16">
        <f t="shared" si="14"/>
        <v>13.433</v>
      </c>
      <c r="Q286" s="2">
        <v>0</v>
      </c>
      <c r="R286" s="2">
        <v>13.43</v>
      </c>
      <c r="S286" s="2">
        <v>13.43</v>
      </c>
      <c r="T286" t="s">
        <v>431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</row>
    <row r="287" spans="1:53" s="6" customFormat="1" x14ac:dyDescent="0.25">
      <c r="A287">
        <v>2026603377</v>
      </c>
      <c r="B287" t="s">
        <v>433</v>
      </c>
      <c r="C287" t="s">
        <v>434</v>
      </c>
      <c r="D287" s="6" t="str">
        <f t="shared" si="12"/>
        <v>VALERIE COAD-THOMAS</v>
      </c>
      <c r="E287" t="s">
        <v>431</v>
      </c>
      <c r="F287">
        <v>18781057</v>
      </c>
      <c r="G287" t="s">
        <v>1089</v>
      </c>
      <c r="H287" t="s">
        <v>56</v>
      </c>
      <c r="I287" s="1">
        <v>45673</v>
      </c>
      <c r="J287" s="1">
        <v>45946</v>
      </c>
      <c r="K287" s="2">
        <v>55.16</v>
      </c>
      <c r="L287">
        <f t="shared" si="13"/>
        <v>9</v>
      </c>
      <c r="M287" t="s">
        <v>59</v>
      </c>
      <c r="N287" t="s">
        <v>1148</v>
      </c>
      <c r="O287" s="4">
        <v>0.38</v>
      </c>
      <c r="P287" s="16">
        <f t="shared" si="14"/>
        <v>20.960799999999999</v>
      </c>
      <c r="Q287" s="2">
        <v>0</v>
      </c>
      <c r="R287" s="2">
        <v>20.96</v>
      </c>
      <c r="S287" s="2">
        <v>20.96</v>
      </c>
      <c r="T287" t="s">
        <v>431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</row>
    <row r="288" spans="1:53" s="6" customFormat="1" x14ac:dyDescent="0.25">
      <c r="A288">
        <v>2026740150</v>
      </c>
      <c r="B288" t="s">
        <v>71</v>
      </c>
      <c r="C288" t="s">
        <v>72</v>
      </c>
      <c r="D288" s="6" t="str">
        <f t="shared" si="12"/>
        <v>CATHERINE MURRAY</v>
      </c>
      <c r="E288" t="s">
        <v>431</v>
      </c>
      <c r="F288">
        <v>17425766</v>
      </c>
      <c r="G288" t="s">
        <v>1097</v>
      </c>
      <c r="H288" t="s">
        <v>56</v>
      </c>
      <c r="I288" s="1">
        <v>45681</v>
      </c>
      <c r="J288" s="1">
        <v>45954</v>
      </c>
      <c r="K288" s="2">
        <v>53.16</v>
      </c>
      <c r="L288">
        <f t="shared" si="13"/>
        <v>9</v>
      </c>
      <c r="M288" t="s">
        <v>59</v>
      </c>
      <c r="N288" t="s">
        <v>1148</v>
      </c>
      <c r="O288" s="4">
        <v>0.38</v>
      </c>
      <c r="P288" s="16">
        <f t="shared" si="14"/>
        <v>20.200799999999997</v>
      </c>
      <c r="Q288" s="2">
        <v>0</v>
      </c>
      <c r="R288" s="2">
        <v>20.2</v>
      </c>
      <c r="S288" s="2">
        <v>20.2</v>
      </c>
      <c r="T288" t="s">
        <v>431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</row>
    <row r="289" spans="1:53" s="6" customFormat="1" x14ac:dyDescent="0.25">
      <c r="A289">
        <v>2026603199</v>
      </c>
      <c r="B289" t="s">
        <v>785</v>
      </c>
      <c r="C289" t="s">
        <v>784</v>
      </c>
      <c r="D289" s="6" t="str">
        <f t="shared" si="12"/>
        <v>GEOFFREY PETTINE</v>
      </c>
      <c r="E289" t="s">
        <v>431</v>
      </c>
      <c r="F289">
        <v>18781057</v>
      </c>
      <c r="G289" t="s">
        <v>1089</v>
      </c>
      <c r="H289" t="s">
        <v>56</v>
      </c>
      <c r="I289" s="1">
        <v>45673</v>
      </c>
      <c r="J289" s="1">
        <v>45946</v>
      </c>
      <c r="K289" s="2">
        <v>33.51</v>
      </c>
      <c r="L289">
        <f t="shared" si="13"/>
        <v>9</v>
      </c>
      <c r="M289" t="s">
        <v>59</v>
      </c>
      <c r="N289" t="s">
        <v>1148</v>
      </c>
      <c r="O289" s="4">
        <v>0.38</v>
      </c>
      <c r="P289" s="16">
        <f t="shared" si="14"/>
        <v>12.733799999999999</v>
      </c>
      <c r="Q289" s="2">
        <v>0</v>
      </c>
      <c r="R289" s="2">
        <v>12.73</v>
      </c>
      <c r="S289" s="2">
        <v>12.73</v>
      </c>
      <c r="T289" t="s">
        <v>431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</row>
    <row r="290" spans="1:53" s="6" customFormat="1" x14ac:dyDescent="0.25">
      <c r="A290">
        <v>2026586623</v>
      </c>
      <c r="B290" t="s">
        <v>786</v>
      </c>
      <c r="C290" t="s">
        <v>337</v>
      </c>
      <c r="D290" s="6" t="str">
        <f t="shared" si="12"/>
        <v>ALEXANDRA STOCKTON</v>
      </c>
      <c r="E290" t="s">
        <v>249</v>
      </c>
      <c r="F290">
        <v>19279958</v>
      </c>
      <c r="G290" t="s">
        <v>1100</v>
      </c>
      <c r="H290" t="s">
        <v>56</v>
      </c>
      <c r="I290" s="1">
        <v>45672</v>
      </c>
      <c r="J290" s="1">
        <v>45945</v>
      </c>
      <c r="K290" s="2">
        <v>15</v>
      </c>
      <c r="L290">
        <f t="shared" si="13"/>
        <v>9</v>
      </c>
      <c r="M290" t="s">
        <v>59</v>
      </c>
      <c r="N290" t="s">
        <v>1148</v>
      </c>
      <c r="O290" s="4">
        <v>0.38</v>
      </c>
      <c r="P290" s="16">
        <f t="shared" si="14"/>
        <v>5.7</v>
      </c>
      <c r="Q290" s="2">
        <v>0</v>
      </c>
      <c r="R290" s="2">
        <v>5.7</v>
      </c>
      <c r="S290" s="2">
        <v>5.7</v>
      </c>
      <c r="T290" t="s">
        <v>431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</row>
    <row r="291" spans="1:53" s="6" customFormat="1" x14ac:dyDescent="0.25">
      <c r="A291">
        <v>2026586622</v>
      </c>
      <c r="B291" t="s">
        <v>786</v>
      </c>
      <c r="C291" t="s">
        <v>337</v>
      </c>
      <c r="D291" s="6" t="str">
        <f t="shared" si="12"/>
        <v>ALEXANDRA STOCKTON</v>
      </c>
      <c r="E291" t="s">
        <v>431</v>
      </c>
      <c r="F291">
        <v>19279958</v>
      </c>
      <c r="G291" t="s">
        <v>1100</v>
      </c>
      <c r="H291" t="s">
        <v>56</v>
      </c>
      <c r="I291" s="1">
        <v>45672</v>
      </c>
      <c r="J291" s="1">
        <v>45945</v>
      </c>
      <c r="K291" s="2">
        <v>13.38</v>
      </c>
      <c r="L291">
        <f t="shared" si="13"/>
        <v>9</v>
      </c>
      <c r="M291" t="s">
        <v>59</v>
      </c>
      <c r="N291" t="s">
        <v>1148</v>
      </c>
      <c r="O291" s="4">
        <v>0.38</v>
      </c>
      <c r="P291" s="16">
        <f t="shared" si="14"/>
        <v>5.0844000000000005</v>
      </c>
      <c r="Q291" s="2">
        <v>0</v>
      </c>
      <c r="R291" s="2">
        <v>5.08</v>
      </c>
      <c r="S291" s="2">
        <v>5.08</v>
      </c>
      <c r="T291" t="s">
        <v>431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</row>
    <row r="292" spans="1:53" s="6" customFormat="1" x14ac:dyDescent="0.25">
      <c r="A292">
        <v>2026213329</v>
      </c>
      <c r="B292" t="s">
        <v>788</v>
      </c>
      <c r="C292" t="s">
        <v>787</v>
      </c>
      <c r="D292" s="6" t="str">
        <f t="shared" si="12"/>
        <v>HOWARD BELL</v>
      </c>
      <c r="E292" t="s">
        <v>249</v>
      </c>
      <c r="F292">
        <v>19279958</v>
      </c>
      <c r="G292" t="s">
        <v>1100</v>
      </c>
      <c r="H292" t="s">
        <v>56</v>
      </c>
      <c r="I292" s="1">
        <v>45644</v>
      </c>
      <c r="J292" s="1">
        <v>45948</v>
      </c>
      <c r="K292" s="2">
        <v>15</v>
      </c>
      <c r="L292">
        <f t="shared" si="13"/>
        <v>10</v>
      </c>
      <c r="M292" t="s">
        <v>59</v>
      </c>
      <c r="N292" t="s">
        <v>1148</v>
      </c>
      <c r="O292" s="4">
        <v>0.38</v>
      </c>
      <c r="P292" s="16">
        <f t="shared" si="14"/>
        <v>5.7</v>
      </c>
      <c r="Q292" s="2">
        <v>0</v>
      </c>
      <c r="R292" s="2">
        <v>5.7</v>
      </c>
      <c r="S292" s="2">
        <v>5.7</v>
      </c>
      <c r="T292" t="s">
        <v>431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</row>
    <row r="293" spans="1:53" s="6" customFormat="1" x14ac:dyDescent="0.25">
      <c r="A293">
        <v>2026213327</v>
      </c>
      <c r="B293" t="s">
        <v>788</v>
      </c>
      <c r="C293" t="s">
        <v>787</v>
      </c>
      <c r="D293" s="6" t="str">
        <f t="shared" si="12"/>
        <v>HOWARD BELL</v>
      </c>
      <c r="E293" t="s">
        <v>431</v>
      </c>
      <c r="F293">
        <v>19279958</v>
      </c>
      <c r="G293" t="s">
        <v>1100</v>
      </c>
      <c r="H293" t="s">
        <v>56</v>
      </c>
      <c r="I293" s="1">
        <v>45644</v>
      </c>
      <c r="J293" s="1">
        <v>45948</v>
      </c>
      <c r="K293" s="2">
        <v>44.13</v>
      </c>
      <c r="L293">
        <f t="shared" si="13"/>
        <v>10</v>
      </c>
      <c r="M293" t="s">
        <v>59</v>
      </c>
      <c r="N293" t="s">
        <v>1148</v>
      </c>
      <c r="O293" s="4">
        <v>0.38</v>
      </c>
      <c r="P293" s="16">
        <f t="shared" si="14"/>
        <v>16.769400000000001</v>
      </c>
      <c r="Q293" s="2">
        <v>0</v>
      </c>
      <c r="R293" s="2">
        <v>16.77</v>
      </c>
      <c r="S293" s="2">
        <v>16.77</v>
      </c>
      <c r="T293" t="s">
        <v>431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</row>
    <row r="294" spans="1:53" s="6" customFormat="1" x14ac:dyDescent="0.25">
      <c r="A294">
        <v>2026265886</v>
      </c>
      <c r="B294" t="s">
        <v>154</v>
      </c>
      <c r="C294" t="s">
        <v>256</v>
      </c>
      <c r="D294" s="6" t="str">
        <f t="shared" si="12"/>
        <v>ALEX JOHNSON</v>
      </c>
      <c r="E294" t="s">
        <v>249</v>
      </c>
      <c r="F294">
        <v>19279958</v>
      </c>
      <c r="G294" t="s">
        <v>1100</v>
      </c>
      <c r="H294" t="s">
        <v>56</v>
      </c>
      <c r="I294" s="1">
        <v>45647</v>
      </c>
      <c r="J294" s="1">
        <v>45951</v>
      </c>
      <c r="K294" s="2">
        <v>15</v>
      </c>
      <c r="L294">
        <f t="shared" si="13"/>
        <v>10</v>
      </c>
      <c r="M294" t="s">
        <v>59</v>
      </c>
      <c r="N294" t="s">
        <v>1148</v>
      </c>
      <c r="O294" s="4">
        <v>0.38</v>
      </c>
      <c r="P294" s="16">
        <f t="shared" si="14"/>
        <v>5.7</v>
      </c>
      <c r="Q294" s="2">
        <v>0</v>
      </c>
      <c r="R294" s="2">
        <v>5.7</v>
      </c>
      <c r="S294" s="2">
        <v>5.7</v>
      </c>
      <c r="T294" t="s">
        <v>431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</row>
    <row r="295" spans="1:53" s="6" customFormat="1" x14ac:dyDescent="0.25">
      <c r="A295">
        <v>2026265884</v>
      </c>
      <c r="B295" t="s">
        <v>154</v>
      </c>
      <c r="C295" t="s">
        <v>256</v>
      </c>
      <c r="D295" s="6" t="str">
        <f t="shared" si="12"/>
        <v>ALEX JOHNSON</v>
      </c>
      <c r="E295" t="s">
        <v>431</v>
      </c>
      <c r="F295">
        <v>19279958</v>
      </c>
      <c r="G295" t="s">
        <v>1100</v>
      </c>
      <c r="H295" t="s">
        <v>56</v>
      </c>
      <c r="I295" s="1">
        <v>45647</v>
      </c>
      <c r="J295" s="1">
        <v>45951</v>
      </c>
      <c r="K295" s="2">
        <v>18.579999999999998</v>
      </c>
      <c r="L295">
        <f t="shared" si="13"/>
        <v>10</v>
      </c>
      <c r="M295" t="s">
        <v>59</v>
      </c>
      <c r="N295" t="s">
        <v>1148</v>
      </c>
      <c r="O295" s="4">
        <v>0.38</v>
      </c>
      <c r="P295" s="16">
        <f t="shared" si="14"/>
        <v>7.0603999999999996</v>
      </c>
      <c r="Q295" s="2">
        <v>0</v>
      </c>
      <c r="R295" s="2">
        <v>7.06</v>
      </c>
      <c r="S295" s="2">
        <v>7.06</v>
      </c>
      <c r="T295" t="s">
        <v>431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</row>
    <row r="296" spans="1:53" s="6" customFormat="1" x14ac:dyDescent="0.25">
      <c r="A296">
        <v>2025756062</v>
      </c>
      <c r="B296" t="s">
        <v>797</v>
      </c>
      <c r="C296" t="s">
        <v>796</v>
      </c>
      <c r="D296" s="6" t="str">
        <f t="shared" si="12"/>
        <v>KEVIN CLOUSE</v>
      </c>
      <c r="E296" t="s">
        <v>431</v>
      </c>
      <c r="F296">
        <v>17425766</v>
      </c>
      <c r="G296" t="s">
        <v>1097</v>
      </c>
      <c r="H296" t="s">
        <v>56</v>
      </c>
      <c r="I296" s="1">
        <v>45610</v>
      </c>
      <c r="J296" s="1">
        <v>45944</v>
      </c>
      <c r="K296" s="2">
        <v>33.51</v>
      </c>
      <c r="L296">
        <f t="shared" si="13"/>
        <v>11</v>
      </c>
      <c r="M296" t="s">
        <v>59</v>
      </c>
      <c r="N296" t="s">
        <v>1148</v>
      </c>
      <c r="O296" s="4">
        <v>0.38</v>
      </c>
      <c r="P296" s="16">
        <f t="shared" si="14"/>
        <v>12.733799999999999</v>
      </c>
      <c r="Q296" s="2">
        <v>0</v>
      </c>
      <c r="R296" s="2">
        <v>12.73</v>
      </c>
      <c r="S296" s="2">
        <v>12.73</v>
      </c>
      <c r="T296" t="s">
        <v>431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</row>
    <row r="297" spans="1:53" s="6" customFormat="1" x14ac:dyDescent="0.25">
      <c r="A297">
        <v>2025729949</v>
      </c>
      <c r="B297" t="s">
        <v>799</v>
      </c>
      <c r="C297" t="s">
        <v>62</v>
      </c>
      <c r="D297" s="6" t="str">
        <f t="shared" si="12"/>
        <v>WILLIAM MARONSKI</v>
      </c>
      <c r="E297" t="s">
        <v>431</v>
      </c>
      <c r="F297">
        <v>17425766</v>
      </c>
      <c r="G297" t="s">
        <v>1097</v>
      </c>
      <c r="H297" t="s">
        <v>56</v>
      </c>
      <c r="I297" s="1">
        <v>45609</v>
      </c>
      <c r="J297" s="1">
        <v>45943</v>
      </c>
      <c r="K297" s="2">
        <v>53.16</v>
      </c>
      <c r="L297">
        <f t="shared" si="13"/>
        <v>11</v>
      </c>
      <c r="M297" t="s">
        <v>59</v>
      </c>
      <c r="N297" t="s">
        <v>1148</v>
      </c>
      <c r="O297" s="4">
        <v>0.38</v>
      </c>
      <c r="P297" s="16">
        <f t="shared" si="14"/>
        <v>20.200799999999997</v>
      </c>
      <c r="Q297" s="2">
        <v>0</v>
      </c>
      <c r="R297" s="2">
        <v>20.2</v>
      </c>
      <c r="S297" s="2">
        <v>20.2</v>
      </c>
      <c r="T297" t="s">
        <v>431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</row>
    <row r="298" spans="1:53" s="6" customFormat="1" x14ac:dyDescent="0.25">
      <c r="A298">
        <v>2025737165</v>
      </c>
      <c r="B298" t="s">
        <v>798</v>
      </c>
      <c r="C298" t="s">
        <v>339</v>
      </c>
      <c r="D298" s="6" t="str">
        <f t="shared" si="12"/>
        <v>STACEY STANLEY</v>
      </c>
      <c r="E298" t="s">
        <v>249</v>
      </c>
      <c r="F298">
        <v>17425766</v>
      </c>
      <c r="G298" t="s">
        <v>1097</v>
      </c>
      <c r="H298" t="s">
        <v>56</v>
      </c>
      <c r="I298" s="1">
        <v>45609</v>
      </c>
      <c r="J298" s="1">
        <v>45943</v>
      </c>
      <c r="K298" s="2">
        <v>15</v>
      </c>
      <c r="L298">
        <f t="shared" si="13"/>
        <v>11</v>
      </c>
      <c r="M298" t="s">
        <v>59</v>
      </c>
      <c r="N298" t="s">
        <v>1148</v>
      </c>
      <c r="O298" s="4">
        <v>0.38</v>
      </c>
      <c r="P298" s="16">
        <f t="shared" si="14"/>
        <v>5.7</v>
      </c>
      <c r="Q298" s="2">
        <v>0</v>
      </c>
      <c r="R298" s="2">
        <v>5.7</v>
      </c>
      <c r="S298" s="2">
        <v>5.7</v>
      </c>
      <c r="T298" t="s">
        <v>431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</row>
    <row r="299" spans="1:53" s="6" customFormat="1" x14ac:dyDescent="0.25">
      <c r="A299">
        <v>2025737164</v>
      </c>
      <c r="B299" t="s">
        <v>798</v>
      </c>
      <c r="C299" t="s">
        <v>339</v>
      </c>
      <c r="D299" s="6" t="str">
        <f t="shared" si="12"/>
        <v>STACEY STANLEY</v>
      </c>
      <c r="E299" t="s">
        <v>431</v>
      </c>
      <c r="F299">
        <v>17425766</v>
      </c>
      <c r="G299" t="s">
        <v>1097</v>
      </c>
      <c r="H299" t="s">
        <v>56</v>
      </c>
      <c r="I299" s="1">
        <v>45609</v>
      </c>
      <c r="J299" s="1">
        <v>45943</v>
      </c>
      <c r="K299" s="2">
        <v>26.7</v>
      </c>
      <c r="L299">
        <f t="shared" si="13"/>
        <v>11</v>
      </c>
      <c r="M299" t="s">
        <v>59</v>
      </c>
      <c r="N299" t="s">
        <v>1148</v>
      </c>
      <c r="O299" s="4">
        <v>0.38</v>
      </c>
      <c r="P299" s="16">
        <f t="shared" si="14"/>
        <v>10.145999999999999</v>
      </c>
      <c r="Q299" s="2">
        <v>0</v>
      </c>
      <c r="R299" s="2">
        <v>10.15</v>
      </c>
      <c r="S299" s="2">
        <v>10.15</v>
      </c>
      <c r="T299" t="s">
        <v>431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</row>
    <row r="300" spans="1:53" s="6" customFormat="1" x14ac:dyDescent="0.25">
      <c r="A300">
        <v>2025769234</v>
      </c>
      <c r="B300" t="s">
        <v>795</v>
      </c>
      <c r="C300" t="s">
        <v>794</v>
      </c>
      <c r="D300" s="6" t="str">
        <f t="shared" si="12"/>
        <v>JAYLA TERRY</v>
      </c>
      <c r="E300" t="s">
        <v>431</v>
      </c>
      <c r="F300">
        <v>17425766</v>
      </c>
      <c r="G300" t="s">
        <v>1097</v>
      </c>
      <c r="H300" t="s">
        <v>56</v>
      </c>
      <c r="I300" s="1">
        <v>45611</v>
      </c>
      <c r="J300" s="1">
        <v>45945</v>
      </c>
      <c r="K300" s="2">
        <v>27.15</v>
      </c>
      <c r="L300">
        <f t="shared" si="13"/>
        <v>11</v>
      </c>
      <c r="M300" t="s">
        <v>59</v>
      </c>
      <c r="N300" t="s">
        <v>1148</v>
      </c>
      <c r="O300" s="4">
        <v>0.38</v>
      </c>
      <c r="P300" s="16">
        <f t="shared" si="14"/>
        <v>10.317</v>
      </c>
      <c r="Q300" s="2">
        <v>0</v>
      </c>
      <c r="R300" s="2">
        <v>10.32</v>
      </c>
      <c r="S300" s="2">
        <v>10.32</v>
      </c>
      <c r="T300" t="s">
        <v>431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</row>
    <row r="301" spans="1:53" s="6" customFormat="1" x14ac:dyDescent="0.25">
      <c r="A301">
        <v>2024853076</v>
      </c>
      <c r="B301" t="s">
        <v>733</v>
      </c>
      <c r="C301" t="s">
        <v>732</v>
      </c>
      <c r="D301" s="6" t="str">
        <f t="shared" si="12"/>
        <v>BERNARDO CARVALHO</v>
      </c>
      <c r="E301" t="s">
        <v>249</v>
      </c>
      <c r="F301">
        <v>17425766</v>
      </c>
      <c r="G301" t="s">
        <v>1097</v>
      </c>
      <c r="H301" t="s">
        <v>56</v>
      </c>
      <c r="I301" s="1">
        <v>45550</v>
      </c>
      <c r="J301" s="1">
        <v>45945</v>
      </c>
      <c r="K301" s="2">
        <v>15</v>
      </c>
      <c r="L301">
        <f t="shared" si="13"/>
        <v>13</v>
      </c>
      <c r="M301" t="s">
        <v>59</v>
      </c>
      <c r="N301" t="s">
        <v>1148</v>
      </c>
      <c r="O301" s="4">
        <v>0.1</v>
      </c>
      <c r="P301" s="16">
        <f t="shared" si="14"/>
        <v>1.5</v>
      </c>
      <c r="Q301" s="2">
        <v>0</v>
      </c>
      <c r="R301" s="2">
        <v>1.5</v>
      </c>
      <c r="S301" s="2">
        <v>1.5</v>
      </c>
      <c r="T301" t="s">
        <v>431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</row>
    <row r="302" spans="1:53" s="6" customFormat="1" x14ac:dyDescent="0.25">
      <c r="A302">
        <v>2024853074</v>
      </c>
      <c r="B302" t="s">
        <v>733</v>
      </c>
      <c r="C302" t="s">
        <v>732</v>
      </c>
      <c r="D302" s="6" t="str">
        <f t="shared" si="12"/>
        <v>BERNARDO CARVALHO</v>
      </c>
      <c r="E302" t="s">
        <v>431</v>
      </c>
      <c r="F302">
        <v>17425766</v>
      </c>
      <c r="G302" t="s">
        <v>1097</v>
      </c>
      <c r="H302" t="s">
        <v>56</v>
      </c>
      <c r="I302" s="1">
        <v>45550</v>
      </c>
      <c r="J302" s="1">
        <v>45945</v>
      </c>
      <c r="K302" s="2">
        <v>35.06</v>
      </c>
      <c r="L302">
        <f t="shared" si="13"/>
        <v>13</v>
      </c>
      <c r="M302" t="s">
        <v>59</v>
      </c>
      <c r="N302" t="s">
        <v>1148</v>
      </c>
      <c r="O302" s="4">
        <v>0.1</v>
      </c>
      <c r="P302" s="16">
        <f t="shared" si="14"/>
        <v>3.5060000000000002</v>
      </c>
      <c r="Q302" s="2">
        <v>0</v>
      </c>
      <c r="R302" s="2">
        <v>3.51</v>
      </c>
      <c r="S302" s="2">
        <v>3.51</v>
      </c>
      <c r="T302" t="s">
        <v>431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</row>
    <row r="303" spans="1:53" s="6" customFormat="1" x14ac:dyDescent="0.25">
      <c r="A303">
        <v>2024737147</v>
      </c>
      <c r="B303" t="s">
        <v>802</v>
      </c>
      <c r="C303" t="s">
        <v>801</v>
      </c>
      <c r="D303" s="6" t="str">
        <f t="shared" si="12"/>
        <v>JACLYN SHACKELFORD</v>
      </c>
      <c r="E303" t="s">
        <v>431</v>
      </c>
      <c r="F303">
        <v>18781057</v>
      </c>
      <c r="G303" t="s">
        <v>1089</v>
      </c>
      <c r="H303" t="s">
        <v>56</v>
      </c>
      <c r="I303" s="1">
        <v>45541</v>
      </c>
      <c r="J303" s="1">
        <v>45936</v>
      </c>
      <c r="K303" s="2">
        <v>43.39</v>
      </c>
      <c r="L303">
        <f t="shared" si="13"/>
        <v>13</v>
      </c>
      <c r="M303" t="s">
        <v>59</v>
      </c>
      <c r="N303" t="s">
        <v>1148</v>
      </c>
      <c r="O303" s="4">
        <v>0.1</v>
      </c>
      <c r="P303" s="16">
        <f t="shared" si="14"/>
        <v>4.3390000000000004</v>
      </c>
      <c r="Q303" s="2">
        <v>0</v>
      </c>
      <c r="R303" s="2">
        <v>4.34</v>
      </c>
      <c r="S303" s="2">
        <v>4.34</v>
      </c>
      <c r="T303" t="s">
        <v>431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</row>
    <row r="304" spans="1:53" s="6" customFormat="1" x14ac:dyDescent="0.25">
      <c r="A304">
        <v>2024407151</v>
      </c>
      <c r="B304" t="s">
        <v>804</v>
      </c>
      <c r="C304" t="s">
        <v>803</v>
      </c>
      <c r="D304" s="6" t="str">
        <f t="shared" si="12"/>
        <v>MEGAN LONGENECKER</v>
      </c>
      <c r="E304" t="s">
        <v>431</v>
      </c>
      <c r="F304">
        <v>17425766</v>
      </c>
      <c r="G304" t="s">
        <v>1097</v>
      </c>
      <c r="H304" t="s">
        <v>56</v>
      </c>
      <c r="I304" s="1">
        <v>45520</v>
      </c>
      <c r="J304" s="1">
        <v>45946</v>
      </c>
      <c r="K304" s="2">
        <v>21.97</v>
      </c>
      <c r="L304">
        <f t="shared" si="13"/>
        <v>14</v>
      </c>
      <c r="M304" t="s">
        <v>59</v>
      </c>
      <c r="N304" t="s">
        <v>1148</v>
      </c>
      <c r="O304" s="4">
        <v>0.1</v>
      </c>
      <c r="P304" s="16">
        <f t="shared" si="14"/>
        <v>2.1970000000000001</v>
      </c>
      <c r="Q304" s="2">
        <v>0</v>
      </c>
      <c r="R304" s="2">
        <v>2.2000000000000002</v>
      </c>
      <c r="S304" s="2">
        <v>2.2000000000000002</v>
      </c>
      <c r="T304" t="s">
        <v>431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</row>
    <row r="305" spans="1:53" s="6" customFormat="1" x14ac:dyDescent="0.25">
      <c r="A305">
        <v>2024382705</v>
      </c>
      <c r="B305" t="s">
        <v>806</v>
      </c>
      <c r="C305" t="s">
        <v>409</v>
      </c>
      <c r="D305" s="6" t="str">
        <f t="shared" si="12"/>
        <v>SARAH LUDDY</v>
      </c>
      <c r="E305" t="s">
        <v>431</v>
      </c>
      <c r="F305">
        <v>17425766</v>
      </c>
      <c r="G305" t="s">
        <v>1097</v>
      </c>
      <c r="H305" t="s">
        <v>56</v>
      </c>
      <c r="I305" s="1">
        <v>45519</v>
      </c>
      <c r="J305" s="1">
        <v>45945</v>
      </c>
      <c r="K305" s="2">
        <v>27.15</v>
      </c>
      <c r="L305">
        <f t="shared" si="13"/>
        <v>14</v>
      </c>
      <c r="M305" t="s">
        <v>59</v>
      </c>
      <c r="N305" t="s">
        <v>1148</v>
      </c>
      <c r="O305" s="4">
        <v>0.1</v>
      </c>
      <c r="P305" s="16">
        <f t="shared" si="14"/>
        <v>2.7149999999999999</v>
      </c>
      <c r="Q305" s="2">
        <v>0</v>
      </c>
      <c r="R305" s="2">
        <v>2.72</v>
      </c>
      <c r="S305" s="2">
        <v>2.72</v>
      </c>
      <c r="T305" t="s">
        <v>431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</row>
    <row r="306" spans="1:53" s="6" customFormat="1" x14ac:dyDescent="0.25">
      <c r="A306">
        <v>2024403626</v>
      </c>
      <c r="B306" t="s">
        <v>583</v>
      </c>
      <c r="C306" t="s">
        <v>805</v>
      </c>
      <c r="D306" s="6" t="str">
        <f t="shared" si="12"/>
        <v>JEANETTE PAUL</v>
      </c>
      <c r="E306" t="s">
        <v>249</v>
      </c>
      <c r="F306">
        <v>18781057</v>
      </c>
      <c r="G306" t="s">
        <v>1089</v>
      </c>
      <c r="H306" t="s">
        <v>56</v>
      </c>
      <c r="I306" s="1">
        <v>45520</v>
      </c>
      <c r="J306" s="1">
        <v>45946</v>
      </c>
      <c r="K306" s="2">
        <v>15</v>
      </c>
      <c r="L306">
        <f t="shared" si="13"/>
        <v>14</v>
      </c>
      <c r="M306" t="s">
        <v>59</v>
      </c>
      <c r="N306" t="s">
        <v>1148</v>
      </c>
      <c r="O306" s="4">
        <v>0.1</v>
      </c>
      <c r="P306" s="16">
        <f t="shared" si="14"/>
        <v>1.5</v>
      </c>
      <c r="Q306" s="2">
        <v>0</v>
      </c>
      <c r="R306" s="2">
        <v>1.5</v>
      </c>
      <c r="S306" s="2">
        <v>1.5</v>
      </c>
      <c r="T306" t="s">
        <v>431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</row>
    <row r="307" spans="1:53" s="6" customFormat="1" x14ac:dyDescent="0.25">
      <c r="A307">
        <v>2024403625</v>
      </c>
      <c r="B307" t="s">
        <v>583</v>
      </c>
      <c r="C307" t="s">
        <v>805</v>
      </c>
      <c r="D307" s="6" t="str">
        <f t="shared" si="12"/>
        <v>JEANETTE PAUL</v>
      </c>
      <c r="E307" t="s">
        <v>431</v>
      </c>
      <c r="F307">
        <v>18781057</v>
      </c>
      <c r="G307" t="s">
        <v>1089</v>
      </c>
      <c r="H307" t="s">
        <v>56</v>
      </c>
      <c r="I307" s="1">
        <v>45520</v>
      </c>
      <c r="J307" s="1">
        <v>45946</v>
      </c>
      <c r="K307" s="2">
        <v>17.34</v>
      </c>
      <c r="L307">
        <f t="shared" si="13"/>
        <v>14</v>
      </c>
      <c r="M307" t="s">
        <v>59</v>
      </c>
      <c r="N307" t="s">
        <v>1148</v>
      </c>
      <c r="O307" s="4">
        <v>0.1</v>
      </c>
      <c r="P307" s="16">
        <f t="shared" si="14"/>
        <v>1.734</v>
      </c>
      <c r="Q307" s="2">
        <v>0</v>
      </c>
      <c r="R307" s="2">
        <v>1.73</v>
      </c>
      <c r="S307" s="2">
        <v>1.73</v>
      </c>
      <c r="T307" t="s">
        <v>431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</row>
    <row r="308" spans="1:53" s="6" customFormat="1" x14ac:dyDescent="0.25">
      <c r="A308">
        <v>2024010323</v>
      </c>
      <c r="B308" t="s">
        <v>432</v>
      </c>
      <c r="C308" t="s">
        <v>281</v>
      </c>
      <c r="D308" s="6" t="str">
        <f t="shared" si="12"/>
        <v>ANDREW CURRIE</v>
      </c>
      <c r="E308" t="s">
        <v>431</v>
      </c>
      <c r="F308">
        <v>19278370</v>
      </c>
      <c r="G308" t="s">
        <v>1076</v>
      </c>
      <c r="H308" t="s">
        <v>56</v>
      </c>
      <c r="I308" s="1">
        <v>45493</v>
      </c>
      <c r="J308" s="1">
        <v>45950</v>
      </c>
      <c r="K308" s="2">
        <v>41.73</v>
      </c>
      <c r="L308">
        <f t="shared" si="13"/>
        <v>15</v>
      </c>
      <c r="M308" t="s">
        <v>59</v>
      </c>
      <c r="N308" t="s">
        <v>1148</v>
      </c>
      <c r="O308" s="4">
        <v>0.1</v>
      </c>
      <c r="P308" s="16">
        <f t="shared" si="14"/>
        <v>4.173</v>
      </c>
      <c r="Q308" s="2">
        <v>0</v>
      </c>
      <c r="R308" s="2">
        <v>4.17</v>
      </c>
      <c r="S308" s="2">
        <v>4.17</v>
      </c>
      <c r="T308" t="s">
        <v>431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</row>
    <row r="309" spans="1:53" s="6" customFormat="1" x14ac:dyDescent="0.25">
      <c r="A309">
        <v>2023867556</v>
      </c>
      <c r="B309" t="s">
        <v>109</v>
      </c>
      <c r="C309" t="s">
        <v>807</v>
      </c>
      <c r="D309" s="6" t="str">
        <f t="shared" si="12"/>
        <v>JULIAN GREGORY</v>
      </c>
      <c r="E309" t="s">
        <v>249</v>
      </c>
      <c r="F309">
        <v>17425766</v>
      </c>
      <c r="G309" t="s">
        <v>1097</v>
      </c>
      <c r="H309" t="s">
        <v>56</v>
      </c>
      <c r="I309" s="1">
        <v>45483</v>
      </c>
      <c r="J309" s="1">
        <v>45940</v>
      </c>
      <c r="K309" s="2">
        <v>15</v>
      </c>
      <c r="L309">
        <f t="shared" si="13"/>
        <v>15</v>
      </c>
      <c r="M309" t="s">
        <v>59</v>
      </c>
      <c r="N309" t="s">
        <v>1148</v>
      </c>
      <c r="O309" s="4">
        <v>0.1</v>
      </c>
      <c r="P309" s="16">
        <f t="shared" si="14"/>
        <v>1.5</v>
      </c>
      <c r="Q309" s="2">
        <v>0</v>
      </c>
      <c r="R309" s="2">
        <v>1.5</v>
      </c>
      <c r="S309" s="2">
        <v>1.5</v>
      </c>
      <c r="T309" t="s">
        <v>431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</row>
    <row r="310" spans="1:53" s="6" customFormat="1" x14ac:dyDescent="0.25">
      <c r="A310">
        <v>2023867555</v>
      </c>
      <c r="B310" t="s">
        <v>109</v>
      </c>
      <c r="C310" t="s">
        <v>807</v>
      </c>
      <c r="D310" s="6" t="str">
        <f t="shared" si="12"/>
        <v>JULIAN GREGORY</v>
      </c>
      <c r="E310" t="s">
        <v>431</v>
      </c>
      <c r="F310">
        <v>17425766</v>
      </c>
      <c r="G310" t="s">
        <v>1097</v>
      </c>
      <c r="H310" t="s">
        <v>56</v>
      </c>
      <c r="I310" s="1">
        <v>45483</v>
      </c>
      <c r="J310" s="1">
        <v>45940</v>
      </c>
      <c r="K310" s="2">
        <v>53.16</v>
      </c>
      <c r="L310">
        <f t="shared" si="13"/>
        <v>15</v>
      </c>
      <c r="M310" t="s">
        <v>59</v>
      </c>
      <c r="N310" t="s">
        <v>1148</v>
      </c>
      <c r="O310" s="4">
        <v>0.1</v>
      </c>
      <c r="P310" s="16">
        <f t="shared" si="14"/>
        <v>5.3159999999999998</v>
      </c>
      <c r="Q310" s="2">
        <v>0</v>
      </c>
      <c r="R310" s="2">
        <v>5.32</v>
      </c>
      <c r="S310" s="2">
        <v>5.32</v>
      </c>
      <c r="T310" t="s">
        <v>431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</row>
    <row r="311" spans="1:53" s="6" customFormat="1" x14ac:dyDescent="0.25">
      <c r="A311">
        <v>2023510923</v>
      </c>
      <c r="B311" t="s">
        <v>808</v>
      </c>
      <c r="C311" t="s">
        <v>145</v>
      </c>
      <c r="D311" s="6" t="str">
        <f t="shared" si="12"/>
        <v>CHARLES CAMPBELL</v>
      </c>
      <c r="E311" t="s">
        <v>431</v>
      </c>
      <c r="F311">
        <v>18781057</v>
      </c>
      <c r="G311" t="s">
        <v>1089</v>
      </c>
      <c r="H311" t="s">
        <v>56</v>
      </c>
      <c r="I311" s="1">
        <v>45457</v>
      </c>
      <c r="J311" s="1">
        <v>45944</v>
      </c>
      <c r="K311" s="2">
        <v>55.16</v>
      </c>
      <c r="L311">
        <f t="shared" si="13"/>
        <v>16</v>
      </c>
      <c r="M311" t="s">
        <v>59</v>
      </c>
      <c r="N311" t="s">
        <v>1148</v>
      </c>
      <c r="O311" s="4">
        <v>0.1</v>
      </c>
      <c r="P311" s="16">
        <f t="shared" si="14"/>
        <v>5.516</v>
      </c>
      <c r="Q311" s="2">
        <v>0</v>
      </c>
      <c r="R311" s="2">
        <v>5.52</v>
      </c>
      <c r="S311" s="2">
        <v>5.52</v>
      </c>
      <c r="T311" t="s">
        <v>431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</row>
    <row r="312" spans="1:53" s="6" customFormat="1" x14ac:dyDescent="0.25">
      <c r="A312">
        <v>2023499224</v>
      </c>
      <c r="B312" t="s">
        <v>810</v>
      </c>
      <c r="C312" t="s">
        <v>205</v>
      </c>
      <c r="D312" s="6" t="str">
        <f t="shared" si="12"/>
        <v>RHONDA SURRATT</v>
      </c>
      <c r="E312" t="s">
        <v>431</v>
      </c>
      <c r="F312">
        <v>18781057</v>
      </c>
      <c r="G312" t="s">
        <v>1089</v>
      </c>
      <c r="H312" t="s">
        <v>56</v>
      </c>
      <c r="I312" s="1">
        <v>45456</v>
      </c>
      <c r="J312" s="1">
        <v>45943</v>
      </c>
      <c r="K312" s="2">
        <v>28.12</v>
      </c>
      <c r="L312">
        <f t="shared" si="13"/>
        <v>16</v>
      </c>
      <c r="M312" t="s">
        <v>59</v>
      </c>
      <c r="N312" t="s">
        <v>1148</v>
      </c>
      <c r="O312" s="4">
        <v>0.1</v>
      </c>
      <c r="P312" s="16">
        <f t="shared" si="14"/>
        <v>2.8120000000000003</v>
      </c>
      <c r="Q312" s="2">
        <v>0</v>
      </c>
      <c r="R312" s="2">
        <v>2.81</v>
      </c>
      <c r="S312" s="2">
        <v>2.81</v>
      </c>
      <c r="T312" t="s">
        <v>431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</row>
    <row r="313" spans="1:53" s="6" customFormat="1" x14ac:dyDescent="0.25">
      <c r="A313">
        <v>2023509943</v>
      </c>
      <c r="B313" t="s">
        <v>809</v>
      </c>
      <c r="C313" t="s">
        <v>690</v>
      </c>
      <c r="D313" s="6" t="str">
        <f t="shared" si="12"/>
        <v>NATALIA VOLZ</v>
      </c>
      <c r="E313" t="s">
        <v>431</v>
      </c>
      <c r="F313">
        <v>18781057</v>
      </c>
      <c r="G313" t="s">
        <v>1089</v>
      </c>
      <c r="H313" t="s">
        <v>56</v>
      </c>
      <c r="I313" s="1">
        <v>45457</v>
      </c>
      <c r="J313" s="1">
        <v>45944</v>
      </c>
      <c r="K313" s="2">
        <v>55.16</v>
      </c>
      <c r="L313">
        <f t="shared" si="13"/>
        <v>16</v>
      </c>
      <c r="M313" t="s">
        <v>59</v>
      </c>
      <c r="N313" t="s">
        <v>1148</v>
      </c>
      <c r="O313" s="4">
        <v>0.1</v>
      </c>
      <c r="P313" s="16">
        <f t="shared" si="14"/>
        <v>5.516</v>
      </c>
      <c r="Q313" s="2">
        <v>0</v>
      </c>
      <c r="R313" s="2">
        <v>5.52</v>
      </c>
      <c r="S313" s="2">
        <v>5.52</v>
      </c>
      <c r="T313" t="s">
        <v>431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</row>
    <row r="314" spans="1:53" s="6" customFormat="1" x14ac:dyDescent="0.25">
      <c r="A314">
        <v>2023245976</v>
      </c>
      <c r="B314" t="s">
        <v>812</v>
      </c>
      <c r="C314" t="s">
        <v>811</v>
      </c>
      <c r="D314" s="6" t="str">
        <f t="shared" si="12"/>
        <v>CLARITA WHEATLEY</v>
      </c>
      <c r="E314" t="s">
        <v>431</v>
      </c>
      <c r="F314" t="s">
        <v>1146</v>
      </c>
      <c r="G314" t="s">
        <v>1097</v>
      </c>
      <c r="H314" t="s">
        <v>56</v>
      </c>
      <c r="I314" s="1">
        <v>45444</v>
      </c>
      <c r="J314" s="1">
        <v>45931</v>
      </c>
      <c r="K314" s="2">
        <v>22.77</v>
      </c>
      <c r="L314">
        <f t="shared" si="13"/>
        <v>16</v>
      </c>
      <c r="M314" t="s">
        <v>59</v>
      </c>
      <c r="N314" t="s">
        <v>1148</v>
      </c>
      <c r="O314" s="4">
        <v>0.1</v>
      </c>
      <c r="P314" s="16">
        <f t="shared" si="14"/>
        <v>2.2770000000000001</v>
      </c>
      <c r="Q314" s="2">
        <v>0</v>
      </c>
      <c r="R314" s="2">
        <v>2.2799999999999998</v>
      </c>
      <c r="S314" s="2">
        <v>2.2799999999999998</v>
      </c>
      <c r="T314" t="s">
        <v>431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</row>
    <row r="315" spans="1:53" s="6" customFormat="1" x14ac:dyDescent="0.25">
      <c r="A315">
        <v>2022721019</v>
      </c>
      <c r="B315" t="s">
        <v>817</v>
      </c>
      <c r="C315" t="s">
        <v>49</v>
      </c>
      <c r="D315" s="6" t="str">
        <f t="shared" si="12"/>
        <v>MICHAEL LARKIN</v>
      </c>
      <c r="E315" t="s">
        <v>431</v>
      </c>
      <c r="F315">
        <v>18781057</v>
      </c>
      <c r="G315" t="s">
        <v>1089</v>
      </c>
      <c r="H315" t="s">
        <v>56</v>
      </c>
      <c r="I315" s="1">
        <v>45413</v>
      </c>
      <c r="J315" s="1">
        <v>45931</v>
      </c>
      <c r="K315" s="2">
        <v>38.11</v>
      </c>
      <c r="L315">
        <f t="shared" si="13"/>
        <v>17</v>
      </c>
      <c r="M315" t="s">
        <v>59</v>
      </c>
      <c r="N315" t="s">
        <v>1148</v>
      </c>
      <c r="O315" s="4">
        <v>0.1</v>
      </c>
      <c r="P315" s="16">
        <f t="shared" si="14"/>
        <v>3.8109999999999999</v>
      </c>
      <c r="Q315" s="2">
        <v>0</v>
      </c>
      <c r="R315" s="2">
        <v>3.81</v>
      </c>
      <c r="S315" s="2">
        <v>3.81</v>
      </c>
      <c r="T315" t="s">
        <v>431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</row>
    <row r="316" spans="1:53" s="6" customFormat="1" x14ac:dyDescent="0.25">
      <c r="A316">
        <v>2023139790</v>
      </c>
      <c r="B316" t="s">
        <v>247</v>
      </c>
      <c r="C316" t="s">
        <v>248</v>
      </c>
      <c r="D316" s="6" t="str">
        <f t="shared" si="12"/>
        <v>CRAIG RUBINFELD</v>
      </c>
      <c r="E316" t="s">
        <v>249</v>
      </c>
      <c r="F316">
        <v>18781057</v>
      </c>
      <c r="G316" t="s">
        <v>1089</v>
      </c>
      <c r="H316" t="s">
        <v>56</v>
      </c>
      <c r="I316" s="1">
        <v>45432</v>
      </c>
      <c r="J316" s="1">
        <v>45950</v>
      </c>
      <c r="K316" s="2">
        <v>15</v>
      </c>
      <c r="L316">
        <f t="shared" si="13"/>
        <v>17</v>
      </c>
      <c r="M316" t="s">
        <v>59</v>
      </c>
      <c r="N316" t="s">
        <v>1148</v>
      </c>
      <c r="O316" s="4">
        <v>0.1</v>
      </c>
      <c r="P316" s="16">
        <f t="shared" si="14"/>
        <v>1.5</v>
      </c>
      <c r="Q316" s="2">
        <v>0</v>
      </c>
      <c r="R316" s="2">
        <v>1.5</v>
      </c>
      <c r="S316" s="2">
        <v>1.5</v>
      </c>
      <c r="T316" t="s">
        <v>431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</row>
    <row r="317" spans="1:53" s="6" customFormat="1" x14ac:dyDescent="0.25">
      <c r="A317">
        <v>2023139788</v>
      </c>
      <c r="B317" t="s">
        <v>247</v>
      </c>
      <c r="C317" t="s">
        <v>248</v>
      </c>
      <c r="D317" s="6" t="str">
        <f t="shared" si="12"/>
        <v>CRAIG RUBINFELD</v>
      </c>
      <c r="E317" t="s">
        <v>431</v>
      </c>
      <c r="F317">
        <v>18781057</v>
      </c>
      <c r="G317" t="s">
        <v>1089</v>
      </c>
      <c r="H317" t="s">
        <v>56</v>
      </c>
      <c r="I317" s="1">
        <v>45432</v>
      </c>
      <c r="J317" s="1">
        <v>45950</v>
      </c>
      <c r="K317" s="2">
        <v>25.14</v>
      </c>
      <c r="L317">
        <f t="shared" si="13"/>
        <v>17</v>
      </c>
      <c r="M317" t="s">
        <v>59</v>
      </c>
      <c r="N317" t="s">
        <v>1148</v>
      </c>
      <c r="O317" s="4">
        <v>0.1</v>
      </c>
      <c r="P317" s="16">
        <f t="shared" si="14"/>
        <v>2.5140000000000002</v>
      </c>
      <c r="Q317" s="2">
        <v>0</v>
      </c>
      <c r="R317" s="2">
        <v>2.5099999999999998</v>
      </c>
      <c r="S317" s="2">
        <v>2.5099999999999998</v>
      </c>
      <c r="T317" t="s">
        <v>431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</row>
    <row r="318" spans="1:53" s="6" customFormat="1" x14ac:dyDescent="0.25">
      <c r="A318">
        <v>2022747853</v>
      </c>
      <c r="B318" t="s">
        <v>816</v>
      </c>
      <c r="C318" t="s">
        <v>344</v>
      </c>
      <c r="D318" s="6" t="str">
        <f t="shared" si="12"/>
        <v>NANCY SOLIVAN</v>
      </c>
      <c r="E318" t="s">
        <v>431</v>
      </c>
      <c r="F318">
        <v>18781057</v>
      </c>
      <c r="G318" t="s">
        <v>1089</v>
      </c>
      <c r="H318" t="s">
        <v>56</v>
      </c>
      <c r="I318" s="1">
        <v>45413</v>
      </c>
      <c r="J318" s="1">
        <v>45931</v>
      </c>
      <c r="K318" s="2">
        <v>61.39</v>
      </c>
      <c r="L318">
        <f t="shared" si="13"/>
        <v>17</v>
      </c>
      <c r="M318" t="s">
        <v>59</v>
      </c>
      <c r="N318" t="s">
        <v>1148</v>
      </c>
      <c r="O318" s="4">
        <v>0.1</v>
      </c>
      <c r="P318" s="16">
        <f t="shared" si="14"/>
        <v>6.1390000000000002</v>
      </c>
      <c r="Q318" s="2">
        <v>0</v>
      </c>
      <c r="R318" s="2">
        <v>6.14</v>
      </c>
      <c r="S318" s="2">
        <v>6.14</v>
      </c>
      <c r="T318" t="s">
        <v>431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</row>
    <row r="319" spans="1:53" s="6" customFormat="1" x14ac:dyDescent="0.25">
      <c r="A319">
        <v>2023051088</v>
      </c>
      <c r="B319" t="s">
        <v>813</v>
      </c>
      <c r="C319" t="s">
        <v>251</v>
      </c>
      <c r="D319" s="6" t="str">
        <f t="shared" si="12"/>
        <v>THERESA WHITTINGTON</v>
      </c>
      <c r="E319" t="s">
        <v>431</v>
      </c>
      <c r="F319">
        <v>18781057</v>
      </c>
      <c r="G319" t="s">
        <v>1089</v>
      </c>
      <c r="H319" t="s">
        <v>56</v>
      </c>
      <c r="I319" s="1">
        <v>45422</v>
      </c>
      <c r="J319" s="1">
        <v>45940</v>
      </c>
      <c r="K319" s="2">
        <v>47.17</v>
      </c>
      <c r="L319">
        <f t="shared" si="13"/>
        <v>17</v>
      </c>
      <c r="M319" t="s">
        <v>59</v>
      </c>
      <c r="N319" t="s">
        <v>1148</v>
      </c>
      <c r="O319" s="4">
        <v>0.1</v>
      </c>
      <c r="P319" s="16">
        <f t="shared" si="14"/>
        <v>4.7170000000000005</v>
      </c>
      <c r="Q319" s="2">
        <v>0</v>
      </c>
      <c r="R319" s="2">
        <v>4.72</v>
      </c>
      <c r="S319" s="2">
        <v>4.72</v>
      </c>
      <c r="T319" t="s">
        <v>431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</row>
    <row r="320" spans="1:53" s="6" customFormat="1" x14ac:dyDescent="0.25">
      <c r="A320">
        <v>2023047686</v>
      </c>
      <c r="B320" t="s">
        <v>815</v>
      </c>
      <c r="C320" t="s">
        <v>814</v>
      </c>
      <c r="D320" s="6" t="str">
        <f t="shared" si="12"/>
        <v>THEODORE WIGGINS</v>
      </c>
      <c r="E320" t="s">
        <v>431</v>
      </c>
      <c r="F320">
        <v>18781057</v>
      </c>
      <c r="G320" t="s">
        <v>1089</v>
      </c>
      <c r="H320" t="s">
        <v>56</v>
      </c>
      <c r="I320" s="1">
        <v>45422</v>
      </c>
      <c r="J320" s="1">
        <v>45940</v>
      </c>
      <c r="K320" s="2">
        <v>77.55</v>
      </c>
      <c r="L320">
        <f t="shared" si="13"/>
        <v>17</v>
      </c>
      <c r="M320" t="s">
        <v>59</v>
      </c>
      <c r="N320" t="s">
        <v>1148</v>
      </c>
      <c r="O320" s="4">
        <v>0.1</v>
      </c>
      <c r="P320" s="16">
        <f t="shared" si="14"/>
        <v>7.7549999999999999</v>
      </c>
      <c r="Q320" s="2">
        <v>0</v>
      </c>
      <c r="R320" s="2">
        <v>7.76</v>
      </c>
      <c r="S320" s="2">
        <v>7.76</v>
      </c>
      <c r="T320" t="s">
        <v>431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</row>
    <row r="321" spans="1:53" s="6" customFormat="1" x14ac:dyDescent="0.25">
      <c r="A321">
        <v>2024385928</v>
      </c>
      <c r="B321" t="s">
        <v>547</v>
      </c>
      <c r="C321" t="s">
        <v>580</v>
      </c>
      <c r="D321" s="6" t="str">
        <f t="shared" si="12"/>
        <v>JACKIE WILLIAMS</v>
      </c>
      <c r="E321" t="s">
        <v>581</v>
      </c>
      <c r="F321">
        <v>17425766</v>
      </c>
      <c r="G321" t="s">
        <v>1097</v>
      </c>
      <c r="H321" t="s">
        <v>56</v>
      </c>
      <c r="I321" s="1">
        <v>45519</v>
      </c>
      <c r="J321" s="1">
        <v>45945</v>
      </c>
      <c r="K321" s="2">
        <v>37.36</v>
      </c>
      <c r="L321">
        <f t="shared" si="13"/>
        <v>14</v>
      </c>
      <c r="M321" t="s">
        <v>59</v>
      </c>
      <c r="N321" t="s">
        <v>1148</v>
      </c>
      <c r="O321" s="4">
        <v>0.08</v>
      </c>
      <c r="P321" s="16">
        <f t="shared" si="14"/>
        <v>2.9887999999999999</v>
      </c>
      <c r="Q321" s="2">
        <v>0</v>
      </c>
      <c r="R321" s="2">
        <v>2.99</v>
      </c>
      <c r="S321" s="2">
        <v>2.99</v>
      </c>
      <c r="T321" t="s">
        <v>581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</row>
    <row r="322" spans="1:53" s="6" customFormat="1" x14ac:dyDescent="0.25">
      <c r="A322">
        <v>2023913072</v>
      </c>
      <c r="B322" t="s">
        <v>655</v>
      </c>
      <c r="C322" t="s">
        <v>280</v>
      </c>
      <c r="D322" s="6" t="str">
        <f t="shared" ref="D322:D385" si="15">CONCATENATE(C322, " ",B322)</f>
        <v>DOUGLAS GEISSINGER</v>
      </c>
      <c r="E322" t="s">
        <v>645</v>
      </c>
      <c r="F322">
        <v>8977234</v>
      </c>
      <c r="G322" t="s">
        <v>1078</v>
      </c>
      <c r="H322" t="s">
        <v>56</v>
      </c>
      <c r="I322" s="1">
        <v>45643</v>
      </c>
      <c r="J322" s="1">
        <v>45947</v>
      </c>
      <c r="K322" s="2">
        <v>306.95</v>
      </c>
      <c r="L322">
        <f t="shared" ref="L322:L385" si="16">DATEDIF(I322,J322,"M")</f>
        <v>10</v>
      </c>
      <c r="M322" t="s">
        <v>59</v>
      </c>
      <c r="N322" t="s">
        <v>1148</v>
      </c>
      <c r="O322" s="4">
        <v>0.19</v>
      </c>
      <c r="P322" s="16">
        <f t="shared" ref="P322:P385" si="17">K322*O322</f>
        <v>58.320499999999996</v>
      </c>
      <c r="Q322" s="2">
        <v>0</v>
      </c>
      <c r="R322" s="2">
        <v>58.32</v>
      </c>
      <c r="S322" s="2">
        <v>58.32</v>
      </c>
      <c r="T322" t="s">
        <v>645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</row>
    <row r="323" spans="1:53" s="6" customFormat="1" x14ac:dyDescent="0.25">
      <c r="A323" s="6">
        <v>2030600737</v>
      </c>
      <c r="B323" s="6" t="s">
        <v>288</v>
      </c>
      <c r="C323" s="6" t="s">
        <v>289</v>
      </c>
      <c r="D323" s="6" t="str">
        <f t="shared" si="15"/>
        <v>EKUNDAYO AFOLASADE</v>
      </c>
      <c r="E323" s="6" t="s">
        <v>571</v>
      </c>
      <c r="F323" s="6">
        <v>21101146</v>
      </c>
      <c r="G323" s="6" t="s">
        <v>1112</v>
      </c>
      <c r="H323" s="6" t="s">
        <v>56</v>
      </c>
      <c r="I323" s="5">
        <v>45894</v>
      </c>
      <c r="J323" s="5">
        <v>45955</v>
      </c>
      <c r="K323" s="7">
        <v>89.62</v>
      </c>
      <c r="L323" s="6">
        <f t="shared" si="16"/>
        <v>2</v>
      </c>
      <c r="M323" s="6" t="s">
        <v>59</v>
      </c>
      <c r="N323" s="6" t="s">
        <v>1145</v>
      </c>
      <c r="O323" s="9">
        <v>0.28999999999999998</v>
      </c>
      <c r="P323" s="16">
        <f t="shared" si="17"/>
        <v>25.989799999999999</v>
      </c>
      <c r="Q323" s="7">
        <v>25.99</v>
      </c>
      <c r="R323" s="7">
        <v>0</v>
      </c>
      <c r="S323" s="7">
        <v>0</v>
      </c>
      <c r="T323" s="6" t="s">
        <v>571</v>
      </c>
    </row>
    <row r="324" spans="1:53" s="6" customFormat="1" x14ac:dyDescent="0.25">
      <c r="A324">
        <v>2024372431</v>
      </c>
      <c r="B324" t="s">
        <v>654</v>
      </c>
      <c r="C324" t="s">
        <v>653</v>
      </c>
      <c r="D324" s="6" t="str">
        <f t="shared" si="15"/>
        <v>LANDON BRITT</v>
      </c>
      <c r="E324" t="s">
        <v>571</v>
      </c>
      <c r="F324">
        <v>17437820</v>
      </c>
      <c r="G324" t="s">
        <v>1082</v>
      </c>
      <c r="H324" t="s">
        <v>56</v>
      </c>
      <c r="I324" s="1">
        <v>45882</v>
      </c>
      <c r="J324" s="1">
        <v>45943</v>
      </c>
      <c r="K324" s="2">
        <v>315.83999999999997</v>
      </c>
      <c r="L324">
        <f t="shared" si="16"/>
        <v>2</v>
      </c>
      <c r="M324" t="s">
        <v>59</v>
      </c>
      <c r="N324" t="s">
        <v>1148</v>
      </c>
      <c r="O324" s="4">
        <v>0.28999999999999998</v>
      </c>
      <c r="P324" s="16">
        <f t="shared" si="17"/>
        <v>91.593599999999981</v>
      </c>
      <c r="Q324" s="2">
        <v>91.59</v>
      </c>
      <c r="R324" s="2">
        <v>0</v>
      </c>
      <c r="S324" s="2">
        <v>0</v>
      </c>
      <c r="T324" t="s">
        <v>571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</row>
    <row r="325" spans="1:53" s="6" customFormat="1" x14ac:dyDescent="0.25">
      <c r="A325">
        <v>2029995393</v>
      </c>
      <c r="B325" t="s">
        <v>651</v>
      </c>
      <c r="C325" t="s">
        <v>179</v>
      </c>
      <c r="D325" s="6" t="str">
        <f t="shared" si="15"/>
        <v>TIMOTHY LOVING</v>
      </c>
      <c r="E325" t="s">
        <v>571</v>
      </c>
      <c r="F325">
        <v>21605264</v>
      </c>
      <c r="G325" t="s">
        <v>1135</v>
      </c>
      <c r="H325" t="s">
        <v>56</v>
      </c>
      <c r="I325" s="1">
        <v>45855</v>
      </c>
      <c r="J325" s="1">
        <v>45947</v>
      </c>
      <c r="K325" s="2">
        <v>154.38</v>
      </c>
      <c r="L325">
        <f t="shared" si="16"/>
        <v>3</v>
      </c>
      <c r="M325" t="s">
        <v>59</v>
      </c>
      <c r="N325" t="s">
        <v>1148</v>
      </c>
      <c r="O325" s="4">
        <v>0.28999999999999998</v>
      </c>
      <c r="P325" s="16">
        <f t="shared" si="17"/>
        <v>44.770199999999996</v>
      </c>
      <c r="Q325" s="2">
        <v>44.77</v>
      </c>
      <c r="R325" s="2">
        <v>0</v>
      </c>
      <c r="S325" s="2">
        <v>0</v>
      </c>
      <c r="T325" t="s">
        <v>571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</row>
    <row r="326" spans="1:53" s="6" customFormat="1" x14ac:dyDescent="0.25">
      <c r="A326">
        <v>2020461026</v>
      </c>
      <c r="B326" t="s">
        <v>242</v>
      </c>
      <c r="C326" t="s">
        <v>179</v>
      </c>
      <c r="D326" s="6" t="str">
        <f t="shared" si="15"/>
        <v>TIMOTHY WASSELL</v>
      </c>
      <c r="E326" t="s">
        <v>570</v>
      </c>
      <c r="F326">
        <v>8977234</v>
      </c>
      <c r="G326" t="s">
        <v>1078</v>
      </c>
      <c r="H326" t="s">
        <v>56</v>
      </c>
      <c r="I326" s="1">
        <v>45284</v>
      </c>
      <c r="J326" s="1">
        <v>45954</v>
      </c>
      <c r="K326" s="2">
        <v>263.83</v>
      </c>
      <c r="L326">
        <f t="shared" si="16"/>
        <v>22</v>
      </c>
      <c r="M326" t="s">
        <v>59</v>
      </c>
      <c r="N326" t="s">
        <v>1148</v>
      </c>
      <c r="O326" s="4">
        <v>0.28999999999999998</v>
      </c>
      <c r="P326" s="16">
        <f t="shared" si="17"/>
        <v>76.510699999999986</v>
      </c>
      <c r="Q326" s="2">
        <v>0</v>
      </c>
      <c r="R326" s="2">
        <v>76.510000000000005</v>
      </c>
      <c r="S326" s="2">
        <v>76.510000000000005</v>
      </c>
      <c r="T326" t="s">
        <v>571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</row>
    <row r="327" spans="1:53" s="6" customFormat="1" x14ac:dyDescent="0.25">
      <c r="A327" s="6">
        <v>2030846038</v>
      </c>
      <c r="B327" s="6" t="s">
        <v>414</v>
      </c>
      <c r="C327" s="6" t="s">
        <v>415</v>
      </c>
      <c r="D327" s="6" t="str">
        <f t="shared" si="15"/>
        <v>ANNETTE COMPTON</v>
      </c>
      <c r="E327" s="6" t="s">
        <v>445</v>
      </c>
      <c r="F327" s="6">
        <v>21421111</v>
      </c>
      <c r="G327" s="6" t="s">
        <v>1096</v>
      </c>
      <c r="H327" s="6" t="s">
        <v>230</v>
      </c>
      <c r="I327" s="5">
        <v>45913</v>
      </c>
      <c r="J327" s="5">
        <v>45943</v>
      </c>
      <c r="K327" s="7">
        <v>-28.38</v>
      </c>
      <c r="L327" s="6">
        <f t="shared" si="16"/>
        <v>1</v>
      </c>
      <c r="M327" s="6" t="s">
        <v>59</v>
      </c>
      <c r="N327" s="6" t="s">
        <v>1145</v>
      </c>
      <c r="O327" s="9">
        <v>0.7</v>
      </c>
      <c r="P327" s="16">
        <f t="shared" si="17"/>
        <v>-19.866</v>
      </c>
      <c r="Q327" s="7">
        <v>0</v>
      </c>
      <c r="R327" s="7">
        <v>-19.87</v>
      </c>
      <c r="S327" s="7">
        <v>-19.87</v>
      </c>
      <c r="T327" s="6" t="s">
        <v>445</v>
      </c>
    </row>
    <row r="328" spans="1:53" s="6" customFormat="1" x14ac:dyDescent="0.25">
      <c r="A328" s="6">
        <v>2030452962</v>
      </c>
      <c r="B328" s="6" t="s">
        <v>625</v>
      </c>
      <c r="C328" s="6" t="s">
        <v>85</v>
      </c>
      <c r="D328" s="6" t="str">
        <f t="shared" si="15"/>
        <v>JOHN ANDERSON</v>
      </c>
      <c r="E328" s="6" t="s">
        <v>445</v>
      </c>
      <c r="F328" s="6">
        <v>6634327</v>
      </c>
      <c r="G328" s="6" t="s">
        <v>1134</v>
      </c>
      <c r="H328" s="6" t="s">
        <v>56</v>
      </c>
      <c r="I328" s="5">
        <v>45882</v>
      </c>
      <c r="J328" s="5">
        <v>45943</v>
      </c>
      <c r="K328" s="7">
        <v>29.2</v>
      </c>
      <c r="L328" s="6">
        <f t="shared" si="16"/>
        <v>2</v>
      </c>
      <c r="M328" s="6" t="s">
        <v>59</v>
      </c>
      <c r="N328" s="6" t="s">
        <v>1145</v>
      </c>
      <c r="O328" s="9">
        <v>0.7</v>
      </c>
      <c r="P328" s="16">
        <f t="shared" si="17"/>
        <v>20.439999999999998</v>
      </c>
      <c r="Q328" s="7">
        <v>20.440000000000001</v>
      </c>
      <c r="R328" s="7">
        <v>0</v>
      </c>
      <c r="S328" s="7">
        <v>0</v>
      </c>
      <c r="T328" s="6" t="s">
        <v>445</v>
      </c>
    </row>
    <row r="329" spans="1:53" s="6" customFormat="1" x14ac:dyDescent="0.25">
      <c r="A329" s="6">
        <v>2030510930</v>
      </c>
      <c r="B329" s="6" t="s">
        <v>546</v>
      </c>
      <c r="C329" s="6" t="s">
        <v>547</v>
      </c>
      <c r="D329" s="6" t="str">
        <f t="shared" si="15"/>
        <v>WILLIAMS COURTNEY</v>
      </c>
      <c r="E329" s="6" t="s">
        <v>445</v>
      </c>
      <c r="F329" s="6">
        <v>17143996</v>
      </c>
      <c r="G329" s="6" t="s">
        <v>1127</v>
      </c>
      <c r="H329" s="6" t="s">
        <v>56</v>
      </c>
      <c r="I329" s="5">
        <v>45887</v>
      </c>
      <c r="J329" s="5">
        <v>45948</v>
      </c>
      <c r="K329" s="7">
        <v>35.06</v>
      </c>
      <c r="L329" s="6">
        <f t="shared" si="16"/>
        <v>2</v>
      </c>
      <c r="M329" s="6" t="s">
        <v>59</v>
      </c>
      <c r="N329" s="6" t="s">
        <v>1145</v>
      </c>
      <c r="O329" s="9">
        <v>0.7</v>
      </c>
      <c r="P329" s="16">
        <f t="shared" si="17"/>
        <v>24.542000000000002</v>
      </c>
      <c r="Q329" s="7">
        <v>24.54</v>
      </c>
      <c r="R329" s="7">
        <v>0</v>
      </c>
      <c r="S329" s="7">
        <v>0</v>
      </c>
      <c r="T329" s="6" t="s">
        <v>445</v>
      </c>
    </row>
    <row r="330" spans="1:53" s="6" customFormat="1" x14ac:dyDescent="0.25">
      <c r="A330" s="6">
        <v>2030217703</v>
      </c>
      <c r="B330" s="6" t="s">
        <v>280</v>
      </c>
      <c r="C330" s="6" t="s">
        <v>281</v>
      </c>
      <c r="D330" s="6" t="str">
        <f t="shared" si="15"/>
        <v>ANDREW DOUGLAS</v>
      </c>
      <c r="E330" s="6" t="s">
        <v>445</v>
      </c>
      <c r="F330" s="6">
        <v>16912722</v>
      </c>
      <c r="G330" s="6" t="s">
        <v>1111</v>
      </c>
      <c r="H330" s="6" t="s">
        <v>56</v>
      </c>
      <c r="I330" s="5">
        <v>45870</v>
      </c>
      <c r="J330" s="5">
        <v>45931</v>
      </c>
      <c r="K330" s="7">
        <v>-6.39</v>
      </c>
      <c r="L330" s="6">
        <f t="shared" si="16"/>
        <v>2</v>
      </c>
      <c r="M330" s="6" t="s">
        <v>59</v>
      </c>
      <c r="N330" s="6" t="s">
        <v>1145</v>
      </c>
      <c r="O330" s="9">
        <v>0.7</v>
      </c>
      <c r="P330" s="16">
        <f t="shared" si="17"/>
        <v>-4.4729999999999999</v>
      </c>
      <c r="Q330" s="7">
        <v>0</v>
      </c>
      <c r="R330" s="7">
        <v>-4.47</v>
      </c>
      <c r="S330" s="7">
        <v>-4.47</v>
      </c>
      <c r="T330" s="6" t="s">
        <v>445</v>
      </c>
    </row>
    <row r="331" spans="1:53" s="6" customFormat="1" x14ac:dyDescent="0.25">
      <c r="A331" s="6">
        <v>2030594253</v>
      </c>
      <c r="B331" s="6" t="s">
        <v>550</v>
      </c>
      <c r="C331" s="6" t="s">
        <v>551</v>
      </c>
      <c r="D331" s="6" t="str">
        <f t="shared" si="15"/>
        <v>ODSUREN DULMAA</v>
      </c>
      <c r="E331" s="6" t="s">
        <v>445</v>
      </c>
      <c r="F331" s="6">
        <v>20220688</v>
      </c>
      <c r="G331" s="6" t="s">
        <v>1087</v>
      </c>
      <c r="H331" s="6" t="s">
        <v>56</v>
      </c>
      <c r="I331" s="5">
        <v>45890</v>
      </c>
      <c r="J331" s="5">
        <v>45951</v>
      </c>
      <c r="K331" s="7">
        <v>58.24</v>
      </c>
      <c r="L331" s="6">
        <f t="shared" si="16"/>
        <v>2</v>
      </c>
      <c r="M331" s="6" t="s">
        <v>59</v>
      </c>
      <c r="N331" s="6" t="s">
        <v>1145</v>
      </c>
      <c r="O331" s="9">
        <v>0.7</v>
      </c>
      <c r="P331" s="16">
        <f t="shared" si="17"/>
        <v>40.768000000000001</v>
      </c>
      <c r="Q331" s="7">
        <v>40.770000000000003</v>
      </c>
      <c r="R331" s="7">
        <v>0</v>
      </c>
      <c r="S331" s="7">
        <v>0</v>
      </c>
      <c r="T331" s="6" t="s">
        <v>445</v>
      </c>
    </row>
    <row r="332" spans="1:53" s="6" customFormat="1" x14ac:dyDescent="0.25">
      <c r="A332" s="6">
        <v>2030581492</v>
      </c>
      <c r="B332" s="6" t="s">
        <v>548</v>
      </c>
      <c r="C332" s="6" t="s">
        <v>549</v>
      </c>
      <c r="D332" s="6" t="str">
        <f t="shared" si="15"/>
        <v>STRONSKI GRZEGORZ</v>
      </c>
      <c r="E332" s="6" t="s">
        <v>445</v>
      </c>
      <c r="F332" s="6">
        <v>19681796</v>
      </c>
      <c r="G332" s="6" t="s">
        <v>1118</v>
      </c>
      <c r="H332" s="6" t="s">
        <v>56</v>
      </c>
      <c r="I332" s="5">
        <v>45890</v>
      </c>
      <c r="J332" s="5">
        <v>45951</v>
      </c>
      <c r="K332" s="7">
        <v>204.04</v>
      </c>
      <c r="L332" s="6">
        <f t="shared" si="16"/>
        <v>2</v>
      </c>
      <c r="M332" s="6" t="s">
        <v>59</v>
      </c>
      <c r="N332" s="6" t="s">
        <v>1145</v>
      </c>
      <c r="O332" s="9">
        <v>0.7</v>
      </c>
      <c r="P332" s="16">
        <f t="shared" si="17"/>
        <v>142.82799999999997</v>
      </c>
      <c r="Q332" s="7">
        <v>142.83000000000001</v>
      </c>
      <c r="R332" s="7">
        <v>0</v>
      </c>
      <c r="S332" s="7">
        <v>0</v>
      </c>
      <c r="T332" s="6" t="s">
        <v>445</v>
      </c>
    </row>
    <row r="333" spans="1:53" s="6" customFormat="1" x14ac:dyDescent="0.25">
      <c r="A333" s="6">
        <v>2030218150</v>
      </c>
      <c r="B333" s="6" t="s">
        <v>331</v>
      </c>
      <c r="C333" s="6" t="s">
        <v>281</v>
      </c>
      <c r="D333" s="6" t="str">
        <f t="shared" si="15"/>
        <v>ANDREW MICHELLE</v>
      </c>
      <c r="E333" s="6" t="s">
        <v>445</v>
      </c>
      <c r="F333" s="6">
        <v>16912722</v>
      </c>
      <c r="G333" s="6" t="s">
        <v>1111</v>
      </c>
      <c r="H333" s="6" t="s">
        <v>230</v>
      </c>
      <c r="I333" s="5">
        <v>45870</v>
      </c>
      <c r="J333" s="5">
        <v>45931</v>
      </c>
      <c r="K333" s="7">
        <v>-235.88</v>
      </c>
      <c r="L333" s="6">
        <f t="shared" si="16"/>
        <v>2</v>
      </c>
      <c r="M333" s="6" t="s">
        <v>59</v>
      </c>
      <c r="N333" s="6" t="s">
        <v>1145</v>
      </c>
      <c r="O333" s="9">
        <v>0.7</v>
      </c>
      <c r="P333" s="16">
        <f t="shared" si="17"/>
        <v>-165.11599999999999</v>
      </c>
      <c r="Q333" s="7">
        <v>0</v>
      </c>
      <c r="R333" s="7">
        <v>-165.12</v>
      </c>
      <c r="S333" s="7">
        <v>-165.12</v>
      </c>
      <c r="T333" s="6" t="s">
        <v>445</v>
      </c>
    </row>
    <row r="334" spans="1:53" s="6" customFormat="1" x14ac:dyDescent="0.25">
      <c r="A334" s="6">
        <v>2030329697</v>
      </c>
      <c r="B334" s="6" t="s">
        <v>726</v>
      </c>
      <c r="C334" s="6" t="s">
        <v>725</v>
      </c>
      <c r="D334" s="6" t="str">
        <f t="shared" si="15"/>
        <v>JADAH MILAM-MORRISON</v>
      </c>
      <c r="E334" s="6" t="s">
        <v>445</v>
      </c>
      <c r="F334" s="6">
        <v>371819</v>
      </c>
      <c r="G334" s="6" t="s">
        <v>1085</v>
      </c>
      <c r="H334" s="6" t="s">
        <v>56</v>
      </c>
      <c r="I334" s="5">
        <v>45882</v>
      </c>
      <c r="J334" s="5">
        <v>45943</v>
      </c>
      <c r="K334" s="7">
        <v>174.5</v>
      </c>
      <c r="L334" s="6">
        <f t="shared" si="16"/>
        <v>2</v>
      </c>
      <c r="M334" s="6" t="s">
        <v>59</v>
      </c>
      <c r="N334" s="6" t="s">
        <v>1145</v>
      </c>
      <c r="O334" s="9">
        <v>0.7</v>
      </c>
      <c r="P334" s="16">
        <f t="shared" si="17"/>
        <v>122.14999999999999</v>
      </c>
      <c r="Q334" s="7">
        <v>122.15</v>
      </c>
      <c r="R334" s="7">
        <v>0</v>
      </c>
      <c r="S334" s="7">
        <v>0</v>
      </c>
      <c r="T334" s="6" t="s">
        <v>445</v>
      </c>
    </row>
    <row r="335" spans="1:53" s="6" customFormat="1" x14ac:dyDescent="0.25">
      <c r="A335" s="6">
        <v>2030474678</v>
      </c>
      <c r="B335" s="6" t="s">
        <v>709</v>
      </c>
      <c r="C335" s="6" t="s">
        <v>708</v>
      </c>
      <c r="D335" s="6" t="str">
        <f t="shared" si="15"/>
        <v>AMY PITTMAN</v>
      </c>
      <c r="E335" s="6" t="s">
        <v>445</v>
      </c>
      <c r="F335" s="6">
        <v>17117649</v>
      </c>
      <c r="G335" s="6" t="s">
        <v>1140</v>
      </c>
      <c r="H335" s="6" t="s">
        <v>56</v>
      </c>
      <c r="I335" s="5">
        <v>45884</v>
      </c>
      <c r="J335" s="5">
        <v>45945</v>
      </c>
      <c r="K335" s="7">
        <v>55.61</v>
      </c>
      <c r="L335" s="6">
        <f t="shared" si="16"/>
        <v>2</v>
      </c>
      <c r="M335" s="6" t="s">
        <v>59</v>
      </c>
      <c r="N335" s="6" t="s">
        <v>1145</v>
      </c>
      <c r="O335" s="9">
        <v>0.7</v>
      </c>
      <c r="P335" s="16">
        <f t="shared" si="17"/>
        <v>38.927</v>
      </c>
      <c r="Q335" s="7">
        <v>38.93</v>
      </c>
      <c r="R335" s="7">
        <v>0</v>
      </c>
      <c r="S335" s="7">
        <v>0</v>
      </c>
      <c r="T335" s="6" t="s">
        <v>445</v>
      </c>
    </row>
    <row r="336" spans="1:53" s="6" customFormat="1" x14ac:dyDescent="0.25">
      <c r="A336" s="6">
        <v>2029956855</v>
      </c>
      <c r="B336" s="6" t="s">
        <v>917</v>
      </c>
      <c r="C336" s="6" t="s">
        <v>916</v>
      </c>
      <c r="D336" s="6" t="str">
        <f t="shared" si="15"/>
        <v>JEFF REY</v>
      </c>
      <c r="E336" s="6" t="s">
        <v>445</v>
      </c>
      <c r="F336" s="6">
        <v>21436172</v>
      </c>
      <c r="G336" s="6" t="s">
        <v>1126</v>
      </c>
      <c r="H336" s="6" t="s">
        <v>56</v>
      </c>
      <c r="I336" s="5">
        <v>45883</v>
      </c>
      <c r="J336" s="5">
        <v>45944</v>
      </c>
      <c r="K336" s="7">
        <v>11.5</v>
      </c>
      <c r="L336" s="6">
        <f t="shared" si="16"/>
        <v>2</v>
      </c>
      <c r="M336" s="6" t="s">
        <v>59</v>
      </c>
      <c r="N336" s="6" t="s">
        <v>1145</v>
      </c>
      <c r="O336" s="9">
        <v>0.7</v>
      </c>
      <c r="P336" s="16">
        <f t="shared" si="17"/>
        <v>8.0499999999999989</v>
      </c>
      <c r="Q336" s="7">
        <v>8.0500000000000007</v>
      </c>
      <c r="R336" s="7">
        <v>0</v>
      </c>
      <c r="S336" s="7">
        <v>0</v>
      </c>
      <c r="T336" s="6" t="s">
        <v>445</v>
      </c>
    </row>
    <row r="337" spans="1:20" s="6" customFormat="1" x14ac:dyDescent="0.25">
      <c r="A337" s="6">
        <v>2030503342</v>
      </c>
      <c r="B337" s="6" t="s">
        <v>696</v>
      </c>
      <c r="C337" s="6" t="s">
        <v>351</v>
      </c>
      <c r="D337" s="6" t="str">
        <f t="shared" si="15"/>
        <v>JOSHUA ROSE</v>
      </c>
      <c r="E337" s="6" t="s">
        <v>445</v>
      </c>
      <c r="F337" s="6">
        <v>21436172</v>
      </c>
      <c r="G337" s="6" t="s">
        <v>1126</v>
      </c>
      <c r="H337" s="6" t="s">
        <v>56</v>
      </c>
      <c r="I337" s="5">
        <v>45884</v>
      </c>
      <c r="J337" s="5">
        <v>45945</v>
      </c>
      <c r="K337" s="7">
        <v>56.5</v>
      </c>
      <c r="L337" s="6">
        <f t="shared" si="16"/>
        <v>2</v>
      </c>
      <c r="M337" s="6" t="s">
        <v>59</v>
      </c>
      <c r="N337" s="6" t="s">
        <v>1145</v>
      </c>
      <c r="O337" s="9">
        <v>0.7</v>
      </c>
      <c r="P337" s="16">
        <f t="shared" si="17"/>
        <v>39.549999999999997</v>
      </c>
      <c r="Q337" s="7">
        <v>39.549999999999997</v>
      </c>
      <c r="R337" s="7">
        <v>0</v>
      </c>
      <c r="S337" s="7">
        <v>0</v>
      </c>
      <c r="T337" s="6" t="s">
        <v>445</v>
      </c>
    </row>
    <row r="338" spans="1:20" s="6" customFormat="1" x14ac:dyDescent="0.25">
      <c r="A338" s="6">
        <v>2030512186</v>
      </c>
      <c r="B338" s="6" t="s">
        <v>695</v>
      </c>
      <c r="C338" s="6" t="s">
        <v>145</v>
      </c>
      <c r="D338" s="6" t="str">
        <f t="shared" si="15"/>
        <v>CHARLES SELKE</v>
      </c>
      <c r="E338" s="6" t="s">
        <v>445</v>
      </c>
      <c r="F338" s="6">
        <v>17143996</v>
      </c>
      <c r="G338" s="6" t="s">
        <v>1127</v>
      </c>
      <c r="H338" s="6" t="s">
        <v>56</v>
      </c>
      <c r="I338" s="5">
        <v>45887</v>
      </c>
      <c r="J338" s="5">
        <v>45948</v>
      </c>
      <c r="K338" s="7">
        <v>28.9</v>
      </c>
      <c r="L338" s="6">
        <f t="shared" si="16"/>
        <v>2</v>
      </c>
      <c r="M338" s="6" t="s">
        <v>59</v>
      </c>
      <c r="N338" s="6" t="s">
        <v>1145</v>
      </c>
      <c r="O338" s="9">
        <v>0.7</v>
      </c>
      <c r="P338" s="16">
        <f t="shared" si="17"/>
        <v>20.229999999999997</v>
      </c>
      <c r="Q338" s="7">
        <v>20.23</v>
      </c>
      <c r="R338" s="7">
        <v>0</v>
      </c>
      <c r="S338" s="7">
        <v>0</v>
      </c>
      <c r="T338" s="6" t="s">
        <v>445</v>
      </c>
    </row>
    <row r="339" spans="1:20" s="6" customFormat="1" x14ac:dyDescent="0.25">
      <c r="A339" s="6">
        <v>2030495949</v>
      </c>
      <c r="B339" s="6" t="s">
        <v>284</v>
      </c>
      <c r="C339" s="6" t="s">
        <v>285</v>
      </c>
      <c r="D339" s="6" t="str">
        <f t="shared" si="15"/>
        <v>KELSIE SUTHERLAND</v>
      </c>
      <c r="E339" s="6" t="s">
        <v>445</v>
      </c>
      <c r="F339" s="6">
        <v>16912722</v>
      </c>
      <c r="G339" s="6" t="s">
        <v>1111</v>
      </c>
      <c r="H339" s="6" t="s">
        <v>56</v>
      </c>
      <c r="I339" s="5">
        <v>45884</v>
      </c>
      <c r="J339" s="5">
        <v>45945</v>
      </c>
      <c r="K339" s="7">
        <v>-53.36</v>
      </c>
      <c r="L339" s="6">
        <f t="shared" si="16"/>
        <v>2</v>
      </c>
      <c r="M339" s="6" t="s">
        <v>59</v>
      </c>
      <c r="N339" s="6" t="s">
        <v>1145</v>
      </c>
      <c r="O339" s="9">
        <v>0.7</v>
      </c>
      <c r="P339" s="16">
        <f t="shared" si="17"/>
        <v>-37.351999999999997</v>
      </c>
      <c r="Q339" s="7">
        <v>0</v>
      </c>
      <c r="R339" s="7">
        <v>-37.35</v>
      </c>
      <c r="S339" s="7">
        <v>-37.35</v>
      </c>
      <c r="T339" s="6" t="s">
        <v>445</v>
      </c>
    </row>
    <row r="340" spans="1:20" s="6" customFormat="1" x14ac:dyDescent="0.25">
      <c r="A340" s="6">
        <v>2030495949</v>
      </c>
      <c r="B340" s="6" t="s">
        <v>284</v>
      </c>
      <c r="C340" s="6" t="s">
        <v>285</v>
      </c>
      <c r="D340" s="6" t="str">
        <f t="shared" si="15"/>
        <v>KELSIE SUTHERLAND</v>
      </c>
      <c r="E340" s="6" t="s">
        <v>445</v>
      </c>
      <c r="F340" s="6">
        <v>16912722</v>
      </c>
      <c r="G340" s="6" t="s">
        <v>1111</v>
      </c>
      <c r="H340" s="6" t="s">
        <v>56</v>
      </c>
      <c r="I340" s="5">
        <v>45884</v>
      </c>
      <c r="J340" s="5">
        <v>45945</v>
      </c>
      <c r="K340" s="7">
        <v>72.760000000000005</v>
      </c>
      <c r="L340" s="6">
        <f t="shared" si="16"/>
        <v>2</v>
      </c>
      <c r="M340" s="6" t="s">
        <v>59</v>
      </c>
      <c r="N340" s="6" t="s">
        <v>1145</v>
      </c>
      <c r="O340" s="9">
        <v>0.7</v>
      </c>
      <c r="P340" s="16">
        <f t="shared" si="17"/>
        <v>50.932000000000002</v>
      </c>
      <c r="Q340" s="7">
        <v>50.93</v>
      </c>
      <c r="R340" s="7">
        <v>0</v>
      </c>
      <c r="S340" s="7">
        <v>0</v>
      </c>
      <c r="T340" s="6" t="s">
        <v>445</v>
      </c>
    </row>
    <row r="341" spans="1:20" s="6" customFormat="1" x14ac:dyDescent="0.25">
      <c r="A341" s="6">
        <v>2030455581</v>
      </c>
      <c r="B341" s="6" t="s">
        <v>710</v>
      </c>
      <c r="C341" s="6" t="s">
        <v>398</v>
      </c>
      <c r="D341" s="6" t="str">
        <f t="shared" si="15"/>
        <v>JASON TROUT</v>
      </c>
      <c r="E341" s="6" t="s">
        <v>445</v>
      </c>
      <c r="F341" s="6">
        <v>16865615</v>
      </c>
      <c r="G341" s="6" t="s">
        <v>1107</v>
      </c>
      <c r="H341" s="6" t="s">
        <v>56</v>
      </c>
      <c r="I341" s="5">
        <v>45882</v>
      </c>
      <c r="J341" s="5">
        <v>45943</v>
      </c>
      <c r="K341" s="7">
        <v>27.38</v>
      </c>
      <c r="L341" s="6">
        <f t="shared" si="16"/>
        <v>2</v>
      </c>
      <c r="M341" s="6" t="s">
        <v>59</v>
      </c>
      <c r="N341" s="6" t="s">
        <v>1145</v>
      </c>
      <c r="O341" s="9">
        <v>0.7</v>
      </c>
      <c r="P341" s="16">
        <f t="shared" si="17"/>
        <v>19.165999999999997</v>
      </c>
      <c r="Q341" s="7">
        <v>19.170000000000002</v>
      </c>
      <c r="R341" s="7">
        <v>0</v>
      </c>
      <c r="S341" s="7">
        <v>0</v>
      </c>
      <c r="T341" s="6" t="s">
        <v>445</v>
      </c>
    </row>
    <row r="342" spans="1:20" s="6" customFormat="1" x14ac:dyDescent="0.25">
      <c r="A342" s="6">
        <v>2030602566</v>
      </c>
      <c r="B342" s="6" t="s">
        <v>552</v>
      </c>
      <c r="C342" s="6" t="s">
        <v>553</v>
      </c>
      <c r="D342" s="6" t="str">
        <f t="shared" si="15"/>
        <v>ERDENEBAYAR TSERENLKHAM</v>
      </c>
      <c r="E342" s="6" t="s">
        <v>445</v>
      </c>
      <c r="F342" s="6">
        <v>20220688</v>
      </c>
      <c r="G342" s="6" t="s">
        <v>1087</v>
      </c>
      <c r="H342" s="6" t="s">
        <v>56</v>
      </c>
      <c r="I342" s="5">
        <v>45890</v>
      </c>
      <c r="J342" s="5">
        <v>45951</v>
      </c>
      <c r="K342" s="7">
        <v>56.51</v>
      </c>
      <c r="L342" s="6">
        <f t="shared" si="16"/>
        <v>2</v>
      </c>
      <c r="M342" s="6" t="s">
        <v>59</v>
      </c>
      <c r="N342" s="6" t="s">
        <v>1145</v>
      </c>
      <c r="O342" s="9">
        <v>0.7</v>
      </c>
      <c r="P342" s="16">
        <f t="shared" si="17"/>
        <v>39.556999999999995</v>
      </c>
      <c r="Q342" s="7">
        <v>39.56</v>
      </c>
      <c r="R342" s="7">
        <v>0</v>
      </c>
      <c r="S342" s="7">
        <v>0</v>
      </c>
      <c r="T342" s="6" t="s">
        <v>445</v>
      </c>
    </row>
    <row r="343" spans="1:20" s="6" customFormat="1" x14ac:dyDescent="0.25">
      <c r="A343" s="6">
        <v>2030382339</v>
      </c>
      <c r="B343" s="6" t="s">
        <v>716</v>
      </c>
      <c r="C343" s="6" t="s">
        <v>339</v>
      </c>
      <c r="D343" s="6" t="str">
        <f t="shared" si="15"/>
        <v>STACEY WATKINS</v>
      </c>
      <c r="E343" s="6" t="s">
        <v>445</v>
      </c>
      <c r="F343" s="6">
        <v>7146581</v>
      </c>
      <c r="G343" s="6" t="s">
        <v>1110</v>
      </c>
      <c r="H343" s="6" t="s">
        <v>56</v>
      </c>
      <c r="I343" s="5">
        <v>45877</v>
      </c>
      <c r="J343" s="5">
        <v>45938</v>
      </c>
      <c r="K343" s="7">
        <v>-96.02</v>
      </c>
      <c r="L343" s="6">
        <f t="shared" si="16"/>
        <v>2</v>
      </c>
      <c r="M343" s="6" t="s">
        <v>59</v>
      </c>
      <c r="N343" s="6" t="s">
        <v>1145</v>
      </c>
      <c r="O343" s="9">
        <v>0.7</v>
      </c>
      <c r="P343" s="16">
        <f t="shared" si="17"/>
        <v>-67.213999999999999</v>
      </c>
      <c r="Q343" s="7">
        <v>0</v>
      </c>
      <c r="R343" s="7">
        <v>-67.209999999999994</v>
      </c>
      <c r="S343" s="7">
        <v>-67.209999999999994</v>
      </c>
      <c r="T343" s="6" t="s">
        <v>445</v>
      </c>
    </row>
    <row r="344" spans="1:20" s="6" customFormat="1" x14ac:dyDescent="0.25">
      <c r="A344" s="6">
        <v>2029985852</v>
      </c>
      <c r="B344" s="6" t="s">
        <v>825</v>
      </c>
      <c r="C344" s="6" t="s">
        <v>283</v>
      </c>
      <c r="D344" s="6" t="str">
        <f t="shared" si="15"/>
        <v>ANDREA ACHIMAS</v>
      </c>
      <c r="E344" s="6" t="s">
        <v>445</v>
      </c>
      <c r="F344" s="6">
        <v>16633294</v>
      </c>
      <c r="G344" s="6" t="s">
        <v>1079</v>
      </c>
      <c r="H344" s="6" t="s">
        <v>56</v>
      </c>
      <c r="I344" s="5">
        <v>45855</v>
      </c>
      <c r="J344" s="5">
        <v>45947</v>
      </c>
      <c r="K344" s="7">
        <v>15.75</v>
      </c>
      <c r="L344" s="6">
        <f t="shared" si="16"/>
        <v>3</v>
      </c>
      <c r="M344" s="6" t="s">
        <v>59</v>
      </c>
      <c r="N344" s="6" t="s">
        <v>1145</v>
      </c>
      <c r="O344" s="9">
        <v>0.7</v>
      </c>
      <c r="P344" s="16">
        <f t="shared" si="17"/>
        <v>11.024999999999999</v>
      </c>
      <c r="Q344" s="7">
        <v>11.02</v>
      </c>
      <c r="R344" s="7">
        <v>0</v>
      </c>
      <c r="S344" s="7">
        <v>0</v>
      </c>
      <c r="T344" s="6" t="s">
        <v>445</v>
      </c>
    </row>
    <row r="345" spans="1:20" s="6" customFormat="1" x14ac:dyDescent="0.25">
      <c r="A345" s="6">
        <v>2029910878</v>
      </c>
      <c r="B345" s="6" t="s">
        <v>202</v>
      </c>
      <c r="C345" s="6" t="s">
        <v>203</v>
      </c>
      <c r="D345" s="6" t="str">
        <f t="shared" si="15"/>
        <v>DEYANIRA ALMENDAREZ</v>
      </c>
      <c r="E345" s="6" t="s">
        <v>445</v>
      </c>
      <c r="F345" s="6">
        <v>21283956</v>
      </c>
      <c r="G345" s="6" t="s">
        <v>1106</v>
      </c>
      <c r="H345" s="6" t="s">
        <v>56</v>
      </c>
      <c r="I345" s="5">
        <v>45850</v>
      </c>
      <c r="J345" s="5">
        <v>45942</v>
      </c>
      <c r="K345" s="7">
        <v>175.37</v>
      </c>
      <c r="L345" s="6">
        <f t="shared" si="16"/>
        <v>3</v>
      </c>
      <c r="M345" s="6" t="s">
        <v>59</v>
      </c>
      <c r="N345" s="6" t="s">
        <v>1145</v>
      </c>
      <c r="O345" s="9">
        <v>0.7</v>
      </c>
      <c r="P345" s="16">
        <f t="shared" si="17"/>
        <v>122.759</v>
      </c>
      <c r="Q345" s="7">
        <v>122.76</v>
      </c>
      <c r="R345" s="7">
        <v>0</v>
      </c>
      <c r="S345" s="7">
        <v>0</v>
      </c>
      <c r="T345" s="6" t="s">
        <v>445</v>
      </c>
    </row>
    <row r="346" spans="1:20" s="6" customFormat="1" x14ac:dyDescent="0.25">
      <c r="A346" s="6">
        <v>2029910878</v>
      </c>
      <c r="B346" s="6" t="s">
        <v>202</v>
      </c>
      <c r="C346" s="6" t="s">
        <v>203</v>
      </c>
      <c r="D346" s="6" t="str">
        <f t="shared" si="15"/>
        <v>DEYANIRA ALMENDAREZ</v>
      </c>
      <c r="E346" s="6" t="s">
        <v>445</v>
      </c>
      <c r="F346" s="6">
        <v>21283956</v>
      </c>
      <c r="G346" s="6" t="s">
        <v>1106</v>
      </c>
      <c r="H346" s="6" t="s">
        <v>56</v>
      </c>
      <c r="I346" s="5">
        <v>45850</v>
      </c>
      <c r="J346" s="5">
        <v>45942</v>
      </c>
      <c r="K346" s="7">
        <v>-175.37</v>
      </c>
      <c r="L346" s="6">
        <f t="shared" si="16"/>
        <v>3</v>
      </c>
      <c r="M346" s="6" t="s">
        <v>59</v>
      </c>
      <c r="N346" s="6" t="s">
        <v>1145</v>
      </c>
      <c r="O346" s="9">
        <v>0.7</v>
      </c>
      <c r="P346" s="16">
        <f t="shared" si="17"/>
        <v>-122.759</v>
      </c>
      <c r="Q346" s="7">
        <v>0</v>
      </c>
      <c r="R346" s="7">
        <v>-122.76</v>
      </c>
      <c r="S346" s="7">
        <v>-122.76</v>
      </c>
      <c r="T346" s="6" t="s">
        <v>445</v>
      </c>
    </row>
    <row r="347" spans="1:20" s="6" customFormat="1" x14ac:dyDescent="0.25">
      <c r="A347" s="6">
        <v>2030129459</v>
      </c>
      <c r="B347" s="6" t="s">
        <v>538</v>
      </c>
      <c r="C347" s="6" t="s">
        <v>539</v>
      </c>
      <c r="D347" s="6" t="str">
        <f t="shared" si="15"/>
        <v>BENJAMIN ANGELA</v>
      </c>
      <c r="E347" s="6" t="s">
        <v>445</v>
      </c>
      <c r="F347" s="6">
        <v>21421111</v>
      </c>
      <c r="G347" s="6" t="s">
        <v>1096</v>
      </c>
      <c r="H347" s="6" t="s">
        <v>56</v>
      </c>
      <c r="I347" s="5">
        <v>45863</v>
      </c>
      <c r="J347" s="5">
        <v>45955</v>
      </c>
      <c r="K347" s="7">
        <v>30.68</v>
      </c>
      <c r="L347" s="6">
        <f t="shared" si="16"/>
        <v>3</v>
      </c>
      <c r="M347" s="6" t="s">
        <v>59</v>
      </c>
      <c r="N347" s="6" t="s">
        <v>1145</v>
      </c>
      <c r="O347" s="9">
        <v>0.7</v>
      </c>
      <c r="P347" s="16">
        <f t="shared" si="17"/>
        <v>21.475999999999999</v>
      </c>
      <c r="Q347" s="7">
        <v>21.48</v>
      </c>
      <c r="R347" s="7">
        <v>0</v>
      </c>
      <c r="S347" s="7">
        <v>0</v>
      </c>
      <c r="T347" s="6" t="s">
        <v>445</v>
      </c>
    </row>
    <row r="348" spans="1:20" s="6" customFormat="1" x14ac:dyDescent="0.25">
      <c r="A348" s="6">
        <v>2030016326</v>
      </c>
      <c r="B348" s="6" t="s">
        <v>904</v>
      </c>
      <c r="C348" s="6" t="s">
        <v>903</v>
      </c>
      <c r="D348" s="6" t="str">
        <f t="shared" si="15"/>
        <v>BUYANDELGER BOLORTUYA</v>
      </c>
      <c r="E348" s="6" t="s">
        <v>445</v>
      </c>
      <c r="F348" s="6">
        <v>20220688</v>
      </c>
      <c r="G348" s="6" t="s">
        <v>1087</v>
      </c>
      <c r="H348" s="6" t="s">
        <v>56</v>
      </c>
      <c r="I348" s="5">
        <v>45856</v>
      </c>
      <c r="J348" s="5">
        <v>45948</v>
      </c>
      <c r="K348" s="7">
        <v>60.25</v>
      </c>
      <c r="L348" s="6">
        <f t="shared" si="16"/>
        <v>3</v>
      </c>
      <c r="M348" s="6" t="s">
        <v>59</v>
      </c>
      <c r="N348" s="6" t="s">
        <v>1145</v>
      </c>
      <c r="O348" s="9">
        <v>0.7</v>
      </c>
      <c r="P348" s="16">
        <f t="shared" si="17"/>
        <v>42.174999999999997</v>
      </c>
      <c r="Q348" s="7">
        <v>42.18</v>
      </c>
      <c r="R348" s="7">
        <v>0</v>
      </c>
      <c r="S348" s="7">
        <v>0</v>
      </c>
      <c r="T348" s="6" t="s">
        <v>445</v>
      </c>
    </row>
    <row r="349" spans="1:20" s="6" customFormat="1" x14ac:dyDescent="0.25">
      <c r="A349" s="6">
        <v>2029880647</v>
      </c>
      <c r="B349" s="6" t="s">
        <v>388</v>
      </c>
      <c r="C349" s="6" t="s">
        <v>389</v>
      </c>
      <c r="D349" s="6" t="str">
        <f t="shared" si="15"/>
        <v>GARCIA CAROLE</v>
      </c>
      <c r="E349" s="6" t="s">
        <v>445</v>
      </c>
      <c r="F349" s="6">
        <v>19200754</v>
      </c>
      <c r="G349" s="6" t="s">
        <v>1094</v>
      </c>
      <c r="H349" s="6" t="s">
        <v>56</v>
      </c>
      <c r="I349" s="5">
        <v>45858</v>
      </c>
      <c r="J349" s="5">
        <v>45950</v>
      </c>
      <c r="K349" s="7">
        <v>46.46</v>
      </c>
      <c r="L349" s="6">
        <f t="shared" si="16"/>
        <v>3</v>
      </c>
      <c r="M349" s="6" t="s">
        <v>59</v>
      </c>
      <c r="N349" s="6" t="s">
        <v>1145</v>
      </c>
      <c r="O349" s="9">
        <v>0.7</v>
      </c>
      <c r="P349" s="16">
        <f t="shared" si="17"/>
        <v>32.521999999999998</v>
      </c>
      <c r="Q349" s="7">
        <v>32.520000000000003</v>
      </c>
      <c r="R349" s="7">
        <v>0</v>
      </c>
      <c r="S349" s="7">
        <v>0</v>
      </c>
      <c r="T349" s="6" t="s">
        <v>445</v>
      </c>
    </row>
    <row r="350" spans="1:20" s="6" customFormat="1" x14ac:dyDescent="0.25">
      <c r="A350" s="6">
        <v>2030017049</v>
      </c>
      <c r="B350" s="6" t="s">
        <v>902</v>
      </c>
      <c r="C350" s="6" t="s">
        <v>901</v>
      </c>
      <c r="D350" s="6" t="str">
        <f t="shared" si="15"/>
        <v>MUNKHJARGAL CHULUUNBAT</v>
      </c>
      <c r="E350" s="6" t="s">
        <v>445</v>
      </c>
      <c r="F350" s="6">
        <v>20220688</v>
      </c>
      <c r="G350" s="6" t="s">
        <v>1087</v>
      </c>
      <c r="H350" s="6" t="s">
        <v>56</v>
      </c>
      <c r="I350" s="5">
        <v>45856</v>
      </c>
      <c r="J350" s="5">
        <v>45948</v>
      </c>
      <c r="K350" s="7">
        <v>34</v>
      </c>
      <c r="L350" s="6">
        <f t="shared" si="16"/>
        <v>3</v>
      </c>
      <c r="M350" s="6" t="s">
        <v>59</v>
      </c>
      <c r="N350" s="6" t="s">
        <v>1145</v>
      </c>
      <c r="O350" s="9">
        <v>0.7</v>
      </c>
      <c r="P350" s="16">
        <f t="shared" si="17"/>
        <v>23.799999999999997</v>
      </c>
      <c r="Q350" s="7">
        <v>23.8</v>
      </c>
      <c r="R350" s="7">
        <v>0</v>
      </c>
      <c r="S350" s="7">
        <v>0</v>
      </c>
      <c r="T350" s="6" t="s">
        <v>445</v>
      </c>
    </row>
    <row r="351" spans="1:20" s="6" customFormat="1" x14ac:dyDescent="0.25">
      <c r="A351" s="6">
        <v>2030113890</v>
      </c>
      <c r="B351" s="6" t="s">
        <v>394</v>
      </c>
      <c r="C351" s="6" t="s">
        <v>395</v>
      </c>
      <c r="D351" s="6" t="str">
        <f t="shared" si="15"/>
        <v>THORNTON DAWN</v>
      </c>
      <c r="E351" s="6" t="s">
        <v>445</v>
      </c>
      <c r="F351" s="6">
        <v>371819</v>
      </c>
      <c r="G351" s="6" t="s">
        <v>1085</v>
      </c>
      <c r="H351" s="6" t="s">
        <v>56</v>
      </c>
      <c r="I351" s="5">
        <v>45862</v>
      </c>
      <c r="J351" s="5">
        <v>45954</v>
      </c>
      <c r="K351" s="7">
        <v>16.510000000000002</v>
      </c>
      <c r="L351" s="6">
        <f t="shared" si="16"/>
        <v>3</v>
      </c>
      <c r="M351" s="6" t="s">
        <v>59</v>
      </c>
      <c r="N351" s="6" t="s">
        <v>1145</v>
      </c>
      <c r="O351" s="9">
        <v>0.7</v>
      </c>
      <c r="P351" s="16">
        <f t="shared" si="17"/>
        <v>11.557</v>
      </c>
      <c r="Q351" s="7">
        <v>11.56</v>
      </c>
      <c r="R351" s="7">
        <v>0</v>
      </c>
      <c r="S351" s="7">
        <v>0</v>
      </c>
      <c r="T351" s="6" t="s">
        <v>445</v>
      </c>
    </row>
    <row r="352" spans="1:20" s="6" customFormat="1" x14ac:dyDescent="0.25">
      <c r="A352" s="6">
        <v>2029938123</v>
      </c>
      <c r="B352" s="6" t="s">
        <v>837</v>
      </c>
      <c r="C352" s="6" t="s">
        <v>836</v>
      </c>
      <c r="D352" s="6" t="str">
        <f t="shared" si="15"/>
        <v>KENZIE DUKE</v>
      </c>
      <c r="E352" s="6" t="s">
        <v>445</v>
      </c>
      <c r="F352" s="6">
        <v>371819</v>
      </c>
      <c r="G352" s="6" t="s">
        <v>1085</v>
      </c>
      <c r="H352" s="6" t="s">
        <v>56</v>
      </c>
      <c r="I352" s="5">
        <v>45853</v>
      </c>
      <c r="J352" s="5">
        <v>45945</v>
      </c>
      <c r="K352" s="7">
        <v>75.900000000000006</v>
      </c>
      <c r="L352" s="6">
        <f t="shared" si="16"/>
        <v>3</v>
      </c>
      <c r="M352" s="6" t="s">
        <v>59</v>
      </c>
      <c r="N352" s="6" t="s">
        <v>1145</v>
      </c>
      <c r="O352" s="9">
        <v>0.7</v>
      </c>
      <c r="P352" s="16">
        <f t="shared" si="17"/>
        <v>53.13</v>
      </c>
      <c r="Q352" s="7">
        <v>53.13</v>
      </c>
      <c r="R352" s="7">
        <v>0</v>
      </c>
      <c r="S352" s="7">
        <v>0</v>
      </c>
      <c r="T352" s="6" t="s">
        <v>445</v>
      </c>
    </row>
    <row r="353" spans="1:20" s="6" customFormat="1" x14ac:dyDescent="0.25">
      <c r="A353" s="6">
        <v>2029969604</v>
      </c>
      <c r="B353" s="6" t="s">
        <v>831</v>
      </c>
      <c r="C353" s="6" t="s">
        <v>830</v>
      </c>
      <c r="D353" s="6" t="str">
        <f t="shared" si="15"/>
        <v>STEPHEN DUNCAN</v>
      </c>
      <c r="E353" s="6" t="s">
        <v>445</v>
      </c>
      <c r="F353" s="6">
        <v>16865615</v>
      </c>
      <c r="G353" s="6" t="s">
        <v>1107</v>
      </c>
      <c r="H353" s="6" t="s">
        <v>56</v>
      </c>
      <c r="I353" s="5">
        <v>45854</v>
      </c>
      <c r="J353" s="5">
        <v>45946</v>
      </c>
      <c r="K353" s="7">
        <v>9.1</v>
      </c>
      <c r="L353" s="6">
        <f t="shared" si="16"/>
        <v>3</v>
      </c>
      <c r="M353" s="6" t="s">
        <v>59</v>
      </c>
      <c r="N353" s="6" t="s">
        <v>1145</v>
      </c>
      <c r="O353" s="9">
        <v>0.7</v>
      </c>
      <c r="P353" s="16">
        <f t="shared" si="17"/>
        <v>6.3699999999999992</v>
      </c>
      <c r="Q353" s="7">
        <v>6.37</v>
      </c>
      <c r="R353" s="7">
        <v>0</v>
      </c>
      <c r="S353" s="7">
        <v>0</v>
      </c>
      <c r="T353" s="6" t="s">
        <v>445</v>
      </c>
    </row>
    <row r="354" spans="1:20" s="6" customFormat="1" x14ac:dyDescent="0.25">
      <c r="A354" s="6">
        <v>2029872568</v>
      </c>
      <c r="B354" s="6" t="s">
        <v>925</v>
      </c>
      <c r="C354" s="6" t="s">
        <v>364</v>
      </c>
      <c r="D354" s="6" t="str">
        <f t="shared" si="15"/>
        <v>MARIA FUSILERO</v>
      </c>
      <c r="E354" s="6" t="s">
        <v>445</v>
      </c>
      <c r="F354" s="6">
        <v>19200754</v>
      </c>
      <c r="G354" s="6" t="s">
        <v>1094</v>
      </c>
      <c r="H354" s="6" t="s">
        <v>56</v>
      </c>
      <c r="I354" s="5">
        <v>45848</v>
      </c>
      <c r="J354" s="5">
        <v>45940</v>
      </c>
      <c r="K354" s="7">
        <v>60</v>
      </c>
      <c r="L354" s="6">
        <f t="shared" si="16"/>
        <v>3</v>
      </c>
      <c r="M354" s="6" t="s">
        <v>59</v>
      </c>
      <c r="N354" s="6" t="s">
        <v>1145</v>
      </c>
      <c r="O354" s="9">
        <v>0.7</v>
      </c>
      <c r="P354" s="16">
        <f t="shared" si="17"/>
        <v>42</v>
      </c>
      <c r="Q354" s="7">
        <v>0</v>
      </c>
      <c r="R354" s="7">
        <v>42</v>
      </c>
      <c r="S354" s="7">
        <v>42</v>
      </c>
      <c r="T354" s="6" t="s">
        <v>445</v>
      </c>
    </row>
    <row r="355" spans="1:20" s="6" customFormat="1" x14ac:dyDescent="0.25">
      <c r="A355" s="6">
        <v>2029994615</v>
      </c>
      <c r="B355" s="6" t="s">
        <v>907</v>
      </c>
      <c r="C355" s="6" t="s">
        <v>906</v>
      </c>
      <c r="D355" s="6" t="str">
        <f t="shared" si="15"/>
        <v>STACIE GIBSON</v>
      </c>
      <c r="E355" s="6" t="s">
        <v>445</v>
      </c>
      <c r="F355" s="6">
        <v>19681796</v>
      </c>
      <c r="G355" s="6" t="s">
        <v>1118</v>
      </c>
      <c r="H355" s="6" t="s">
        <v>56</v>
      </c>
      <c r="I355" s="5">
        <v>45855</v>
      </c>
      <c r="J355" s="5">
        <v>45947</v>
      </c>
      <c r="K355" s="7">
        <v>28.45</v>
      </c>
      <c r="L355" s="6">
        <f t="shared" si="16"/>
        <v>3</v>
      </c>
      <c r="M355" s="6" t="s">
        <v>59</v>
      </c>
      <c r="N355" s="6" t="s">
        <v>1145</v>
      </c>
      <c r="O355" s="9">
        <v>0.7</v>
      </c>
      <c r="P355" s="16">
        <f t="shared" si="17"/>
        <v>19.914999999999999</v>
      </c>
      <c r="Q355" s="7">
        <v>19.920000000000002</v>
      </c>
      <c r="R355" s="7">
        <v>0</v>
      </c>
      <c r="S355" s="7">
        <v>0</v>
      </c>
      <c r="T355" s="6" t="s">
        <v>445</v>
      </c>
    </row>
    <row r="356" spans="1:20" s="6" customFormat="1" x14ac:dyDescent="0.25">
      <c r="A356" s="6">
        <v>2029958122</v>
      </c>
      <c r="B356" s="6" t="s">
        <v>915</v>
      </c>
      <c r="C356" s="6" t="s">
        <v>914</v>
      </c>
      <c r="D356" s="6" t="str">
        <f t="shared" si="15"/>
        <v>LATISHA HOLLIS</v>
      </c>
      <c r="E356" s="6" t="s">
        <v>445</v>
      </c>
      <c r="F356" s="6">
        <v>21436172</v>
      </c>
      <c r="G356" s="6" t="s">
        <v>1126</v>
      </c>
      <c r="H356" s="6" t="s">
        <v>56</v>
      </c>
      <c r="I356" s="5">
        <v>45853</v>
      </c>
      <c r="J356" s="5">
        <v>45945</v>
      </c>
      <c r="K356" s="7">
        <v>69.25</v>
      </c>
      <c r="L356" s="6">
        <f t="shared" si="16"/>
        <v>3</v>
      </c>
      <c r="M356" s="6" t="s">
        <v>59</v>
      </c>
      <c r="N356" s="6" t="s">
        <v>1145</v>
      </c>
      <c r="O356" s="9">
        <v>0.7</v>
      </c>
      <c r="P356" s="16">
        <f t="shared" si="17"/>
        <v>48.474999999999994</v>
      </c>
      <c r="Q356" s="7">
        <v>48.48</v>
      </c>
      <c r="R356" s="7">
        <v>0</v>
      </c>
      <c r="S356" s="7">
        <v>0</v>
      </c>
      <c r="T356" s="6" t="s">
        <v>445</v>
      </c>
    </row>
    <row r="357" spans="1:20" s="6" customFormat="1" x14ac:dyDescent="0.25">
      <c r="A357" s="6">
        <v>2030055437</v>
      </c>
      <c r="B357" s="6" t="s">
        <v>527</v>
      </c>
      <c r="C357" s="6" t="s">
        <v>528</v>
      </c>
      <c r="D357" s="6" t="str">
        <f t="shared" si="15"/>
        <v>WOJTASIK JAY</v>
      </c>
      <c r="E357" s="6" t="s">
        <v>445</v>
      </c>
      <c r="F357" s="6">
        <v>20220688</v>
      </c>
      <c r="G357" s="6" t="s">
        <v>1087</v>
      </c>
      <c r="H357" s="6" t="s">
        <v>56</v>
      </c>
      <c r="I357" s="5">
        <v>45859</v>
      </c>
      <c r="J357" s="5">
        <v>45951</v>
      </c>
      <c r="K357" s="7">
        <v>32.200000000000003</v>
      </c>
      <c r="L357" s="6">
        <f t="shared" si="16"/>
        <v>3</v>
      </c>
      <c r="M357" s="6" t="s">
        <v>59</v>
      </c>
      <c r="N357" s="6" t="s">
        <v>1145</v>
      </c>
      <c r="O357" s="9">
        <v>0.7</v>
      </c>
      <c r="P357" s="16">
        <f t="shared" si="17"/>
        <v>22.54</v>
      </c>
      <c r="Q357" s="7">
        <v>22.54</v>
      </c>
      <c r="R357" s="7">
        <v>0</v>
      </c>
      <c r="S357" s="7">
        <v>0</v>
      </c>
      <c r="T357" s="6" t="s">
        <v>445</v>
      </c>
    </row>
    <row r="358" spans="1:20" s="6" customFormat="1" x14ac:dyDescent="0.25">
      <c r="A358" s="6">
        <v>2029957806</v>
      </c>
      <c r="B358" s="6" t="s">
        <v>361</v>
      </c>
      <c r="C358" s="6" t="s">
        <v>832</v>
      </c>
      <c r="D358" s="6" t="str">
        <f t="shared" si="15"/>
        <v>JULIE JENSEN</v>
      </c>
      <c r="E358" s="6" t="s">
        <v>445</v>
      </c>
      <c r="F358" s="6">
        <v>20724564</v>
      </c>
      <c r="G358" s="6" t="s">
        <v>1080</v>
      </c>
      <c r="H358" s="6" t="s">
        <v>56</v>
      </c>
      <c r="I358" s="5">
        <v>45854</v>
      </c>
      <c r="J358" s="5">
        <v>45946</v>
      </c>
      <c r="K358" s="7">
        <v>12.4</v>
      </c>
      <c r="L358" s="6">
        <f t="shared" si="16"/>
        <v>3</v>
      </c>
      <c r="M358" s="6" t="s">
        <v>59</v>
      </c>
      <c r="N358" s="6" t="s">
        <v>1145</v>
      </c>
      <c r="O358" s="9">
        <v>0.7</v>
      </c>
      <c r="P358" s="16">
        <f t="shared" si="17"/>
        <v>8.68</v>
      </c>
      <c r="Q358" s="7">
        <v>8.68</v>
      </c>
      <c r="R358" s="7">
        <v>0</v>
      </c>
      <c r="S358" s="7">
        <v>0</v>
      </c>
      <c r="T358" s="6" t="s">
        <v>445</v>
      </c>
    </row>
    <row r="359" spans="1:20" s="6" customFormat="1" x14ac:dyDescent="0.25">
      <c r="A359" s="6">
        <v>2029880668</v>
      </c>
      <c r="B359" s="6" t="s">
        <v>839</v>
      </c>
      <c r="C359" s="6" t="s">
        <v>838</v>
      </c>
      <c r="D359" s="6" t="str">
        <f t="shared" si="15"/>
        <v>OSCAR KLIS</v>
      </c>
      <c r="E359" s="6" t="s">
        <v>445</v>
      </c>
      <c r="F359" s="6">
        <v>7146581</v>
      </c>
      <c r="G359" s="6" t="s">
        <v>1110</v>
      </c>
      <c r="H359" s="6" t="s">
        <v>56</v>
      </c>
      <c r="I359" s="5">
        <v>45848</v>
      </c>
      <c r="J359" s="5">
        <v>45940</v>
      </c>
      <c r="K359" s="7">
        <v>56.5</v>
      </c>
      <c r="L359" s="6">
        <f t="shared" si="16"/>
        <v>3</v>
      </c>
      <c r="M359" s="6" t="s">
        <v>59</v>
      </c>
      <c r="N359" s="6" t="s">
        <v>1145</v>
      </c>
      <c r="O359" s="9">
        <v>0.7</v>
      </c>
      <c r="P359" s="16">
        <f t="shared" si="17"/>
        <v>39.549999999999997</v>
      </c>
      <c r="Q359" s="7">
        <v>39.549999999999997</v>
      </c>
      <c r="R359" s="7">
        <v>0</v>
      </c>
      <c r="S359" s="7">
        <v>0</v>
      </c>
      <c r="T359" s="6" t="s">
        <v>445</v>
      </c>
    </row>
    <row r="360" spans="1:20" s="6" customFormat="1" x14ac:dyDescent="0.25">
      <c r="A360" s="6">
        <v>2029992083</v>
      </c>
      <c r="B360" s="6" t="s">
        <v>204</v>
      </c>
      <c r="C360" s="6" t="s">
        <v>524</v>
      </c>
      <c r="D360" s="6" t="str">
        <f t="shared" si="15"/>
        <v>HICKS LA</v>
      </c>
      <c r="E360" s="6" t="s">
        <v>445</v>
      </c>
      <c r="F360" s="6">
        <v>21436172</v>
      </c>
      <c r="G360" s="6" t="s">
        <v>1126</v>
      </c>
      <c r="H360" s="6" t="s">
        <v>56</v>
      </c>
      <c r="I360" s="5">
        <v>45860</v>
      </c>
      <c r="J360" s="5">
        <v>45952</v>
      </c>
      <c r="K360" s="7">
        <v>84.57</v>
      </c>
      <c r="L360" s="6">
        <f t="shared" si="16"/>
        <v>3</v>
      </c>
      <c r="M360" s="6" t="s">
        <v>59</v>
      </c>
      <c r="N360" s="6" t="s">
        <v>1145</v>
      </c>
      <c r="O360" s="9">
        <v>0.7</v>
      </c>
      <c r="P360" s="16">
        <f t="shared" si="17"/>
        <v>59.198999999999991</v>
      </c>
      <c r="Q360" s="7">
        <v>59.2</v>
      </c>
      <c r="R360" s="7">
        <v>0</v>
      </c>
      <c r="S360" s="7">
        <v>0</v>
      </c>
      <c r="T360" s="6" t="s">
        <v>445</v>
      </c>
    </row>
    <row r="361" spans="1:20" s="6" customFormat="1" x14ac:dyDescent="0.25">
      <c r="A361" s="6">
        <v>2030108809</v>
      </c>
      <c r="B361" s="6" t="s">
        <v>219</v>
      </c>
      <c r="C361" s="6" t="s">
        <v>220</v>
      </c>
      <c r="D361" s="6" t="str">
        <f t="shared" si="15"/>
        <v>CARR LAUREN</v>
      </c>
      <c r="E361" s="6" t="s">
        <v>445</v>
      </c>
      <c r="F361" s="6">
        <v>21313588</v>
      </c>
      <c r="G361" s="6" t="s">
        <v>1109</v>
      </c>
      <c r="H361" s="6" t="s">
        <v>56</v>
      </c>
      <c r="I361" s="5">
        <v>45862</v>
      </c>
      <c r="J361" s="5">
        <v>45954</v>
      </c>
      <c r="K361" s="7">
        <v>9.1</v>
      </c>
      <c r="L361" s="6">
        <f t="shared" si="16"/>
        <v>3</v>
      </c>
      <c r="M361" s="6" t="s">
        <v>59</v>
      </c>
      <c r="N361" s="6" t="s">
        <v>1145</v>
      </c>
      <c r="O361" s="9">
        <v>0.7</v>
      </c>
      <c r="P361" s="16">
        <f t="shared" si="17"/>
        <v>6.3699999999999992</v>
      </c>
      <c r="Q361" s="7">
        <v>6.37</v>
      </c>
      <c r="R361" s="7">
        <v>0</v>
      </c>
      <c r="S361" s="7">
        <v>0</v>
      </c>
      <c r="T361" s="6" t="s">
        <v>445</v>
      </c>
    </row>
    <row r="362" spans="1:20" s="6" customFormat="1" x14ac:dyDescent="0.25">
      <c r="A362" s="6">
        <v>2029955372</v>
      </c>
      <c r="B362" s="6" t="s">
        <v>774</v>
      </c>
      <c r="C362" s="6" t="s">
        <v>773</v>
      </c>
      <c r="D362" s="6" t="str">
        <f t="shared" si="15"/>
        <v>MELISSA LOUIE</v>
      </c>
      <c r="E362" s="6" t="s">
        <v>445</v>
      </c>
      <c r="F362" s="6">
        <v>6634327</v>
      </c>
      <c r="G362" s="6" t="s">
        <v>1134</v>
      </c>
      <c r="H362" s="6" t="s">
        <v>56</v>
      </c>
      <c r="I362" s="5">
        <v>45853</v>
      </c>
      <c r="J362" s="5">
        <v>45945</v>
      </c>
      <c r="K362" s="7">
        <v>9.6999999999999993</v>
      </c>
      <c r="L362" s="6">
        <f t="shared" si="16"/>
        <v>3</v>
      </c>
      <c r="M362" s="6" t="s">
        <v>59</v>
      </c>
      <c r="N362" s="6" t="s">
        <v>1145</v>
      </c>
      <c r="O362" s="9">
        <v>0.7</v>
      </c>
      <c r="P362" s="16">
        <f t="shared" si="17"/>
        <v>6.7899999999999991</v>
      </c>
      <c r="Q362" s="7">
        <v>6.79</v>
      </c>
      <c r="R362" s="7">
        <v>0</v>
      </c>
      <c r="S362" s="7">
        <v>0</v>
      </c>
      <c r="T362" s="6" t="s">
        <v>445</v>
      </c>
    </row>
    <row r="363" spans="1:20" s="6" customFormat="1" x14ac:dyDescent="0.25">
      <c r="A363" s="6">
        <v>2029949953</v>
      </c>
      <c r="B363" s="6" t="s">
        <v>920</v>
      </c>
      <c r="C363" s="6" t="s">
        <v>49</v>
      </c>
      <c r="D363" s="6" t="str">
        <f t="shared" si="15"/>
        <v>MICHAEL MALONE</v>
      </c>
      <c r="E363" s="6" t="s">
        <v>445</v>
      </c>
      <c r="F363" s="6">
        <v>19681796</v>
      </c>
      <c r="G363" s="6" t="s">
        <v>1118</v>
      </c>
      <c r="H363" s="6" t="s">
        <v>56</v>
      </c>
      <c r="I363" s="5">
        <v>45853</v>
      </c>
      <c r="J363" s="5">
        <v>45945</v>
      </c>
      <c r="K363" s="7">
        <v>31.1</v>
      </c>
      <c r="L363" s="6">
        <f t="shared" si="16"/>
        <v>3</v>
      </c>
      <c r="M363" s="6" t="s">
        <v>59</v>
      </c>
      <c r="N363" s="6" t="s">
        <v>1145</v>
      </c>
      <c r="O363" s="9">
        <v>0.7</v>
      </c>
      <c r="P363" s="16">
        <f t="shared" si="17"/>
        <v>21.77</v>
      </c>
      <c r="Q363" s="7">
        <v>21.77</v>
      </c>
      <c r="R363" s="7">
        <v>0</v>
      </c>
      <c r="S363" s="7">
        <v>0</v>
      </c>
      <c r="T363" s="6" t="s">
        <v>445</v>
      </c>
    </row>
    <row r="364" spans="1:20" s="6" customFormat="1" x14ac:dyDescent="0.25">
      <c r="A364" s="6">
        <v>2030114522</v>
      </c>
      <c r="B364" s="6" t="s">
        <v>536</v>
      </c>
      <c r="C364" s="6" t="s">
        <v>537</v>
      </c>
      <c r="D364" s="6" t="str">
        <f t="shared" si="15"/>
        <v>HOUSE MARCIE</v>
      </c>
      <c r="E364" s="6" t="s">
        <v>445</v>
      </c>
      <c r="F364" s="6">
        <v>21436172</v>
      </c>
      <c r="G364" s="6" t="s">
        <v>1126</v>
      </c>
      <c r="H364" s="6" t="s">
        <v>56</v>
      </c>
      <c r="I364" s="5">
        <v>45863</v>
      </c>
      <c r="J364" s="5">
        <v>45955</v>
      </c>
      <c r="K364" s="7">
        <v>207.64</v>
      </c>
      <c r="L364" s="6">
        <f t="shared" si="16"/>
        <v>3</v>
      </c>
      <c r="M364" s="6" t="s">
        <v>59</v>
      </c>
      <c r="N364" s="6" t="s">
        <v>1145</v>
      </c>
      <c r="O364" s="9">
        <v>0.7</v>
      </c>
      <c r="P364" s="16">
        <f t="shared" si="17"/>
        <v>145.34799999999998</v>
      </c>
      <c r="Q364" s="7">
        <v>145.35</v>
      </c>
      <c r="R364" s="7">
        <v>0</v>
      </c>
      <c r="S364" s="7">
        <v>0</v>
      </c>
      <c r="T364" s="6" t="s">
        <v>445</v>
      </c>
    </row>
    <row r="365" spans="1:20" s="6" customFormat="1" x14ac:dyDescent="0.25">
      <c r="A365" s="6">
        <v>2030084097</v>
      </c>
      <c r="B365" s="6" t="s">
        <v>532</v>
      </c>
      <c r="C365" s="6" t="s">
        <v>533</v>
      </c>
      <c r="D365" s="6" t="str">
        <f t="shared" si="15"/>
        <v>WEASE MIKE</v>
      </c>
      <c r="E365" s="6" t="s">
        <v>445</v>
      </c>
      <c r="F365" s="6">
        <v>17143996</v>
      </c>
      <c r="G365" s="6" t="s">
        <v>1127</v>
      </c>
      <c r="H365" s="6" t="s">
        <v>56</v>
      </c>
      <c r="I365" s="5">
        <v>45862</v>
      </c>
      <c r="J365" s="5">
        <v>45954</v>
      </c>
      <c r="K365" s="7">
        <v>19</v>
      </c>
      <c r="L365" s="6">
        <f t="shared" si="16"/>
        <v>3</v>
      </c>
      <c r="M365" s="6" t="s">
        <v>59</v>
      </c>
      <c r="N365" s="6" t="s">
        <v>1145</v>
      </c>
      <c r="O365" s="9">
        <v>0.7</v>
      </c>
      <c r="P365" s="16">
        <f t="shared" si="17"/>
        <v>13.299999999999999</v>
      </c>
      <c r="Q365" s="7">
        <v>13.3</v>
      </c>
      <c r="R365" s="7">
        <v>0</v>
      </c>
      <c r="S365" s="7">
        <v>0</v>
      </c>
      <c r="T365" s="6" t="s">
        <v>445</v>
      </c>
    </row>
    <row r="366" spans="1:20" s="6" customFormat="1" x14ac:dyDescent="0.25">
      <c r="A366" s="6">
        <v>2030055518</v>
      </c>
      <c r="B366" s="6" t="s">
        <v>529</v>
      </c>
      <c r="C366" s="6" t="s">
        <v>530</v>
      </c>
      <c r="D366" s="6" t="str">
        <f t="shared" si="15"/>
        <v>MIJIDDORJ MUNKHNASAN</v>
      </c>
      <c r="E366" s="6" t="s">
        <v>445</v>
      </c>
      <c r="F366" s="6">
        <v>20220688</v>
      </c>
      <c r="G366" s="6" t="s">
        <v>1087</v>
      </c>
      <c r="H366" s="6" t="s">
        <v>56</v>
      </c>
      <c r="I366" s="5">
        <v>45859</v>
      </c>
      <c r="J366" s="5">
        <v>45951</v>
      </c>
      <c r="K366" s="7">
        <v>34</v>
      </c>
      <c r="L366" s="6">
        <f t="shared" si="16"/>
        <v>3</v>
      </c>
      <c r="M366" s="6" t="s">
        <v>59</v>
      </c>
      <c r="N366" s="6" t="s">
        <v>1145</v>
      </c>
      <c r="O366" s="9">
        <v>0.7</v>
      </c>
      <c r="P366" s="16">
        <f t="shared" si="17"/>
        <v>23.799999999999997</v>
      </c>
      <c r="Q366" s="7">
        <v>23.8</v>
      </c>
      <c r="R366" s="7">
        <v>0</v>
      </c>
      <c r="S366" s="7">
        <v>0</v>
      </c>
      <c r="T366" s="6" t="s">
        <v>445</v>
      </c>
    </row>
    <row r="367" spans="1:20" s="6" customFormat="1" x14ac:dyDescent="0.25">
      <c r="A367" s="6">
        <v>2030076096</v>
      </c>
      <c r="B367" s="6" t="s">
        <v>531</v>
      </c>
      <c r="C367" s="6" t="s">
        <v>467</v>
      </c>
      <c r="D367" s="6" t="str">
        <f t="shared" si="15"/>
        <v>ZANA NASANJARGAL</v>
      </c>
      <c r="E367" s="6" t="s">
        <v>445</v>
      </c>
      <c r="F367" s="6">
        <v>20220688</v>
      </c>
      <c r="G367" s="6" t="s">
        <v>1087</v>
      </c>
      <c r="H367" s="6" t="s">
        <v>56</v>
      </c>
      <c r="I367" s="5">
        <v>45860</v>
      </c>
      <c r="J367" s="5">
        <v>45952</v>
      </c>
      <c r="K367" s="7">
        <v>34</v>
      </c>
      <c r="L367" s="6">
        <f t="shared" si="16"/>
        <v>3</v>
      </c>
      <c r="M367" s="6" t="s">
        <v>59</v>
      </c>
      <c r="N367" s="6" t="s">
        <v>1145</v>
      </c>
      <c r="O367" s="9">
        <v>0.7</v>
      </c>
      <c r="P367" s="16">
        <f t="shared" si="17"/>
        <v>23.799999999999997</v>
      </c>
      <c r="Q367" s="7">
        <v>23.8</v>
      </c>
      <c r="R367" s="7">
        <v>0</v>
      </c>
      <c r="S367" s="7">
        <v>0</v>
      </c>
      <c r="T367" s="6" t="s">
        <v>445</v>
      </c>
    </row>
    <row r="368" spans="1:20" s="6" customFormat="1" x14ac:dyDescent="0.25">
      <c r="A368" s="6">
        <v>2029958337</v>
      </c>
      <c r="B368" s="6" t="s">
        <v>876</v>
      </c>
      <c r="C368" s="6" t="s">
        <v>913</v>
      </c>
      <c r="D368" s="6" t="str">
        <f t="shared" si="15"/>
        <v>KOREY PATRICK</v>
      </c>
      <c r="E368" s="6" t="s">
        <v>445</v>
      </c>
      <c r="F368" s="6">
        <v>21436172</v>
      </c>
      <c r="G368" s="6" t="s">
        <v>1126</v>
      </c>
      <c r="H368" s="6" t="s">
        <v>56</v>
      </c>
      <c r="I368" s="5">
        <v>45853</v>
      </c>
      <c r="J368" s="5">
        <v>45945</v>
      </c>
      <c r="K368" s="7">
        <v>56.5</v>
      </c>
      <c r="L368" s="6">
        <f t="shared" si="16"/>
        <v>3</v>
      </c>
      <c r="M368" s="6" t="s">
        <v>59</v>
      </c>
      <c r="N368" s="6" t="s">
        <v>1145</v>
      </c>
      <c r="O368" s="9">
        <v>0.7</v>
      </c>
      <c r="P368" s="16">
        <f t="shared" si="17"/>
        <v>39.549999999999997</v>
      </c>
      <c r="Q368" s="7">
        <v>39.549999999999997</v>
      </c>
      <c r="R368" s="7">
        <v>0</v>
      </c>
      <c r="S368" s="7">
        <v>0</v>
      </c>
      <c r="T368" s="6" t="s">
        <v>445</v>
      </c>
    </row>
    <row r="369" spans="1:20" s="6" customFormat="1" x14ac:dyDescent="0.25">
      <c r="A369" s="6">
        <v>2029852609</v>
      </c>
      <c r="B369" s="6" t="s">
        <v>345</v>
      </c>
      <c r="C369" s="6" t="s">
        <v>926</v>
      </c>
      <c r="D369" s="6" t="str">
        <f t="shared" si="15"/>
        <v>ASHLEE PERKINS</v>
      </c>
      <c r="E369" s="6" t="s">
        <v>445</v>
      </c>
      <c r="F369" s="6">
        <v>371819</v>
      </c>
      <c r="G369" s="6" t="s">
        <v>1085</v>
      </c>
      <c r="H369" s="6" t="s">
        <v>56</v>
      </c>
      <c r="I369" s="5">
        <v>45857</v>
      </c>
      <c r="J369" s="5">
        <v>45949</v>
      </c>
      <c r="K369" s="7">
        <v>179.96</v>
      </c>
      <c r="L369" s="6">
        <f t="shared" si="16"/>
        <v>3</v>
      </c>
      <c r="M369" s="6" t="s">
        <v>59</v>
      </c>
      <c r="N369" s="6" t="s">
        <v>1145</v>
      </c>
      <c r="O369" s="9">
        <v>0.7</v>
      </c>
      <c r="P369" s="16">
        <f t="shared" si="17"/>
        <v>125.97199999999999</v>
      </c>
      <c r="Q369" s="7">
        <v>125.97</v>
      </c>
      <c r="R369" s="7">
        <v>0</v>
      </c>
      <c r="S369" s="7">
        <v>0</v>
      </c>
      <c r="T369" s="6" t="s">
        <v>445</v>
      </c>
    </row>
    <row r="370" spans="1:20" s="6" customFormat="1" x14ac:dyDescent="0.25">
      <c r="A370" s="6">
        <v>2030145093</v>
      </c>
      <c r="B370" s="6" t="s">
        <v>222</v>
      </c>
      <c r="C370" s="6" t="s">
        <v>223</v>
      </c>
      <c r="D370" s="6" t="str">
        <f t="shared" si="15"/>
        <v>CHEREGI RALUCA</v>
      </c>
      <c r="E370" s="6" t="s">
        <v>445</v>
      </c>
      <c r="F370" s="6">
        <v>7470776</v>
      </c>
      <c r="G370" s="6" t="s">
        <v>1093</v>
      </c>
      <c r="H370" s="6" t="s">
        <v>56</v>
      </c>
      <c r="I370" s="5">
        <v>45864</v>
      </c>
      <c r="J370" s="5">
        <v>45956</v>
      </c>
      <c r="K370" s="7">
        <v>102.7</v>
      </c>
      <c r="L370" s="6">
        <f t="shared" si="16"/>
        <v>3</v>
      </c>
      <c r="M370" s="6" t="s">
        <v>59</v>
      </c>
      <c r="N370" s="6" t="s">
        <v>1145</v>
      </c>
      <c r="O370" s="9">
        <v>0.7</v>
      </c>
      <c r="P370" s="16">
        <f t="shared" si="17"/>
        <v>71.89</v>
      </c>
      <c r="Q370" s="7">
        <v>71.89</v>
      </c>
      <c r="R370" s="7">
        <v>0</v>
      </c>
      <c r="S370" s="7">
        <v>0</v>
      </c>
      <c r="T370" s="6" t="s">
        <v>445</v>
      </c>
    </row>
    <row r="371" spans="1:20" s="6" customFormat="1" x14ac:dyDescent="0.25">
      <c r="A371" s="6">
        <v>2030017882</v>
      </c>
      <c r="B371" s="6" t="s">
        <v>696</v>
      </c>
      <c r="C371" s="6" t="s">
        <v>900</v>
      </c>
      <c r="D371" s="6" t="str">
        <f t="shared" si="15"/>
        <v>LATESHA ROSE</v>
      </c>
      <c r="E371" s="6" t="s">
        <v>445</v>
      </c>
      <c r="F371" s="6">
        <v>21436172</v>
      </c>
      <c r="G371" s="6" t="s">
        <v>1126</v>
      </c>
      <c r="H371" s="6" t="s">
        <v>56</v>
      </c>
      <c r="I371" s="5">
        <v>45856</v>
      </c>
      <c r="J371" s="5">
        <v>45948</v>
      </c>
      <c r="K371" s="7">
        <v>56.5</v>
      </c>
      <c r="L371" s="6">
        <f t="shared" si="16"/>
        <v>3</v>
      </c>
      <c r="M371" s="6" t="s">
        <v>59</v>
      </c>
      <c r="N371" s="6" t="s">
        <v>1145</v>
      </c>
      <c r="O371" s="9">
        <v>0.7</v>
      </c>
      <c r="P371" s="16">
        <f t="shared" si="17"/>
        <v>39.549999999999997</v>
      </c>
      <c r="Q371" s="7">
        <v>39.549999999999997</v>
      </c>
      <c r="R371" s="7">
        <v>0</v>
      </c>
      <c r="S371" s="7">
        <v>0</v>
      </c>
      <c r="T371" s="6" t="s">
        <v>445</v>
      </c>
    </row>
    <row r="372" spans="1:20" s="6" customFormat="1" x14ac:dyDescent="0.25">
      <c r="A372" s="6">
        <v>2029968823</v>
      </c>
      <c r="B372" s="6" t="s">
        <v>123</v>
      </c>
      <c r="C372" s="6" t="s">
        <v>109</v>
      </c>
      <c r="D372" s="6" t="str">
        <f t="shared" si="15"/>
        <v>GREGORY THOMAS</v>
      </c>
      <c r="E372" s="6" t="s">
        <v>445</v>
      </c>
      <c r="F372" s="6">
        <v>8814784</v>
      </c>
      <c r="G372" s="6" t="s">
        <v>1095</v>
      </c>
      <c r="H372" s="6" t="s">
        <v>56</v>
      </c>
      <c r="I372" s="5">
        <v>45854</v>
      </c>
      <c r="J372" s="5">
        <v>45946</v>
      </c>
      <c r="K372" s="7">
        <v>62.8</v>
      </c>
      <c r="L372" s="6">
        <f t="shared" si="16"/>
        <v>3</v>
      </c>
      <c r="M372" s="6" t="s">
        <v>59</v>
      </c>
      <c r="N372" s="6" t="s">
        <v>1145</v>
      </c>
      <c r="O372" s="9">
        <v>0.7</v>
      </c>
      <c r="P372" s="16">
        <f t="shared" si="17"/>
        <v>43.959999999999994</v>
      </c>
      <c r="Q372" s="7">
        <v>43.96</v>
      </c>
      <c r="R372" s="7">
        <v>0</v>
      </c>
      <c r="S372" s="7">
        <v>0</v>
      </c>
      <c r="T372" s="6" t="s">
        <v>445</v>
      </c>
    </row>
    <row r="373" spans="1:20" s="6" customFormat="1" x14ac:dyDescent="0.25">
      <c r="A373" s="6">
        <v>2029973759</v>
      </c>
      <c r="B373" s="6" t="s">
        <v>908</v>
      </c>
      <c r="C373" s="6" t="s">
        <v>444</v>
      </c>
      <c r="D373" s="6" t="str">
        <f t="shared" si="15"/>
        <v>ROBERT TOBIAS</v>
      </c>
      <c r="E373" s="6" t="s">
        <v>445</v>
      </c>
      <c r="F373" s="6">
        <v>19200754</v>
      </c>
      <c r="G373" s="6" t="s">
        <v>1094</v>
      </c>
      <c r="H373" s="6" t="s">
        <v>56</v>
      </c>
      <c r="I373" s="5">
        <v>45854</v>
      </c>
      <c r="J373" s="5">
        <v>45946</v>
      </c>
      <c r="K373" s="7">
        <v>115.98</v>
      </c>
      <c r="L373" s="6">
        <f t="shared" si="16"/>
        <v>3</v>
      </c>
      <c r="M373" s="6" t="s">
        <v>59</v>
      </c>
      <c r="N373" s="6" t="s">
        <v>1145</v>
      </c>
      <c r="O373" s="9">
        <v>0.7</v>
      </c>
      <c r="P373" s="16">
        <f t="shared" si="17"/>
        <v>81.185999999999993</v>
      </c>
      <c r="Q373" s="7">
        <v>81.19</v>
      </c>
      <c r="R373" s="7">
        <v>0</v>
      </c>
      <c r="S373" s="7">
        <v>0</v>
      </c>
      <c r="T373" s="6" t="s">
        <v>445</v>
      </c>
    </row>
    <row r="374" spans="1:20" s="6" customFormat="1" x14ac:dyDescent="0.25">
      <c r="A374" s="6">
        <v>2029963379</v>
      </c>
      <c r="B374" s="6" t="s">
        <v>912</v>
      </c>
      <c r="C374" s="6" t="s">
        <v>911</v>
      </c>
      <c r="D374" s="6" t="str">
        <f t="shared" si="15"/>
        <v>BATTSETSEG TUMENBAYAR</v>
      </c>
      <c r="E374" s="6" t="s">
        <v>445</v>
      </c>
      <c r="F374" s="6">
        <v>20220688</v>
      </c>
      <c r="G374" s="6" t="s">
        <v>1087</v>
      </c>
      <c r="H374" s="6" t="s">
        <v>56</v>
      </c>
      <c r="I374" s="5">
        <v>45854</v>
      </c>
      <c r="J374" s="5">
        <v>45946</v>
      </c>
      <c r="K374" s="7">
        <v>20.56</v>
      </c>
      <c r="L374" s="6">
        <f t="shared" si="16"/>
        <v>3</v>
      </c>
      <c r="M374" s="6" t="s">
        <v>59</v>
      </c>
      <c r="N374" s="6" t="s">
        <v>1145</v>
      </c>
      <c r="O374" s="9">
        <v>0.7</v>
      </c>
      <c r="P374" s="16">
        <f t="shared" si="17"/>
        <v>14.391999999999998</v>
      </c>
      <c r="Q374" s="7">
        <v>14.39</v>
      </c>
      <c r="R374" s="7">
        <v>0</v>
      </c>
      <c r="S374" s="7">
        <v>0</v>
      </c>
      <c r="T374" s="6" t="s">
        <v>445</v>
      </c>
    </row>
    <row r="375" spans="1:20" s="6" customFormat="1" x14ac:dyDescent="0.25">
      <c r="A375" s="6">
        <v>2030016857</v>
      </c>
      <c r="B375" s="6" t="s">
        <v>467</v>
      </c>
      <c r="C375" s="6" t="s">
        <v>468</v>
      </c>
      <c r="D375" s="6" t="str">
        <f t="shared" si="15"/>
        <v>NASANDELGER ZANA</v>
      </c>
      <c r="E375" s="6" t="s">
        <v>445</v>
      </c>
      <c r="F375" s="6">
        <v>20220688</v>
      </c>
      <c r="G375" s="6" t="s">
        <v>1087</v>
      </c>
      <c r="H375" s="6" t="s">
        <v>56</v>
      </c>
      <c r="I375" s="5">
        <v>45856</v>
      </c>
      <c r="J375" s="5">
        <v>45948</v>
      </c>
      <c r="K375" s="7">
        <v>51</v>
      </c>
      <c r="L375" s="6">
        <f t="shared" si="16"/>
        <v>3</v>
      </c>
      <c r="M375" s="6" t="s">
        <v>59</v>
      </c>
      <c r="N375" s="6" t="s">
        <v>1145</v>
      </c>
      <c r="O375" s="9">
        <v>0.7</v>
      </c>
      <c r="P375" s="16">
        <f t="shared" si="17"/>
        <v>35.699999999999996</v>
      </c>
      <c r="Q375" s="7">
        <v>35.700000000000003</v>
      </c>
      <c r="R375" s="7">
        <v>0</v>
      </c>
      <c r="S375" s="7">
        <v>0</v>
      </c>
      <c r="T375" s="6" t="s">
        <v>445</v>
      </c>
    </row>
    <row r="376" spans="1:20" s="6" customFormat="1" x14ac:dyDescent="0.25">
      <c r="A376" s="6">
        <v>2029528275</v>
      </c>
      <c r="B376" s="6" t="s">
        <v>840</v>
      </c>
      <c r="C376" s="6" t="s">
        <v>789</v>
      </c>
      <c r="D376" s="6" t="str">
        <f t="shared" si="15"/>
        <v>JOSEPH BIZZIERI</v>
      </c>
      <c r="E376" s="6" t="s">
        <v>445</v>
      </c>
      <c r="F376" s="6">
        <v>21421111</v>
      </c>
      <c r="G376" s="6" t="s">
        <v>1096</v>
      </c>
      <c r="H376" s="6" t="s">
        <v>56</v>
      </c>
      <c r="I376" s="5">
        <v>45827</v>
      </c>
      <c r="J376" s="5">
        <v>45949</v>
      </c>
      <c r="K376" s="7">
        <v>83</v>
      </c>
      <c r="L376" s="6">
        <f t="shared" si="16"/>
        <v>4</v>
      </c>
      <c r="M376" s="6" t="s">
        <v>59</v>
      </c>
      <c r="N376" s="6" t="s">
        <v>1145</v>
      </c>
      <c r="O376" s="9">
        <v>0.7</v>
      </c>
      <c r="P376" s="16">
        <f t="shared" si="17"/>
        <v>58.099999999999994</v>
      </c>
      <c r="Q376" s="7">
        <v>58.1</v>
      </c>
      <c r="R376" s="7">
        <v>0</v>
      </c>
      <c r="S376" s="7">
        <v>0</v>
      </c>
      <c r="T376" s="6" t="s">
        <v>445</v>
      </c>
    </row>
    <row r="377" spans="1:20" s="6" customFormat="1" x14ac:dyDescent="0.25">
      <c r="A377" s="6">
        <v>2029620630</v>
      </c>
      <c r="B377" s="6" t="s">
        <v>198</v>
      </c>
      <c r="C377" s="6" t="s">
        <v>199</v>
      </c>
      <c r="D377" s="6" t="str">
        <f t="shared" si="15"/>
        <v>CETRE CARLOS</v>
      </c>
      <c r="E377" s="6" t="s">
        <v>445</v>
      </c>
      <c r="F377" s="6">
        <v>7470776</v>
      </c>
      <c r="G377" s="6" t="s">
        <v>1093</v>
      </c>
      <c r="H377" s="6" t="s">
        <v>56</v>
      </c>
      <c r="I377" s="5">
        <v>45833</v>
      </c>
      <c r="J377" s="5">
        <v>45955</v>
      </c>
      <c r="K377" s="7">
        <v>11.5</v>
      </c>
      <c r="L377" s="6">
        <f t="shared" si="16"/>
        <v>4</v>
      </c>
      <c r="M377" s="6" t="s">
        <v>59</v>
      </c>
      <c r="N377" s="6" t="s">
        <v>1145</v>
      </c>
      <c r="O377" s="9">
        <v>0.7</v>
      </c>
      <c r="P377" s="16">
        <f t="shared" si="17"/>
        <v>8.0499999999999989</v>
      </c>
      <c r="Q377" s="7">
        <v>8.0500000000000007</v>
      </c>
      <c r="R377" s="7">
        <v>0</v>
      </c>
      <c r="S377" s="7">
        <v>0</v>
      </c>
      <c r="T377" s="6" t="s">
        <v>445</v>
      </c>
    </row>
    <row r="378" spans="1:20" s="6" customFormat="1" x14ac:dyDescent="0.25">
      <c r="A378" s="6">
        <v>2029067254</v>
      </c>
      <c r="B378" s="6" t="s">
        <v>620</v>
      </c>
      <c r="C378" s="6" t="s">
        <v>619</v>
      </c>
      <c r="D378" s="6" t="str">
        <f t="shared" si="15"/>
        <v>DRAY CHAVEZ</v>
      </c>
      <c r="E378" s="6" t="s">
        <v>445</v>
      </c>
      <c r="F378" s="6">
        <v>16865615</v>
      </c>
      <c r="G378" s="6" t="s">
        <v>1107</v>
      </c>
      <c r="H378" s="6" t="s">
        <v>230</v>
      </c>
      <c r="I378" s="5">
        <v>45809</v>
      </c>
      <c r="J378" s="5">
        <v>45931</v>
      </c>
      <c r="K378" s="7">
        <v>-13.64</v>
      </c>
      <c r="L378" s="6">
        <f t="shared" si="16"/>
        <v>4</v>
      </c>
      <c r="M378" s="6" t="s">
        <v>59</v>
      </c>
      <c r="N378" s="6" t="s">
        <v>1145</v>
      </c>
      <c r="O378" s="9">
        <v>0.7</v>
      </c>
      <c r="P378" s="16">
        <f t="shared" si="17"/>
        <v>-9.548</v>
      </c>
      <c r="Q378" s="7">
        <v>0</v>
      </c>
      <c r="R378" s="7">
        <v>-9.5500000000000007</v>
      </c>
      <c r="S378" s="7">
        <v>-9.5500000000000007</v>
      </c>
      <c r="T378" s="6" t="s">
        <v>445</v>
      </c>
    </row>
    <row r="379" spans="1:20" s="6" customFormat="1" x14ac:dyDescent="0.25">
      <c r="A379" s="6">
        <v>2029526622</v>
      </c>
      <c r="B379" s="6" t="s">
        <v>386</v>
      </c>
      <c r="C379" s="6" t="s">
        <v>387</v>
      </c>
      <c r="D379" s="6" t="str">
        <f t="shared" si="15"/>
        <v>GANGESH DIMRI</v>
      </c>
      <c r="E379" s="6" t="s">
        <v>445</v>
      </c>
      <c r="F379" s="6">
        <v>20724564</v>
      </c>
      <c r="G379" s="6" t="s">
        <v>1080</v>
      </c>
      <c r="H379" s="6" t="s">
        <v>56</v>
      </c>
      <c r="I379" s="5">
        <v>45828</v>
      </c>
      <c r="J379" s="5">
        <v>45950</v>
      </c>
      <c r="K379" s="7">
        <v>4.7699999999999996</v>
      </c>
      <c r="L379" s="6">
        <f t="shared" si="16"/>
        <v>4</v>
      </c>
      <c r="M379" s="6" t="s">
        <v>59</v>
      </c>
      <c r="N379" s="6" t="s">
        <v>1145</v>
      </c>
      <c r="O379" s="9">
        <v>0.7</v>
      </c>
      <c r="P379" s="16">
        <f t="shared" si="17"/>
        <v>3.3389999999999995</v>
      </c>
      <c r="Q379" s="7">
        <v>3.34</v>
      </c>
      <c r="R379" s="7">
        <v>0</v>
      </c>
      <c r="S379" s="7">
        <v>0</v>
      </c>
      <c r="T379" s="6" t="s">
        <v>445</v>
      </c>
    </row>
    <row r="380" spans="1:20" s="6" customFormat="1" x14ac:dyDescent="0.25">
      <c r="A380" s="6">
        <v>2029432398</v>
      </c>
      <c r="B380" s="6" t="s">
        <v>932</v>
      </c>
      <c r="C380" s="6" t="s">
        <v>931</v>
      </c>
      <c r="D380" s="6" t="str">
        <f t="shared" si="15"/>
        <v>TSENGELMAA DORJKHAND</v>
      </c>
      <c r="E380" s="6" t="s">
        <v>445</v>
      </c>
      <c r="F380" s="6">
        <v>20220688</v>
      </c>
      <c r="G380" s="6" t="s">
        <v>1087</v>
      </c>
      <c r="H380" s="6" t="s">
        <v>56</v>
      </c>
      <c r="I380" s="5">
        <v>45821</v>
      </c>
      <c r="J380" s="5">
        <v>45943</v>
      </c>
      <c r="K380" s="7">
        <v>19</v>
      </c>
      <c r="L380" s="6">
        <f t="shared" si="16"/>
        <v>4</v>
      </c>
      <c r="M380" s="6" t="s">
        <v>59</v>
      </c>
      <c r="N380" s="6" t="s">
        <v>1145</v>
      </c>
      <c r="O380" s="9">
        <v>0.7</v>
      </c>
      <c r="P380" s="16">
        <f t="shared" si="17"/>
        <v>13.299999999999999</v>
      </c>
      <c r="Q380" s="7">
        <v>13.3</v>
      </c>
      <c r="R380" s="7">
        <v>0</v>
      </c>
      <c r="S380" s="7">
        <v>0</v>
      </c>
      <c r="T380" s="6" t="s">
        <v>445</v>
      </c>
    </row>
    <row r="381" spans="1:20" s="6" customFormat="1" x14ac:dyDescent="0.25">
      <c r="A381" s="6">
        <v>2029623277</v>
      </c>
      <c r="B381" s="6" t="s">
        <v>271</v>
      </c>
      <c r="C381" s="6" t="s">
        <v>272</v>
      </c>
      <c r="D381" s="6" t="str">
        <f t="shared" si="15"/>
        <v>KNOEBEL ETHAN</v>
      </c>
      <c r="E381" s="6" t="s">
        <v>445</v>
      </c>
      <c r="F381" s="6">
        <v>7146581</v>
      </c>
      <c r="G381" s="6" t="s">
        <v>1110</v>
      </c>
      <c r="H381" s="6" t="s">
        <v>56</v>
      </c>
      <c r="I381" s="5">
        <v>45833</v>
      </c>
      <c r="J381" s="5">
        <v>45955</v>
      </c>
      <c r="K381" s="7">
        <v>56.5</v>
      </c>
      <c r="L381" s="6">
        <f t="shared" si="16"/>
        <v>4</v>
      </c>
      <c r="M381" s="6" t="s">
        <v>59</v>
      </c>
      <c r="N381" s="6" t="s">
        <v>1145</v>
      </c>
      <c r="O381" s="9">
        <v>0.7</v>
      </c>
      <c r="P381" s="16">
        <f t="shared" si="17"/>
        <v>39.549999999999997</v>
      </c>
      <c r="Q381" s="7">
        <v>39.549999999999997</v>
      </c>
      <c r="R381" s="7">
        <v>0</v>
      </c>
      <c r="S381" s="7">
        <v>0</v>
      </c>
      <c r="T381" s="6" t="s">
        <v>445</v>
      </c>
    </row>
    <row r="382" spans="1:20" s="6" customFormat="1" x14ac:dyDescent="0.25">
      <c r="A382" s="6">
        <v>2029402295</v>
      </c>
      <c r="B382" s="6" t="s">
        <v>936</v>
      </c>
      <c r="C382" s="6" t="s">
        <v>935</v>
      </c>
      <c r="D382" s="6" t="str">
        <f t="shared" si="15"/>
        <v>MARIELLE FARIA</v>
      </c>
      <c r="E382" s="6" t="s">
        <v>445</v>
      </c>
      <c r="F382" s="6">
        <v>17143996</v>
      </c>
      <c r="G382" s="6" t="s">
        <v>1127</v>
      </c>
      <c r="H382" s="6" t="s">
        <v>56</v>
      </c>
      <c r="I382" s="5">
        <v>45821</v>
      </c>
      <c r="J382" s="5">
        <v>45943</v>
      </c>
      <c r="K382" s="7">
        <v>42.38</v>
      </c>
      <c r="L382" s="6">
        <f t="shared" si="16"/>
        <v>4</v>
      </c>
      <c r="M382" s="6" t="s">
        <v>59</v>
      </c>
      <c r="N382" s="6" t="s">
        <v>1145</v>
      </c>
      <c r="O382" s="9">
        <v>0.7</v>
      </c>
      <c r="P382" s="16">
        <f t="shared" si="17"/>
        <v>29.666</v>
      </c>
      <c r="Q382" s="7">
        <v>29.67</v>
      </c>
      <c r="R382" s="7">
        <v>0</v>
      </c>
      <c r="S382" s="7">
        <v>0</v>
      </c>
      <c r="T382" s="6" t="s">
        <v>445</v>
      </c>
    </row>
    <row r="383" spans="1:20" s="6" customFormat="1" x14ac:dyDescent="0.25">
      <c r="A383" s="6">
        <v>2029481266</v>
      </c>
      <c r="B383" s="6" t="s">
        <v>841</v>
      </c>
      <c r="C383" s="6" t="s">
        <v>354</v>
      </c>
      <c r="D383" s="6" t="str">
        <f t="shared" si="15"/>
        <v>AMBER FLATT</v>
      </c>
      <c r="E383" s="6" t="s">
        <v>445</v>
      </c>
      <c r="F383" s="6">
        <v>20724564</v>
      </c>
      <c r="G383" s="6" t="s">
        <v>1080</v>
      </c>
      <c r="H383" s="6" t="s">
        <v>56</v>
      </c>
      <c r="I383" s="5">
        <v>45825</v>
      </c>
      <c r="J383" s="5">
        <v>45947</v>
      </c>
      <c r="K383" s="7">
        <v>3.52</v>
      </c>
      <c r="L383" s="6">
        <f t="shared" si="16"/>
        <v>4</v>
      </c>
      <c r="M383" s="6" t="s">
        <v>59</v>
      </c>
      <c r="N383" s="6" t="s">
        <v>1145</v>
      </c>
      <c r="O383" s="9">
        <v>0.7</v>
      </c>
      <c r="P383" s="16">
        <f t="shared" si="17"/>
        <v>2.464</v>
      </c>
      <c r="Q383" s="7">
        <v>2.46</v>
      </c>
      <c r="R383" s="7">
        <v>0</v>
      </c>
      <c r="S383" s="7">
        <v>0</v>
      </c>
      <c r="T383" s="6" t="s">
        <v>445</v>
      </c>
    </row>
    <row r="384" spans="1:20" s="6" customFormat="1" x14ac:dyDescent="0.25">
      <c r="A384" s="6">
        <v>2029544666</v>
      </c>
      <c r="B384" s="6" t="s">
        <v>191</v>
      </c>
      <c r="C384" s="6" t="s">
        <v>192</v>
      </c>
      <c r="D384" s="6" t="str">
        <f t="shared" si="15"/>
        <v>GUY HEBERLING</v>
      </c>
      <c r="E384" s="6" t="s">
        <v>445</v>
      </c>
      <c r="F384" s="6">
        <v>19681796</v>
      </c>
      <c r="G384" s="6" t="s">
        <v>1118</v>
      </c>
      <c r="H384" s="6" t="s">
        <v>56</v>
      </c>
      <c r="I384" s="5">
        <v>45828</v>
      </c>
      <c r="J384" s="5">
        <v>45950</v>
      </c>
      <c r="K384" s="7">
        <v>28.87</v>
      </c>
      <c r="L384" s="6">
        <f t="shared" si="16"/>
        <v>4</v>
      </c>
      <c r="M384" s="6" t="s">
        <v>59</v>
      </c>
      <c r="N384" s="6" t="s">
        <v>1145</v>
      </c>
      <c r="O384" s="9">
        <v>0.7</v>
      </c>
      <c r="P384" s="16">
        <f t="shared" si="17"/>
        <v>20.209</v>
      </c>
      <c r="Q384" s="7">
        <v>20.21</v>
      </c>
      <c r="R384" s="7">
        <v>0</v>
      </c>
      <c r="S384" s="7">
        <v>0</v>
      </c>
      <c r="T384" s="6" t="s">
        <v>445</v>
      </c>
    </row>
    <row r="385" spans="1:20" s="6" customFormat="1" x14ac:dyDescent="0.25">
      <c r="A385" s="6">
        <v>2029056123</v>
      </c>
      <c r="B385" s="6" t="s">
        <v>324</v>
      </c>
      <c r="C385" s="6" t="s">
        <v>842</v>
      </c>
      <c r="D385" s="6" t="str">
        <f t="shared" si="15"/>
        <v>DWIGHT JONES</v>
      </c>
      <c r="E385" s="6" t="s">
        <v>445</v>
      </c>
      <c r="F385" s="6">
        <v>21283956</v>
      </c>
      <c r="G385" s="6" t="s">
        <v>1106</v>
      </c>
      <c r="H385" s="6" t="s">
        <v>56</v>
      </c>
      <c r="I385" s="5">
        <v>45799</v>
      </c>
      <c r="J385" s="5">
        <v>45922</v>
      </c>
      <c r="K385" s="7">
        <v>83</v>
      </c>
      <c r="L385" s="6">
        <f t="shared" si="16"/>
        <v>4</v>
      </c>
      <c r="M385" s="6" t="s">
        <v>59</v>
      </c>
      <c r="N385" s="6" t="s">
        <v>1145</v>
      </c>
      <c r="O385" s="9">
        <v>0.7</v>
      </c>
      <c r="P385" s="16">
        <f t="shared" si="17"/>
        <v>58.099999999999994</v>
      </c>
      <c r="Q385" s="7">
        <v>58.1</v>
      </c>
      <c r="R385" s="7">
        <v>0</v>
      </c>
      <c r="S385" s="7">
        <v>0</v>
      </c>
      <c r="T385" s="6" t="s">
        <v>445</v>
      </c>
    </row>
    <row r="386" spans="1:20" s="6" customFormat="1" x14ac:dyDescent="0.25">
      <c r="A386" s="6">
        <v>2029486074</v>
      </c>
      <c r="B386" s="6" t="s">
        <v>776</v>
      </c>
      <c r="C386" s="6" t="s">
        <v>775</v>
      </c>
      <c r="D386" s="6" t="str">
        <f t="shared" ref="D386:D449" si="18">CONCATENATE(C386, " ",B386)</f>
        <v>TANJA JUKIC</v>
      </c>
      <c r="E386" s="6" t="s">
        <v>445</v>
      </c>
      <c r="F386" s="6">
        <v>7470776</v>
      </c>
      <c r="G386" s="6" t="s">
        <v>1093</v>
      </c>
      <c r="H386" s="6" t="s">
        <v>56</v>
      </c>
      <c r="I386" s="5">
        <v>45825</v>
      </c>
      <c r="J386" s="5">
        <v>45947</v>
      </c>
      <c r="K386" s="7">
        <v>34.68</v>
      </c>
      <c r="L386" s="6">
        <f t="shared" ref="L386:L449" si="19">DATEDIF(I386,J386,"M")</f>
        <v>4</v>
      </c>
      <c r="M386" s="6" t="s">
        <v>59</v>
      </c>
      <c r="N386" s="6" t="s">
        <v>1145</v>
      </c>
      <c r="O386" s="9">
        <v>0.7</v>
      </c>
      <c r="P386" s="16">
        <f t="shared" ref="P386:P449" si="20">K386*O386</f>
        <v>24.276</v>
      </c>
      <c r="Q386" s="7">
        <v>24.28</v>
      </c>
      <c r="R386" s="7">
        <v>0</v>
      </c>
      <c r="S386" s="7">
        <v>0</v>
      </c>
      <c r="T386" s="6" t="s">
        <v>445</v>
      </c>
    </row>
    <row r="387" spans="1:20" s="6" customFormat="1" x14ac:dyDescent="0.25">
      <c r="A387" s="6">
        <v>2029546224</v>
      </c>
      <c r="B387" s="6" t="s">
        <v>282</v>
      </c>
      <c r="C387" s="6" t="s">
        <v>283</v>
      </c>
      <c r="D387" s="6" t="str">
        <f t="shared" si="18"/>
        <v>ANDREA PETRUNGARO</v>
      </c>
      <c r="E387" s="6" t="s">
        <v>445</v>
      </c>
      <c r="F387" s="6">
        <v>16912722</v>
      </c>
      <c r="G387" s="6" t="s">
        <v>1111</v>
      </c>
      <c r="H387" s="6" t="s">
        <v>56</v>
      </c>
      <c r="I387" s="5">
        <v>45828</v>
      </c>
      <c r="J387" s="5">
        <v>45950</v>
      </c>
      <c r="K387" s="7">
        <v>118</v>
      </c>
      <c r="L387" s="6">
        <f t="shared" si="19"/>
        <v>4</v>
      </c>
      <c r="M387" s="6" t="s">
        <v>59</v>
      </c>
      <c r="N387" s="6" t="s">
        <v>1145</v>
      </c>
      <c r="O387" s="9">
        <v>0.7</v>
      </c>
      <c r="P387" s="16">
        <f t="shared" si="20"/>
        <v>82.6</v>
      </c>
      <c r="Q387" s="7">
        <v>82.6</v>
      </c>
      <c r="R387" s="7">
        <v>0</v>
      </c>
      <c r="S387" s="7">
        <v>0</v>
      </c>
      <c r="T387" s="6" t="s">
        <v>445</v>
      </c>
    </row>
    <row r="388" spans="1:20" s="6" customFormat="1" x14ac:dyDescent="0.25">
      <c r="A388" s="6">
        <v>2029567227</v>
      </c>
      <c r="B388" s="6" t="s">
        <v>196</v>
      </c>
      <c r="C388" s="6" t="s">
        <v>197</v>
      </c>
      <c r="D388" s="6" t="str">
        <f t="shared" si="18"/>
        <v>CRYSTAL PINA</v>
      </c>
      <c r="E388" s="6" t="s">
        <v>445</v>
      </c>
      <c r="F388" s="6">
        <v>371819</v>
      </c>
      <c r="G388" s="6" t="s">
        <v>1085</v>
      </c>
      <c r="H388" s="6" t="s">
        <v>56</v>
      </c>
      <c r="I388" s="5">
        <v>45829</v>
      </c>
      <c r="J388" s="5">
        <v>45951</v>
      </c>
      <c r="K388" s="7">
        <v>190.26</v>
      </c>
      <c r="L388" s="6">
        <f t="shared" si="19"/>
        <v>4</v>
      </c>
      <c r="M388" s="6" t="s">
        <v>59</v>
      </c>
      <c r="N388" s="6" t="s">
        <v>1145</v>
      </c>
      <c r="O388" s="9">
        <v>0.7</v>
      </c>
      <c r="P388" s="16">
        <f t="shared" si="20"/>
        <v>133.18199999999999</v>
      </c>
      <c r="Q388" s="7">
        <v>133.18</v>
      </c>
      <c r="R388" s="7">
        <v>0</v>
      </c>
      <c r="S388" s="7">
        <v>0</v>
      </c>
      <c r="T388" s="6" t="s">
        <v>445</v>
      </c>
    </row>
    <row r="389" spans="1:20" s="6" customFormat="1" x14ac:dyDescent="0.25">
      <c r="A389" s="6">
        <v>2029598584</v>
      </c>
      <c r="B389" s="6" t="s">
        <v>520</v>
      </c>
      <c r="C389" s="6" t="s">
        <v>521</v>
      </c>
      <c r="D389" s="6" t="str">
        <f t="shared" si="18"/>
        <v>SUKHBAATAR SUVDAA</v>
      </c>
      <c r="E389" s="6" t="s">
        <v>445</v>
      </c>
      <c r="F389" s="6">
        <v>20220688</v>
      </c>
      <c r="G389" s="6" t="s">
        <v>1087</v>
      </c>
      <c r="H389" s="6" t="s">
        <v>56</v>
      </c>
      <c r="I389" s="5">
        <v>45832</v>
      </c>
      <c r="J389" s="5">
        <v>45954</v>
      </c>
      <c r="K389" s="7">
        <v>90.45</v>
      </c>
      <c r="L389" s="6">
        <f t="shared" si="19"/>
        <v>4</v>
      </c>
      <c r="M389" s="6" t="s">
        <v>59</v>
      </c>
      <c r="N389" s="6" t="s">
        <v>1145</v>
      </c>
      <c r="O389" s="9">
        <v>0.7</v>
      </c>
      <c r="P389" s="16">
        <f t="shared" si="20"/>
        <v>63.314999999999998</v>
      </c>
      <c r="Q389" s="7">
        <v>63.32</v>
      </c>
      <c r="R389" s="7">
        <v>0</v>
      </c>
      <c r="S389" s="7">
        <v>0</v>
      </c>
      <c r="T389" s="6" t="s">
        <v>445</v>
      </c>
    </row>
    <row r="390" spans="1:20" s="6" customFormat="1" x14ac:dyDescent="0.25">
      <c r="A390" s="6">
        <v>2029543821</v>
      </c>
      <c r="B390" s="6" t="s">
        <v>518</v>
      </c>
      <c r="C390" s="6" t="s">
        <v>519</v>
      </c>
      <c r="D390" s="6" t="str">
        <f t="shared" si="18"/>
        <v>BYAMBATULKHUUR ULZIIKHUTGA</v>
      </c>
      <c r="E390" s="6" t="s">
        <v>445</v>
      </c>
      <c r="F390" s="6">
        <v>20220688</v>
      </c>
      <c r="G390" s="6" t="s">
        <v>1087</v>
      </c>
      <c r="H390" s="6" t="s">
        <v>56</v>
      </c>
      <c r="I390" s="5">
        <v>45828</v>
      </c>
      <c r="J390" s="5">
        <v>45950</v>
      </c>
      <c r="K390" s="7">
        <v>60.25</v>
      </c>
      <c r="L390" s="6">
        <f t="shared" si="19"/>
        <v>4</v>
      </c>
      <c r="M390" s="6" t="s">
        <v>59</v>
      </c>
      <c r="N390" s="6" t="s">
        <v>1145</v>
      </c>
      <c r="O390" s="9">
        <v>0.7</v>
      </c>
      <c r="P390" s="16">
        <f t="shared" si="20"/>
        <v>42.174999999999997</v>
      </c>
      <c r="Q390" s="7">
        <v>42.18</v>
      </c>
      <c r="R390" s="7">
        <v>0</v>
      </c>
      <c r="S390" s="7">
        <v>0</v>
      </c>
      <c r="T390" s="6" t="s">
        <v>445</v>
      </c>
    </row>
    <row r="391" spans="1:20" s="6" customFormat="1" x14ac:dyDescent="0.25">
      <c r="A391" s="6">
        <v>2029511428</v>
      </c>
      <c r="B391" s="6" t="s">
        <v>170</v>
      </c>
      <c r="C391" s="6" t="s">
        <v>65</v>
      </c>
      <c r="D391" s="6" t="str">
        <f t="shared" si="18"/>
        <v>CHAD YALE</v>
      </c>
      <c r="E391" s="6" t="s">
        <v>445</v>
      </c>
      <c r="F391" s="6">
        <v>16633294</v>
      </c>
      <c r="G391" s="6" t="s">
        <v>1079</v>
      </c>
      <c r="H391" s="6" t="s">
        <v>56</v>
      </c>
      <c r="I391" s="5">
        <v>45826</v>
      </c>
      <c r="J391" s="5">
        <v>45948</v>
      </c>
      <c r="K391" s="7">
        <v>11.5</v>
      </c>
      <c r="L391" s="6">
        <f t="shared" si="19"/>
        <v>4</v>
      </c>
      <c r="M391" s="6" t="s">
        <v>59</v>
      </c>
      <c r="N391" s="6" t="s">
        <v>1145</v>
      </c>
      <c r="O391" s="9">
        <v>0.7</v>
      </c>
      <c r="P391" s="16">
        <f t="shared" si="20"/>
        <v>8.0499999999999989</v>
      </c>
      <c r="Q391" s="7">
        <v>8.0500000000000007</v>
      </c>
      <c r="R391" s="7">
        <v>0</v>
      </c>
      <c r="S391" s="7">
        <v>0</v>
      </c>
      <c r="T391" s="6" t="s">
        <v>445</v>
      </c>
    </row>
    <row r="392" spans="1:20" s="6" customFormat="1" x14ac:dyDescent="0.25">
      <c r="A392" s="6">
        <v>2029118392</v>
      </c>
      <c r="B392" s="6" t="s">
        <v>515</v>
      </c>
      <c r="C392" s="6" t="s">
        <v>516</v>
      </c>
      <c r="D392" s="6" t="str">
        <f t="shared" si="18"/>
        <v>TUUL ALTAN</v>
      </c>
      <c r="E392" s="6" t="s">
        <v>445</v>
      </c>
      <c r="F392" s="6">
        <v>20220688</v>
      </c>
      <c r="G392" s="6" t="s">
        <v>1087</v>
      </c>
      <c r="H392" s="6" t="s">
        <v>56</v>
      </c>
      <c r="I392" s="5">
        <v>45803</v>
      </c>
      <c r="J392" s="5">
        <v>45956</v>
      </c>
      <c r="K392" s="7">
        <v>76.709999999999994</v>
      </c>
      <c r="L392" s="6">
        <f t="shared" si="19"/>
        <v>5</v>
      </c>
      <c r="M392" s="6" t="s">
        <v>59</v>
      </c>
      <c r="N392" s="6" t="s">
        <v>1145</v>
      </c>
      <c r="O392" s="9">
        <v>0.7</v>
      </c>
      <c r="P392" s="16">
        <f t="shared" si="20"/>
        <v>53.696999999999996</v>
      </c>
      <c r="Q392" s="7">
        <v>53.7</v>
      </c>
      <c r="R392" s="7">
        <v>0</v>
      </c>
      <c r="S392" s="7">
        <v>0</v>
      </c>
      <c r="T392" s="6" t="s">
        <v>445</v>
      </c>
    </row>
    <row r="393" spans="1:20" s="6" customFormat="1" x14ac:dyDescent="0.25">
      <c r="A393" s="6">
        <v>2029118625</v>
      </c>
      <c r="B393" s="6" t="s">
        <v>515</v>
      </c>
      <c r="C393" s="6" t="s">
        <v>517</v>
      </c>
      <c r="D393" s="6" t="str">
        <f t="shared" si="18"/>
        <v>TUVSHINJARGAL ALTAN</v>
      </c>
      <c r="E393" s="6" t="s">
        <v>445</v>
      </c>
      <c r="F393" s="6">
        <v>20220688</v>
      </c>
      <c r="G393" s="6" t="s">
        <v>1087</v>
      </c>
      <c r="H393" s="6" t="s">
        <v>56</v>
      </c>
      <c r="I393" s="5">
        <v>45803</v>
      </c>
      <c r="J393" s="5">
        <v>45956</v>
      </c>
      <c r="K393" s="7">
        <v>51</v>
      </c>
      <c r="L393" s="6">
        <f t="shared" si="19"/>
        <v>5</v>
      </c>
      <c r="M393" s="6" t="s">
        <v>59</v>
      </c>
      <c r="N393" s="6" t="s">
        <v>1145</v>
      </c>
      <c r="O393" s="9">
        <v>0.7</v>
      </c>
      <c r="P393" s="16">
        <f t="shared" si="20"/>
        <v>35.699999999999996</v>
      </c>
      <c r="Q393" s="7">
        <v>35.700000000000003</v>
      </c>
      <c r="R393" s="7">
        <v>0</v>
      </c>
      <c r="S393" s="7">
        <v>0</v>
      </c>
      <c r="T393" s="6" t="s">
        <v>445</v>
      </c>
    </row>
    <row r="394" spans="1:20" s="6" customFormat="1" x14ac:dyDescent="0.25">
      <c r="A394" s="6">
        <v>2028917636</v>
      </c>
      <c r="B394" s="6" t="s">
        <v>493</v>
      </c>
      <c r="C394" s="6" t="s">
        <v>494</v>
      </c>
      <c r="D394" s="6" t="str">
        <f t="shared" si="18"/>
        <v>DASHNYAM ANARD</v>
      </c>
      <c r="E394" s="6" t="s">
        <v>445</v>
      </c>
      <c r="F394" s="6">
        <v>20220688</v>
      </c>
      <c r="G394" s="6" t="s">
        <v>1087</v>
      </c>
      <c r="H394" s="6" t="s">
        <v>56</v>
      </c>
      <c r="I394" s="5">
        <v>45791</v>
      </c>
      <c r="J394" s="5">
        <v>45944</v>
      </c>
      <c r="K394" s="7">
        <v>-59.4</v>
      </c>
      <c r="L394" s="6">
        <f t="shared" si="19"/>
        <v>5</v>
      </c>
      <c r="M394" s="6" t="s">
        <v>59</v>
      </c>
      <c r="N394" s="6" t="s">
        <v>1145</v>
      </c>
      <c r="O394" s="9">
        <v>0.7</v>
      </c>
      <c r="P394" s="16">
        <f t="shared" si="20"/>
        <v>-41.58</v>
      </c>
      <c r="Q394" s="7">
        <v>0</v>
      </c>
      <c r="R394" s="7">
        <v>-41.58</v>
      </c>
      <c r="S394" s="7">
        <v>-41.58</v>
      </c>
      <c r="T394" s="6" t="s">
        <v>445</v>
      </c>
    </row>
    <row r="395" spans="1:20" s="6" customFormat="1" x14ac:dyDescent="0.25">
      <c r="A395" s="6">
        <v>2028917636</v>
      </c>
      <c r="B395" s="6" t="s">
        <v>493</v>
      </c>
      <c r="C395" s="6" t="s">
        <v>494</v>
      </c>
      <c r="D395" s="6" t="str">
        <f t="shared" si="18"/>
        <v>DASHNYAM ANARD</v>
      </c>
      <c r="E395" s="6" t="s">
        <v>445</v>
      </c>
      <c r="F395" s="6">
        <v>20220688</v>
      </c>
      <c r="G395" s="6" t="s">
        <v>1087</v>
      </c>
      <c r="H395" s="6" t="s">
        <v>56</v>
      </c>
      <c r="I395" s="5">
        <v>45791</v>
      </c>
      <c r="J395" s="5">
        <v>45944</v>
      </c>
      <c r="K395" s="7">
        <v>59.4</v>
      </c>
      <c r="L395" s="6">
        <f t="shared" si="19"/>
        <v>5</v>
      </c>
      <c r="M395" s="6" t="s">
        <v>59</v>
      </c>
      <c r="N395" s="6" t="s">
        <v>1145</v>
      </c>
      <c r="O395" s="9">
        <v>0.7</v>
      </c>
      <c r="P395" s="16">
        <f t="shared" si="20"/>
        <v>41.58</v>
      </c>
      <c r="Q395" s="7">
        <v>0</v>
      </c>
      <c r="R395" s="7">
        <v>41.58</v>
      </c>
      <c r="S395" s="7">
        <v>41.58</v>
      </c>
      <c r="T395" s="6" t="s">
        <v>445</v>
      </c>
    </row>
    <row r="396" spans="1:20" s="6" customFormat="1" x14ac:dyDescent="0.25">
      <c r="A396" s="6">
        <v>2028890707</v>
      </c>
      <c r="B396" s="6" t="s">
        <v>966</v>
      </c>
      <c r="C396" s="6" t="s">
        <v>965</v>
      </c>
      <c r="D396" s="6" t="str">
        <f t="shared" si="18"/>
        <v>ERDENECHIMEG BAASANJAV</v>
      </c>
      <c r="E396" s="6" t="s">
        <v>445</v>
      </c>
      <c r="F396" s="6">
        <v>20220688</v>
      </c>
      <c r="G396" s="6" t="s">
        <v>1087</v>
      </c>
      <c r="H396" s="6" t="s">
        <v>56</v>
      </c>
      <c r="I396" s="5">
        <v>45790</v>
      </c>
      <c r="J396" s="5">
        <v>45943</v>
      </c>
      <c r="K396" s="7">
        <v>95.68</v>
      </c>
      <c r="L396" s="6">
        <f t="shared" si="19"/>
        <v>5</v>
      </c>
      <c r="M396" s="6" t="s">
        <v>59</v>
      </c>
      <c r="N396" s="6" t="s">
        <v>1145</v>
      </c>
      <c r="O396" s="9">
        <v>0.7</v>
      </c>
      <c r="P396" s="16">
        <f t="shared" si="20"/>
        <v>66.975999999999999</v>
      </c>
      <c r="Q396" s="7">
        <v>0</v>
      </c>
      <c r="R396" s="7">
        <v>66.98</v>
      </c>
      <c r="S396" s="7">
        <v>66.98</v>
      </c>
      <c r="T396" s="6" t="s">
        <v>445</v>
      </c>
    </row>
    <row r="397" spans="1:20" s="6" customFormat="1" x14ac:dyDescent="0.25">
      <c r="A397" s="6">
        <v>2029041858</v>
      </c>
      <c r="B397" s="6" t="s">
        <v>507</v>
      </c>
      <c r="C397" s="6" t="s">
        <v>331</v>
      </c>
      <c r="D397" s="6" t="str">
        <f t="shared" si="18"/>
        <v>MICHELLE BUCARO</v>
      </c>
      <c r="E397" s="6" t="s">
        <v>445</v>
      </c>
      <c r="F397" s="6">
        <v>16912722</v>
      </c>
      <c r="G397" s="6" t="s">
        <v>1111</v>
      </c>
      <c r="H397" s="6" t="s">
        <v>56</v>
      </c>
      <c r="I397" s="5">
        <v>45798</v>
      </c>
      <c r="J397" s="5">
        <v>45951</v>
      </c>
      <c r="K397" s="7">
        <v>103.18</v>
      </c>
      <c r="L397" s="6">
        <f t="shared" si="19"/>
        <v>5</v>
      </c>
      <c r="M397" s="6" t="s">
        <v>59</v>
      </c>
      <c r="N397" s="6" t="s">
        <v>1145</v>
      </c>
      <c r="O397" s="9">
        <v>0.7</v>
      </c>
      <c r="P397" s="16">
        <f t="shared" si="20"/>
        <v>72.225999999999999</v>
      </c>
      <c r="Q397" s="7">
        <v>72.23</v>
      </c>
      <c r="R397" s="7">
        <v>0</v>
      </c>
      <c r="S397" s="7">
        <v>0</v>
      </c>
      <c r="T397" s="6" t="s">
        <v>445</v>
      </c>
    </row>
    <row r="398" spans="1:20" s="6" customFormat="1" x14ac:dyDescent="0.25">
      <c r="A398" s="6">
        <v>2028931111</v>
      </c>
      <c r="B398" s="6" t="s">
        <v>959</v>
      </c>
      <c r="C398" s="6" t="s">
        <v>374</v>
      </c>
      <c r="D398" s="6" t="str">
        <f t="shared" si="18"/>
        <v>ELIZABETH BURI</v>
      </c>
      <c r="E398" s="6" t="s">
        <v>445</v>
      </c>
      <c r="F398" s="6">
        <v>19681796</v>
      </c>
      <c r="G398" s="6" t="s">
        <v>1118</v>
      </c>
      <c r="H398" s="6" t="s">
        <v>56</v>
      </c>
      <c r="I398" s="5">
        <v>45793</v>
      </c>
      <c r="J398" s="5">
        <v>45946</v>
      </c>
      <c r="K398" s="7">
        <v>107.87</v>
      </c>
      <c r="L398" s="6">
        <f t="shared" si="19"/>
        <v>5</v>
      </c>
      <c r="M398" s="6" t="s">
        <v>59</v>
      </c>
      <c r="N398" s="6" t="s">
        <v>1145</v>
      </c>
      <c r="O398" s="9">
        <v>0.7</v>
      </c>
      <c r="P398" s="16">
        <f t="shared" si="20"/>
        <v>75.509</v>
      </c>
      <c r="Q398" s="7">
        <v>0</v>
      </c>
      <c r="R398" s="7">
        <v>75.510000000000005</v>
      </c>
      <c r="S398" s="7">
        <v>75.510000000000005</v>
      </c>
      <c r="T398" s="6" t="s">
        <v>445</v>
      </c>
    </row>
    <row r="399" spans="1:20" s="6" customFormat="1" x14ac:dyDescent="0.25">
      <c r="A399" s="6">
        <v>2028930864</v>
      </c>
      <c r="B399" s="6" t="s">
        <v>961</v>
      </c>
      <c r="C399" s="6" t="s">
        <v>960</v>
      </c>
      <c r="D399" s="6" t="str">
        <f t="shared" si="18"/>
        <v>CORAL COOPER</v>
      </c>
      <c r="E399" s="6" t="s">
        <v>445</v>
      </c>
      <c r="F399" s="6">
        <v>19681796</v>
      </c>
      <c r="G399" s="6" t="s">
        <v>1118</v>
      </c>
      <c r="H399" s="6" t="s">
        <v>56</v>
      </c>
      <c r="I399" s="5">
        <v>45793</v>
      </c>
      <c r="J399" s="5">
        <v>45946</v>
      </c>
      <c r="K399" s="7">
        <v>107.87</v>
      </c>
      <c r="L399" s="6">
        <f t="shared" si="19"/>
        <v>5</v>
      </c>
      <c r="M399" s="6" t="s">
        <v>59</v>
      </c>
      <c r="N399" s="6" t="s">
        <v>1145</v>
      </c>
      <c r="O399" s="9">
        <v>0.7</v>
      </c>
      <c r="P399" s="16">
        <f t="shared" si="20"/>
        <v>75.509</v>
      </c>
      <c r="Q399" s="7">
        <v>0</v>
      </c>
      <c r="R399" s="7">
        <v>75.510000000000005</v>
      </c>
      <c r="S399" s="7">
        <v>75.510000000000005</v>
      </c>
      <c r="T399" s="6" t="s">
        <v>445</v>
      </c>
    </row>
    <row r="400" spans="1:20" s="6" customFormat="1" x14ac:dyDescent="0.25">
      <c r="A400" s="6">
        <v>2029057172</v>
      </c>
      <c r="B400" s="6" t="s">
        <v>508</v>
      </c>
      <c r="C400" s="6" t="s">
        <v>509</v>
      </c>
      <c r="D400" s="6" t="str">
        <f t="shared" si="18"/>
        <v>RANDAL FRITZ</v>
      </c>
      <c r="E400" s="6" t="s">
        <v>445</v>
      </c>
      <c r="F400" s="6">
        <v>19681796</v>
      </c>
      <c r="G400" s="6" t="s">
        <v>1118</v>
      </c>
      <c r="H400" s="6" t="s">
        <v>56</v>
      </c>
      <c r="I400" s="5">
        <v>45799</v>
      </c>
      <c r="J400" s="5">
        <v>45952</v>
      </c>
      <c r="K400" s="7">
        <v>78.73</v>
      </c>
      <c r="L400" s="6">
        <f t="shared" si="19"/>
        <v>5</v>
      </c>
      <c r="M400" s="6" t="s">
        <v>59</v>
      </c>
      <c r="N400" s="6" t="s">
        <v>1145</v>
      </c>
      <c r="O400" s="9">
        <v>0.7</v>
      </c>
      <c r="P400" s="16">
        <f t="shared" si="20"/>
        <v>55.110999999999997</v>
      </c>
      <c r="Q400" s="7">
        <v>55.11</v>
      </c>
      <c r="R400" s="7">
        <v>0</v>
      </c>
      <c r="S400" s="7">
        <v>0</v>
      </c>
      <c r="T400" s="6" t="s">
        <v>445</v>
      </c>
    </row>
    <row r="401" spans="1:53" s="6" customFormat="1" x14ac:dyDescent="0.25">
      <c r="A401" s="6">
        <v>2028965776</v>
      </c>
      <c r="B401" s="6" t="s">
        <v>137</v>
      </c>
      <c r="C401" s="6" t="s">
        <v>773</v>
      </c>
      <c r="D401" s="6" t="str">
        <f t="shared" si="18"/>
        <v>MELISSA FUENTES</v>
      </c>
      <c r="E401" s="6" t="s">
        <v>445</v>
      </c>
      <c r="F401" s="6">
        <v>21283956</v>
      </c>
      <c r="G401" s="6" t="s">
        <v>1106</v>
      </c>
      <c r="H401" s="6" t="s">
        <v>56</v>
      </c>
      <c r="I401" s="5">
        <v>45793</v>
      </c>
      <c r="J401" s="5">
        <v>45946</v>
      </c>
      <c r="K401" s="7">
        <v>58.24</v>
      </c>
      <c r="L401" s="6">
        <f t="shared" si="19"/>
        <v>5</v>
      </c>
      <c r="M401" s="6" t="s">
        <v>59</v>
      </c>
      <c r="N401" s="6" t="s">
        <v>1145</v>
      </c>
      <c r="O401" s="9">
        <v>0.7</v>
      </c>
      <c r="P401" s="16">
        <f t="shared" si="20"/>
        <v>40.768000000000001</v>
      </c>
      <c r="Q401" s="7">
        <v>0</v>
      </c>
      <c r="R401" s="7">
        <v>40.770000000000003</v>
      </c>
      <c r="S401" s="7">
        <v>40.770000000000003</v>
      </c>
      <c r="T401" s="6" t="s">
        <v>445</v>
      </c>
    </row>
    <row r="402" spans="1:53" s="6" customFormat="1" x14ac:dyDescent="0.25">
      <c r="A402" s="6">
        <v>2028965822</v>
      </c>
      <c r="B402" s="6" t="s">
        <v>947</v>
      </c>
      <c r="C402" s="6" t="s">
        <v>946</v>
      </c>
      <c r="D402" s="6" t="str">
        <f t="shared" si="18"/>
        <v>OLIVIA FUENTES-DIETSCH</v>
      </c>
      <c r="E402" s="6" t="s">
        <v>445</v>
      </c>
      <c r="F402" s="6">
        <v>21283956</v>
      </c>
      <c r="G402" s="6" t="s">
        <v>1106</v>
      </c>
      <c r="H402" s="6" t="s">
        <v>56</v>
      </c>
      <c r="I402" s="5">
        <v>45793</v>
      </c>
      <c r="J402" s="5">
        <v>45946</v>
      </c>
      <c r="K402" s="7">
        <v>34</v>
      </c>
      <c r="L402" s="6">
        <f t="shared" si="19"/>
        <v>5</v>
      </c>
      <c r="M402" s="6" t="s">
        <v>59</v>
      </c>
      <c r="N402" s="6" t="s">
        <v>1145</v>
      </c>
      <c r="O402" s="9">
        <v>0.7</v>
      </c>
      <c r="P402" s="16">
        <f t="shared" si="20"/>
        <v>23.799999999999997</v>
      </c>
      <c r="Q402" s="7">
        <v>0</v>
      </c>
      <c r="R402" s="7">
        <v>23.8</v>
      </c>
      <c r="S402" s="7">
        <v>23.8</v>
      </c>
      <c r="T402" s="6" t="s">
        <v>445</v>
      </c>
    </row>
    <row r="403" spans="1:53" s="6" customFormat="1" x14ac:dyDescent="0.25">
      <c r="A403" s="6">
        <v>2029058324</v>
      </c>
      <c r="B403" s="6" t="s">
        <v>944</v>
      </c>
      <c r="C403" s="6" t="s">
        <v>943</v>
      </c>
      <c r="D403" s="6" t="str">
        <f t="shared" si="18"/>
        <v>TATE GOULD</v>
      </c>
      <c r="E403" s="6" t="s">
        <v>445</v>
      </c>
      <c r="F403" s="6">
        <v>16633294</v>
      </c>
      <c r="G403" s="6" t="s">
        <v>1079</v>
      </c>
      <c r="H403" s="6" t="s">
        <v>56</v>
      </c>
      <c r="I403" s="5">
        <v>45796</v>
      </c>
      <c r="J403" s="5">
        <v>45949</v>
      </c>
      <c r="K403" s="7">
        <v>43.92</v>
      </c>
      <c r="L403" s="6">
        <f t="shared" si="19"/>
        <v>5</v>
      </c>
      <c r="M403" s="6" t="s">
        <v>59</v>
      </c>
      <c r="N403" s="6" t="s">
        <v>1145</v>
      </c>
      <c r="O403" s="9">
        <v>0.7</v>
      </c>
      <c r="P403" s="16">
        <f t="shared" si="20"/>
        <v>30.744</v>
      </c>
      <c r="Q403" s="7">
        <v>30.74</v>
      </c>
      <c r="R403" s="7">
        <v>0</v>
      </c>
      <c r="S403" s="7">
        <v>0</v>
      </c>
      <c r="T403" s="6" t="s">
        <v>445</v>
      </c>
    </row>
    <row r="404" spans="1:53" s="6" customFormat="1" x14ac:dyDescent="0.25">
      <c r="A404" s="6">
        <v>2029073661</v>
      </c>
      <c r="B404" s="6" t="s">
        <v>86</v>
      </c>
      <c r="C404" s="6" t="s">
        <v>87</v>
      </c>
      <c r="D404" s="6" t="str">
        <f t="shared" si="18"/>
        <v>ERIN HENNESSY</v>
      </c>
      <c r="E404" s="6" t="s">
        <v>445</v>
      </c>
      <c r="F404" s="6">
        <v>19586992</v>
      </c>
      <c r="G404" s="6" t="s">
        <v>1104</v>
      </c>
      <c r="H404" s="6" t="s">
        <v>56</v>
      </c>
      <c r="I404" s="5">
        <v>45801</v>
      </c>
      <c r="J404" s="5">
        <v>45954</v>
      </c>
      <c r="K404" s="7">
        <v>26.32</v>
      </c>
      <c r="L404" s="6">
        <f t="shared" si="19"/>
        <v>5</v>
      </c>
      <c r="M404" s="6" t="s">
        <v>59</v>
      </c>
      <c r="N404" s="6" t="s">
        <v>1145</v>
      </c>
      <c r="O404" s="9">
        <v>0.7</v>
      </c>
      <c r="P404" s="16">
        <f t="shared" si="20"/>
        <v>18.423999999999999</v>
      </c>
      <c r="Q404" s="7">
        <v>18.420000000000002</v>
      </c>
      <c r="R404" s="7">
        <v>0</v>
      </c>
      <c r="S404" s="7">
        <v>0</v>
      </c>
      <c r="T404" s="6" t="s">
        <v>445</v>
      </c>
    </row>
    <row r="405" spans="1:53" s="6" customFormat="1" x14ac:dyDescent="0.25">
      <c r="A405" s="6">
        <v>2029101374</v>
      </c>
      <c r="B405" s="6" t="s">
        <v>189</v>
      </c>
      <c r="C405" s="6" t="s">
        <v>190</v>
      </c>
      <c r="D405" s="6" t="str">
        <f t="shared" si="18"/>
        <v>JEREMY HIGDON</v>
      </c>
      <c r="E405" s="6" t="s">
        <v>445</v>
      </c>
      <c r="F405" s="6">
        <v>371819</v>
      </c>
      <c r="G405" s="6" t="s">
        <v>1085</v>
      </c>
      <c r="H405" s="6" t="s">
        <v>56</v>
      </c>
      <c r="I405" s="5">
        <v>45801</v>
      </c>
      <c r="J405" s="5">
        <v>45954</v>
      </c>
      <c r="K405" s="7">
        <v>27.89</v>
      </c>
      <c r="L405" s="6">
        <f t="shared" si="19"/>
        <v>5</v>
      </c>
      <c r="M405" s="6" t="s">
        <v>59</v>
      </c>
      <c r="N405" s="6" t="s">
        <v>1145</v>
      </c>
      <c r="O405" s="9">
        <v>0.7</v>
      </c>
      <c r="P405" s="16">
        <f t="shared" si="20"/>
        <v>19.523</v>
      </c>
      <c r="Q405" s="7">
        <v>19.52</v>
      </c>
      <c r="R405" s="7">
        <v>0</v>
      </c>
      <c r="S405" s="7">
        <v>0</v>
      </c>
      <c r="T405" s="6" t="s">
        <v>445</v>
      </c>
    </row>
    <row r="406" spans="1:53" s="6" customFormat="1" x14ac:dyDescent="0.25">
      <c r="A406" s="6">
        <v>2029036919</v>
      </c>
      <c r="B406" s="6" t="s">
        <v>383</v>
      </c>
      <c r="C406" s="6" t="s">
        <v>280</v>
      </c>
      <c r="D406" s="6" t="str">
        <f t="shared" si="18"/>
        <v>DOUGLAS HUGHES</v>
      </c>
      <c r="E406" s="6" t="s">
        <v>445</v>
      </c>
      <c r="F406" s="6">
        <v>19681796</v>
      </c>
      <c r="G406" s="6" t="s">
        <v>1118</v>
      </c>
      <c r="H406" s="6" t="s">
        <v>56</v>
      </c>
      <c r="I406" s="5">
        <v>45798</v>
      </c>
      <c r="J406" s="5">
        <v>45951</v>
      </c>
      <c r="K406" s="7">
        <v>11.5</v>
      </c>
      <c r="L406" s="6">
        <f t="shared" si="19"/>
        <v>5</v>
      </c>
      <c r="M406" s="6" t="s">
        <v>59</v>
      </c>
      <c r="N406" s="6" t="s">
        <v>1145</v>
      </c>
      <c r="O406" s="9">
        <v>0.7</v>
      </c>
      <c r="P406" s="16">
        <f t="shared" si="20"/>
        <v>8.0499999999999989</v>
      </c>
      <c r="Q406" s="7">
        <v>8.0500000000000007</v>
      </c>
      <c r="R406" s="7">
        <v>0</v>
      </c>
      <c r="S406" s="7">
        <v>0</v>
      </c>
      <c r="T406" s="6" t="s">
        <v>445</v>
      </c>
    </row>
    <row r="407" spans="1:53" s="6" customFormat="1" x14ac:dyDescent="0.25">
      <c r="A407" s="6">
        <v>2028912654</v>
      </c>
      <c r="B407" s="6" t="s">
        <v>964</v>
      </c>
      <c r="C407" s="6" t="s">
        <v>796</v>
      </c>
      <c r="D407" s="6" t="str">
        <f t="shared" si="18"/>
        <v>KEVIN II</v>
      </c>
      <c r="E407" s="6" t="s">
        <v>445</v>
      </c>
      <c r="F407" s="6">
        <v>16633294</v>
      </c>
      <c r="G407" s="6" t="s">
        <v>1079</v>
      </c>
      <c r="H407" s="6" t="s">
        <v>56</v>
      </c>
      <c r="I407" s="5">
        <v>45791</v>
      </c>
      <c r="J407" s="5">
        <v>45944</v>
      </c>
      <c r="K407" s="7">
        <v>150.66</v>
      </c>
      <c r="L407" s="6">
        <f t="shared" si="19"/>
        <v>5</v>
      </c>
      <c r="M407" s="6" t="s">
        <v>59</v>
      </c>
      <c r="N407" s="6" t="s">
        <v>1145</v>
      </c>
      <c r="O407" s="9">
        <v>0.7</v>
      </c>
      <c r="P407" s="16">
        <f t="shared" si="20"/>
        <v>105.46199999999999</v>
      </c>
      <c r="Q407" s="7">
        <v>0</v>
      </c>
      <c r="R407" s="7">
        <v>105.46</v>
      </c>
      <c r="S407" s="7">
        <v>105.46</v>
      </c>
      <c r="T407" s="6" t="s">
        <v>445</v>
      </c>
    </row>
    <row r="408" spans="1:53" s="6" customFormat="1" x14ac:dyDescent="0.25">
      <c r="A408" s="6">
        <v>2029031001</v>
      </c>
      <c r="B408" s="6" t="s">
        <v>503</v>
      </c>
      <c r="C408" s="6" t="s">
        <v>504</v>
      </c>
      <c r="D408" s="6" t="str">
        <f t="shared" si="18"/>
        <v>ERBOLD MUNKHBAYAR</v>
      </c>
      <c r="E408" s="6" t="s">
        <v>445</v>
      </c>
      <c r="F408" s="6">
        <v>20220688</v>
      </c>
      <c r="G408" s="6" t="s">
        <v>1087</v>
      </c>
      <c r="H408" s="6" t="s">
        <v>56</v>
      </c>
      <c r="I408" s="5">
        <v>45798</v>
      </c>
      <c r="J408" s="5">
        <v>45951</v>
      </c>
      <c r="K408" s="7">
        <v>72.760000000000005</v>
      </c>
      <c r="L408" s="6">
        <f t="shared" si="19"/>
        <v>5</v>
      </c>
      <c r="M408" s="6" t="s">
        <v>59</v>
      </c>
      <c r="N408" s="6" t="s">
        <v>1145</v>
      </c>
      <c r="O408" s="9">
        <v>0.7</v>
      </c>
      <c r="P408" s="16">
        <f t="shared" si="20"/>
        <v>50.932000000000002</v>
      </c>
      <c r="Q408" s="7">
        <v>50.93</v>
      </c>
      <c r="R408" s="7">
        <v>0</v>
      </c>
      <c r="S408" s="7">
        <v>0</v>
      </c>
      <c r="T408" s="6" t="s">
        <v>445</v>
      </c>
    </row>
    <row r="409" spans="1:53" s="6" customFormat="1" x14ac:dyDescent="0.25">
      <c r="A409" s="6">
        <v>2028946855</v>
      </c>
      <c r="B409" s="6" t="s">
        <v>950</v>
      </c>
      <c r="C409" s="6" t="s">
        <v>949</v>
      </c>
      <c r="D409" s="6" t="str">
        <f t="shared" si="18"/>
        <v>GAGE PANTEL</v>
      </c>
      <c r="E409" s="6" t="s">
        <v>445</v>
      </c>
      <c r="F409" s="6">
        <v>19681796</v>
      </c>
      <c r="G409" s="6" t="s">
        <v>1118</v>
      </c>
      <c r="H409" s="6" t="s">
        <v>56</v>
      </c>
      <c r="I409" s="5">
        <v>45793</v>
      </c>
      <c r="J409" s="5">
        <v>45946</v>
      </c>
      <c r="K409" s="7">
        <v>19</v>
      </c>
      <c r="L409" s="6">
        <f t="shared" si="19"/>
        <v>5</v>
      </c>
      <c r="M409" s="6" t="s">
        <v>59</v>
      </c>
      <c r="N409" s="6" t="s">
        <v>1145</v>
      </c>
      <c r="O409" s="9">
        <v>0.7</v>
      </c>
      <c r="P409" s="16">
        <f t="shared" si="20"/>
        <v>13.299999999999999</v>
      </c>
      <c r="Q409" s="7">
        <v>0</v>
      </c>
      <c r="R409" s="7">
        <v>13.3</v>
      </c>
      <c r="S409" s="7">
        <v>13.3</v>
      </c>
      <c r="T409" s="6" t="s">
        <v>445</v>
      </c>
    </row>
    <row r="410" spans="1:53" s="6" customFormat="1" x14ac:dyDescent="0.25">
      <c r="A410" s="6">
        <v>2029039457</v>
      </c>
      <c r="B410" s="6" t="s">
        <v>505</v>
      </c>
      <c r="C410" s="6" t="s">
        <v>506</v>
      </c>
      <c r="D410" s="6" t="str">
        <f t="shared" si="18"/>
        <v>JENNY RIOS</v>
      </c>
      <c r="E410" s="6" t="s">
        <v>445</v>
      </c>
      <c r="F410" s="6">
        <v>371819</v>
      </c>
      <c r="G410" s="6" t="s">
        <v>1085</v>
      </c>
      <c r="H410" s="6" t="s">
        <v>56</v>
      </c>
      <c r="I410" s="5">
        <v>45798</v>
      </c>
      <c r="J410" s="5">
        <v>45951</v>
      </c>
      <c r="K410" s="7">
        <v>23</v>
      </c>
      <c r="L410" s="6">
        <f t="shared" si="19"/>
        <v>5</v>
      </c>
      <c r="M410" s="6" t="s">
        <v>59</v>
      </c>
      <c r="N410" s="6" t="s">
        <v>1145</v>
      </c>
      <c r="O410" s="9">
        <v>0.7</v>
      </c>
      <c r="P410" s="16">
        <f t="shared" si="20"/>
        <v>16.099999999999998</v>
      </c>
      <c r="Q410" s="7">
        <v>16.100000000000001</v>
      </c>
      <c r="R410" s="7">
        <v>0</v>
      </c>
      <c r="S410" s="7">
        <v>0</v>
      </c>
      <c r="T410" s="6" t="s">
        <v>445</v>
      </c>
    </row>
    <row r="411" spans="1:53" s="6" customFormat="1" x14ac:dyDescent="0.25">
      <c r="A411" s="6">
        <v>2029062372</v>
      </c>
      <c r="B411" s="6" t="s">
        <v>384</v>
      </c>
      <c r="C411" s="6" t="s">
        <v>385</v>
      </c>
      <c r="D411" s="6" t="str">
        <f t="shared" si="18"/>
        <v>VANESSA SALAZAR</v>
      </c>
      <c r="E411" s="6" t="s">
        <v>445</v>
      </c>
      <c r="F411" s="6">
        <v>371819</v>
      </c>
      <c r="G411" s="6" t="s">
        <v>1085</v>
      </c>
      <c r="H411" s="6" t="s">
        <v>56</v>
      </c>
      <c r="I411" s="5">
        <v>45800</v>
      </c>
      <c r="J411" s="5">
        <v>45953</v>
      </c>
      <c r="K411" s="7">
        <v>29.48</v>
      </c>
      <c r="L411" s="6">
        <f t="shared" si="19"/>
        <v>5</v>
      </c>
      <c r="M411" s="6" t="s">
        <v>59</v>
      </c>
      <c r="N411" s="6" t="s">
        <v>1145</v>
      </c>
      <c r="O411" s="9">
        <v>0.7</v>
      </c>
      <c r="P411" s="16">
        <f t="shared" si="20"/>
        <v>20.635999999999999</v>
      </c>
      <c r="Q411" s="7">
        <v>0</v>
      </c>
      <c r="R411" s="7">
        <v>20.64</v>
      </c>
      <c r="S411" s="7">
        <v>20.64</v>
      </c>
      <c r="T411" s="6" t="s">
        <v>445</v>
      </c>
    </row>
    <row r="412" spans="1:53" s="6" customFormat="1" x14ac:dyDescent="0.25">
      <c r="A412" s="6">
        <v>2028942347</v>
      </c>
      <c r="B412" s="6" t="s">
        <v>500</v>
      </c>
      <c r="C412" s="6" t="s">
        <v>501</v>
      </c>
      <c r="D412" s="6" t="str">
        <f t="shared" si="18"/>
        <v>TAMARA SILVETTI</v>
      </c>
      <c r="E412" s="6" t="s">
        <v>445</v>
      </c>
      <c r="F412" s="6">
        <v>16633294</v>
      </c>
      <c r="G412" s="6" t="s">
        <v>1079</v>
      </c>
      <c r="H412" s="6" t="s">
        <v>56</v>
      </c>
      <c r="I412" s="5">
        <v>45801</v>
      </c>
      <c r="J412" s="5">
        <v>45954</v>
      </c>
      <c r="K412" s="7">
        <v>192.61</v>
      </c>
      <c r="L412" s="6">
        <f t="shared" si="19"/>
        <v>5</v>
      </c>
      <c r="M412" s="6" t="s">
        <v>59</v>
      </c>
      <c r="N412" s="6" t="s">
        <v>1145</v>
      </c>
      <c r="O412" s="9">
        <v>0.7</v>
      </c>
      <c r="P412" s="16">
        <f t="shared" si="20"/>
        <v>134.827</v>
      </c>
      <c r="Q412" s="7">
        <v>134.83000000000001</v>
      </c>
      <c r="R412" s="7">
        <v>0</v>
      </c>
      <c r="S412" s="7">
        <v>0</v>
      </c>
      <c r="T412" s="6" t="s">
        <v>445</v>
      </c>
    </row>
    <row r="413" spans="1:53" s="6" customFormat="1" x14ac:dyDescent="0.25">
      <c r="A413" s="6">
        <v>2028935095</v>
      </c>
      <c r="B413" s="6" t="s">
        <v>958</v>
      </c>
      <c r="C413" s="6" t="s">
        <v>957</v>
      </c>
      <c r="D413" s="6" t="str">
        <f t="shared" si="18"/>
        <v>JUANITA SINGH</v>
      </c>
      <c r="E413" s="6" t="s">
        <v>445</v>
      </c>
      <c r="F413" s="6">
        <v>19586992</v>
      </c>
      <c r="G413" s="6" t="s">
        <v>1104</v>
      </c>
      <c r="H413" s="6" t="s">
        <v>56</v>
      </c>
      <c r="I413" s="5">
        <v>45792</v>
      </c>
      <c r="J413" s="5">
        <v>45945</v>
      </c>
      <c r="K413" s="7">
        <v>10.71</v>
      </c>
      <c r="L413" s="6">
        <f t="shared" si="19"/>
        <v>5</v>
      </c>
      <c r="M413" s="6" t="s">
        <v>59</v>
      </c>
      <c r="N413" s="6" t="s">
        <v>1145</v>
      </c>
      <c r="O413" s="9">
        <v>0.7</v>
      </c>
      <c r="P413" s="16">
        <f t="shared" si="20"/>
        <v>7.4969999999999999</v>
      </c>
      <c r="Q413" s="7">
        <v>0</v>
      </c>
      <c r="R413" s="7">
        <v>7.5</v>
      </c>
      <c r="S413" s="7">
        <v>7.5</v>
      </c>
      <c r="T413" s="6" t="s">
        <v>445</v>
      </c>
    </row>
    <row r="414" spans="1:53" x14ac:dyDescent="0.25">
      <c r="A414" s="6">
        <v>2028937037</v>
      </c>
      <c r="B414" s="6" t="s">
        <v>956</v>
      </c>
      <c r="C414" s="6" t="s">
        <v>955</v>
      </c>
      <c r="D414" s="6" t="str">
        <f t="shared" si="18"/>
        <v>HOLLY STAMPER</v>
      </c>
      <c r="E414" s="6" t="s">
        <v>445</v>
      </c>
      <c r="F414" s="6">
        <v>19681796</v>
      </c>
      <c r="G414" s="6" t="s">
        <v>1118</v>
      </c>
      <c r="H414" s="6" t="s">
        <v>56</v>
      </c>
      <c r="I414" s="5">
        <v>45793</v>
      </c>
      <c r="J414" s="5">
        <v>45946</v>
      </c>
      <c r="K414" s="7">
        <v>107.87</v>
      </c>
      <c r="L414" s="6">
        <f t="shared" si="19"/>
        <v>5</v>
      </c>
      <c r="M414" s="6" t="s">
        <v>59</v>
      </c>
      <c r="N414" s="6" t="s">
        <v>1145</v>
      </c>
      <c r="O414" s="9">
        <v>0.7</v>
      </c>
      <c r="P414" s="16">
        <f t="shared" si="20"/>
        <v>75.509</v>
      </c>
      <c r="Q414" s="7">
        <v>0</v>
      </c>
      <c r="R414" s="7">
        <v>75.510000000000005</v>
      </c>
      <c r="S414" s="7">
        <v>75.510000000000005</v>
      </c>
      <c r="T414" s="6" t="s">
        <v>445</v>
      </c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</row>
    <row r="415" spans="1:53" x14ac:dyDescent="0.25">
      <c r="A415" s="6">
        <v>2028919767</v>
      </c>
      <c r="B415" s="6" t="s">
        <v>963</v>
      </c>
      <c r="C415" s="6" t="s">
        <v>962</v>
      </c>
      <c r="D415" s="6" t="str">
        <f t="shared" si="18"/>
        <v>GERELTUYA TUMURKHUYAG</v>
      </c>
      <c r="E415" s="6" t="s">
        <v>445</v>
      </c>
      <c r="F415" s="6">
        <v>20220688</v>
      </c>
      <c r="G415" s="6" t="s">
        <v>1087</v>
      </c>
      <c r="H415" s="6" t="s">
        <v>56</v>
      </c>
      <c r="I415" s="5">
        <v>45791</v>
      </c>
      <c r="J415" s="5">
        <v>45944</v>
      </c>
      <c r="K415" s="7">
        <v>61.26</v>
      </c>
      <c r="L415" s="6">
        <f t="shared" si="19"/>
        <v>5</v>
      </c>
      <c r="M415" s="6" t="s">
        <v>59</v>
      </c>
      <c r="N415" s="6" t="s">
        <v>1145</v>
      </c>
      <c r="O415" s="9">
        <v>0.7</v>
      </c>
      <c r="P415" s="16">
        <f t="shared" si="20"/>
        <v>42.881999999999998</v>
      </c>
      <c r="Q415" s="7">
        <v>0</v>
      </c>
      <c r="R415" s="7">
        <v>42.88</v>
      </c>
      <c r="S415" s="7">
        <v>42.88</v>
      </c>
      <c r="T415" s="6" t="s">
        <v>445</v>
      </c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</row>
    <row r="416" spans="1:53" x14ac:dyDescent="0.25">
      <c r="A416" s="6">
        <v>2028977072</v>
      </c>
      <c r="B416" s="6" t="s">
        <v>849</v>
      </c>
      <c r="C416" s="6" t="s">
        <v>848</v>
      </c>
      <c r="D416" s="6" t="str">
        <f t="shared" si="18"/>
        <v>SYDNEY WEBSTER</v>
      </c>
      <c r="E416" s="6" t="s">
        <v>445</v>
      </c>
      <c r="F416" s="6">
        <v>21421111</v>
      </c>
      <c r="G416" s="6" t="s">
        <v>1096</v>
      </c>
      <c r="H416" s="6" t="s">
        <v>56</v>
      </c>
      <c r="I416" s="5">
        <v>45794</v>
      </c>
      <c r="J416" s="5">
        <v>45947</v>
      </c>
      <c r="K416" s="7">
        <v>50.6</v>
      </c>
      <c r="L416" s="6">
        <f t="shared" si="19"/>
        <v>5</v>
      </c>
      <c r="M416" s="6" t="s">
        <v>59</v>
      </c>
      <c r="N416" s="6" t="s">
        <v>1145</v>
      </c>
      <c r="O416" s="9">
        <v>0.7</v>
      </c>
      <c r="P416" s="16">
        <f t="shared" si="20"/>
        <v>35.42</v>
      </c>
      <c r="Q416" s="7">
        <v>0</v>
      </c>
      <c r="R416" s="7">
        <v>35.42</v>
      </c>
      <c r="S416" s="7">
        <v>35.42</v>
      </c>
      <c r="T416" s="6" t="s">
        <v>445</v>
      </c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</row>
    <row r="417" spans="1:53" x14ac:dyDescent="0.25">
      <c r="A417" s="6">
        <v>2029081352</v>
      </c>
      <c r="B417" s="6" t="s">
        <v>170</v>
      </c>
      <c r="C417" s="6" t="s">
        <v>331</v>
      </c>
      <c r="D417" s="6" t="str">
        <f t="shared" si="18"/>
        <v>MICHELLE YALE</v>
      </c>
      <c r="E417" s="6" t="s">
        <v>445</v>
      </c>
      <c r="F417" s="6">
        <v>16633294</v>
      </c>
      <c r="G417" s="6" t="s">
        <v>1079</v>
      </c>
      <c r="H417" s="6" t="s">
        <v>56</v>
      </c>
      <c r="I417" s="5">
        <v>45800</v>
      </c>
      <c r="J417" s="5">
        <v>45953</v>
      </c>
      <c r="K417" s="7">
        <v>11.5</v>
      </c>
      <c r="L417" s="6">
        <f t="shared" si="19"/>
        <v>5</v>
      </c>
      <c r="M417" s="6" t="s">
        <v>59</v>
      </c>
      <c r="N417" s="6" t="s">
        <v>1145</v>
      </c>
      <c r="O417" s="9">
        <v>0.7</v>
      </c>
      <c r="P417" s="16">
        <f t="shared" si="20"/>
        <v>8.0499999999999989</v>
      </c>
      <c r="Q417" s="7">
        <v>8.0500000000000007</v>
      </c>
      <c r="R417" s="7">
        <v>0</v>
      </c>
      <c r="S417" s="7">
        <v>0</v>
      </c>
      <c r="T417" s="6" t="s">
        <v>445</v>
      </c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</row>
    <row r="418" spans="1:53" x14ac:dyDescent="0.25">
      <c r="A418" s="6">
        <v>2028000917</v>
      </c>
      <c r="B418" s="6" t="s">
        <v>435</v>
      </c>
      <c r="C418" s="6" t="s">
        <v>436</v>
      </c>
      <c r="D418" s="6" t="str">
        <f t="shared" si="18"/>
        <v>ANGELO GALLARELLO</v>
      </c>
      <c r="E418" s="6" t="s">
        <v>445</v>
      </c>
      <c r="F418" s="6">
        <v>7470776</v>
      </c>
      <c r="G418" s="6" t="s">
        <v>1093</v>
      </c>
      <c r="H418" s="6" t="s">
        <v>56</v>
      </c>
      <c r="I418" s="5">
        <v>45770</v>
      </c>
      <c r="J418" s="5">
        <v>45953</v>
      </c>
      <c r="K418" s="7">
        <v>54.98</v>
      </c>
      <c r="L418" s="6">
        <f t="shared" si="19"/>
        <v>6</v>
      </c>
      <c r="M418" s="6" t="s">
        <v>59</v>
      </c>
      <c r="N418" s="6" t="s">
        <v>1145</v>
      </c>
      <c r="O418" s="9">
        <v>0.7</v>
      </c>
      <c r="P418" s="16">
        <f t="shared" si="20"/>
        <v>38.485999999999997</v>
      </c>
      <c r="Q418" s="7">
        <v>0</v>
      </c>
      <c r="R418" s="7">
        <v>38.49</v>
      </c>
      <c r="S418" s="7">
        <v>38.49</v>
      </c>
      <c r="T418" s="6" t="s">
        <v>445</v>
      </c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</row>
    <row r="419" spans="1:53" x14ac:dyDescent="0.25">
      <c r="A419" s="6">
        <v>2028466944</v>
      </c>
      <c r="B419" s="6" t="s">
        <v>176</v>
      </c>
      <c r="C419" s="6" t="s">
        <v>177</v>
      </c>
      <c r="D419" s="6" t="str">
        <f t="shared" si="18"/>
        <v>QUINN HUNCHAR</v>
      </c>
      <c r="E419" s="6" t="s">
        <v>445</v>
      </c>
      <c r="F419" s="6">
        <v>16865615</v>
      </c>
      <c r="G419" s="6" t="s">
        <v>1107</v>
      </c>
      <c r="H419" s="6" t="s">
        <v>56</v>
      </c>
      <c r="I419" s="5">
        <v>45767</v>
      </c>
      <c r="J419" s="5">
        <v>45950</v>
      </c>
      <c r="K419" s="7">
        <v>9.6999999999999993</v>
      </c>
      <c r="L419" s="6">
        <f t="shared" si="19"/>
        <v>6</v>
      </c>
      <c r="M419" s="6" t="s">
        <v>59</v>
      </c>
      <c r="N419" s="6" t="s">
        <v>1145</v>
      </c>
      <c r="O419" s="9">
        <v>0.7</v>
      </c>
      <c r="P419" s="16">
        <f t="shared" si="20"/>
        <v>6.7899999999999991</v>
      </c>
      <c r="Q419" s="7">
        <v>0</v>
      </c>
      <c r="R419" s="7">
        <v>6.79</v>
      </c>
      <c r="S419" s="7">
        <v>6.79</v>
      </c>
      <c r="T419" s="6" t="s">
        <v>445</v>
      </c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</row>
    <row r="420" spans="1:53" x14ac:dyDescent="0.25">
      <c r="A420" s="6">
        <v>2028286378</v>
      </c>
      <c r="B420" s="6" t="s">
        <v>875</v>
      </c>
      <c r="C420" s="6" t="s">
        <v>874</v>
      </c>
      <c r="D420" s="6" t="str">
        <f t="shared" si="18"/>
        <v>MARZENA KALEMBASA</v>
      </c>
      <c r="E420" s="6" t="s">
        <v>445</v>
      </c>
      <c r="F420" s="6">
        <v>19200754</v>
      </c>
      <c r="G420" s="6" t="s">
        <v>1094</v>
      </c>
      <c r="H420" s="6" t="s">
        <v>230</v>
      </c>
      <c r="I420" s="5">
        <v>45755</v>
      </c>
      <c r="J420" s="5">
        <v>45938</v>
      </c>
      <c r="K420" s="7">
        <v>-97.26</v>
      </c>
      <c r="L420" s="6">
        <f t="shared" si="19"/>
        <v>6</v>
      </c>
      <c r="M420" s="6" t="s">
        <v>59</v>
      </c>
      <c r="N420" s="6" t="s">
        <v>1145</v>
      </c>
      <c r="O420" s="9">
        <v>0.7</v>
      </c>
      <c r="P420" s="16">
        <f t="shared" si="20"/>
        <v>-68.081999999999994</v>
      </c>
      <c r="Q420" s="7">
        <v>0</v>
      </c>
      <c r="R420" s="7">
        <v>-68.08</v>
      </c>
      <c r="S420" s="7">
        <v>-68.08</v>
      </c>
      <c r="T420" s="6" t="s">
        <v>445</v>
      </c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</row>
    <row r="421" spans="1:53" x14ac:dyDescent="0.25">
      <c r="A421" s="6">
        <v>2028286378</v>
      </c>
      <c r="B421" s="6" t="s">
        <v>875</v>
      </c>
      <c r="C421" s="6" t="s">
        <v>874</v>
      </c>
      <c r="D421" s="6" t="str">
        <f t="shared" si="18"/>
        <v>MARZENA KALEMBASA</v>
      </c>
      <c r="E421" s="6" t="s">
        <v>445</v>
      </c>
      <c r="F421" s="6">
        <v>19200754</v>
      </c>
      <c r="G421" s="6" t="s">
        <v>1094</v>
      </c>
      <c r="H421" s="6" t="s">
        <v>230</v>
      </c>
      <c r="I421" s="5">
        <v>45755</v>
      </c>
      <c r="J421" s="5">
        <v>45938</v>
      </c>
      <c r="K421" s="7">
        <v>-97.26</v>
      </c>
      <c r="L421" s="6">
        <f t="shared" si="19"/>
        <v>6</v>
      </c>
      <c r="M421" s="6" t="s">
        <v>59</v>
      </c>
      <c r="N421" s="6" t="s">
        <v>1145</v>
      </c>
      <c r="O421" s="9">
        <v>0.7</v>
      </c>
      <c r="P421" s="16">
        <f t="shared" si="20"/>
        <v>-68.081999999999994</v>
      </c>
      <c r="Q421" s="7">
        <v>0</v>
      </c>
      <c r="R421" s="7">
        <v>-68.08</v>
      </c>
      <c r="S421" s="7">
        <v>-68.08</v>
      </c>
      <c r="T421" s="6" t="s">
        <v>445</v>
      </c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</row>
    <row r="422" spans="1:53" x14ac:dyDescent="0.25">
      <c r="A422" s="6">
        <v>2028461882</v>
      </c>
      <c r="B422" s="6" t="s">
        <v>174</v>
      </c>
      <c r="C422" s="6" t="s">
        <v>175</v>
      </c>
      <c r="D422" s="6" t="str">
        <f t="shared" si="18"/>
        <v>JULIA LAIT</v>
      </c>
      <c r="E422" s="6" t="s">
        <v>445</v>
      </c>
      <c r="F422" s="6">
        <v>16633294</v>
      </c>
      <c r="G422" s="6" t="s">
        <v>1079</v>
      </c>
      <c r="H422" s="6" t="s">
        <v>56</v>
      </c>
      <c r="I422" s="5">
        <v>45772</v>
      </c>
      <c r="J422" s="5">
        <v>45955</v>
      </c>
      <c r="K422" s="7">
        <v>58.94</v>
      </c>
      <c r="L422" s="6">
        <f t="shared" si="19"/>
        <v>6</v>
      </c>
      <c r="M422" s="6" t="s">
        <v>59</v>
      </c>
      <c r="N422" s="6" t="s">
        <v>1145</v>
      </c>
      <c r="O422" s="9">
        <v>0.7</v>
      </c>
      <c r="P422" s="16">
        <f t="shared" si="20"/>
        <v>41.257999999999996</v>
      </c>
      <c r="Q422" s="7">
        <v>0</v>
      </c>
      <c r="R422" s="7">
        <v>41.26</v>
      </c>
      <c r="S422" s="7">
        <v>41.26</v>
      </c>
      <c r="T422" s="6" t="s">
        <v>445</v>
      </c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</row>
    <row r="423" spans="1:53" x14ac:dyDescent="0.25">
      <c r="A423" s="6">
        <v>2028402355</v>
      </c>
      <c r="B423" s="6" t="s">
        <v>371</v>
      </c>
      <c r="C423" s="6" t="s">
        <v>372</v>
      </c>
      <c r="D423" s="6" t="str">
        <f t="shared" si="18"/>
        <v>KATHY MENDEZ</v>
      </c>
      <c r="E423" s="6" t="s">
        <v>445</v>
      </c>
      <c r="F423" s="6">
        <v>16912722</v>
      </c>
      <c r="G423" s="6" t="s">
        <v>1111</v>
      </c>
      <c r="H423" s="6" t="s">
        <v>56</v>
      </c>
      <c r="I423" s="5">
        <v>45762</v>
      </c>
      <c r="J423" s="5">
        <v>45945</v>
      </c>
      <c r="K423" s="7">
        <v>-105.02</v>
      </c>
      <c r="L423" s="6">
        <f t="shared" si="19"/>
        <v>6</v>
      </c>
      <c r="M423" s="6" t="s">
        <v>59</v>
      </c>
      <c r="N423" s="6" t="s">
        <v>1145</v>
      </c>
      <c r="O423" s="9">
        <v>0.7</v>
      </c>
      <c r="P423" s="16">
        <f t="shared" si="20"/>
        <v>-73.513999999999996</v>
      </c>
      <c r="Q423" s="7">
        <v>0</v>
      </c>
      <c r="R423" s="7">
        <v>-73.510000000000005</v>
      </c>
      <c r="S423" s="7">
        <v>-73.510000000000005</v>
      </c>
      <c r="T423" s="6" t="s">
        <v>445</v>
      </c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</row>
    <row r="424" spans="1:53" x14ac:dyDescent="0.25">
      <c r="A424" s="6">
        <v>2028402355</v>
      </c>
      <c r="B424" s="6" t="s">
        <v>371</v>
      </c>
      <c r="C424" s="6" t="s">
        <v>372</v>
      </c>
      <c r="D424" s="6" t="str">
        <f t="shared" si="18"/>
        <v>KATHY MENDEZ</v>
      </c>
      <c r="E424" s="6" t="s">
        <v>445</v>
      </c>
      <c r="F424" s="6">
        <v>16912722</v>
      </c>
      <c r="G424" s="6" t="s">
        <v>1111</v>
      </c>
      <c r="H424" s="6" t="s">
        <v>56</v>
      </c>
      <c r="I424" s="5">
        <v>45762</v>
      </c>
      <c r="J424" s="5">
        <v>45945</v>
      </c>
      <c r="K424" s="7">
        <v>105.02</v>
      </c>
      <c r="L424" s="6">
        <f t="shared" si="19"/>
        <v>6</v>
      </c>
      <c r="M424" s="6" t="s">
        <v>59</v>
      </c>
      <c r="N424" s="6" t="s">
        <v>1145</v>
      </c>
      <c r="O424" s="9">
        <v>0.7</v>
      </c>
      <c r="P424" s="16">
        <f t="shared" si="20"/>
        <v>73.513999999999996</v>
      </c>
      <c r="Q424" s="7">
        <v>0</v>
      </c>
      <c r="R424" s="7">
        <v>73.510000000000005</v>
      </c>
      <c r="S424" s="7">
        <v>73.510000000000005</v>
      </c>
      <c r="T424" s="6" t="s">
        <v>445</v>
      </c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</row>
    <row r="425" spans="1:53" x14ac:dyDescent="0.25">
      <c r="A425" s="6">
        <v>2028470693</v>
      </c>
      <c r="B425" s="6" t="s">
        <v>972</v>
      </c>
      <c r="C425" s="6" t="s">
        <v>485</v>
      </c>
      <c r="D425" s="6" t="str">
        <f t="shared" si="18"/>
        <v>PAMELA MITCHELL</v>
      </c>
      <c r="E425" s="6" t="s">
        <v>445</v>
      </c>
      <c r="F425" s="6">
        <v>19681796</v>
      </c>
      <c r="G425" s="6" t="s">
        <v>1118</v>
      </c>
      <c r="H425" s="6" t="s">
        <v>56</v>
      </c>
      <c r="I425" s="5">
        <v>45765</v>
      </c>
      <c r="J425" s="5">
        <v>45948</v>
      </c>
      <c r="K425" s="7">
        <v>159.16999999999999</v>
      </c>
      <c r="L425" s="6">
        <f t="shared" si="19"/>
        <v>6</v>
      </c>
      <c r="M425" s="6" t="s">
        <v>59</v>
      </c>
      <c r="N425" s="6" t="s">
        <v>1145</v>
      </c>
      <c r="O425" s="9">
        <v>0.7</v>
      </c>
      <c r="P425" s="16">
        <f t="shared" si="20"/>
        <v>111.41899999999998</v>
      </c>
      <c r="Q425" s="7">
        <v>0</v>
      </c>
      <c r="R425" s="7">
        <v>111.42</v>
      </c>
      <c r="S425" s="7">
        <v>111.42</v>
      </c>
      <c r="T425" s="6" t="s">
        <v>445</v>
      </c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</row>
    <row r="426" spans="1:53" x14ac:dyDescent="0.25">
      <c r="A426" s="6">
        <v>2028135305</v>
      </c>
      <c r="B426" s="6" t="s">
        <v>153</v>
      </c>
      <c r="C426" s="6" t="s">
        <v>830</v>
      </c>
      <c r="D426" s="6" t="str">
        <f t="shared" si="18"/>
        <v>STEPHEN RYAN</v>
      </c>
      <c r="E426" s="6" t="s">
        <v>445</v>
      </c>
      <c r="F426" s="6">
        <v>371819</v>
      </c>
      <c r="G426" s="6" t="s">
        <v>1085</v>
      </c>
      <c r="H426" s="6" t="s">
        <v>56</v>
      </c>
      <c r="I426" s="5">
        <v>45748</v>
      </c>
      <c r="J426" s="5">
        <v>45931</v>
      </c>
      <c r="K426" s="7">
        <v>17.64</v>
      </c>
      <c r="L426" s="6">
        <f t="shared" si="19"/>
        <v>6</v>
      </c>
      <c r="M426" s="6" t="s">
        <v>59</v>
      </c>
      <c r="N426" s="6" t="s">
        <v>1145</v>
      </c>
      <c r="O426" s="9">
        <v>0.7</v>
      </c>
      <c r="P426" s="16">
        <f t="shared" si="20"/>
        <v>12.347999999999999</v>
      </c>
      <c r="Q426" s="7">
        <v>0</v>
      </c>
      <c r="R426" s="7">
        <v>12.35</v>
      </c>
      <c r="S426" s="7">
        <v>12.35</v>
      </c>
      <c r="T426" s="6" t="s">
        <v>445</v>
      </c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</row>
    <row r="427" spans="1:53" x14ac:dyDescent="0.25">
      <c r="A427" s="6">
        <v>2028379892</v>
      </c>
      <c r="B427" s="6" t="s">
        <v>871</v>
      </c>
      <c r="C427" s="6" t="s">
        <v>870</v>
      </c>
      <c r="D427" s="6" t="str">
        <f t="shared" si="18"/>
        <v>CONNIE SHOCKLEY</v>
      </c>
      <c r="E427" s="6" t="s">
        <v>445</v>
      </c>
      <c r="F427" s="6">
        <v>21421111</v>
      </c>
      <c r="G427" s="6" t="s">
        <v>1096</v>
      </c>
      <c r="H427" s="6" t="s">
        <v>56</v>
      </c>
      <c r="I427" s="5">
        <v>45760</v>
      </c>
      <c r="J427" s="5">
        <v>45943</v>
      </c>
      <c r="K427" s="7">
        <v>129.22</v>
      </c>
      <c r="L427" s="6">
        <f t="shared" si="19"/>
        <v>6</v>
      </c>
      <c r="M427" s="6" t="s">
        <v>59</v>
      </c>
      <c r="N427" s="6" t="s">
        <v>1145</v>
      </c>
      <c r="O427" s="9">
        <v>0.7</v>
      </c>
      <c r="P427" s="16">
        <f t="shared" si="20"/>
        <v>90.453999999999994</v>
      </c>
      <c r="Q427" s="7">
        <v>0</v>
      </c>
      <c r="R427" s="7">
        <v>90.45</v>
      </c>
      <c r="S427" s="7">
        <v>90.45</v>
      </c>
      <c r="T427" s="6" t="s">
        <v>445</v>
      </c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</row>
    <row r="428" spans="1:53" x14ac:dyDescent="0.25">
      <c r="A428" s="6">
        <v>2028471502</v>
      </c>
      <c r="B428" s="6" t="s">
        <v>971</v>
      </c>
      <c r="C428" s="6" t="s">
        <v>970</v>
      </c>
      <c r="D428" s="6" t="str">
        <f t="shared" si="18"/>
        <v>FRANCIS SLIFKA</v>
      </c>
      <c r="E428" s="6" t="s">
        <v>445</v>
      </c>
      <c r="F428" s="6">
        <v>19681796</v>
      </c>
      <c r="G428" s="6" t="s">
        <v>1118</v>
      </c>
      <c r="H428" s="6" t="s">
        <v>56</v>
      </c>
      <c r="I428" s="5">
        <v>45765</v>
      </c>
      <c r="J428" s="5">
        <v>45948</v>
      </c>
      <c r="K428" s="7">
        <v>41.98</v>
      </c>
      <c r="L428" s="6">
        <f t="shared" si="19"/>
        <v>6</v>
      </c>
      <c r="M428" s="6" t="s">
        <v>59</v>
      </c>
      <c r="N428" s="6" t="s">
        <v>1145</v>
      </c>
      <c r="O428" s="9">
        <v>0.7</v>
      </c>
      <c r="P428" s="16">
        <f t="shared" si="20"/>
        <v>29.385999999999996</v>
      </c>
      <c r="Q428" s="7">
        <v>0</v>
      </c>
      <c r="R428" s="7">
        <v>29.39</v>
      </c>
      <c r="S428" s="7">
        <v>29.39</v>
      </c>
      <c r="T428" s="6" t="s">
        <v>445</v>
      </c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</row>
    <row r="429" spans="1:53" x14ac:dyDescent="0.25">
      <c r="A429" s="6">
        <v>2028498799</v>
      </c>
      <c r="B429" s="6" t="s">
        <v>178</v>
      </c>
      <c r="C429" s="6" t="s">
        <v>179</v>
      </c>
      <c r="D429" s="6" t="str">
        <f t="shared" si="18"/>
        <v>TIMOTHY VAWTER</v>
      </c>
      <c r="E429" s="6" t="s">
        <v>445</v>
      </c>
      <c r="F429" s="6">
        <v>16633294</v>
      </c>
      <c r="G429" s="6" t="s">
        <v>1079</v>
      </c>
      <c r="H429" s="6" t="s">
        <v>56</v>
      </c>
      <c r="I429" s="5">
        <v>45772</v>
      </c>
      <c r="J429" s="5">
        <v>45955</v>
      </c>
      <c r="K429" s="7">
        <v>30.58</v>
      </c>
      <c r="L429" s="6">
        <f t="shared" si="19"/>
        <v>6</v>
      </c>
      <c r="M429" s="6" t="s">
        <v>59</v>
      </c>
      <c r="N429" s="6" t="s">
        <v>1145</v>
      </c>
      <c r="O429" s="9">
        <v>0.7</v>
      </c>
      <c r="P429" s="16">
        <f t="shared" si="20"/>
        <v>21.405999999999999</v>
      </c>
      <c r="Q429" s="7">
        <v>0</v>
      </c>
      <c r="R429" s="7">
        <v>21.41</v>
      </c>
      <c r="S429" s="7">
        <v>21.41</v>
      </c>
      <c r="T429" s="6" t="s">
        <v>445</v>
      </c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</row>
    <row r="430" spans="1:53" x14ac:dyDescent="0.25">
      <c r="A430" s="6">
        <v>2028471687</v>
      </c>
      <c r="B430" s="6" t="s">
        <v>259</v>
      </c>
      <c r="C430" s="6" t="s">
        <v>594</v>
      </c>
      <c r="D430" s="6" t="str">
        <f t="shared" si="18"/>
        <v>DALE WALENGA</v>
      </c>
      <c r="E430" s="6" t="s">
        <v>445</v>
      </c>
      <c r="F430" s="6">
        <v>8325282</v>
      </c>
      <c r="G430" s="6" t="s">
        <v>1091</v>
      </c>
      <c r="H430" s="6" t="s">
        <v>56</v>
      </c>
      <c r="I430" s="5">
        <v>45765</v>
      </c>
      <c r="J430" s="5">
        <v>45948</v>
      </c>
      <c r="K430" s="7">
        <v>51</v>
      </c>
      <c r="L430" s="6">
        <f t="shared" si="19"/>
        <v>6</v>
      </c>
      <c r="M430" s="6" t="s">
        <v>59</v>
      </c>
      <c r="N430" s="6" t="s">
        <v>1145</v>
      </c>
      <c r="O430" s="9">
        <v>0.7</v>
      </c>
      <c r="P430" s="16">
        <f t="shared" si="20"/>
        <v>35.699999999999996</v>
      </c>
      <c r="Q430" s="7">
        <v>0</v>
      </c>
      <c r="R430" s="7">
        <v>35.700000000000003</v>
      </c>
      <c r="S430" s="7">
        <v>35.700000000000003</v>
      </c>
      <c r="T430" s="6" t="s">
        <v>445</v>
      </c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</row>
    <row r="431" spans="1:53" x14ac:dyDescent="0.25">
      <c r="A431" s="6">
        <v>2027913472</v>
      </c>
      <c r="B431" s="6" t="s">
        <v>166</v>
      </c>
      <c r="C431" s="6" t="s">
        <v>167</v>
      </c>
      <c r="D431" s="6" t="str">
        <f t="shared" si="18"/>
        <v>MONIKA AUFDERHEIDE</v>
      </c>
      <c r="E431" s="6" t="s">
        <v>445</v>
      </c>
      <c r="F431" s="6">
        <v>16865615</v>
      </c>
      <c r="G431" s="6" t="s">
        <v>1107</v>
      </c>
      <c r="H431" s="6" t="s">
        <v>56</v>
      </c>
      <c r="I431" s="5">
        <v>45738</v>
      </c>
      <c r="J431" s="5">
        <v>45952</v>
      </c>
      <c r="K431" s="7">
        <v>7.89</v>
      </c>
      <c r="L431" s="6">
        <f t="shared" si="19"/>
        <v>7</v>
      </c>
      <c r="M431" s="6" t="s">
        <v>59</v>
      </c>
      <c r="N431" s="6" t="s">
        <v>1148</v>
      </c>
      <c r="O431" s="9">
        <v>0.7</v>
      </c>
      <c r="P431" s="16">
        <f t="shared" si="20"/>
        <v>5.5229999999999997</v>
      </c>
      <c r="Q431" s="7">
        <v>0</v>
      </c>
      <c r="R431" s="7">
        <v>5.52</v>
      </c>
      <c r="S431" s="7">
        <v>5.52</v>
      </c>
      <c r="T431" s="6" t="s">
        <v>445</v>
      </c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</row>
    <row r="432" spans="1:53" x14ac:dyDescent="0.25">
      <c r="A432" s="6">
        <v>2027301089</v>
      </c>
      <c r="B432" s="6" t="s">
        <v>980</v>
      </c>
      <c r="C432" s="6" t="s">
        <v>870</v>
      </c>
      <c r="D432" s="6" t="str">
        <f t="shared" si="18"/>
        <v>CONNIE BERG</v>
      </c>
      <c r="E432" s="6" t="s">
        <v>445</v>
      </c>
      <c r="F432" s="6">
        <v>19681796</v>
      </c>
      <c r="G432" s="6" t="s">
        <v>1118</v>
      </c>
      <c r="H432" s="6" t="s">
        <v>230</v>
      </c>
      <c r="I432" s="5">
        <v>45713</v>
      </c>
      <c r="J432" s="5">
        <v>45925</v>
      </c>
      <c r="K432" s="7">
        <v>-5.94</v>
      </c>
      <c r="L432" s="6">
        <f t="shared" si="19"/>
        <v>7</v>
      </c>
      <c r="M432" s="6" t="s">
        <v>59</v>
      </c>
      <c r="N432" s="6" t="s">
        <v>1148</v>
      </c>
      <c r="O432" s="9">
        <v>0.7</v>
      </c>
      <c r="P432" s="16">
        <f t="shared" si="20"/>
        <v>-4.1580000000000004</v>
      </c>
      <c r="Q432" s="7">
        <v>0</v>
      </c>
      <c r="R432" s="7">
        <v>-4.16</v>
      </c>
      <c r="S432" s="7">
        <v>-4.16</v>
      </c>
      <c r="T432" s="6" t="s">
        <v>445</v>
      </c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</row>
    <row r="433" spans="1:53" x14ac:dyDescent="0.25">
      <c r="A433" s="6">
        <v>2028007024</v>
      </c>
      <c r="B433" s="6" t="s">
        <v>490</v>
      </c>
      <c r="C433" s="6" t="s">
        <v>491</v>
      </c>
      <c r="D433" s="6" t="str">
        <f t="shared" si="18"/>
        <v>TSOGOO DAMDINVAANJIL</v>
      </c>
      <c r="E433" s="6" t="s">
        <v>445</v>
      </c>
      <c r="F433" s="6">
        <v>20999157</v>
      </c>
      <c r="G433" s="6" t="s">
        <v>1125</v>
      </c>
      <c r="H433" s="6" t="s">
        <v>56</v>
      </c>
      <c r="I433" s="5">
        <v>45741</v>
      </c>
      <c r="J433" s="5">
        <v>45955</v>
      </c>
      <c r="K433" s="7">
        <v>19</v>
      </c>
      <c r="L433" s="6">
        <f t="shared" si="19"/>
        <v>7</v>
      </c>
      <c r="M433" s="6" t="s">
        <v>59</v>
      </c>
      <c r="N433" s="6" t="s">
        <v>1148</v>
      </c>
      <c r="O433" s="9">
        <v>0.7</v>
      </c>
      <c r="P433" s="16">
        <f t="shared" si="20"/>
        <v>13.299999999999999</v>
      </c>
      <c r="Q433" s="7">
        <v>0</v>
      </c>
      <c r="R433" s="7">
        <v>13.3</v>
      </c>
      <c r="S433" s="7">
        <v>13.3</v>
      </c>
      <c r="T433" s="6" t="s">
        <v>445</v>
      </c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</row>
    <row r="434" spans="1:53" x14ac:dyDescent="0.25">
      <c r="A434" s="6">
        <v>2028005041</v>
      </c>
      <c r="B434" s="6" t="s">
        <v>369</v>
      </c>
      <c r="C434" s="6" t="s">
        <v>370</v>
      </c>
      <c r="D434" s="6" t="str">
        <f t="shared" si="18"/>
        <v>MELVIN FERNANDEZ</v>
      </c>
      <c r="E434" s="6" t="s">
        <v>445</v>
      </c>
      <c r="F434" s="6">
        <v>7470776</v>
      </c>
      <c r="G434" s="6" t="s">
        <v>1093</v>
      </c>
      <c r="H434" s="6" t="s">
        <v>56</v>
      </c>
      <c r="I434" s="5">
        <v>45741</v>
      </c>
      <c r="J434" s="5">
        <v>45955</v>
      </c>
      <c r="K434" s="7">
        <v>15.75</v>
      </c>
      <c r="L434" s="6">
        <f t="shared" si="19"/>
        <v>7</v>
      </c>
      <c r="M434" s="6" t="s">
        <v>59</v>
      </c>
      <c r="N434" s="6" t="s">
        <v>1148</v>
      </c>
      <c r="O434" s="9">
        <v>0.7</v>
      </c>
      <c r="P434" s="16">
        <f t="shared" si="20"/>
        <v>11.024999999999999</v>
      </c>
      <c r="Q434" s="7">
        <v>0</v>
      </c>
      <c r="R434" s="7">
        <v>11.02</v>
      </c>
      <c r="S434" s="7">
        <v>11.02</v>
      </c>
      <c r="T434" s="6" t="s">
        <v>445</v>
      </c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</row>
    <row r="435" spans="1:53" x14ac:dyDescent="0.25">
      <c r="A435" s="6">
        <v>2027767677</v>
      </c>
      <c r="B435" s="6" t="s">
        <v>880</v>
      </c>
      <c r="C435" s="6" t="s">
        <v>114</v>
      </c>
      <c r="D435" s="6" t="str">
        <f t="shared" si="18"/>
        <v>BLAKE LARSEN</v>
      </c>
      <c r="E435" s="6" t="s">
        <v>445</v>
      </c>
      <c r="F435" s="6">
        <v>17301495</v>
      </c>
      <c r="G435" s="6" t="s">
        <v>1137</v>
      </c>
      <c r="H435" s="6" t="s">
        <v>56</v>
      </c>
      <c r="I435" s="5">
        <v>45729</v>
      </c>
      <c r="J435" s="5">
        <v>45943</v>
      </c>
      <c r="K435" s="7">
        <v>56.55</v>
      </c>
      <c r="L435" s="6">
        <f t="shared" si="19"/>
        <v>7</v>
      </c>
      <c r="M435" s="6" t="s">
        <v>59</v>
      </c>
      <c r="N435" s="6" t="s">
        <v>1148</v>
      </c>
      <c r="O435" s="9">
        <v>0.7</v>
      </c>
      <c r="P435" s="16">
        <f t="shared" si="20"/>
        <v>39.584999999999994</v>
      </c>
      <c r="Q435" s="7">
        <v>0</v>
      </c>
      <c r="R435" s="7">
        <v>39.58</v>
      </c>
      <c r="S435" s="7">
        <v>39.58</v>
      </c>
      <c r="T435" s="6" t="s">
        <v>445</v>
      </c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</row>
    <row r="436" spans="1:53" x14ac:dyDescent="0.25">
      <c r="A436" s="6">
        <v>2028004035</v>
      </c>
      <c r="B436" s="6" t="s">
        <v>172</v>
      </c>
      <c r="C436" s="6" t="s">
        <v>173</v>
      </c>
      <c r="D436" s="6" t="str">
        <f t="shared" si="18"/>
        <v>BRENDA LOYA</v>
      </c>
      <c r="E436" s="6" t="s">
        <v>445</v>
      </c>
      <c r="F436" s="6">
        <v>16865615</v>
      </c>
      <c r="G436" s="6" t="s">
        <v>1107</v>
      </c>
      <c r="H436" s="6" t="s">
        <v>56</v>
      </c>
      <c r="I436" s="5">
        <v>45741</v>
      </c>
      <c r="J436" s="5">
        <v>45955</v>
      </c>
      <c r="K436" s="7">
        <v>9.1</v>
      </c>
      <c r="L436" s="6">
        <f t="shared" si="19"/>
        <v>7</v>
      </c>
      <c r="M436" s="6" t="s">
        <v>59</v>
      </c>
      <c r="N436" s="6" t="s">
        <v>1148</v>
      </c>
      <c r="O436" s="9">
        <v>0.7</v>
      </c>
      <c r="P436" s="16">
        <f t="shared" si="20"/>
        <v>6.3699999999999992</v>
      </c>
      <c r="Q436" s="7">
        <v>0</v>
      </c>
      <c r="R436" s="7">
        <v>6.37</v>
      </c>
      <c r="S436" s="7">
        <v>6.37</v>
      </c>
      <c r="T436" s="6" t="s">
        <v>445</v>
      </c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</row>
    <row r="437" spans="1:53" x14ac:dyDescent="0.25">
      <c r="A437" s="6">
        <v>2027867338</v>
      </c>
      <c r="B437" s="6" t="s">
        <v>164</v>
      </c>
      <c r="C437" s="6" t="s">
        <v>165</v>
      </c>
      <c r="D437" s="6" t="str">
        <f t="shared" si="18"/>
        <v>DERREK MARTINEZ</v>
      </c>
      <c r="E437" s="6" t="s">
        <v>445</v>
      </c>
      <c r="F437" s="6">
        <v>16865615</v>
      </c>
      <c r="G437" s="6" t="s">
        <v>1107</v>
      </c>
      <c r="H437" s="6" t="s">
        <v>56</v>
      </c>
      <c r="I437" s="5">
        <v>45736</v>
      </c>
      <c r="J437" s="5">
        <v>45950</v>
      </c>
      <c r="K437" s="7">
        <v>9.1</v>
      </c>
      <c r="L437" s="6">
        <f t="shared" si="19"/>
        <v>7</v>
      </c>
      <c r="M437" s="6" t="s">
        <v>59</v>
      </c>
      <c r="N437" s="6" t="s">
        <v>1148</v>
      </c>
      <c r="O437" s="9">
        <v>0.7</v>
      </c>
      <c r="P437" s="16">
        <f t="shared" si="20"/>
        <v>6.3699999999999992</v>
      </c>
      <c r="Q437" s="7">
        <v>0</v>
      </c>
      <c r="R437" s="7">
        <v>6.37</v>
      </c>
      <c r="S437" s="7">
        <v>6.37</v>
      </c>
      <c r="T437" s="6" t="s">
        <v>445</v>
      </c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</row>
    <row r="438" spans="1:53" x14ac:dyDescent="0.25">
      <c r="A438" s="6">
        <v>2027993344</v>
      </c>
      <c r="B438" s="6" t="s">
        <v>486</v>
      </c>
      <c r="C438" s="6" t="s">
        <v>487</v>
      </c>
      <c r="D438" s="6" t="str">
        <f t="shared" si="18"/>
        <v>OYUN-ERDENE MCCOY</v>
      </c>
      <c r="E438" s="6" t="s">
        <v>445</v>
      </c>
      <c r="F438" s="6">
        <v>20999157</v>
      </c>
      <c r="G438" s="6" t="s">
        <v>1125</v>
      </c>
      <c r="H438" s="6" t="s">
        <v>56</v>
      </c>
      <c r="I438" s="5">
        <v>45741</v>
      </c>
      <c r="J438" s="5">
        <v>45955</v>
      </c>
      <c r="K438" s="7">
        <v>34</v>
      </c>
      <c r="L438" s="6">
        <f t="shared" si="19"/>
        <v>7</v>
      </c>
      <c r="M438" s="6" t="s">
        <v>59</v>
      </c>
      <c r="N438" s="6" t="s">
        <v>1148</v>
      </c>
      <c r="O438" s="9">
        <v>0.7</v>
      </c>
      <c r="P438" s="16">
        <f t="shared" si="20"/>
        <v>23.799999999999997</v>
      </c>
      <c r="Q438" s="7">
        <v>0</v>
      </c>
      <c r="R438" s="7">
        <v>23.8</v>
      </c>
      <c r="S438" s="7">
        <v>23.8</v>
      </c>
      <c r="T438" s="6" t="s">
        <v>445</v>
      </c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</row>
    <row r="439" spans="1:53" x14ac:dyDescent="0.25">
      <c r="A439" s="6">
        <v>2027895299</v>
      </c>
      <c r="B439" s="6" t="s">
        <v>976</v>
      </c>
      <c r="C439" s="6" t="s">
        <v>975</v>
      </c>
      <c r="D439" s="6" t="str">
        <f t="shared" si="18"/>
        <v>DOBROMILA PAVLASOVA</v>
      </c>
      <c r="E439" s="6" t="s">
        <v>445</v>
      </c>
      <c r="F439" s="6">
        <v>8325282</v>
      </c>
      <c r="G439" s="6" t="s">
        <v>1091</v>
      </c>
      <c r="H439" s="6" t="s">
        <v>56</v>
      </c>
      <c r="I439" s="5">
        <v>45735</v>
      </c>
      <c r="J439" s="5">
        <v>45949</v>
      </c>
      <c r="K439" s="7">
        <v>62.75</v>
      </c>
      <c r="L439" s="6">
        <f t="shared" si="19"/>
        <v>7</v>
      </c>
      <c r="M439" s="6" t="s">
        <v>59</v>
      </c>
      <c r="N439" s="6" t="s">
        <v>1148</v>
      </c>
      <c r="O439" s="9">
        <v>0.7</v>
      </c>
      <c r="P439" s="16">
        <f t="shared" si="20"/>
        <v>43.924999999999997</v>
      </c>
      <c r="Q439" s="7">
        <v>0</v>
      </c>
      <c r="R439" s="7">
        <v>43.92</v>
      </c>
      <c r="S439" s="7">
        <v>43.92</v>
      </c>
      <c r="T439" s="6" t="s">
        <v>445</v>
      </c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</row>
    <row r="440" spans="1:53" x14ac:dyDescent="0.25">
      <c r="A440" s="6">
        <v>2027798219</v>
      </c>
      <c r="B440" s="6" t="s">
        <v>365</v>
      </c>
      <c r="C440" s="6" t="s">
        <v>366</v>
      </c>
      <c r="D440" s="6" t="str">
        <f t="shared" si="18"/>
        <v>BARRY SCHUMANN</v>
      </c>
      <c r="E440" s="6" t="s">
        <v>445</v>
      </c>
      <c r="F440" s="6">
        <v>19586992</v>
      </c>
      <c r="G440" s="6" t="s">
        <v>1104</v>
      </c>
      <c r="H440" s="6" t="s">
        <v>56</v>
      </c>
      <c r="I440" s="5">
        <v>45736</v>
      </c>
      <c r="J440" s="5">
        <v>45950</v>
      </c>
      <c r="K440" s="7">
        <v>77.52</v>
      </c>
      <c r="L440" s="6">
        <f t="shared" si="19"/>
        <v>7</v>
      </c>
      <c r="M440" s="6" t="s">
        <v>59</v>
      </c>
      <c r="N440" s="6" t="s">
        <v>1148</v>
      </c>
      <c r="O440" s="9">
        <v>0.7</v>
      </c>
      <c r="P440" s="16">
        <f t="shared" si="20"/>
        <v>54.263999999999996</v>
      </c>
      <c r="Q440" s="7">
        <v>0</v>
      </c>
      <c r="R440" s="7">
        <v>54.26</v>
      </c>
      <c r="S440" s="7">
        <v>54.26</v>
      </c>
      <c r="T440" s="6" t="s">
        <v>445</v>
      </c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</row>
    <row r="441" spans="1:53" x14ac:dyDescent="0.25">
      <c r="A441" s="6">
        <v>2026734001</v>
      </c>
      <c r="B441" s="6" t="s">
        <v>483</v>
      </c>
      <c r="C441" s="6" t="s">
        <v>260</v>
      </c>
      <c r="D441" s="6" t="str">
        <f t="shared" si="18"/>
        <v>JENNIFER APELIAN</v>
      </c>
      <c r="E441" s="6" t="s">
        <v>445</v>
      </c>
      <c r="F441" s="6">
        <v>16912722</v>
      </c>
      <c r="G441" s="6" t="s">
        <v>1111</v>
      </c>
      <c r="H441" s="6" t="s">
        <v>56</v>
      </c>
      <c r="I441" s="5">
        <v>45681</v>
      </c>
      <c r="J441" s="5">
        <v>45924</v>
      </c>
      <c r="K441" s="7">
        <v>22.19</v>
      </c>
      <c r="L441" s="6">
        <f t="shared" si="19"/>
        <v>8</v>
      </c>
      <c r="M441" s="6" t="s">
        <v>59</v>
      </c>
      <c r="N441" s="6" t="s">
        <v>1148</v>
      </c>
      <c r="O441" s="9">
        <v>0.7</v>
      </c>
      <c r="P441" s="16">
        <f t="shared" si="20"/>
        <v>15.532999999999999</v>
      </c>
      <c r="Q441" s="7">
        <v>0</v>
      </c>
      <c r="R441" s="7">
        <v>15.53</v>
      </c>
      <c r="S441" s="7">
        <v>15.53</v>
      </c>
      <c r="T441" s="6" t="s">
        <v>445</v>
      </c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</row>
    <row r="442" spans="1:53" x14ac:dyDescent="0.25">
      <c r="A442" s="6">
        <v>2027167305</v>
      </c>
      <c r="B442" s="6" t="s">
        <v>985</v>
      </c>
      <c r="C442" s="6" t="s">
        <v>984</v>
      </c>
      <c r="D442" s="6" t="str">
        <f t="shared" si="18"/>
        <v>KHUNSHAGAI BATTULGA</v>
      </c>
      <c r="E442" s="6" t="s">
        <v>445</v>
      </c>
      <c r="F442" s="6">
        <v>20220688</v>
      </c>
      <c r="G442" s="6" t="s">
        <v>1087</v>
      </c>
      <c r="H442" s="6" t="s">
        <v>56</v>
      </c>
      <c r="I442" s="5">
        <v>45706</v>
      </c>
      <c r="J442" s="5">
        <v>45948</v>
      </c>
      <c r="K442" s="7">
        <v>35.700000000000003</v>
      </c>
      <c r="L442" s="6">
        <f t="shared" si="19"/>
        <v>8</v>
      </c>
      <c r="M442" s="6" t="s">
        <v>59</v>
      </c>
      <c r="N442" s="6" t="s">
        <v>1148</v>
      </c>
      <c r="O442" s="9">
        <v>0.7</v>
      </c>
      <c r="P442" s="16">
        <f t="shared" si="20"/>
        <v>24.990000000000002</v>
      </c>
      <c r="Q442" s="7">
        <v>0</v>
      </c>
      <c r="R442" s="7">
        <v>24.99</v>
      </c>
      <c r="S442" s="7">
        <v>24.99</v>
      </c>
      <c r="T442" s="6" t="s">
        <v>445</v>
      </c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</row>
    <row r="443" spans="1:53" x14ac:dyDescent="0.25">
      <c r="A443" s="6">
        <v>2027072202</v>
      </c>
      <c r="B443" s="6" t="s">
        <v>889</v>
      </c>
      <c r="C443" s="6" t="s">
        <v>67</v>
      </c>
      <c r="D443" s="6" t="str">
        <f t="shared" si="18"/>
        <v>JACKSON CARSON</v>
      </c>
      <c r="E443" s="6" t="s">
        <v>445</v>
      </c>
      <c r="F443" s="6">
        <v>16865615</v>
      </c>
      <c r="G443" s="6" t="s">
        <v>1107</v>
      </c>
      <c r="H443" s="6" t="s">
        <v>56</v>
      </c>
      <c r="I443" s="5">
        <v>45703</v>
      </c>
      <c r="J443" s="5">
        <v>45945</v>
      </c>
      <c r="K443" s="7">
        <v>18.2</v>
      </c>
      <c r="L443" s="6">
        <f t="shared" si="19"/>
        <v>8</v>
      </c>
      <c r="M443" s="6" t="s">
        <v>59</v>
      </c>
      <c r="N443" s="6" t="s">
        <v>1148</v>
      </c>
      <c r="O443" s="9">
        <v>0.7</v>
      </c>
      <c r="P443" s="16">
        <f t="shared" si="20"/>
        <v>12.739999999999998</v>
      </c>
      <c r="Q443" s="7">
        <v>0</v>
      </c>
      <c r="R443" s="7">
        <v>12.74</v>
      </c>
      <c r="S443" s="7">
        <v>12.74</v>
      </c>
      <c r="T443" s="6" t="s">
        <v>445</v>
      </c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</row>
    <row r="444" spans="1:53" x14ac:dyDescent="0.25">
      <c r="A444" s="6">
        <v>2027115501</v>
      </c>
      <c r="B444" s="6" t="s">
        <v>987</v>
      </c>
      <c r="C444" s="6" t="s">
        <v>986</v>
      </c>
      <c r="D444" s="6" t="str">
        <f t="shared" si="18"/>
        <v>MADELYN CLEAVE</v>
      </c>
      <c r="E444" s="6" t="s">
        <v>445</v>
      </c>
      <c r="F444" s="6">
        <v>16912722</v>
      </c>
      <c r="G444" s="6" t="s">
        <v>1111</v>
      </c>
      <c r="H444" s="6" t="s">
        <v>56</v>
      </c>
      <c r="I444" s="5">
        <v>45703</v>
      </c>
      <c r="J444" s="5">
        <v>45945</v>
      </c>
      <c r="K444" s="7">
        <v>41.44</v>
      </c>
      <c r="L444" s="6">
        <f t="shared" si="19"/>
        <v>8</v>
      </c>
      <c r="M444" s="6" t="s">
        <v>59</v>
      </c>
      <c r="N444" s="6" t="s">
        <v>1148</v>
      </c>
      <c r="O444" s="9">
        <v>0.7</v>
      </c>
      <c r="P444" s="16">
        <f t="shared" si="20"/>
        <v>29.007999999999996</v>
      </c>
      <c r="Q444" s="7">
        <v>0</v>
      </c>
      <c r="R444" s="7">
        <v>29.01</v>
      </c>
      <c r="S444" s="7">
        <v>29.01</v>
      </c>
      <c r="T444" s="6" t="s">
        <v>445</v>
      </c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</row>
    <row r="445" spans="1:53" x14ac:dyDescent="0.25">
      <c r="A445" s="6">
        <v>2027106748</v>
      </c>
      <c r="B445" s="6" t="s">
        <v>887</v>
      </c>
      <c r="C445" s="6" t="s">
        <v>258</v>
      </c>
      <c r="D445" s="6" t="str">
        <f t="shared" si="18"/>
        <v>JARED DOWDY</v>
      </c>
      <c r="E445" s="6" t="s">
        <v>445</v>
      </c>
      <c r="F445" s="6">
        <v>21283956</v>
      </c>
      <c r="G445" s="6" t="s">
        <v>1106</v>
      </c>
      <c r="H445" s="6" t="s">
        <v>56</v>
      </c>
      <c r="I445" s="5">
        <v>45703</v>
      </c>
      <c r="J445" s="5">
        <v>45945</v>
      </c>
      <c r="K445" s="7">
        <v>11.5</v>
      </c>
      <c r="L445" s="6">
        <f t="shared" si="19"/>
        <v>8</v>
      </c>
      <c r="M445" s="6" t="s">
        <v>59</v>
      </c>
      <c r="N445" s="6" t="s">
        <v>1148</v>
      </c>
      <c r="O445" s="9">
        <v>0.7</v>
      </c>
      <c r="P445" s="16">
        <f t="shared" si="20"/>
        <v>8.0499999999999989</v>
      </c>
      <c r="Q445" s="7">
        <v>0</v>
      </c>
      <c r="R445" s="7">
        <v>8.0500000000000007</v>
      </c>
      <c r="S445" s="7">
        <v>8.0500000000000007</v>
      </c>
      <c r="T445" s="6" t="s">
        <v>445</v>
      </c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</row>
    <row r="446" spans="1:53" x14ac:dyDescent="0.25">
      <c r="A446" s="6">
        <v>2027010991</v>
      </c>
      <c r="B446" s="6" t="s">
        <v>154</v>
      </c>
      <c r="C446" s="6" t="s">
        <v>155</v>
      </c>
      <c r="D446" s="6" t="str">
        <f t="shared" si="18"/>
        <v>KURT JOHNSON</v>
      </c>
      <c r="E446" s="6" t="s">
        <v>445</v>
      </c>
      <c r="F446" s="6">
        <v>16865615</v>
      </c>
      <c r="G446" s="6" t="s">
        <v>1107</v>
      </c>
      <c r="H446" s="6" t="s">
        <v>56</v>
      </c>
      <c r="I446" s="5">
        <v>45697</v>
      </c>
      <c r="J446" s="5">
        <v>45939</v>
      </c>
      <c r="K446" s="7">
        <v>9.6999999999999993</v>
      </c>
      <c r="L446" s="6">
        <f t="shared" si="19"/>
        <v>8</v>
      </c>
      <c r="M446" s="6" t="s">
        <v>59</v>
      </c>
      <c r="N446" s="6" t="s">
        <v>1148</v>
      </c>
      <c r="O446" s="9">
        <v>0.7</v>
      </c>
      <c r="P446" s="16">
        <f t="shared" si="20"/>
        <v>6.7899999999999991</v>
      </c>
      <c r="Q446" s="7">
        <v>0</v>
      </c>
      <c r="R446" s="7">
        <v>6.79</v>
      </c>
      <c r="S446" s="7">
        <v>6.79</v>
      </c>
      <c r="T446" s="6" t="s">
        <v>445</v>
      </c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</row>
    <row r="447" spans="1:53" x14ac:dyDescent="0.25">
      <c r="A447" s="6">
        <v>2027223264</v>
      </c>
      <c r="B447" s="6" t="s">
        <v>156</v>
      </c>
      <c r="C447" s="6" t="s">
        <v>49</v>
      </c>
      <c r="D447" s="6" t="str">
        <f t="shared" si="18"/>
        <v>MICHAEL MARTIN</v>
      </c>
      <c r="E447" s="6" t="s">
        <v>445</v>
      </c>
      <c r="F447" s="6">
        <v>21421111</v>
      </c>
      <c r="G447" s="6" t="s">
        <v>1096</v>
      </c>
      <c r="H447" s="6" t="s">
        <v>56</v>
      </c>
      <c r="I447" s="5">
        <v>45709</v>
      </c>
      <c r="J447" s="5">
        <v>45951</v>
      </c>
      <c r="K447" s="7">
        <v>108.1</v>
      </c>
      <c r="L447" s="6">
        <f t="shared" si="19"/>
        <v>8</v>
      </c>
      <c r="M447" s="6" t="s">
        <v>59</v>
      </c>
      <c r="N447" s="6" t="s">
        <v>1148</v>
      </c>
      <c r="O447" s="9">
        <v>0.7</v>
      </c>
      <c r="P447" s="16">
        <f t="shared" si="20"/>
        <v>75.669999999999987</v>
      </c>
      <c r="Q447" s="7">
        <v>0</v>
      </c>
      <c r="R447" s="7">
        <v>75.67</v>
      </c>
      <c r="S447" s="7">
        <v>75.67</v>
      </c>
      <c r="T447" s="6" t="s">
        <v>445</v>
      </c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</row>
    <row r="448" spans="1:53" x14ac:dyDescent="0.25">
      <c r="A448" s="6">
        <v>2027164318</v>
      </c>
      <c r="B448" s="6" t="s">
        <v>885</v>
      </c>
      <c r="C448" s="6" t="s">
        <v>884</v>
      </c>
      <c r="D448" s="6" t="str">
        <f t="shared" si="18"/>
        <v>MAXIMILIAN PEREIRAS-LEIVE</v>
      </c>
      <c r="E448" s="6" t="s">
        <v>445</v>
      </c>
      <c r="F448" s="6">
        <v>21283956</v>
      </c>
      <c r="G448" s="6" t="s">
        <v>1106</v>
      </c>
      <c r="H448" s="6" t="s">
        <v>56</v>
      </c>
      <c r="I448" s="5">
        <v>45706</v>
      </c>
      <c r="J448" s="5">
        <v>45948</v>
      </c>
      <c r="K448" s="7">
        <v>46.46</v>
      </c>
      <c r="L448" s="6">
        <f t="shared" si="19"/>
        <v>8</v>
      </c>
      <c r="M448" s="6" t="s">
        <v>59</v>
      </c>
      <c r="N448" s="6" t="s">
        <v>1148</v>
      </c>
      <c r="O448" s="9">
        <v>0.7</v>
      </c>
      <c r="P448" s="16">
        <f t="shared" si="20"/>
        <v>32.521999999999998</v>
      </c>
      <c r="Q448" s="7">
        <v>0</v>
      </c>
      <c r="R448" s="7">
        <v>32.520000000000003</v>
      </c>
      <c r="S448" s="7">
        <v>32.520000000000003</v>
      </c>
      <c r="T448" s="6" t="s">
        <v>445</v>
      </c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</row>
    <row r="449" spans="1:53" x14ac:dyDescent="0.25">
      <c r="A449" s="6">
        <v>2026734001</v>
      </c>
      <c r="B449" s="6" t="s">
        <v>483</v>
      </c>
      <c r="C449" s="6" t="s">
        <v>260</v>
      </c>
      <c r="D449" s="6" t="str">
        <f t="shared" si="18"/>
        <v>JENNIFER APELIAN</v>
      </c>
      <c r="E449" s="6" t="s">
        <v>445</v>
      </c>
      <c r="F449" s="6">
        <v>16912722</v>
      </c>
      <c r="G449" s="6" t="s">
        <v>1111</v>
      </c>
      <c r="H449" s="6" t="s">
        <v>56</v>
      </c>
      <c r="I449" s="5">
        <v>45681</v>
      </c>
      <c r="J449" s="5">
        <v>45954</v>
      </c>
      <c r="K449" s="7">
        <v>22.19</v>
      </c>
      <c r="L449" s="6">
        <f t="shared" si="19"/>
        <v>9</v>
      </c>
      <c r="M449" s="6" t="s">
        <v>59</v>
      </c>
      <c r="N449" s="6" t="s">
        <v>1148</v>
      </c>
      <c r="O449" s="9">
        <v>0.7</v>
      </c>
      <c r="P449" s="16">
        <f t="shared" si="20"/>
        <v>15.532999999999999</v>
      </c>
      <c r="Q449" s="7">
        <v>0</v>
      </c>
      <c r="R449" s="7">
        <v>15.53</v>
      </c>
      <c r="S449" s="7">
        <v>15.53</v>
      </c>
      <c r="T449" s="6" t="s">
        <v>445</v>
      </c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</row>
    <row r="450" spans="1:53" x14ac:dyDescent="0.25">
      <c r="A450" s="6">
        <v>2026581910</v>
      </c>
      <c r="B450" s="6" t="s">
        <v>990</v>
      </c>
      <c r="C450" s="6" t="s">
        <v>286</v>
      </c>
      <c r="D450" s="6" t="str">
        <f t="shared" ref="D450:D513" si="21">CONCATENATE(C450, " ",B450)</f>
        <v>EDWARD CARROLL</v>
      </c>
      <c r="E450" s="6" t="s">
        <v>445</v>
      </c>
      <c r="F450" s="6">
        <v>371819</v>
      </c>
      <c r="G450" s="6" t="s">
        <v>1085</v>
      </c>
      <c r="H450" s="6" t="s">
        <v>56</v>
      </c>
      <c r="I450" s="5">
        <v>45672</v>
      </c>
      <c r="J450" s="5">
        <v>45945</v>
      </c>
      <c r="K450" s="7">
        <v>198.42</v>
      </c>
      <c r="L450" s="6">
        <f t="shared" ref="L450:L513" si="22">DATEDIF(I450,J450,"M")</f>
        <v>9</v>
      </c>
      <c r="M450" s="6" t="s">
        <v>59</v>
      </c>
      <c r="N450" s="6" t="s">
        <v>1148</v>
      </c>
      <c r="O450" s="9">
        <v>0.7</v>
      </c>
      <c r="P450" s="16">
        <f t="shared" ref="P450:P513" si="23">K450*O450</f>
        <v>138.89399999999998</v>
      </c>
      <c r="Q450" s="7">
        <v>0</v>
      </c>
      <c r="R450" s="7">
        <v>138.88999999999999</v>
      </c>
      <c r="S450" s="7">
        <v>138.88999999999999</v>
      </c>
      <c r="T450" s="6" t="s">
        <v>445</v>
      </c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</row>
    <row r="451" spans="1:53" x14ac:dyDescent="0.25">
      <c r="A451" s="6">
        <v>2026617755</v>
      </c>
      <c r="B451" s="6" t="s">
        <v>990</v>
      </c>
      <c r="C451" s="6" t="s">
        <v>123</v>
      </c>
      <c r="D451" s="6" t="str">
        <f t="shared" si="21"/>
        <v>THOMAS CARROLL</v>
      </c>
      <c r="E451" s="6" t="s">
        <v>445</v>
      </c>
      <c r="F451" s="6">
        <v>371819</v>
      </c>
      <c r="G451" s="6" t="s">
        <v>1085</v>
      </c>
      <c r="H451" s="6" t="s">
        <v>56</v>
      </c>
      <c r="I451" s="5">
        <v>45673</v>
      </c>
      <c r="J451" s="5">
        <v>45946</v>
      </c>
      <c r="K451" s="7">
        <v>198.42</v>
      </c>
      <c r="L451" s="6">
        <f t="shared" si="22"/>
        <v>9</v>
      </c>
      <c r="M451" s="6" t="s">
        <v>59</v>
      </c>
      <c r="N451" s="6" t="s">
        <v>1148</v>
      </c>
      <c r="O451" s="9">
        <v>0.7</v>
      </c>
      <c r="P451" s="16">
        <f t="shared" si="23"/>
        <v>138.89399999999998</v>
      </c>
      <c r="Q451" s="7">
        <v>0</v>
      </c>
      <c r="R451" s="7">
        <v>138.88999999999999</v>
      </c>
      <c r="S451" s="7">
        <v>138.88999999999999</v>
      </c>
      <c r="T451" s="6" t="s">
        <v>445</v>
      </c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</row>
    <row r="452" spans="1:53" x14ac:dyDescent="0.25">
      <c r="A452" s="6">
        <v>2026618369</v>
      </c>
      <c r="B452" s="6" t="s">
        <v>893</v>
      </c>
      <c r="C452" s="6" t="s">
        <v>480</v>
      </c>
      <c r="D452" s="6" t="str">
        <f t="shared" si="21"/>
        <v>SUSAN COMPTON-FREDERICK</v>
      </c>
      <c r="E452" s="6" t="s">
        <v>445</v>
      </c>
      <c r="F452" s="6">
        <v>21283956</v>
      </c>
      <c r="G452" s="6" t="s">
        <v>1106</v>
      </c>
      <c r="H452" s="6" t="s">
        <v>56</v>
      </c>
      <c r="I452" s="5">
        <v>45673</v>
      </c>
      <c r="J452" s="5">
        <v>45946</v>
      </c>
      <c r="K452" s="7">
        <v>52</v>
      </c>
      <c r="L452" s="6">
        <f t="shared" si="22"/>
        <v>9</v>
      </c>
      <c r="M452" s="6" t="s">
        <v>59</v>
      </c>
      <c r="N452" s="6" t="s">
        <v>1148</v>
      </c>
      <c r="O452" s="9">
        <v>0.7</v>
      </c>
      <c r="P452" s="16">
        <f t="shared" si="23"/>
        <v>36.4</v>
      </c>
      <c r="Q452" s="7">
        <v>0</v>
      </c>
      <c r="R452" s="7">
        <v>36.4</v>
      </c>
      <c r="S452" s="7">
        <v>36.4</v>
      </c>
      <c r="T452" s="6" t="s">
        <v>445</v>
      </c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</row>
    <row r="453" spans="1:53" x14ac:dyDescent="0.25">
      <c r="A453" s="6">
        <v>2026650737</v>
      </c>
      <c r="B453" s="6" t="s">
        <v>350</v>
      </c>
      <c r="C453" s="6" t="s">
        <v>351</v>
      </c>
      <c r="D453" s="6" t="str">
        <f t="shared" si="21"/>
        <v>JOSHUA FROST</v>
      </c>
      <c r="E453" s="6" t="s">
        <v>445</v>
      </c>
      <c r="F453" s="6">
        <v>18828278</v>
      </c>
      <c r="G453" s="6" t="s">
        <v>1088</v>
      </c>
      <c r="H453" s="6" t="s">
        <v>56</v>
      </c>
      <c r="I453" s="5">
        <v>45677</v>
      </c>
      <c r="J453" s="5">
        <v>45950</v>
      </c>
      <c r="K453" s="7">
        <v>15.75</v>
      </c>
      <c r="L453" s="6">
        <f t="shared" si="22"/>
        <v>9</v>
      </c>
      <c r="M453" s="6" t="s">
        <v>59</v>
      </c>
      <c r="N453" s="6" t="s">
        <v>1148</v>
      </c>
      <c r="O453" s="9">
        <v>0.7</v>
      </c>
      <c r="P453" s="16">
        <f t="shared" si="23"/>
        <v>11.024999999999999</v>
      </c>
      <c r="Q453" s="7">
        <v>0</v>
      </c>
      <c r="R453" s="7">
        <v>11.02</v>
      </c>
      <c r="S453" s="7">
        <v>11.02</v>
      </c>
      <c r="T453" s="6" t="s">
        <v>445</v>
      </c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</row>
    <row r="454" spans="1:53" x14ac:dyDescent="0.25">
      <c r="A454" s="6">
        <v>2026572545</v>
      </c>
      <c r="B454" s="6" t="s">
        <v>629</v>
      </c>
      <c r="C454" s="6" t="s">
        <v>628</v>
      </c>
      <c r="D454" s="6" t="str">
        <f t="shared" si="21"/>
        <v>ESTHER HERRERA-LARSEN</v>
      </c>
      <c r="E454" s="6" t="s">
        <v>445</v>
      </c>
      <c r="F454" s="6">
        <v>17301495</v>
      </c>
      <c r="G454" s="6" t="s">
        <v>1137</v>
      </c>
      <c r="H454" s="6" t="s">
        <v>56</v>
      </c>
      <c r="I454" s="5">
        <v>45671</v>
      </c>
      <c r="J454" s="5">
        <v>45944</v>
      </c>
      <c r="K454" s="7">
        <v>26.5</v>
      </c>
      <c r="L454" s="6">
        <f t="shared" si="22"/>
        <v>9</v>
      </c>
      <c r="M454" s="6" t="s">
        <v>59</v>
      </c>
      <c r="N454" s="6" t="s">
        <v>1148</v>
      </c>
      <c r="O454" s="9">
        <v>0.7</v>
      </c>
      <c r="P454" s="16">
        <f t="shared" si="23"/>
        <v>18.549999999999997</v>
      </c>
      <c r="Q454" s="7">
        <v>0</v>
      </c>
      <c r="R454" s="7">
        <v>18.55</v>
      </c>
      <c r="S454" s="7">
        <v>18.55</v>
      </c>
      <c r="T454" s="6" t="s">
        <v>445</v>
      </c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</row>
    <row r="455" spans="1:53" x14ac:dyDescent="0.25">
      <c r="A455" s="6">
        <v>2026608909</v>
      </c>
      <c r="B455" s="6" t="s">
        <v>991</v>
      </c>
      <c r="C455" s="6" t="s">
        <v>337</v>
      </c>
      <c r="D455" s="6" t="str">
        <f t="shared" si="21"/>
        <v>ALEXANDRA KIMBRUE</v>
      </c>
      <c r="E455" s="6" t="s">
        <v>445</v>
      </c>
      <c r="F455" s="6">
        <v>21283956</v>
      </c>
      <c r="G455" s="6" t="s">
        <v>1106</v>
      </c>
      <c r="H455" s="6" t="s">
        <v>56</v>
      </c>
      <c r="I455" s="5">
        <v>45673</v>
      </c>
      <c r="J455" s="5">
        <v>45946</v>
      </c>
      <c r="K455" s="7">
        <v>58.24</v>
      </c>
      <c r="L455" s="6">
        <f t="shared" si="22"/>
        <v>9</v>
      </c>
      <c r="M455" s="6" t="s">
        <v>59</v>
      </c>
      <c r="N455" s="6" t="s">
        <v>1148</v>
      </c>
      <c r="O455" s="9">
        <v>0.7</v>
      </c>
      <c r="P455" s="16">
        <f t="shared" si="23"/>
        <v>40.768000000000001</v>
      </c>
      <c r="Q455" s="7">
        <v>0</v>
      </c>
      <c r="R455" s="7">
        <v>40.770000000000003</v>
      </c>
      <c r="S455" s="7">
        <v>40.770000000000003</v>
      </c>
      <c r="T455" s="6" t="s">
        <v>445</v>
      </c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</row>
    <row r="456" spans="1:53" x14ac:dyDescent="0.25">
      <c r="A456" s="6">
        <v>2026607947</v>
      </c>
      <c r="B456" s="6" t="s">
        <v>895</v>
      </c>
      <c r="C456" s="6" t="s">
        <v>131</v>
      </c>
      <c r="D456" s="6" t="str">
        <f t="shared" si="21"/>
        <v>MATTHEW LAMBERT</v>
      </c>
      <c r="E456" s="6" t="s">
        <v>445</v>
      </c>
      <c r="F456" s="6">
        <v>371819</v>
      </c>
      <c r="G456" s="6" t="s">
        <v>1085</v>
      </c>
      <c r="H456" s="6" t="s">
        <v>56</v>
      </c>
      <c r="I456" s="5">
        <v>45673</v>
      </c>
      <c r="J456" s="5">
        <v>45946</v>
      </c>
      <c r="K456" s="7">
        <v>29.79</v>
      </c>
      <c r="L456" s="6">
        <f t="shared" si="22"/>
        <v>9</v>
      </c>
      <c r="M456" s="6" t="s">
        <v>59</v>
      </c>
      <c r="N456" s="6" t="s">
        <v>1148</v>
      </c>
      <c r="O456" s="9">
        <v>0.7</v>
      </c>
      <c r="P456" s="16">
        <f t="shared" si="23"/>
        <v>20.852999999999998</v>
      </c>
      <c r="Q456" s="7">
        <v>0</v>
      </c>
      <c r="R456" s="7">
        <v>20.85</v>
      </c>
      <c r="S456" s="7">
        <v>20.85</v>
      </c>
      <c r="T456" s="6" t="s">
        <v>445</v>
      </c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</row>
    <row r="457" spans="1:53" x14ac:dyDescent="0.25">
      <c r="A457" s="6">
        <v>2026659432</v>
      </c>
      <c r="B457" s="6" t="s">
        <v>989</v>
      </c>
      <c r="C457" s="6" t="s">
        <v>988</v>
      </c>
      <c r="D457" s="6" t="str">
        <f t="shared" si="21"/>
        <v>CARY MCCALL</v>
      </c>
      <c r="E457" s="6" t="s">
        <v>445</v>
      </c>
      <c r="F457" s="6">
        <v>19681796</v>
      </c>
      <c r="G457" s="6" t="s">
        <v>1118</v>
      </c>
      <c r="H457" s="6" t="s">
        <v>56</v>
      </c>
      <c r="I457" s="5">
        <v>45675</v>
      </c>
      <c r="J457" s="5">
        <v>45948</v>
      </c>
      <c r="K457" s="7">
        <v>355.56</v>
      </c>
      <c r="L457" s="6">
        <f t="shared" si="22"/>
        <v>9</v>
      </c>
      <c r="M457" s="6" t="s">
        <v>59</v>
      </c>
      <c r="N457" s="6" t="s">
        <v>1148</v>
      </c>
      <c r="O457" s="9">
        <v>0.7</v>
      </c>
      <c r="P457" s="16">
        <f t="shared" si="23"/>
        <v>248.892</v>
      </c>
      <c r="Q457" s="7">
        <v>0</v>
      </c>
      <c r="R457" s="7">
        <v>248.89</v>
      </c>
      <c r="S457" s="7">
        <v>248.89</v>
      </c>
      <c r="T457" s="6" t="s">
        <v>445</v>
      </c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</row>
    <row r="458" spans="1:53" x14ac:dyDescent="0.25">
      <c r="A458" s="6">
        <v>2026506852</v>
      </c>
      <c r="B458" s="6" t="s">
        <v>399</v>
      </c>
      <c r="C458" s="6" t="s">
        <v>480</v>
      </c>
      <c r="D458" s="6" t="str">
        <f t="shared" si="21"/>
        <v>SUSAN MELTON</v>
      </c>
      <c r="E458" s="6" t="s">
        <v>445</v>
      </c>
      <c r="F458" s="6">
        <v>21283956</v>
      </c>
      <c r="G458" s="6" t="s">
        <v>1106</v>
      </c>
      <c r="H458" s="6" t="s">
        <v>56</v>
      </c>
      <c r="I458" s="5">
        <v>45677</v>
      </c>
      <c r="J458" s="5">
        <v>45950</v>
      </c>
      <c r="K458" s="7">
        <v>48.76</v>
      </c>
      <c r="L458" s="6">
        <f t="shared" si="22"/>
        <v>9</v>
      </c>
      <c r="M458" s="6" t="s">
        <v>59</v>
      </c>
      <c r="N458" s="6" t="s">
        <v>1148</v>
      </c>
      <c r="O458" s="9">
        <v>0.7</v>
      </c>
      <c r="P458" s="16">
        <f t="shared" si="23"/>
        <v>34.131999999999998</v>
      </c>
      <c r="Q458" s="7">
        <v>0</v>
      </c>
      <c r="R458" s="7">
        <v>34.130000000000003</v>
      </c>
      <c r="S458" s="7">
        <v>34.130000000000003</v>
      </c>
      <c r="T458" s="6" t="s">
        <v>445</v>
      </c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</row>
    <row r="459" spans="1:53" x14ac:dyDescent="0.25">
      <c r="A459" s="6">
        <v>2026561983</v>
      </c>
      <c r="B459" s="6" t="s">
        <v>994</v>
      </c>
      <c r="C459" s="6" t="s">
        <v>993</v>
      </c>
      <c r="D459" s="6" t="str">
        <f t="shared" si="21"/>
        <v>MARLENE MENDOZA</v>
      </c>
      <c r="E459" s="6" t="s">
        <v>445</v>
      </c>
      <c r="F459" s="6">
        <v>21283956</v>
      </c>
      <c r="G459" s="6" t="s">
        <v>1106</v>
      </c>
      <c r="H459" s="6" t="s">
        <v>56</v>
      </c>
      <c r="I459" s="5">
        <v>45672</v>
      </c>
      <c r="J459" s="5">
        <v>45945</v>
      </c>
      <c r="K459" s="7">
        <v>49.8</v>
      </c>
      <c r="L459" s="6">
        <f t="shared" si="22"/>
        <v>9</v>
      </c>
      <c r="M459" s="6" t="s">
        <v>59</v>
      </c>
      <c r="N459" s="6" t="s">
        <v>1148</v>
      </c>
      <c r="O459" s="9">
        <v>0.7</v>
      </c>
      <c r="P459" s="16">
        <f t="shared" si="23"/>
        <v>34.859999999999992</v>
      </c>
      <c r="Q459" s="7">
        <v>0</v>
      </c>
      <c r="R459" s="7">
        <v>34.86</v>
      </c>
      <c r="S459" s="7">
        <v>34.86</v>
      </c>
      <c r="T459" s="6" t="s">
        <v>445</v>
      </c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</row>
    <row r="460" spans="1:53" x14ac:dyDescent="0.25">
      <c r="A460" s="6">
        <v>2026669941</v>
      </c>
      <c r="B460" s="6" t="s">
        <v>147</v>
      </c>
      <c r="C460" s="6" t="s">
        <v>148</v>
      </c>
      <c r="D460" s="6" t="str">
        <f t="shared" si="21"/>
        <v>TERRELL REESE</v>
      </c>
      <c r="E460" s="6" t="s">
        <v>445</v>
      </c>
      <c r="F460" s="6">
        <v>371819</v>
      </c>
      <c r="G460" s="6" t="s">
        <v>1085</v>
      </c>
      <c r="H460" s="6" t="s">
        <v>56</v>
      </c>
      <c r="I460" s="5">
        <v>45677</v>
      </c>
      <c r="J460" s="5">
        <v>45950</v>
      </c>
      <c r="K460" s="7">
        <v>26.32</v>
      </c>
      <c r="L460" s="6">
        <f t="shared" si="22"/>
        <v>9</v>
      </c>
      <c r="M460" s="6" t="s">
        <v>59</v>
      </c>
      <c r="N460" s="6" t="s">
        <v>1148</v>
      </c>
      <c r="O460" s="9">
        <v>0.7</v>
      </c>
      <c r="P460" s="16">
        <f t="shared" si="23"/>
        <v>18.423999999999999</v>
      </c>
      <c r="Q460" s="7">
        <v>0</v>
      </c>
      <c r="R460" s="7">
        <v>18.420000000000002</v>
      </c>
      <c r="S460" s="7">
        <v>18.420000000000002</v>
      </c>
      <c r="T460" s="6" t="s">
        <v>445</v>
      </c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</row>
    <row r="461" spans="1:53" x14ac:dyDescent="0.25">
      <c r="A461" s="6">
        <v>2026625854</v>
      </c>
      <c r="B461" s="6" t="s">
        <v>234</v>
      </c>
      <c r="C461" s="6" t="s">
        <v>892</v>
      </c>
      <c r="D461" s="6" t="str">
        <f t="shared" si="21"/>
        <v>ELDON WALKER</v>
      </c>
      <c r="E461" s="6" t="s">
        <v>445</v>
      </c>
      <c r="F461" s="6">
        <v>371819</v>
      </c>
      <c r="G461" s="6" t="s">
        <v>1085</v>
      </c>
      <c r="H461" s="6" t="s">
        <v>56</v>
      </c>
      <c r="I461" s="5">
        <v>45674</v>
      </c>
      <c r="J461" s="5">
        <v>45947</v>
      </c>
      <c r="K461" s="7">
        <v>114</v>
      </c>
      <c r="L461" s="6">
        <f t="shared" si="22"/>
        <v>9</v>
      </c>
      <c r="M461" s="6" t="s">
        <v>59</v>
      </c>
      <c r="N461" s="6" t="s">
        <v>1148</v>
      </c>
      <c r="O461" s="9">
        <v>0.7</v>
      </c>
      <c r="P461" s="16">
        <f t="shared" si="23"/>
        <v>79.8</v>
      </c>
      <c r="Q461" s="7">
        <v>0</v>
      </c>
      <c r="R461" s="7">
        <v>79.8</v>
      </c>
      <c r="S461" s="7">
        <v>79.8</v>
      </c>
      <c r="T461" s="6" t="s">
        <v>445</v>
      </c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</row>
    <row r="462" spans="1:53" x14ac:dyDescent="0.25">
      <c r="A462" s="6">
        <v>2026186218</v>
      </c>
      <c r="B462" s="6" t="s">
        <v>1002</v>
      </c>
      <c r="C462" s="6" t="s">
        <v>1001</v>
      </c>
      <c r="D462" s="6" t="str">
        <f t="shared" si="21"/>
        <v>TODD BURRI</v>
      </c>
      <c r="E462" s="6" t="s">
        <v>445</v>
      </c>
      <c r="F462" s="6">
        <v>371819</v>
      </c>
      <c r="G462" s="6" t="s">
        <v>1085</v>
      </c>
      <c r="H462" s="6" t="s">
        <v>56</v>
      </c>
      <c r="I462" s="5">
        <v>45641</v>
      </c>
      <c r="J462" s="5">
        <v>45945</v>
      </c>
      <c r="K462" s="7">
        <v>94.38</v>
      </c>
      <c r="L462" s="6">
        <f t="shared" si="22"/>
        <v>10</v>
      </c>
      <c r="M462" s="6" t="s">
        <v>59</v>
      </c>
      <c r="N462" s="6" t="s">
        <v>1148</v>
      </c>
      <c r="O462" s="9">
        <v>0.7</v>
      </c>
      <c r="P462" s="16">
        <f t="shared" si="23"/>
        <v>66.065999999999988</v>
      </c>
      <c r="Q462" s="7">
        <v>0</v>
      </c>
      <c r="R462" s="7">
        <v>66.069999999999993</v>
      </c>
      <c r="S462" s="7">
        <v>66.069999999999993</v>
      </c>
      <c r="T462" s="6" t="s">
        <v>445</v>
      </c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</row>
    <row r="463" spans="1:53" x14ac:dyDescent="0.25">
      <c r="A463" s="6">
        <v>2026114178</v>
      </c>
      <c r="B463" s="6" t="s">
        <v>1010</v>
      </c>
      <c r="C463" s="6" t="s">
        <v>49</v>
      </c>
      <c r="D463" s="6" t="str">
        <f t="shared" si="21"/>
        <v>MICHAEL DELBOSQUE</v>
      </c>
      <c r="E463" s="6" t="s">
        <v>445</v>
      </c>
      <c r="F463" s="6">
        <v>21283956</v>
      </c>
      <c r="G463" s="6" t="s">
        <v>1106</v>
      </c>
      <c r="H463" s="6" t="s">
        <v>56</v>
      </c>
      <c r="I463" s="5">
        <v>45638</v>
      </c>
      <c r="J463" s="5">
        <v>45942</v>
      </c>
      <c r="K463" s="7">
        <v>13</v>
      </c>
      <c r="L463" s="6">
        <f t="shared" si="22"/>
        <v>10</v>
      </c>
      <c r="M463" s="6" t="s">
        <v>59</v>
      </c>
      <c r="N463" s="6" t="s">
        <v>1148</v>
      </c>
      <c r="O463" s="9">
        <v>0.7</v>
      </c>
      <c r="P463" s="16">
        <f t="shared" si="23"/>
        <v>9.1</v>
      </c>
      <c r="Q463" s="7">
        <v>0</v>
      </c>
      <c r="R463" s="7">
        <v>9.1</v>
      </c>
      <c r="S463" s="7">
        <v>9.1</v>
      </c>
      <c r="T463" s="6" t="s">
        <v>445</v>
      </c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</row>
    <row r="464" spans="1:53" x14ac:dyDescent="0.25">
      <c r="A464" s="6">
        <v>2026180757</v>
      </c>
      <c r="B464" s="6" t="s">
        <v>1005</v>
      </c>
      <c r="C464" s="6" t="s">
        <v>1004</v>
      </c>
      <c r="D464" s="6" t="str">
        <f t="shared" si="21"/>
        <v>CARRIE DOBSCH</v>
      </c>
      <c r="E464" s="6" t="s">
        <v>445</v>
      </c>
      <c r="F464" s="6">
        <v>16865615</v>
      </c>
      <c r="G464" s="6" t="s">
        <v>1107</v>
      </c>
      <c r="H464" s="6" t="s">
        <v>56</v>
      </c>
      <c r="I464" s="5">
        <v>45641</v>
      </c>
      <c r="J464" s="5">
        <v>45945</v>
      </c>
      <c r="K464" s="7">
        <v>9.1</v>
      </c>
      <c r="L464" s="6">
        <f t="shared" si="22"/>
        <v>10</v>
      </c>
      <c r="M464" s="6" t="s">
        <v>59</v>
      </c>
      <c r="N464" s="6" t="s">
        <v>1148</v>
      </c>
      <c r="O464" s="9">
        <v>0.7</v>
      </c>
      <c r="P464" s="16">
        <f t="shared" si="23"/>
        <v>6.3699999999999992</v>
      </c>
      <c r="Q464" s="7">
        <v>0</v>
      </c>
      <c r="R464" s="7">
        <v>6.37</v>
      </c>
      <c r="S464" s="7">
        <v>6.37</v>
      </c>
      <c r="T464" s="6" t="s">
        <v>445</v>
      </c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</row>
    <row r="465" spans="1:53" x14ac:dyDescent="0.25">
      <c r="A465" s="6">
        <v>2026184417</v>
      </c>
      <c r="B465" s="6" t="s">
        <v>1003</v>
      </c>
      <c r="C465" s="6" t="s">
        <v>394</v>
      </c>
      <c r="D465" s="6" t="str">
        <f t="shared" si="21"/>
        <v>DAWN FELOSA</v>
      </c>
      <c r="E465" s="6" t="s">
        <v>445</v>
      </c>
      <c r="F465" s="6">
        <v>16865615</v>
      </c>
      <c r="G465" s="6" t="s">
        <v>1107</v>
      </c>
      <c r="H465" s="6" t="s">
        <v>56</v>
      </c>
      <c r="I465" s="5">
        <v>45641</v>
      </c>
      <c r="J465" s="5">
        <v>45945</v>
      </c>
      <c r="K465" s="7">
        <v>9.1</v>
      </c>
      <c r="L465" s="6">
        <f t="shared" si="22"/>
        <v>10</v>
      </c>
      <c r="M465" s="6" t="s">
        <v>59</v>
      </c>
      <c r="N465" s="6" t="s">
        <v>1148</v>
      </c>
      <c r="O465" s="9">
        <v>0.7</v>
      </c>
      <c r="P465" s="16">
        <f t="shared" si="23"/>
        <v>6.3699999999999992</v>
      </c>
      <c r="Q465" s="7">
        <v>0</v>
      </c>
      <c r="R465" s="7">
        <v>6.37</v>
      </c>
      <c r="S465" s="7">
        <v>6.37</v>
      </c>
      <c r="T465" s="6" t="s">
        <v>445</v>
      </c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</row>
    <row r="466" spans="1:53" x14ac:dyDescent="0.25">
      <c r="A466" s="6">
        <v>2026061217</v>
      </c>
      <c r="B466" s="6" t="s">
        <v>790</v>
      </c>
      <c r="C466" s="6" t="s">
        <v>789</v>
      </c>
      <c r="D466" s="6" t="str">
        <f t="shared" si="21"/>
        <v>JOSEPH HINTZICKER</v>
      </c>
      <c r="E466" s="6" t="s">
        <v>445</v>
      </c>
      <c r="F466" s="6">
        <v>21313588</v>
      </c>
      <c r="G466" s="6" t="s">
        <v>1109</v>
      </c>
      <c r="H466" s="6" t="s">
        <v>56</v>
      </c>
      <c r="I466" s="5">
        <v>45641</v>
      </c>
      <c r="J466" s="5">
        <v>45945</v>
      </c>
      <c r="K466" s="7">
        <v>7.89</v>
      </c>
      <c r="L466" s="6">
        <f t="shared" si="22"/>
        <v>10</v>
      </c>
      <c r="M466" s="6" t="s">
        <v>59</v>
      </c>
      <c r="N466" s="6" t="s">
        <v>1148</v>
      </c>
      <c r="O466" s="9">
        <v>0.7</v>
      </c>
      <c r="P466" s="16">
        <f t="shared" si="23"/>
        <v>5.5229999999999997</v>
      </c>
      <c r="Q466" s="7">
        <v>0</v>
      </c>
      <c r="R466" s="7">
        <v>5.52</v>
      </c>
      <c r="S466" s="7">
        <v>5.52</v>
      </c>
      <c r="T466" s="6" t="s">
        <v>445</v>
      </c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</row>
    <row r="467" spans="1:53" x14ac:dyDescent="0.25">
      <c r="A467" s="6">
        <v>2026293121</v>
      </c>
      <c r="B467" s="6" t="s">
        <v>478</v>
      </c>
      <c r="C467" s="6" t="s">
        <v>479</v>
      </c>
      <c r="D467" s="6" t="str">
        <f t="shared" si="21"/>
        <v>BETH HRYCAJ</v>
      </c>
      <c r="E467" s="6" t="s">
        <v>445</v>
      </c>
      <c r="F467" s="6">
        <v>19645587</v>
      </c>
      <c r="G467" s="6" t="s">
        <v>1116</v>
      </c>
      <c r="H467" s="6" t="s">
        <v>56</v>
      </c>
      <c r="I467" s="5">
        <v>45650</v>
      </c>
      <c r="J467" s="5">
        <v>45954</v>
      </c>
      <c r="K467" s="7">
        <v>88.96</v>
      </c>
      <c r="L467" s="6">
        <f t="shared" si="22"/>
        <v>10</v>
      </c>
      <c r="M467" s="6" t="s">
        <v>59</v>
      </c>
      <c r="N467" s="6" t="s">
        <v>1148</v>
      </c>
      <c r="O467" s="9">
        <v>0.7</v>
      </c>
      <c r="P467" s="16">
        <f t="shared" si="23"/>
        <v>62.271999999999991</v>
      </c>
      <c r="Q467" s="7">
        <v>0</v>
      </c>
      <c r="R467" s="7">
        <v>62.27</v>
      </c>
      <c r="S467" s="7">
        <v>62.27</v>
      </c>
      <c r="T467" s="6" t="s">
        <v>445</v>
      </c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</row>
    <row r="468" spans="1:53" x14ac:dyDescent="0.25">
      <c r="A468" s="6">
        <v>2026189547</v>
      </c>
      <c r="B468" s="6" t="s">
        <v>1000</v>
      </c>
      <c r="C468" s="6" t="s">
        <v>999</v>
      </c>
      <c r="D468" s="6" t="str">
        <f t="shared" si="21"/>
        <v>UNDRAGA MASHBAT</v>
      </c>
      <c r="E468" s="6" t="s">
        <v>445</v>
      </c>
      <c r="F468" s="6">
        <v>20220688</v>
      </c>
      <c r="G468" s="6" t="s">
        <v>1087</v>
      </c>
      <c r="H468" s="6" t="s">
        <v>56</v>
      </c>
      <c r="I468" s="5">
        <v>45642</v>
      </c>
      <c r="J468" s="5">
        <v>45946</v>
      </c>
      <c r="K468" s="7">
        <v>19</v>
      </c>
      <c r="L468" s="6">
        <f t="shared" si="22"/>
        <v>10</v>
      </c>
      <c r="M468" s="6" t="s">
        <v>59</v>
      </c>
      <c r="N468" s="6" t="s">
        <v>1148</v>
      </c>
      <c r="O468" s="9">
        <v>0.7</v>
      </c>
      <c r="P468" s="16">
        <f t="shared" si="23"/>
        <v>13.299999999999999</v>
      </c>
      <c r="Q468" s="7">
        <v>0</v>
      </c>
      <c r="R468" s="7">
        <v>13.3</v>
      </c>
      <c r="S468" s="7">
        <v>13.3</v>
      </c>
      <c r="T468" s="6" t="s">
        <v>445</v>
      </c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</row>
    <row r="469" spans="1:53" x14ac:dyDescent="0.25">
      <c r="A469" s="6">
        <v>2026263730</v>
      </c>
      <c r="B469" s="6" t="s">
        <v>476</v>
      </c>
      <c r="C469" s="6" t="s">
        <v>477</v>
      </c>
      <c r="D469" s="6" t="str">
        <f t="shared" si="21"/>
        <v>NYAMZAM PURVEE</v>
      </c>
      <c r="E469" s="6" t="s">
        <v>445</v>
      </c>
      <c r="F469" s="6">
        <v>20220688</v>
      </c>
      <c r="G469" s="6" t="s">
        <v>1087</v>
      </c>
      <c r="H469" s="6" t="s">
        <v>56</v>
      </c>
      <c r="I469" s="5">
        <v>45647</v>
      </c>
      <c r="J469" s="5">
        <v>45951</v>
      </c>
      <c r="K469" s="7">
        <v>126.92</v>
      </c>
      <c r="L469" s="6">
        <f t="shared" si="22"/>
        <v>10</v>
      </c>
      <c r="M469" s="6" t="s">
        <v>59</v>
      </c>
      <c r="N469" s="6" t="s">
        <v>1148</v>
      </c>
      <c r="O469" s="9">
        <v>0.7</v>
      </c>
      <c r="P469" s="16">
        <f t="shared" si="23"/>
        <v>88.843999999999994</v>
      </c>
      <c r="Q469" s="7">
        <v>0</v>
      </c>
      <c r="R469" s="7">
        <v>88.84</v>
      </c>
      <c r="S469" s="7">
        <v>88.84</v>
      </c>
      <c r="T469" s="6" t="s">
        <v>445</v>
      </c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</row>
    <row r="470" spans="1:53" x14ac:dyDescent="0.25">
      <c r="A470" s="6">
        <v>2026295209</v>
      </c>
      <c r="B470" s="6" t="s">
        <v>144</v>
      </c>
      <c r="C470" s="6" t="s">
        <v>145</v>
      </c>
      <c r="D470" s="6" t="str">
        <f t="shared" si="21"/>
        <v>CHARLES RANDALL</v>
      </c>
      <c r="E470" s="6" t="s">
        <v>445</v>
      </c>
      <c r="F470" s="6">
        <v>16865615</v>
      </c>
      <c r="G470" s="6" t="s">
        <v>1107</v>
      </c>
      <c r="H470" s="6" t="s">
        <v>56</v>
      </c>
      <c r="I470" s="5">
        <v>45650</v>
      </c>
      <c r="J470" s="5">
        <v>45954</v>
      </c>
      <c r="K470" s="7">
        <v>18.28</v>
      </c>
      <c r="L470" s="6">
        <f t="shared" si="22"/>
        <v>10</v>
      </c>
      <c r="M470" s="6" t="s">
        <v>59</v>
      </c>
      <c r="N470" s="6" t="s">
        <v>1148</v>
      </c>
      <c r="O470" s="9">
        <v>0.7</v>
      </c>
      <c r="P470" s="16">
        <f t="shared" si="23"/>
        <v>12.795999999999999</v>
      </c>
      <c r="Q470" s="7">
        <v>0</v>
      </c>
      <c r="R470" s="7">
        <v>12.8</v>
      </c>
      <c r="S470" s="7">
        <v>12.8</v>
      </c>
      <c r="T470" s="6" t="s">
        <v>445</v>
      </c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</row>
    <row r="471" spans="1:53" x14ac:dyDescent="0.25">
      <c r="A471" s="6">
        <v>2026262565</v>
      </c>
      <c r="B471" s="6" t="s">
        <v>139</v>
      </c>
      <c r="C471" s="6" t="s">
        <v>140</v>
      </c>
      <c r="D471" s="6" t="str">
        <f t="shared" si="21"/>
        <v>ESTEBAN RIZO</v>
      </c>
      <c r="E471" s="6" t="s">
        <v>445</v>
      </c>
      <c r="F471" s="6">
        <v>16865615</v>
      </c>
      <c r="G471" s="6" t="s">
        <v>1107</v>
      </c>
      <c r="H471" s="6" t="s">
        <v>56</v>
      </c>
      <c r="I471" s="5">
        <v>45647</v>
      </c>
      <c r="J471" s="5">
        <v>45951</v>
      </c>
      <c r="K471" s="7">
        <v>9.1</v>
      </c>
      <c r="L471" s="6">
        <f t="shared" si="22"/>
        <v>10</v>
      </c>
      <c r="M471" s="6" t="s">
        <v>59</v>
      </c>
      <c r="N471" s="6" t="s">
        <v>1148</v>
      </c>
      <c r="O471" s="9">
        <v>0.7</v>
      </c>
      <c r="P471" s="16">
        <f t="shared" si="23"/>
        <v>6.3699999999999992</v>
      </c>
      <c r="Q471" s="7">
        <v>0</v>
      </c>
      <c r="R471" s="7">
        <v>6.37</v>
      </c>
      <c r="S471" s="7">
        <v>6.37</v>
      </c>
      <c r="T471" s="6" t="s">
        <v>445</v>
      </c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</row>
    <row r="472" spans="1:53" x14ac:dyDescent="0.25">
      <c r="A472" s="6">
        <v>2026111641</v>
      </c>
      <c r="B472" s="6" t="s">
        <v>1012</v>
      </c>
      <c r="C472" s="6" t="s">
        <v>1011</v>
      </c>
      <c r="D472" s="6" t="str">
        <f t="shared" si="21"/>
        <v>NIKKI SANDOVAL</v>
      </c>
      <c r="E472" s="6" t="s">
        <v>445</v>
      </c>
      <c r="F472" s="6">
        <v>21313588</v>
      </c>
      <c r="G472" s="6" t="s">
        <v>1109</v>
      </c>
      <c r="H472" s="6" t="s">
        <v>56</v>
      </c>
      <c r="I472" s="5">
        <v>45641</v>
      </c>
      <c r="J472" s="5">
        <v>45945</v>
      </c>
      <c r="K472" s="7">
        <v>27.38</v>
      </c>
      <c r="L472" s="6">
        <f t="shared" si="22"/>
        <v>10</v>
      </c>
      <c r="M472" s="6" t="s">
        <v>59</v>
      </c>
      <c r="N472" s="6" t="s">
        <v>1148</v>
      </c>
      <c r="O472" s="9">
        <v>0.7</v>
      </c>
      <c r="P472" s="16">
        <f t="shared" si="23"/>
        <v>19.165999999999997</v>
      </c>
      <c r="Q472" s="7">
        <v>0</v>
      </c>
      <c r="R472" s="7">
        <v>19.170000000000002</v>
      </c>
      <c r="S472" s="7">
        <v>19.170000000000002</v>
      </c>
      <c r="T472" s="6" t="s">
        <v>445</v>
      </c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</row>
    <row r="473" spans="1:53" x14ac:dyDescent="0.25">
      <c r="A473" s="6">
        <v>2025847603</v>
      </c>
      <c r="B473" s="6" t="s">
        <v>472</v>
      </c>
      <c r="C473" s="6" t="s">
        <v>473</v>
      </c>
      <c r="D473" s="6" t="str">
        <f t="shared" si="21"/>
        <v>NYAMSUREN BATMUNKH</v>
      </c>
      <c r="E473" s="6" t="s">
        <v>445</v>
      </c>
      <c r="F473" s="6">
        <v>20220688</v>
      </c>
      <c r="G473" s="6" t="s">
        <v>1087</v>
      </c>
      <c r="H473" s="6" t="s">
        <v>56</v>
      </c>
      <c r="I473" s="5">
        <v>45617</v>
      </c>
      <c r="J473" s="5">
        <v>45951</v>
      </c>
      <c r="K473" s="7">
        <v>46.08</v>
      </c>
      <c r="L473" s="6">
        <f t="shared" si="22"/>
        <v>11</v>
      </c>
      <c r="M473" s="6" t="s">
        <v>59</v>
      </c>
      <c r="N473" s="6" t="s">
        <v>1148</v>
      </c>
      <c r="O473" s="9">
        <v>0.7</v>
      </c>
      <c r="P473" s="16">
        <f t="shared" si="23"/>
        <v>32.256</v>
      </c>
      <c r="Q473" s="7">
        <v>0</v>
      </c>
      <c r="R473" s="7">
        <v>32.26</v>
      </c>
      <c r="S473" s="7">
        <v>32.26</v>
      </c>
      <c r="T473" s="6" t="s">
        <v>445</v>
      </c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</row>
    <row r="474" spans="1:53" x14ac:dyDescent="0.25">
      <c r="A474" s="6">
        <v>2025895058</v>
      </c>
      <c r="B474" s="6" t="s">
        <v>474</v>
      </c>
      <c r="C474" s="6" t="s">
        <v>475</v>
      </c>
      <c r="D474" s="6" t="str">
        <f t="shared" si="21"/>
        <v>SUVD BATSAIKHAN</v>
      </c>
      <c r="E474" s="6" t="s">
        <v>445</v>
      </c>
      <c r="F474" s="6">
        <v>20220688</v>
      </c>
      <c r="G474" s="6" t="s">
        <v>1087</v>
      </c>
      <c r="H474" s="6" t="s">
        <v>56</v>
      </c>
      <c r="I474" s="5">
        <v>45619</v>
      </c>
      <c r="J474" s="5">
        <v>45953</v>
      </c>
      <c r="K474" s="7">
        <v>49.92</v>
      </c>
      <c r="L474" s="6">
        <f t="shared" si="22"/>
        <v>11</v>
      </c>
      <c r="M474" s="6" t="s">
        <v>59</v>
      </c>
      <c r="N474" s="6" t="s">
        <v>1148</v>
      </c>
      <c r="O474" s="9">
        <v>0.7</v>
      </c>
      <c r="P474" s="16">
        <f t="shared" si="23"/>
        <v>34.943999999999996</v>
      </c>
      <c r="Q474" s="7">
        <v>0</v>
      </c>
      <c r="R474" s="7">
        <v>34.94</v>
      </c>
      <c r="S474" s="7">
        <v>34.94</v>
      </c>
      <c r="T474" s="6" t="s">
        <v>445</v>
      </c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</row>
    <row r="475" spans="1:53" x14ac:dyDescent="0.25">
      <c r="A475" s="6">
        <v>2025305258</v>
      </c>
      <c r="B475" s="6" t="s">
        <v>1025</v>
      </c>
      <c r="C475" s="6" t="s">
        <v>630</v>
      </c>
      <c r="D475" s="6" t="str">
        <f t="shared" si="21"/>
        <v>CHRISTOPHER BUCK</v>
      </c>
      <c r="E475" s="6" t="s">
        <v>445</v>
      </c>
      <c r="F475" s="6">
        <v>18828278</v>
      </c>
      <c r="G475" s="6" t="s">
        <v>1088</v>
      </c>
      <c r="H475" s="6" t="s">
        <v>56</v>
      </c>
      <c r="I475" s="5">
        <v>45602</v>
      </c>
      <c r="J475" s="5">
        <v>45936</v>
      </c>
      <c r="K475" s="7">
        <v>-12.13</v>
      </c>
      <c r="L475" s="6">
        <f t="shared" si="22"/>
        <v>11</v>
      </c>
      <c r="M475" s="6" t="s">
        <v>59</v>
      </c>
      <c r="N475" s="6" t="s">
        <v>1148</v>
      </c>
      <c r="O475" s="9">
        <v>0.7</v>
      </c>
      <c r="P475" s="16">
        <f t="shared" si="23"/>
        <v>-8.4909999999999997</v>
      </c>
      <c r="Q475" s="7">
        <v>0</v>
      </c>
      <c r="R475" s="7">
        <v>-8.49</v>
      </c>
      <c r="S475" s="7">
        <v>-8.49</v>
      </c>
      <c r="T475" s="6" t="s">
        <v>445</v>
      </c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</row>
    <row r="476" spans="1:53" x14ac:dyDescent="0.25">
      <c r="A476" s="6">
        <v>2025820173</v>
      </c>
      <c r="B476" s="6" t="s">
        <v>793</v>
      </c>
      <c r="C476" s="6" t="s">
        <v>792</v>
      </c>
      <c r="D476" s="6" t="str">
        <f t="shared" si="21"/>
        <v>MERIWTHER HARDIE</v>
      </c>
      <c r="E476" s="6" t="s">
        <v>445</v>
      </c>
      <c r="F476" s="6">
        <v>21313588</v>
      </c>
      <c r="G476" s="6" t="s">
        <v>1109</v>
      </c>
      <c r="H476" s="6" t="s">
        <v>56</v>
      </c>
      <c r="I476" s="5">
        <v>45615</v>
      </c>
      <c r="J476" s="5">
        <v>45949</v>
      </c>
      <c r="K476" s="7">
        <v>9.6999999999999993</v>
      </c>
      <c r="L476" s="6">
        <f t="shared" si="22"/>
        <v>11</v>
      </c>
      <c r="M476" s="6" t="s">
        <v>59</v>
      </c>
      <c r="N476" s="6" t="s">
        <v>1148</v>
      </c>
      <c r="O476" s="9">
        <v>0.7</v>
      </c>
      <c r="P476" s="16">
        <f t="shared" si="23"/>
        <v>6.7899999999999991</v>
      </c>
      <c r="Q476" s="7">
        <v>0</v>
      </c>
      <c r="R476" s="7">
        <v>6.79</v>
      </c>
      <c r="S476" s="7">
        <v>6.79</v>
      </c>
      <c r="T476" s="6" t="s">
        <v>445</v>
      </c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</row>
    <row r="477" spans="1:53" x14ac:dyDescent="0.25">
      <c r="A477" s="6">
        <v>2025621632</v>
      </c>
      <c r="B477" s="6" t="s">
        <v>1022</v>
      </c>
      <c r="C477" s="6" t="s">
        <v>1021</v>
      </c>
      <c r="D477" s="6" t="str">
        <f t="shared" si="21"/>
        <v>MUNKHSAIKHAN OCHIR</v>
      </c>
      <c r="E477" s="6" t="s">
        <v>445</v>
      </c>
      <c r="F477" s="6">
        <v>20999157</v>
      </c>
      <c r="G477" s="6" t="s">
        <v>1125</v>
      </c>
      <c r="H477" s="6" t="s">
        <v>56</v>
      </c>
      <c r="I477" s="5">
        <v>45611</v>
      </c>
      <c r="J477" s="5">
        <v>45945</v>
      </c>
      <c r="K477" s="7">
        <v>34</v>
      </c>
      <c r="L477" s="6">
        <f t="shared" si="22"/>
        <v>11</v>
      </c>
      <c r="M477" s="6" t="s">
        <v>59</v>
      </c>
      <c r="N477" s="6" t="s">
        <v>1148</v>
      </c>
      <c r="O477" s="9">
        <v>0.7</v>
      </c>
      <c r="P477" s="16">
        <f t="shared" si="23"/>
        <v>23.799999999999997</v>
      </c>
      <c r="Q477" s="7">
        <v>0</v>
      </c>
      <c r="R477" s="7">
        <v>23.8</v>
      </c>
      <c r="S477" s="7">
        <v>23.8</v>
      </c>
      <c r="T477" s="6" t="s">
        <v>445</v>
      </c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</row>
    <row r="478" spans="1:53" x14ac:dyDescent="0.25">
      <c r="A478" s="6">
        <v>2025842066</v>
      </c>
      <c r="B478" s="6" t="s">
        <v>357</v>
      </c>
      <c r="C478" s="6" t="s">
        <v>303</v>
      </c>
      <c r="D478" s="6" t="str">
        <f t="shared" si="21"/>
        <v>ADAM ROBINSON</v>
      </c>
      <c r="E478" s="6" t="s">
        <v>445</v>
      </c>
      <c r="F478" s="6">
        <v>21104854</v>
      </c>
      <c r="G478" s="6" t="s">
        <v>1123</v>
      </c>
      <c r="H478" s="6" t="s">
        <v>56</v>
      </c>
      <c r="I478" s="5">
        <v>45616</v>
      </c>
      <c r="J478" s="5">
        <v>45950</v>
      </c>
      <c r="K478" s="7">
        <v>74.58</v>
      </c>
      <c r="L478" s="6">
        <f t="shared" si="22"/>
        <v>11</v>
      </c>
      <c r="M478" s="6" t="s">
        <v>59</v>
      </c>
      <c r="N478" s="6" t="s">
        <v>1148</v>
      </c>
      <c r="O478" s="9">
        <v>0.7</v>
      </c>
      <c r="P478" s="16">
        <f t="shared" si="23"/>
        <v>52.205999999999996</v>
      </c>
      <c r="Q478" s="7">
        <v>0</v>
      </c>
      <c r="R478" s="7">
        <v>52.21</v>
      </c>
      <c r="S478" s="7">
        <v>52.21</v>
      </c>
      <c r="T478" s="6" t="s">
        <v>445</v>
      </c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</row>
    <row r="479" spans="1:53" x14ac:dyDescent="0.25">
      <c r="A479" s="6">
        <v>2025167151</v>
      </c>
      <c r="B479" s="6" t="s">
        <v>1029</v>
      </c>
      <c r="C479" s="6" t="s">
        <v>1028</v>
      </c>
      <c r="D479" s="6" t="str">
        <f t="shared" si="21"/>
        <v>SID DAMIAN</v>
      </c>
      <c r="E479" s="6" t="s">
        <v>445</v>
      </c>
      <c r="F479" s="6">
        <v>371819</v>
      </c>
      <c r="G479" s="6" t="s">
        <v>1085</v>
      </c>
      <c r="H479" s="6" t="s">
        <v>56</v>
      </c>
      <c r="I479" s="5">
        <v>45581</v>
      </c>
      <c r="J479" s="5">
        <v>45946</v>
      </c>
      <c r="K479" s="7">
        <v>109.36</v>
      </c>
      <c r="L479" s="6">
        <f t="shared" si="22"/>
        <v>12</v>
      </c>
      <c r="M479" s="6" t="s">
        <v>59</v>
      </c>
      <c r="N479" s="6" t="s">
        <v>1148</v>
      </c>
      <c r="O479" s="9">
        <v>0.7</v>
      </c>
      <c r="P479" s="16">
        <f t="shared" si="23"/>
        <v>76.551999999999992</v>
      </c>
      <c r="Q479" s="7">
        <v>0</v>
      </c>
      <c r="R479" s="7">
        <v>76.55</v>
      </c>
      <c r="S479" s="7">
        <v>76.55</v>
      </c>
      <c r="T479" s="6" t="s">
        <v>445</v>
      </c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</row>
    <row r="480" spans="1:53" x14ac:dyDescent="0.25">
      <c r="A480" s="6">
        <v>2025254890</v>
      </c>
      <c r="B480" s="6" t="s">
        <v>1027</v>
      </c>
      <c r="C480" s="6" t="s">
        <v>1026</v>
      </c>
      <c r="D480" s="6" t="str">
        <f t="shared" si="21"/>
        <v>KRISTIN DICKINSON</v>
      </c>
      <c r="E480" s="6" t="s">
        <v>445</v>
      </c>
      <c r="F480" s="6">
        <v>371819</v>
      </c>
      <c r="G480" s="6" t="s">
        <v>1085</v>
      </c>
      <c r="H480" s="6" t="s">
        <v>56</v>
      </c>
      <c r="I480" s="5">
        <v>45576</v>
      </c>
      <c r="J480" s="5">
        <v>45941</v>
      </c>
      <c r="K480" s="7">
        <v>35.04</v>
      </c>
      <c r="L480" s="6">
        <f t="shared" si="22"/>
        <v>12</v>
      </c>
      <c r="M480" s="6" t="s">
        <v>59</v>
      </c>
      <c r="N480" s="6" t="s">
        <v>1148</v>
      </c>
      <c r="O480" s="9">
        <v>0.7</v>
      </c>
      <c r="P480" s="16">
        <f t="shared" si="23"/>
        <v>24.527999999999999</v>
      </c>
      <c r="Q480" s="7">
        <v>0</v>
      </c>
      <c r="R480" s="7">
        <v>24.53</v>
      </c>
      <c r="S480" s="7">
        <v>24.53</v>
      </c>
      <c r="T480" s="6" t="s">
        <v>445</v>
      </c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</row>
    <row r="481" spans="1:53" x14ac:dyDescent="0.25">
      <c r="A481" s="6">
        <v>2025233513</v>
      </c>
      <c r="B481" s="6" t="s">
        <v>119</v>
      </c>
      <c r="C481" s="6" t="s">
        <v>120</v>
      </c>
      <c r="D481" s="6" t="str">
        <f t="shared" si="21"/>
        <v>KELSEY DREW</v>
      </c>
      <c r="E481" s="6" t="s">
        <v>445</v>
      </c>
      <c r="F481" s="6">
        <v>371819</v>
      </c>
      <c r="G481" s="6" t="s">
        <v>1085</v>
      </c>
      <c r="H481" s="6" t="s">
        <v>56</v>
      </c>
      <c r="I481" s="5">
        <v>45586</v>
      </c>
      <c r="J481" s="5">
        <v>45951</v>
      </c>
      <c r="K481" s="7">
        <v>28.73</v>
      </c>
      <c r="L481" s="6">
        <f t="shared" si="22"/>
        <v>12</v>
      </c>
      <c r="M481" s="6" t="s">
        <v>59</v>
      </c>
      <c r="N481" s="6" t="s">
        <v>1148</v>
      </c>
      <c r="O481" s="9">
        <v>0.7</v>
      </c>
      <c r="P481" s="16">
        <f t="shared" si="23"/>
        <v>20.111000000000001</v>
      </c>
      <c r="Q481" s="7">
        <v>0</v>
      </c>
      <c r="R481" s="7">
        <v>20.11</v>
      </c>
      <c r="S481" s="7">
        <v>20.11</v>
      </c>
      <c r="T481" s="6" t="s">
        <v>445</v>
      </c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</row>
    <row r="482" spans="1:53" x14ac:dyDescent="0.25">
      <c r="A482" s="6">
        <v>2025418184</v>
      </c>
      <c r="B482" s="6" t="s">
        <v>465</v>
      </c>
      <c r="C482" s="6" t="s">
        <v>466</v>
      </c>
      <c r="D482" s="6" t="str">
        <f t="shared" si="21"/>
        <v>BAYARDAVAA ODBAYAR</v>
      </c>
      <c r="E482" s="6" t="s">
        <v>445</v>
      </c>
      <c r="F482" s="6">
        <v>20220688</v>
      </c>
      <c r="G482" s="6" t="s">
        <v>1087</v>
      </c>
      <c r="H482" s="6" t="s">
        <v>56</v>
      </c>
      <c r="I482" s="5">
        <v>45587</v>
      </c>
      <c r="J482" s="5">
        <v>45952</v>
      </c>
      <c r="K482" s="7">
        <v>11.5</v>
      </c>
      <c r="L482" s="6">
        <f t="shared" si="22"/>
        <v>12</v>
      </c>
      <c r="M482" s="6" t="s">
        <v>59</v>
      </c>
      <c r="N482" s="6" t="s">
        <v>1148</v>
      </c>
      <c r="O482" s="9">
        <v>0.7</v>
      </c>
      <c r="P482" s="16">
        <f t="shared" si="23"/>
        <v>8.0499999999999989</v>
      </c>
      <c r="Q482" s="7">
        <v>0</v>
      </c>
      <c r="R482" s="7">
        <v>8.0500000000000007</v>
      </c>
      <c r="S482" s="7">
        <v>8.0500000000000007</v>
      </c>
      <c r="T482" s="6" t="s">
        <v>445</v>
      </c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</row>
    <row r="483" spans="1:53" x14ac:dyDescent="0.25">
      <c r="A483" s="6">
        <v>2025154616</v>
      </c>
      <c r="B483" s="6" t="s">
        <v>345</v>
      </c>
      <c r="C483" s="6" t="s">
        <v>346</v>
      </c>
      <c r="D483" s="6" t="str">
        <f t="shared" si="21"/>
        <v>JACQUELINE PERKINS</v>
      </c>
      <c r="E483" s="6" t="s">
        <v>445</v>
      </c>
      <c r="F483" s="6">
        <v>371819</v>
      </c>
      <c r="G483" s="6" t="s">
        <v>1085</v>
      </c>
      <c r="H483" s="6" t="s">
        <v>56</v>
      </c>
      <c r="I483" s="5">
        <v>45581</v>
      </c>
      <c r="J483" s="5">
        <v>45946</v>
      </c>
      <c r="K483" s="7">
        <v>-129.22</v>
      </c>
      <c r="L483" s="6">
        <f t="shared" si="22"/>
        <v>12</v>
      </c>
      <c r="M483" s="6" t="s">
        <v>59</v>
      </c>
      <c r="N483" s="6" t="s">
        <v>1148</v>
      </c>
      <c r="O483" s="9">
        <v>0.7</v>
      </c>
      <c r="P483" s="16">
        <f t="shared" si="23"/>
        <v>-90.453999999999994</v>
      </c>
      <c r="Q483" s="7">
        <v>0</v>
      </c>
      <c r="R483" s="7">
        <v>-90.45</v>
      </c>
      <c r="S483" s="7">
        <v>-90.45</v>
      </c>
      <c r="T483" s="6" t="s">
        <v>445</v>
      </c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</row>
    <row r="484" spans="1:53" x14ac:dyDescent="0.25">
      <c r="A484" s="6">
        <v>2025154616</v>
      </c>
      <c r="B484" s="6" t="s">
        <v>345</v>
      </c>
      <c r="C484" s="6" t="s">
        <v>346</v>
      </c>
      <c r="D484" s="6" t="str">
        <f t="shared" si="21"/>
        <v>JACQUELINE PERKINS</v>
      </c>
      <c r="E484" s="6" t="s">
        <v>445</v>
      </c>
      <c r="F484" s="6">
        <v>371819</v>
      </c>
      <c r="G484" s="6" t="s">
        <v>1085</v>
      </c>
      <c r="H484" s="6" t="s">
        <v>56</v>
      </c>
      <c r="I484" s="5">
        <v>45581</v>
      </c>
      <c r="J484" s="5">
        <v>45946</v>
      </c>
      <c r="K484" s="7">
        <v>129.22</v>
      </c>
      <c r="L484" s="6">
        <f t="shared" si="22"/>
        <v>12</v>
      </c>
      <c r="M484" s="6" t="s">
        <v>59</v>
      </c>
      <c r="N484" s="6" t="s">
        <v>1148</v>
      </c>
      <c r="O484" s="9">
        <v>0.7</v>
      </c>
      <c r="P484" s="16">
        <f t="shared" si="23"/>
        <v>90.453999999999994</v>
      </c>
      <c r="Q484" s="7">
        <v>0</v>
      </c>
      <c r="R484" s="7">
        <v>90.45</v>
      </c>
      <c r="S484" s="7">
        <v>90.45</v>
      </c>
      <c r="T484" s="6" t="s">
        <v>445</v>
      </c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</row>
    <row r="485" spans="1:53" x14ac:dyDescent="0.25">
      <c r="A485" s="6">
        <v>2025167144</v>
      </c>
      <c r="B485" s="6" t="s">
        <v>1031</v>
      </c>
      <c r="C485" s="6" t="s">
        <v>1030</v>
      </c>
      <c r="D485" s="6" t="str">
        <f t="shared" si="21"/>
        <v>CRISTINA RIVERA</v>
      </c>
      <c r="E485" s="6" t="s">
        <v>445</v>
      </c>
      <c r="F485" s="6">
        <v>371819</v>
      </c>
      <c r="G485" s="6" t="s">
        <v>1085</v>
      </c>
      <c r="H485" s="6" t="s">
        <v>56</v>
      </c>
      <c r="I485" s="5">
        <v>45581</v>
      </c>
      <c r="J485" s="5">
        <v>45946</v>
      </c>
      <c r="K485" s="7">
        <v>68.61</v>
      </c>
      <c r="L485" s="6">
        <f t="shared" si="22"/>
        <v>12</v>
      </c>
      <c r="M485" s="6" t="s">
        <v>59</v>
      </c>
      <c r="N485" s="6" t="s">
        <v>1148</v>
      </c>
      <c r="O485" s="9">
        <v>0.7</v>
      </c>
      <c r="P485" s="16">
        <f t="shared" si="23"/>
        <v>48.026999999999994</v>
      </c>
      <c r="Q485" s="7">
        <v>0</v>
      </c>
      <c r="R485" s="7">
        <v>48.03</v>
      </c>
      <c r="S485" s="7">
        <v>48.03</v>
      </c>
      <c r="T485" s="6" t="s">
        <v>445</v>
      </c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</row>
    <row r="486" spans="1:53" x14ac:dyDescent="0.25">
      <c r="A486" s="6">
        <v>2025316509</v>
      </c>
      <c r="B486" s="6" t="s">
        <v>1024</v>
      </c>
      <c r="C486" s="6" t="s">
        <v>163</v>
      </c>
      <c r="D486" s="6" t="str">
        <f t="shared" si="21"/>
        <v>JORDAN ROWELL</v>
      </c>
      <c r="E486" s="6" t="s">
        <v>445</v>
      </c>
      <c r="F486" s="6">
        <v>371819</v>
      </c>
      <c r="G486" s="6" t="s">
        <v>1085</v>
      </c>
      <c r="H486" s="6" t="s">
        <v>56</v>
      </c>
      <c r="I486" s="5">
        <v>45580</v>
      </c>
      <c r="J486" s="5">
        <v>45945</v>
      </c>
      <c r="K486" s="7">
        <v>46.36</v>
      </c>
      <c r="L486" s="6">
        <f t="shared" si="22"/>
        <v>12</v>
      </c>
      <c r="M486" s="6" t="s">
        <v>59</v>
      </c>
      <c r="N486" s="6" t="s">
        <v>1148</v>
      </c>
      <c r="O486" s="9">
        <v>0.7</v>
      </c>
      <c r="P486" s="16">
        <f t="shared" si="23"/>
        <v>32.451999999999998</v>
      </c>
      <c r="Q486" s="7">
        <v>0</v>
      </c>
      <c r="R486" s="7">
        <v>32.450000000000003</v>
      </c>
      <c r="S486" s="7">
        <v>32.450000000000003</v>
      </c>
      <c r="T486" s="6" t="s">
        <v>445</v>
      </c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</row>
    <row r="487" spans="1:53" x14ac:dyDescent="0.25">
      <c r="A487" s="6">
        <v>2024895605</v>
      </c>
      <c r="B487" s="6" t="s">
        <v>729</v>
      </c>
      <c r="C487" s="6" t="s">
        <v>85</v>
      </c>
      <c r="D487" s="6" t="str">
        <f t="shared" si="21"/>
        <v>JOHN CAROLL</v>
      </c>
      <c r="E487" s="6" t="s">
        <v>445</v>
      </c>
      <c r="F487" s="6">
        <v>371819</v>
      </c>
      <c r="G487" s="6" t="s">
        <v>1085</v>
      </c>
      <c r="H487" s="6" t="s">
        <v>56</v>
      </c>
      <c r="I487" s="5">
        <v>45552</v>
      </c>
      <c r="J487" s="5">
        <v>45947</v>
      </c>
      <c r="K487" s="7">
        <v>60.4</v>
      </c>
      <c r="L487" s="6">
        <f t="shared" si="22"/>
        <v>13</v>
      </c>
      <c r="M487" s="6" t="s">
        <v>59</v>
      </c>
      <c r="N487" s="6" t="s">
        <v>1148</v>
      </c>
      <c r="O487" s="9">
        <v>0.15</v>
      </c>
      <c r="P487" s="16">
        <f t="shared" si="23"/>
        <v>9.0599999999999987</v>
      </c>
      <c r="Q487" s="7">
        <v>0</v>
      </c>
      <c r="R487" s="7">
        <v>9.06</v>
      </c>
      <c r="S487" s="7">
        <v>9.06</v>
      </c>
      <c r="T487" s="6" t="s">
        <v>445</v>
      </c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</row>
    <row r="488" spans="1:53" x14ac:dyDescent="0.25">
      <c r="A488" s="6">
        <v>2025022512</v>
      </c>
      <c r="B488" s="6" t="s">
        <v>282</v>
      </c>
      <c r="C488" s="6" t="s">
        <v>283</v>
      </c>
      <c r="D488" s="6" t="str">
        <f t="shared" si="21"/>
        <v>ANDREA PETRUNGARO</v>
      </c>
      <c r="E488" s="6" t="s">
        <v>445</v>
      </c>
      <c r="F488" s="6">
        <v>16912722</v>
      </c>
      <c r="G488" s="6" t="s">
        <v>1111</v>
      </c>
      <c r="H488" s="6" t="s">
        <v>56</v>
      </c>
      <c r="I488" s="5">
        <v>45561</v>
      </c>
      <c r="J488" s="5">
        <v>45956</v>
      </c>
      <c r="K488" s="7">
        <v>122.22</v>
      </c>
      <c r="L488" s="6">
        <f t="shared" si="22"/>
        <v>13</v>
      </c>
      <c r="M488" s="6" t="s">
        <v>59</v>
      </c>
      <c r="N488" s="6" t="s">
        <v>1148</v>
      </c>
      <c r="O488" s="9">
        <v>0.15</v>
      </c>
      <c r="P488" s="16">
        <f t="shared" si="23"/>
        <v>18.332999999999998</v>
      </c>
      <c r="Q488" s="7">
        <v>0</v>
      </c>
      <c r="R488" s="7">
        <v>18.329999999999998</v>
      </c>
      <c r="S488" s="7">
        <v>18.329999999999998</v>
      </c>
      <c r="T488" s="6" t="s">
        <v>445</v>
      </c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</row>
    <row r="489" spans="1:53" x14ac:dyDescent="0.25">
      <c r="A489" s="6">
        <v>2024834572</v>
      </c>
      <c r="B489" s="6" t="s">
        <v>734</v>
      </c>
      <c r="C489" s="6" t="s">
        <v>409</v>
      </c>
      <c r="D489" s="6" t="str">
        <f t="shared" si="21"/>
        <v>SARAH PHILLIPS</v>
      </c>
      <c r="E489" s="6" t="s">
        <v>445</v>
      </c>
      <c r="F489" s="6">
        <v>371819</v>
      </c>
      <c r="G489" s="6" t="s">
        <v>1085</v>
      </c>
      <c r="H489" s="6" t="s">
        <v>56</v>
      </c>
      <c r="I489" s="5">
        <v>45549</v>
      </c>
      <c r="J489" s="5">
        <v>45944</v>
      </c>
      <c r="K489" s="7">
        <v>87.77</v>
      </c>
      <c r="L489" s="6">
        <f t="shared" si="22"/>
        <v>13</v>
      </c>
      <c r="M489" s="6" t="s">
        <v>59</v>
      </c>
      <c r="N489" s="6" t="s">
        <v>1148</v>
      </c>
      <c r="O489" s="9">
        <v>0.15</v>
      </c>
      <c r="P489" s="16">
        <f t="shared" si="23"/>
        <v>13.1655</v>
      </c>
      <c r="Q489" s="7">
        <v>0</v>
      </c>
      <c r="R489" s="7">
        <v>13.17</v>
      </c>
      <c r="S489" s="7">
        <v>13.17</v>
      </c>
      <c r="T489" s="6" t="s">
        <v>445</v>
      </c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</row>
    <row r="490" spans="1:53" x14ac:dyDescent="0.25">
      <c r="A490" s="6">
        <v>2024905824</v>
      </c>
      <c r="B490" s="6" t="s">
        <v>728</v>
      </c>
      <c r="C490" s="6" t="s">
        <v>727</v>
      </c>
      <c r="D490" s="6" t="str">
        <f t="shared" si="21"/>
        <v>BATTSENGEL TOGMID</v>
      </c>
      <c r="E490" s="6" t="s">
        <v>445</v>
      </c>
      <c r="F490" s="6">
        <v>16912722</v>
      </c>
      <c r="G490" s="6" t="s">
        <v>1111</v>
      </c>
      <c r="H490" s="6" t="s">
        <v>56</v>
      </c>
      <c r="I490" s="5">
        <v>45553</v>
      </c>
      <c r="J490" s="5">
        <v>45948</v>
      </c>
      <c r="K490" s="7">
        <v>40.74</v>
      </c>
      <c r="L490" s="6">
        <f t="shared" si="22"/>
        <v>13</v>
      </c>
      <c r="M490" s="6" t="s">
        <v>59</v>
      </c>
      <c r="N490" s="6" t="s">
        <v>1148</v>
      </c>
      <c r="O490" s="9">
        <v>0.15</v>
      </c>
      <c r="P490" s="16">
        <f t="shared" si="23"/>
        <v>6.1109999999999998</v>
      </c>
      <c r="Q490" s="7">
        <v>0</v>
      </c>
      <c r="R490" s="7">
        <v>6.11</v>
      </c>
      <c r="S490" s="7">
        <v>6.11</v>
      </c>
      <c r="T490" s="6" t="s">
        <v>445</v>
      </c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</row>
    <row r="491" spans="1:53" x14ac:dyDescent="0.25">
      <c r="A491" s="6">
        <v>2024356429</v>
      </c>
      <c r="B491" s="6" t="s">
        <v>736</v>
      </c>
      <c r="C491" s="6" t="s">
        <v>187</v>
      </c>
      <c r="D491" s="6" t="str">
        <f t="shared" si="21"/>
        <v>SEAN KAPANGA</v>
      </c>
      <c r="E491" s="6" t="s">
        <v>445</v>
      </c>
      <c r="F491" s="6">
        <v>371819</v>
      </c>
      <c r="G491" s="6" t="s">
        <v>1085</v>
      </c>
      <c r="H491" s="6" t="s">
        <v>56</v>
      </c>
      <c r="I491" s="5">
        <v>45517</v>
      </c>
      <c r="J491" s="5">
        <v>45943</v>
      </c>
      <c r="K491" s="7">
        <v>28.9</v>
      </c>
      <c r="L491" s="6">
        <f t="shared" si="22"/>
        <v>14</v>
      </c>
      <c r="M491" s="6" t="s">
        <v>59</v>
      </c>
      <c r="N491" s="6" t="s">
        <v>1148</v>
      </c>
      <c r="O491" s="9">
        <v>0.15</v>
      </c>
      <c r="P491" s="16">
        <f t="shared" si="23"/>
        <v>4.335</v>
      </c>
      <c r="Q491" s="7">
        <v>0</v>
      </c>
      <c r="R491" s="7">
        <v>4.34</v>
      </c>
      <c r="S491" s="7">
        <v>4.34</v>
      </c>
      <c r="T491" s="6" t="s">
        <v>445</v>
      </c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</row>
    <row r="492" spans="1:53" x14ac:dyDescent="0.25">
      <c r="A492" s="6">
        <v>2024487768</v>
      </c>
      <c r="B492" s="6" t="s">
        <v>463</v>
      </c>
      <c r="C492" s="6" t="s">
        <v>464</v>
      </c>
      <c r="D492" s="6" t="str">
        <f t="shared" si="21"/>
        <v>BRETT WERNER</v>
      </c>
      <c r="E492" s="6" t="s">
        <v>445</v>
      </c>
      <c r="F492" s="6">
        <v>19481808</v>
      </c>
      <c r="G492" s="6" t="s">
        <v>1122</v>
      </c>
      <c r="H492" s="6" t="s">
        <v>56</v>
      </c>
      <c r="I492" s="5">
        <v>45526</v>
      </c>
      <c r="J492" s="5">
        <v>45952</v>
      </c>
      <c r="K492" s="7">
        <v>49.8</v>
      </c>
      <c r="L492" s="6">
        <f t="shared" si="22"/>
        <v>14</v>
      </c>
      <c r="M492" s="6" t="s">
        <v>59</v>
      </c>
      <c r="N492" s="6" t="s">
        <v>1148</v>
      </c>
      <c r="O492" s="9">
        <v>0.15</v>
      </c>
      <c r="P492" s="16">
        <f t="shared" si="23"/>
        <v>7.4699999999999989</v>
      </c>
      <c r="Q492" s="7">
        <v>0</v>
      </c>
      <c r="R492" s="7">
        <v>7.47</v>
      </c>
      <c r="S492" s="7">
        <v>7.47</v>
      </c>
      <c r="T492" s="6" t="s">
        <v>445</v>
      </c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</row>
    <row r="493" spans="1:53" x14ac:dyDescent="0.25">
      <c r="A493" s="6">
        <v>2023973864</v>
      </c>
      <c r="B493" s="6" t="s">
        <v>460</v>
      </c>
      <c r="C493" s="6" t="s">
        <v>461</v>
      </c>
      <c r="D493" s="6" t="str">
        <f t="shared" si="21"/>
        <v>CHANG SHIN</v>
      </c>
      <c r="E493" s="6" t="s">
        <v>445</v>
      </c>
      <c r="F493" s="6">
        <v>371819</v>
      </c>
      <c r="G493" s="6" t="s">
        <v>1085</v>
      </c>
      <c r="H493" s="6" t="s">
        <v>56</v>
      </c>
      <c r="I493" s="5">
        <v>45493</v>
      </c>
      <c r="J493" s="5">
        <v>45950</v>
      </c>
      <c r="K493" s="7">
        <v>10.75</v>
      </c>
      <c r="L493" s="6">
        <f t="shared" si="22"/>
        <v>15</v>
      </c>
      <c r="M493" s="6" t="s">
        <v>59</v>
      </c>
      <c r="N493" s="6" t="s">
        <v>1148</v>
      </c>
      <c r="O493" s="9">
        <v>0.15</v>
      </c>
      <c r="P493" s="16">
        <f t="shared" si="23"/>
        <v>1.6125</v>
      </c>
      <c r="Q493" s="7">
        <v>0</v>
      </c>
      <c r="R493" s="7">
        <v>1.61</v>
      </c>
      <c r="S493" s="7">
        <v>1.61</v>
      </c>
      <c r="T493" s="6" t="s">
        <v>445</v>
      </c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</row>
    <row r="494" spans="1:53" x14ac:dyDescent="0.25">
      <c r="A494" s="6">
        <v>2023233681</v>
      </c>
      <c r="B494" s="6" t="s">
        <v>336</v>
      </c>
      <c r="C494" s="6" t="s">
        <v>337</v>
      </c>
      <c r="D494" s="6" t="str">
        <f t="shared" si="21"/>
        <v>ALEXANDRA MCKAY</v>
      </c>
      <c r="E494" s="6" t="s">
        <v>445</v>
      </c>
      <c r="F494" s="6">
        <v>19645587</v>
      </c>
      <c r="G494" s="6" t="s">
        <v>1116</v>
      </c>
      <c r="H494" s="6" t="s">
        <v>56</v>
      </c>
      <c r="I494" s="5">
        <v>45436</v>
      </c>
      <c r="J494" s="5">
        <v>45954</v>
      </c>
      <c r="K494" s="7">
        <v>47.71</v>
      </c>
      <c r="L494" s="6">
        <f t="shared" si="22"/>
        <v>17</v>
      </c>
      <c r="M494" s="6" t="s">
        <v>59</v>
      </c>
      <c r="N494" s="6" t="s">
        <v>1148</v>
      </c>
      <c r="O494" s="9">
        <v>0.15</v>
      </c>
      <c r="P494" s="16">
        <f t="shared" si="23"/>
        <v>7.1565000000000003</v>
      </c>
      <c r="Q494" s="7">
        <v>0</v>
      </c>
      <c r="R494" s="7">
        <v>7.16</v>
      </c>
      <c r="S494" s="7">
        <v>7.16</v>
      </c>
      <c r="T494" s="6" t="s">
        <v>445</v>
      </c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</row>
    <row r="495" spans="1:53" x14ac:dyDescent="0.25">
      <c r="A495">
        <v>2030574906</v>
      </c>
      <c r="B495" t="s">
        <v>609</v>
      </c>
      <c r="C495" t="s">
        <v>608</v>
      </c>
      <c r="D495" s="6" t="str">
        <f t="shared" si="21"/>
        <v>LORENA FIERRO</v>
      </c>
      <c r="E495" t="s">
        <v>445</v>
      </c>
      <c r="F495">
        <v>17437820</v>
      </c>
      <c r="G495" t="s">
        <v>1082</v>
      </c>
      <c r="H495" t="s">
        <v>230</v>
      </c>
      <c r="I495" s="1">
        <v>45901</v>
      </c>
      <c r="J495" s="1">
        <v>45931</v>
      </c>
      <c r="K495" s="2">
        <v>-33.54</v>
      </c>
      <c r="L495">
        <f t="shared" si="22"/>
        <v>1</v>
      </c>
      <c r="M495" t="s">
        <v>59</v>
      </c>
      <c r="N495" t="s">
        <v>1148</v>
      </c>
      <c r="O495" s="4">
        <v>0.7</v>
      </c>
      <c r="P495" s="16">
        <f t="shared" si="23"/>
        <v>-23.477999999999998</v>
      </c>
      <c r="Q495" s="2">
        <v>0</v>
      </c>
      <c r="R495" s="2">
        <v>-23.48</v>
      </c>
      <c r="S495" s="2">
        <v>-23.48</v>
      </c>
      <c r="T495" t="s">
        <v>445</v>
      </c>
    </row>
    <row r="496" spans="1:53" x14ac:dyDescent="0.25">
      <c r="A496">
        <v>2030720647</v>
      </c>
      <c r="B496" t="s">
        <v>558</v>
      </c>
      <c r="C496" t="s">
        <v>559</v>
      </c>
      <c r="D496" s="6" t="str">
        <f t="shared" si="21"/>
        <v>ESCOBAR JOSE</v>
      </c>
      <c r="E496" t="s">
        <v>445</v>
      </c>
      <c r="F496">
        <v>17516272</v>
      </c>
      <c r="G496" t="s">
        <v>1128</v>
      </c>
      <c r="H496" t="s">
        <v>230</v>
      </c>
      <c r="I496" s="1">
        <v>45901</v>
      </c>
      <c r="J496" s="1">
        <v>45931</v>
      </c>
      <c r="K496" s="2">
        <v>-70.819999999999993</v>
      </c>
      <c r="L496">
        <f t="shared" si="22"/>
        <v>1</v>
      </c>
      <c r="M496" t="s">
        <v>59</v>
      </c>
      <c r="N496" t="s">
        <v>1148</v>
      </c>
      <c r="O496" s="4">
        <v>0.7</v>
      </c>
      <c r="P496" s="16">
        <f t="shared" si="23"/>
        <v>-49.573999999999991</v>
      </c>
      <c r="Q496" s="2">
        <v>0</v>
      </c>
      <c r="R496" s="2">
        <v>-49.57</v>
      </c>
      <c r="S496" s="2">
        <v>-49.57</v>
      </c>
      <c r="T496" t="s">
        <v>445</v>
      </c>
    </row>
    <row r="497" spans="1:20" x14ac:dyDescent="0.25">
      <c r="A497">
        <v>2030683642</v>
      </c>
      <c r="B497" t="s">
        <v>607</v>
      </c>
      <c r="C497" t="s">
        <v>606</v>
      </c>
      <c r="D497" s="6" t="str">
        <f t="shared" si="21"/>
        <v>ALMA MIJARES</v>
      </c>
      <c r="E497" t="s">
        <v>445</v>
      </c>
      <c r="F497">
        <v>1706194</v>
      </c>
      <c r="G497" t="s">
        <v>1105</v>
      </c>
      <c r="H497" t="s">
        <v>230</v>
      </c>
      <c r="I497" s="1">
        <v>45901</v>
      </c>
      <c r="J497" s="1">
        <v>45931</v>
      </c>
      <c r="K497" s="2">
        <v>-74.03</v>
      </c>
      <c r="L497">
        <f t="shared" si="22"/>
        <v>1</v>
      </c>
      <c r="M497" t="s">
        <v>59</v>
      </c>
      <c r="N497" t="s">
        <v>1148</v>
      </c>
      <c r="O497" s="4">
        <v>0.7</v>
      </c>
      <c r="P497" s="16">
        <f t="shared" si="23"/>
        <v>-51.820999999999998</v>
      </c>
      <c r="Q497" s="2">
        <v>0</v>
      </c>
      <c r="R497" s="2">
        <v>-51.82</v>
      </c>
      <c r="S497" s="2">
        <v>-51.82</v>
      </c>
      <c r="T497" t="s">
        <v>445</v>
      </c>
    </row>
    <row r="498" spans="1:20" x14ac:dyDescent="0.25">
      <c r="A498">
        <v>2030591797</v>
      </c>
      <c r="B498" t="s">
        <v>286</v>
      </c>
      <c r="C498" t="s">
        <v>287</v>
      </c>
      <c r="D498" s="6" t="str">
        <f t="shared" si="21"/>
        <v>BURGENER EDWARD</v>
      </c>
      <c r="E498" t="s">
        <v>445</v>
      </c>
      <c r="F498">
        <v>20003537</v>
      </c>
      <c r="G498" t="s">
        <v>1102</v>
      </c>
      <c r="H498" t="s">
        <v>56</v>
      </c>
      <c r="I498" s="1">
        <v>45890</v>
      </c>
      <c r="J498" s="1">
        <v>45951</v>
      </c>
      <c r="K498" s="2">
        <v>112.95</v>
      </c>
      <c r="L498">
        <f t="shared" si="22"/>
        <v>2</v>
      </c>
      <c r="M498" t="s">
        <v>59</v>
      </c>
      <c r="N498" t="s">
        <v>1148</v>
      </c>
      <c r="O498" s="4">
        <v>0.7</v>
      </c>
      <c r="P498" s="16">
        <f t="shared" si="23"/>
        <v>79.064999999999998</v>
      </c>
      <c r="Q498" s="2">
        <v>79.06</v>
      </c>
      <c r="R498" s="2">
        <v>0</v>
      </c>
      <c r="S498" s="2">
        <v>0</v>
      </c>
      <c r="T498" t="s">
        <v>445</v>
      </c>
    </row>
    <row r="499" spans="1:20" x14ac:dyDescent="0.25">
      <c r="A499">
        <v>2030485607</v>
      </c>
      <c r="B499" t="s">
        <v>703</v>
      </c>
      <c r="C499" t="s">
        <v>702</v>
      </c>
      <c r="D499" s="6" t="str">
        <f t="shared" si="21"/>
        <v>KARENLYNN GREEN</v>
      </c>
      <c r="E499" t="s">
        <v>445</v>
      </c>
      <c r="F499">
        <v>20776610</v>
      </c>
      <c r="G499" t="s">
        <v>1136</v>
      </c>
      <c r="H499" t="s">
        <v>56</v>
      </c>
      <c r="I499" s="1">
        <v>45883</v>
      </c>
      <c r="J499" s="1">
        <v>45944</v>
      </c>
      <c r="K499" s="2">
        <v>46.72</v>
      </c>
      <c r="L499">
        <f t="shared" si="22"/>
        <v>2</v>
      </c>
      <c r="M499" t="s">
        <v>59</v>
      </c>
      <c r="N499" t="s">
        <v>1148</v>
      </c>
      <c r="O499" s="4">
        <v>0.7</v>
      </c>
      <c r="P499" s="16">
        <f t="shared" si="23"/>
        <v>32.704000000000001</v>
      </c>
      <c r="Q499" s="2">
        <v>32.700000000000003</v>
      </c>
      <c r="R499" s="2">
        <v>0</v>
      </c>
      <c r="S499" s="2">
        <v>0</v>
      </c>
      <c r="T499" t="s">
        <v>445</v>
      </c>
    </row>
    <row r="500" spans="1:20" x14ac:dyDescent="0.25">
      <c r="A500">
        <v>2030447483</v>
      </c>
      <c r="B500" t="s">
        <v>715</v>
      </c>
      <c r="C500" t="s">
        <v>714</v>
      </c>
      <c r="D500" s="6" t="str">
        <f t="shared" si="21"/>
        <v>SANDRA MANSFIELD</v>
      </c>
      <c r="E500" t="s">
        <v>445</v>
      </c>
      <c r="F500">
        <v>1706194</v>
      </c>
      <c r="G500" t="s">
        <v>1105</v>
      </c>
      <c r="H500" t="s">
        <v>56</v>
      </c>
      <c r="I500" s="1">
        <v>45882</v>
      </c>
      <c r="J500" s="1">
        <v>45943</v>
      </c>
      <c r="K500" s="2">
        <v>10.53</v>
      </c>
      <c r="L500">
        <f t="shared" si="22"/>
        <v>2</v>
      </c>
      <c r="M500" t="s">
        <v>59</v>
      </c>
      <c r="N500" t="s">
        <v>1148</v>
      </c>
      <c r="O500" s="4">
        <v>0.7</v>
      </c>
      <c r="P500" s="16">
        <f t="shared" si="23"/>
        <v>7.3709999999999987</v>
      </c>
      <c r="Q500" s="2">
        <v>7.37</v>
      </c>
      <c r="R500" s="2">
        <v>0</v>
      </c>
      <c r="S500" s="2">
        <v>0</v>
      </c>
      <c r="T500" t="s">
        <v>445</v>
      </c>
    </row>
    <row r="501" spans="1:20" x14ac:dyDescent="0.25">
      <c r="A501">
        <v>2030135275</v>
      </c>
      <c r="B501" t="s">
        <v>225</v>
      </c>
      <c r="C501" t="s">
        <v>444</v>
      </c>
      <c r="D501" s="6" t="str">
        <f t="shared" si="21"/>
        <v>ROBERT MORRIS</v>
      </c>
      <c r="E501" t="s">
        <v>445</v>
      </c>
      <c r="F501">
        <v>19279958</v>
      </c>
      <c r="G501" t="s">
        <v>1100</v>
      </c>
      <c r="H501" t="s">
        <v>56</v>
      </c>
      <c r="I501" s="1">
        <v>45863</v>
      </c>
      <c r="J501" s="1">
        <v>45925</v>
      </c>
      <c r="K501" s="2">
        <v>19.41</v>
      </c>
      <c r="L501">
        <f t="shared" si="22"/>
        <v>2</v>
      </c>
      <c r="M501" t="s">
        <v>59</v>
      </c>
      <c r="N501" t="s">
        <v>1148</v>
      </c>
      <c r="O501" s="4">
        <v>0.7</v>
      </c>
      <c r="P501" s="16">
        <f t="shared" si="23"/>
        <v>13.587</v>
      </c>
      <c r="Q501" s="2">
        <v>13.59</v>
      </c>
      <c r="R501" s="2">
        <v>0</v>
      </c>
      <c r="S501" s="2">
        <v>0</v>
      </c>
      <c r="T501" t="s">
        <v>445</v>
      </c>
    </row>
    <row r="502" spans="1:20" x14ac:dyDescent="0.25">
      <c r="A502">
        <v>2029980505</v>
      </c>
      <c r="B502" t="s">
        <v>205</v>
      </c>
      <c r="C502" t="s">
        <v>206</v>
      </c>
      <c r="D502" s="6" t="str">
        <f t="shared" si="21"/>
        <v>STALLKAMP RHONDA</v>
      </c>
      <c r="E502" t="s">
        <v>445</v>
      </c>
      <c r="F502">
        <v>8977234</v>
      </c>
      <c r="G502" t="s">
        <v>1078</v>
      </c>
      <c r="H502" t="s">
        <v>56</v>
      </c>
      <c r="I502" s="1">
        <v>45884</v>
      </c>
      <c r="J502" s="1">
        <v>45945</v>
      </c>
      <c r="K502" s="2">
        <v>24</v>
      </c>
      <c r="L502">
        <f t="shared" si="22"/>
        <v>2</v>
      </c>
      <c r="M502" t="s">
        <v>59</v>
      </c>
      <c r="N502" t="s">
        <v>1148</v>
      </c>
      <c r="O502" s="4">
        <v>0.7</v>
      </c>
      <c r="P502" s="16">
        <f t="shared" si="23"/>
        <v>16.799999999999997</v>
      </c>
      <c r="Q502" s="2">
        <v>16.8</v>
      </c>
      <c r="R502" s="2">
        <v>0</v>
      </c>
      <c r="S502" s="2">
        <v>0</v>
      </c>
      <c r="T502" t="s">
        <v>445</v>
      </c>
    </row>
    <row r="503" spans="1:20" x14ac:dyDescent="0.25">
      <c r="A503">
        <v>2030478247</v>
      </c>
      <c r="B503" t="s">
        <v>117</v>
      </c>
      <c r="C503" t="s">
        <v>401</v>
      </c>
      <c r="D503" s="6" t="str">
        <f t="shared" si="21"/>
        <v>HECK RICHARD</v>
      </c>
      <c r="E503" t="s">
        <v>445</v>
      </c>
      <c r="F503">
        <v>8977234</v>
      </c>
      <c r="G503" t="s">
        <v>1078</v>
      </c>
      <c r="H503" t="s">
        <v>56</v>
      </c>
      <c r="I503" s="1">
        <v>45883</v>
      </c>
      <c r="J503" s="1">
        <v>45944</v>
      </c>
      <c r="K503" s="2">
        <v>10.82</v>
      </c>
      <c r="L503">
        <f t="shared" si="22"/>
        <v>2</v>
      </c>
      <c r="M503" t="s">
        <v>59</v>
      </c>
      <c r="N503" t="s">
        <v>1148</v>
      </c>
      <c r="O503" s="4">
        <v>0.7</v>
      </c>
      <c r="P503" s="16">
        <f t="shared" si="23"/>
        <v>7.5739999999999998</v>
      </c>
      <c r="Q503" s="2">
        <v>7.57</v>
      </c>
      <c r="R503" s="2">
        <v>0</v>
      </c>
      <c r="S503" s="2">
        <v>0</v>
      </c>
      <c r="T503" t="s">
        <v>445</v>
      </c>
    </row>
    <row r="504" spans="1:20" x14ac:dyDescent="0.25">
      <c r="A504">
        <v>2030244228</v>
      </c>
      <c r="B504" t="s">
        <v>822</v>
      </c>
      <c r="C504" t="s">
        <v>821</v>
      </c>
      <c r="D504" s="6" t="str">
        <f t="shared" si="21"/>
        <v>LACI SHOLL</v>
      </c>
      <c r="E504" t="s">
        <v>445</v>
      </c>
      <c r="F504">
        <v>17437820</v>
      </c>
      <c r="G504" t="s">
        <v>1082</v>
      </c>
      <c r="H504" t="s">
        <v>56</v>
      </c>
      <c r="I504" s="1">
        <v>45870</v>
      </c>
      <c r="J504" s="1">
        <v>45931</v>
      </c>
      <c r="K504" s="2">
        <v>41.29</v>
      </c>
      <c r="L504">
        <f t="shared" si="22"/>
        <v>2</v>
      </c>
      <c r="M504" t="s">
        <v>59</v>
      </c>
      <c r="N504" t="s">
        <v>1148</v>
      </c>
      <c r="O504" s="4">
        <v>0.7</v>
      </c>
      <c r="P504" s="16">
        <f t="shared" si="23"/>
        <v>28.902999999999999</v>
      </c>
      <c r="Q504" s="2">
        <v>28.9</v>
      </c>
      <c r="R504" s="2">
        <v>0</v>
      </c>
      <c r="S504" s="2">
        <v>0</v>
      </c>
      <c r="T504" t="s">
        <v>445</v>
      </c>
    </row>
    <row r="505" spans="1:20" x14ac:dyDescent="0.25">
      <c r="A505">
        <v>2030474774</v>
      </c>
      <c r="B505" t="s">
        <v>705</v>
      </c>
      <c r="C505" t="s">
        <v>704</v>
      </c>
      <c r="D505" s="6" t="str">
        <f t="shared" si="21"/>
        <v>RISTAN SOTIRI</v>
      </c>
      <c r="E505" t="s">
        <v>445</v>
      </c>
      <c r="F505">
        <v>8977234</v>
      </c>
      <c r="G505" t="s">
        <v>1078</v>
      </c>
      <c r="H505" t="s">
        <v>56</v>
      </c>
      <c r="I505" s="1">
        <v>45883</v>
      </c>
      <c r="J505" s="1">
        <v>45944</v>
      </c>
      <c r="K505" s="2">
        <v>122.88</v>
      </c>
      <c r="L505">
        <f t="shared" si="22"/>
        <v>2</v>
      </c>
      <c r="M505" t="s">
        <v>59</v>
      </c>
      <c r="N505" t="s">
        <v>1148</v>
      </c>
      <c r="O505" s="4">
        <v>0.7</v>
      </c>
      <c r="P505" s="16">
        <f t="shared" si="23"/>
        <v>86.015999999999991</v>
      </c>
      <c r="Q505" s="2">
        <v>86.02</v>
      </c>
      <c r="R505" s="2">
        <v>0</v>
      </c>
      <c r="S505" s="2">
        <v>0</v>
      </c>
      <c r="T505" t="s">
        <v>445</v>
      </c>
    </row>
    <row r="506" spans="1:20" x14ac:dyDescent="0.25">
      <c r="A506">
        <v>2030313588</v>
      </c>
      <c r="B506" t="s">
        <v>540</v>
      </c>
      <c r="C506" t="s">
        <v>541</v>
      </c>
      <c r="D506" s="6" t="str">
        <f t="shared" si="21"/>
        <v>BURT-HOLSENDOLPH WILLANDA</v>
      </c>
      <c r="E506" t="s">
        <v>445</v>
      </c>
      <c r="F506">
        <v>8977234</v>
      </c>
      <c r="G506" t="s">
        <v>1078</v>
      </c>
      <c r="H506" t="s">
        <v>56</v>
      </c>
      <c r="I506" s="1">
        <v>45894</v>
      </c>
      <c r="J506" s="1">
        <v>45955</v>
      </c>
      <c r="K506" s="2">
        <v>120.91</v>
      </c>
      <c r="L506">
        <f t="shared" si="22"/>
        <v>2</v>
      </c>
      <c r="M506" t="s">
        <v>59</v>
      </c>
      <c r="N506" t="s">
        <v>1148</v>
      </c>
      <c r="O506" s="4">
        <v>0.7</v>
      </c>
      <c r="P506" s="16">
        <f t="shared" si="23"/>
        <v>84.636999999999986</v>
      </c>
      <c r="Q506" s="2">
        <v>84.64</v>
      </c>
      <c r="R506" s="2">
        <v>0</v>
      </c>
      <c r="S506" s="2">
        <v>0</v>
      </c>
      <c r="T506" t="s">
        <v>445</v>
      </c>
    </row>
    <row r="507" spans="1:20" x14ac:dyDescent="0.25">
      <c r="A507">
        <v>2030613892</v>
      </c>
      <c r="B507" t="s">
        <v>554</v>
      </c>
      <c r="C507" t="s">
        <v>555</v>
      </c>
      <c r="D507" s="6" t="str">
        <f t="shared" si="21"/>
        <v>TURNER YVETTE</v>
      </c>
      <c r="E507" t="s">
        <v>445</v>
      </c>
      <c r="F507">
        <v>9213293</v>
      </c>
      <c r="G507" t="s">
        <v>1086</v>
      </c>
      <c r="H507" t="s">
        <v>56</v>
      </c>
      <c r="I507" s="1">
        <v>45891</v>
      </c>
      <c r="J507" s="1">
        <v>45952</v>
      </c>
      <c r="K507" s="2">
        <v>110.16</v>
      </c>
      <c r="L507">
        <f t="shared" si="22"/>
        <v>2</v>
      </c>
      <c r="M507" t="s">
        <v>59</v>
      </c>
      <c r="N507" t="s">
        <v>1148</v>
      </c>
      <c r="O507" s="4">
        <v>0.7</v>
      </c>
      <c r="P507" s="16">
        <f t="shared" si="23"/>
        <v>77.111999999999995</v>
      </c>
      <c r="Q507" s="2">
        <v>77.11</v>
      </c>
      <c r="R507" s="2">
        <v>0</v>
      </c>
      <c r="S507" s="2">
        <v>0</v>
      </c>
      <c r="T507" t="s">
        <v>445</v>
      </c>
    </row>
    <row r="508" spans="1:20" x14ac:dyDescent="0.25">
      <c r="A508">
        <v>2029894139</v>
      </c>
      <c r="B508" t="s">
        <v>923</v>
      </c>
      <c r="C508" t="s">
        <v>74</v>
      </c>
      <c r="D508" s="6" t="str">
        <f t="shared" si="21"/>
        <v>CAROL BALLA</v>
      </c>
      <c r="E508" t="s">
        <v>445</v>
      </c>
      <c r="F508">
        <v>8977234</v>
      </c>
      <c r="G508" t="s">
        <v>1078</v>
      </c>
      <c r="H508" t="s">
        <v>56</v>
      </c>
      <c r="I508" s="1">
        <v>45852</v>
      </c>
      <c r="J508" s="1">
        <v>45944</v>
      </c>
      <c r="K508" s="2">
        <v>198.4</v>
      </c>
      <c r="L508">
        <f t="shared" si="22"/>
        <v>3</v>
      </c>
      <c r="M508" t="s">
        <v>59</v>
      </c>
      <c r="N508" t="s">
        <v>1148</v>
      </c>
      <c r="O508" s="4">
        <v>0.7</v>
      </c>
      <c r="P508" s="16">
        <f t="shared" si="23"/>
        <v>138.88</v>
      </c>
      <c r="Q508" s="2">
        <v>138.88</v>
      </c>
      <c r="R508" s="2">
        <v>0</v>
      </c>
      <c r="S508" s="2">
        <v>0</v>
      </c>
      <c r="T508" t="s">
        <v>445</v>
      </c>
    </row>
    <row r="509" spans="1:20" x14ac:dyDescent="0.25">
      <c r="A509">
        <v>2030023418</v>
      </c>
      <c r="B509" t="s">
        <v>771</v>
      </c>
      <c r="C509" t="s">
        <v>770</v>
      </c>
      <c r="D509" s="6" t="str">
        <f t="shared" si="21"/>
        <v>MIRCEA CALBAZA</v>
      </c>
      <c r="E509" t="s">
        <v>445</v>
      </c>
      <c r="F509">
        <v>20003537</v>
      </c>
      <c r="G509" t="s">
        <v>1102</v>
      </c>
      <c r="H509" t="s">
        <v>56</v>
      </c>
      <c r="I509" s="1">
        <v>45857</v>
      </c>
      <c r="J509" s="1">
        <v>45949</v>
      </c>
      <c r="K509" s="2">
        <v>198.36</v>
      </c>
      <c r="L509">
        <f t="shared" si="22"/>
        <v>3</v>
      </c>
      <c r="M509" t="s">
        <v>59</v>
      </c>
      <c r="N509" t="s">
        <v>1148</v>
      </c>
      <c r="O509" s="4">
        <v>0.7</v>
      </c>
      <c r="P509" s="16">
        <f t="shared" si="23"/>
        <v>138.852</v>
      </c>
      <c r="Q509" s="2">
        <v>138.85</v>
      </c>
      <c r="R509" s="2">
        <v>0</v>
      </c>
      <c r="S509" s="2">
        <v>0</v>
      </c>
      <c r="T509" t="s">
        <v>445</v>
      </c>
    </row>
    <row r="510" spans="1:20" x14ac:dyDescent="0.25">
      <c r="A510">
        <v>2029878252</v>
      </c>
      <c r="B510" t="s">
        <v>924</v>
      </c>
      <c r="C510" t="s">
        <v>171</v>
      </c>
      <c r="D510" s="6" t="str">
        <f t="shared" si="21"/>
        <v>JACOB DEUSER</v>
      </c>
      <c r="E510" t="s">
        <v>445</v>
      </c>
      <c r="F510">
        <v>19396223</v>
      </c>
      <c r="G510" t="s">
        <v>1133</v>
      </c>
      <c r="H510" t="s">
        <v>56</v>
      </c>
      <c r="I510" s="1">
        <v>45853</v>
      </c>
      <c r="J510" s="1">
        <v>45945</v>
      </c>
      <c r="K510" s="2">
        <v>39.25</v>
      </c>
      <c r="L510">
        <f t="shared" si="22"/>
        <v>3</v>
      </c>
      <c r="M510" t="s">
        <v>59</v>
      </c>
      <c r="N510" t="s">
        <v>1148</v>
      </c>
      <c r="O510" s="4">
        <v>0.7</v>
      </c>
      <c r="P510" s="16">
        <f t="shared" si="23"/>
        <v>27.474999999999998</v>
      </c>
      <c r="Q510" s="2">
        <v>27.48</v>
      </c>
      <c r="R510" s="2">
        <v>0</v>
      </c>
      <c r="S510" s="2">
        <v>0</v>
      </c>
      <c r="T510" t="s">
        <v>445</v>
      </c>
    </row>
    <row r="511" spans="1:20" x14ac:dyDescent="0.25">
      <c r="A511">
        <v>2030064158</v>
      </c>
      <c r="B511" t="s">
        <v>390</v>
      </c>
      <c r="C511" t="s">
        <v>391</v>
      </c>
      <c r="D511" s="6" t="str">
        <f t="shared" si="21"/>
        <v>DAWSON EDDIE</v>
      </c>
      <c r="E511" t="s">
        <v>445</v>
      </c>
      <c r="F511">
        <v>8977234</v>
      </c>
      <c r="G511" t="s">
        <v>1078</v>
      </c>
      <c r="H511" t="s">
        <v>56</v>
      </c>
      <c r="I511" s="1">
        <v>45860</v>
      </c>
      <c r="J511" s="1">
        <v>45952</v>
      </c>
      <c r="K511" s="2">
        <v>14.72</v>
      </c>
      <c r="L511">
        <f t="shared" si="22"/>
        <v>3</v>
      </c>
      <c r="M511" t="s">
        <v>59</v>
      </c>
      <c r="N511" t="s">
        <v>1148</v>
      </c>
      <c r="O511" s="4">
        <v>0.7</v>
      </c>
      <c r="P511" s="16">
        <f t="shared" si="23"/>
        <v>10.304</v>
      </c>
      <c r="Q511" s="2">
        <v>10.3</v>
      </c>
      <c r="R511" s="2">
        <v>0</v>
      </c>
      <c r="S511" s="2">
        <v>0</v>
      </c>
      <c r="T511" t="s">
        <v>445</v>
      </c>
    </row>
    <row r="512" spans="1:20" x14ac:dyDescent="0.25">
      <c r="A512">
        <v>2029951220</v>
      </c>
      <c r="B512" t="s">
        <v>919</v>
      </c>
      <c r="C512" t="s">
        <v>918</v>
      </c>
      <c r="D512" s="6" t="str">
        <f t="shared" si="21"/>
        <v>DARBRA HERRICK</v>
      </c>
      <c r="E512" t="s">
        <v>445</v>
      </c>
      <c r="F512">
        <v>8977234</v>
      </c>
      <c r="G512" t="s">
        <v>1078</v>
      </c>
      <c r="H512" t="s">
        <v>56</v>
      </c>
      <c r="I512" s="1">
        <v>45853</v>
      </c>
      <c r="J512" s="1">
        <v>45945</v>
      </c>
      <c r="K512" s="2">
        <v>125.48</v>
      </c>
      <c r="L512">
        <f t="shared" si="22"/>
        <v>3</v>
      </c>
      <c r="M512" t="s">
        <v>59</v>
      </c>
      <c r="N512" t="s">
        <v>1148</v>
      </c>
      <c r="O512" s="4">
        <v>0.7</v>
      </c>
      <c r="P512" s="16">
        <f t="shared" si="23"/>
        <v>87.835999999999999</v>
      </c>
      <c r="Q512" s="2">
        <v>87.84</v>
      </c>
      <c r="R512" s="2">
        <v>0</v>
      </c>
      <c r="S512" s="2">
        <v>0</v>
      </c>
      <c r="T512" t="s">
        <v>445</v>
      </c>
    </row>
    <row r="513" spans="1:20" x14ac:dyDescent="0.25">
      <c r="A513">
        <v>2029971479</v>
      </c>
      <c r="B513" t="s">
        <v>829</v>
      </c>
      <c r="C513" t="s">
        <v>179</v>
      </c>
      <c r="D513" s="6" t="str">
        <f t="shared" si="21"/>
        <v>TIMOTHY HODGMAN</v>
      </c>
      <c r="E513" t="s">
        <v>445</v>
      </c>
      <c r="F513">
        <v>18581063</v>
      </c>
      <c r="G513" t="s">
        <v>1132</v>
      </c>
      <c r="H513" t="s">
        <v>56</v>
      </c>
      <c r="I513" s="1">
        <v>45854</v>
      </c>
      <c r="J513" s="1">
        <v>45946</v>
      </c>
      <c r="K513" s="2">
        <v>15.75</v>
      </c>
      <c r="L513">
        <f t="shared" si="22"/>
        <v>3</v>
      </c>
      <c r="M513" t="s">
        <v>59</v>
      </c>
      <c r="N513" t="s">
        <v>1148</v>
      </c>
      <c r="O513" s="4">
        <v>0.7</v>
      </c>
      <c r="P513" s="16">
        <f t="shared" si="23"/>
        <v>11.024999999999999</v>
      </c>
      <c r="Q513" s="2">
        <v>11.02</v>
      </c>
      <c r="R513" s="2">
        <v>0</v>
      </c>
      <c r="S513" s="2">
        <v>0</v>
      </c>
      <c r="T513" t="s">
        <v>445</v>
      </c>
    </row>
    <row r="514" spans="1:20" x14ac:dyDescent="0.25">
      <c r="A514">
        <v>2030105690</v>
      </c>
      <c r="B514" t="s">
        <v>277</v>
      </c>
      <c r="C514" t="s">
        <v>278</v>
      </c>
      <c r="D514" s="6" t="str">
        <f t="shared" ref="D514:D577" si="24">CONCATENATE(C514, " ",B514)</f>
        <v>NEUMEISTER JAMES</v>
      </c>
      <c r="E514" t="s">
        <v>445</v>
      </c>
      <c r="F514">
        <v>20003537</v>
      </c>
      <c r="G514" t="s">
        <v>1102</v>
      </c>
      <c r="H514" t="s">
        <v>56</v>
      </c>
      <c r="I514" s="1">
        <v>45862</v>
      </c>
      <c r="J514" s="1">
        <v>45954</v>
      </c>
      <c r="K514" s="2">
        <v>245.95</v>
      </c>
      <c r="L514">
        <f t="shared" ref="L514:L577" si="25">DATEDIF(I514,J514,"M")</f>
        <v>3</v>
      </c>
      <c r="M514" t="s">
        <v>59</v>
      </c>
      <c r="N514" t="s">
        <v>1148</v>
      </c>
      <c r="O514" s="4">
        <v>0.7</v>
      </c>
      <c r="P514" s="16">
        <f t="shared" ref="P514:P577" si="26">K514*O514</f>
        <v>172.16499999999999</v>
      </c>
      <c r="Q514" s="2">
        <v>172.16</v>
      </c>
      <c r="R514" s="2">
        <v>0</v>
      </c>
      <c r="S514" s="2">
        <v>0</v>
      </c>
      <c r="T514" t="s">
        <v>445</v>
      </c>
    </row>
    <row r="515" spans="1:20" x14ac:dyDescent="0.25">
      <c r="A515">
        <v>2030091896</v>
      </c>
      <c r="B515" t="s">
        <v>392</v>
      </c>
      <c r="C515" t="s">
        <v>393</v>
      </c>
      <c r="D515" s="6" t="str">
        <f t="shared" si="24"/>
        <v>BROWN KEYERICA</v>
      </c>
      <c r="E515" t="s">
        <v>445</v>
      </c>
      <c r="F515">
        <v>8977234</v>
      </c>
      <c r="G515" t="s">
        <v>1078</v>
      </c>
      <c r="H515" t="s">
        <v>56</v>
      </c>
      <c r="I515" s="1">
        <v>45861</v>
      </c>
      <c r="J515" s="1">
        <v>45953</v>
      </c>
      <c r="K515" s="2">
        <v>14.72</v>
      </c>
      <c r="L515">
        <f t="shared" si="25"/>
        <v>3</v>
      </c>
      <c r="M515" t="s">
        <v>59</v>
      </c>
      <c r="N515" t="s">
        <v>1148</v>
      </c>
      <c r="O515" s="4">
        <v>0.7</v>
      </c>
      <c r="P515" s="16">
        <f t="shared" si="26"/>
        <v>10.304</v>
      </c>
      <c r="Q515" s="2">
        <v>10.3</v>
      </c>
      <c r="R515" s="2">
        <v>0</v>
      </c>
      <c r="S515" s="2">
        <v>0</v>
      </c>
      <c r="T515" t="s">
        <v>445</v>
      </c>
    </row>
    <row r="516" spans="1:20" x14ac:dyDescent="0.25">
      <c r="A516">
        <v>2029951924</v>
      </c>
      <c r="B516" t="s">
        <v>164</v>
      </c>
      <c r="C516" t="s">
        <v>835</v>
      </c>
      <c r="D516" s="6" t="str">
        <f t="shared" si="24"/>
        <v>URIEL MARTINEZ</v>
      </c>
      <c r="E516" t="s">
        <v>445</v>
      </c>
      <c r="F516">
        <v>19396223</v>
      </c>
      <c r="G516" t="s">
        <v>1133</v>
      </c>
      <c r="H516" t="s">
        <v>56</v>
      </c>
      <c r="I516" s="1">
        <v>45853</v>
      </c>
      <c r="J516" s="1">
        <v>45945</v>
      </c>
      <c r="K516" s="2">
        <v>41.5</v>
      </c>
      <c r="L516">
        <f t="shared" si="25"/>
        <v>3</v>
      </c>
      <c r="M516" t="s">
        <v>59</v>
      </c>
      <c r="N516" t="s">
        <v>1148</v>
      </c>
      <c r="O516" s="4">
        <v>0.7</v>
      </c>
      <c r="P516" s="16">
        <f t="shared" si="26"/>
        <v>29.049999999999997</v>
      </c>
      <c r="Q516" s="2">
        <v>29.05</v>
      </c>
      <c r="R516" s="2">
        <v>0</v>
      </c>
      <c r="S516" s="2">
        <v>0</v>
      </c>
      <c r="T516" t="s">
        <v>445</v>
      </c>
    </row>
    <row r="517" spans="1:20" x14ac:dyDescent="0.25">
      <c r="A517">
        <v>2030125457</v>
      </c>
      <c r="B517" t="s">
        <v>396</v>
      </c>
      <c r="C517" t="s">
        <v>397</v>
      </c>
      <c r="D517" s="6" t="str">
        <f t="shared" si="24"/>
        <v>EVERS MATHEW</v>
      </c>
      <c r="E517" t="s">
        <v>445</v>
      </c>
      <c r="F517">
        <v>20003537</v>
      </c>
      <c r="G517" t="s">
        <v>1102</v>
      </c>
      <c r="H517" t="s">
        <v>56</v>
      </c>
      <c r="I517" s="1">
        <v>45863</v>
      </c>
      <c r="J517" s="1">
        <v>45955</v>
      </c>
      <c r="K517" s="2">
        <v>13</v>
      </c>
      <c r="L517">
        <f t="shared" si="25"/>
        <v>3</v>
      </c>
      <c r="M517" t="s">
        <v>59</v>
      </c>
      <c r="N517" t="s">
        <v>1148</v>
      </c>
      <c r="O517" s="4">
        <v>0.7</v>
      </c>
      <c r="P517" s="16">
        <f t="shared" si="26"/>
        <v>9.1</v>
      </c>
      <c r="Q517" s="2">
        <v>9.1</v>
      </c>
      <c r="R517" s="2">
        <v>0</v>
      </c>
      <c r="S517" s="2">
        <v>0</v>
      </c>
      <c r="T517" t="s">
        <v>445</v>
      </c>
    </row>
    <row r="518" spans="1:20" x14ac:dyDescent="0.25">
      <c r="A518">
        <v>2030085143</v>
      </c>
      <c r="B518" t="s">
        <v>217</v>
      </c>
      <c r="C518" t="s">
        <v>218</v>
      </c>
      <c r="D518" s="6" t="str">
        <f t="shared" si="24"/>
        <v>GARRARD NOREEN</v>
      </c>
      <c r="E518" t="s">
        <v>445</v>
      </c>
      <c r="F518">
        <v>8977234</v>
      </c>
      <c r="G518" t="s">
        <v>1078</v>
      </c>
      <c r="H518" t="s">
        <v>56</v>
      </c>
      <c r="I518" s="1">
        <v>45861</v>
      </c>
      <c r="J518" s="1">
        <v>45953</v>
      </c>
      <c r="K518" s="2">
        <v>153.9</v>
      </c>
      <c r="L518">
        <f t="shared" si="25"/>
        <v>3</v>
      </c>
      <c r="M518" t="s">
        <v>59</v>
      </c>
      <c r="N518" t="s">
        <v>1148</v>
      </c>
      <c r="O518" s="4">
        <v>0.7</v>
      </c>
      <c r="P518" s="16">
        <f t="shared" si="26"/>
        <v>107.73</v>
      </c>
      <c r="Q518" s="2">
        <v>107.73</v>
      </c>
      <c r="R518" s="2">
        <v>0</v>
      </c>
      <c r="S518" s="2">
        <v>0</v>
      </c>
      <c r="T518" t="s">
        <v>445</v>
      </c>
    </row>
    <row r="519" spans="1:20" x14ac:dyDescent="0.25">
      <c r="A519">
        <v>2029935514</v>
      </c>
      <c r="B519" t="s">
        <v>922</v>
      </c>
      <c r="C519" t="s">
        <v>921</v>
      </c>
      <c r="D519" s="6" t="str">
        <f t="shared" si="24"/>
        <v>TERRIE PALAZZO</v>
      </c>
      <c r="E519" t="s">
        <v>445</v>
      </c>
      <c r="F519">
        <v>18581063</v>
      </c>
      <c r="G519" t="s">
        <v>1132</v>
      </c>
      <c r="H519" t="s">
        <v>56</v>
      </c>
      <c r="I519" s="1">
        <v>45853</v>
      </c>
      <c r="J519" s="1">
        <v>45945</v>
      </c>
      <c r="K519" s="2">
        <v>155.81</v>
      </c>
      <c r="L519">
        <f t="shared" si="25"/>
        <v>3</v>
      </c>
      <c r="M519" t="s">
        <v>59</v>
      </c>
      <c r="N519" t="s">
        <v>1148</v>
      </c>
      <c r="O519" s="4">
        <v>0.7</v>
      </c>
      <c r="P519" s="16">
        <f t="shared" si="26"/>
        <v>109.06699999999999</v>
      </c>
      <c r="Q519" s="2">
        <v>109.07</v>
      </c>
      <c r="R519" s="2">
        <v>0</v>
      </c>
      <c r="S519" s="2">
        <v>0</v>
      </c>
      <c r="T519" t="s">
        <v>445</v>
      </c>
    </row>
    <row r="520" spans="1:20" x14ac:dyDescent="0.25">
      <c r="A520">
        <v>2030008353</v>
      </c>
      <c r="B520" t="s">
        <v>905</v>
      </c>
      <c r="C520" t="s">
        <v>554</v>
      </c>
      <c r="D520" s="6" t="str">
        <f t="shared" si="24"/>
        <v>YVETTE POPE</v>
      </c>
      <c r="E520" t="s">
        <v>445</v>
      </c>
      <c r="F520">
        <v>8977234</v>
      </c>
      <c r="G520" t="s">
        <v>1078</v>
      </c>
      <c r="H520" t="s">
        <v>56</v>
      </c>
      <c r="I520" s="1">
        <v>45856</v>
      </c>
      <c r="J520" s="1">
        <v>45948</v>
      </c>
      <c r="K520" s="2">
        <v>31.28</v>
      </c>
      <c r="L520">
        <f t="shared" si="25"/>
        <v>3</v>
      </c>
      <c r="M520" t="s">
        <v>59</v>
      </c>
      <c r="N520" t="s">
        <v>1148</v>
      </c>
      <c r="O520" s="4">
        <v>0.7</v>
      </c>
      <c r="P520" s="16">
        <f t="shared" si="26"/>
        <v>21.896000000000001</v>
      </c>
      <c r="Q520" s="2">
        <v>21.9</v>
      </c>
      <c r="R520" s="2">
        <v>0</v>
      </c>
      <c r="S520" s="2">
        <v>0</v>
      </c>
      <c r="T520" t="s">
        <v>445</v>
      </c>
    </row>
    <row r="521" spans="1:20" x14ac:dyDescent="0.25">
      <c r="A521">
        <v>2029989667</v>
      </c>
      <c r="B521" t="s">
        <v>824</v>
      </c>
      <c r="C521" t="s">
        <v>823</v>
      </c>
      <c r="D521" s="6" t="str">
        <f t="shared" si="24"/>
        <v>ZACHARY PUGH</v>
      </c>
      <c r="E521" t="s">
        <v>445</v>
      </c>
      <c r="F521">
        <v>9213293</v>
      </c>
      <c r="G521" t="s">
        <v>1086</v>
      </c>
      <c r="H521" t="s">
        <v>56</v>
      </c>
      <c r="I521" s="1">
        <v>45855</v>
      </c>
      <c r="J521" s="1">
        <v>45947</v>
      </c>
      <c r="K521" s="2">
        <v>13</v>
      </c>
      <c r="L521">
        <f t="shared" si="25"/>
        <v>3</v>
      </c>
      <c r="M521" t="s">
        <v>59</v>
      </c>
      <c r="N521" t="s">
        <v>1148</v>
      </c>
      <c r="O521" s="4">
        <v>0.7</v>
      </c>
      <c r="P521" s="16">
        <f t="shared" si="26"/>
        <v>9.1</v>
      </c>
      <c r="Q521" s="2">
        <v>9.1</v>
      </c>
      <c r="R521" s="2">
        <v>0</v>
      </c>
      <c r="S521" s="2">
        <v>0</v>
      </c>
      <c r="T521" t="s">
        <v>445</v>
      </c>
    </row>
    <row r="522" spans="1:20" x14ac:dyDescent="0.25">
      <c r="A522">
        <v>2029434655</v>
      </c>
      <c r="B522" t="s">
        <v>930</v>
      </c>
      <c r="C522" t="s">
        <v>760</v>
      </c>
      <c r="D522" s="6" t="str">
        <f t="shared" si="24"/>
        <v>KATHERINE BALLARD</v>
      </c>
      <c r="E522" t="s">
        <v>445</v>
      </c>
      <c r="F522">
        <v>18754354</v>
      </c>
      <c r="G522" t="s">
        <v>1108</v>
      </c>
      <c r="H522" t="s">
        <v>56</v>
      </c>
      <c r="I522" s="1">
        <v>45821</v>
      </c>
      <c r="J522" s="1">
        <v>45943</v>
      </c>
      <c r="K522" s="2">
        <v>83.79</v>
      </c>
      <c r="L522">
        <f t="shared" si="25"/>
        <v>4</v>
      </c>
      <c r="M522" t="s">
        <v>59</v>
      </c>
      <c r="N522" t="s">
        <v>1148</v>
      </c>
      <c r="O522" s="4">
        <v>0.7</v>
      </c>
      <c r="P522" s="16">
        <f t="shared" si="26"/>
        <v>58.652999999999999</v>
      </c>
      <c r="Q522" s="2">
        <v>58.65</v>
      </c>
      <c r="R522" s="2">
        <v>0</v>
      </c>
      <c r="S522" s="2">
        <v>0</v>
      </c>
      <c r="T522" t="s">
        <v>445</v>
      </c>
    </row>
    <row r="523" spans="1:20" x14ac:dyDescent="0.25">
      <c r="A523">
        <v>2029410874</v>
      </c>
      <c r="B523" t="s">
        <v>934</v>
      </c>
      <c r="C523" t="s">
        <v>933</v>
      </c>
      <c r="D523" s="6" t="str">
        <f t="shared" si="24"/>
        <v>LESSIE CHESTER</v>
      </c>
      <c r="E523" t="s">
        <v>445</v>
      </c>
      <c r="F523">
        <v>21435997</v>
      </c>
      <c r="G523" t="s">
        <v>1138</v>
      </c>
      <c r="H523" t="s">
        <v>56</v>
      </c>
      <c r="I523" s="1">
        <v>45821</v>
      </c>
      <c r="J523" s="1">
        <v>45943</v>
      </c>
      <c r="K523" s="2">
        <v>48.76</v>
      </c>
      <c r="L523">
        <f t="shared" si="25"/>
        <v>4</v>
      </c>
      <c r="M523" t="s">
        <v>59</v>
      </c>
      <c r="N523" t="s">
        <v>1148</v>
      </c>
      <c r="O523" s="4">
        <v>0.7</v>
      </c>
      <c r="P523" s="16">
        <f t="shared" si="26"/>
        <v>34.131999999999998</v>
      </c>
      <c r="Q523" s="2">
        <v>34.130000000000003</v>
      </c>
      <c r="R523" s="2">
        <v>0</v>
      </c>
      <c r="S523" s="2">
        <v>0</v>
      </c>
      <c r="T523" t="s">
        <v>445</v>
      </c>
    </row>
    <row r="524" spans="1:20" x14ac:dyDescent="0.25">
      <c r="A524">
        <v>2029292529</v>
      </c>
      <c r="B524" t="s">
        <v>938</v>
      </c>
      <c r="C524" t="s">
        <v>937</v>
      </c>
      <c r="D524" s="6" t="str">
        <f t="shared" si="24"/>
        <v>MORGAN DOWDING</v>
      </c>
      <c r="E524" t="s">
        <v>445</v>
      </c>
      <c r="F524">
        <v>8977234</v>
      </c>
      <c r="G524" t="s">
        <v>1078</v>
      </c>
      <c r="H524" t="s">
        <v>56</v>
      </c>
      <c r="I524" s="1">
        <v>45821</v>
      </c>
      <c r="J524" s="1">
        <v>45943</v>
      </c>
      <c r="K524" s="2">
        <v>94.38</v>
      </c>
      <c r="L524">
        <f t="shared" si="25"/>
        <v>4</v>
      </c>
      <c r="M524" t="s">
        <v>59</v>
      </c>
      <c r="N524" t="s">
        <v>1148</v>
      </c>
      <c r="O524" s="4">
        <v>0.7</v>
      </c>
      <c r="P524" s="16">
        <f t="shared" si="26"/>
        <v>66.065999999999988</v>
      </c>
      <c r="Q524" s="2">
        <v>66.069999999999993</v>
      </c>
      <c r="R524" s="2">
        <v>0</v>
      </c>
      <c r="S524" s="2">
        <v>0</v>
      </c>
      <c r="T524" t="s">
        <v>445</v>
      </c>
    </row>
    <row r="525" spans="1:20" x14ac:dyDescent="0.25">
      <c r="A525">
        <v>2028840698</v>
      </c>
      <c r="B525" t="s">
        <v>622</v>
      </c>
      <c r="C525" t="s">
        <v>163</v>
      </c>
      <c r="D525" s="6" t="str">
        <f t="shared" si="24"/>
        <v>JORDAN HOLSENDOLPH</v>
      </c>
      <c r="E525" t="s">
        <v>445</v>
      </c>
      <c r="F525">
        <v>8977234</v>
      </c>
      <c r="G525" t="s">
        <v>1078</v>
      </c>
      <c r="H525" t="s">
        <v>230</v>
      </c>
      <c r="I525" s="1">
        <v>45809</v>
      </c>
      <c r="J525" s="1">
        <v>45931</v>
      </c>
      <c r="K525" s="2">
        <v>-19.86</v>
      </c>
      <c r="L525">
        <f t="shared" si="25"/>
        <v>4</v>
      </c>
      <c r="M525" t="s">
        <v>59</v>
      </c>
      <c r="N525" t="s">
        <v>1148</v>
      </c>
      <c r="O525" s="4">
        <v>0.7</v>
      </c>
      <c r="P525" s="16">
        <f t="shared" si="26"/>
        <v>-13.901999999999999</v>
      </c>
      <c r="Q525" s="2">
        <v>0</v>
      </c>
      <c r="R525" s="2">
        <v>-13.9</v>
      </c>
      <c r="S525" s="2">
        <v>-13.9</v>
      </c>
      <c r="T525" t="s">
        <v>445</v>
      </c>
    </row>
    <row r="526" spans="1:20" x14ac:dyDescent="0.25">
      <c r="A526">
        <v>2029185272</v>
      </c>
      <c r="B526" t="s">
        <v>940</v>
      </c>
      <c r="C526" t="s">
        <v>939</v>
      </c>
      <c r="D526" s="6" t="str">
        <f t="shared" si="24"/>
        <v>JILL MCKEE</v>
      </c>
      <c r="E526" t="s">
        <v>445</v>
      </c>
      <c r="F526">
        <v>8977234</v>
      </c>
      <c r="G526" t="s">
        <v>1078</v>
      </c>
      <c r="H526" t="s">
        <v>56</v>
      </c>
      <c r="I526" s="1">
        <v>45825</v>
      </c>
      <c r="J526" s="1">
        <v>45947</v>
      </c>
      <c r="K526" s="2">
        <v>10.82</v>
      </c>
      <c r="L526">
        <f t="shared" si="25"/>
        <v>4</v>
      </c>
      <c r="M526" t="s">
        <v>59</v>
      </c>
      <c r="N526" t="s">
        <v>1148</v>
      </c>
      <c r="O526" s="4">
        <v>0.7</v>
      </c>
      <c r="P526" s="16">
        <f t="shared" si="26"/>
        <v>7.5739999999999998</v>
      </c>
      <c r="Q526" s="2">
        <v>7.57</v>
      </c>
      <c r="R526" s="2">
        <v>0</v>
      </c>
      <c r="S526" s="2">
        <v>0</v>
      </c>
      <c r="T526" t="s">
        <v>445</v>
      </c>
    </row>
    <row r="527" spans="1:20" x14ac:dyDescent="0.25">
      <c r="A527">
        <v>2028963883</v>
      </c>
      <c r="B527" t="s">
        <v>375</v>
      </c>
      <c r="C527" t="s">
        <v>376</v>
      </c>
      <c r="D527" s="6" t="str">
        <f t="shared" si="24"/>
        <v>YOSELYN ALBIZUREZ</v>
      </c>
      <c r="E527" t="s">
        <v>445</v>
      </c>
      <c r="F527">
        <v>9213293</v>
      </c>
      <c r="G527" t="s">
        <v>1086</v>
      </c>
      <c r="H527" t="s">
        <v>56</v>
      </c>
      <c r="I527" s="1">
        <v>45801</v>
      </c>
      <c r="J527" s="1">
        <v>45954</v>
      </c>
      <c r="K527" s="2">
        <v>42.38</v>
      </c>
      <c r="L527">
        <f t="shared" si="25"/>
        <v>5</v>
      </c>
      <c r="M527" t="s">
        <v>59</v>
      </c>
      <c r="N527" t="s">
        <v>1148</v>
      </c>
      <c r="O527" s="4">
        <v>0.7</v>
      </c>
      <c r="P527" s="16">
        <f t="shared" si="26"/>
        <v>29.666</v>
      </c>
      <c r="Q527" s="2">
        <v>29.67</v>
      </c>
      <c r="R527" s="2">
        <v>0</v>
      </c>
      <c r="S527" s="2">
        <v>0</v>
      </c>
      <c r="T527" t="s">
        <v>445</v>
      </c>
    </row>
    <row r="528" spans="1:20" x14ac:dyDescent="0.25">
      <c r="A528">
        <v>2028338805</v>
      </c>
      <c r="B528" t="s">
        <v>872</v>
      </c>
      <c r="C528" t="s">
        <v>349</v>
      </c>
      <c r="D528" s="6" t="str">
        <f t="shared" si="24"/>
        <v>DAVID BITTERMAN</v>
      </c>
      <c r="E528" t="s">
        <v>445</v>
      </c>
      <c r="F528">
        <v>8977234</v>
      </c>
      <c r="G528" t="s">
        <v>1078</v>
      </c>
      <c r="H528" t="s">
        <v>56</v>
      </c>
      <c r="I528" s="1">
        <v>45778</v>
      </c>
      <c r="J528" s="1">
        <v>45931</v>
      </c>
      <c r="K528" s="2">
        <v>99</v>
      </c>
      <c r="L528">
        <f t="shared" si="25"/>
        <v>5</v>
      </c>
      <c r="M528" t="s">
        <v>59</v>
      </c>
      <c r="N528" t="s">
        <v>1148</v>
      </c>
      <c r="O528" s="4">
        <v>0.7</v>
      </c>
      <c r="P528" s="16">
        <f t="shared" si="26"/>
        <v>69.3</v>
      </c>
      <c r="Q528" s="2">
        <v>0</v>
      </c>
      <c r="R528" s="2">
        <v>69.3</v>
      </c>
      <c r="S528" s="2">
        <v>69.3</v>
      </c>
      <c r="T528" t="s">
        <v>445</v>
      </c>
    </row>
    <row r="529" spans="1:20" x14ac:dyDescent="0.25">
      <c r="A529">
        <v>2028937325</v>
      </c>
      <c r="B529" t="s">
        <v>954</v>
      </c>
      <c r="C529" t="s">
        <v>953</v>
      </c>
      <c r="D529" s="6" t="str">
        <f t="shared" si="24"/>
        <v>CODY BURNS</v>
      </c>
      <c r="E529" t="s">
        <v>445</v>
      </c>
      <c r="F529">
        <v>20003537</v>
      </c>
      <c r="G529" t="s">
        <v>1102</v>
      </c>
      <c r="H529" t="s">
        <v>56</v>
      </c>
      <c r="I529" s="1">
        <v>45792</v>
      </c>
      <c r="J529" s="1">
        <v>45945</v>
      </c>
      <c r="K529" s="2">
        <v>163.43</v>
      </c>
      <c r="L529">
        <f t="shared" si="25"/>
        <v>5</v>
      </c>
      <c r="M529" t="s">
        <v>59</v>
      </c>
      <c r="N529" t="s">
        <v>1148</v>
      </c>
      <c r="O529" s="4">
        <v>0.7</v>
      </c>
      <c r="P529" s="16">
        <f t="shared" si="26"/>
        <v>114.401</v>
      </c>
      <c r="Q529" s="2">
        <v>0</v>
      </c>
      <c r="R529" s="2">
        <v>114.4</v>
      </c>
      <c r="S529" s="2">
        <v>114.4</v>
      </c>
      <c r="T529" t="s">
        <v>445</v>
      </c>
    </row>
    <row r="530" spans="1:20" x14ac:dyDescent="0.25">
      <c r="A530">
        <v>2028992069</v>
      </c>
      <c r="B530" t="s">
        <v>185</v>
      </c>
      <c r="C530" t="s">
        <v>55</v>
      </c>
      <c r="D530" s="6" t="str">
        <f t="shared" si="24"/>
        <v>SCOTT CROWE</v>
      </c>
      <c r="E530" t="s">
        <v>445</v>
      </c>
      <c r="F530">
        <v>1706194</v>
      </c>
      <c r="G530" t="s">
        <v>1105</v>
      </c>
      <c r="H530" t="s">
        <v>56</v>
      </c>
      <c r="I530" s="1">
        <v>45799</v>
      </c>
      <c r="J530" s="1">
        <v>45952</v>
      </c>
      <c r="K530" s="2">
        <v>9.0500000000000007</v>
      </c>
      <c r="L530">
        <f t="shared" si="25"/>
        <v>5</v>
      </c>
      <c r="M530" t="s">
        <v>59</v>
      </c>
      <c r="N530" t="s">
        <v>1148</v>
      </c>
      <c r="O530" s="4">
        <v>0.7</v>
      </c>
      <c r="P530" s="16">
        <f t="shared" si="26"/>
        <v>6.335</v>
      </c>
      <c r="Q530" s="2">
        <v>6.34</v>
      </c>
      <c r="R530" s="2">
        <v>0</v>
      </c>
      <c r="S530" s="2">
        <v>0</v>
      </c>
      <c r="T530" t="s">
        <v>445</v>
      </c>
    </row>
    <row r="531" spans="1:20" x14ac:dyDescent="0.25">
      <c r="A531">
        <v>2028881458</v>
      </c>
      <c r="B531" t="s">
        <v>850</v>
      </c>
      <c r="C531" t="s">
        <v>967</v>
      </c>
      <c r="D531" s="6" t="str">
        <f t="shared" si="24"/>
        <v>NORA DANIEL</v>
      </c>
      <c r="E531" t="s">
        <v>445</v>
      </c>
      <c r="F531">
        <v>9213293</v>
      </c>
      <c r="G531" t="s">
        <v>1086</v>
      </c>
      <c r="H531" t="s">
        <v>56</v>
      </c>
      <c r="I531" s="1">
        <v>45793</v>
      </c>
      <c r="J531" s="1">
        <v>45946</v>
      </c>
      <c r="K531" s="2">
        <v>27.19</v>
      </c>
      <c r="L531">
        <f t="shared" si="25"/>
        <v>5</v>
      </c>
      <c r="M531" t="s">
        <v>59</v>
      </c>
      <c r="N531" t="s">
        <v>1148</v>
      </c>
      <c r="O531" s="4">
        <v>0.7</v>
      </c>
      <c r="P531" s="16">
        <f t="shared" si="26"/>
        <v>19.033000000000001</v>
      </c>
      <c r="Q531" s="2">
        <v>0</v>
      </c>
      <c r="R531" s="2">
        <v>19.03</v>
      </c>
      <c r="S531" s="2">
        <v>19.03</v>
      </c>
      <c r="T531" t="s">
        <v>445</v>
      </c>
    </row>
    <row r="532" spans="1:20" x14ac:dyDescent="0.25">
      <c r="A532">
        <v>2029112078</v>
      </c>
      <c r="B532" t="s">
        <v>513</v>
      </c>
      <c r="C532" t="s">
        <v>514</v>
      </c>
      <c r="D532" s="6" t="str">
        <f t="shared" si="24"/>
        <v>JUDITH DEQUAKER</v>
      </c>
      <c r="E532" t="s">
        <v>445</v>
      </c>
      <c r="F532">
        <v>9213293</v>
      </c>
      <c r="G532" t="s">
        <v>1086</v>
      </c>
      <c r="H532" t="s">
        <v>56</v>
      </c>
      <c r="I532" s="1">
        <v>45802</v>
      </c>
      <c r="J532" s="1">
        <v>45955</v>
      </c>
      <c r="K532" s="2">
        <v>46.08</v>
      </c>
      <c r="L532">
        <f t="shared" si="25"/>
        <v>5</v>
      </c>
      <c r="M532" t="s">
        <v>59</v>
      </c>
      <c r="N532" t="s">
        <v>1148</v>
      </c>
      <c r="O532" s="4">
        <v>0.7</v>
      </c>
      <c r="P532" s="16">
        <f t="shared" si="26"/>
        <v>32.256</v>
      </c>
      <c r="Q532" s="2">
        <v>32.26</v>
      </c>
      <c r="R532" s="2">
        <v>0</v>
      </c>
      <c r="S532" s="2">
        <v>0</v>
      </c>
      <c r="T532" t="s">
        <v>445</v>
      </c>
    </row>
    <row r="533" spans="1:20" x14ac:dyDescent="0.25">
      <c r="A533">
        <v>2029038486</v>
      </c>
      <c r="B533" t="s">
        <v>186</v>
      </c>
      <c r="C533" t="s">
        <v>187</v>
      </c>
      <c r="D533" s="6" t="str">
        <f t="shared" si="24"/>
        <v>SEAN HANAFI</v>
      </c>
      <c r="E533" t="s">
        <v>445</v>
      </c>
      <c r="F533">
        <v>8977234</v>
      </c>
      <c r="G533" t="s">
        <v>1078</v>
      </c>
      <c r="H533" t="s">
        <v>56</v>
      </c>
      <c r="I533" s="1">
        <v>45798</v>
      </c>
      <c r="J533" s="1">
        <v>45951</v>
      </c>
      <c r="K533" s="2">
        <v>61.99</v>
      </c>
      <c r="L533">
        <f t="shared" si="25"/>
        <v>5</v>
      </c>
      <c r="M533" t="s">
        <v>59</v>
      </c>
      <c r="N533" t="s">
        <v>1148</v>
      </c>
      <c r="O533" s="4">
        <v>0.7</v>
      </c>
      <c r="P533" s="16">
        <f t="shared" si="26"/>
        <v>43.393000000000001</v>
      </c>
      <c r="Q533" s="2">
        <v>43.39</v>
      </c>
      <c r="R533" s="2">
        <v>0</v>
      </c>
      <c r="S533" s="2">
        <v>0</v>
      </c>
      <c r="T533" t="s">
        <v>445</v>
      </c>
    </row>
    <row r="534" spans="1:20" x14ac:dyDescent="0.25">
      <c r="A534">
        <v>2028782159</v>
      </c>
      <c r="B534" t="s">
        <v>969</v>
      </c>
      <c r="C534" t="s">
        <v>968</v>
      </c>
      <c r="D534" s="6" t="str">
        <f t="shared" si="24"/>
        <v>LESLIE KEE</v>
      </c>
      <c r="E534" t="s">
        <v>445</v>
      </c>
      <c r="F534">
        <v>21435997</v>
      </c>
      <c r="G534" t="s">
        <v>1138</v>
      </c>
      <c r="H534" t="s">
        <v>56</v>
      </c>
      <c r="I534" s="1">
        <v>45792</v>
      </c>
      <c r="J534" s="1">
        <v>45945</v>
      </c>
      <c r="K534" s="2">
        <v>48.76</v>
      </c>
      <c r="L534">
        <f t="shared" si="25"/>
        <v>5</v>
      </c>
      <c r="M534" t="s">
        <v>59</v>
      </c>
      <c r="N534" t="s">
        <v>1148</v>
      </c>
      <c r="O534" s="4">
        <v>0.7</v>
      </c>
      <c r="P534" s="16">
        <f t="shared" si="26"/>
        <v>34.131999999999998</v>
      </c>
      <c r="Q534" s="2">
        <v>0</v>
      </c>
      <c r="R534" s="2">
        <v>34.130000000000003</v>
      </c>
      <c r="S534" s="2">
        <v>34.130000000000003</v>
      </c>
      <c r="T534" t="s">
        <v>445</v>
      </c>
    </row>
    <row r="535" spans="1:20" x14ac:dyDescent="0.25">
      <c r="A535">
        <v>2028565355</v>
      </c>
      <c r="B535" t="s">
        <v>317</v>
      </c>
      <c r="C535" t="s">
        <v>778</v>
      </c>
      <c r="D535" s="6" t="str">
        <f t="shared" si="24"/>
        <v>GALEN KELLY</v>
      </c>
      <c r="E535" t="s">
        <v>445</v>
      </c>
      <c r="F535">
        <v>17425766</v>
      </c>
      <c r="G535" t="s">
        <v>1097</v>
      </c>
      <c r="H535" t="s">
        <v>56</v>
      </c>
      <c r="I535" s="1">
        <v>45777</v>
      </c>
      <c r="J535" s="1">
        <v>45930</v>
      </c>
      <c r="K535" s="2">
        <v>30.16</v>
      </c>
      <c r="L535">
        <f t="shared" si="25"/>
        <v>5</v>
      </c>
      <c r="M535" t="s">
        <v>59</v>
      </c>
      <c r="N535" t="s">
        <v>1148</v>
      </c>
      <c r="O535" s="4">
        <v>0.7</v>
      </c>
      <c r="P535" s="16">
        <f t="shared" si="26"/>
        <v>21.111999999999998</v>
      </c>
      <c r="Q535" s="2">
        <v>0</v>
      </c>
      <c r="R535" s="2">
        <v>21.11</v>
      </c>
      <c r="S535" s="2">
        <v>21.11</v>
      </c>
      <c r="T535" t="s">
        <v>445</v>
      </c>
    </row>
    <row r="536" spans="1:20" x14ac:dyDescent="0.25">
      <c r="A536">
        <v>2029078147</v>
      </c>
      <c r="B536" t="s">
        <v>510</v>
      </c>
      <c r="C536" t="s">
        <v>511</v>
      </c>
      <c r="D536" s="6" t="str">
        <f t="shared" si="24"/>
        <v>LOUCINDA KRESGE</v>
      </c>
      <c r="E536" t="s">
        <v>445</v>
      </c>
      <c r="F536">
        <v>19279958</v>
      </c>
      <c r="G536" t="s">
        <v>1100</v>
      </c>
      <c r="H536" t="s">
        <v>56</v>
      </c>
      <c r="I536" s="1">
        <v>45800</v>
      </c>
      <c r="J536" s="1">
        <v>45953</v>
      </c>
      <c r="K536" s="2">
        <v>29.1</v>
      </c>
      <c r="L536">
        <f t="shared" si="25"/>
        <v>5</v>
      </c>
      <c r="M536" t="s">
        <v>59</v>
      </c>
      <c r="N536" t="s">
        <v>1148</v>
      </c>
      <c r="O536" s="4">
        <v>0.7</v>
      </c>
      <c r="P536" s="16">
        <f t="shared" si="26"/>
        <v>20.37</v>
      </c>
      <c r="Q536" s="2">
        <v>20.37</v>
      </c>
      <c r="R536" s="2">
        <v>0</v>
      </c>
      <c r="S536" s="2">
        <v>0</v>
      </c>
      <c r="T536" t="s">
        <v>445</v>
      </c>
    </row>
    <row r="537" spans="1:20" x14ac:dyDescent="0.25">
      <c r="A537">
        <v>2028615204</v>
      </c>
      <c r="B537" t="s">
        <v>861</v>
      </c>
      <c r="C537" t="s">
        <v>293</v>
      </c>
      <c r="D537" s="6" t="str">
        <f t="shared" si="24"/>
        <v>JONATHAN LIGHTFOOT</v>
      </c>
      <c r="E537" t="s">
        <v>445</v>
      </c>
      <c r="F537">
        <v>21435997</v>
      </c>
      <c r="G537" t="s">
        <v>1138</v>
      </c>
      <c r="H537" t="s">
        <v>56</v>
      </c>
      <c r="I537" s="1">
        <v>45784</v>
      </c>
      <c r="J537" s="1">
        <v>45937</v>
      </c>
      <c r="K537" s="2">
        <v>-150.66</v>
      </c>
      <c r="L537">
        <f t="shared" si="25"/>
        <v>5</v>
      </c>
      <c r="M537" t="s">
        <v>59</v>
      </c>
      <c r="N537" t="s">
        <v>1148</v>
      </c>
      <c r="O537" s="4">
        <v>0.7</v>
      </c>
      <c r="P537" s="16">
        <f t="shared" si="26"/>
        <v>-105.46199999999999</v>
      </c>
      <c r="Q537" s="2">
        <v>0</v>
      </c>
      <c r="R537" s="2">
        <v>-105.46</v>
      </c>
      <c r="S537" s="2">
        <v>-105.46</v>
      </c>
      <c r="T537" t="s">
        <v>445</v>
      </c>
    </row>
    <row r="538" spans="1:20" x14ac:dyDescent="0.25">
      <c r="A538">
        <v>2028963797</v>
      </c>
      <c r="B538" t="s">
        <v>851</v>
      </c>
      <c r="C538" t="s">
        <v>850</v>
      </c>
      <c r="D538" s="6" t="str">
        <f t="shared" si="24"/>
        <v>DANIEL NINO</v>
      </c>
      <c r="E538" t="s">
        <v>445</v>
      </c>
      <c r="F538">
        <v>21348299</v>
      </c>
      <c r="G538" t="s">
        <v>1117</v>
      </c>
      <c r="H538" t="s">
        <v>56</v>
      </c>
      <c r="I538" s="1">
        <v>45793</v>
      </c>
      <c r="J538" s="1">
        <v>45946</v>
      </c>
      <c r="K538" s="2">
        <v>11.5</v>
      </c>
      <c r="L538">
        <f t="shared" si="25"/>
        <v>5</v>
      </c>
      <c r="M538" t="s">
        <v>59</v>
      </c>
      <c r="N538" t="s">
        <v>1148</v>
      </c>
      <c r="O538" s="4">
        <v>0.7</v>
      </c>
      <c r="P538" s="16">
        <f t="shared" si="26"/>
        <v>8.0499999999999989</v>
      </c>
      <c r="Q538" s="2">
        <v>0</v>
      </c>
      <c r="R538" s="2">
        <v>8.0500000000000007</v>
      </c>
      <c r="S538" s="2">
        <v>8.0500000000000007</v>
      </c>
      <c r="T538" t="s">
        <v>445</v>
      </c>
    </row>
    <row r="539" spans="1:20" x14ac:dyDescent="0.25">
      <c r="A539">
        <v>2028962513</v>
      </c>
      <c r="B539" t="s">
        <v>948</v>
      </c>
      <c r="C539" t="s">
        <v>260</v>
      </c>
      <c r="D539" s="6" t="str">
        <f t="shared" si="24"/>
        <v>JENNIFER PATTEN</v>
      </c>
      <c r="E539" t="s">
        <v>445</v>
      </c>
      <c r="F539">
        <v>21348299</v>
      </c>
      <c r="G539" t="s">
        <v>1117</v>
      </c>
      <c r="H539" t="s">
        <v>56</v>
      </c>
      <c r="I539" s="1">
        <v>45793</v>
      </c>
      <c r="J539" s="1">
        <v>45946</v>
      </c>
      <c r="K539" s="2">
        <v>21.14</v>
      </c>
      <c r="L539">
        <f t="shared" si="25"/>
        <v>5</v>
      </c>
      <c r="M539" t="s">
        <v>59</v>
      </c>
      <c r="N539" t="s">
        <v>1148</v>
      </c>
      <c r="O539" s="4">
        <v>0.7</v>
      </c>
      <c r="P539" s="16">
        <f t="shared" si="26"/>
        <v>14.798</v>
      </c>
      <c r="Q539" s="2">
        <v>0</v>
      </c>
      <c r="R539" s="2">
        <v>14.8</v>
      </c>
      <c r="S539" s="2">
        <v>14.8</v>
      </c>
      <c r="T539" t="s">
        <v>445</v>
      </c>
    </row>
    <row r="540" spans="1:20" x14ac:dyDescent="0.25">
      <c r="A540">
        <v>2028219140</v>
      </c>
      <c r="B540" t="s">
        <v>973</v>
      </c>
      <c r="C540" t="s">
        <v>277</v>
      </c>
      <c r="D540" s="6" t="str">
        <f t="shared" si="24"/>
        <v>JAMES PATTERSON</v>
      </c>
      <c r="E540" t="s">
        <v>445</v>
      </c>
      <c r="F540">
        <v>1706194</v>
      </c>
      <c r="G540" t="s">
        <v>1105</v>
      </c>
      <c r="H540" t="s">
        <v>56</v>
      </c>
      <c r="I540" s="1">
        <v>45790</v>
      </c>
      <c r="J540" s="1">
        <v>45943</v>
      </c>
      <c r="K540" s="2">
        <v>109.9</v>
      </c>
      <c r="L540">
        <f t="shared" si="25"/>
        <v>5</v>
      </c>
      <c r="M540" t="s">
        <v>59</v>
      </c>
      <c r="N540" t="s">
        <v>1148</v>
      </c>
      <c r="O540" s="4">
        <v>0.7</v>
      </c>
      <c r="P540" s="16">
        <f t="shared" si="26"/>
        <v>76.929999999999993</v>
      </c>
      <c r="Q540" s="2">
        <v>0</v>
      </c>
      <c r="R540" s="2">
        <v>76.930000000000007</v>
      </c>
      <c r="S540" s="2">
        <v>76.930000000000007</v>
      </c>
      <c r="T540" t="s">
        <v>445</v>
      </c>
    </row>
    <row r="541" spans="1:20" x14ac:dyDescent="0.25">
      <c r="A541">
        <v>2028995188</v>
      </c>
      <c r="B541" t="s">
        <v>844</v>
      </c>
      <c r="C541" t="s">
        <v>843</v>
      </c>
      <c r="D541" s="6" t="str">
        <f t="shared" si="24"/>
        <v>JODY SCHNEIDERMAN</v>
      </c>
      <c r="E541" t="s">
        <v>445</v>
      </c>
      <c r="F541">
        <v>9213293</v>
      </c>
      <c r="G541" t="s">
        <v>1086</v>
      </c>
      <c r="H541" t="s">
        <v>56</v>
      </c>
      <c r="I541" s="1">
        <v>45795</v>
      </c>
      <c r="J541" s="1">
        <v>45948</v>
      </c>
      <c r="K541" s="2">
        <v>27.5</v>
      </c>
      <c r="L541">
        <f t="shared" si="25"/>
        <v>5</v>
      </c>
      <c r="M541" t="s">
        <v>59</v>
      </c>
      <c r="N541" t="s">
        <v>1148</v>
      </c>
      <c r="O541" s="4">
        <v>0.7</v>
      </c>
      <c r="P541" s="16">
        <f t="shared" si="26"/>
        <v>19.25</v>
      </c>
      <c r="Q541" s="2">
        <v>0</v>
      </c>
      <c r="R541" s="2">
        <v>19.25</v>
      </c>
      <c r="S541" s="2">
        <v>19.25</v>
      </c>
      <c r="T541" t="s">
        <v>445</v>
      </c>
    </row>
    <row r="542" spans="1:20" x14ac:dyDescent="0.25">
      <c r="A542">
        <v>2029034260</v>
      </c>
      <c r="B542" t="s">
        <v>380</v>
      </c>
      <c r="C542" t="s">
        <v>381</v>
      </c>
      <c r="D542" s="6" t="str">
        <f t="shared" si="24"/>
        <v>RAUN SUTTON</v>
      </c>
      <c r="E542" t="s">
        <v>445</v>
      </c>
      <c r="F542">
        <v>21348299</v>
      </c>
      <c r="G542" t="s">
        <v>1117</v>
      </c>
      <c r="H542" t="s">
        <v>56</v>
      </c>
      <c r="I542" s="1">
        <v>45798</v>
      </c>
      <c r="J542" s="1">
        <v>45951</v>
      </c>
      <c r="K542" s="2">
        <v>48.76</v>
      </c>
      <c r="L542">
        <f t="shared" si="25"/>
        <v>5</v>
      </c>
      <c r="M542" t="s">
        <v>59</v>
      </c>
      <c r="N542" t="s">
        <v>1148</v>
      </c>
      <c r="O542" s="4">
        <v>0.7</v>
      </c>
      <c r="P542" s="16">
        <f t="shared" si="26"/>
        <v>34.131999999999998</v>
      </c>
      <c r="Q542" s="2">
        <v>34.130000000000003</v>
      </c>
      <c r="R542" s="2">
        <v>0</v>
      </c>
      <c r="S542" s="2">
        <v>0</v>
      </c>
      <c r="T542" t="s">
        <v>445</v>
      </c>
    </row>
    <row r="543" spans="1:20" x14ac:dyDescent="0.25">
      <c r="A543">
        <v>2028941657</v>
      </c>
      <c r="B543" t="s">
        <v>547</v>
      </c>
      <c r="C543" t="s">
        <v>855</v>
      </c>
      <c r="D543" s="6" t="str">
        <f t="shared" si="24"/>
        <v>DUSTIN WILLIAMS</v>
      </c>
      <c r="E543" t="s">
        <v>445</v>
      </c>
      <c r="F543">
        <v>18581063</v>
      </c>
      <c r="G543" t="s">
        <v>1132</v>
      </c>
      <c r="H543" t="s">
        <v>56</v>
      </c>
      <c r="I543" s="1">
        <v>45792</v>
      </c>
      <c r="J543" s="1">
        <v>45945</v>
      </c>
      <c r="K543" s="2">
        <v>134.86000000000001</v>
      </c>
      <c r="L543">
        <f t="shared" si="25"/>
        <v>5</v>
      </c>
      <c r="M543" t="s">
        <v>59</v>
      </c>
      <c r="N543" t="s">
        <v>1148</v>
      </c>
      <c r="O543" s="4">
        <v>0.7</v>
      </c>
      <c r="P543" s="16">
        <f t="shared" si="26"/>
        <v>94.402000000000001</v>
      </c>
      <c r="Q543" s="2">
        <v>0</v>
      </c>
      <c r="R543" s="2">
        <v>94.4</v>
      </c>
      <c r="S543" s="2">
        <v>94.4</v>
      </c>
      <c r="T543" t="s">
        <v>445</v>
      </c>
    </row>
    <row r="544" spans="1:20" x14ac:dyDescent="0.25">
      <c r="A544">
        <v>2028958357</v>
      </c>
      <c r="B544" t="s">
        <v>777</v>
      </c>
      <c r="C544" t="s">
        <v>349</v>
      </c>
      <c r="D544" s="6" t="str">
        <f t="shared" si="24"/>
        <v>DAVID WRING</v>
      </c>
      <c r="E544" t="s">
        <v>445</v>
      </c>
      <c r="F544">
        <v>8977234</v>
      </c>
      <c r="G544" t="s">
        <v>1078</v>
      </c>
      <c r="H544" t="s">
        <v>56</v>
      </c>
      <c r="I544" s="1">
        <v>45793</v>
      </c>
      <c r="J544" s="1">
        <v>45946</v>
      </c>
      <c r="K544" s="2">
        <v>118.33</v>
      </c>
      <c r="L544">
        <f t="shared" si="25"/>
        <v>5</v>
      </c>
      <c r="M544" t="s">
        <v>59</v>
      </c>
      <c r="N544" t="s">
        <v>1148</v>
      </c>
      <c r="O544" s="4">
        <v>0.7</v>
      </c>
      <c r="P544" s="16">
        <f t="shared" si="26"/>
        <v>82.830999999999989</v>
      </c>
      <c r="Q544" s="2">
        <v>0</v>
      </c>
      <c r="R544" s="2">
        <v>82.83</v>
      </c>
      <c r="S544" s="2">
        <v>82.83</v>
      </c>
      <c r="T544" t="s">
        <v>445</v>
      </c>
    </row>
    <row r="545" spans="1:20" x14ac:dyDescent="0.25">
      <c r="A545">
        <v>2028547423</v>
      </c>
      <c r="B545" t="s">
        <v>492</v>
      </c>
      <c r="C545" t="s">
        <v>62</v>
      </c>
      <c r="D545" s="6" t="str">
        <f t="shared" si="24"/>
        <v>WILLIAM BATKA</v>
      </c>
      <c r="E545" t="s">
        <v>445</v>
      </c>
      <c r="F545">
        <v>9213293</v>
      </c>
      <c r="G545" t="s">
        <v>1086</v>
      </c>
      <c r="H545" t="s">
        <v>56</v>
      </c>
      <c r="I545" s="1">
        <v>45770</v>
      </c>
      <c r="J545" s="1">
        <v>45953</v>
      </c>
      <c r="K545" s="2">
        <v>35.700000000000003</v>
      </c>
      <c r="L545">
        <f t="shared" si="25"/>
        <v>6</v>
      </c>
      <c r="M545" t="s">
        <v>59</v>
      </c>
      <c r="N545" t="s">
        <v>1148</v>
      </c>
      <c r="O545" s="4">
        <v>0.7</v>
      </c>
      <c r="P545" s="16">
        <f t="shared" si="26"/>
        <v>24.990000000000002</v>
      </c>
      <c r="Q545" s="2">
        <v>0</v>
      </c>
      <c r="R545" s="2">
        <v>24.99</v>
      </c>
      <c r="S545" s="2">
        <v>24.99</v>
      </c>
      <c r="T545" t="s">
        <v>445</v>
      </c>
    </row>
    <row r="546" spans="1:20" x14ac:dyDescent="0.25">
      <c r="A546">
        <v>2028048548</v>
      </c>
      <c r="B546" t="s">
        <v>974</v>
      </c>
      <c r="C546" t="s">
        <v>281</v>
      </c>
      <c r="D546" s="6" t="str">
        <f t="shared" si="24"/>
        <v>ANDREW DRESHER</v>
      </c>
      <c r="E546" t="s">
        <v>445</v>
      </c>
      <c r="F546">
        <v>1706194</v>
      </c>
      <c r="G546" t="s">
        <v>1105</v>
      </c>
      <c r="H546" t="s">
        <v>56</v>
      </c>
      <c r="I546" s="1">
        <v>45748</v>
      </c>
      <c r="J546" s="1">
        <v>45931</v>
      </c>
      <c r="K546" s="2">
        <v>377.72</v>
      </c>
      <c r="L546">
        <f t="shared" si="25"/>
        <v>6</v>
      </c>
      <c r="M546" t="s">
        <v>59</v>
      </c>
      <c r="N546" t="s">
        <v>1148</v>
      </c>
      <c r="O546" s="4">
        <v>0.7</v>
      </c>
      <c r="P546" s="16">
        <f t="shared" si="26"/>
        <v>264.404</v>
      </c>
      <c r="Q546" s="2">
        <v>0</v>
      </c>
      <c r="R546" s="2">
        <v>264.39999999999998</v>
      </c>
      <c r="S546" s="2">
        <v>264.39999999999998</v>
      </c>
      <c r="T546" t="s">
        <v>445</v>
      </c>
    </row>
    <row r="547" spans="1:20" x14ac:dyDescent="0.25">
      <c r="A547">
        <v>2028329765</v>
      </c>
      <c r="B547" t="s">
        <v>873</v>
      </c>
      <c r="C547" t="s">
        <v>379</v>
      </c>
      <c r="D547" s="6" t="str">
        <f t="shared" si="24"/>
        <v>KRISTINA PAOLANTONIO</v>
      </c>
      <c r="E547" t="s">
        <v>445</v>
      </c>
      <c r="F547">
        <v>19396223</v>
      </c>
      <c r="G547" t="s">
        <v>1133</v>
      </c>
      <c r="H547" t="s">
        <v>56</v>
      </c>
      <c r="I547" s="1">
        <v>45762</v>
      </c>
      <c r="J547" s="1">
        <v>45945</v>
      </c>
      <c r="K547" s="2">
        <v>11.5</v>
      </c>
      <c r="L547">
        <f t="shared" si="25"/>
        <v>6</v>
      </c>
      <c r="M547" t="s">
        <v>59</v>
      </c>
      <c r="N547" t="s">
        <v>1148</v>
      </c>
      <c r="O547" s="4">
        <v>0.7</v>
      </c>
      <c r="P547" s="16">
        <f t="shared" si="26"/>
        <v>8.0499999999999989</v>
      </c>
      <c r="Q547" s="2">
        <v>0</v>
      </c>
      <c r="R547" s="2">
        <v>8.0500000000000007</v>
      </c>
      <c r="S547" s="2">
        <v>8.0500000000000007</v>
      </c>
      <c r="T547" t="s">
        <v>445</v>
      </c>
    </row>
    <row r="548" spans="1:20" x14ac:dyDescent="0.25">
      <c r="A548">
        <v>2027573958</v>
      </c>
      <c r="B548" t="s">
        <v>881</v>
      </c>
      <c r="C548" t="s">
        <v>616</v>
      </c>
      <c r="D548" s="6" t="str">
        <f t="shared" si="24"/>
        <v>LARRY WILLIS</v>
      </c>
      <c r="E548" t="s">
        <v>445</v>
      </c>
      <c r="F548">
        <v>8977234</v>
      </c>
      <c r="G548" t="s">
        <v>1078</v>
      </c>
      <c r="H548" t="s">
        <v>56</v>
      </c>
      <c r="I548" s="1">
        <v>45757</v>
      </c>
      <c r="J548" s="1">
        <v>45940</v>
      </c>
      <c r="K548" s="2">
        <v>130.27000000000001</v>
      </c>
      <c r="L548">
        <f t="shared" si="25"/>
        <v>6</v>
      </c>
      <c r="M548" t="s">
        <v>59</v>
      </c>
      <c r="N548" t="s">
        <v>1148</v>
      </c>
      <c r="O548" s="4">
        <v>0.7</v>
      </c>
      <c r="P548" s="16">
        <f t="shared" si="26"/>
        <v>91.189000000000007</v>
      </c>
      <c r="Q548" s="2">
        <v>0</v>
      </c>
      <c r="R548" s="2">
        <v>91.19</v>
      </c>
      <c r="S548" s="2">
        <v>91.19</v>
      </c>
      <c r="T548" t="s">
        <v>445</v>
      </c>
    </row>
    <row r="549" spans="1:20" x14ac:dyDescent="0.25">
      <c r="A549">
        <v>2027849974</v>
      </c>
      <c r="B549" t="s">
        <v>783</v>
      </c>
      <c r="C549" t="s">
        <v>65</v>
      </c>
      <c r="D549" s="6" t="str">
        <f t="shared" si="24"/>
        <v>CHAD DIXON</v>
      </c>
      <c r="E549" t="s">
        <v>445</v>
      </c>
      <c r="F549">
        <v>17425766</v>
      </c>
      <c r="G549" t="s">
        <v>1097</v>
      </c>
      <c r="H549" t="s">
        <v>56</v>
      </c>
      <c r="I549" s="1">
        <v>45733</v>
      </c>
      <c r="J549" s="1">
        <v>45947</v>
      </c>
      <c r="K549" s="2">
        <v>50.96</v>
      </c>
      <c r="L549">
        <f t="shared" si="25"/>
        <v>7</v>
      </c>
      <c r="M549" t="s">
        <v>59</v>
      </c>
      <c r="N549" t="s">
        <v>1148</v>
      </c>
      <c r="O549" s="4">
        <v>0.7</v>
      </c>
      <c r="P549" s="16">
        <f t="shared" si="26"/>
        <v>35.671999999999997</v>
      </c>
      <c r="Q549" s="2">
        <v>0</v>
      </c>
      <c r="R549" s="2">
        <v>35.67</v>
      </c>
      <c r="S549" s="2">
        <v>35.67</v>
      </c>
      <c r="T549" t="s">
        <v>445</v>
      </c>
    </row>
    <row r="550" spans="1:20" x14ac:dyDescent="0.25">
      <c r="A550">
        <v>2027825905</v>
      </c>
      <c r="B550" t="s">
        <v>684</v>
      </c>
      <c r="C550" t="s">
        <v>978</v>
      </c>
      <c r="D550" s="6" t="str">
        <f t="shared" si="24"/>
        <v>JAX GARRETT</v>
      </c>
      <c r="E550" t="s">
        <v>445</v>
      </c>
      <c r="F550">
        <v>8977234</v>
      </c>
      <c r="G550" t="s">
        <v>1078</v>
      </c>
      <c r="H550" t="s">
        <v>56</v>
      </c>
      <c r="I550" s="1">
        <v>45731</v>
      </c>
      <c r="J550" s="1">
        <v>45945</v>
      </c>
      <c r="K550" s="2">
        <v>18.350000000000001</v>
      </c>
      <c r="L550">
        <f t="shared" si="25"/>
        <v>7</v>
      </c>
      <c r="M550" t="s">
        <v>59</v>
      </c>
      <c r="N550" t="s">
        <v>1148</v>
      </c>
      <c r="O550" s="4">
        <v>0.7</v>
      </c>
      <c r="P550" s="16">
        <f t="shared" si="26"/>
        <v>12.845000000000001</v>
      </c>
      <c r="Q550" s="2">
        <v>0</v>
      </c>
      <c r="R550" s="2">
        <v>12.84</v>
      </c>
      <c r="S550" s="2">
        <v>12.84</v>
      </c>
      <c r="T550" t="s">
        <v>445</v>
      </c>
    </row>
    <row r="551" spans="1:20" x14ac:dyDescent="0.25">
      <c r="A551">
        <v>2027965833</v>
      </c>
      <c r="B551" t="s">
        <v>168</v>
      </c>
      <c r="C551" t="s">
        <v>169</v>
      </c>
      <c r="D551" s="6" t="str">
        <f t="shared" si="24"/>
        <v>ANTHONY LOUIS</v>
      </c>
      <c r="E551" t="s">
        <v>445</v>
      </c>
      <c r="F551">
        <v>18754354</v>
      </c>
      <c r="G551" t="s">
        <v>1108</v>
      </c>
      <c r="H551" t="s">
        <v>56</v>
      </c>
      <c r="I551" s="1">
        <v>45738</v>
      </c>
      <c r="J551" s="1">
        <v>45952</v>
      </c>
      <c r="K551" s="2">
        <v>17.07</v>
      </c>
      <c r="L551">
        <f t="shared" si="25"/>
        <v>7</v>
      </c>
      <c r="M551" t="s">
        <v>59</v>
      </c>
      <c r="N551" t="s">
        <v>1148</v>
      </c>
      <c r="O551" s="4">
        <v>0.7</v>
      </c>
      <c r="P551" s="16">
        <f t="shared" si="26"/>
        <v>11.949</v>
      </c>
      <c r="Q551" s="2">
        <v>0</v>
      </c>
      <c r="R551" s="2">
        <v>11.95</v>
      </c>
      <c r="S551" s="2">
        <v>11.95</v>
      </c>
      <c r="T551" t="s">
        <v>445</v>
      </c>
    </row>
    <row r="552" spans="1:20" x14ac:dyDescent="0.25">
      <c r="A552">
        <v>2027855573</v>
      </c>
      <c r="B552" t="s">
        <v>977</v>
      </c>
      <c r="C552" t="s">
        <v>538</v>
      </c>
      <c r="D552" s="6" t="str">
        <f t="shared" si="24"/>
        <v>ANGELA ROBSON</v>
      </c>
      <c r="E552" t="s">
        <v>445</v>
      </c>
      <c r="F552">
        <v>8307933</v>
      </c>
      <c r="G552" t="s">
        <v>1098</v>
      </c>
      <c r="H552" t="s">
        <v>56</v>
      </c>
      <c r="I552" s="1">
        <v>45734</v>
      </c>
      <c r="J552" s="1">
        <v>45948</v>
      </c>
      <c r="K552" s="2">
        <v>79.84</v>
      </c>
      <c r="L552">
        <f t="shared" si="25"/>
        <v>7</v>
      </c>
      <c r="M552" t="s">
        <v>59</v>
      </c>
      <c r="N552" t="s">
        <v>1148</v>
      </c>
      <c r="O552" s="4">
        <v>0.7</v>
      </c>
      <c r="P552" s="16">
        <f t="shared" si="26"/>
        <v>55.887999999999998</v>
      </c>
      <c r="Q552" s="2">
        <v>0</v>
      </c>
      <c r="R552" s="2">
        <v>55.89</v>
      </c>
      <c r="S552" s="2">
        <v>55.89</v>
      </c>
      <c r="T552" t="s">
        <v>445</v>
      </c>
    </row>
    <row r="553" spans="1:20" x14ac:dyDescent="0.25">
      <c r="A553">
        <v>2027258064</v>
      </c>
      <c r="B553" t="s">
        <v>160</v>
      </c>
      <c r="C553" t="s">
        <v>161</v>
      </c>
      <c r="D553" s="6" t="str">
        <f t="shared" si="24"/>
        <v>VIVIANA BUSH</v>
      </c>
      <c r="E553" t="s">
        <v>445</v>
      </c>
      <c r="F553">
        <v>8977234</v>
      </c>
      <c r="G553" t="s">
        <v>1078</v>
      </c>
      <c r="H553" t="s">
        <v>56</v>
      </c>
      <c r="I553" s="1">
        <v>45710</v>
      </c>
      <c r="J553" s="1">
        <v>45952</v>
      </c>
      <c r="K553" s="2">
        <v>42.36</v>
      </c>
      <c r="L553">
        <f t="shared" si="25"/>
        <v>8</v>
      </c>
      <c r="M553" t="s">
        <v>59</v>
      </c>
      <c r="N553" t="s">
        <v>1148</v>
      </c>
      <c r="O553" s="4">
        <v>0.7</v>
      </c>
      <c r="P553" s="16">
        <f t="shared" si="26"/>
        <v>29.651999999999997</v>
      </c>
      <c r="Q553" s="2">
        <v>0</v>
      </c>
      <c r="R553" s="2">
        <v>29.65</v>
      </c>
      <c r="S553" s="2">
        <v>29.65</v>
      </c>
      <c r="T553" t="s">
        <v>445</v>
      </c>
    </row>
    <row r="554" spans="1:20" x14ac:dyDescent="0.25">
      <c r="A554">
        <v>2026783375</v>
      </c>
      <c r="B554" t="s">
        <v>149</v>
      </c>
      <c r="C554" t="s">
        <v>150</v>
      </c>
      <c r="D554" s="6" t="str">
        <f t="shared" si="24"/>
        <v>MARK CERRETANI</v>
      </c>
      <c r="E554" t="s">
        <v>445</v>
      </c>
      <c r="F554">
        <v>8977234</v>
      </c>
      <c r="G554" t="s">
        <v>1078</v>
      </c>
      <c r="H554" t="s">
        <v>56</v>
      </c>
      <c r="I554" s="1">
        <v>45709</v>
      </c>
      <c r="J554" s="1">
        <v>45951</v>
      </c>
      <c r="K554" s="2">
        <v>57.27</v>
      </c>
      <c r="L554">
        <f t="shared" si="25"/>
        <v>8</v>
      </c>
      <c r="M554" t="s">
        <v>59</v>
      </c>
      <c r="N554" t="s">
        <v>1148</v>
      </c>
      <c r="O554" s="4">
        <v>0.7</v>
      </c>
      <c r="P554" s="16">
        <f t="shared" si="26"/>
        <v>40.088999999999999</v>
      </c>
      <c r="Q554" s="2">
        <v>0</v>
      </c>
      <c r="R554" s="2">
        <v>40.090000000000003</v>
      </c>
      <c r="S554" s="2">
        <v>40.090000000000003</v>
      </c>
      <c r="T554" t="s">
        <v>445</v>
      </c>
    </row>
    <row r="555" spans="1:20" x14ac:dyDescent="0.25">
      <c r="A555">
        <v>2027343740</v>
      </c>
      <c r="B555" t="s">
        <v>363</v>
      </c>
      <c r="C555" t="s">
        <v>364</v>
      </c>
      <c r="D555" s="6" t="str">
        <f t="shared" si="24"/>
        <v>MARIA GONZALEZ</v>
      </c>
      <c r="E555" t="s">
        <v>445</v>
      </c>
      <c r="F555">
        <v>8977234</v>
      </c>
      <c r="G555" t="s">
        <v>1078</v>
      </c>
      <c r="H555" t="s">
        <v>56</v>
      </c>
      <c r="I555" s="1">
        <v>45714</v>
      </c>
      <c r="J555" s="1">
        <v>45956</v>
      </c>
      <c r="K555" s="2">
        <v>10.82</v>
      </c>
      <c r="L555">
        <f t="shared" si="25"/>
        <v>8</v>
      </c>
      <c r="M555" t="s">
        <v>59</v>
      </c>
      <c r="N555" t="s">
        <v>1148</v>
      </c>
      <c r="O555" s="4">
        <v>0.7</v>
      </c>
      <c r="P555" s="16">
        <f t="shared" si="26"/>
        <v>7.5739999999999998</v>
      </c>
      <c r="Q555" s="2">
        <v>0</v>
      </c>
      <c r="R555" s="2">
        <v>7.57</v>
      </c>
      <c r="S555" s="2">
        <v>7.57</v>
      </c>
      <c r="T555" t="s">
        <v>445</v>
      </c>
    </row>
    <row r="556" spans="1:20" x14ac:dyDescent="0.25">
      <c r="A556">
        <v>2026421756</v>
      </c>
      <c r="B556" t="s">
        <v>277</v>
      </c>
      <c r="C556" t="s">
        <v>347</v>
      </c>
      <c r="D556" s="6" t="str">
        <f t="shared" si="24"/>
        <v>BETTY JAMES</v>
      </c>
      <c r="E556" t="s">
        <v>445</v>
      </c>
      <c r="F556">
        <v>8977234</v>
      </c>
      <c r="G556" t="s">
        <v>1078</v>
      </c>
      <c r="H556" t="s">
        <v>56</v>
      </c>
      <c r="I556" s="1">
        <v>45689</v>
      </c>
      <c r="J556" s="1">
        <v>45931</v>
      </c>
      <c r="K556" s="2">
        <v>-44.54</v>
      </c>
      <c r="L556">
        <f t="shared" si="25"/>
        <v>8</v>
      </c>
      <c r="M556" t="s">
        <v>59</v>
      </c>
      <c r="N556" t="s">
        <v>1148</v>
      </c>
      <c r="O556" s="4">
        <v>0.7</v>
      </c>
      <c r="P556" s="16">
        <f t="shared" si="26"/>
        <v>-31.177999999999997</v>
      </c>
      <c r="Q556" s="2">
        <v>0</v>
      </c>
      <c r="R556" s="2">
        <v>-31.18</v>
      </c>
      <c r="S556" s="2">
        <v>-31.18</v>
      </c>
      <c r="T556" t="s">
        <v>445</v>
      </c>
    </row>
    <row r="557" spans="1:20" x14ac:dyDescent="0.25">
      <c r="A557">
        <v>2027321379</v>
      </c>
      <c r="B557" t="s">
        <v>361</v>
      </c>
      <c r="C557" t="s">
        <v>362</v>
      </c>
      <c r="D557" s="6" t="str">
        <f t="shared" si="24"/>
        <v>EDWINA JENSEN</v>
      </c>
      <c r="E557" t="s">
        <v>445</v>
      </c>
      <c r="F557">
        <v>8977234</v>
      </c>
      <c r="G557" t="s">
        <v>1078</v>
      </c>
      <c r="H557" t="s">
        <v>56</v>
      </c>
      <c r="I557" s="1">
        <v>45713</v>
      </c>
      <c r="J557" s="1">
        <v>45955</v>
      </c>
      <c r="K557" s="2">
        <v>169.06</v>
      </c>
      <c r="L557">
        <f t="shared" si="25"/>
        <v>8</v>
      </c>
      <c r="M557" t="s">
        <v>59</v>
      </c>
      <c r="N557" t="s">
        <v>1148</v>
      </c>
      <c r="O557" s="4">
        <v>0.7</v>
      </c>
      <c r="P557" s="16">
        <f t="shared" si="26"/>
        <v>118.342</v>
      </c>
      <c r="Q557" s="2">
        <v>0</v>
      </c>
      <c r="R557" s="2">
        <v>118.34</v>
      </c>
      <c r="S557" s="2">
        <v>118.34</v>
      </c>
      <c r="T557" t="s">
        <v>445</v>
      </c>
    </row>
    <row r="558" spans="1:20" x14ac:dyDescent="0.25">
      <c r="A558">
        <v>2027167981</v>
      </c>
      <c r="B558" t="s">
        <v>983</v>
      </c>
      <c r="C558" t="s">
        <v>982</v>
      </c>
      <c r="D558" s="6" t="str">
        <f t="shared" si="24"/>
        <v>ROZINA PANCHANI</v>
      </c>
      <c r="E558" t="s">
        <v>445</v>
      </c>
      <c r="F558">
        <v>9213293</v>
      </c>
      <c r="G558" t="s">
        <v>1086</v>
      </c>
      <c r="H558" t="s">
        <v>56</v>
      </c>
      <c r="I558" s="1">
        <v>45706</v>
      </c>
      <c r="J558" s="1">
        <v>45948</v>
      </c>
      <c r="K558" s="2">
        <v>80.16</v>
      </c>
      <c r="L558">
        <f t="shared" si="25"/>
        <v>8</v>
      </c>
      <c r="M558" t="s">
        <v>59</v>
      </c>
      <c r="N558" t="s">
        <v>1148</v>
      </c>
      <c r="O558" s="4">
        <v>0.7</v>
      </c>
      <c r="P558" s="16">
        <f t="shared" si="26"/>
        <v>56.111999999999995</v>
      </c>
      <c r="Q558" s="2">
        <v>0</v>
      </c>
      <c r="R558" s="2">
        <v>56.11</v>
      </c>
      <c r="S558" s="2">
        <v>56.11</v>
      </c>
      <c r="T558" t="s">
        <v>445</v>
      </c>
    </row>
    <row r="559" spans="1:20" x14ac:dyDescent="0.25">
      <c r="A559">
        <v>2026153889</v>
      </c>
      <c r="B559" t="s">
        <v>1009</v>
      </c>
      <c r="C559" t="s">
        <v>1008</v>
      </c>
      <c r="D559" s="6" t="str">
        <f t="shared" si="24"/>
        <v>JAZZMINE ESPINOZA</v>
      </c>
      <c r="E559" t="s">
        <v>445</v>
      </c>
      <c r="F559">
        <v>8307933</v>
      </c>
      <c r="G559" t="s">
        <v>1098</v>
      </c>
      <c r="H559" t="s">
        <v>56</v>
      </c>
      <c r="I559" s="1">
        <v>45664</v>
      </c>
      <c r="J559" s="1">
        <v>45937</v>
      </c>
      <c r="K559" s="2">
        <v>60.76</v>
      </c>
      <c r="L559">
        <f t="shared" si="25"/>
        <v>9</v>
      </c>
      <c r="M559" t="s">
        <v>59</v>
      </c>
      <c r="N559" t="s">
        <v>1148</v>
      </c>
      <c r="O559" s="4">
        <v>0.7</v>
      </c>
      <c r="P559" s="16">
        <f t="shared" si="26"/>
        <v>42.531999999999996</v>
      </c>
      <c r="Q559" s="2">
        <v>0</v>
      </c>
      <c r="R559" s="2">
        <v>42.53</v>
      </c>
      <c r="S559" s="2">
        <v>42.53</v>
      </c>
      <c r="T559" t="s">
        <v>445</v>
      </c>
    </row>
    <row r="560" spans="1:20" x14ac:dyDescent="0.25">
      <c r="A560">
        <v>2025727276</v>
      </c>
      <c r="B560" t="s">
        <v>128</v>
      </c>
      <c r="C560" t="s">
        <v>129</v>
      </c>
      <c r="D560" s="6" t="str">
        <f t="shared" si="24"/>
        <v>SAGE PAGE</v>
      </c>
      <c r="E560" t="s">
        <v>445</v>
      </c>
      <c r="F560">
        <v>1706194</v>
      </c>
      <c r="G560" t="s">
        <v>1105</v>
      </c>
      <c r="H560" t="s">
        <v>56</v>
      </c>
      <c r="I560" s="1">
        <v>45658</v>
      </c>
      <c r="J560" s="1">
        <v>45931</v>
      </c>
      <c r="K560" s="2">
        <v>-21.13</v>
      </c>
      <c r="L560">
        <f t="shared" si="25"/>
        <v>9</v>
      </c>
      <c r="M560" t="s">
        <v>59</v>
      </c>
      <c r="N560" t="s">
        <v>1148</v>
      </c>
      <c r="O560" s="4">
        <v>0.7</v>
      </c>
      <c r="P560" s="16">
        <f t="shared" si="26"/>
        <v>-14.790999999999999</v>
      </c>
      <c r="Q560" s="2">
        <v>0</v>
      </c>
      <c r="R560" s="2">
        <v>-14.79</v>
      </c>
      <c r="S560" s="2">
        <v>-14.79</v>
      </c>
      <c r="T560" t="s">
        <v>445</v>
      </c>
    </row>
    <row r="561" spans="1:20" x14ac:dyDescent="0.25">
      <c r="A561">
        <v>2025747992</v>
      </c>
      <c r="B561" t="s">
        <v>1018</v>
      </c>
      <c r="C561" t="s">
        <v>238</v>
      </c>
      <c r="D561" s="6" t="str">
        <f t="shared" si="24"/>
        <v>MARGARET RODENHOUSE</v>
      </c>
      <c r="E561" t="s">
        <v>445</v>
      </c>
      <c r="F561">
        <v>8307933</v>
      </c>
      <c r="G561" t="s">
        <v>1098</v>
      </c>
      <c r="H561" t="s">
        <v>230</v>
      </c>
      <c r="I561" s="1">
        <v>45664</v>
      </c>
      <c r="J561" s="1">
        <v>45937</v>
      </c>
      <c r="K561" s="2">
        <v>-126.03</v>
      </c>
      <c r="L561">
        <f t="shared" si="25"/>
        <v>9</v>
      </c>
      <c r="M561" t="s">
        <v>59</v>
      </c>
      <c r="N561" t="s">
        <v>1148</v>
      </c>
      <c r="O561" s="4">
        <v>0.7</v>
      </c>
      <c r="P561" s="16">
        <f t="shared" si="26"/>
        <v>-88.220999999999989</v>
      </c>
      <c r="Q561" s="2">
        <v>0</v>
      </c>
      <c r="R561" s="2">
        <v>-88.22</v>
      </c>
      <c r="S561" s="2">
        <v>-88.22</v>
      </c>
      <c r="T561" t="s">
        <v>445</v>
      </c>
    </row>
    <row r="562" spans="1:20" x14ac:dyDescent="0.25">
      <c r="A562">
        <v>2026586620</v>
      </c>
      <c r="B562" t="s">
        <v>786</v>
      </c>
      <c r="C562" t="s">
        <v>337</v>
      </c>
      <c r="D562" s="6" t="str">
        <f t="shared" si="24"/>
        <v>ALEXANDRA STOCKTON</v>
      </c>
      <c r="E562" t="s">
        <v>445</v>
      </c>
      <c r="F562">
        <v>19279958</v>
      </c>
      <c r="G562" t="s">
        <v>1100</v>
      </c>
      <c r="H562" t="s">
        <v>56</v>
      </c>
      <c r="I562" s="1">
        <v>45672</v>
      </c>
      <c r="J562" s="1">
        <v>45945</v>
      </c>
      <c r="K562" s="2">
        <v>15.29</v>
      </c>
      <c r="L562">
        <f t="shared" si="25"/>
        <v>9</v>
      </c>
      <c r="M562" t="s">
        <v>59</v>
      </c>
      <c r="N562" t="s">
        <v>1148</v>
      </c>
      <c r="O562" s="4">
        <v>0.7</v>
      </c>
      <c r="P562" s="16">
        <f t="shared" si="26"/>
        <v>10.702999999999999</v>
      </c>
      <c r="Q562" s="2">
        <v>0</v>
      </c>
      <c r="R562" s="2">
        <v>10.7</v>
      </c>
      <c r="S562" s="2">
        <v>10.7</v>
      </c>
      <c r="T562" t="s">
        <v>445</v>
      </c>
    </row>
    <row r="563" spans="1:20" x14ac:dyDescent="0.25">
      <c r="A563">
        <v>2025850683</v>
      </c>
      <c r="B563" t="s">
        <v>556</v>
      </c>
      <c r="C563" t="s">
        <v>791</v>
      </c>
      <c r="D563" s="6" t="str">
        <f t="shared" si="24"/>
        <v>WANIETA TAYLOR</v>
      </c>
      <c r="E563" t="s">
        <v>445</v>
      </c>
      <c r="F563">
        <v>8977234</v>
      </c>
      <c r="G563" t="s">
        <v>1078</v>
      </c>
      <c r="H563" t="s">
        <v>56</v>
      </c>
      <c r="I563" s="1">
        <v>45658</v>
      </c>
      <c r="J563" s="1">
        <v>45931</v>
      </c>
      <c r="K563" s="2">
        <v>35.04</v>
      </c>
      <c r="L563">
        <f t="shared" si="25"/>
        <v>9</v>
      </c>
      <c r="M563" t="s">
        <v>59</v>
      </c>
      <c r="N563" t="s">
        <v>1148</v>
      </c>
      <c r="O563" s="4">
        <v>0.7</v>
      </c>
      <c r="P563" s="16">
        <f t="shared" si="26"/>
        <v>24.527999999999999</v>
      </c>
      <c r="Q563" s="2">
        <v>0</v>
      </c>
      <c r="R563" s="2">
        <v>24.53</v>
      </c>
      <c r="S563" s="2">
        <v>24.53</v>
      </c>
      <c r="T563" t="s">
        <v>445</v>
      </c>
    </row>
    <row r="564" spans="1:20" x14ac:dyDescent="0.25">
      <c r="A564">
        <v>2026568865</v>
      </c>
      <c r="B564" t="s">
        <v>231</v>
      </c>
      <c r="C564" t="s">
        <v>992</v>
      </c>
      <c r="D564" s="6" t="str">
        <f t="shared" si="24"/>
        <v>RACHEL YOUNG</v>
      </c>
      <c r="E564" t="s">
        <v>445</v>
      </c>
      <c r="F564">
        <v>19279958</v>
      </c>
      <c r="G564" t="s">
        <v>1100</v>
      </c>
      <c r="H564" t="s">
        <v>56</v>
      </c>
      <c r="I564" s="1">
        <v>45671</v>
      </c>
      <c r="J564" s="1">
        <v>45944</v>
      </c>
      <c r="K564" s="2">
        <v>45.97</v>
      </c>
      <c r="L564">
        <f t="shared" si="25"/>
        <v>9</v>
      </c>
      <c r="M564" t="s">
        <v>59</v>
      </c>
      <c r="N564" t="s">
        <v>1148</v>
      </c>
      <c r="O564" s="4">
        <v>0.7</v>
      </c>
      <c r="P564" s="16">
        <f t="shared" si="26"/>
        <v>32.178999999999995</v>
      </c>
      <c r="Q564" s="2">
        <v>0</v>
      </c>
      <c r="R564" s="2">
        <v>32.18</v>
      </c>
      <c r="S564" s="2">
        <v>32.18</v>
      </c>
      <c r="T564" t="s">
        <v>445</v>
      </c>
    </row>
    <row r="565" spans="1:20" x14ac:dyDescent="0.25">
      <c r="A565">
        <v>2026594775</v>
      </c>
      <c r="B565" t="s">
        <v>348</v>
      </c>
      <c r="C565" t="s">
        <v>349</v>
      </c>
      <c r="D565" s="6" t="str">
        <f t="shared" si="24"/>
        <v>DAVID ZAHURANCE</v>
      </c>
      <c r="E565" t="s">
        <v>445</v>
      </c>
      <c r="F565">
        <v>8977234</v>
      </c>
      <c r="G565" t="s">
        <v>1078</v>
      </c>
      <c r="H565" t="s">
        <v>56</v>
      </c>
      <c r="I565" s="1">
        <v>45678</v>
      </c>
      <c r="J565" s="1">
        <v>45951</v>
      </c>
      <c r="K565" s="2">
        <v>115.38</v>
      </c>
      <c r="L565">
        <f t="shared" si="25"/>
        <v>9</v>
      </c>
      <c r="M565" t="s">
        <v>59</v>
      </c>
      <c r="N565" t="s">
        <v>1148</v>
      </c>
      <c r="O565" s="4">
        <v>0.7</v>
      </c>
      <c r="P565" s="16">
        <f t="shared" si="26"/>
        <v>80.765999999999991</v>
      </c>
      <c r="Q565" s="2">
        <v>0</v>
      </c>
      <c r="R565" s="2">
        <v>80.77</v>
      </c>
      <c r="S565" s="2">
        <v>80.77</v>
      </c>
      <c r="T565" t="s">
        <v>445</v>
      </c>
    </row>
    <row r="566" spans="1:20" x14ac:dyDescent="0.25">
      <c r="A566">
        <v>2026213328</v>
      </c>
      <c r="B566" t="s">
        <v>788</v>
      </c>
      <c r="C566" t="s">
        <v>787</v>
      </c>
      <c r="D566" s="6" t="str">
        <f t="shared" si="24"/>
        <v>HOWARD BELL</v>
      </c>
      <c r="E566" t="s">
        <v>445</v>
      </c>
      <c r="F566">
        <v>19279958</v>
      </c>
      <c r="G566" t="s">
        <v>1100</v>
      </c>
      <c r="H566" t="s">
        <v>56</v>
      </c>
      <c r="I566" s="1">
        <v>45644</v>
      </c>
      <c r="J566" s="1">
        <v>45948</v>
      </c>
      <c r="K566" s="2">
        <v>91.96</v>
      </c>
      <c r="L566">
        <f t="shared" si="25"/>
        <v>10</v>
      </c>
      <c r="M566" t="s">
        <v>59</v>
      </c>
      <c r="N566" t="s">
        <v>1148</v>
      </c>
      <c r="O566" s="4">
        <v>0.7</v>
      </c>
      <c r="P566" s="16">
        <f t="shared" si="26"/>
        <v>64.371999999999986</v>
      </c>
      <c r="Q566" s="2">
        <v>0</v>
      </c>
      <c r="R566" s="2">
        <v>64.37</v>
      </c>
      <c r="S566" s="2">
        <v>64.37</v>
      </c>
      <c r="T566" t="s">
        <v>445</v>
      </c>
    </row>
    <row r="567" spans="1:20" x14ac:dyDescent="0.25">
      <c r="A567">
        <v>2026179999</v>
      </c>
      <c r="B567" t="s">
        <v>1007</v>
      </c>
      <c r="C567" t="s">
        <v>1006</v>
      </c>
      <c r="D567" s="6" t="str">
        <f t="shared" si="24"/>
        <v>ROMAN PRUNCZAK</v>
      </c>
      <c r="E567" t="s">
        <v>445</v>
      </c>
      <c r="F567">
        <v>9213293</v>
      </c>
      <c r="G567" t="s">
        <v>1086</v>
      </c>
      <c r="H567" t="s">
        <v>56</v>
      </c>
      <c r="I567" s="1">
        <v>45641</v>
      </c>
      <c r="J567" s="1">
        <v>45945</v>
      </c>
      <c r="K567" s="2">
        <v>31.6</v>
      </c>
      <c r="L567">
        <f t="shared" si="25"/>
        <v>10</v>
      </c>
      <c r="M567" t="s">
        <v>59</v>
      </c>
      <c r="N567" t="s">
        <v>1148</v>
      </c>
      <c r="O567" s="4">
        <v>0.7</v>
      </c>
      <c r="P567" s="16">
        <f t="shared" si="26"/>
        <v>22.12</v>
      </c>
      <c r="Q567" s="2">
        <v>0</v>
      </c>
      <c r="R567" s="2">
        <v>22.12</v>
      </c>
      <c r="S567" s="2">
        <v>22.12</v>
      </c>
      <c r="T567" t="s">
        <v>445</v>
      </c>
    </row>
    <row r="568" spans="1:20" x14ac:dyDescent="0.25">
      <c r="A568">
        <v>2025744022</v>
      </c>
      <c r="B568" t="s">
        <v>1020</v>
      </c>
      <c r="C568" t="s">
        <v>1019</v>
      </c>
      <c r="D568" s="6" t="str">
        <f t="shared" si="24"/>
        <v>GLORIA PANGAN</v>
      </c>
      <c r="E568" t="s">
        <v>445</v>
      </c>
      <c r="F568">
        <v>21348299</v>
      </c>
      <c r="G568" t="s">
        <v>1117</v>
      </c>
      <c r="H568" t="s">
        <v>56</v>
      </c>
      <c r="I568" s="1">
        <v>45609</v>
      </c>
      <c r="J568" s="1">
        <v>45943</v>
      </c>
      <c r="K568" s="2">
        <v>118</v>
      </c>
      <c r="L568">
        <f t="shared" si="25"/>
        <v>11</v>
      </c>
      <c r="M568" t="s">
        <v>59</v>
      </c>
      <c r="N568" t="s">
        <v>1148</v>
      </c>
      <c r="O568" s="4">
        <v>0.7</v>
      </c>
      <c r="P568" s="16">
        <f t="shared" si="26"/>
        <v>82.6</v>
      </c>
      <c r="Q568" s="2">
        <v>0</v>
      </c>
      <c r="R568" s="2">
        <v>82.6</v>
      </c>
      <c r="S568" s="2">
        <v>82.6</v>
      </c>
      <c r="T568" t="s">
        <v>445</v>
      </c>
    </row>
    <row r="569" spans="1:20" x14ac:dyDescent="0.25">
      <c r="A569">
        <v>2025803057</v>
      </c>
      <c r="B569" t="s">
        <v>1014</v>
      </c>
      <c r="C569" t="s">
        <v>1013</v>
      </c>
      <c r="D569" s="6" t="str">
        <f t="shared" si="24"/>
        <v>TALESHCEIA POWELL</v>
      </c>
      <c r="E569" t="s">
        <v>445</v>
      </c>
      <c r="F569">
        <v>21348299</v>
      </c>
      <c r="G569" t="s">
        <v>1117</v>
      </c>
      <c r="H569" t="s">
        <v>56</v>
      </c>
      <c r="I569" s="1">
        <v>45613</v>
      </c>
      <c r="J569" s="1">
        <v>45947</v>
      </c>
      <c r="K569" s="2">
        <v>41.29</v>
      </c>
      <c r="L569">
        <f t="shared" si="25"/>
        <v>11</v>
      </c>
      <c r="M569" t="s">
        <v>59</v>
      </c>
      <c r="N569" t="s">
        <v>1148</v>
      </c>
      <c r="O569" s="4">
        <v>0.7</v>
      </c>
      <c r="P569" s="16">
        <f t="shared" si="26"/>
        <v>28.902999999999999</v>
      </c>
      <c r="Q569" s="2">
        <v>0</v>
      </c>
      <c r="R569" s="2">
        <v>28.9</v>
      </c>
      <c r="S569" s="2">
        <v>28.9</v>
      </c>
      <c r="T569" t="s">
        <v>445</v>
      </c>
    </row>
    <row r="570" spans="1:20" x14ac:dyDescent="0.25">
      <c r="A570">
        <v>2024853075</v>
      </c>
      <c r="B570" t="s">
        <v>733</v>
      </c>
      <c r="C570" t="s">
        <v>732</v>
      </c>
      <c r="D570" s="6" t="str">
        <f t="shared" si="24"/>
        <v>BERNARDO CARVALHO</v>
      </c>
      <c r="E570" t="s">
        <v>445</v>
      </c>
      <c r="F570">
        <v>17425766</v>
      </c>
      <c r="G570" t="s">
        <v>1097</v>
      </c>
      <c r="H570" t="s">
        <v>56</v>
      </c>
      <c r="I570" s="1">
        <v>45550</v>
      </c>
      <c r="J570" s="1">
        <v>45945</v>
      </c>
      <c r="K570" s="2">
        <v>18.920000000000002</v>
      </c>
      <c r="L570">
        <f t="shared" si="25"/>
        <v>13</v>
      </c>
      <c r="M570" t="s">
        <v>59</v>
      </c>
      <c r="N570" t="s">
        <v>1148</v>
      </c>
      <c r="O570" s="4">
        <v>0.15</v>
      </c>
      <c r="P570" s="16">
        <f t="shared" si="26"/>
        <v>2.8380000000000001</v>
      </c>
      <c r="Q570" s="2">
        <v>0</v>
      </c>
      <c r="R570" s="2">
        <v>2.84</v>
      </c>
      <c r="S570" s="2">
        <v>2.84</v>
      </c>
      <c r="T570" t="s">
        <v>445</v>
      </c>
    </row>
    <row r="571" spans="1:20" x14ac:dyDescent="0.25">
      <c r="A571">
        <v>2024425643</v>
      </c>
      <c r="B571" t="s">
        <v>735</v>
      </c>
      <c r="C571" t="s">
        <v>346</v>
      </c>
      <c r="D571" s="6" t="str">
        <f t="shared" si="24"/>
        <v>JACQUELINE FARTHING</v>
      </c>
      <c r="E571" t="s">
        <v>445</v>
      </c>
      <c r="F571">
        <v>8977234</v>
      </c>
      <c r="G571" t="s">
        <v>1078</v>
      </c>
      <c r="H571" t="s">
        <v>56</v>
      </c>
      <c r="I571" s="1">
        <v>45521</v>
      </c>
      <c r="J571" s="1">
        <v>45947</v>
      </c>
      <c r="K571" s="2">
        <v>88.88</v>
      </c>
      <c r="L571">
        <f t="shared" si="25"/>
        <v>14</v>
      </c>
      <c r="M571" t="s">
        <v>59</v>
      </c>
      <c r="N571" t="s">
        <v>1148</v>
      </c>
      <c r="O571" s="4">
        <v>0.15</v>
      </c>
      <c r="P571" s="16">
        <f t="shared" si="26"/>
        <v>13.331999999999999</v>
      </c>
      <c r="Q571" s="2">
        <v>0</v>
      </c>
      <c r="R571" s="2">
        <v>13.33</v>
      </c>
      <c r="S571" s="2">
        <v>13.33</v>
      </c>
      <c r="T571" t="s">
        <v>445</v>
      </c>
    </row>
    <row r="572" spans="1:20" x14ac:dyDescent="0.25">
      <c r="A572">
        <v>2024485179</v>
      </c>
      <c r="B572" t="s">
        <v>462</v>
      </c>
      <c r="C572" t="s">
        <v>49</v>
      </c>
      <c r="D572" s="6" t="str">
        <f t="shared" si="24"/>
        <v>MICHAEL SEMPREVIVO</v>
      </c>
      <c r="E572" t="s">
        <v>445</v>
      </c>
      <c r="F572">
        <v>6375605</v>
      </c>
      <c r="G572" t="s">
        <v>1121</v>
      </c>
      <c r="H572" t="s">
        <v>56</v>
      </c>
      <c r="I572" s="1">
        <v>45525</v>
      </c>
      <c r="J572" s="1">
        <v>45951</v>
      </c>
      <c r="K572" s="2">
        <v>27.5</v>
      </c>
      <c r="L572">
        <f t="shared" si="25"/>
        <v>14</v>
      </c>
      <c r="M572" t="s">
        <v>59</v>
      </c>
      <c r="N572" t="s">
        <v>1148</v>
      </c>
      <c r="O572" s="4">
        <v>0.15</v>
      </c>
      <c r="P572" s="16">
        <f t="shared" si="26"/>
        <v>4.125</v>
      </c>
      <c r="Q572" s="2">
        <v>0</v>
      </c>
      <c r="R572" s="2">
        <v>4.12</v>
      </c>
      <c r="S572" s="2">
        <v>4.12</v>
      </c>
      <c r="T572" t="s">
        <v>445</v>
      </c>
    </row>
    <row r="573" spans="1:20" x14ac:dyDescent="0.25">
      <c r="A573">
        <v>2022373049</v>
      </c>
      <c r="B573" t="s">
        <v>149</v>
      </c>
      <c r="C573" t="s">
        <v>459</v>
      </c>
      <c r="D573" s="6" t="str">
        <f t="shared" si="24"/>
        <v>KATHLEEN CERRETANI</v>
      </c>
      <c r="E573" t="s">
        <v>445</v>
      </c>
      <c r="F573">
        <v>8977234</v>
      </c>
      <c r="G573" t="s">
        <v>1078</v>
      </c>
      <c r="H573" t="s">
        <v>56</v>
      </c>
      <c r="I573" s="1">
        <v>45372</v>
      </c>
      <c r="J573" s="1">
        <v>45951</v>
      </c>
      <c r="K573" s="2">
        <v>57.27</v>
      </c>
      <c r="L573">
        <f t="shared" si="25"/>
        <v>19</v>
      </c>
      <c r="M573" t="s">
        <v>59</v>
      </c>
      <c r="N573" t="s">
        <v>1148</v>
      </c>
      <c r="O573" s="4">
        <v>0.15</v>
      </c>
      <c r="P573" s="16">
        <f t="shared" si="26"/>
        <v>8.5905000000000005</v>
      </c>
      <c r="Q573" s="2">
        <v>0</v>
      </c>
      <c r="R573" s="2">
        <v>8.59</v>
      </c>
      <c r="S573" s="2">
        <v>8.59</v>
      </c>
      <c r="T573" t="s">
        <v>445</v>
      </c>
    </row>
    <row r="574" spans="1:20" x14ac:dyDescent="0.25">
      <c r="A574">
        <v>2022085303</v>
      </c>
      <c r="B574" t="s">
        <v>455</v>
      </c>
      <c r="C574" t="s">
        <v>456</v>
      </c>
      <c r="D574" s="6" t="str">
        <f t="shared" si="24"/>
        <v>BOBBY GOINS</v>
      </c>
      <c r="E574" t="s">
        <v>445</v>
      </c>
      <c r="F574">
        <v>8977234</v>
      </c>
      <c r="G574" t="s">
        <v>1078</v>
      </c>
      <c r="H574" t="s">
        <v>56</v>
      </c>
      <c r="I574" s="1">
        <v>45374</v>
      </c>
      <c r="J574" s="1">
        <v>45953</v>
      </c>
      <c r="K574" s="2">
        <v>159</v>
      </c>
      <c r="L574">
        <f t="shared" si="25"/>
        <v>19</v>
      </c>
      <c r="M574" t="s">
        <v>59</v>
      </c>
      <c r="N574" t="s">
        <v>1148</v>
      </c>
      <c r="O574" s="4">
        <v>0.15</v>
      </c>
      <c r="P574" s="16">
        <f t="shared" si="26"/>
        <v>23.849999999999998</v>
      </c>
      <c r="Q574" s="2">
        <v>0</v>
      </c>
      <c r="R574" s="2">
        <v>23.85</v>
      </c>
      <c r="S574" s="2">
        <v>23.85</v>
      </c>
      <c r="T574" t="s">
        <v>445</v>
      </c>
    </row>
    <row r="575" spans="1:20" x14ac:dyDescent="0.25">
      <c r="A575">
        <v>2022254780</v>
      </c>
      <c r="B575" t="s">
        <v>740</v>
      </c>
      <c r="C575" t="s">
        <v>145</v>
      </c>
      <c r="D575" s="6" t="str">
        <f t="shared" si="24"/>
        <v>CHARLES MOHLER</v>
      </c>
      <c r="E575" t="s">
        <v>445</v>
      </c>
      <c r="F575">
        <v>8977234</v>
      </c>
      <c r="G575" t="s">
        <v>1078</v>
      </c>
      <c r="H575" t="s">
        <v>56</v>
      </c>
      <c r="I575" s="1">
        <v>45364</v>
      </c>
      <c r="J575" s="1">
        <v>45943</v>
      </c>
      <c r="K575" s="2">
        <v>54.66</v>
      </c>
      <c r="L575">
        <f t="shared" si="25"/>
        <v>19</v>
      </c>
      <c r="M575" t="s">
        <v>59</v>
      </c>
      <c r="N575" t="s">
        <v>1148</v>
      </c>
      <c r="O575" s="4">
        <v>0.15</v>
      </c>
      <c r="P575" s="16">
        <f t="shared" si="26"/>
        <v>8.1989999999999998</v>
      </c>
      <c r="Q575" s="2">
        <v>0</v>
      </c>
      <c r="R575" s="2">
        <v>8.1999999999999993</v>
      </c>
      <c r="S575" s="2">
        <v>8.1999999999999993</v>
      </c>
      <c r="T575" t="s">
        <v>445</v>
      </c>
    </row>
    <row r="576" spans="1:20" x14ac:dyDescent="0.25">
      <c r="A576">
        <v>2020936967</v>
      </c>
      <c r="B576" t="s">
        <v>744</v>
      </c>
      <c r="C576" t="s">
        <v>743</v>
      </c>
      <c r="D576" s="6" t="str">
        <f t="shared" si="24"/>
        <v>ALICIA COUGHLAN</v>
      </c>
      <c r="E576" t="s">
        <v>445</v>
      </c>
      <c r="F576">
        <v>15278437</v>
      </c>
      <c r="G576" t="s">
        <v>1129</v>
      </c>
      <c r="H576" t="s">
        <v>230</v>
      </c>
      <c r="I576" s="1">
        <v>45262</v>
      </c>
      <c r="J576" s="1">
        <v>45932</v>
      </c>
      <c r="K576" s="2">
        <v>-58.53</v>
      </c>
      <c r="L576">
        <f t="shared" si="25"/>
        <v>22</v>
      </c>
      <c r="M576" t="s">
        <v>59</v>
      </c>
      <c r="N576" t="s">
        <v>1148</v>
      </c>
      <c r="O576" s="4">
        <v>0.15</v>
      </c>
      <c r="P576" s="16">
        <f t="shared" si="26"/>
        <v>-8.7795000000000005</v>
      </c>
      <c r="Q576" s="2">
        <v>0</v>
      </c>
      <c r="R576" s="2">
        <v>-8.7799999999999994</v>
      </c>
      <c r="S576" s="2">
        <v>-8.7799999999999994</v>
      </c>
      <c r="T576" t="s">
        <v>445</v>
      </c>
    </row>
    <row r="577" spans="1:53" x14ac:dyDescent="0.25">
      <c r="A577">
        <v>2019665209</v>
      </c>
      <c r="B577" t="s">
        <v>312</v>
      </c>
      <c r="C577" t="s">
        <v>313</v>
      </c>
      <c r="D577" s="6" t="str">
        <f t="shared" si="24"/>
        <v>ALAN CLARK</v>
      </c>
      <c r="E577" t="s">
        <v>445</v>
      </c>
      <c r="F577">
        <v>8977234</v>
      </c>
      <c r="G577" t="s">
        <v>1078</v>
      </c>
      <c r="H577" t="s">
        <v>56</v>
      </c>
      <c r="I577" s="1">
        <v>45192</v>
      </c>
      <c r="J577" s="1">
        <v>45953</v>
      </c>
      <c r="K577" s="2">
        <v>62.38</v>
      </c>
      <c r="L577">
        <f t="shared" si="25"/>
        <v>25</v>
      </c>
      <c r="M577" t="s">
        <v>59</v>
      </c>
      <c r="N577" t="s">
        <v>1148</v>
      </c>
      <c r="O577" s="4">
        <v>0.15</v>
      </c>
      <c r="P577" s="16">
        <f t="shared" si="26"/>
        <v>9.3569999999999993</v>
      </c>
      <c r="Q577" s="2">
        <v>0</v>
      </c>
      <c r="R577" s="2">
        <v>9.36</v>
      </c>
      <c r="S577" s="2">
        <v>9.36</v>
      </c>
      <c r="T577" t="s">
        <v>445</v>
      </c>
    </row>
    <row r="578" spans="1:53" x14ac:dyDescent="0.25">
      <c r="A578">
        <v>2019768187</v>
      </c>
      <c r="B578" t="s">
        <v>749</v>
      </c>
      <c r="C578" t="s">
        <v>368</v>
      </c>
      <c r="D578" s="6" t="str">
        <f t="shared" ref="D578:D641" si="27">CONCATENATE(C578, " ",B578)</f>
        <v>LISA BERNHARD</v>
      </c>
      <c r="E578" t="s">
        <v>445</v>
      </c>
      <c r="F578">
        <v>8977234</v>
      </c>
      <c r="G578" t="s">
        <v>1078</v>
      </c>
      <c r="H578" t="s">
        <v>56</v>
      </c>
      <c r="I578" s="1">
        <v>45157</v>
      </c>
      <c r="J578" s="1">
        <v>45949</v>
      </c>
      <c r="K578" s="2">
        <v>84.88</v>
      </c>
      <c r="L578">
        <f t="shared" ref="L578:L641" si="28">DATEDIF(I578,J578,"M")</f>
        <v>26</v>
      </c>
      <c r="M578" t="s">
        <v>59</v>
      </c>
      <c r="N578" t="s">
        <v>1148</v>
      </c>
      <c r="O578" s="4">
        <v>0.15</v>
      </c>
      <c r="P578" s="16">
        <f t="shared" ref="P578:P641" si="29">K578*O578</f>
        <v>12.731999999999999</v>
      </c>
      <c r="Q578" s="2">
        <v>0</v>
      </c>
      <c r="R578" s="2">
        <v>12.73</v>
      </c>
      <c r="S578" s="2">
        <v>12.73</v>
      </c>
      <c r="T578" t="s">
        <v>445</v>
      </c>
    </row>
    <row r="579" spans="1:53" x14ac:dyDescent="0.25">
      <c r="A579">
        <v>2018582687</v>
      </c>
      <c r="B579" t="s">
        <v>452</v>
      </c>
      <c r="C579" t="s">
        <v>179</v>
      </c>
      <c r="D579" s="6" t="str">
        <f t="shared" si="27"/>
        <v>TIMOTHY WOLFZORN</v>
      </c>
      <c r="E579" t="s">
        <v>445</v>
      </c>
      <c r="F579">
        <v>8977234</v>
      </c>
      <c r="G579" t="s">
        <v>1078</v>
      </c>
      <c r="H579" t="s">
        <v>56</v>
      </c>
      <c r="I579" s="1">
        <v>45096</v>
      </c>
      <c r="J579" s="1">
        <v>45949</v>
      </c>
      <c r="K579" s="2">
        <v>67.31</v>
      </c>
      <c r="L579">
        <f t="shared" si="28"/>
        <v>28</v>
      </c>
      <c r="M579" t="s">
        <v>59</v>
      </c>
      <c r="N579" t="s">
        <v>1148</v>
      </c>
      <c r="O579" s="4">
        <v>0.15</v>
      </c>
      <c r="P579" s="16">
        <f t="shared" si="29"/>
        <v>10.096500000000001</v>
      </c>
      <c r="Q579" s="2">
        <v>0</v>
      </c>
      <c r="R579" s="2">
        <v>10.1</v>
      </c>
      <c r="S579" s="2">
        <v>10.1</v>
      </c>
      <c r="T579" t="s">
        <v>445</v>
      </c>
    </row>
    <row r="580" spans="1:53" x14ac:dyDescent="0.25">
      <c r="A580">
        <v>2017630350</v>
      </c>
      <c r="B580" t="s">
        <v>756</v>
      </c>
      <c r="C580" t="s">
        <v>480</v>
      </c>
      <c r="D580" s="6" t="str">
        <f t="shared" si="27"/>
        <v>SUSAN HIGGINS</v>
      </c>
      <c r="E580" t="s">
        <v>445</v>
      </c>
      <c r="F580">
        <v>20436896</v>
      </c>
      <c r="G580" t="s">
        <v>1120</v>
      </c>
      <c r="H580" t="s">
        <v>56</v>
      </c>
      <c r="I580" s="1">
        <v>45001</v>
      </c>
      <c r="J580" s="1">
        <v>45946</v>
      </c>
      <c r="K580" s="2">
        <v>140.25</v>
      </c>
      <c r="L580">
        <f t="shared" si="28"/>
        <v>31</v>
      </c>
      <c r="M580" t="s">
        <v>59</v>
      </c>
      <c r="N580" t="s">
        <v>1148</v>
      </c>
      <c r="O580" s="4">
        <v>0.15</v>
      </c>
      <c r="P580" s="16">
        <f t="shared" si="29"/>
        <v>21.037499999999998</v>
      </c>
      <c r="Q580" s="2">
        <v>0</v>
      </c>
      <c r="R580" s="2">
        <v>21.04</v>
      </c>
      <c r="S580" s="2">
        <v>21.04</v>
      </c>
      <c r="T580" t="s">
        <v>445</v>
      </c>
    </row>
    <row r="581" spans="1:53" x14ac:dyDescent="0.25">
      <c r="A581">
        <v>2016853590</v>
      </c>
      <c r="B581" t="s">
        <v>443</v>
      </c>
      <c r="C581" t="s">
        <v>444</v>
      </c>
      <c r="D581" s="6" t="str">
        <f t="shared" si="27"/>
        <v>ROBERT HEARON</v>
      </c>
      <c r="E581" t="s">
        <v>445</v>
      </c>
      <c r="F581">
        <v>20436896</v>
      </c>
      <c r="G581" t="s">
        <v>1120</v>
      </c>
      <c r="H581" t="s">
        <v>56</v>
      </c>
      <c r="I581" s="1">
        <v>44927</v>
      </c>
      <c r="J581" s="1">
        <v>45931</v>
      </c>
      <c r="K581" s="2">
        <v>-27.21</v>
      </c>
      <c r="L581">
        <f t="shared" si="28"/>
        <v>33</v>
      </c>
      <c r="M581" t="s">
        <v>59</v>
      </c>
      <c r="N581" t="s">
        <v>1148</v>
      </c>
      <c r="O581" s="4">
        <v>0.15</v>
      </c>
      <c r="P581" s="16">
        <f t="shared" si="29"/>
        <v>-4.0815000000000001</v>
      </c>
      <c r="Q581" s="2">
        <v>0</v>
      </c>
      <c r="R581" s="2">
        <v>-4.08</v>
      </c>
      <c r="S581" s="2">
        <v>-4.08</v>
      </c>
      <c r="T581" t="s">
        <v>445</v>
      </c>
    </row>
    <row r="582" spans="1:53" x14ac:dyDescent="0.25">
      <c r="A582" s="6">
        <v>2030846037</v>
      </c>
      <c r="B582" s="6" t="s">
        <v>414</v>
      </c>
      <c r="C582" s="6" t="s">
        <v>415</v>
      </c>
      <c r="D582" s="6" t="str">
        <f t="shared" si="27"/>
        <v>ANNETTE COMPTON</v>
      </c>
      <c r="E582" s="6" t="s">
        <v>307</v>
      </c>
      <c r="F582" s="6">
        <v>21421111</v>
      </c>
      <c r="G582" s="6" t="s">
        <v>1096</v>
      </c>
      <c r="H582" s="6" t="s">
        <v>230</v>
      </c>
      <c r="I582" s="5">
        <v>45913</v>
      </c>
      <c r="J582" s="5">
        <v>45943</v>
      </c>
      <c r="K582" s="7">
        <v>-28.38</v>
      </c>
      <c r="L582" s="6">
        <f t="shared" si="28"/>
        <v>1</v>
      </c>
      <c r="M582" s="6" t="s">
        <v>59</v>
      </c>
      <c r="N582" s="6" t="s">
        <v>1145</v>
      </c>
      <c r="O582" s="8">
        <v>0.375</v>
      </c>
      <c r="P582" s="16">
        <f t="shared" si="29"/>
        <v>-10.6425</v>
      </c>
      <c r="Q582" s="7">
        <v>0</v>
      </c>
      <c r="R582" s="7">
        <v>-10.64</v>
      </c>
      <c r="S582" s="7">
        <v>-10.64</v>
      </c>
      <c r="T582" s="6" t="s">
        <v>307</v>
      </c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</row>
    <row r="583" spans="1:53" x14ac:dyDescent="0.25">
      <c r="A583" s="6">
        <v>2030978541</v>
      </c>
      <c r="B583" s="6" t="s">
        <v>416</v>
      </c>
      <c r="C583" s="6" t="s">
        <v>417</v>
      </c>
      <c r="D583" s="6" t="str">
        <f t="shared" si="27"/>
        <v>LAURA LINARES</v>
      </c>
      <c r="E583" s="6" t="s">
        <v>307</v>
      </c>
      <c r="F583" s="6">
        <v>21421111</v>
      </c>
      <c r="G583" s="6" t="s">
        <v>1096</v>
      </c>
      <c r="H583" s="6" t="s">
        <v>56</v>
      </c>
      <c r="I583" s="5">
        <v>45889</v>
      </c>
      <c r="J583" s="5">
        <v>45920</v>
      </c>
      <c r="K583" s="7">
        <v>33.39</v>
      </c>
      <c r="L583" s="6">
        <f t="shared" si="28"/>
        <v>1</v>
      </c>
      <c r="M583" s="6" t="s">
        <v>59</v>
      </c>
      <c r="N583" s="6" t="s">
        <v>1145</v>
      </c>
      <c r="O583" s="8">
        <v>0.375</v>
      </c>
      <c r="P583" s="16">
        <f t="shared" si="29"/>
        <v>12.52125</v>
      </c>
      <c r="Q583" s="7">
        <v>0</v>
      </c>
      <c r="R583" s="7">
        <v>12.52</v>
      </c>
      <c r="S583" s="7">
        <v>12.52</v>
      </c>
      <c r="T583" s="6" t="s">
        <v>307</v>
      </c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</row>
    <row r="584" spans="1:53" x14ac:dyDescent="0.25">
      <c r="A584" s="6">
        <v>2030479075</v>
      </c>
      <c r="B584" s="6" t="s">
        <v>156</v>
      </c>
      <c r="C584" s="6" t="s">
        <v>610</v>
      </c>
      <c r="D584" s="6" t="str">
        <f t="shared" si="27"/>
        <v>SHAMARA MARTIN</v>
      </c>
      <c r="E584" s="6" t="s">
        <v>307</v>
      </c>
      <c r="F584" s="6">
        <v>21421111</v>
      </c>
      <c r="G584" s="6" t="s">
        <v>1096</v>
      </c>
      <c r="H584" s="6" t="s">
        <v>230</v>
      </c>
      <c r="I584" s="5">
        <v>45886</v>
      </c>
      <c r="J584" s="5">
        <v>45917</v>
      </c>
      <c r="K584" s="7">
        <v>-3.73</v>
      </c>
      <c r="L584" s="6">
        <f t="shared" si="28"/>
        <v>1</v>
      </c>
      <c r="M584" s="6" t="s">
        <v>59</v>
      </c>
      <c r="N584" s="6" t="s">
        <v>1145</v>
      </c>
      <c r="O584" s="8">
        <v>0.375</v>
      </c>
      <c r="P584" s="16">
        <f t="shared" si="29"/>
        <v>-1.3987499999999999</v>
      </c>
      <c r="Q584" s="7">
        <v>0</v>
      </c>
      <c r="R584" s="7">
        <v>-1.4</v>
      </c>
      <c r="S584" s="7">
        <v>-1.4</v>
      </c>
      <c r="T584" s="6" t="s">
        <v>307</v>
      </c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</row>
    <row r="585" spans="1:53" x14ac:dyDescent="0.25">
      <c r="A585" s="6">
        <v>2030452963</v>
      </c>
      <c r="B585" s="6" t="s">
        <v>625</v>
      </c>
      <c r="C585" s="6" t="s">
        <v>85</v>
      </c>
      <c r="D585" s="6" t="str">
        <f t="shared" si="27"/>
        <v>JOHN ANDERSON</v>
      </c>
      <c r="E585" s="6" t="s">
        <v>307</v>
      </c>
      <c r="F585" s="6">
        <v>6634327</v>
      </c>
      <c r="G585" s="6" t="s">
        <v>1134</v>
      </c>
      <c r="H585" s="6" t="s">
        <v>56</v>
      </c>
      <c r="I585" s="5">
        <v>45882</v>
      </c>
      <c r="J585" s="5">
        <v>45943</v>
      </c>
      <c r="K585" s="7">
        <v>205.33</v>
      </c>
      <c r="L585" s="6">
        <f t="shared" si="28"/>
        <v>2</v>
      </c>
      <c r="M585" s="6" t="s">
        <v>59</v>
      </c>
      <c r="N585" s="6" t="s">
        <v>1145</v>
      </c>
      <c r="O585" s="8">
        <v>0.375</v>
      </c>
      <c r="P585" s="16">
        <f t="shared" si="29"/>
        <v>76.998750000000001</v>
      </c>
      <c r="Q585" s="7">
        <v>77</v>
      </c>
      <c r="R585" s="7">
        <v>0</v>
      </c>
      <c r="S585" s="7">
        <v>0</v>
      </c>
      <c r="T585" s="6" t="s">
        <v>307</v>
      </c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</row>
    <row r="586" spans="1:53" x14ac:dyDescent="0.25">
      <c r="A586" s="6">
        <v>2030461446</v>
      </c>
      <c r="B586" s="6" t="s">
        <v>398</v>
      </c>
      <c r="C586" s="6" t="s">
        <v>399</v>
      </c>
      <c r="D586" s="6" t="str">
        <f t="shared" si="27"/>
        <v>MELTON JASON</v>
      </c>
      <c r="E586" s="6" t="s">
        <v>307</v>
      </c>
      <c r="F586" s="6">
        <v>371819</v>
      </c>
      <c r="G586" s="6" t="s">
        <v>1085</v>
      </c>
      <c r="H586" s="6" t="s">
        <v>56</v>
      </c>
      <c r="I586" s="5">
        <v>45892</v>
      </c>
      <c r="J586" s="5">
        <v>45953</v>
      </c>
      <c r="K586" s="7">
        <v>79.27</v>
      </c>
      <c r="L586" s="6">
        <f t="shared" si="28"/>
        <v>2</v>
      </c>
      <c r="M586" s="6" t="s">
        <v>59</v>
      </c>
      <c r="N586" s="6" t="s">
        <v>1145</v>
      </c>
      <c r="O586" s="8">
        <v>0.375</v>
      </c>
      <c r="P586" s="16">
        <f t="shared" si="29"/>
        <v>29.72625</v>
      </c>
      <c r="Q586" s="7">
        <v>29.73</v>
      </c>
      <c r="R586" s="7">
        <v>0</v>
      </c>
      <c r="S586" s="7">
        <v>0</v>
      </c>
      <c r="T586" s="6" t="s">
        <v>307</v>
      </c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</row>
    <row r="587" spans="1:53" x14ac:dyDescent="0.25">
      <c r="A587" s="6">
        <v>2030590884</v>
      </c>
      <c r="B587" s="6" t="s">
        <v>407</v>
      </c>
      <c r="C587" s="6" t="s">
        <v>393</v>
      </c>
      <c r="D587" s="6" t="str">
        <f t="shared" si="27"/>
        <v>BROWN KENZLEE</v>
      </c>
      <c r="E587" s="6" t="s">
        <v>307</v>
      </c>
      <c r="F587" s="6">
        <v>371819</v>
      </c>
      <c r="G587" s="6" t="s">
        <v>1085</v>
      </c>
      <c r="H587" s="6" t="s">
        <v>56</v>
      </c>
      <c r="I587" s="5">
        <v>45890</v>
      </c>
      <c r="J587" s="5">
        <v>45951</v>
      </c>
      <c r="K587" s="7">
        <v>17.37</v>
      </c>
      <c r="L587" s="6">
        <f t="shared" si="28"/>
        <v>2</v>
      </c>
      <c r="M587" s="6" t="s">
        <v>59</v>
      </c>
      <c r="N587" s="6" t="s">
        <v>1145</v>
      </c>
      <c r="O587" s="8">
        <v>0.375</v>
      </c>
      <c r="P587" s="16">
        <f t="shared" si="29"/>
        <v>6.5137499999999999</v>
      </c>
      <c r="Q587" s="7">
        <v>6.51</v>
      </c>
      <c r="R587" s="7">
        <v>0</v>
      </c>
      <c r="S587" s="7">
        <v>0</v>
      </c>
      <c r="T587" s="6" t="s">
        <v>307</v>
      </c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</row>
    <row r="588" spans="1:53" x14ac:dyDescent="0.25">
      <c r="A588" s="6">
        <v>2030978541</v>
      </c>
      <c r="B588" s="6" t="s">
        <v>416</v>
      </c>
      <c r="C588" s="6" t="s">
        <v>417</v>
      </c>
      <c r="D588" s="6" t="str">
        <f t="shared" si="27"/>
        <v>LAURA LINARES</v>
      </c>
      <c r="E588" s="6" t="s">
        <v>307</v>
      </c>
      <c r="F588" s="6">
        <v>21421111</v>
      </c>
      <c r="G588" s="6" t="s">
        <v>1096</v>
      </c>
      <c r="H588" s="6" t="s">
        <v>56</v>
      </c>
      <c r="I588" s="5">
        <v>45889</v>
      </c>
      <c r="J588" s="5">
        <v>45950</v>
      </c>
      <c r="K588" s="7">
        <v>33.39</v>
      </c>
      <c r="L588" s="6">
        <f t="shared" si="28"/>
        <v>2</v>
      </c>
      <c r="M588" s="6" t="s">
        <v>59</v>
      </c>
      <c r="N588" s="6" t="s">
        <v>1145</v>
      </c>
      <c r="O588" s="8">
        <v>0.375</v>
      </c>
      <c r="P588" s="16">
        <f t="shared" si="29"/>
        <v>12.52125</v>
      </c>
      <c r="Q588" s="7">
        <v>0</v>
      </c>
      <c r="R588" s="7">
        <v>12.52</v>
      </c>
      <c r="S588" s="7">
        <v>12.52</v>
      </c>
      <c r="T588" s="6" t="s">
        <v>307</v>
      </c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</row>
    <row r="589" spans="1:53" x14ac:dyDescent="0.25">
      <c r="A589" s="6">
        <v>2030601875</v>
      </c>
      <c r="B589" s="6" t="s">
        <v>411</v>
      </c>
      <c r="C589" s="6" t="s">
        <v>123</v>
      </c>
      <c r="D589" s="6" t="str">
        <f t="shared" si="27"/>
        <v>THOMAS REEANNA</v>
      </c>
      <c r="E589" s="6" t="s">
        <v>307</v>
      </c>
      <c r="F589" s="6">
        <v>8971826</v>
      </c>
      <c r="G589" s="6" t="s">
        <v>1103</v>
      </c>
      <c r="H589" s="6" t="s">
        <v>56</v>
      </c>
      <c r="I589" s="5">
        <v>45890</v>
      </c>
      <c r="J589" s="5">
        <v>45951</v>
      </c>
      <c r="K589" s="7">
        <v>36.65</v>
      </c>
      <c r="L589" s="6">
        <f t="shared" si="28"/>
        <v>2</v>
      </c>
      <c r="M589" s="6" t="s">
        <v>59</v>
      </c>
      <c r="N589" s="6" t="s">
        <v>1145</v>
      </c>
      <c r="O589" s="8">
        <v>0.375</v>
      </c>
      <c r="P589" s="16">
        <f t="shared" si="29"/>
        <v>13.743749999999999</v>
      </c>
      <c r="Q589" s="7">
        <v>13.74</v>
      </c>
      <c r="R589" s="7">
        <v>0</v>
      </c>
      <c r="S589" s="7">
        <v>0</v>
      </c>
      <c r="T589" s="6" t="s">
        <v>307</v>
      </c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</row>
    <row r="590" spans="1:53" x14ac:dyDescent="0.25">
      <c r="A590" s="6">
        <v>2030601614</v>
      </c>
      <c r="B590" s="6" t="s">
        <v>409</v>
      </c>
      <c r="C590" s="6" t="s">
        <v>410</v>
      </c>
      <c r="D590" s="6" t="str">
        <f t="shared" si="27"/>
        <v>O'CONNOR SARAH</v>
      </c>
      <c r="E590" s="6" t="s">
        <v>307</v>
      </c>
      <c r="F590" s="6">
        <v>19681796</v>
      </c>
      <c r="G590" s="6" t="s">
        <v>1118</v>
      </c>
      <c r="H590" s="6" t="s">
        <v>56</v>
      </c>
      <c r="I590" s="5">
        <v>45891</v>
      </c>
      <c r="J590" s="5">
        <v>45952</v>
      </c>
      <c r="K590" s="7">
        <v>63.37</v>
      </c>
      <c r="L590" s="6">
        <f t="shared" si="28"/>
        <v>2</v>
      </c>
      <c r="M590" s="6" t="s">
        <v>59</v>
      </c>
      <c r="N590" s="6" t="s">
        <v>1145</v>
      </c>
      <c r="O590" s="8">
        <v>0.375</v>
      </c>
      <c r="P590" s="16">
        <f t="shared" si="29"/>
        <v>23.763749999999998</v>
      </c>
      <c r="Q590" s="7">
        <v>23.76</v>
      </c>
      <c r="R590" s="7">
        <v>0</v>
      </c>
      <c r="S590" s="7">
        <v>0</v>
      </c>
      <c r="T590" s="6" t="s">
        <v>307</v>
      </c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</row>
    <row r="591" spans="1:53" x14ac:dyDescent="0.25">
      <c r="A591" s="6">
        <v>2030455580</v>
      </c>
      <c r="B591" s="6" t="s">
        <v>710</v>
      </c>
      <c r="C591" s="6" t="s">
        <v>398</v>
      </c>
      <c r="D591" s="6" t="str">
        <f t="shared" si="27"/>
        <v>JASON TROUT</v>
      </c>
      <c r="E591" s="6" t="s">
        <v>307</v>
      </c>
      <c r="F591" s="6">
        <v>16865615</v>
      </c>
      <c r="G591" s="6" t="s">
        <v>1107</v>
      </c>
      <c r="H591" s="6" t="s">
        <v>56</v>
      </c>
      <c r="I591" s="5">
        <v>45882</v>
      </c>
      <c r="J591" s="5">
        <v>45943</v>
      </c>
      <c r="K591" s="7">
        <v>160.85</v>
      </c>
      <c r="L591" s="6">
        <f t="shared" si="28"/>
        <v>2</v>
      </c>
      <c r="M591" s="6" t="s">
        <v>59</v>
      </c>
      <c r="N591" s="6" t="s">
        <v>1145</v>
      </c>
      <c r="O591" s="8">
        <v>0.375</v>
      </c>
      <c r="P591" s="16">
        <f t="shared" si="29"/>
        <v>60.318749999999994</v>
      </c>
      <c r="Q591" s="7">
        <v>60.32</v>
      </c>
      <c r="R591" s="7">
        <v>0</v>
      </c>
      <c r="S591" s="7">
        <v>0</v>
      </c>
      <c r="T591" s="6" t="s">
        <v>307</v>
      </c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</row>
    <row r="592" spans="1:53" x14ac:dyDescent="0.25">
      <c r="A592" s="6">
        <v>2029985851</v>
      </c>
      <c r="B592" s="6" t="s">
        <v>825</v>
      </c>
      <c r="C592" s="6" t="s">
        <v>283</v>
      </c>
      <c r="D592" s="6" t="str">
        <f t="shared" si="27"/>
        <v>ANDREA ACHIMAS</v>
      </c>
      <c r="E592" s="6" t="s">
        <v>307</v>
      </c>
      <c r="F592" s="6">
        <v>16633294</v>
      </c>
      <c r="G592" s="6" t="s">
        <v>1079</v>
      </c>
      <c r="H592" s="6" t="s">
        <v>56</v>
      </c>
      <c r="I592" s="5">
        <v>45855</v>
      </c>
      <c r="J592" s="5">
        <v>45947</v>
      </c>
      <c r="K592" s="7">
        <v>149.87</v>
      </c>
      <c r="L592" s="6">
        <f t="shared" si="28"/>
        <v>3</v>
      </c>
      <c r="M592" s="6" t="s">
        <v>59</v>
      </c>
      <c r="N592" s="6" t="s">
        <v>1145</v>
      </c>
      <c r="O592" s="8">
        <v>0.375</v>
      </c>
      <c r="P592" s="16">
        <f t="shared" si="29"/>
        <v>56.201250000000002</v>
      </c>
      <c r="Q592" s="7">
        <v>56.2</v>
      </c>
      <c r="R592" s="7">
        <v>0</v>
      </c>
      <c r="S592" s="7">
        <v>0</v>
      </c>
      <c r="T592" s="6" t="s">
        <v>307</v>
      </c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</row>
    <row r="593" spans="1:53" x14ac:dyDescent="0.25">
      <c r="A593" s="6">
        <v>2029880648</v>
      </c>
      <c r="B593" s="6" t="s">
        <v>388</v>
      </c>
      <c r="C593" s="6" t="s">
        <v>389</v>
      </c>
      <c r="D593" s="6" t="str">
        <f t="shared" si="27"/>
        <v>GARCIA CAROLE</v>
      </c>
      <c r="E593" s="6" t="s">
        <v>307</v>
      </c>
      <c r="F593" s="6">
        <v>19200754</v>
      </c>
      <c r="G593" s="6" t="s">
        <v>1094</v>
      </c>
      <c r="H593" s="6" t="s">
        <v>56</v>
      </c>
      <c r="I593" s="5">
        <v>45858</v>
      </c>
      <c r="J593" s="5">
        <v>45950</v>
      </c>
      <c r="K593" s="7">
        <v>77.48</v>
      </c>
      <c r="L593" s="6">
        <f t="shared" si="28"/>
        <v>3</v>
      </c>
      <c r="M593" s="6" t="s">
        <v>59</v>
      </c>
      <c r="N593" s="6" t="s">
        <v>1145</v>
      </c>
      <c r="O593" s="8">
        <v>0.375</v>
      </c>
      <c r="P593" s="16">
        <f t="shared" si="29"/>
        <v>29.055</v>
      </c>
      <c r="Q593" s="7">
        <v>29.06</v>
      </c>
      <c r="R593" s="7">
        <v>0</v>
      </c>
      <c r="S593" s="7">
        <v>0</v>
      </c>
      <c r="T593" s="6" t="s">
        <v>307</v>
      </c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</row>
    <row r="594" spans="1:53" x14ac:dyDescent="0.25">
      <c r="A594" s="6">
        <v>2030113889</v>
      </c>
      <c r="B594" s="6" t="s">
        <v>394</v>
      </c>
      <c r="C594" s="6" t="s">
        <v>395</v>
      </c>
      <c r="D594" s="6" t="str">
        <f t="shared" si="27"/>
        <v>THORNTON DAWN</v>
      </c>
      <c r="E594" s="6" t="s">
        <v>307</v>
      </c>
      <c r="F594" s="6">
        <v>371819</v>
      </c>
      <c r="G594" s="6" t="s">
        <v>1085</v>
      </c>
      <c r="H594" s="6" t="s">
        <v>56</v>
      </c>
      <c r="I594" s="5">
        <v>45862</v>
      </c>
      <c r="J594" s="5">
        <v>45954</v>
      </c>
      <c r="K594" s="7">
        <v>62.71</v>
      </c>
      <c r="L594" s="6">
        <f t="shared" si="28"/>
        <v>3</v>
      </c>
      <c r="M594" s="6" t="s">
        <v>59</v>
      </c>
      <c r="N594" s="6" t="s">
        <v>1145</v>
      </c>
      <c r="O594" s="8">
        <v>0.375</v>
      </c>
      <c r="P594" s="16">
        <f t="shared" si="29"/>
        <v>23.516249999999999</v>
      </c>
      <c r="Q594" s="7">
        <v>23.52</v>
      </c>
      <c r="R594" s="7">
        <v>0</v>
      </c>
      <c r="S594" s="7">
        <v>0</v>
      </c>
      <c r="T594" s="6" t="s">
        <v>307</v>
      </c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</row>
    <row r="595" spans="1:53" x14ac:dyDescent="0.25">
      <c r="A595" s="6">
        <v>2029938125</v>
      </c>
      <c r="B595" s="6" t="s">
        <v>837</v>
      </c>
      <c r="C595" s="6" t="s">
        <v>836</v>
      </c>
      <c r="D595" s="6" t="str">
        <f t="shared" si="27"/>
        <v>KENZIE DUKE</v>
      </c>
      <c r="E595" s="6" t="s">
        <v>307</v>
      </c>
      <c r="F595" s="6">
        <v>371819</v>
      </c>
      <c r="G595" s="6" t="s">
        <v>1085</v>
      </c>
      <c r="H595" s="6" t="s">
        <v>56</v>
      </c>
      <c r="I595" s="5">
        <v>45853</v>
      </c>
      <c r="J595" s="5">
        <v>45945</v>
      </c>
      <c r="K595" s="7">
        <v>110.61</v>
      </c>
      <c r="L595" s="6">
        <f t="shared" si="28"/>
        <v>3</v>
      </c>
      <c r="M595" s="6" t="s">
        <v>59</v>
      </c>
      <c r="N595" s="6" t="s">
        <v>1145</v>
      </c>
      <c r="O595" s="8">
        <v>0.375</v>
      </c>
      <c r="P595" s="16">
        <f t="shared" si="29"/>
        <v>41.478749999999998</v>
      </c>
      <c r="Q595" s="7">
        <v>41.48</v>
      </c>
      <c r="R595" s="7">
        <v>0</v>
      </c>
      <c r="S595" s="7">
        <v>0</v>
      </c>
      <c r="T595" s="6" t="s">
        <v>307</v>
      </c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</row>
    <row r="596" spans="1:53" x14ac:dyDescent="0.25">
      <c r="A596" s="6">
        <v>2029969606</v>
      </c>
      <c r="B596" s="6" t="s">
        <v>831</v>
      </c>
      <c r="C596" s="6" t="s">
        <v>830</v>
      </c>
      <c r="D596" s="6" t="str">
        <f t="shared" si="27"/>
        <v>STEPHEN DUNCAN</v>
      </c>
      <c r="E596" s="6" t="s">
        <v>307</v>
      </c>
      <c r="F596" s="6">
        <v>16865615</v>
      </c>
      <c r="G596" s="6" t="s">
        <v>1107</v>
      </c>
      <c r="H596" s="6" t="s">
        <v>56</v>
      </c>
      <c r="I596" s="5">
        <v>45854</v>
      </c>
      <c r="J596" s="5">
        <v>45946</v>
      </c>
      <c r="K596" s="7">
        <v>63.62</v>
      </c>
      <c r="L596" s="6">
        <f t="shared" si="28"/>
        <v>3</v>
      </c>
      <c r="M596" s="6" t="s">
        <v>59</v>
      </c>
      <c r="N596" s="6" t="s">
        <v>1145</v>
      </c>
      <c r="O596" s="8">
        <v>0.375</v>
      </c>
      <c r="P596" s="16">
        <f t="shared" si="29"/>
        <v>23.857499999999998</v>
      </c>
      <c r="Q596" s="7">
        <v>23.86</v>
      </c>
      <c r="R596" s="7">
        <v>0</v>
      </c>
      <c r="S596" s="7">
        <v>0</v>
      </c>
      <c r="T596" s="6" t="s">
        <v>307</v>
      </c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</row>
    <row r="597" spans="1:53" x14ac:dyDescent="0.25">
      <c r="A597" s="6">
        <v>2029957805</v>
      </c>
      <c r="B597" s="6" t="s">
        <v>361</v>
      </c>
      <c r="C597" s="6" t="s">
        <v>832</v>
      </c>
      <c r="D597" s="6" t="str">
        <f t="shared" si="27"/>
        <v>JULIE JENSEN</v>
      </c>
      <c r="E597" s="6" t="s">
        <v>307</v>
      </c>
      <c r="F597" s="6">
        <v>20724564</v>
      </c>
      <c r="G597" s="6" t="s">
        <v>1080</v>
      </c>
      <c r="H597" s="6" t="s">
        <v>56</v>
      </c>
      <c r="I597" s="5">
        <v>45854</v>
      </c>
      <c r="J597" s="5">
        <v>45946</v>
      </c>
      <c r="K597" s="7">
        <v>58.15</v>
      </c>
      <c r="L597" s="6">
        <f t="shared" si="28"/>
        <v>3</v>
      </c>
      <c r="M597" s="6" t="s">
        <v>59</v>
      </c>
      <c r="N597" s="6" t="s">
        <v>1145</v>
      </c>
      <c r="O597" s="8">
        <v>0.375</v>
      </c>
      <c r="P597" s="16">
        <f t="shared" si="29"/>
        <v>21.806249999999999</v>
      </c>
      <c r="Q597" s="7">
        <v>21.81</v>
      </c>
      <c r="R597" s="7">
        <v>0</v>
      </c>
      <c r="S597" s="7">
        <v>0</v>
      </c>
      <c r="T597" s="6" t="s">
        <v>307</v>
      </c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</row>
    <row r="598" spans="1:53" x14ac:dyDescent="0.25">
      <c r="A598" s="6">
        <v>2029880669</v>
      </c>
      <c r="B598" s="6" t="s">
        <v>839</v>
      </c>
      <c r="C598" s="6" t="s">
        <v>838</v>
      </c>
      <c r="D598" s="6" t="str">
        <f t="shared" si="27"/>
        <v>OSCAR KLIS</v>
      </c>
      <c r="E598" s="6" t="s">
        <v>307</v>
      </c>
      <c r="F598" s="6">
        <v>7146581</v>
      </c>
      <c r="G598" s="6" t="s">
        <v>1110</v>
      </c>
      <c r="H598" s="6" t="s">
        <v>56</v>
      </c>
      <c r="I598" s="5">
        <v>45848</v>
      </c>
      <c r="J598" s="5">
        <v>45940</v>
      </c>
      <c r="K598" s="7">
        <v>77.48</v>
      </c>
      <c r="L598" s="6">
        <f t="shared" si="28"/>
        <v>3</v>
      </c>
      <c r="M598" s="6" t="s">
        <v>59</v>
      </c>
      <c r="N598" s="6" t="s">
        <v>1145</v>
      </c>
      <c r="O598" s="8">
        <v>0.375</v>
      </c>
      <c r="P598" s="16">
        <f t="shared" si="29"/>
        <v>29.055</v>
      </c>
      <c r="Q598" s="7">
        <v>29.06</v>
      </c>
      <c r="R598" s="7">
        <v>0</v>
      </c>
      <c r="S598" s="7">
        <v>0</v>
      </c>
      <c r="T598" s="6" t="s">
        <v>307</v>
      </c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</row>
    <row r="599" spans="1:53" x14ac:dyDescent="0.25">
      <c r="A599" s="6">
        <v>2030108808</v>
      </c>
      <c r="B599" s="6" t="s">
        <v>219</v>
      </c>
      <c r="C599" s="6" t="s">
        <v>220</v>
      </c>
      <c r="D599" s="6" t="str">
        <f t="shared" si="27"/>
        <v>CARR LAUREN</v>
      </c>
      <c r="E599" s="6" t="s">
        <v>307</v>
      </c>
      <c r="F599" s="6">
        <v>21313588</v>
      </c>
      <c r="G599" s="6" t="s">
        <v>1109</v>
      </c>
      <c r="H599" s="6" t="s">
        <v>56</v>
      </c>
      <c r="I599" s="5">
        <v>45862</v>
      </c>
      <c r="J599" s="5">
        <v>45954</v>
      </c>
      <c r="K599" s="7">
        <v>47.28</v>
      </c>
      <c r="L599" s="6">
        <f t="shared" si="28"/>
        <v>3</v>
      </c>
      <c r="M599" s="6" t="s">
        <v>59</v>
      </c>
      <c r="N599" s="6" t="s">
        <v>1145</v>
      </c>
      <c r="O599" s="8">
        <v>0.375</v>
      </c>
      <c r="P599" s="16">
        <f t="shared" si="29"/>
        <v>17.73</v>
      </c>
      <c r="Q599" s="7">
        <v>17.73</v>
      </c>
      <c r="R599" s="7">
        <v>0</v>
      </c>
      <c r="S599" s="7">
        <v>0</v>
      </c>
      <c r="T599" s="6" t="s">
        <v>307</v>
      </c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</row>
    <row r="600" spans="1:53" x14ac:dyDescent="0.25">
      <c r="A600" s="6">
        <v>2029368470</v>
      </c>
      <c r="B600" s="6" t="s">
        <v>416</v>
      </c>
      <c r="C600" s="6" t="s">
        <v>616</v>
      </c>
      <c r="D600" s="6" t="str">
        <f t="shared" si="27"/>
        <v>LARRY LINARES</v>
      </c>
      <c r="E600" s="6" t="s">
        <v>307</v>
      </c>
      <c r="F600" s="6">
        <v>21421111</v>
      </c>
      <c r="G600" s="6" t="s">
        <v>1096</v>
      </c>
      <c r="H600" s="6" t="s">
        <v>230</v>
      </c>
      <c r="I600" s="5">
        <v>45839</v>
      </c>
      <c r="J600" s="5">
        <v>45931</v>
      </c>
      <c r="K600" s="7">
        <v>-63.4</v>
      </c>
      <c r="L600" s="6">
        <f t="shared" si="28"/>
        <v>3</v>
      </c>
      <c r="M600" s="6" t="s">
        <v>59</v>
      </c>
      <c r="N600" s="6" t="s">
        <v>1145</v>
      </c>
      <c r="O600" s="8">
        <v>0.375</v>
      </c>
      <c r="P600" s="16">
        <f t="shared" si="29"/>
        <v>-23.774999999999999</v>
      </c>
      <c r="Q600" s="7">
        <v>0</v>
      </c>
      <c r="R600" s="7">
        <v>-23.78</v>
      </c>
      <c r="S600" s="7">
        <v>-23.78</v>
      </c>
      <c r="T600" s="6" t="s">
        <v>307</v>
      </c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</row>
    <row r="601" spans="1:53" x14ac:dyDescent="0.25">
      <c r="A601" s="6">
        <v>2029368470</v>
      </c>
      <c r="B601" s="6" t="s">
        <v>416</v>
      </c>
      <c r="C601" s="6" t="s">
        <v>616</v>
      </c>
      <c r="D601" s="6" t="str">
        <f t="shared" si="27"/>
        <v>LARRY LINARES</v>
      </c>
      <c r="E601" s="6" t="s">
        <v>307</v>
      </c>
      <c r="F601" s="6">
        <v>21421111</v>
      </c>
      <c r="G601" s="6" t="s">
        <v>1096</v>
      </c>
      <c r="H601" s="6" t="s">
        <v>230</v>
      </c>
      <c r="I601" s="5">
        <v>45839</v>
      </c>
      <c r="J601" s="5">
        <v>45931</v>
      </c>
      <c r="K601" s="7">
        <v>-33.39</v>
      </c>
      <c r="L601" s="6">
        <f t="shared" si="28"/>
        <v>3</v>
      </c>
      <c r="M601" s="6" t="s">
        <v>59</v>
      </c>
      <c r="N601" s="6" t="s">
        <v>1145</v>
      </c>
      <c r="O601" s="8">
        <v>0.375</v>
      </c>
      <c r="P601" s="16">
        <f t="shared" si="29"/>
        <v>-12.52125</v>
      </c>
      <c r="Q601" s="7">
        <v>0</v>
      </c>
      <c r="R601" s="7">
        <v>-12.52</v>
      </c>
      <c r="S601" s="7">
        <v>-12.52</v>
      </c>
      <c r="T601" s="6" t="s">
        <v>307</v>
      </c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</row>
    <row r="602" spans="1:53" x14ac:dyDescent="0.25">
      <c r="A602" s="6">
        <v>2029955371</v>
      </c>
      <c r="B602" s="6" t="s">
        <v>774</v>
      </c>
      <c r="C602" s="6" t="s">
        <v>773</v>
      </c>
      <c r="D602" s="6" t="str">
        <f t="shared" si="27"/>
        <v>MELISSA LOUIE</v>
      </c>
      <c r="E602" s="6" t="s">
        <v>307</v>
      </c>
      <c r="F602" s="6">
        <v>6634327</v>
      </c>
      <c r="G602" s="6" t="s">
        <v>1134</v>
      </c>
      <c r="H602" s="6" t="s">
        <v>56</v>
      </c>
      <c r="I602" s="5">
        <v>45853</v>
      </c>
      <c r="J602" s="5">
        <v>45945</v>
      </c>
      <c r="K602" s="7">
        <v>63.62</v>
      </c>
      <c r="L602" s="6">
        <f t="shared" si="28"/>
        <v>3</v>
      </c>
      <c r="M602" s="6" t="s">
        <v>59</v>
      </c>
      <c r="N602" s="6" t="s">
        <v>1145</v>
      </c>
      <c r="O602" s="8">
        <v>0.375</v>
      </c>
      <c r="P602" s="16">
        <f t="shared" si="29"/>
        <v>23.857499999999998</v>
      </c>
      <c r="Q602" s="7">
        <v>23.86</v>
      </c>
      <c r="R602" s="7">
        <v>0</v>
      </c>
      <c r="S602" s="7">
        <v>0</v>
      </c>
      <c r="T602" s="6" t="s">
        <v>307</v>
      </c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</row>
    <row r="603" spans="1:53" x14ac:dyDescent="0.25">
      <c r="A603" s="6">
        <v>2029528274</v>
      </c>
      <c r="B603" s="6" t="s">
        <v>840</v>
      </c>
      <c r="C603" s="6" t="s">
        <v>789</v>
      </c>
      <c r="D603" s="6" t="str">
        <f t="shared" si="27"/>
        <v>JOSEPH BIZZIERI</v>
      </c>
      <c r="E603" s="6" t="s">
        <v>307</v>
      </c>
      <c r="F603" s="6">
        <v>21421111</v>
      </c>
      <c r="G603" s="6" t="s">
        <v>1096</v>
      </c>
      <c r="H603" s="6" t="s">
        <v>56</v>
      </c>
      <c r="I603" s="5">
        <v>45827</v>
      </c>
      <c r="J603" s="5">
        <v>45949</v>
      </c>
      <c r="K603" s="7">
        <v>59.19</v>
      </c>
      <c r="L603" s="6">
        <f t="shared" si="28"/>
        <v>4</v>
      </c>
      <c r="M603" s="6" t="s">
        <v>59</v>
      </c>
      <c r="N603" s="6" t="s">
        <v>1145</v>
      </c>
      <c r="O603" s="8">
        <v>0.375</v>
      </c>
      <c r="P603" s="16">
        <f t="shared" si="29"/>
        <v>22.196249999999999</v>
      </c>
      <c r="Q603" s="7">
        <v>22.2</v>
      </c>
      <c r="R603" s="7">
        <v>0</v>
      </c>
      <c r="S603" s="7">
        <v>0</v>
      </c>
      <c r="T603" s="6" t="s">
        <v>307</v>
      </c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</row>
    <row r="604" spans="1:53" x14ac:dyDescent="0.25">
      <c r="A604" s="6">
        <v>2029526621</v>
      </c>
      <c r="B604" s="6" t="s">
        <v>386</v>
      </c>
      <c r="C604" s="6" t="s">
        <v>387</v>
      </c>
      <c r="D604" s="6" t="str">
        <f t="shared" si="27"/>
        <v>GANGESH DIMRI</v>
      </c>
      <c r="E604" s="6" t="s">
        <v>307</v>
      </c>
      <c r="F604" s="6">
        <v>20724564</v>
      </c>
      <c r="G604" s="6" t="s">
        <v>1080</v>
      </c>
      <c r="H604" s="6" t="s">
        <v>56</v>
      </c>
      <c r="I604" s="5">
        <v>45828</v>
      </c>
      <c r="J604" s="5">
        <v>45950</v>
      </c>
      <c r="K604" s="7">
        <v>92.09</v>
      </c>
      <c r="L604" s="6">
        <f t="shared" si="28"/>
        <v>4</v>
      </c>
      <c r="M604" s="6" t="s">
        <v>59</v>
      </c>
      <c r="N604" s="6" t="s">
        <v>1145</v>
      </c>
      <c r="O604" s="8">
        <v>0.375</v>
      </c>
      <c r="P604" s="16">
        <f t="shared" si="29"/>
        <v>34.533749999999998</v>
      </c>
      <c r="Q604" s="7">
        <v>34.53</v>
      </c>
      <c r="R604" s="7">
        <v>0</v>
      </c>
      <c r="S604" s="7">
        <v>0</v>
      </c>
      <c r="T604" s="6" t="s">
        <v>307</v>
      </c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</row>
    <row r="605" spans="1:53" x14ac:dyDescent="0.25">
      <c r="A605" s="6">
        <v>2029481265</v>
      </c>
      <c r="B605" s="6" t="s">
        <v>841</v>
      </c>
      <c r="C605" s="6" t="s">
        <v>354</v>
      </c>
      <c r="D605" s="6" t="str">
        <f t="shared" si="27"/>
        <v>AMBER FLATT</v>
      </c>
      <c r="E605" s="6" t="s">
        <v>307</v>
      </c>
      <c r="F605" s="6">
        <v>20724564</v>
      </c>
      <c r="G605" s="6" t="s">
        <v>1080</v>
      </c>
      <c r="H605" s="6" t="s">
        <v>56</v>
      </c>
      <c r="I605" s="5">
        <v>45825</v>
      </c>
      <c r="J605" s="5">
        <v>45947</v>
      </c>
      <c r="K605" s="7">
        <v>58.15</v>
      </c>
      <c r="L605" s="6">
        <f t="shared" si="28"/>
        <v>4</v>
      </c>
      <c r="M605" s="6" t="s">
        <v>59</v>
      </c>
      <c r="N605" s="6" t="s">
        <v>1145</v>
      </c>
      <c r="O605" s="8">
        <v>0.375</v>
      </c>
      <c r="P605" s="16">
        <f t="shared" si="29"/>
        <v>21.806249999999999</v>
      </c>
      <c r="Q605" s="7">
        <v>21.81</v>
      </c>
      <c r="R605" s="7">
        <v>0</v>
      </c>
      <c r="S605" s="7">
        <v>0</v>
      </c>
      <c r="T605" s="6" t="s">
        <v>307</v>
      </c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</row>
    <row r="606" spans="1:53" x14ac:dyDescent="0.25">
      <c r="A606" s="6">
        <v>2029341342</v>
      </c>
      <c r="B606" s="6" t="s">
        <v>85</v>
      </c>
      <c r="C606" s="6" t="s">
        <v>335</v>
      </c>
      <c r="D606" s="6" t="str">
        <f t="shared" si="27"/>
        <v>SAMUEL JOHN</v>
      </c>
      <c r="E606" s="6" t="s">
        <v>307</v>
      </c>
      <c r="F606" s="6">
        <v>371819</v>
      </c>
      <c r="G606" s="6" t="s">
        <v>1085</v>
      </c>
      <c r="H606" s="6" t="s">
        <v>56</v>
      </c>
      <c r="I606" s="5">
        <v>45821</v>
      </c>
      <c r="J606" s="5">
        <v>45943</v>
      </c>
      <c r="K606" s="7">
        <v>49.62</v>
      </c>
      <c r="L606" s="6">
        <f t="shared" si="28"/>
        <v>4</v>
      </c>
      <c r="M606" s="6" t="s">
        <v>59</v>
      </c>
      <c r="N606" s="6" t="s">
        <v>1145</v>
      </c>
      <c r="O606" s="8">
        <v>0.375</v>
      </c>
      <c r="P606" s="16">
        <f t="shared" si="29"/>
        <v>18.607499999999998</v>
      </c>
      <c r="Q606" s="7">
        <v>18.61</v>
      </c>
      <c r="R606" s="7">
        <v>0</v>
      </c>
      <c r="S606" s="7">
        <v>0</v>
      </c>
      <c r="T606" s="6" t="s">
        <v>307</v>
      </c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</row>
    <row r="607" spans="1:53" x14ac:dyDescent="0.25">
      <c r="A607" s="6">
        <v>2029056124</v>
      </c>
      <c r="B607" s="6" t="s">
        <v>324</v>
      </c>
      <c r="C607" s="6" t="s">
        <v>842</v>
      </c>
      <c r="D607" s="6" t="str">
        <f t="shared" si="27"/>
        <v>DWIGHT JONES</v>
      </c>
      <c r="E607" s="6" t="s">
        <v>307</v>
      </c>
      <c r="F607" s="6">
        <v>21283956</v>
      </c>
      <c r="G607" s="6" t="s">
        <v>1106</v>
      </c>
      <c r="H607" s="6" t="s">
        <v>56</v>
      </c>
      <c r="I607" s="5">
        <v>45799</v>
      </c>
      <c r="J607" s="5">
        <v>45922</v>
      </c>
      <c r="K607" s="7">
        <v>68.19</v>
      </c>
      <c r="L607" s="6">
        <f t="shared" si="28"/>
        <v>4</v>
      </c>
      <c r="M607" s="6" t="s">
        <v>59</v>
      </c>
      <c r="N607" s="6" t="s">
        <v>1145</v>
      </c>
      <c r="O607" s="8">
        <v>0.375</v>
      </c>
      <c r="P607" s="16">
        <f t="shared" si="29"/>
        <v>25.571249999999999</v>
      </c>
      <c r="Q607" s="7">
        <v>25.57</v>
      </c>
      <c r="R607" s="7">
        <v>0</v>
      </c>
      <c r="S607" s="7">
        <v>0</v>
      </c>
      <c r="T607" s="6" t="s">
        <v>307</v>
      </c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</row>
    <row r="608" spans="1:53" x14ac:dyDescent="0.25">
      <c r="A608" s="6">
        <v>2029567229</v>
      </c>
      <c r="B608" s="6" t="s">
        <v>196</v>
      </c>
      <c r="C608" s="6" t="s">
        <v>197</v>
      </c>
      <c r="D608" s="6" t="str">
        <f t="shared" si="27"/>
        <v>CRYSTAL PINA</v>
      </c>
      <c r="E608" s="6" t="s">
        <v>307</v>
      </c>
      <c r="F608" s="6">
        <v>371819</v>
      </c>
      <c r="G608" s="6" t="s">
        <v>1085</v>
      </c>
      <c r="H608" s="6" t="s">
        <v>56</v>
      </c>
      <c r="I608" s="5">
        <v>45829</v>
      </c>
      <c r="J608" s="5">
        <v>45951</v>
      </c>
      <c r="K608" s="7">
        <v>74.290000000000006</v>
      </c>
      <c r="L608" s="6">
        <f t="shared" si="28"/>
        <v>4</v>
      </c>
      <c r="M608" s="6" t="s">
        <v>59</v>
      </c>
      <c r="N608" s="6" t="s">
        <v>1145</v>
      </c>
      <c r="O608" s="8">
        <v>0.375</v>
      </c>
      <c r="P608" s="16">
        <f t="shared" si="29"/>
        <v>27.858750000000001</v>
      </c>
      <c r="Q608" s="7">
        <v>27.86</v>
      </c>
      <c r="R608" s="7">
        <v>0</v>
      </c>
      <c r="S608" s="7">
        <v>0</v>
      </c>
      <c r="T608" s="6" t="s">
        <v>307</v>
      </c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</row>
    <row r="609" spans="1:53" x14ac:dyDescent="0.25">
      <c r="A609" s="6">
        <v>2029511427</v>
      </c>
      <c r="B609" s="6" t="s">
        <v>170</v>
      </c>
      <c r="C609" s="6" t="s">
        <v>65</v>
      </c>
      <c r="D609" s="6" t="str">
        <f t="shared" si="27"/>
        <v>CHAD YALE</v>
      </c>
      <c r="E609" s="6" t="s">
        <v>307</v>
      </c>
      <c r="F609" s="6">
        <v>16633294</v>
      </c>
      <c r="G609" s="6" t="s">
        <v>1079</v>
      </c>
      <c r="H609" s="6" t="s">
        <v>56</v>
      </c>
      <c r="I609" s="5">
        <v>45826</v>
      </c>
      <c r="J609" s="5">
        <v>45948</v>
      </c>
      <c r="K609" s="7">
        <v>57.19</v>
      </c>
      <c r="L609" s="6">
        <f t="shared" si="28"/>
        <v>4</v>
      </c>
      <c r="M609" s="6" t="s">
        <v>59</v>
      </c>
      <c r="N609" s="6" t="s">
        <v>1145</v>
      </c>
      <c r="O609" s="8">
        <v>0.375</v>
      </c>
      <c r="P609" s="16">
        <f t="shared" si="29"/>
        <v>21.446249999999999</v>
      </c>
      <c r="Q609" s="7">
        <v>21.45</v>
      </c>
      <c r="R609" s="7">
        <v>0</v>
      </c>
      <c r="S609" s="7">
        <v>0</v>
      </c>
      <c r="T609" s="6" t="s">
        <v>307</v>
      </c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</row>
    <row r="610" spans="1:53" x14ac:dyDescent="0.25">
      <c r="A610" s="6">
        <v>2028942059</v>
      </c>
      <c r="B610" s="6" t="s">
        <v>854</v>
      </c>
      <c r="C610" s="6" t="s">
        <v>853</v>
      </c>
      <c r="D610" s="6" t="str">
        <f t="shared" si="27"/>
        <v>AMARJARGAL CHIMEDTSEREN</v>
      </c>
      <c r="E610" s="6" t="s">
        <v>307</v>
      </c>
      <c r="F610" s="6">
        <v>20220688</v>
      </c>
      <c r="G610" s="6" t="s">
        <v>1087</v>
      </c>
      <c r="H610" s="6" t="s">
        <v>56</v>
      </c>
      <c r="I610" s="5">
        <v>45792</v>
      </c>
      <c r="J610" s="5">
        <v>45945</v>
      </c>
      <c r="K610" s="7">
        <v>22.52</v>
      </c>
      <c r="L610" s="6">
        <f t="shared" si="28"/>
        <v>5</v>
      </c>
      <c r="M610" s="6" t="s">
        <v>59</v>
      </c>
      <c r="N610" s="6" t="s">
        <v>1145</v>
      </c>
      <c r="O610" s="8">
        <v>0.375</v>
      </c>
      <c r="P610" s="16">
        <f t="shared" si="29"/>
        <v>8.4450000000000003</v>
      </c>
      <c r="Q610" s="7">
        <v>0</v>
      </c>
      <c r="R610" s="7">
        <v>8.44</v>
      </c>
      <c r="S610" s="7">
        <v>8.44</v>
      </c>
      <c r="T610" s="6" t="s">
        <v>307</v>
      </c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</row>
    <row r="611" spans="1:53" x14ac:dyDescent="0.25">
      <c r="A611" s="6">
        <v>2028784373</v>
      </c>
      <c r="B611" s="6" t="s">
        <v>858</v>
      </c>
      <c r="C611" s="6" t="s">
        <v>857</v>
      </c>
      <c r="D611" s="6" t="str">
        <f t="shared" si="27"/>
        <v>JAMIE HAMBRICK</v>
      </c>
      <c r="E611" s="6" t="s">
        <v>307</v>
      </c>
      <c r="F611" s="6">
        <v>7146581</v>
      </c>
      <c r="G611" s="6" t="s">
        <v>1110</v>
      </c>
      <c r="H611" s="6" t="s">
        <v>56</v>
      </c>
      <c r="I611" s="5">
        <v>45792</v>
      </c>
      <c r="J611" s="5">
        <v>45945</v>
      </c>
      <c r="K611" s="7">
        <v>57.19</v>
      </c>
      <c r="L611" s="6">
        <f t="shared" si="28"/>
        <v>5</v>
      </c>
      <c r="M611" s="6" t="s">
        <v>59</v>
      </c>
      <c r="N611" s="6" t="s">
        <v>1145</v>
      </c>
      <c r="O611" s="8">
        <v>0.375</v>
      </c>
      <c r="P611" s="16">
        <f t="shared" si="29"/>
        <v>21.446249999999999</v>
      </c>
      <c r="Q611" s="7">
        <v>0</v>
      </c>
      <c r="R611" s="7">
        <v>21.45</v>
      </c>
      <c r="S611" s="7">
        <v>21.45</v>
      </c>
      <c r="T611" s="6" t="s">
        <v>307</v>
      </c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</row>
    <row r="612" spans="1:53" x14ac:dyDescent="0.25">
      <c r="A612" s="6">
        <v>2029036918</v>
      </c>
      <c r="B612" s="6" t="s">
        <v>383</v>
      </c>
      <c r="C612" s="6" t="s">
        <v>280</v>
      </c>
      <c r="D612" s="6" t="str">
        <f t="shared" si="27"/>
        <v>DOUGLAS HUGHES</v>
      </c>
      <c r="E612" s="6" t="s">
        <v>307</v>
      </c>
      <c r="F612" s="6">
        <v>19681796</v>
      </c>
      <c r="G612" s="6" t="s">
        <v>1118</v>
      </c>
      <c r="H612" s="6" t="s">
        <v>56</v>
      </c>
      <c r="I612" s="5">
        <v>45798</v>
      </c>
      <c r="J612" s="5">
        <v>45951</v>
      </c>
      <c r="K612" s="7">
        <v>59.41</v>
      </c>
      <c r="L612" s="6">
        <f t="shared" si="28"/>
        <v>5</v>
      </c>
      <c r="M612" s="6" t="s">
        <v>59</v>
      </c>
      <c r="N612" s="6" t="s">
        <v>1145</v>
      </c>
      <c r="O612" s="8">
        <v>0.375</v>
      </c>
      <c r="P612" s="16">
        <f t="shared" si="29"/>
        <v>22.278749999999999</v>
      </c>
      <c r="Q612" s="7">
        <v>22.28</v>
      </c>
      <c r="R612" s="7">
        <v>0</v>
      </c>
      <c r="S612" s="7">
        <v>0</v>
      </c>
      <c r="T612" s="6" t="s">
        <v>307</v>
      </c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</row>
    <row r="613" spans="1:53" x14ac:dyDescent="0.25">
      <c r="A613" s="6">
        <v>2028985824</v>
      </c>
      <c r="B613" s="6" t="s">
        <v>324</v>
      </c>
      <c r="C613" s="6" t="s">
        <v>845</v>
      </c>
      <c r="D613" s="6" t="str">
        <f t="shared" si="27"/>
        <v>COKISHA JONES</v>
      </c>
      <c r="E613" s="6" t="s">
        <v>307</v>
      </c>
      <c r="F613" s="6">
        <v>21421111</v>
      </c>
      <c r="G613" s="6" t="s">
        <v>1096</v>
      </c>
      <c r="H613" s="6" t="s">
        <v>56</v>
      </c>
      <c r="I613" s="5">
        <v>45794</v>
      </c>
      <c r="J613" s="5">
        <v>45947</v>
      </c>
      <c r="K613" s="7">
        <v>72.86</v>
      </c>
      <c r="L613" s="6">
        <f t="shared" si="28"/>
        <v>5</v>
      </c>
      <c r="M613" s="6" t="s">
        <v>59</v>
      </c>
      <c r="N613" s="6" t="s">
        <v>1145</v>
      </c>
      <c r="O613" s="8">
        <v>0.375</v>
      </c>
      <c r="P613" s="16">
        <f t="shared" si="29"/>
        <v>27.322499999999998</v>
      </c>
      <c r="Q613" s="7">
        <v>0</v>
      </c>
      <c r="R613" s="7">
        <v>27.32</v>
      </c>
      <c r="S613" s="7">
        <v>27.32</v>
      </c>
      <c r="T613" s="6" t="s">
        <v>307</v>
      </c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</row>
    <row r="614" spans="1:53" x14ac:dyDescent="0.25">
      <c r="A614" s="6">
        <v>2028983174</v>
      </c>
      <c r="B614" s="6" t="s">
        <v>847</v>
      </c>
      <c r="C614" s="6" t="s">
        <v>846</v>
      </c>
      <c r="D614" s="6" t="str">
        <f t="shared" si="27"/>
        <v>FRIDA NKEMBE</v>
      </c>
      <c r="E614" s="6" t="s">
        <v>307</v>
      </c>
      <c r="F614" s="6">
        <v>371819</v>
      </c>
      <c r="G614" s="6" t="s">
        <v>1085</v>
      </c>
      <c r="H614" s="6" t="s">
        <v>56</v>
      </c>
      <c r="I614" s="5">
        <v>45794</v>
      </c>
      <c r="J614" s="5">
        <v>45947</v>
      </c>
      <c r="K614" s="7">
        <v>29.08</v>
      </c>
      <c r="L614" s="6">
        <f t="shared" si="28"/>
        <v>5</v>
      </c>
      <c r="M614" s="6" t="s">
        <v>59</v>
      </c>
      <c r="N614" s="6" t="s">
        <v>1145</v>
      </c>
      <c r="O614" s="8">
        <v>0.375</v>
      </c>
      <c r="P614" s="16">
        <f t="shared" si="29"/>
        <v>10.904999999999999</v>
      </c>
      <c r="Q614" s="7">
        <v>0</v>
      </c>
      <c r="R614" s="7">
        <v>10.9</v>
      </c>
      <c r="S614" s="7">
        <v>10.9</v>
      </c>
      <c r="T614" s="6" t="s">
        <v>307</v>
      </c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</row>
    <row r="615" spans="1:53" x14ac:dyDescent="0.25">
      <c r="A615" s="6">
        <v>2029062370</v>
      </c>
      <c r="B615" s="6" t="s">
        <v>384</v>
      </c>
      <c r="C615" s="6" t="s">
        <v>385</v>
      </c>
      <c r="D615" s="6" t="str">
        <f t="shared" si="27"/>
        <v>VANESSA SALAZAR</v>
      </c>
      <c r="E615" s="6" t="s">
        <v>307</v>
      </c>
      <c r="F615" s="6">
        <v>371819</v>
      </c>
      <c r="G615" s="6" t="s">
        <v>1085</v>
      </c>
      <c r="H615" s="6" t="s">
        <v>56</v>
      </c>
      <c r="I615" s="5">
        <v>45800</v>
      </c>
      <c r="J615" s="5">
        <v>45953</v>
      </c>
      <c r="K615" s="7">
        <v>122.99</v>
      </c>
      <c r="L615" s="6">
        <f t="shared" si="28"/>
        <v>5</v>
      </c>
      <c r="M615" s="6" t="s">
        <v>59</v>
      </c>
      <c r="N615" s="6" t="s">
        <v>1145</v>
      </c>
      <c r="O615" s="8">
        <v>0.375</v>
      </c>
      <c r="P615" s="16">
        <f t="shared" si="29"/>
        <v>46.121249999999996</v>
      </c>
      <c r="Q615" s="7">
        <v>0</v>
      </c>
      <c r="R615" s="7">
        <v>46.12</v>
      </c>
      <c r="S615" s="7">
        <v>46.12</v>
      </c>
      <c r="T615" s="6" t="s">
        <v>307</v>
      </c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</row>
    <row r="616" spans="1:53" x14ac:dyDescent="0.25">
      <c r="A616" s="6">
        <v>2029026297</v>
      </c>
      <c r="B616" s="6" t="s">
        <v>378</v>
      </c>
      <c r="C616" s="6" t="s">
        <v>379</v>
      </c>
      <c r="D616" s="6" t="str">
        <f t="shared" si="27"/>
        <v>KRISTINA SMITH</v>
      </c>
      <c r="E616" s="6" t="s">
        <v>307</v>
      </c>
      <c r="F616" s="6">
        <v>371819</v>
      </c>
      <c r="G616" s="6" t="s">
        <v>1085</v>
      </c>
      <c r="H616" s="6" t="s">
        <v>56</v>
      </c>
      <c r="I616" s="5">
        <v>45798</v>
      </c>
      <c r="J616" s="5">
        <v>45951</v>
      </c>
      <c r="K616" s="7">
        <v>23.79</v>
      </c>
      <c r="L616" s="6">
        <f t="shared" si="28"/>
        <v>5</v>
      </c>
      <c r="M616" s="6" t="s">
        <v>59</v>
      </c>
      <c r="N616" s="6" t="s">
        <v>1145</v>
      </c>
      <c r="O616" s="8">
        <v>0.375</v>
      </c>
      <c r="P616" s="16">
        <f t="shared" si="29"/>
        <v>8.9212500000000006</v>
      </c>
      <c r="Q616" s="7">
        <v>8.92</v>
      </c>
      <c r="R616" s="7">
        <v>0</v>
      </c>
      <c r="S616" s="7">
        <v>0</v>
      </c>
      <c r="T616" s="6" t="s">
        <v>307</v>
      </c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</row>
    <row r="617" spans="1:53" x14ac:dyDescent="0.25">
      <c r="A617" s="6">
        <v>2028977071</v>
      </c>
      <c r="B617" s="6" t="s">
        <v>849</v>
      </c>
      <c r="C617" s="6" t="s">
        <v>848</v>
      </c>
      <c r="D617" s="6" t="str">
        <f t="shared" si="27"/>
        <v>SYDNEY WEBSTER</v>
      </c>
      <c r="E617" s="6" t="s">
        <v>307</v>
      </c>
      <c r="F617" s="6">
        <v>21421111</v>
      </c>
      <c r="G617" s="6" t="s">
        <v>1096</v>
      </c>
      <c r="H617" s="6" t="s">
        <v>56</v>
      </c>
      <c r="I617" s="5">
        <v>45794</v>
      </c>
      <c r="J617" s="5">
        <v>45947</v>
      </c>
      <c r="K617" s="7">
        <v>23.34</v>
      </c>
      <c r="L617" s="6">
        <f t="shared" si="28"/>
        <v>5</v>
      </c>
      <c r="M617" s="6" t="s">
        <v>59</v>
      </c>
      <c r="N617" s="6" t="s">
        <v>1145</v>
      </c>
      <c r="O617" s="8">
        <v>0.375</v>
      </c>
      <c r="P617" s="16">
        <f t="shared" si="29"/>
        <v>8.7524999999999995</v>
      </c>
      <c r="Q617" s="7">
        <v>0</v>
      </c>
      <c r="R617" s="7">
        <v>8.75</v>
      </c>
      <c r="S617" s="7">
        <v>8.75</v>
      </c>
      <c r="T617" s="6" t="s">
        <v>307</v>
      </c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</row>
    <row r="618" spans="1:53" x14ac:dyDescent="0.25">
      <c r="A618" s="6">
        <v>2029081351</v>
      </c>
      <c r="B618" s="6" t="s">
        <v>170</v>
      </c>
      <c r="C618" s="6" t="s">
        <v>331</v>
      </c>
      <c r="D618" s="6" t="str">
        <f t="shared" si="27"/>
        <v>MICHELLE YALE</v>
      </c>
      <c r="E618" s="6" t="s">
        <v>307</v>
      </c>
      <c r="F618" s="6">
        <v>16633294</v>
      </c>
      <c r="G618" s="6" t="s">
        <v>1079</v>
      </c>
      <c r="H618" s="6" t="s">
        <v>56</v>
      </c>
      <c r="I618" s="5">
        <v>45800</v>
      </c>
      <c r="J618" s="5">
        <v>45953</v>
      </c>
      <c r="K618" s="7">
        <v>57.19</v>
      </c>
      <c r="L618" s="6">
        <f t="shared" si="28"/>
        <v>5</v>
      </c>
      <c r="M618" s="6" t="s">
        <v>59</v>
      </c>
      <c r="N618" s="6" t="s">
        <v>1145</v>
      </c>
      <c r="O618" s="8">
        <v>0.375</v>
      </c>
      <c r="P618" s="16">
        <f t="shared" si="29"/>
        <v>21.446249999999999</v>
      </c>
      <c r="Q618" s="7">
        <v>21.45</v>
      </c>
      <c r="R618" s="7">
        <v>0</v>
      </c>
      <c r="S618" s="7">
        <v>0</v>
      </c>
      <c r="T618" s="6" t="s">
        <v>307</v>
      </c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</row>
    <row r="619" spans="1:53" x14ac:dyDescent="0.25">
      <c r="A619" s="6">
        <v>2028320247</v>
      </c>
      <c r="B619" s="6" t="s">
        <v>75</v>
      </c>
      <c r="C619" s="6" t="s">
        <v>76</v>
      </c>
      <c r="D619" s="6" t="str">
        <f t="shared" si="27"/>
        <v>MAGDALENA CABRAL</v>
      </c>
      <c r="E619" s="6" t="s">
        <v>307</v>
      </c>
      <c r="F619" s="6">
        <v>16633294</v>
      </c>
      <c r="G619" s="6" t="s">
        <v>1079</v>
      </c>
      <c r="H619" s="6" t="s">
        <v>56</v>
      </c>
      <c r="I619" s="5">
        <v>45772</v>
      </c>
      <c r="J619" s="5">
        <v>45955</v>
      </c>
      <c r="K619" s="7">
        <v>66.5</v>
      </c>
      <c r="L619" s="6">
        <f t="shared" si="28"/>
        <v>6</v>
      </c>
      <c r="M619" s="6" t="s">
        <v>59</v>
      </c>
      <c r="N619" s="6" t="s">
        <v>1145</v>
      </c>
      <c r="O619" s="8">
        <v>0.375</v>
      </c>
      <c r="P619" s="16">
        <f t="shared" si="29"/>
        <v>24.9375</v>
      </c>
      <c r="Q619" s="7">
        <v>0</v>
      </c>
      <c r="R619" s="7">
        <v>24.94</v>
      </c>
      <c r="S619" s="7">
        <v>24.94</v>
      </c>
      <c r="T619" s="6" t="s">
        <v>307</v>
      </c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</row>
    <row r="620" spans="1:53" x14ac:dyDescent="0.25">
      <c r="A620" s="6">
        <v>2028466946</v>
      </c>
      <c r="B620" s="6" t="s">
        <v>176</v>
      </c>
      <c r="C620" s="6" t="s">
        <v>177</v>
      </c>
      <c r="D620" s="6" t="str">
        <f t="shared" si="27"/>
        <v>QUINN HUNCHAR</v>
      </c>
      <c r="E620" s="6" t="s">
        <v>307</v>
      </c>
      <c r="F620" s="6">
        <v>16865615</v>
      </c>
      <c r="G620" s="6" t="s">
        <v>1107</v>
      </c>
      <c r="H620" s="6" t="s">
        <v>56</v>
      </c>
      <c r="I620" s="5">
        <v>45767</v>
      </c>
      <c r="J620" s="5">
        <v>45950</v>
      </c>
      <c r="K620" s="7">
        <v>38.74</v>
      </c>
      <c r="L620" s="6">
        <f t="shared" si="28"/>
        <v>6</v>
      </c>
      <c r="M620" s="6" t="s">
        <v>59</v>
      </c>
      <c r="N620" s="6" t="s">
        <v>1145</v>
      </c>
      <c r="O620" s="8">
        <v>0.375</v>
      </c>
      <c r="P620" s="16">
        <f t="shared" si="29"/>
        <v>14.5275</v>
      </c>
      <c r="Q620" s="7">
        <v>0</v>
      </c>
      <c r="R620" s="7">
        <v>14.53</v>
      </c>
      <c r="S620" s="7">
        <v>14.53</v>
      </c>
      <c r="T620" s="6" t="s">
        <v>307</v>
      </c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</row>
    <row r="621" spans="1:53" x14ac:dyDescent="0.25">
      <c r="A621" s="6">
        <v>2028286377</v>
      </c>
      <c r="B621" s="6" t="s">
        <v>875</v>
      </c>
      <c r="C621" s="6" t="s">
        <v>874</v>
      </c>
      <c r="D621" s="6" t="str">
        <f t="shared" si="27"/>
        <v>MARZENA KALEMBASA</v>
      </c>
      <c r="E621" s="6" t="s">
        <v>307</v>
      </c>
      <c r="F621" s="6">
        <v>19200754</v>
      </c>
      <c r="G621" s="6" t="s">
        <v>1094</v>
      </c>
      <c r="H621" s="6" t="s">
        <v>230</v>
      </c>
      <c r="I621" s="5">
        <v>45755</v>
      </c>
      <c r="J621" s="5">
        <v>45938</v>
      </c>
      <c r="K621" s="7">
        <v>-147.41</v>
      </c>
      <c r="L621" s="6">
        <f t="shared" si="28"/>
        <v>6</v>
      </c>
      <c r="M621" s="6" t="s">
        <v>59</v>
      </c>
      <c r="N621" s="6" t="s">
        <v>1145</v>
      </c>
      <c r="O621" s="8">
        <v>0.375</v>
      </c>
      <c r="P621" s="16">
        <f t="shared" si="29"/>
        <v>-55.278750000000002</v>
      </c>
      <c r="Q621" s="7">
        <v>0</v>
      </c>
      <c r="R621" s="7">
        <v>-55.28</v>
      </c>
      <c r="S621" s="7">
        <v>-55.28</v>
      </c>
      <c r="T621" s="6" t="s">
        <v>307</v>
      </c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</row>
    <row r="622" spans="1:53" x14ac:dyDescent="0.25">
      <c r="A622" s="6">
        <v>2028286377</v>
      </c>
      <c r="B622" s="6" t="s">
        <v>875</v>
      </c>
      <c r="C622" s="6" t="s">
        <v>874</v>
      </c>
      <c r="D622" s="6" t="str">
        <f t="shared" si="27"/>
        <v>MARZENA KALEMBASA</v>
      </c>
      <c r="E622" s="6" t="s">
        <v>307</v>
      </c>
      <c r="F622" s="6">
        <v>19200754</v>
      </c>
      <c r="G622" s="6" t="s">
        <v>1094</v>
      </c>
      <c r="H622" s="6" t="s">
        <v>230</v>
      </c>
      <c r="I622" s="5">
        <v>45755</v>
      </c>
      <c r="J622" s="5">
        <v>45938</v>
      </c>
      <c r="K622" s="7">
        <v>-147.41</v>
      </c>
      <c r="L622" s="6">
        <f t="shared" si="28"/>
        <v>6</v>
      </c>
      <c r="M622" s="6" t="s">
        <v>59</v>
      </c>
      <c r="N622" s="6" t="s">
        <v>1145</v>
      </c>
      <c r="O622" s="8">
        <v>0.375</v>
      </c>
      <c r="P622" s="16">
        <f t="shared" si="29"/>
        <v>-55.278750000000002</v>
      </c>
      <c r="Q622" s="7">
        <v>0</v>
      </c>
      <c r="R622" s="7">
        <v>-55.28</v>
      </c>
      <c r="S622" s="7">
        <v>-55.28</v>
      </c>
      <c r="T622" s="6" t="s">
        <v>307</v>
      </c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</row>
    <row r="623" spans="1:53" x14ac:dyDescent="0.25">
      <c r="A623" s="6">
        <v>2028461881</v>
      </c>
      <c r="B623" s="6" t="s">
        <v>174</v>
      </c>
      <c r="C623" s="6" t="s">
        <v>175</v>
      </c>
      <c r="D623" s="6" t="str">
        <f t="shared" si="27"/>
        <v>JULIA LAIT</v>
      </c>
      <c r="E623" s="6" t="s">
        <v>307</v>
      </c>
      <c r="F623" s="6">
        <v>16633294</v>
      </c>
      <c r="G623" s="6" t="s">
        <v>1079</v>
      </c>
      <c r="H623" s="6" t="s">
        <v>56</v>
      </c>
      <c r="I623" s="5">
        <v>45772</v>
      </c>
      <c r="J623" s="5">
        <v>45955</v>
      </c>
      <c r="K623" s="7">
        <v>78.41</v>
      </c>
      <c r="L623" s="6">
        <f t="shared" si="28"/>
        <v>6</v>
      </c>
      <c r="M623" s="6" t="s">
        <v>59</v>
      </c>
      <c r="N623" s="6" t="s">
        <v>1145</v>
      </c>
      <c r="O623" s="8">
        <v>0.375</v>
      </c>
      <c r="P623" s="16">
        <f t="shared" si="29"/>
        <v>29.403749999999999</v>
      </c>
      <c r="Q623" s="7">
        <v>0</v>
      </c>
      <c r="R623" s="7">
        <v>29.4</v>
      </c>
      <c r="S623" s="7">
        <v>29.4</v>
      </c>
      <c r="T623" s="6" t="s">
        <v>307</v>
      </c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</row>
    <row r="624" spans="1:53" x14ac:dyDescent="0.25">
      <c r="A624" s="6">
        <v>2028402356</v>
      </c>
      <c r="B624" s="6" t="s">
        <v>371</v>
      </c>
      <c r="C624" s="6" t="s">
        <v>372</v>
      </c>
      <c r="D624" s="6" t="str">
        <f t="shared" si="27"/>
        <v>KATHY MENDEZ</v>
      </c>
      <c r="E624" s="6" t="s">
        <v>307</v>
      </c>
      <c r="F624" s="6">
        <v>16912722</v>
      </c>
      <c r="G624" s="6" t="s">
        <v>1111</v>
      </c>
      <c r="H624" s="6" t="s">
        <v>56</v>
      </c>
      <c r="I624" s="5">
        <v>45762</v>
      </c>
      <c r="J624" s="5">
        <v>45945</v>
      </c>
      <c r="K624" s="7">
        <v>-59.51</v>
      </c>
      <c r="L624" s="6">
        <f t="shared" si="28"/>
        <v>6</v>
      </c>
      <c r="M624" s="6" t="s">
        <v>59</v>
      </c>
      <c r="N624" s="6" t="s">
        <v>1145</v>
      </c>
      <c r="O624" s="8">
        <v>0.375</v>
      </c>
      <c r="P624" s="16">
        <f t="shared" si="29"/>
        <v>-22.31625</v>
      </c>
      <c r="Q624" s="7">
        <v>0</v>
      </c>
      <c r="R624" s="7">
        <v>-22.32</v>
      </c>
      <c r="S624" s="7">
        <v>-22.32</v>
      </c>
      <c r="T624" s="6" t="s">
        <v>307</v>
      </c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</row>
    <row r="625" spans="1:53" x14ac:dyDescent="0.25">
      <c r="A625" s="6">
        <v>2028402356</v>
      </c>
      <c r="B625" s="6" t="s">
        <v>371</v>
      </c>
      <c r="C625" s="6" t="s">
        <v>372</v>
      </c>
      <c r="D625" s="6" t="str">
        <f t="shared" si="27"/>
        <v>KATHY MENDEZ</v>
      </c>
      <c r="E625" s="6" t="s">
        <v>307</v>
      </c>
      <c r="F625" s="6">
        <v>16912722</v>
      </c>
      <c r="G625" s="6" t="s">
        <v>1111</v>
      </c>
      <c r="H625" s="6" t="s">
        <v>56</v>
      </c>
      <c r="I625" s="5">
        <v>45762</v>
      </c>
      <c r="J625" s="5">
        <v>45945</v>
      </c>
      <c r="K625" s="7">
        <v>59.51</v>
      </c>
      <c r="L625" s="6">
        <f t="shared" si="28"/>
        <v>6</v>
      </c>
      <c r="M625" s="6" t="s">
        <v>59</v>
      </c>
      <c r="N625" s="6" t="s">
        <v>1145</v>
      </c>
      <c r="O625" s="8">
        <v>0.375</v>
      </c>
      <c r="P625" s="16">
        <f t="shared" si="29"/>
        <v>22.31625</v>
      </c>
      <c r="Q625" s="7">
        <v>0</v>
      </c>
      <c r="R625" s="7">
        <v>22.32</v>
      </c>
      <c r="S625" s="7">
        <v>22.32</v>
      </c>
      <c r="T625" s="6" t="s">
        <v>307</v>
      </c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</row>
    <row r="626" spans="1:53" x14ac:dyDescent="0.25">
      <c r="A626" s="6">
        <v>2028419377</v>
      </c>
      <c r="B626" s="6" t="s">
        <v>373</v>
      </c>
      <c r="C626" s="6" t="s">
        <v>374</v>
      </c>
      <c r="D626" s="6" t="str">
        <f t="shared" si="27"/>
        <v>ELIZABETH SCHULTZ</v>
      </c>
      <c r="E626" s="6" t="s">
        <v>307</v>
      </c>
      <c r="F626" s="6">
        <v>7146581</v>
      </c>
      <c r="G626" s="6" t="s">
        <v>1110</v>
      </c>
      <c r="H626" s="6" t="s">
        <v>56</v>
      </c>
      <c r="I626" s="5">
        <v>45767</v>
      </c>
      <c r="J626" s="5">
        <v>45950</v>
      </c>
      <c r="K626" s="7">
        <v>61.01</v>
      </c>
      <c r="L626" s="6">
        <f t="shared" si="28"/>
        <v>6</v>
      </c>
      <c r="M626" s="6" t="s">
        <v>59</v>
      </c>
      <c r="N626" s="6" t="s">
        <v>1145</v>
      </c>
      <c r="O626" s="8">
        <v>0.375</v>
      </c>
      <c r="P626" s="16">
        <f t="shared" si="29"/>
        <v>22.87875</v>
      </c>
      <c r="Q626" s="7">
        <v>0</v>
      </c>
      <c r="R626" s="7">
        <v>22.88</v>
      </c>
      <c r="S626" s="7">
        <v>22.88</v>
      </c>
      <c r="T626" s="6" t="s">
        <v>307</v>
      </c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</row>
    <row r="627" spans="1:53" x14ac:dyDescent="0.25">
      <c r="A627" s="6">
        <v>2028379893</v>
      </c>
      <c r="B627" s="6" t="s">
        <v>871</v>
      </c>
      <c r="C627" s="6" t="s">
        <v>870</v>
      </c>
      <c r="D627" s="6" t="str">
        <f t="shared" si="27"/>
        <v>CONNIE SHOCKLEY</v>
      </c>
      <c r="E627" s="6" t="s">
        <v>307</v>
      </c>
      <c r="F627" s="6">
        <v>21421111</v>
      </c>
      <c r="G627" s="6" t="s">
        <v>1096</v>
      </c>
      <c r="H627" s="6" t="s">
        <v>56</v>
      </c>
      <c r="I627" s="5">
        <v>45760</v>
      </c>
      <c r="J627" s="5">
        <v>45943</v>
      </c>
      <c r="K627" s="7">
        <v>27.95</v>
      </c>
      <c r="L627" s="6">
        <f t="shared" si="28"/>
        <v>6</v>
      </c>
      <c r="M627" s="6" t="s">
        <v>59</v>
      </c>
      <c r="N627" s="6" t="s">
        <v>1145</v>
      </c>
      <c r="O627" s="8">
        <v>0.375</v>
      </c>
      <c r="P627" s="16">
        <f t="shared" si="29"/>
        <v>10.481249999999999</v>
      </c>
      <c r="Q627" s="7">
        <v>0</v>
      </c>
      <c r="R627" s="7">
        <v>10.48</v>
      </c>
      <c r="S627" s="7">
        <v>10.48</v>
      </c>
      <c r="T627" s="6" t="s">
        <v>307</v>
      </c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</row>
    <row r="628" spans="1:53" x14ac:dyDescent="0.25">
      <c r="A628" s="6">
        <v>2028498798</v>
      </c>
      <c r="B628" s="6" t="s">
        <v>178</v>
      </c>
      <c r="C628" s="6" t="s">
        <v>179</v>
      </c>
      <c r="D628" s="6" t="str">
        <f t="shared" si="27"/>
        <v>TIMOTHY VAWTER</v>
      </c>
      <c r="E628" s="6" t="s">
        <v>307</v>
      </c>
      <c r="F628" s="6">
        <v>16633294</v>
      </c>
      <c r="G628" s="6" t="s">
        <v>1079</v>
      </c>
      <c r="H628" s="6" t="s">
        <v>56</v>
      </c>
      <c r="I628" s="5">
        <v>45772</v>
      </c>
      <c r="J628" s="5">
        <v>45955</v>
      </c>
      <c r="K628" s="7">
        <v>58.15</v>
      </c>
      <c r="L628" s="6">
        <f t="shared" si="28"/>
        <v>6</v>
      </c>
      <c r="M628" s="6" t="s">
        <v>59</v>
      </c>
      <c r="N628" s="6" t="s">
        <v>1145</v>
      </c>
      <c r="O628" s="8">
        <v>0.375</v>
      </c>
      <c r="P628" s="16">
        <f t="shared" si="29"/>
        <v>21.806249999999999</v>
      </c>
      <c r="Q628" s="7">
        <v>0</v>
      </c>
      <c r="R628" s="7">
        <v>21.81</v>
      </c>
      <c r="S628" s="7">
        <v>21.81</v>
      </c>
      <c r="T628" s="6" t="s">
        <v>307</v>
      </c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</row>
    <row r="629" spans="1:53" x14ac:dyDescent="0.25">
      <c r="A629" s="6">
        <v>2028459881</v>
      </c>
      <c r="B629" s="6" t="s">
        <v>866</v>
      </c>
      <c r="C629" s="6" t="s">
        <v>865</v>
      </c>
      <c r="D629" s="6" t="str">
        <f t="shared" si="27"/>
        <v>HEIDI VOLBRECHT</v>
      </c>
      <c r="E629" s="6" t="s">
        <v>307</v>
      </c>
      <c r="F629" s="6">
        <v>371819</v>
      </c>
      <c r="G629" s="6" t="s">
        <v>1085</v>
      </c>
      <c r="H629" s="6" t="s">
        <v>56</v>
      </c>
      <c r="I629" s="5">
        <v>45765</v>
      </c>
      <c r="J629" s="5">
        <v>45948</v>
      </c>
      <c r="K629" s="7">
        <v>31.93</v>
      </c>
      <c r="L629" s="6">
        <f t="shared" si="28"/>
        <v>6</v>
      </c>
      <c r="M629" s="6" t="s">
        <v>59</v>
      </c>
      <c r="N629" s="6" t="s">
        <v>1145</v>
      </c>
      <c r="O629" s="8">
        <v>0.375</v>
      </c>
      <c r="P629" s="16">
        <f t="shared" si="29"/>
        <v>11.973749999999999</v>
      </c>
      <c r="Q629" s="7">
        <v>0</v>
      </c>
      <c r="R629" s="7">
        <v>11.97</v>
      </c>
      <c r="S629" s="7">
        <v>11.97</v>
      </c>
      <c r="T629" s="6" t="s">
        <v>307</v>
      </c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</row>
    <row r="630" spans="1:53" x14ac:dyDescent="0.25">
      <c r="A630" s="6">
        <v>2028005040</v>
      </c>
      <c r="B630" s="6" t="s">
        <v>369</v>
      </c>
      <c r="C630" s="6" t="s">
        <v>370</v>
      </c>
      <c r="D630" s="6" t="str">
        <f t="shared" si="27"/>
        <v>MELVIN FERNANDEZ</v>
      </c>
      <c r="E630" s="6" t="s">
        <v>307</v>
      </c>
      <c r="F630" s="6">
        <v>7470776</v>
      </c>
      <c r="G630" s="6" t="s">
        <v>1093</v>
      </c>
      <c r="H630" s="6" t="s">
        <v>56</v>
      </c>
      <c r="I630" s="5">
        <v>45741</v>
      </c>
      <c r="J630" s="5">
        <v>45955</v>
      </c>
      <c r="K630" s="7">
        <v>184.68</v>
      </c>
      <c r="L630" s="6">
        <f t="shared" si="28"/>
        <v>7</v>
      </c>
      <c r="M630" s="6" t="s">
        <v>59</v>
      </c>
      <c r="N630" s="6" t="s">
        <v>1148</v>
      </c>
      <c r="O630" s="8">
        <v>0.375</v>
      </c>
      <c r="P630" s="16">
        <f t="shared" si="29"/>
        <v>69.254999999999995</v>
      </c>
      <c r="Q630" s="7">
        <v>0</v>
      </c>
      <c r="R630" s="7">
        <v>69.260000000000005</v>
      </c>
      <c r="S630" s="7">
        <v>69.260000000000005</v>
      </c>
      <c r="T630" s="6" t="s">
        <v>307</v>
      </c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</row>
    <row r="631" spans="1:53" x14ac:dyDescent="0.25">
      <c r="A631" s="6">
        <v>2027767676</v>
      </c>
      <c r="B631" s="6" t="s">
        <v>880</v>
      </c>
      <c r="C631" s="6" t="s">
        <v>114</v>
      </c>
      <c r="D631" s="6" t="str">
        <f t="shared" si="27"/>
        <v>BLAKE LARSEN</v>
      </c>
      <c r="E631" s="6" t="s">
        <v>307</v>
      </c>
      <c r="F631" s="6">
        <v>17301495</v>
      </c>
      <c r="G631" s="6" t="s">
        <v>1137</v>
      </c>
      <c r="H631" s="6" t="s">
        <v>56</v>
      </c>
      <c r="I631" s="5">
        <v>45729</v>
      </c>
      <c r="J631" s="5">
        <v>45943</v>
      </c>
      <c r="K631" s="7">
        <v>66.650000000000006</v>
      </c>
      <c r="L631" s="6">
        <f t="shared" si="28"/>
        <v>7</v>
      </c>
      <c r="M631" s="6" t="s">
        <v>59</v>
      </c>
      <c r="N631" s="6" t="s">
        <v>1148</v>
      </c>
      <c r="O631" s="8">
        <v>0.375</v>
      </c>
      <c r="P631" s="16">
        <f t="shared" si="29"/>
        <v>24.993750000000002</v>
      </c>
      <c r="Q631" s="7">
        <v>0</v>
      </c>
      <c r="R631" s="7">
        <v>24.99</v>
      </c>
      <c r="S631" s="7">
        <v>24.99</v>
      </c>
      <c r="T631" s="6" t="s">
        <v>307</v>
      </c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</row>
    <row r="632" spans="1:53" x14ac:dyDescent="0.25">
      <c r="A632" s="6">
        <v>2027867337</v>
      </c>
      <c r="B632" s="6" t="s">
        <v>164</v>
      </c>
      <c r="C632" s="6" t="s">
        <v>165</v>
      </c>
      <c r="D632" s="6" t="str">
        <f t="shared" si="27"/>
        <v>DERREK MARTINEZ</v>
      </c>
      <c r="E632" s="6" t="s">
        <v>307</v>
      </c>
      <c r="F632" s="6">
        <v>16865615</v>
      </c>
      <c r="G632" s="6" t="s">
        <v>1107</v>
      </c>
      <c r="H632" s="6" t="s">
        <v>56</v>
      </c>
      <c r="I632" s="5">
        <v>45736</v>
      </c>
      <c r="J632" s="5">
        <v>45950</v>
      </c>
      <c r="K632" s="7">
        <v>45.39</v>
      </c>
      <c r="L632" s="6">
        <f t="shared" si="28"/>
        <v>7</v>
      </c>
      <c r="M632" s="6" t="s">
        <v>59</v>
      </c>
      <c r="N632" s="6" t="s">
        <v>1148</v>
      </c>
      <c r="O632" s="8">
        <v>0.375</v>
      </c>
      <c r="P632" s="16">
        <f t="shared" si="29"/>
        <v>17.021250000000002</v>
      </c>
      <c r="Q632" s="7">
        <v>0</v>
      </c>
      <c r="R632" s="7">
        <v>17.02</v>
      </c>
      <c r="S632" s="7">
        <v>17.02</v>
      </c>
      <c r="T632" s="6" t="s">
        <v>307</v>
      </c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</row>
    <row r="633" spans="1:53" x14ac:dyDescent="0.25">
      <c r="A633" s="6">
        <v>2027798220</v>
      </c>
      <c r="B633" s="6" t="s">
        <v>365</v>
      </c>
      <c r="C633" s="6" t="s">
        <v>366</v>
      </c>
      <c r="D633" s="6" t="str">
        <f t="shared" si="27"/>
        <v>BARRY SCHUMANN</v>
      </c>
      <c r="E633" s="6" t="s">
        <v>307</v>
      </c>
      <c r="F633" s="6">
        <v>19586992</v>
      </c>
      <c r="G633" s="6" t="s">
        <v>1104</v>
      </c>
      <c r="H633" s="6" t="s">
        <v>56</v>
      </c>
      <c r="I633" s="5">
        <v>45736</v>
      </c>
      <c r="J633" s="5">
        <v>45950</v>
      </c>
      <c r="K633" s="7">
        <v>48.61</v>
      </c>
      <c r="L633" s="6">
        <f t="shared" si="28"/>
        <v>7</v>
      </c>
      <c r="M633" s="6" t="s">
        <v>59</v>
      </c>
      <c r="N633" s="6" t="s">
        <v>1148</v>
      </c>
      <c r="O633" s="8">
        <v>0.375</v>
      </c>
      <c r="P633" s="16">
        <f t="shared" si="29"/>
        <v>18.228749999999998</v>
      </c>
      <c r="Q633" s="7">
        <v>0</v>
      </c>
      <c r="R633" s="7">
        <v>18.23</v>
      </c>
      <c r="S633" s="7">
        <v>18.23</v>
      </c>
      <c r="T633" s="6" t="s">
        <v>307</v>
      </c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</row>
    <row r="634" spans="1:53" x14ac:dyDescent="0.25">
      <c r="A634" s="6">
        <v>2027012190</v>
      </c>
      <c r="B634" s="6" t="s">
        <v>891</v>
      </c>
      <c r="C634" s="6" t="s">
        <v>890</v>
      </c>
      <c r="D634" s="6" t="str">
        <f t="shared" si="27"/>
        <v>JIMMY CAMP</v>
      </c>
      <c r="E634" s="6" t="s">
        <v>307</v>
      </c>
      <c r="F634" s="6">
        <v>371819</v>
      </c>
      <c r="G634" s="6" t="s">
        <v>1085</v>
      </c>
      <c r="H634" s="6" t="s">
        <v>56</v>
      </c>
      <c r="I634" s="5">
        <v>45696</v>
      </c>
      <c r="J634" s="5">
        <v>45938</v>
      </c>
      <c r="K634" s="7">
        <v>-51.49</v>
      </c>
      <c r="L634" s="6">
        <f t="shared" si="28"/>
        <v>8</v>
      </c>
      <c r="M634" s="6" t="s">
        <v>59</v>
      </c>
      <c r="N634" s="6" t="s">
        <v>1148</v>
      </c>
      <c r="O634" s="8">
        <v>0.375</v>
      </c>
      <c r="P634" s="16">
        <f t="shared" si="29"/>
        <v>-19.30875</v>
      </c>
      <c r="Q634" s="7">
        <v>0</v>
      </c>
      <c r="R634" s="7">
        <v>-19.309999999999999</v>
      </c>
      <c r="S634" s="7">
        <v>-19.309999999999999</v>
      </c>
      <c r="T634" s="6" t="s">
        <v>307</v>
      </c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</row>
    <row r="635" spans="1:53" x14ac:dyDescent="0.25">
      <c r="A635" s="6">
        <v>2027182058</v>
      </c>
      <c r="B635" s="6" t="s">
        <v>883</v>
      </c>
      <c r="C635" s="6" t="s">
        <v>882</v>
      </c>
      <c r="D635" s="6" t="str">
        <f t="shared" si="27"/>
        <v>KEGHAN CARLTON</v>
      </c>
      <c r="E635" s="6" t="s">
        <v>307</v>
      </c>
      <c r="F635" s="6">
        <v>371819</v>
      </c>
      <c r="G635" s="6" t="s">
        <v>1085</v>
      </c>
      <c r="H635" s="6" t="s">
        <v>56</v>
      </c>
      <c r="I635" s="5">
        <v>45707</v>
      </c>
      <c r="J635" s="5">
        <v>45949</v>
      </c>
      <c r="K635" s="7">
        <v>36.69</v>
      </c>
      <c r="L635" s="6">
        <f t="shared" si="28"/>
        <v>8</v>
      </c>
      <c r="M635" s="6" t="s">
        <v>59</v>
      </c>
      <c r="N635" s="6" t="s">
        <v>1148</v>
      </c>
      <c r="O635" s="8">
        <v>0.375</v>
      </c>
      <c r="P635" s="16">
        <f t="shared" si="29"/>
        <v>13.758749999999999</v>
      </c>
      <c r="Q635" s="7">
        <v>0</v>
      </c>
      <c r="R635" s="7">
        <v>13.76</v>
      </c>
      <c r="S635" s="7">
        <v>13.76</v>
      </c>
      <c r="T635" s="6" t="s">
        <v>307</v>
      </c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</row>
    <row r="636" spans="1:53" x14ac:dyDescent="0.25">
      <c r="A636" s="6">
        <v>2027072201</v>
      </c>
      <c r="B636" s="6" t="s">
        <v>889</v>
      </c>
      <c r="C636" s="6" t="s">
        <v>67</v>
      </c>
      <c r="D636" s="6" t="str">
        <f t="shared" si="27"/>
        <v>JACKSON CARSON</v>
      </c>
      <c r="E636" s="6" t="s">
        <v>307</v>
      </c>
      <c r="F636" s="6">
        <v>16865615</v>
      </c>
      <c r="G636" s="6" t="s">
        <v>1107</v>
      </c>
      <c r="H636" s="6" t="s">
        <v>56</v>
      </c>
      <c r="I636" s="5">
        <v>45703</v>
      </c>
      <c r="J636" s="5">
        <v>45945</v>
      </c>
      <c r="K636" s="7">
        <v>102.21</v>
      </c>
      <c r="L636" s="6">
        <f t="shared" si="28"/>
        <v>8</v>
      </c>
      <c r="M636" s="6" t="s">
        <v>59</v>
      </c>
      <c r="N636" s="6" t="s">
        <v>1148</v>
      </c>
      <c r="O636" s="8">
        <v>0.375</v>
      </c>
      <c r="P636" s="16">
        <f t="shared" si="29"/>
        <v>38.328749999999999</v>
      </c>
      <c r="Q636" s="7">
        <v>0</v>
      </c>
      <c r="R636" s="7">
        <v>38.33</v>
      </c>
      <c r="S636" s="7">
        <v>38.33</v>
      </c>
      <c r="T636" s="6" t="s">
        <v>307</v>
      </c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</row>
    <row r="637" spans="1:53" x14ac:dyDescent="0.25">
      <c r="A637" s="6">
        <v>2027106747</v>
      </c>
      <c r="B637" s="6" t="s">
        <v>887</v>
      </c>
      <c r="C637" s="6" t="s">
        <v>258</v>
      </c>
      <c r="D637" s="6" t="str">
        <f t="shared" si="27"/>
        <v>JARED DOWDY</v>
      </c>
      <c r="E637" s="6" t="s">
        <v>307</v>
      </c>
      <c r="F637" s="6">
        <v>21283956</v>
      </c>
      <c r="G637" s="6" t="s">
        <v>1106</v>
      </c>
      <c r="H637" s="6" t="s">
        <v>56</v>
      </c>
      <c r="I637" s="5">
        <v>45703</v>
      </c>
      <c r="J637" s="5">
        <v>45945</v>
      </c>
      <c r="K637" s="7">
        <v>48.61</v>
      </c>
      <c r="L637" s="6">
        <f t="shared" si="28"/>
        <v>8</v>
      </c>
      <c r="M637" s="6" t="s">
        <v>59</v>
      </c>
      <c r="N637" s="6" t="s">
        <v>1148</v>
      </c>
      <c r="O637" s="8">
        <v>0.375</v>
      </c>
      <c r="P637" s="16">
        <f t="shared" si="29"/>
        <v>18.228749999999998</v>
      </c>
      <c r="Q637" s="7">
        <v>0</v>
      </c>
      <c r="R637" s="7">
        <v>18.23</v>
      </c>
      <c r="S637" s="7">
        <v>18.23</v>
      </c>
      <c r="T637" s="6" t="s">
        <v>307</v>
      </c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</row>
    <row r="638" spans="1:53" x14ac:dyDescent="0.25">
      <c r="A638" s="6">
        <v>2027164319</v>
      </c>
      <c r="B638" s="6" t="s">
        <v>885</v>
      </c>
      <c r="C638" s="6" t="s">
        <v>884</v>
      </c>
      <c r="D638" s="6" t="str">
        <f t="shared" si="27"/>
        <v>MAXIMILIAN PEREIRAS-LEIVE</v>
      </c>
      <c r="E638" s="6" t="s">
        <v>307</v>
      </c>
      <c r="F638" s="6">
        <v>21283956</v>
      </c>
      <c r="G638" s="6" t="s">
        <v>1106</v>
      </c>
      <c r="H638" s="6" t="s">
        <v>56</v>
      </c>
      <c r="I638" s="5">
        <v>45706</v>
      </c>
      <c r="J638" s="5">
        <v>45948</v>
      </c>
      <c r="K638" s="7">
        <v>64.760000000000005</v>
      </c>
      <c r="L638" s="6">
        <f t="shared" si="28"/>
        <v>8</v>
      </c>
      <c r="M638" s="6" t="s">
        <v>59</v>
      </c>
      <c r="N638" s="6" t="s">
        <v>1148</v>
      </c>
      <c r="O638" s="8">
        <v>0.375</v>
      </c>
      <c r="P638" s="16">
        <f t="shared" si="29"/>
        <v>24.285000000000004</v>
      </c>
      <c r="Q638" s="7">
        <v>0</v>
      </c>
      <c r="R638" s="7">
        <v>24.28</v>
      </c>
      <c r="S638" s="7">
        <v>24.28</v>
      </c>
      <c r="T638" s="6" t="s">
        <v>307</v>
      </c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</row>
    <row r="639" spans="1:53" x14ac:dyDescent="0.25">
      <c r="A639" s="6">
        <v>2027111487</v>
      </c>
      <c r="B639" s="6" t="s">
        <v>886</v>
      </c>
      <c r="C639" s="6" t="s">
        <v>349</v>
      </c>
      <c r="D639" s="6" t="str">
        <f t="shared" si="27"/>
        <v>DAVID WESCOTT</v>
      </c>
      <c r="E639" s="6" t="s">
        <v>307</v>
      </c>
      <c r="F639" s="6">
        <v>7146581</v>
      </c>
      <c r="G639" s="6" t="s">
        <v>1110</v>
      </c>
      <c r="H639" s="6" t="s">
        <v>56</v>
      </c>
      <c r="I639" s="5">
        <v>45703</v>
      </c>
      <c r="J639" s="5">
        <v>45945</v>
      </c>
      <c r="K639" s="7">
        <v>60.94</v>
      </c>
      <c r="L639" s="6">
        <f t="shared" si="28"/>
        <v>8</v>
      </c>
      <c r="M639" s="6" t="s">
        <v>59</v>
      </c>
      <c r="N639" s="6" t="s">
        <v>1148</v>
      </c>
      <c r="O639" s="8">
        <v>0.375</v>
      </c>
      <c r="P639" s="16">
        <f t="shared" si="29"/>
        <v>22.852499999999999</v>
      </c>
      <c r="Q639" s="7">
        <v>0</v>
      </c>
      <c r="R639" s="7">
        <v>22.85</v>
      </c>
      <c r="S639" s="7">
        <v>22.85</v>
      </c>
      <c r="T639" s="6" t="s">
        <v>307</v>
      </c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</row>
    <row r="640" spans="1:53" x14ac:dyDescent="0.25">
      <c r="A640" s="6">
        <v>2026581909</v>
      </c>
      <c r="B640" s="6" t="s">
        <v>990</v>
      </c>
      <c r="C640" s="6" t="s">
        <v>286</v>
      </c>
      <c r="D640" s="6" t="str">
        <f t="shared" si="27"/>
        <v>EDWARD CARROLL</v>
      </c>
      <c r="E640" s="6" t="s">
        <v>307</v>
      </c>
      <c r="F640" s="6">
        <v>371819</v>
      </c>
      <c r="G640" s="6" t="s">
        <v>1085</v>
      </c>
      <c r="H640" s="6" t="s">
        <v>56</v>
      </c>
      <c r="I640" s="5">
        <v>45672</v>
      </c>
      <c r="J640" s="5">
        <v>45945</v>
      </c>
      <c r="K640" s="7">
        <v>126.89</v>
      </c>
      <c r="L640" s="6">
        <f t="shared" si="28"/>
        <v>9</v>
      </c>
      <c r="M640" s="6" t="s">
        <v>59</v>
      </c>
      <c r="N640" s="6" t="s">
        <v>1148</v>
      </c>
      <c r="O640" s="8">
        <v>0.375</v>
      </c>
      <c r="P640" s="16">
        <f t="shared" si="29"/>
        <v>47.583750000000002</v>
      </c>
      <c r="Q640" s="7">
        <v>0</v>
      </c>
      <c r="R640" s="7">
        <v>47.58</v>
      </c>
      <c r="S640" s="7">
        <v>47.58</v>
      </c>
      <c r="T640" s="6" t="s">
        <v>307</v>
      </c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</row>
    <row r="641" spans="1:53" x14ac:dyDescent="0.25">
      <c r="A641" s="6">
        <v>2026618368</v>
      </c>
      <c r="B641" s="6" t="s">
        <v>893</v>
      </c>
      <c r="C641" s="6" t="s">
        <v>480</v>
      </c>
      <c r="D641" s="6" t="str">
        <f t="shared" si="27"/>
        <v>SUSAN COMPTON-FREDERICK</v>
      </c>
      <c r="E641" s="6" t="s">
        <v>307</v>
      </c>
      <c r="F641" s="6">
        <v>21283956</v>
      </c>
      <c r="G641" s="6" t="s">
        <v>1106</v>
      </c>
      <c r="H641" s="6" t="s">
        <v>56</v>
      </c>
      <c r="I641" s="5">
        <v>45673</v>
      </c>
      <c r="J641" s="5">
        <v>45946</v>
      </c>
      <c r="K641" s="7">
        <v>35.29</v>
      </c>
      <c r="L641" s="6">
        <f t="shared" si="28"/>
        <v>9</v>
      </c>
      <c r="M641" s="6" t="s">
        <v>59</v>
      </c>
      <c r="N641" s="6" t="s">
        <v>1148</v>
      </c>
      <c r="O641" s="8">
        <v>0.375</v>
      </c>
      <c r="P641" s="16">
        <f t="shared" si="29"/>
        <v>13.233750000000001</v>
      </c>
      <c r="Q641" s="7">
        <v>0</v>
      </c>
      <c r="R641" s="7">
        <v>13.23</v>
      </c>
      <c r="S641" s="7">
        <v>13.23</v>
      </c>
      <c r="T641" s="6" t="s">
        <v>307</v>
      </c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</row>
    <row r="642" spans="1:53" x14ac:dyDescent="0.25">
      <c r="A642" s="6">
        <v>2026650736</v>
      </c>
      <c r="B642" s="6" t="s">
        <v>350</v>
      </c>
      <c r="C642" s="6" t="s">
        <v>351</v>
      </c>
      <c r="D642" s="6" t="str">
        <f t="shared" ref="D642:D705" si="30">CONCATENATE(C642, " ",B642)</f>
        <v>JOSHUA FROST</v>
      </c>
      <c r="E642" s="6" t="s">
        <v>307</v>
      </c>
      <c r="F642" s="6">
        <v>18828278</v>
      </c>
      <c r="G642" s="6" t="s">
        <v>1088</v>
      </c>
      <c r="H642" s="6" t="s">
        <v>56</v>
      </c>
      <c r="I642" s="5">
        <v>45677</v>
      </c>
      <c r="J642" s="5">
        <v>45950</v>
      </c>
      <c r="K642" s="7">
        <v>150.44999999999999</v>
      </c>
      <c r="L642" s="6">
        <f t="shared" ref="L642:L705" si="31">DATEDIF(I642,J642,"M")</f>
        <v>9</v>
      </c>
      <c r="M642" s="6" t="s">
        <v>59</v>
      </c>
      <c r="N642" s="6" t="s">
        <v>1148</v>
      </c>
      <c r="O642" s="8">
        <v>0.375</v>
      </c>
      <c r="P642" s="16">
        <f t="shared" ref="P642:P705" si="32">K642*O642</f>
        <v>56.418749999999996</v>
      </c>
      <c r="Q642" s="7">
        <v>0</v>
      </c>
      <c r="R642" s="7">
        <v>56.42</v>
      </c>
      <c r="S642" s="7">
        <v>56.42</v>
      </c>
      <c r="T642" s="6" t="s">
        <v>307</v>
      </c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</row>
    <row r="643" spans="1:53" x14ac:dyDescent="0.25">
      <c r="A643" s="6">
        <v>2026615682</v>
      </c>
      <c r="B643" s="6" t="s">
        <v>894</v>
      </c>
      <c r="C643" s="6" t="s">
        <v>153</v>
      </c>
      <c r="D643" s="6" t="str">
        <f t="shared" si="30"/>
        <v>RYAN GALLOWAY</v>
      </c>
      <c r="E643" s="6" t="s">
        <v>307</v>
      </c>
      <c r="F643" s="6">
        <v>371819</v>
      </c>
      <c r="G643" s="6" t="s">
        <v>1085</v>
      </c>
      <c r="H643" s="6" t="s">
        <v>56</v>
      </c>
      <c r="I643" s="5">
        <v>45673</v>
      </c>
      <c r="J643" s="5">
        <v>45946</v>
      </c>
      <c r="K643" s="7">
        <v>29.08</v>
      </c>
      <c r="L643" s="6">
        <f t="shared" si="31"/>
        <v>9</v>
      </c>
      <c r="M643" s="6" t="s">
        <v>59</v>
      </c>
      <c r="N643" s="6" t="s">
        <v>1148</v>
      </c>
      <c r="O643" s="8">
        <v>0.375</v>
      </c>
      <c r="P643" s="16">
        <f t="shared" si="32"/>
        <v>10.904999999999999</v>
      </c>
      <c r="Q643" s="7">
        <v>0</v>
      </c>
      <c r="R643" s="7">
        <v>10.9</v>
      </c>
      <c r="S643" s="7">
        <v>10.9</v>
      </c>
      <c r="T643" s="6" t="s">
        <v>307</v>
      </c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</row>
    <row r="644" spans="1:53" x14ac:dyDescent="0.25">
      <c r="A644" s="6">
        <v>2026607948</v>
      </c>
      <c r="B644" s="6" t="s">
        <v>895</v>
      </c>
      <c r="C644" s="6" t="s">
        <v>131</v>
      </c>
      <c r="D644" s="6" t="str">
        <f t="shared" si="30"/>
        <v>MATTHEW LAMBERT</v>
      </c>
      <c r="E644" s="6" t="s">
        <v>307</v>
      </c>
      <c r="F644" s="6">
        <v>371819</v>
      </c>
      <c r="G644" s="6" t="s">
        <v>1085</v>
      </c>
      <c r="H644" s="6" t="s">
        <v>56</v>
      </c>
      <c r="I644" s="5">
        <v>45673</v>
      </c>
      <c r="J644" s="5">
        <v>45946</v>
      </c>
      <c r="K644" s="7">
        <v>27.97</v>
      </c>
      <c r="L644" s="6">
        <f t="shared" si="31"/>
        <v>9</v>
      </c>
      <c r="M644" s="6" t="s">
        <v>59</v>
      </c>
      <c r="N644" s="6" t="s">
        <v>1148</v>
      </c>
      <c r="O644" s="8">
        <v>0.375</v>
      </c>
      <c r="P644" s="16">
        <f t="shared" si="32"/>
        <v>10.48875</v>
      </c>
      <c r="Q644" s="7">
        <v>0</v>
      </c>
      <c r="R644" s="7">
        <v>10.49</v>
      </c>
      <c r="S644" s="7">
        <v>10.49</v>
      </c>
      <c r="T644" s="6" t="s">
        <v>307</v>
      </c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</row>
    <row r="645" spans="1:53" x14ac:dyDescent="0.25">
      <c r="A645" s="6">
        <v>2026649714</v>
      </c>
      <c r="B645" s="6" t="s">
        <v>282</v>
      </c>
      <c r="C645" s="6" t="s">
        <v>283</v>
      </c>
      <c r="D645" s="6" t="str">
        <f t="shared" si="30"/>
        <v>ANDREA PETRUNGARO</v>
      </c>
      <c r="E645" s="6" t="s">
        <v>307</v>
      </c>
      <c r="F645" s="6">
        <v>16912722</v>
      </c>
      <c r="G645" s="6" t="s">
        <v>1111</v>
      </c>
      <c r="H645" s="6" t="s">
        <v>56</v>
      </c>
      <c r="I645" s="5">
        <v>45675</v>
      </c>
      <c r="J645" s="5">
        <v>45948</v>
      </c>
      <c r="K645" s="7">
        <v>57.44</v>
      </c>
      <c r="L645" s="6">
        <f t="shared" si="31"/>
        <v>9</v>
      </c>
      <c r="M645" s="6" t="s">
        <v>59</v>
      </c>
      <c r="N645" s="6" t="s">
        <v>1148</v>
      </c>
      <c r="O645" s="8">
        <v>0.375</v>
      </c>
      <c r="P645" s="16">
        <f t="shared" si="32"/>
        <v>21.54</v>
      </c>
      <c r="Q645" s="7">
        <v>0</v>
      </c>
      <c r="R645" s="7">
        <v>21.54</v>
      </c>
      <c r="S645" s="7">
        <v>21.54</v>
      </c>
      <c r="T645" s="6" t="s">
        <v>307</v>
      </c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</row>
    <row r="646" spans="1:53" x14ac:dyDescent="0.25">
      <c r="A646" s="6">
        <v>2026669940</v>
      </c>
      <c r="B646" s="6" t="s">
        <v>147</v>
      </c>
      <c r="C646" s="6" t="s">
        <v>148</v>
      </c>
      <c r="D646" s="6" t="str">
        <f t="shared" si="30"/>
        <v>TERRELL REESE</v>
      </c>
      <c r="E646" s="6" t="s">
        <v>307</v>
      </c>
      <c r="F646" s="6">
        <v>371819</v>
      </c>
      <c r="G646" s="6" t="s">
        <v>1085</v>
      </c>
      <c r="H646" s="6" t="s">
        <v>56</v>
      </c>
      <c r="I646" s="5">
        <v>45677</v>
      </c>
      <c r="J646" s="5">
        <v>45950</v>
      </c>
      <c r="K646" s="7">
        <v>24.7</v>
      </c>
      <c r="L646" s="6">
        <f t="shared" si="31"/>
        <v>9</v>
      </c>
      <c r="M646" s="6" t="s">
        <v>59</v>
      </c>
      <c r="N646" s="6" t="s">
        <v>1148</v>
      </c>
      <c r="O646" s="8">
        <v>0.375</v>
      </c>
      <c r="P646" s="16">
        <f t="shared" si="32"/>
        <v>9.2624999999999993</v>
      </c>
      <c r="Q646" s="7">
        <v>0</v>
      </c>
      <c r="R646" s="7">
        <v>9.26</v>
      </c>
      <c r="S646" s="7">
        <v>9.26</v>
      </c>
      <c r="T646" s="6" t="s">
        <v>307</v>
      </c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</row>
    <row r="647" spans="1:53" x14ac:dyDescent="0.25">
      <c r="A647" s="6">
        <v>2026757479</v>
      </c>
      <c r="B647" s="6" t="s">
        <v>357</v>
      </c>
      <c r="C647" s="6" t="s">
        <v>277</v>
      </c>
      <c r="D647" s="6" t="str">
        <f t="shared" si="30"/>
        <v>JAMES ROBINSON</v>
      </c>
      <c r="E647" s="6" t="s">
        <v>307</v>
      </c>
      <c r="F647" s="6">
        <v>16509456</v>
      </c>
      <c r="G647" s="6" t="s">
        <v>1113</v>
      </c>
      <c r="H647" s="6" t="s">
        <v>56</v>
      </c>
      <c r="I647" s="5">
        <v>45682</v>
      </c>
      <c r="J647" s="5">
        <v>45955</v>
      </c>
      <c r="K647" s="7">
        <v>61.9</v>
      </c>
      <c r="L647" s="6">
        <f t="shared" si="31"/>
        <v>9</v>
      </c>
      <c r="M647" s="6" t="s">
        <v>59</v>
      </c>
      <c r="N647" s="6" t="s">
        <v>1148</v>
      </c>
      <c r="O647" s="8">
        <v>0.375</v>
      </c>
      <c r="P647" s="16">
        <f t="shared" si="32"/>
        <v>23.212499999999999</v>
      </c>
      <c r="Q647" s="7">
        <v>0</v>
      </c>
      <c r="R647" s="7">
        <v>23.21</v>
      </c>
      <c r="S647" s="7">
        <v>23.21</v>
      </c>
      <c r="T647" s="6" t="s">
        <v>307</v>
      </c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</row>
    <row r="648" spans="1:53" x14ac:dyDescent="0.25">
      <c r="A648" s="6">
        <v>2026625853</v>
      </c>
      <c r="B648" s="6" t="s">
        <v>234</v>
      </c>
      <c r="C648" s="6" t="s">
        <v>892</v>
      </c>
      <c r="D648" s="6" t="str">
        <f t="shared" si="30"/>
        <v>ELDON WALKER</v>
      </c>
      <c r="E648" s="6" t="s">
        <v>307</v>
      </c>
      <c r="F648" s="6">
        <v>371819</v>
      </c>
      <c r="G648" s="6" t="s">
        <v>1085</v>
      </c>
      <c r="H648" s="6" t="s">
        <v>56</v>
      </c>
      <c r="I648" s="5">
        <v>45674</v>
      </c>
      <c r="J648" s="5">
        <v>45947</v>
      </c>
      <c r="K648" s="7">
        <v>24.71</v>
      </c>
      <c r="L648" s="6">
        <f t="shared" si="31"/>
        <v>9</v>
      </c>
      <c r="M648" s="6" t="s">
        <v>59</v>
      </c>
      <c r="N648" s="6" t="s">
        <v>1148</v>
      </c>
      <c r="O648" s="8">
        <v>0.375</v>
      </c>
      <c r="P648" s="16">
        <f t="shared" si="32"/>
        <v>9.2662499999999994</v>
      </c>
      <c r="Q648" s="7">
        <v>0</v>
      </c>
      <c r="R648" s="7">
        <v>9.27</v>
      </c>
      <c r="S648" s="7">
        <v>9.27</v>
      </c>
      <c r="T648" s="6" t="s">
        <v>307</v>
      </c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</row>
    <row r="649" spans="1:53" x14ac:dyDescent="0.25">
      <c r="A649" s="6">
        <v>2026760029</v>
      </c>
      <c r="B649" s="6" t="s">
        <v>358</v>
      </c>
      <c r="C649" s="6" t="s">
        <v>359</v>
      </c>
      <c r="D649" s="6" t="str">
        <f t="shared" si="30"/>
        <v>EMALEE WORDEN</v>
      </c>
      <c r="E649" s="6" t="s">
        <v>307</v>
      </c>
      <c r="F649" s="6">
        <v>371819</v>
      </c>
      <c r="G649" s="6" t="s">
        <v>1085</v>
      </c>
      <c r="H649" s="6" t="s">
        <v>56</v>
      </c>
      <c r="I649" s="5">
        <v>45682</v>
      </c>
      <c r="J649" s="5">
        <v>45955</v>
      </c>
      <c r="K649" s="7">
        <v>22.84</v>
      </c>
      <c r="L649" s="6">
        <f t="shared" si="31"/>
        <v>9</v>
      </c>
      <c r="M649" s="6" t="s">
        <v>59</v>
      </c>
      <c r="N649" s="6" t="s">
        <v>1148</v>
      </c>
      <c r="O649" s="8">
        <v>0.375</v>
      </c>
      <c r="P649" s="16">
        <f t="shared" si="32"/>
        <v>8.5649999999999995</v>
      </c>
      <c r="Q649" s="7">
        <v>0</v>
      </c>
      <c r="R649" s="7">
        <v>8.56</v>
      </c>
      <c r="S649" s="7">
        <v>8.56</v>
      </c>
      <c r="T649" s="6" t="s">
        <v>307</v>
      </c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</row>
    <row r="650" spans="1:53" x14ac:dyDescent="0.25">
      <c r="A650" s="6">
        <v>2026186217</v>
      </c>
      <c r="B650" s="6" t="s">
        <v>1002</v>
      </c>
      <c r="C650" s="6" t="s">
        <v>1001</v>
      </c>
      <c r="D650" s="6" t="str">
        <f t="shared" si="30"/>
        <v>TODD BURRI</v>
      </c>
      <c r="E650" s="6" t="s">
        <v>307</v>
      </c>
      <c r="F650" s="6">
        <v>371819</v>
      </c>
      <c r="G650" s="6" t="s">
        <v>1085</v>
      </c>
      <c r="H650" s="6" t="s">
        <v>56</v>
      </c>
      <c r="I650" s="5">
        <v>45641</v>
      </c>
      <c r="J650" s="5">
        <v>45945</v>
      </c>
      <c r="K650" s="7">
        <v>26.74</v>
      </c>
      <c r="L650" s="6">
        <f t="shared" si="31"/>
        <v>10</v>
      </c>
      <c r="M650" s="6" t="s">
        <v>59</v>
      </c>
      <c r="N650" s="6" t="s">
        <v>1148</v>
      </c>
      <c r="O650" s="8">
        <v>0.375</v>
      </c>
      <c r="P650" s="16">
        <f t="shared" si="32"/>
        <v>10.0275</v>
      </c>
      <c r="Q650" s="7">
        <v>0</v>
      </c>
      <c r="R650" s="7">
        <v>10.029999999999999</v>
      </c>
      <c r="S650" s="7">
        <v>10.029999999999999</v>
      </c>
      <c r="T650" s="6" t="s">
        <v>307</v>
      </c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</row>
    <row r="651" spans="1:53" x14ac:dyDescent="0.25">
      <c r="A651" s="6">
        <v>2026114177</v>
      </c>
      <c r="B651" s="6" t="s">
        <v>1010</v>
      </c>
      <c r="C651" s="6" t="s">
        <v>49</v>
      </c>
      <c r="D651" s="6" t="str">
        <f t="shared" si="30"/>
        <v>MICHAEL DELBOSQUE</v>
      </c>
      <c r="E651" s="6" t="s">
        <v>307</v>
      </c>
      <c r="F651" s="6">
        <v>21283956</v>
      </c>
      <c r="G651" s="6" t="s">
        <v>1106</v>
      </c>
      <c r="H651" s="6" t="s">
        <v>56</v>
      </c>
      <c r="I651" s="5">
        <v>45638</v>
      </c>
      <c r="J651" s="5">
        <v>45942</v>
      </c>
      <c r="K651" s="7">
        <v>40.909999999999997</v>
      </c>
      <c r="L651" s="6">
        <f t="shared" si="31"/>
        <v>10</v>
      </c>
      <c r="M651" s="6" t="s">
        <v>59</v>
      </c>
      <c r="N651" s="6" t="s">
        <v>1148</v>
      </c>
      <c r="O651" s="8">
        <v>0.375</v>
      </c>
      <c r="P651" s="16">
        <f t="shared" si="32"/>
        <v>15.341249999999999</v>
      </c>
      <c r="Q651" s="7">
        <v>0</v>
      </c>
      <c r="R651" s="7">
        <v>15.34</v>
      </c>
      <c r="S651" s="7">
        <v>15.34</v>
      </c>
      <c r="T651" s="6" t="s">
        <v>307</v>
      </c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</row>
    <row r="652" spans="1:53" x14ac:dyDescent="0.25">
      <c r="A652" s="6">
        <v>2026111643</v>
      </c>
      <c r="B652" s="6" t="s">
        <v>1012</v>
      </c>
      <c r="C652" s="6" t="s">
        <v>1011</v>
      </c>
      <c r="D652" s="6" t="str">
        <f t="shared" si="30"/>
        <v>NIKKI SANDOVAL</v>
      </c>
      <c r="E652" s="6" t="s">
        <v>307</v>
      </c>
      <c r="F652" s="6">
        <v>21313588</v>
      </c>
      <c r="G652" s="6" t="s">
        <v>1109</v>
      </c>
      <c r="H652" s="6" t="s">
        <v>56</v>
      </c>
      <c r="I652" s="5">
        <v>45641</v>
      </c>
      <c r="J652" s="5">
        <v>45945</v>
      </c>
      <c r="K652" s="7">
        <v>105.78</v>
      </c>
      <c r="L652" s="6">
        <f t="shared" si="31"/>
        <v>10</v>
      </c>
      <c r="M652" s="6" t="s">
        <v>59</v>
      </c>
      <c r="N652" s="6" t="s">
        <v>1148</v>
      </c>
      <c r="O652" s="8">
        <v>0.375</v>
      </c>
      <c r="P652" s="16">
        <f t="shared" si="32"/>
        <v>39.667500000000004</v>
      </c>
      <c r="Q652" s="7">
        <v>0</v>
      </c>
      <c r="R652" s="7">
        <v>39.67</v>
      </c>
      <c r="S652" s="7">
        <v>39.67</v>
      </c>
      <c r="T652" s="6" t="s">
        <v>307</v>
      </c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</row>
    <row r="653" spans="1:53" x14ac:dyDescent="0.25">
      <c r="A653" s="6">
        <v>2025305259</v>
      </c>
      <c r="B653" s="6" t="s">
        <v>1025</v>
      </c>
      <c r="C653" s="6" t="s">
        <v>630</v>
      </c>
      <c r="D653" s="6" t="str">
        <f t="shared" si="30"/>
        <v>CHRISTOPHER BUCK</v>
      </c>
      <c r="E653" s="6" t="s">
        <v>307</v>
      </c>
      <c r="F653" s="6">
        <v>18828278</v>
      </c>
      <c r="G653" s="6" t="s">
        <v>1088</v>
      </c>
      <c r="H653" s="6" t="s">
        <v>56</v>
      </c>
      <c r="I653" s="5">
        <v>45602</v>
      </c>
      <c r="J653" s="5">
        <v>45936</v>
      </c>
      <c r="K653" s="7">
        <v>-7.93</v>
      </c>
      <c r="L653" s="6">
        <f t="shared" si="31"/>
        <v>11</v>
      </c>
      <c r="M653" s="6" t="s">
        <v>59</v>
      </c>
      <c r="N653" s="6" t="s">
        <v>1148</v>
      </c>
      <c r="O653" s="8">
        <v>0.375</v>
      </c>
      <c r="P653" s="16">
        <f t="shared" si="32"/>
        <v>-2.9737499999999999</v>
      </c>
      <c r="Q653" s="7">
        <v>0</v>
      </c>
      <c r="R653" s="7">
        <v>-2.97</v>
      </c>
      <c r="S653" s="7">
        <v>-2.97</v>
      </c>
      <c r="T653" s="6" t="s">
        <v>307</v>
      </c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</row>
    <row r="654" spans="1:53" x14ac:dyDescent="0.25">
      <c r="A654" s="6">
        <v>2025738648</v>
      </c>
      <c r="B654" s="6" t="s">
        <v>1038</v>
      </c>
      <c r="C654" s="6" t="s">
        <v>1037</v>
      </c>
      <c r="D654" s="6" t="str">
        <f t="shared" si="30"/>
        <v>MASON MOREAU</v>
      </c>
      <c r="E654" s="6" t="s">
        <v>307</v>
      </c>
      <c r="F654" s="6">
        <v>371819</v>
      </c>
      <c r="G654" s="6" t="s">
        <v>1085</v>
      </c>
      <c r="H654" s="6" t="s">
        <v>56</v>
      </c>
      <c r="I654" s="5">
        <v>45609</v>
      </c>
      <c r="J654" s="5">
        <v>45943</v>
      </c>
      <c r="K654" s="7">
        <v>18.66</v>
      </c>
      <c r="L654" s="6">
        <f t="shared" si="31"/>
        <v>11</v>
      </c>
      <c r="M654" s="6" t="s">
        <v>59</v>
      </c>
      <c r="N654" s="6" t="s">
        <v>1148</v>
      </c>
      <c r="O654" s="8">
        <v>0.375</v>
      </c>
      <c r="P654" s="16">
        <f t="shared" si="32"/>
        <v>6.9975000000000005</v>
      </c>
      <c r="Q654" s="7">
        <v>0</v>
      </c>
      <c r="R654" s="7">
        <v>7</v>
      </c>
      <c r="S654" s="7">
        <v>7</v>
      </c>
      <c r="T654" s="6" t="s">
        <v>307</v>
      </c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</row>
    <row r="655" spans="1:53" x14ac:dyDescent="0.25">
      <c r="A655" s="6">
        <v>2025254889</v>
      </c>
      <c r="B655" s="6" t="s">
        <v>1027</v>
      </c>
      <c r="C655" s="6" t="s">
        <v>1026</v>
      </c>
      <c r="D655" s="6" t="str">
        <f t="shared" si="30"/>
        <v>KRISTIN DICKINSON</v>
      </c>
      <c r="E655" s="6" t="s">
        <v>307</v>
      </c>
      <c r="F655" s="6">
        <v>371819</v>
      </c>
      <c r="G655" s="6" t="s">
        <v>1085</v>
      </c>
      <c r="H655" s="6" t="s">
        <v>56</v>
      </c>
      <c r="I655" s="5">
        <v>45576</v>
      </c>
      <c r="J655" s="5">
        <v>45941</v>
      </c>
      <c r="K655" s="7">
        <v>23.54</v>
      </c>
      <c r="L655" s="6">
        <f t="shared" si="31"/>
        <v>12</v>
      </c>
      <c r="M655" s="6" t="s">
        <v>59</v>
      </c>
      <c r="N655" s="6" t="s">
        <v>1148</v>
      </c>
      <c r="O655" s="8">
        <v>0.375</v>
      </c>
      <c r="P655" s="16">
        <f t="shared" si="32"/>
        <v>8.8275000000000006</v>
      </c>
      <c r="Q655" s="7">
        <v>0</v>
      </c>
      <c r="R655" s="7">
        <v>8.83</v>
      </c>
      <c r="S655" s="7">
        <v>8.83</v>
      </c>
      <c r="T655" s="6" t="s">
        <v>307</v>
      </c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</row>
    <row r="656" spans="1:53" x14ac:dyDescent="0.25">
      <c r="A656" s="6">
        <v>2025233515</v>
      </c>
      <c r="B656" s="6" t="s">
        <v>119</v>
      </c>
      <c r="C656" s="6" t="s">
        <v>120</v>
      </c>
      <c r="D656" s="6" t="str">
        <f t="shared" si="30"/>
        <v>KELSEY DREW</v>
      </c>
      <c r="E656" s="6" t="s">
        <v>307</v>
      </c>
      <c r="F656" s="6">
        <v>371819</v>
      </c>
      <c r="G656" s="6" t="s">
        <v>1085</v>
      </c>
      <c r="H656" s="6" t="s">
        <v>56</v>
      </c>
      <c r="I656" s="5">
        <v>45586</v>
      </c>
      <c r="J656" s="5">
        <v>45951</v>
      </c>
      <c r="K656" s="7">
        <v>26.74</v>
      </c>
      <c r="L656" s="6">
        <f t="shared" si="31"/>
        <v>12</v>
      </c>
      <c r="M656" s="6" t="s">
        <v>59</v>
      </c>
      <c r="N656" s="6" t="s">
        <v>1148</v>
      </c>
      <c r="O656" s="8">
        <v>0.375</v>
      </c>
      <c r="P656" s="16">
        <f t="shared" si="32"/>
        <v>10.0275</v>
      </c>
      <c r="Q656" s="7">
        <v>0</v>
      </c>
      <c r="R656" s="7">
        <v>10.029999999999999</v>
      </c>
      <c r="S656" s="7">
        <v>10.029999999999999</v>
      </c>
      <c r="T656" s="6" t="s">
        <v>307</v>
      </c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</row>
    <row r="657" spans="1:53" x14ac:dyDescent="0.25">
      <c r="A657" s="6">
        <v>2025154617</v>
      </c>
      <c r="B657" s="6" t="s">
        <v>345</v>
      </c>
      <c r="C657" s="6" t="s">
        <v>346</v>
      </c>
      <c r="D657" s="6" t="str">
        <f t="shared" si="30"/>
        <v>JACQUELINE PERKINS</v>
      </c>
      <c r="E657" s="6" t="s">
        <v>307</v>
      </c>
      <c r="F657" s="6">
        <v>371819</v>
      </c>
      <c r="G657" s="6" t="s">
        <v>1085</v>
      </c>
      <c r="H657" s="6" t="s">
        <v>56</v>
      </c>
      <c r="I657" s="5">
        <v>45581</v>
      </c>
      <c r="J657" s="5">
        <v>45946</v>
      </c>
      <c r="K657" s="7">
        <v>-27.52</v>
      </c>
      <c r="L657" s="6">
        <f t="shared" si="31"/>
        <v>12</v>
      </c>
      <c r="M657" s="6" t="s">
        <v>59</v>
      </c>
      <c r="N657" s="6" t="s">
        <v>1148</v>
      </c>
      <c r="O657" s="8">
        <v>0.375</v>
      </c>
      <c r="P657" s="16">
        <f t="shared" si="32"/>
        <v>-10.32</v>
      </c>
      <c r="Q657" s="7">
        <v>0</v>
      </c>
      <c r="R657" s="7">
        <v>-10.32</v>
      </c>
      <c r="S657" s="7">
        <v>-10.32</v>
      </c>
      <c r="T657" s="6" t="s">
        <v>307</v>
      </c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</row>
    <row r="658" spans="1:53" x14ac:dyDescent="0.25">
      <c r="A658" s="6">
        <v>2025154617</v>
      </c>
      <c r="B658" s="6" t="s">
        <v>345</v>
      </c>
      <c r="C658" s="6" t="s">
        <v>346</v>
      </c>
      <c r="D658" s="6" t="str">
        <f t="shared" si="30"/>
        <v>JACQUELINE PERKINS</v>
      </c>
      <c r="E658" s="6" t="s">
        <v>307</v>
      </c>
      <c r="F658" s="6">
        <v>371819</v>
      </c>
      <c r="G658" s="6" t="s">
        <v>1085</v>
      </c>
      <c r="H658" s="6" t="s">
        <v>56</v>
      </c>
      <c r="I658" s="5">
        <v>45581</v>
      </c>
      <c r="J658" s="5">
        <v>45946</v>
      </c>
      <c r="K658" s="7">
        <v>27.52</v>
      </c>
      <c r="L658" s="6">
        <f t="shared" si="31"/>
        <v>12</v>
      </c>
      <c r="M658" s="6" t="s">
        <v>59</v>
      </c>
      <c r="N658" s="6" t="s">
        <v>1148</v>
      </c>
      <c r="O658" s="8">
        <v>0.375</v>
      </c>
      <c r="P658" s="16">
        <f t="shared" si="32"/>
        <v>10.32</v>
      </c>
      <c r="Q658" s="7">
        <v>0</v>
      </c>
      <c r="R658" s="7">
        <v>10.32</v>
      </c>
      <c r="S658" s="7">
        <v>10.32</v>
      </c>
      <c r="T658" s="6" t="s">
        <v>307</v>
      </c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</row>
    <row r="659" spans="1:53" x14ac:dyDescent="0.25">
      <c r="A659" s="6">
        <v>2025316508</v>
      </c>
      <c r="B659" s="6" t="s">
        <v>1024</v>
      </c>
      <c r="C659" s="6" t="s">
        <v>163</v>
      </c>
      <c r="D659" s="6" t="str">
        <f t="shared" si="30"/>
        <v>JORDAN ROWELL</v>
      </c>
      <c r="E659" s="6" t="s">
        <v>307</v>
      </c>
      <c r="F659" s="6">
        <v>371819</v>
      </c>
      <c r="G659" s="6" t="s">
        <v>1085</v>
      </c>
      <c r="H659" s="6" t="s">
        <v>56</v>
      </c>
      <c r="I659" s="5">
        <v>45580</v>
      </c>
      <c r="J659" s="5">
        <v>45945</v>
      </c>
      <c r="K659" s="7">
        <v>14.84</v>
      </c>
      <c r="L659" s="6">
        <f t="shared" si="31"/>
        <v>12</v>
      </c>
      <c r="M659" s="6" t="s">
        <v>59</v>
      </c>
      <c r="N659" s="6" t="s">
        <v>1148</v>
      </c>
      <c r="O659" s="8">
        <v>0.375</v>
      </c>
      <c r="P659" s="16">
        <f t="shared" si="32"/>
        <v>5.5649999999999995</v>
      </c>
      <c r="Q659" s="7">
        <v>0</v>
      </c>
      <c r="R659" s="7">
        <v>5.56</v>
      </c>
      <c r="S659" s="7">
        <v>5.56</v>
      </c>
      <c r="T659" s="6" t="s">
        <v>307</v>
      </c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</row>
    <row r="660" spans="1:53" x14ac:dyDescent="0.25">
      <c r="A660" s="6">
        <v>2024865456</v>
      </c>
      <c r="B660" s="6" t="s">
        <v>1040</v>
      </c>
      <c r="C660" s="6" t="s">
        <v>277</v>
      </c>
      <c r="D660" s="6" t="str">
        <f t="shared" si="30"/>
        <v>JAMES JENNINGS</v>
      </c>
      <c r="E660" s="6" t="s">
        <v>307</v>
      </c>
      <c r="F660" s="6">
        <v>371819</v>
      </c>
      <c r="G660" s="6" t="s">
        <v>1085</v>
      </c>
      <c r="H660" s="6" t="s">
        <v>56</v>
      </c>
      <c r="I660" s="5">
        <v>45549</v>
      </c>
      <c r="J660" s="5">
        <v>45944</v>
      </c>
      <c r="K660" s="7">
        <v>27.67</v>
      </c>
      <c r="L660" s="6">
        <f t="shared" si="31"/>
        <v>13</v>
      </c>
      <c r="M660" s="6" t="s">
        <v>59</v>
      </c>
      <c r="N660" s="6" t="s">
        <v>1148</v>
      </c>
      <c r="O660" s="9">
        <v>0.06</v>
      </c>
      <c r="P660" s="16">
        <f t="shared" si="32"/>
        <v>1.6602000000000001</v>
      </c>
      <c r="Q660" s="7">
        <v>0</v>
      </c>
      <c r="R660" s="7">
        <v>1.66</v>
      </c>
      <c r="S660" s="7">
        <v>1.66</v>
      </c>
      <c r="T660" s="6" t="s">
        <v>307</v>
      </c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</row>
    <row r="661" spans="1:53" x14ac:dyDescent="0.25">
      <c r="A661" s="6">
        <v>2024834571</v>
      </c>
      <c r="B661" s="6" t="s">
        <v>734</v>
      </c>
      <c r="C661" s="6" t="s">
        <v>409</v>
      </c>
      <c r="D661" s="6" t="str">
        <f t="shared" si="30"/>
        <v>SARAH PHILLIPS</v>
      </c>
      <c r="E661" s="6" t="s">
        <v>307</v>
      </c>
      <c r="F661" s="6">
        <v>371819</v>
      </c>
      <c r="G661" s="6" t="s">
        <v>1085</v>
      </c>
      <c r="H661" s="6" t="s">
        <v>56</v>
      </c>
      <c r="I661" s="5">
        <v>45549</v>
      </c>
      <c r="J661" s="5">
        <v>45944</v>
      </c>
      <c r="K661" s="7">
        <v>75.599999999999994</v>
      </c>
      <c r="L661" s="6">
        <f t="shared" si="31"/>
        <v>13</v>
      </c>
      <c r="M661" s="6" t="s">
        <v>59</v>
      </c>
      <c r="N661" s="6" t="s">
        <v>1148</v>
      </c>
      <c r="O661" s="9">
        <v>0.06</v>
      </c>
      <c r="P661" s="16">
        <f t="shared" si="32"/>
        <v>4.5359999999999996</v>
      </c>
      <c r="Q661" s="7">
        <v>0</v>
      </c>
      <c r="R661" s="7">
        <v>4.54</v>
      </c>
      <c r="S661" s="7">
        <v>4.54</v>
      </c>
      <c r="T661" s="6" t="s">
        <v>307</v>
      </c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</row>
    <row r="662" spans="1:53" x14ac:dyDescent="0.25">
      <c r="A662" s="6">
        <v>2024489047</v>
      </c>
      <c r="B662" s="6" t="s">
        <v>342</v>
      </c>
      <c r="C662" s="6" t="s">
        <v>123</v>
      </c>
      <c r="D662" s="6" t="str">
        <f t="shared" si="30"/>
        <v>THOMAS BURKE</v>
      </c>
      <c r="E662" s="6" t="s">
        <v>307</v>
      </c>
      <c r="F662" s="6">
        <v>8971826</v>
      </c>
      <c r="G662" s="6" t="s">
        <v>1103</v>
      </c>
      <c r="H662" s="6" t="s">
        <v>56</v>
      </c>
      <c r="I662" s="5">
        <v>45526</v>
      </c>
      <c r="J662" s="5">
        <v>45952</v>
      </c>
      <c r="K662" s="7">
        <v>47.29</v>
      </c>
      <c r="L662" s="6">
        <f t="shared" si="31"/>
        <v>14</v>
      </c>
      <c r="M662" s="6" t="s">
        <v>59</v>
      </c>
      <c r="N662" s="6" t="s">
        <v>1148</v>
      </c>
      <c r="O662" s="9">
        <v>0.06</v>
      </c>
      <c r="P662" s="16">
        <f t="shared" si="32"/>
        <v>2.8373999999999997</v>
      </c>
      <c r="Q662" s="7">
        <v>0</v>
      </c>
      <c r="R662" s="7">
        <v>2.84</v>
      </c>
      <c r="S662" s="7">
        <v>2.84</v>
      </c>
      <c r="T662" s="6" t="s">
        <v>307</v>
      </c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</row>
    <row r="663" spans="1:53" x14ac:dyDescent="0.25">
      <c r="A663" s="6">
        <v>2024356430</v>
      </c>
      <c r="B663" s="6" t="s">
        <v>736</v>
      </c>
      <c r="C663" s="6" t="s">
        <v>187</v>
      </c>
      <c r="D663" s="6" t="str">
        <f t="shared" si="30"/>
        <v>SEAN KAPANGA</v>
      </c>
      <c r="E663" s="6" t="s">
        <v>307</v>
      </c>
      <c r="F663" s="6">
        <v>371819</v>
      </c>
      <c r="G663" s="6" t="s">
        <v>1085</v>
      </c>
      <c r="H663" s="6" t="s">
        <v>56</v>
      </c>
      <c r="I663" s="5">
        <v>45517</v>
      </c>
      <c r="J663" s="5">
        <v>45943</v>
      </c>
      <c r="K663" s="7">
        <v>27.22</v>
      </c>
      <c r="L663" s="6">
        <f t="shared" si="31"/>
        <v>14</v>
      </c>
      <c r="M663" s="6" t="s">
        <v>59</v>
      </c>
      <c r="N663" s="6" t="s">
        <v>1148</v>
      </c>
      <c r="O663" s="9">
        <v>0.06</v>
      </c>
      <c r="P663" s="16">
        <f t="shared" si="32"/>
        <v>1.6331999999999998</v>
      </c>
      <c r="Q663" s="7">
        <v>0</v>
      </c>
      <c r="R663" s="7">
        <v>1.63</v>
      </c>
      <c r="S663" s="7">
        <v>1.63</v>
      </c>
      <c r="T663" s="6" t="s">
        <v>307</v>
      </c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</row>
    <row r="664" spans="1:53" x14ac:dyDescent="0.25">
      <c r="A664" s="6">
        <v>2024049922</v>
      </c>
      <c r="B664" s="6" t="s">
        <v>340</v>
      </c>
      <c r="C664" s="6" t="s">
        <v>341</v>
      </c>
      <c r="D664" s="6" t="str">
        <f t="shared" si="30"/>
        <v>DAISY ARMSTRONG</v>
      </c>
      <c r="E664" s="6" t="s">
        <v>307</v>
      </c>
      <c r="F664" s="6">
        <v>8971826</v>
      </c>
      <c r="G664" s="6" t="s">
        <v>1103</v>
      </c>
      <c r="H664" s="6" t="s">
        <v>56</v>
      </c>
      <c r="I664" s="5">
        <v>45497</v>
      </c>
      <c r="J664" s="5">
        <v>45954</v>
      </c>
      <c r="K664" s="7">
        <v>40.119999999999997</v>
      </c>
      <c r="L664" s="6">
        <f t="shared" si="31"/>
        <v>15</v>
      </c>
      <c r="M664" s="6" t="s">
        <v>59</v>
      </c>
      <c r="N664" s="6" t="s">
        <v>1148</v>
      </c>
      <c r="O664" s="9">
        <v>0.06</v>
      </c>
      <c r="P664" s="16">
        <f t="shared" si="32"/>
        <v>2.4071999999999996</v>
      </c>
      <c r="Q664" s="7">
        <v>0</v>
      </c>
      <c r="R664" s="7">
        <v>2.41</v>
      </c>
      <c r="S664" s="7">
        <v>2.41</v>
      </c>
      <c r="T664" s="6" t="s">
        <v>307</v>
      </c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</row>
    <row r="665" spans="1:53" x14ac:dyDescent="0.25">
      <c r="A665" s="6">
        <v>2023233680</v>
      </c>
      <c r="B665" s="6" t="s">
        <v>336</v>
      </c>
      <c r="C665" s="6" t="s">
        <v>337</v>
      </c>
      <c r="D665" s="6" t="str">
        <f t="shared" si="30"/>
        <v>ALEXANDRA MCKAY</v>
      </c>
      <c r="E665" s="6" t="s">
        <v>307</v>
      </c>
      <c r="F665" s="6">
        <v>19645587</v>
      </c>
      <c r="G665" s="6" t="s">
        <v>1116</v>
      </c>
      <c r="H665" s="6" t="s">
        <v>56</v>
      </c>
      <c r="I665" s="5">
        <v>45436</v>
      </c>
      <c r="J665" s="5">
        <v>45954</v>
      </c>
      <c r="K665" s="7">
        <v>31.28</v>
      </c>
      <c r="L665" s="6">
        <f t="shared" si="31"/>
        <v>17</v>
      </c>
      <c r="M665" s="6" t="s">
        <v>59</v>
      </c>
      <c r="N665" s="6" t="s">
        <v>1148</v>
      </c>
      <c r="O665" s="9">
        <v>0.06</v>
      </c>
      <c r="P665" s="16">
        <f t="shared" si="32"/>
        <v>1.8768</v>
      </c>
      <c r="Q665" s="7">
        <v>0</v>
      </c>
      <c r="R665" s="7">
        <v>1.88</v>
      </c>
      <c r="S665" s="7">
        <v>1.88</v>
      </c>
      <c r="T665" s="6" t="s">
        <v>307</v>
      </c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</row>
    <row r="666" spans="1:53" x14ac:dyDescent="0.25">
      <c r="A666" s="6">
        <v>2023230473</v>
      </c>
      <c r="B666" s="6" t="s">
        <v>334</v>
      </c>
      <c r="C666" s="6" t="s">
        <v>335</v>
      </c>
      <c r="D666" s="6" t="str">
        <f t="shared" si="30"/>
        <v>SAMUEL SACK</v>
      </c>
      <c r="E666" s="6" t="s">
        <v>307</v>
      </c>
      <c r="F666" s="6">
        <v>8971826</v>
      </c>
      <c r="G666" s="6" t="s">
        <v>1103</v>
      </c>
      <c r="H666" s="6" t="s">
        <v>56</v>
      </c>
      <c r="I666" s="5">
        <v>45436</v>
      </c>
      <c r="J666" s="5">
        <v>45954</v>
      </c>
      <c r="K666" s="7">
        <v>40.119999999999997</v>
      </c>
      <c r="L666" s="6">
        <f t="shared" si="31"/>
        <v>17</v>
      </c>
      <c r="M666" s="6" t="s">
        <v>59</v>
      </c>
      <c r="N666" s="6" t="s">
        <v>1148</v>
      </c>
      <c r="O666" s="9">
        <v>0.06</v>
      </c>
      <c r="P666" s="16">
        <f t="shared" si="32"/>
        <v>2.4071999999999996</v>
      </c>
      <c r="Q666" s="7">
        <v>0</v>
      </c>
      <c r="R666" s="7">
        <v>2.41</v>
      </c>
      <c r="S666" s="7">
        <v>2.41</v>
      </c>
      <c r="T666" s="6" t="s">
        <v>307</v>
      </c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</row>
    <row r="667" spans="1:53" x14ac:dyDescent="0.25">
      <c r="A667" s="6">
        <v>2022823602</v>
      </c>
      <c r="B667" s="6" t="s">
        <v>330</v>
      </c>
      <c r="C667" s="6" t="s">
        <v>331</v>
      </c>
      <c r="D667" s="6" t="str">
        <f t="shared" si="30"/>
        <v>MICHELLE KEEFER</v>
      </c>
      <c r="E667" s="6" t="s">
        <v>307</v>
      </c>
      <c r="F667" s="6">
        <v>8971826</v>
      </c>
      <c r="G667" s="6" t="s">
        <v>1103</v>
      </c>
      <c r="H667" s="6" t="s">
        <v>56</v>
      </c>
      <c r="I667" s="5">
        <v>45406</v>
      </c>
      <c r="J667" s="5">
        <v>45954</v>
      </c>
      <c r="K667" s="7">
        <v>58.98</v>
      </c>
      <c r="L667" s="6">
        <f t="shared" si="31"/>
        <v>18</v>
      </c>
      <c r="M667" s="6" t="s">
        <v>59</v>
      </c>
      <c r="N667" s="6" t="s">
        <v>1148</v>
      </c>
      <c r="O667" s="9">
        <v>0.06</v>
      </c>
      <c r="P667" s="16">
        <f t="shared" si="32"/>
        <v>3.5387999999999997</v>
      </c>
      <c r="Q667" s="7">
        <v>0</v>
      </c>
      <c r="R667" s="7">
        <v>3.54</v>
      </c>
      <c r="S667" s="7">
        <v>3.54</v>
      </c>
      <c r="T667" s="6" t="s">
        <v>307</v>
      </c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</row>
    <row r="668" spans="1:53" x14ac:dyDescent="0.25">
      <c r="A668" s="6">
        <v>2021499228</v>
      </c>
      <c r="B668" s="6" t="s">
        <v>324</v>
      </c>
      <c r="C668" s="6" t="s">
        <v>325</v>
      </c>
      <c r="D668" s="6" t="str">
        <f t="shared" si="30"/>
        <v>SHATAYA JONES</v>
      </c>
      <c r="E668" s="6" t="s">
        <v>307</v>
      </c>
      <c r="F668" s="6">
        <v>19562245</v>
      </c>
      <c r="G668" s="6" t="s">
        <v>1114</v>
      </c>
      <c r="H668" s="6" t="s">
        <v>56</v>
      </c>
      <c r="I668" s="5">
        <v>45314</v>
      </c>
      <c r="J668" s="5">
        <v>45953</v>
      </c>
      <c r="K668" s="7">
        <v>39.979999999999997</v>
      </c>
      <c r="L668" s="6">
        <f t="shared" si="31"/>
        <v>21</v>
      </c>
      <c r="M668" s="6" t="s">
        <v>59</v>
      </c>
      <c r="N668" s="6" t="s">
        <v>1148</v>
      </c>
      <c r="O668" s="9">
        <v>0.06</v>
      </c>
      <c r="P668" s="16">
        <f t="shared" si="32"/>
        <v>2.3987999999999996</v>
      </c>
      <c r="Q668" s="7">
        <v>0</v>
      </c>
      <c r="R668" s="7">
        <v>2.4</v>
      </c>
      <c r="S668" s="7">
        <v>2.4</v>
      </c>
      <c r="T668" s="6" t="s">
        <v>307</v>
      </c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</row>
    <row r="669" spans="1:53" x14ac:dyDescent="0.25">
      <c r="A669" s="6">
        <v>2020776384</v>
      </c>
      <c r="B669" s="6" t="s">
        <v>1044</v>
      </c>
      <c r="C669" s="6" t="s">
        <v>1043</v>
      </c>
      <c r="D669" s="6" t="str">
        <f t="shared" si="30"/>
        <v>SHANNON STANIECH</v>
      </c>
      <c r="E669" s="6" t="s">
        <v>307</v>
      </c>
      <c r="F669" s="6">
        <v>8971826</v>
      </c>
      <c r="G669" s="6" t="s">
        <v>1103</v>
      </c>
      <c r="H669" s="6" t="s">
        <v>56</v>
      </c>
      <c r="I669" s="5">
        <v>45244</v>
      </c>
      <c r="J669" s="5">
        <v>45944</v>
      </c>
      <c r="K669" s="7">
        <v>119.58</v>
      </c>
      <c r="L669" s="6">
        <f t="shared" si="31"/>
        <v>23</v>
      </c>
      <c r="M669" s="6" t="s">
        <v>59</v>
      </c>
      <c r="N669" s="6" t="s">
        <v>1148</v>
      </c>
      <c r="O669" s="9">
        <v>0.06</v>
      </c>
      <c r="P669" s="16">
        <f t="shared" si="32"/>
        <v>7.1747999999999994</v>
      </c>
      <c r="Q669" s="7">
        <v>0</v>
      </c>
      <c r="R669" s="7">
        <v>7.17</v>
      </c>
      <c r="S669" s="7">
        <v>7.17</v>
      </c>
      <c r="T669" s="6" t="s">
        <v>307</v>
      </c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</row>
    <row r="670" spans="1:53" x14ac:dyDescent="0.25">
      <c r="A670" s="6">
        <v>2020534056</v>
      </c>
      <c r="B670" s="6" t="s">
        <v>48</v>
      </c>
      <c r="C670" s="6" t="s">
        <v>49</v>
      </c>
      <c r="D670" s="6" t="str">
        <f t="shared" si="30"/>
        <v>MICHAEL MCCANN</v>
      </c>
      <c r="E670" s="6" t="s">
        <v>307</v>
      </c>
      <c r="F670" s="6">
        <v>8971826</v>
      </c>
      <c r="G670" s="6" t="s">
        <v>1103</v>
      </c>
      <c r="H670" s="6" t="s">
        <v>56</v>
      </c>
      <c r="I670" s="5">
        <v>45224</v>
      </c>
      <c r="J670" s="5">
        <v>45955</v>
      </c>
      <c r="K670" s="7">
        <v>32.979999999999997</v>
      </c>
      <c r="L670" s="6">
        <f t="shared" si="31"/>
        <v>24</v>
      </c>
      <c r="M670" s="6" t="s">
        <v>59</v>
      </c>
      <c r="N670" s="6" t="s">
        <v>1148</v>
      </c>
      <c r="O670" s="9">
        <v>0.06</v>
      </c>
      <c r="P670" s="16">
        <f t="shared" si="32"/>
        <v>1.9787999999999997</v>
      </c>
      <c r="Q670" s="7">
        <v>0</v>
      </c>
      <c r="R670" s="7">
        <v>1.98</v>
      </c>
      <c r="S670" s="7">
        <v>1.98</v>
      </c>
      <c r="T670" s="6" t="s">
        <v>307</v>
      </c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</row>
    <row r="671" spans="1:53" x14ac:dyDescent="0.25">
      <c r="A671" s="6">
        <v>2020037859</v>
      </c>
      <c r="B671" s="6" t="s">
        <v>1046</v>
      </c>
      <c r="C671" s="6" t="s">
        <v>49</v>
      </c>
      <c r="D671" s="6" t="str">
        <f t="shared" si="30"/>
        <v>MICHAEL SCHAAL</v>
      </c>
      <c r="E671" s="6" t="s">
        <v>307</v>
      </c>
      <c r="F671" s="6">
        <v>8971826</v>
      </c>
      <c r="G671" s="6" t="s">
        <v>1103</v>
      </c>
      <c r="H671" s="6" t="s">
        <v>56</v>
      </c>
      <c r="I671" s="5">
        <v>45182</v>
      </c>
      <c r="J671" s="5">
        <v>45943</v>
      </c>
      <c r="K671" s="7">
        <v>151.88</v>
      </c>
      <c r="L671" s="6">
        <f t="shared" si="31"/>
        <v>25</v>
      </c>
      <c r="M671" s="6" t="s">
        <v>59</v>
      </c>
      <c r="N671" s="6" t="s">
        <v>1148</v>
      </c>
      <c r="O671" s="9">
        <v>0.06</v>
      </c>
      <c r="P671" s="16">
        <f t="shared" si="32"/>
        <v>9.1128</v>
      </c>
      <c r="Q671" s="7">
        <v>0</v>
      </c>
      <c r="R671" s="7">
        <v>9.11</v>
      </c>
      <c r="S671" s="7">
        <v>9.11</v>
      </c>
      <c r="T671" s="6" t="s">
        <v>307</v>
      </c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</row>
    <row r="672" spans="1:53" x14ac:dyDescent="0.25">
      <c r="A672" s="6">
        <v>2019971559</v>
      </c>
      <c r="B672" s="6" t="s">
        <v>314</v>
      </c>
      <c r="C672" s="6" t="s">
        <v>315</v>
      </c>
      <c r="D672" s="6" t="str">
        <f t="shared" si="30"/>
        <v>MACKENZIE AMALIA</v>
      </c>
      <c r="E672" s="6" t="s">
        <v>307</v>
      </c>
      <c r="F672" s="6">
        <v>19562245</v>
      </c>
      <c r="G672" s="6" t="s">
        <v>1114</v>
      </c>
      <c r="H672" s="6" t="s">
        <v>56</v>
      </c>
      <c r="I672" s="5">
        <v>45163</v>
      </c>
      <c r="J672" s="5">
        <v>45955</v>
      </c>
      <c r="K672" s="7">
        <v>49.12</v>
      </c>
      <c r="L672" s="6">
        <f t="shared" si="31"/>
        <v>26</v>
      </c>
      <c r="M672" s="6" t="s">
        <v>59</v>
      </c>
      <c r="N672" s="6" t="s">
        <v>1148</v>
      </c>
      <c r="O672" s="9">
        <v>0.06</v>
      </c>
      <c r="P672" s="16">
        <f t="shared" si="32"/>
        <v>2.9471999999999996</v>
      </c>
      <c r="Q672" s="7">
        <v>0</v>
      </c>
      <c r="R672" s="7">
        <v>2.95</v>
      </c>
      <c r="S672" s="7">
        <v>2.95</v>
      </c>
      <c r="T672" s="6" t="s">
        <v>307</v>
      </c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</row>
    <row r="673" spans="1:53" x14ac:dyDescent="0.25">
      <c r="A673" s="6">
        <v>2019459171</v>
      </c>
      <c r="B673" s="6" t="s">
        <v>311</v>
      </c>
      <c r="C673" s="6" t="s">
        <v>277</v>
      </c>
      <c r="D673" s="6" t="str">
        <f t="shared" si="30"/>
        <v>JAMES ZOLLARS</v>
      </c>
      <c r="E673" s="6" t="s">
        <v>307</v>
      </c>
      <c r="F673" s="6">
        <v>8971826</v>
      </c>
      <c r="G673" s="6" t="s">
        <v>1103</v>
      </c>
      <c r="H673" s="6" t="s">
        <v>56</v>
      </c>
      <c r="I673" s="5">
        <v>45129</v>
      </c>
      <c r="J673" s="5">
        <v>45952</v>
      </c>
      <c r="K673" s="7">
        <v>57.29</v>
      </c>
      <c r="L673" s="6">
        <f t="shared" si="31"/>
        <v>27</v>
      </c>
      <c r="M673" s="6" t="s">
        <v>59</v>
      </c>
      <c r="N673" s="6" t="s">
        <v>1148</v>
      </c>
      <c r="O673" s="9">
        <v>0.06</v>
      </c>
      <c r="P673" s="16">
        <f t="shared" si="32"/>
        <v>3.4373999999999998</v>
      </c>
      <c r="Q673" s="7">
        <v>0</v>
      </c>
      <c r="R673" s="7">
        <v>3.44</v>
      </c>
      <c r="S673" s="7">
        <v>3.44</v>
      </c>
      <c r="T673" s="6" t="s">
        <v>307</v>
      </c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</row>
    <row r="674" spans="1:53" x14ac:dyDescent="0.25">
      <c r="A674" s="6">
        <v>2017069747</v>
      </c>
      <c r="B674" s="6" t="s">
        <v>1052</v>
      </c>
      <c r="C674" s="6" t="s">
        <v>49</v>
      </c>
      <c r="D674" s="6" t="str">
        <f t="shared" si="30"/>
        <v>MICHAEL DIGREGORIO</v>
      </c>
      <c r="E674" s="6" t="s">
        <v>307</v>
      </c>
      <c r="F674" s="6">
        <v>16509456</v>
      </c>
      <c r="G674" s="6" t="s">
        <v>1113</v>
      </c>
      <c r="H674" s="6" t="s">
        <v>56</v>
      </c>
      <c r="I674" s="5">
        <v>44909</v>
      </c>
      <c r="J674" s="5">
        <v>45944</v>
      </c>
      <c r="K674" s="7">
        <v>36.65</v>
      </c>
      <c r="L674" s="6">
        <f t="shared" si="31"/>
        <v>34</v>
      </c>
      <c r="M674" s="6" t="s">
        <v>59</v>
      </c>
      <c r="N674" s="6" t="s">
        <v>1148</v>
      </c>
      <c r="O674" s="9">
        <v>0.06</v>
      </c>
      <c r="P674" s="16">
        <f t="shared" si="32"/>
        <v>2.1989999999999998</v>
      </c>
      <c r="Q674" s="7">
        <v>0</v>
      </c>
      <c r="R674" s="7">
        <v>2.2000000000000002</v>
      </c>
      <c r="S674" s="7">
        <v>2.2000000000000002</v>
      </c>
      <c r="T674" s="6" t="s">
        <v>307</v>
      </c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</row>
    <row r="675" spans="1:53" x14ac:dyDescent="0.25">
      <c r="A675" s="6">
        <v>2016868356</v>
      </c>
      <c r="B675" s="6" t="s">
        <v>308</v>
      </c>
      <c r="C675" s="6" t="s">
        <v>109</v>
      </c>
      <c r="D675" s="6" t="str">
        <f t="shared" si="30"/>
        <v>GREGORY SHISLER</v>
      </c>
      <c r="E675" s="6" t="s">
        <v>307</v>
      </c>
      <c r="F675" s="6">
        <v>16509456</v>
      </c>
      <c r="G675" s="6" t="s">
        <v>1113</v>
      </c>
      <c r="H675" s="6" t="s">
        <v>56</v>
      </c>
      <c r="I675" s="5">
        <v>44885</v>
      </c>
      <c r="J675" s="5">
        <v>45950</v>
      </c>
      <c r="K675" s="7">
        <v>17.649999999999999</v>
      </c>
      <c r="L675" s="6">
        <f t="shared" si="31"/>
        <v>35</v>
      </c>
      <c r="M675" s="6" t="s">
        <v>59</v>
      </c>
      <c r="N675" s="6" t="s">
        <v>1148</v>
      </c>
      <c r="O675" s="9">
        <v>0.06</v>
      </c>
      <c r="P675" s="16">
        <f t="shared" si="32"/>
        <v>1.0589999999999999</v>
      </c>
      <c r="Q675" s="7">
        <v>0</v>
      </c>
      <c r="R675" s="7">
        <v>1.06</v>
      </c>
      <c r="S675" s="7">
        <v>1.06</v>
      </c>
      <c r="T675" s="6" t="s">
        <v>307</v>
      </c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</row>
    <row r="676" spans="1:53" x14ac:dyDescent="0.25">
      <c r="A676" s="6">
        <v>2016549422</v>
      </c>
      <c r="B676" s="6" t="s">
        <v>1053</v>
      </c>
      <c r="C676" s="6" t="s">
        <v>398</v>
      </c>
      <c r="D676" s="6" t="str">
        <f t="shared" si="30"/>
        <v>JASON RISING</v>
      </c>
      <c r="E676" s="6" t="s">
        <v>307</v>
      </c>
      <c r="F676" s="6">
        <v>16509456</v>
      </c>
      <c r="G676" s="6" t="s">
        <v>1113</v>
      </c>
      <c r="H676" s="6" t="s">
        <v>56</v>
      </c>
      <c r="I676" s="5">
        <v>44849</v>
      </c>
      <c r="J676" s="5">
        <v>45945</v>
      </c>
      <c r="K676" s="7">
        <v>149.46</v>
      </c>
      <c r="L676" s="6">
        <f t="shared" si="31"/>
        <v>36</v>
      </c>
      <c r="M676" s="6" t="s">
        <v>59</v>
      </c>
      <c r="N676" s="6" t="s">
        <v>1148</v>
      </c>
      <c r="O676" s="9">
        <v>0.06</v>
      </c>
      <c r="P676" s="16">
        <f t="shared" si="32"/>
        <v>8.9676000000000009</v>
      </c>
      <c r="Q676" s="7">
        <v>0</v>
      </c>
      <c r="R676" s="7">
        <v>8.9700000000000006</v>
      </c>
      <c r="S676" s="7">
        <v>8.9700000000000006</v>
      </c>
      <c r="T676" s="6" t="s">
        <v>307</v>
      </c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</row>
    <row r="677" spans="1:53" x14ac:dyDescent="0.25">
      <c r="A677">
        <v>2030574908</v>
      </c>
      <c r="B677" t="s">
        <v>609</v>
      </c>
      <c r="C677" t="s">
        <v>608</v>
      </c>
      <c r="D677" s="6" t="str">
        <f t="shared" si="30"/>
        <v>LORENA FIERRO</v>
      </c>
      <c r="E677" t="s">
        <v>307</v>
      </c>
      <c r="F677">
        <v>17437820</v>
      </c>
      <c r="G677" t="s">
        <v>1082</v>
      </c>
      <c r="H677" t="s">
        <v>230</v>
      </c>
      <c r="I677" s="1">
        <v>45901</v>
      </c>
      <c r="J677" s="1">
        <v>45931</v>
      </c>
      <c r="K677" s="2">
        <v>-59.16</v>
      </c>
      <c r="L677">
        <f t="shared" si="31"/>
        <v>1</v>
      </c>
      <c r="M677" t="s">
        <v>59</v>
      </c>
      <c r="N677" t="s">
        <v>1148</v>
      </c>
      <c r="O677" s="3">
        <v>0.375</v>
      </c>
      <c r="P677" s="16">
        <f t="shared" si="32"/>
        <v>-22.184999999999999</v>
      </c>
      <c r="Q677" s="2">
        <v>0</v>
      </c>
      <c r="R677" s="2">
        <v>-22.18</v>
      </c>
      <c r="S677" s="2">
        <v>-22.18</v>
      </c>
      <c r="T677" t="s">
        <v>307</v>
      </c>
    </row>
    <row r="678" spans="1:53" x14ac:dyDescent="0.25">
      <c r="A678">
        <v>2030469677</v>
      </c>
      <c r="B678" t="s">
        <v>612</v>
      </c>
      <c r="C678" t="s">
        <v>611</v>
      </c>
      <c r="D678" s="6" t="str">
        <f t="shared" si="30"/>
        <v>NOAH STEVENS</v>
      </c>
      <c r="E678" t="s">
        <v>307</v>
      </c>
      <c r="F678">
        <v>18781057</v>
      </c>
      <c r="G678" t="s">
        <v>1089</v>
      </c>
      <c r="H678" t="s">
        <v>230</v>
      </c>
      <c r="I678" s="1">
        <v>45901</v>
      </c>
      <c r="J678" s="1">
        <v>45931</v>
      </c>
      <c r="K678" s="2">
        <v>-26.7</v>
      </c>
      <c r="L678">
        <f t="shared" si="31"/>
        <v>1</v>
      </c>
      <c r="M678" t="s">
        <v>59</v>
      </c>
      <c r="N678" t="s">
        <v>1148</v>
      </c>
      <c r="O678" s="3">
        <v>0.375</v>
      </c>
      <c r="P678" s="16">
        <f t="shared" si="32"/>
        <v>-10.012499999999999</v>
      </c>
      <c r="Q678" s="2">
        <v>0</v>
      </c>
      <c r="R678" s="2">
        <v>-10.01</v>
      </c>
      <c r="S678" s="2">
        <v>-10.01</v>
      </c>
      <c r="T678" t="s">
        <v>307</v>
      </c>
    </row>
    <row r="679" spans="1:53" x14ac:dyDescent="0.25">
      <c r="A679">
        <v>2030429655</v>
      </c>
      <c r="B679" t="s">
        <v>226</v>
      </c>
      <c r="C679" t="s">
        <v>227</v>
      </c>
      <c r="D679" s="6" t="str">
        <f t="shared" si="30"/>
        <v>BOOKER LINDA</v>
      </c>
      <c r="E679" t="s">
        <v>307</v>
      </c>
      <c r="F679">
        <v>8307933</v>
      </c>
      <c r="G679" t="s">
        <v>1098</v>
      </c>
      <c r="H679" t="s">
        <v>56</v>
      </c>
      <c r="I679" s="1">
        <v>45889</v>
      </c>
      <c r="J679" s="1">
        <v>45950</v>
      </c>
      <c r="K679" s="2">
        <v>43.91</v>
      </c>
      <c r="L679">
        <f t="shared" si="31"/>
        <v>2</v>
      </c>
      <c r="M679" t="s">
        <v>59</v>
      </c>
      <c r="N679" t="s">
        <v>1148</v>
      </c>
      <c r="O679" s="3">
        <v>0.375</v>
      </c>
      <c r="P679" s="16">
        <f t="shared" si="32"/>
        <v>16.466249999999999</v>
      </c>
      <c r="Q679" s="2">
        <v>16.47</v>
      </c>
      <c r="R679" s="2">
        <v>0</v>
      </c>
      <c r="S679" s="2">
        <v>0</v>
      </c>
      <c r="T679" t="s">
        <v>307</v>
      </c>
    </row>
    <row r="680" spans="1:53" x14ac:dyDescent="0.25">
      <c r="A680">
        <v>2030447484</v>
      </c>
      <c r="B680" t="s">
        <v>715</v>
      </c>
      <c r="C680" t="s">
        <v>714</v>
      </c>
      <c r="D680" s="6" t="str">
        <f t="shared" si="30"/>
        <v>SANDRA MANSFIELD</v>
      </c>
      <c r="E680" t="s">
        <v>307</v>
      </c>
      <c r="F680">
        <v>1706194</v>
      </c>
      <c r="G680" t="s">
        <v>1105</v>
      </c>
      <c r="H680" t="s">
        <v>56</v>
      </c>
      <c r="I680" s="1">
        <v>45882</v>
      </c>
      <c r="J680" s="1">
        <v>45943</v>
      </c>
      <c r="K680" s="2">
        <v>73.17</v>
      </c>
      <c r="L680">
        <f t="shared" si="31"/>
        <v>2</v>
      </c>
      <c r="M680" t="s">
        <v>59</v>
      </c>
      <c r="N680" t="s">
        <v>1148</v>
      </c>
      <c r="O680" s="3">
        <v>0.375</v>
      </c>
      <c r="P680" s="16">
        <f t="shared" si="32"/>
        <v>27.438749999999999</v>
      </c>
      <c r="Q680" s="2">
        <v>27.44</v>
      </c>
      <c r="R680" s="2">
        <v>0</v>
      </c>
      <c r="S680" s="2">
        <v>0</v>
      </c>
      <c r="T680" t="s">
        <v>307</v>
      </c>
    </row>
    <row r="681" spans="1:53" x14ac:dyDescent="0.25">
      <c r="A681">
        <v>2030478246</v>
      </c>
      <c r="B681" t="s">
        <v>117</v>
      </c>
      <c r="C681" t="s">
        <v>401</v>
      </c>
      <c r="D681" s="6" t="str">
        <f t="shared" si="30"/>
        <v>HECK RICHARD</v>
      </c>
      <c r="E681" t="s">
        <v>307</v>
      </c>
      <c r="F681">
        <v>8977234</v>
      </c>
      <c r="G681" t="s">
        <v>1078</v>
      </c>
      <c r="H681" t="s">
        <v>56</v>
      </c>
      <c r="I681" s="1">
        <v>45883</v>
      </c>
      <c r="J681" s="1">
        <v>45944</v>
      </c>
      <c r="K681" s="2">
        <v>69.67</v>
      </c>
      <c r="L681">
        <f t="shared" si="31"/>
        <v>2</v>
      </c>
      <c r="M681" t="s">
        <v>59</v>
      </c>
      <c r="N681" t="s">
        <v>1148</v>
      </c>
      <c r="O681" s="3">
        <v>0.375</v>
      </c>
      <c r="P681" s="16">
        <f t="shared" si="32"/>
        <v>26.126249999999999</v>
      </c>
      <c r="Q681" s="2">
        <v>26.13</v>
      </c>
      <c r="R681" s="2">
        <v>0</v>
      </c>
      <c r="S681" s="2">
        <v>0</v>
      </c>
      <c r="T681" t="s">
        <v>307</v>
      </c>
    </row>
    <row r="682" spans="1:53" x14ac:dyDescent="0.25">
      <c r="A682">
        <v>2030244227</v>
      </c>
      <c r="B682" t="s">
        <v>822</v>
      </c>
      <c r="C682" t="s">
        <v>821</v>
      </c>
      <c r="D682" s="6" t="str">
        <f t="shared" si="30"/>
        <v>LACI SHOLL</v>
      </c>
      <c r="E682" t="s">
        <v>307</v>
      </c>
      <c r="F682">
        <v>17437820</v>
      </c>
      <c r="G682" t="s">
        <v>1082</v>
      </c>
      <c r="H682" t="s">
        <v>56</v>
      </c>
      <c r="I682" s="1">
        <v>45870</v>
      </c>
      <c r="J682" s="1">
        <v>45931</v>
      </c>
      <c r="K682" s="2">
        <v>60.48</v>
      </c>
      <c r="L682">
        <f t="shared" si="31"/>
        <v>2</v>
      </c>
      <c r="M682" t="s">
        <v>59</v>
      </c>
      <c r="N682" t="s">
        <v>1148</v>
      </c>
      <c r="O682" s="3">
        <v>0.375</v>
      </c>
      <c r="P682" s="16">
        <f t="shared" si="32"/>
        <v>22.68</v>
      </c>
      <c r="Q682" s="2">
        <v>22.68</v>
      </c>
      <c r="R682" s="2">
        <v>0</v>
      </c>
      <c r="S682" s="2">
        <v>0</v>
      </c>
      <c r="T682" t="s">
        <v>307</v>
      </c>
    </row>
    <row r="683" spans="1:53" x14ac:dyDescent="0.25">
      <c r="A683">
        <v>2030670142</v>
      </c>
      <c r="B683" t="s">
        <v>412</v>
      </c>
      <c r="C683" t="s">
        <v>413</v>
      </c>
      <c r="D683" s="6" t="str">
        <f t="shared" si="30"/>
        <v>KANAI TAKASHI</v>
      </c>
      <c r="E683" t="s">
        <v>307</v>
      </c>
      <c r="F683">
        <v>17425766</v>
      </c>
      <c r="G683" t="s">
        <v>1097</v>
      </c>
      <c r="H683" t="s">
        <v>56</v>
      </c>
      <c r="I683" s="1">
        <v>45895</v>
      </c>
      <c r="J683" s="1">
        <v>45956</v>
      </c>
      <c r="K683" s="2">
        <v>36.11</v>
      </c>
      <c r="L683">
        <f t="shared" si="31"/>
        <v>2</v>
      </c>
      <c r="M683" t="s">
        <v>59</v>
      </c>
      <c r="N683" t="s">
        <v>1148</v>
      </c>
      <c r="O683" s="3">
        <v>0.375</v>
      </c>
      <c r="P683" s="16">
        <f t="shared" si="32"/>
        <v>13.54125</v>
      </c>
      <c r="Q683" s="2">
        <v>13.54</v>
      </c>
      <c r="R683" s="2">
        <v>0</v>
      </c>
      <c r="S683" s="2">
        <v>0</v>
      </c>
      <c r="T683" t="s">
        <v>307</v>
      </c>
    </row>
    <row r="684" spans="1:53" x14ac:dyDescent="0.25">
      <c r="A684">
        <v>2028937320</v>
      </c>
      <c r="B684" t="s">
        <v>856</v>
      </c>
      <c r="C684" t="s">
        <v>394</v>
      </c>
      <c r="D684" s="6" t="str">
        <f t="shared" si="30"/>
        <v>DAWN DURYEA</v>
      </c>
      <c r="E684" t="s">
        <v>307</v>
      </c>
      <c r="F684">
        <v>8977234</v>
      </c>
      <c r="G684" t="s">
        <v>1078</v>
      </c>
      <c r="H684" t="s">
        <v>230</v>
      </c>
      <c r="I684" s="1">
        <v>45839</v>
      </c>
      <c r="J684" s="1">
        <v>45931</v>
      </c>
      <c r="K684" s="2">
        <v>-55.93</v>
      </c>
      <c r="L684">
        <f t="shared" si="31"/>
        <v>3</v>
      </c>
      <c r="M684" t="s">
        <v>59</v>
      </c>
      <c r="N684" t="s">
        <v>1148</v>
      </c>
      <c r="O684" s="3">
        <v>0.375</v>
      </c>
      <c r="P684" s="16">
        <f t="shared" si="32"/>
        <v>-20.973749999999999</v>
      </c>
      <c r="Q684" s="2">
        <v>0</v>
      </c>
      <c r="R684" s="2">
        <v>-20.97</v>
      </c>
      <c r="S684" s="2">
        <v>-20.97</v>
      </c>
      <c r="T684" t="s">
        <v>307</v>
      </c>
    </row>
    <row r="685" spans="1:53" x14ac:dyDescent="0.25">
      <c r="A685">
        <v>2030064157</v>
      </c>
      <c r="B685" t="s">
        <v>390</v>
      </c>
      <c r="C685" t="s">
        <v>391</v>
      </c>
      <c r="D685" s="6" t="str">
        <f t="shared" si="30"/>
        <v>DAWSON EDDIE</v>
      </c>
      <c r="E685" t="s">
        <v>307</v>
      </c>
      <c r="F685">
        <v>8977234</v>
      </c>
      <c r="G685" t="s">
        <v>1078</v>
      </c>
      <c r="H685" t="s">
        <v>56</v>
      </c>
      <c r="I685" s="1">
        <v>45860</v>
      </c>
      <c r="J685" s="1">
        <v>45952</v>
      </c>
      <c r="K685" s="2">
        <v>48.56</v>
      </c>
      <c r="L685">
        <f t="shared" si="31"/>
        <v>3</v>
      </c>
      <c r="M685" t="s">
        <v>59</v>
      </c>
      <c r="N685" t="s">
        <v>1148</v>
      </c>
      <c r="O685" s="3">
        <v>0.375</v>
      </c>
      <c r="P685" s="16">
        <f t="shared" si="32"/>
        <v>18.21</v>
      </c>
      <c r="Q685" s="2">
        <v>18.21</v>
      </c>
      <c r="R685" s="2">
        <v>0</v>
      </c>
      <c r="S685" s="2">
        <v>0</v>
      </c>
      <c r="T685" t="s">
        <v>307</v>
      </c>
    </row>
    <row r="686" spans="1:53" x14ac:dyDescent="0.25">
      <c r="A686">
        <v>2029971480</v>
      </c>
      <c r="B686" t="s">
        <v>829</v>
      </c>
      <c r="C686" t="s">
        <v>179</v>
      </c>
      <c r="D686" s="6" t="str">
        <f t="shared" si="30"/>
        <v>TIMOTHY HODGMAN</v>
      </c>
      <c r="E686" t="s">
        <v>307</v>
      </c>
      <c r="F686">
        <v>18581063</v>
      </c>
      <c r="G686" t="s">
        <v>1132</v>
      </c>
      <c r="H686" t="s">
        <v>56</v>
      </c>
      <c r="I686" s="1">
        <v>45854</v>
      </c>
      <c r="J686" s="1">
        <v>45946</v>
      </c>
      <c r="K686" s="2">
        <v>188.04</v>
      </c>
      <c r="L686">
        <f t="shared" si="31"/>
        <v>3</v>
      </c>
      <c r="M686" t="s">
        <v>59</v>
      </c>
      <c r="N686" t="s">
        <v>1148</v>
      </c>
      <c r="O686" s="3">
        <v>0.375</v>
      </c>
      <c r="P686" s="16">
        <f t="shared" si="32"/>
        <v>70.515000000000001</v>
      </c>
      <c r="Q686" s="2">
        <v>70.52</v>
      </c>
      <c r="R686" s="2">
        <v>0</v>
      </c>
      <c r="S686" s="2">
        <v>0</v>
      </c>
      <c r="T686" t="s">
        <v>307</v>
      </c>
    </row>
    <row r="687" spans="1:53" x14ac:dyDescent="0.25">
      <c r="A687">
        <v>2030091895</v>
      </c>
      <c r="B687" t="s">
        <v>392</v>
      </c>
      <c r="C687" t="s">
        <v>393</v>
      </c>
      <c r="D687" s="6" t="str">
        <f t="shared" si="30"/>
        <v>BROWN KEYERICA</v>
      </c>
      <c r="E687" t="s">
        <v>307</v>
      </c>
      <c r="F687">
        <v>8977234</v>
      </c>
      <c r="G687" t="s">
        <v>1078</v>
      </c>
      <c r="H687" t="s">
        <v>56</v>
      </c>
      <c r="I687" s="1">
        <v>45861</v>
      </c>
      <c r="J687" s="1">
        <v>45953</v>
      </c>
      <c r="K687" s="2">
        <v>58.56</v>
      </c>
      <c r="L687">
        <f t="shared" si="31"/>
        <v>3</v>
      </c>
      <c r="M687" t="s">
        <v>59</v>
      </c>
      <c r="N687" t="s">
        <v>1148</v>
      </c>
      <c r="O687" s="3">
        <v>0.375</v>
      </c>
      <c r="P687" s="16">
        <f t="shared" si="32"/>
        <v>21.96</v>
      </c>
      <c r="Q687" s="2">
        <v>21.96</v>
      </c>
      <c r="R687" s="2">
        <v>0</v>
      </c>
      <c r="S687" s="2">
        <v>0</v>
      </c>
      <c r="T687" t="s">
        <v>307</v>
      </c>
    </row>
    <row r="688" spans="1:53" x14ac:dyDescent="0.25">
      <c r="A688">
        <v>2029951923</v>
      </c>
      <c r="B688" t="s">
        <v>164</v>
      </c>
      <c r="C688" t="s">
        <v>835</v>
      </c>
      <c r="D688" s="6" t="str">
        <f t="shared" si="30"/>
        <v>URIEL MARTINEZ</v>
      </c>
      <c r="E688" t="s">
        <v>307</v>
      </c>
      <c r="F688">
        <v>19396223</v>
      </c>
      <c r="G688" t="s">
        <v>1133</v>
      </c>
      <c r="H688" t="s">
        <v>56</v>
      </c>
      <c r="I688" s="1">
        <v>45853</v>
      </c>
      <c r="J688" s="1">
        <v>45945</v>
      </c>
      <c r="K688" s="2">
        <v>77.48</v>
      </c>
      <c r="L688">
        <f t="shared" si="31"/>
        <v>3</v>
      </c>
      <c r="M688" t="s">
        <v>59</v>
      </c>
      <c r="N688" t="s">
        <v>1148</v>
      </c>
      <c r="O688" s="3">
        <v>0.375</v>
      </c>
      <c r="P688" s="16">
        <f t="shared" si="32"/>
        <v>29.055</v>
      </c>
      <c r="Q688" s="2">
        <v>29.06</v>
      </c>
      <c r="R688" s="2">
        <v>0</v>
      </c>
      <c r="S688" s="2">
        <v>0</v>
      </c>
      <c r="T688" t="s">
        <v>307</v>
      </c>
    </row>
    <row r="689" spans="1:20" x14ac:dyDescent="0.25">
      <c r="A689">
        <v>2030125458</v>
      </c>
      <c r="B689" t="s">
        <v>396</v>
      </c>
      <c r="C689" t="s">
        <v>397</v>
      </c>
      <c r="D689" s="6" t="str">
        <f t="shared" si="30"/>
        <v>EVERS MATHEW</v>
      </c>
      <c r="E689" t="s">
        <v>307</v>
      </c>
      <c r="F689">
        <v>20003537</v>
      </c>
      <c r="G689" t="s">
        <v>1102</v>
      </c>
      <c r="H689" t="s">
        <v>56</v>
      </c>
      <c r="I689" s="1">
        <v>45863</v>
      </c>
      <c r="J689" s="1">
        <v>45955</v>
      </c>
      <c r="K689" s="2">
        <v>50.3</v>
      </c>
      <c r="L689">
        <f t="shared" si="31"/>
        <v>3</v>
      </c>
      <c r="M689" t="s">
        <v>59</v>
      </c>
      <c r="N689" t="s">
        <v>1148</v>
      </c>
      <c r="O689" s="3">
        <v>0.375</v>
      </c>
      <c r="P689" s="16">
        <f t="shared" si="32"/>
        <v>18.862499999999997</v>
      </c>
      <c r="Q689" s="2">
        <v>18.86</v>
      </c>
      <c r="R689" s="2">
        <v>0</v>
      </c>
      <c r="S689" s="2">
        <v>0</v>
      </c>
      <c r="T689" t="s">
        <v>307</v>
      </c>
    </row>
    <row r="690" spans="1:20" x14ac:dyDescent="0.25">
      <c r="A690">
        <v>2030085144</v>
      </c>
      <c r="B690" t="s">
        <v>217</v>
      </c>
      <c r="C690" t="s">
        <v>218</v>
      </c>
      <c r="D690" s="6" t="str">
        <f t="shared" si="30"/>
        <v>GARRARD NOREEN</v>
      </c>
      <c r="E690" t="s">
        <v>307</v>
      </c>
      <c r="F690">
        <v>8977234</v>
      </c>
      <c r="G690" t="s">
        <v>1078</v>
      </c>
      <c r="H690" t="s">
        <v>56</v>
      </c>
      <c r="I690" s="1">
        <v>45861</v>
      </c>
      <c r="J690" s="1">
        <v>45953</v>
      </c>
      <c r="K690" s="2">
        <v>77.48</v>
      </c>
      <c r="L690">
        <f t="shared" si="31"/>
        <v>3</v>
      </c>
      <c r="M690" t="s">
        <v>59</v>
      </c>
      <c r="N690" t="s">
        <v>1148</v>
      </c>
      <c r="O690" s="3">
        <v>0.375</v>
      </c>
      <c r="P690" s="16">
        <f t="shared" si="32"/>
        <v>29.055</v>
      </c>
      <c r="Q690" s="2">
        <v>29.06</v>
      </c>
      <c r="R690" s="2">
        <v>0</v>
      </c>
      <c r="S690" s="2">
        <v>0</v>
      </c>
      <c r="T690" t="s">
        <v>307</v>
      </c>
    </row>
    <row r="691" spans="1:20" x14ac:dyDescent="0.25">
      <c r="A691">
        <v>2029989666</v>
      </c>
      <c r="B691" t="s">
        <v>824</v>
      </c>
      <c r="C691" t="s">
        <v>823</v>
      </c>
      <c r="D691" s="6" t="str">
        <f t="shared" si="30"/>
        <v>ZACHARY PUGH</v>
      </c>
      <c r="E691" t="s">
        <v>307</v>
      </c>
      <c r="F691">
        <v>9213293</v>
      </c>
      <c r="G691" t="s">
        <v>1086</v>
      </c>
      <c r="H691" t="s">
        <v>56</v>
      </c>
      <c r="I691" s="1">
        <v>45855</v>
      </c>
      <c r="J691" s="1">
        <v>45947</v>
      </c>
      <c r="K691" s="2">
        <v>50.3</v>
      </c>
      <c r="L691">
        <f t="shared" si="31"/>
        <v>3</v>
      </c>
      <c r="M691" t="s">
        <v>59</v>
      </c>
      <c r="N691" t="s">
        <v>1148</v>
      </c>
      <c r="O691" s="3">
        <v>0.375</v>
      </c>
      <c r="P691" s="16">
        <f t="shared" si="32"/>
        <v>18.862499999999997</v>
      </c>
      <c r="Q691" s="2">
        <v>18.86</v>
      </c>
      <c r="R691" s="2">
        <v>0</v>
      </c>
      <c r="S691" s="2">
        <v>0</v>
      </c>
      <c r="T691" t="s">
        <v>307</v>
      </c>
    </row>
    <row r="692" spans="1:20" x14ac:dyDescent="0.25">
      <c r="A692">
        <v>2028963882</v>
      </c>
      <c r="B692" t="s">
        <v>375</v>
      </c>
      <c r="C692" t="s">
        <v>376</v>
      </c>
      <c r="D692" s="6" t="str">
        <f t="shared" si="30"/>
        <v>YOSELYN ALBIZUREZ</v>
      </c>
      <c r="E692" t="s">
        <v>307</v>
      </c>
      <c r="F692">
        <v>9213293</v>
      </c>
      <c r="G692" t="s">
        <v>1086</v>
      </c>
      <c r="H692" t="s">
        <v>56</v>
      </c>
      <c r="I692" s="1">
        <v>45801</v>
      </c>
      <c r="J692" s="1">
        <v>45954</v>
      </c>
      <c r="K692" s="2">
        <v>67.19</v>
      </c>
      <c r="L692">
        <f t="shared" si="31"/>
        <v>5</v>
      </c>
      <c r="M692" t="s">
        <v>59</v>
      </c>
      <c r="N692" t="s">
        <v>1148</v>
      </c>
      <c r="O692" s="3">
        <v>0.375</v>
      </c>
      <c r="P692" s="16">
        <f t="shared" si="32"/>
        <v>25.196249999999999</v>
      </c>
      <c r="Q692" s="2">
        <v>25.2</v>
      </c>
      <c r="R692" s="2">
        <v>0</v>
      </c>
      <c r="S692" s="2">
        <v>0</v>
      </c>
      <c r="T692" t="s">
        <v>307</v>
      </c>
    </row>
    <row r="693" spans="1:20" x14ac:dyDescent="0.25">
      <c r="A693">
        <v>2028338807</v>
      </c>
      <c r="B693" t="s">
        <v>872</v>
      </c>
      <c r="C693" t="s">
        <v>349</v>
      </c>
      <c r="D693" s="6" t="str">
        <f t="shared" si="30"/>
        <v>DAVID BITTERMAN</v>
      </c>
      <c r="E693" t="s">
        <v>307</v>
      </c>
      <c r="F693">
        <v>8977234</v>
      </c>
      <c r="G693" t="s">
        <v>1078</v>
      </c>
      <c r="H693" t="s">
        <v>56</v>
      </c>
      <c r="I693" s="1">
        <v>45778</v>
      </c>
      <c r="J693" s="1">
        <v>45931</v>
      </c>
      <c r="K693" s="2">
        <v>60.67</v>
      </c>
      <c r="L693">
        <f t="shared" si="31"/>
        <v>5</v>
      </c>
      <c r="M693" t="s">
        <v>59</v>
      </c>
      <c r="N693" t="s">
        <v>1148</v>
      </c>
      <c r="O693" s="3">
        <v>0.375</v>
      </c>
      <c r="P693" s="16">
        <f t="shared" si="32"/>
        <v>22.751249999999999</v>
      </c>
      <c r="Q693" s="2">
        <v>0</v>
      </c>
      <c r="R693" s="2">
        <v>22.75</v>
      </c>
      <c r="S693" s="2">
        <v>22.75</v>
      </c>
      <c r="T693" t="s">
        <v>307</v>
      </c>
    </row>
    <row r="694" spans="1:20" x14ac:dyDescent="0.25">
      <c r="A694">
        <v>2029021815</v>
      </c>
      <c r="B694" t="s">
        <v>267</v>
      </c>
      <c r="C694" t="s">
        <v>268</v>
      </c>
      <c r="D694" s="6" t="str">
        <f t="shared" si="30"/>
        <v>RACHELLE DALY</v>
      </c>
      <c r="E694" t="s">
        <v>307</v>
      </c>
      <c r="F694">
        <v>17425766</v>
      </c>
      <c r="G694" t="s">
        <v>1097</v>
      </c>
      <c r="H694" t="s">
        <v>56</v>
      </c>
      <c r="I694" s="1">
        <v>45797</v>
      </c>
      <c r="J694" s="1">
        <v>45950</v>
      </c>
      <c r="K694" s="2">
        <v>37.130000000000003</v>
      </c>
      <c r="L694">
        <f t="shared" si="31"/>
        <v>5</v>
      </c>
      <c r="M694" t="s">
        <v>59</v>
      </c>
      <c r="N694" t="s">
        <v>1148</v>
      </c>
      <c r="O694" s="3">
        <v>0.375</v>
      </c>
      <c r="P694" s="16">
        <f t="shared" si="32"/>
        <v>13.923750000000002</v>
      </c>
      <c r="Q694" s="2">
        <v>13.92</v>
      </c>
      <c r="R694" s="2">
        <v>0</v>
      </c>
      <c r="S694" s="2">
        <v>0</v>
      </c>
      <c r="T694" t="s">
        <v>307</v>
      </c>
    </row>
    <row r="695" spans="1:20" x14ac:dyDescent="0.25">
      <c r="A695">
        <v>2029038487</v>
      </c>
      <c r="B695" t="s">
        <v>186</v>
      </c>
      <c r="C695" t="s">
        <v>187</v>
      </c>
      <c r="D695" s="6" t="str">
        <f t="shared" si="30"/>
        <v>SEAN HANAFI</v>
      </c>
      <c r="E695" t="s">
        <v>307</v>
      </c>
      <c r="F695">
        <v>8977234</v>
      </c>
      <c r="G695" t="s">
        <v>1078</v>
      </c>
      <c r="H695" t="s">
        <v>56</v>
      </c>
      <c r="I695" s="1">
        <v>45798</v>
      </c>
      <c r="J695" s="1">
        <v>45951</v>
      </c>
      <c r="K695" s="2">
        <v>60.1</v>
      </c>
      <c r="L695">
        <f t="shared" si="31"/>
        <v>5</v>
      </c>
      <c r="M695" t="s">
        <v>59</v>
      </c>
      <c r="N695" t="s">
        <v>1148</v>
      </c>
      <c r="O695" s="3">
        <v>0.375</v>
      </c>
      <c r="P695" s="16">
        <f t="shared" si="32"/>
        <v>22.537500000000001</v>
      </c>
      <c r="Q695" s="2">
        <v>22.54</v>
      </c>
      <c r="R695" s="2">
        <v>0</v>
      </c>
      <c r="S695" s="2">
        <v>0</v>
      </c>
      <c r="T695" t="s">
        <v>307</v>
      </c>
    </row>
    <row r="696" spans="1:20" x14ac:dyDescent="0.25">
      <c r="A696">
        <v>2028565357</v>
      </c>
      <c r="B696" t="s">
        <v>317</v>
      </c>
      <c r="C696" t="s">
        <v>778</v>
      </c>
      <c r="D696" s="6" t="str">
        <f t="shared" si="30"/>
        <v>GALEN KELLY</v>
      </c>
      <c r="E696" t="s">
        <v>307</v>
      </c>
      <c r="F696">
        <v>17425766</v>
      </c>
      <c r="G696" t="s">
        <v>1097</v>
      </c>
      <c r="H696" t="s">
        <v>56</v>
      </c>
      <c r="I696" s="1">
        <v>45777</v>
      </c>
      <c r="J696" s="1">
        <v>45930</v>
      </c>
      <c r="K696" s="2">
        <v>99.89</v>
      </c>
      <c r="L696">
        <f t="shared" si="31"/>
        <v>5</v>
      </c>
      <c r="M696" t="s">
        <v>59</v>
      </c>
      <c r="N696" t="s">
        <v>1148</v>
      </c>
      <c r="O696" s="3">
        <v>0.375</v>
      </c>
      <c r="P696" s="16">
        <f t="shared" si="32"/>
        <v>37.458750000000002</v>
      </c>
      <c r="Q696" s="2">
        <v>0</v>
      </c>
      <c r="R696" s="2">
        <v>37.46</v>
      </c>
      <c r="S696" s="2">
        <v>37.46</v>
      </c>
      <c r="T696" t="s">
        <v>307</v>
      </c>
    </row>
    <row r="697" spans="1:20" x14ac:dyDescent="0.25">
      <c r="A697">
        <v>2028615203</v>
      </c>
      <c r="B697" t="s">
        <v>861</v>
      </c>
      <c r="C697" t="s">
        <v>293</v>
      </c>
      <c r="D697" s="6" t="str">
        <f t="shared" si="30"/>
        <v>JONATHAN LIGHTFOOT</v>
      </c>
      <c r="E697" t="s">
        <v>307</v>
      </c>
      <c r="F697">
        <v>21435997</v>
      </c>
      <c r="G697" t="s">
        <v>1138</v>
      </c>
      <c r="H697" t="s">
        <v>56</v>
      </c>
      <c r="I697" s="1">
        <v>45784</v>
      </c>
      <c r="J697" s="1">
        <v>45937</v>
      </c>
      <c r="K697" s="2">
        <v>-19.45</v>
      </c>
      <c r="L697">
        <f t="shared" si="31"/>
        <v>5</v>
      </c>
      <c r="M697" t="s">
        <v>59</v>
      </c>
      <c r="N697" t="s">
        <v>1148</v>
      </c>
      <c r="O697" s="3">
        <v>0.375</v>
      </c>
      <c r="P697" s="16">
        <f t="shared" si="32"/>
        <v>-7.2937499999999993</v>
      </c>
      <c r="Q697" s="2">
        <v>0</v>
      </c>
      <c r="R697" s="2">
        <v>-7.29</v>
      </c>
      <c r="S697" s="2">
        <v>-7.29</v>
      </c>
      <c r="T697" t="s">
        <v>307</v>
      </c>
    </row>
    <row r="698" spans="1:20" x14ac:dyDescent="0.25">
      <c r="A698">
        <v>2028963798</v>
      </c>
      <c r="B698" t="s">
        <v>851</v>
      </c>
      <c r="C698" t="s">
        <v>850</v>
      </c>
      <c r="D698" s="6" t="str">
        <f t="shared" si="30"/>
        <v>DANIEL NINO</v>
      </c>
      <c r="E698" t="s">
        <v>307</v>
      </c>
      <c r="F698">
        <v>21348299</v>
      </c>
      <c r="G698" t="s">
        <v>1117</v>
      </c>
      <c r="H698" t="s">
        <v>56</v>
      </c>
      <c r="I698" s="1">
        <v>45793</v>
      </c>
      <c r="J698" s="1">
        <v>45946</v>
      </c>
      <c r="K698" s="2">
        <v>57.19</v>
      </c>
      <c r="L698">
        <f t="shared" si="31"/>
        <v>5</v>
      </c>
      <c r="M698" t="s">
        <v>59</v>
      </c>
      <c r="N698" t="s">
        <v>1148</v>
      </c>
      <c r="O698" s="3">
        <v>0.375</v>
      </c>
      <c r="P698" s="16">
        <f t="shared" si="32"/>
        <v>21.446249999999999</v>
      </c>
      <c r="Q698" s="2">
        <v>0</v>
      </c>
      <c r="R698" s="2">
        <v>21.45</v>
      </c>
      <c r="S698" s="2">
        <v>21.45</v>
      </c>
      <c r="T698" t="s">
        <v>307</v>
      </c>
    </row>
    <row r="699" spans="1:20" x14ac:dyDescent="0.25">
      <c r="A699">
        <v>2028948018</v>
      </c>
      <c r="B699" t="s">
        <v>852</v>
      </c>
      <c r="C699" t="s">
        <v>277</v>
      </c>
      <c r="D699" s="6" t="str">
        <f t="shared" si="30"/>
        <v>JAMES SANSONE</v>
      </c>
      <c r="E699" t="s">
        <v>307</v>
      </c>
      <c r="F699">
        <v>17437820</v>
      </c>
      <c r="G699" t="s">
        <v>1082</v>
      </c>
      <c r="H699" t="s">
        <v>56</v>
      </c>
      <c r="I699" s="1">
        <v>45793</v>
      </c>
      <c r="J699" s="1">
        <v>45946</v>
      </c>
      <c r="K699" s="2">
        <v>182.73</v>
      </c>
      <c r="L699">
        <f t="shared" si="31"/>
        <v>5</v>
      </c>
      <c r="M699" t="s">
        <v>59</v>
      </c>
      <c r="N699" t="s">
        <v>1148</v>
      </c>
      <c r="O699" s="3">
        <v>0.375</v>
      </c>
      <c r="P699" s="16">
        <f t="shared" si="32"/>
        <v>68.523749999999993</v>
      </c>
      <c r="Q699" s="2">
        <v>0</v>
      </c>
      <c r="R699" s="2">
        <v>68.52</v>
      </c>
      <c r="S699" s="2">
        <v>68.52</v>
      </c>
      <c r="T699" t="s">
        <v>307</v>
      </c>
    </row>
    <row r="700" spans="1:20" x14ac:dyDescent="0.25">
      <c r="A700">
        <v>2028995187</v>
      </c>
      <c r="B700" t="s">
        <v>844</v>
      </c>
      <c r="C700" t="s">
        <v>843</v>
      </c>
      <c r="D700" s="6" t="str">
        <f t="shared" si="30"/>
        <v>JODY SCHNEIDERMAN</v>
      </c>
      <c r="E700" t="s">
        <v>307</v>
      </c>
      <c r="F700">
        <v>9213293</v>
      </c>
      <c r="G700" t="s">
        <v>1086</v>
      </c>
      <c r="H700" t="s">
        <v>56</v>
      </c>
      <c r="I700" s="1">
        <v>45795</v>
      </c>
      <c r="J700" s="1">
        <v>45948</v>
      </c>
      <c r="K700" s="2">
        <v>147.41</v>
      </c>
      <c r="L700">
        <f t="shared" si="31"/>
        <v>5</v>
      </c>
      <c r="M700" t="s">
        <v>59</v>
      </c>
      <c r="N700" t="s">
        <v>1148</v>
      </c>
      <c r="O700" s="3">
        <v>0.375</v>
      </c>
      <c r="P700" s="16">
        <f t="shared" si="32"/>
        <v>55.278750000000002</v>
      </c>
      <c r="Q700" s="2">
        <v>0</v>
      </c>
      <c r="R700" s="2">
        <v>55.28</v>
      </c>
      <c r="S700" s="2">
        <v>55.28</v>
      </c>
      <c r="T700" t="s">
        <v>307</v>
      </c>
    </row>
    <row r="701" spans="1:20" x14ac:dyDescent="0.25">
      <c r="A701">
        <v>2029034261</v>
      </c>
      <c r="B701" t="s">
        <v>380</v>
      </c>
      <c r="C701" t="s">
        <v>381</v>
      </c>
      <c r="D701" s="6" t="str">
        <f t="shared" si="30"/>
        <v>RAUN SUTTON</v>
      </c>
      <c r="E701" t="s">
        <v>307</v>
      </c>
      <c r="F701">
        <v>21348299</v>
      </c>
      <c r="G701" t="s">
        <v>1117</v>
      </c>
      <c r="H701" t="s">
        <v>56</v>
      </c>
      <c r="I701" s="1">
        <v>45798</v>
      </c>
      <c r="J701" s="1">
        <v>45951</v>
      </c>
      <c r="K701" s="2">
        <v>35.6</v>
      </c>
      <c r="L701">
        <f t="shared" si="31"/>
        <v>5</v>
      </c>
      <c r="M701" t="s">
        <v>59</v>
      </c>
      <c r="N701" t="s">
        <v>1148</v>
      </c>
      <c r="O701" s="3">
        <v>0.375</v>
      </c>
      <c r="P701" s="16">
        <f t="shared" si="32"/>
        <v>13.350000000000001</v>
      </c>
      <c r="Q701" s="2">
        <v>13.35</v>
      </c>
      <c r="R701" s="2">
        <v>0</v>
      </c>
      <c r="S701" s="2">
        <v>0</v>
      </c>
      <c r="T701" t="s">
        <v>307</v>
      </c>
    </row>
    <row r="702" spans="1:20" x14ac:dyDescent="0.25">
      <c r="A702">
        <v>2028941655</v>
      </c>
      <c r="B702" t="s">
        <v>547</v>
      </c>
      <c r="C702" t="s">
        <v>855</v>
      </c>
      <c r="D702" s="6" t="str">
        <f t="shared" si="30"/>
        <v>DUSTIN WILLIAMS</v>
      </c>
      <c r="E702" t="s">
        <v>307</v>
      </c>
      <c r="F702">
        <v>18581063</v>
      </c>
      <c r="G702" t="s">
        <v>1132</v>
      </c>
      <c r="H702" t="s">
        <v>56</v>
      </c>
      <c r="I702" s="1">
        <v>45792</v>
      </c>
      <c r="J702" s="1">
        <v>45945</v>
      </c>
      <c r="K702" s="2">
        <v>69.41</v>
      </c>
      <c r="L702">
        <f t="shared" si="31"/>
        <v>5</v>
      </c>
      <c r="M702" t="s">
        <v>59</v>
      </c>
      <c r="N702" t="s">
        <v>1148</v>
      </c>
      <c r="O702" s="3">
        <v>0.375</v>
      </c>
      <c r="P702" s="16">
        <f t="shared" si="32"/>
        <v>26.028749999999999</v>
      </c>
      <c r="Q702" s="2">
        <v>0</v>
      </c>
      <c r="R702" s="2">
        <v>26.03</v>
      </c>
      <c r="S702" s="2">
        <v>26.03</v>
      </c>
      <c r="T702" t="s">
        <v>307</v>
      </c>
    </row>
    <row r="703" spans="1:20" x14ac:dyDescent="0.25">
      <c r="A703">
        <v>2028485191</v>
      </c>
      <c r="B703" t="s">
        <v>864</v>
      </c>
      <c r="C703" t="s">
        <v>863</v>
      </c>
      <c r="D703" s="6" t="str">
        <f t="shared" si="30"/>
        <v>MARTINA HORNER</v>
      </c>
      <c r="E703" t="s">
        <v>307</v>
      </c>
      <c r="F703">
        <v>18781057</v>
      </c>
      <c r="G703" t="s">
        <v>1089</v>
      </c>
      <c r="H703" t="s">
        <v>56</v>
      </c>
      <c r="I703" s="1">
        <v>45766</v>
      </c>
      <c r="J703" s="1">
        <v>45949</v>
      </c>
      <c r="K703" s="2">
        <v>32.549999999999997</v>
      </c>
      <c r="L703">
        <f t="shared" si="31"/>
        <v>6</v>
      </c>
      <c r="M703" t="s">
        <v>59</v>
      </c>
      <c r="N703" t="s">
        <v>1148</v>
      </c>
      <c r="O703" s="3">
        <v>0.375</v>
      </c>
      <c r="P703" s="16">
        <f t="shared" si="32"/>
        <v>12.206249999999999</v>
      </c>
      <c r="Q703" s="2">
        <v>0</v>
      </c>
      <c r="R703" s="2">
        <v>12.21</v>
      </c>
      <c r="S703" s="2">
        <v>12.21</v>
      </c>
      <c r="T703" t="s">
        <v>307</v>
      </c>
    </row>
    <row r="704" spans="1:20" x14ac:dyDescent="0.25">
      <c r="A704">
        <v>2028450758</v>
      </c>
      <c r="B704" t="s">
        <v>868</v>
      </c>
      <c r="C704" t="s">
        <v>867</v>
      </c>
      <c r="D704" s="6" t="str">
        <f t="shared" si="30"/>
        <v>BARTLOMIEJ KARAS</v>
      </c>
      <c r="E704" t="s">
        <v>307</v>
      </c>
      <c r="F704">
        <v>18754354</v>
      </c>
      <c r="G704" t="s">
        <v>1108</v>
      </c>
      <c r="H704" t="s">
        <v>56</v>
      </c>
      <c r="I704" s="1">
        <v>45764</v>
      </c>
      <c r="J704" s="1">
        <v>45947</v>
      </c>
      <c r="K704" s="2">
        <v>51.01</v>
      </c>
      <c r="L704">
        <f t="shared" si="31"/>
        <v>6</v>
      </c>
      <c r="M704" t="s">
        <v>59</v>
      </c>
      <c r="N704" t="s">
        <v>1148</v>
      </c>
      <c r="O704" s="3">
        <v>0.375</v>
      </c>
      <c r="P704" s="16">
        <f t="shared" si="32"/>
        <v>19.12875</v>
      </c>
      <c r="Q704" s="2">
        <v>0</v>
      </c>
      <c r="R704" s="2">
        <v>19.13</v>
      </c>
      <c r="S704" s="2">
        <v>19.13</v>
      </c>
      <c r="T704" t="s">
        <v>307</v>
      </c>
    </row>
    <row r="705" spans="1:20" x14ac:dyDescent="0.25">
      <c r="A705">
        <v>2028445565</v>
      </c>
      <c r="B705" t="s">
        <v>869</v>
      </c>
      <c r="C705" t="s">
        <v>556</v>
      </c>
      <c r="D705" s="6" t="str">
        <f t="shared" si="30"/>
        <v>TAYLOR MONBRUM</v>
      </c>
      <c r="E705" t="s">
        <v>307</v>
      </c>
      <c r="F705">
        <v>21348299</v>
      </c>
      <c r="G705" t="s">
        <v>1117</v>
      </c>
      <c r="H705" t="s">
        <v>56</v>
      </c>
      <c r="I705" s="1">
        <v>45764</v>
      </c>
      <c r="J705" s="1">
        <v>45947</v>
      </c>
      <c r="K705" s="2">
        <v>32.520000000000003</v>
      </c>
      <c r="L705">
        <f t="shared" si="31"/>
        <v>6</v>
      </c>
      <c r="M705" t="s">
        <v>59</v>
      </c>
      <c r="N705" t="s">
        <v>1148</v>
      </c>
      <c r="O705" s="3">
        <v>0.375</v>
      </c>
      <c r="P705" s="16">
        <f t="shared" si="32"/>
        <v>12.195</v>
      </c>
      <c r="Q705" s="2">
        <v>0</v>
      </c>
      <c r="R705" s="2">
        <v>12.2</v>
      </c>
      <c r="S705" s="2">
        <v>12.2</v>
      </c>
      <c r="T705" t="s">
        <v>307</v>
      </c>
    </row>
    <row r="706" spans="1:20" x14ac:dyDescent="0.25">
      <c r="A706">
        <v>2028329764</v>
      </c>
      <c r="B706" t="s">
        <v>873</v>
      </c>
      <c r="C706" t="s">
        <v>379</v>
      </c>
      <c r="D706" s="6" t="str">
        <f t="shared" ref="D706:D769" si="33">CONCATENATE(C706, " ",B706)</f>
        <v>KRISTINA PAOLANTONIO</v>
      </c>
      <c r="E706" t="s">
        <v>307</v>
      </c>
      <c r="F706">
        <v>19396223</v>
      </c>
      <c r="G706" t="s">
        <v>1133</v>
      </c>
      <c r="H706" t="s">
        <v>56</v>
      </c>
      <c r="I706" s="1">
        <v>45762</v>
      </c>
      <c r="J706" s="1">
        <v>45945</v>
      </c>
      <c r="K706" s="2">
        <v>57.19</v>
      </c>
      <c r="L706">
        <f t="shared" ref="L706:L769" si="34">DATEDIF(I706,J706,"M")</f>
        <v>6</v>
      </c>
      <c r="M706" t="s">
        <v>59</v>
      </c>
      <c r="N706" t="s">
        <v>1148</v>
      </c>
      <c r="O706" s="3">
        <v>0.375</v>
      </c>
      <c r="P706" s="16">
        <f t="shared" ref="P706:P769" si="35">K706*O706</f>
        <v>21.446249999999999</v>
      </c>
      <c r="Q706" s="2">
        <v>0</v>
      </c>
      <c r="R706" s="2">
        <v>21.45</v>
      </c>
      <c r="S706" s="2">
        <v>21.45</v>
      </c>
      <c r="T706" t="s">
        <v>307</v>
      </c>
    </row>
    <row r="707" spans="1:20" x14ac:dyDescent="0.25">
      <c r="A707">
        <v>2027573959</v>
      </c>
      <c r="B707" t="s">
        <v>881</v>
      </c>
      <c r="C707" t="s">
        <v>616</v>
      </c>
      <c r="D707" s="6" t="str">
        <f t="shared" si="33"/>
        <v>LARRY WILLIS</v>
      </c>
      <c r="E707" t="s">
        <v>307</v>
      </c>
      <c r="F707">
        <v>8977234</v>
      </c>
      <c r="G707" t="s">
        <v>1078</v>
      </c>
      <c r="H707" t="s">
        <v>56</v>
      </c>
      <c r="I707" s="1">
        <v>45757</v>
      </c>
      <c r="J707" s="1">
        <v>45940</v>
      </c>
      <c r="K707" s="2">
        <v>23.34</v>
      </c>
      <c r="L707">
        <f t="shared" si="34"/>
        <v>6</v>
      </c>
      <c r="M707" t="s">
        <v>59</v>
      </c>
      <c r="N707" t="s">
        <v>1148</v>
      </c>
      <c r="O707" s="3">
        <v>0.375</v>
      </c>
      <c r="P707" s="16">
        <f t="shared" si="35"/>
        <v>8.7524999999999995</v>
      </c>
      <c r="Q707" s="2">
        <v>0</v>
      </c>
      <c r="R707" s="2">
        <v>8.75</v>
      </c>
      <c r="S707" s="2">
        <v>8.75</v>
      </c>
      <c r="T707" t="s">
        <v>307</v>
      </c>
    </row>
    <row r="708" spans="1:20" x14ac:dyDescent="0.25">
      <c r="A708">
        <v>2027854741</v>
      </c>
      <c r="B708" t="s">
        <v>782</v>
      </c>
      <c r="C708" t="s">
        <v>781</v>
      </c>
      <c r="D708" s="6" t="str">
        <f t="shared" si="33"/>
        <v>TERESA COUSINEAU-VESELICA</v>
      </c>
      <c r="E708" t="s">
        <v>307</v>
      </c>
      <c r="F708">
        <v>8977234</v>
      </c>
      <c r="G708" t="s">
        <v>1078</v>
      </c>
      <c r="H708" t="s">
        <v>56</v>
      </c>
      <c r="I708" s="1">
        <v>45734</v>
      </c>
      <c r="J708" s="1">
        <v>45948</v>
      </c>
      <c r="K708" s="2">
        <v>24.7</v>
      </c>
      <c r="L708">
        <f t="shared" si="34"/>
        <v>7</v>
      </c>
      <c r="M708" t="s">
        <v>59</v>
      </c>
      <c r="N708" t="s">
        <v>1148</v>
      </c>
      <c r="O708" s="3">
        <v>0.375</v>
      </c>
      <c r="P708" s="16">
        <f t="shared" si="35"/>
        <v>9.2624999999999993</v>
      </c>
      <c r="Q708" s="2">
        <v>0</v>
      </c>
      <c r="R708" s="2">
        <v>9.26</v>
      </c>
      <c r="S708" s="2">
        <v>9.26</v>
      </c>
      <c r="T708" t="s">
        <v>307</v>
      </c>
    </row>
    <row r="709" spans="1:20" x14ac:dyDescent="0.25">
      <c r="A709">
        <v>2027869113</v>
      </c>
      <c r="B709" t="s">
        <v>878</v>
      </c>
      <c r="C709" t="s">
        <v>877</v>
      </c>
      <c r="D709" s="6" t="str">
        <f t="shared" si="33"/>
        <v>THI DINH</v>
      </c>
      <c r="E709" t="s">
        <v>307</v>
      </c>
      <c r="F709">
        <v>8977234</v>
      </c>
      <c r="G709" t="s">
        <v>1078</v>
      </c>
      <c r="H709" t="s">
        <v>56</v>
      </c>
      <c r="I709" s="1">
        <v>45734</v>
      </c>
      <c r="J709" s="1">
        <v>45948</v>
      </c>
      <c r="K709" s="2">
        <v>45.77</v>
      </c>
      <c r="L709">
        <f t="shared" si="34"/>
        <v>7</v>
      </c>
      <c r="M709" t="s">
        <v>59</v>
      </c>
      <c r="N709" t="s">
        <v>1148</v>
      </c>
      <c r="O709" s="3">
        <v>0.375</v>
      </c>
      <c r="P709" s="16">
        <f t="shared" si="35"/>
        <v>17.16375</v>
      </c>
      <c r="Q709" s="2">
        <v>0</v>
      </c>
      <c r="R709" s="2">
        <v>17.16</v>
      </c>
      <c r="S709" s="2">
        <v>17.16</v>
      </c>
      <c r="T709" t="s">
        <v>307</v>
      </c>
    </row>
    <row r="710" spans="1:20" x14ac:dyDescent="0.25">
      <c r="A710">
        <v>2027849975</v>
      </c>
      <c r="B710" t="s">
        <v>783</v>
      </c>
      <c r="C710" t="s">
        <v>65</v>
      </c>
      <c r="D710" s="6" t="str">
        <f t="shared" si="33"/>
        <v>CHAD DIXON</v>
      </c>
      <c r="E710" t="s">
        <v>307</v>
      </c>
      <c r="F710">
        <v>17425766</v>
      </c>
      <c r="G710" t="s">
        <v>1097</v>
      </c>
      <c r="H710" t="s">
        <v>56</v>
      </c>
      <c r="I710" s="1">
        <v>45733</v>
      </c>
      <c r="J710" s="1">
        <v>45947</v>
      </c>
      <c r="K710" s="2">
        <v>102.55</v>
      </c>
      <c r="L710">
        <f t="shared" si="34"/>
        <v>7</v>
      </c>
      <c r="M710" t="s">
        <v>59</v>
      </c>
      <c r="N710" t="s">
        <v>1148</v>
      </c>
      <c r="O710" s="3">
        <v>0.375</v>
      </c>
      <c r="P710" s="16">
        <f t="shared" si="35"/>
        <v>38.456249999999997</v>
      </c>
      <c r="Q710" s="2">
        <v>0</v>
      </c>
      <c r="R710" s="2">
        <v>38.46</v>
      </c>
      <c r="S710" s="2">
        <v>38.46</v>
      </c>
      <c r="T710" t="s">
        <v>307</v>
      </c>
    </row>
    <row r="711" spans="1:20" x14ac:dyDescent="0.25">
      <c r="A711">
        <v>2027836412</v>
      </c>
      <c r="B711" t="s">
        <v>367</v>
      </c>
      <c r="C711" t="s">
        <v>368</v>
      </c>
      <c r="D711" s="6" t="str">
        <f t="shared" si="33"/>
        <v>LISA EMS</v>
      </c>
      <c r="E711" t="s">
        <v>307</v>
      </c>
      <c r="F711">
        <v>20003537</v>
      </c>
      <c r="G711" t="s">
        <v>1102</v>
      </c>
      <c r="H711" t="s">
        <v>56</v>
      </c>
      <c r="I711" s="1">
        <v>45736</v>
      </c>
      <c r="J711" s="1">
        <v>45950</v>
      </c>
      <c r="K711" s="2">
        <v>95.66</v>
      </c>
      <c r="L711">
        <f t="shared" si="34"/>
        <v>7</v>
      </c>
      <c r="M711" t="s">
        <v>59</v>
      </c>
      <c r="N711" t="s">
        <v>1148</v>
      </c>
      <c r="O711" s="3">
        <v>0.375</v>
      </c>
      <c r="P711" s="16">
        <f t="shared" si="35"/>
        <v>35.872500000000002</v>
      </c>
      <c r="Q711" s="2">
        <v>0</v>
      </c>
      <c r="R711" s="2">
        <v>35.869999999999997</v>
      </c>
      <c r="S711" s="2">
        <v>35.869999999999997</v>
      </c>
      <c r="T711" t="s">
        <v>307</v>
      </c>
    </row>
    <row r="712" spans="1:20" x14ac:dyDescent="0.25">
      <c r="A712">
        <v>2027883494</v>
      </c>
      <c r="B712" t="s">
        <v>317</v>
      </c>
      <c r="C712" t="s">
        <v>876</v>
      </c>
      <c r="D712" s="6" t="str">
        <f t="shared" si="33"/>
        <v>PATRICK KELLY</v>
      </c>
      <c r="E712" t="s">
        <v>307</v>
      </c>
      <c r="F712" t="s">
        <v>1147</v>
      </c>
      <c r="G712" t="s">
        <v>1115</v>
      </c>
      <c r="H712" t="s">
        <v>56</v>
      </c>
      <c r="I712" s="1">
        <v>45735</v>
      </c>
      <c r="J712" s="1">
        <v>45949</v>
      </c>
      <c r="K712" s="2">
        <v>49.98</v>
      </c>
      <c r="L712">
        <f t="shared" si="34"/>
        <v>7</v>
      </c>
      <c r="M712" t="s">
        <v>59</v>
      </c>
      <c r="N712" t="s">
        <v>1148</v>
      </c>
      <c r="O712" s="3">
        <v>0.375</v>
      </c>
      <c r="P712" s="16">
        <f t="shared" si="35"/>
        <v>18.7425</v>
      </c>
      <c r="Q712" s="2">
        <v>0</v>
      </c>
      <c r="R712" s="2">
        <v>18.739999999999998</v>
      </c>
      <c r="S712" s="2">
        <v>18.739999999999998</v>
      </c>
      <c r="T712" t="s">
        <v>307</v>
      </c>
    </row>
    <row r="713" spans="1:20" x14ac:dyDescent="0.25">
      <c r="A713">
        <v>2027849004</v>
      </c>
      <c r="B713" t="s">
        <v>879</v>
      </c>
      <c r="C713" t="s">
        <v>857</v>
      </c>
      <c r="D713" s="6" t="str">
        <f t="shared" si="33"/>
        <v>JAMIE PETERS</v>
      </c>
      <c r="E713" t="s">
        <v>307</v>
      </c>
      <c r="F713">
        <v>20003537</v>
      </c>
      <c r="G713" t="s">
        <v>1102</v>
      </c>
      <c r="H713" t="s">
        <v>56</v>
      </c>
      <c r="I713" s="1">
        <v>45733</v>
      </c>
      <c r="J713" s="1">
        <v>45947</v>
      </c>
      <c r="K713" s="2">
        <v>182.73</v>
      </c>
      <c r="L713">
        <f t="shared" si="34"/>
        <v>7</v>
      </c>
      <c r="M713" t="s">
        <v>59</v>
      </c>
      <c r="N713" t="s">
        <v>1148</v>
      </c>
      <c r="O713" s="3">
        <v>0.375</v>
      </c>
      <c r="P713" s="16">
        <f t="shared" si="35"/>
        <v>68.523749999999993</v>
      </c>
      <c r="Q713" s="2">
        <v>0</v>
      </c>
      <c r="R713" s="2">
        <v>68.52</v>
      </c>
      <c r="S713" s="2">
        <v>68.52</v>
      </c>
      <c r="T713" t="s">
        <v>307</v>
      </c>
    </row>
    <row r="714" spans="1:20" x14ac:dyDescent="0.25">
      <c r="A714">
        <v>2026783378</v>
      </c>
      <c r="B714" t="s">
        <v>149</v>
      </c>
      <c r="C714" t="s">
        <v>150</v>
      </c>
      <c r="D714" s="6" t="str">
        <f t="shared" si="33"/>
        <v>MARK CERRETANI</v>
      </c>
      <c r="E714" t="s">
        <v>307</v>
      </c>
      <c r="F714">
        <v>8977234</v>
      </c>
      <c r="G714" t="s">
        <v>1078</v>
      </c>
      <c r="H714" t="s">
        <v>56</v>
      </c>
      <c r="I714" s="1">
        <v>45709</v>
      </c>
      <c r="J714" s="1">
        <v>45951</v>
      </c>
      <c r="K714" s="2">
        <v>54.86</v>
      </c>
      <c r="L714">
        <f t="shared" si="34"/>
        <v>8</v>
      </c>
      <c r="M714" t="s">
        <v>59</v>
      </c>
      <c r="N714" t="s">
        <v>1148</v>
      </c>
      <c r="O714" s="3">
        <v>0.375</v>
      </c>
      <c r="P714" s="16">
        <f t="shared" si="35"/>
        <v>20.572499999999998</v>
      </c>
      <c r="Q714" s="2">
        <v>0</v>
      </c>
      <c r="R714" s="2">
        <v>20.57</v>
      </c>
      <c r="S714" s="2">
        <v>20.57</v>
      </c>
      <c r="T714" t="s">
        <v>307</v>
      </c>
    </row>
    <row r="715" spans="1:20" x14ac:dyDescent="0.25">
      <c r="A715">
        <v>2027343741</v>
      </c>
      <c r="B715" t="s">
        <v>363</v>
      </c>
      <c r="C715" t="s">
        <v>364</v>
      </c>
      <c r="D715" s="6" t="str">
        <f t="shared" si="33"/>
        <v>MARIA GONZALEZ</v>
      </c>
      <c r="E715" t="s">
        <v>307</v>
      </c>
      <c r="F715">
        <v>8977234</v>
      </c>
      <c r="G715" t="s">
        <v>1078</v>
      </c>
      <c r="H715" t="s">
        <v>56</v>
      </c>
      <c r="I715" s="1">
        <v>45714</v>
      </c>
      <c r="J715" s="1">
        <v>45956</v>
      </c>
      <c r="K715" s="2">
        <v>59.58</v>
      </c>
      <c r="L715">
        <f t="shared" si="34"/>
        <v>8</v>
      </c>
      <c r="M715" t="s">
        <v>59</v>
      </c>
      <c r="N715" t="s">
        <v>1148</v>
      </c>
      <c r="O715" s="3">
        <v>0.375</v>
      </c>
      <c r="P715" s="16">
        <f t="shared" si="35"/>
        <v>22.342500000000001</v>
      </c>
      <c r="Q715" s="2">
        <v>0</v>
      </c>
      <c r="R715" s="2">
        <v>22.34</v>
      </c>
      <c r="S715" s="2">
        <v>22.34</v>
      </c>
      <c r="T715" t="s">
        <v>307</v>
      </c>
    </row>
    <row r="716" spans="1:20" x14ac:dyDescent="0.25">
      <c r="A716">
        <v>2026421757</v>
      </c>
      <c r="B716" t="s">
        <v>277</v>
      </c>
      <c r="C716" t="s">
        <v>347</v>
      </c>
      <c r="D716" s="6" t="str">
        <f t="shared" si="33"/>
        <v>BETTY JAMES</v>
      </c>
      <c r="E716" t="s">
        <v>307</v>
      </c>
      <c r="F716">
        <v>8977234</v>
      </c>
      <c r="G716" t="s">
        <v>1078</v>
      </c>
      <c r="H716" t="s">
        <v>56</v>
      </c>
      <c r="I716" s="1">
        <v>45689</v>
      </c>
      <c r="J716" s="1">
        <v>45931</v>
      </c>
      <c r="K716" s="2">
        <v>-25.6</v>
      </c>
      <c r="L716">
        <f t="shared" si="34"/>
        <v>8</v>
      </c>
      <c r="M716" t="s">
        <v>59</v>
      </c>
      <c r="N716" t="s">
        <v>1148</v>
      </c>
      <c r="O716" s="3">
        <v>0.375</v>
      </c>
      <c r="P716" s="16">
        <f t="shared" si="35"/>
        <v>-9.6000000000000014</v>
      </c>
      <c r="Q716" s="2">
        <v>0</v>
      </c>
      <c r="R716" s="2">
        <v>-9.6</v>
      </c>
      <c r="S716" s="2">
        <v>-9.6</v>
      </c>
      <c r="T716" t="s">
        <v>307</v>
      </c>
    </row>
    <row r="717" spans="1:20" x14ac:dyDescent="0.25">
      <c r="A717">
        <v>2027321380</v>
      </c>
      <c r="B717" t="s">
        <v>361</v>
      </c>
      <c r="C717" t="s">
        <v>362</v>
      </c>
      <c r="D717" s="6" t="str">
        <f t="shared" si="33"/>
        <v>EDWINA JENSEN</v>
      </c>
      <c r="E717" t="s">
        <v>307</v>
      </c>
      <c r="F717">
        <v>8977234</v>
      </c>
      <c r="G717" t="s">
        <v>1078</v>
      </c>
      <c r="H717" t="s">
        <v>56</v>
      </c>
      <c r="I717" s="1">
        <v>45713</v>
      </c>
      <c r="J717" s="1">
        <v>45955</v>
      </c>
      <c r="K717" s="2">
        <v>27.64</v>
      </c>
      <c r="L717">
        <f t="shared" si="34"/>
        <v>8</v>
      </c>
      <c r="M717" t="s">
        <v>59</v>
      </c>
      <c r="N717" t="s">
        <v>1148</v>
      </c>
      <c r="O717" s="3">
        <v>0.375</v>
      </c>
      <c r="P717" s="16">
        <f t="shared" si="35"/>
        <v>10.365</v>
      </c>
      <c r="Q717" s="2">
        <v>0</v>
      </c>
      <c r="R717" s="2">
        <v>10.36</v>
      </c>
      <c r="S717" s="2">
        <v>10.36</v>
      </c>
      <c r="T717" t="s">
        <v>307</v>
      </c>
    </row>
    <row r="718" spans="1:20" x14ac:dyDescent="0.25">
      <c r="A718">
        <v>2027082733</v>
      </c>
      <c r="B718" t="s">
        <v>888</v>
      </c>
      <c r="C718" t="s">
        <v>803</v>
      </c>
      <c r="D718" s="6" t="str">
        <f t="shared" si="33"/>
        <v>MEGAN KNAPCIK</v>
      </c>
      <c r="E718" t="s">
        <v>307</v>
      </c>
      <c r="F718">
        <v>17437820</v>
      </c>
      <c r="G718" t="s">
        <v>1082</v>
      </c>
      <c r="H718" t="s">
        <v>56</v>
      </c>
      <c r="I718" s="1">
        <v>45701</v>
      </c>
      <c r="J718" s="1">
        <v>45943</v>
      </c>
      <c r="K718" s="2">
        <v>61.01</v>
      </c>
      <c r="L718">
        <f t="shared" si="34"/>
        <v>8</v>
      </c>
      <c r="M718" t="s">
        <v>59</v>
      </c>
      <c r="N718" t="s">
        <v>1148</v>
      </c>
      <c r="O718" s="3">
        <v>0.375</v>
      </c>
      <c r="P718" s="16">
        <f t="shared" si="35"/>
        <v>22.87875</v>
      </c>
      <c r="Q718" s="2">
        <v>0</v>
      </c>
      <c r="R718" s="2">
        <v>22.88</v>
      </c>
      <c r="S718" s="2">
        <v>22.88</v>
      </c>
      <c r="T718" t="s">
        <v>307</v>
      </c>
    </row>
    <row r="719" spans="1:20" x14ac:dyDescent="0.25">
      <c r="A719">
        <v>2026146810</v>
      </c>
      <c r="B719" t="s">
        <v>253</v>
      </c>
      <c r="C719" t="s">
        <v>254</v>
      </c>
      <c r="D719" s="6" t="str">
        <f t="shared" si="33"/>
        <v>ERIKA CARDONA-TIBURCIO</v>
      </c>
      <c r="E719" t="s">
        <v>307</v>
      </c>
      <c r="F719">
        <v>17425766</v>
      </c>
      <c r="G719" t="s">
        <v>1097</v>
      </c>
      <c r="H719" t="s">
        <v>56</v>
      </c>
      <c r="I719" s="1">
        <v>45658</v>
      </c>
      <c r="J719" s="1">
        <v>45931</v>
      </c>
      <c r="K719" s="2">
        <v>57.77</v>
      </c>
      <c r="L719">
        <f t="shared" si="34"/>
        <v>9</v>
      </c>
      <c r="M719" t="s">
        <v>59</v>
      </c>
      <c r="N719" t="s">
        <v>1148</v>
      </c>
      <c r="O719" s="3">
        <v>0.375</v>
      </c>
      <c r="P719" s="16">
        <f t="shared" si="35"/>
        <v>21.66375</v>
      </c>
      <c r="Q719" s="2">
        <v>0</v>
      </c>
      <c r="R719" s="2">
        <v>21.66</v>
      </c>
      <c r="S719" s="2">
        <v>21.66</v>
      </c>
      <c r="T719" t="s">
        <v>307</v>
      </c>
    </row>
    <row r="720" spans="1:20" x14ac:dyDescent="0.25">
      <c r="A720">
        <v>2026603256</v>
      </c>
      <c r="B720" t="s">
        <v>896</v>
      </c>
      <c r="C720" t="s">
        <v>145</v>
      </c>
      <c r="D720" s="6" t="str">
        <f t="shared" si="33"/>
        <v>CHARLES JR</v>
      </c>
      <c r="E720" t="s">
        <v>307</v>
      </c>
      <c r="F720" t="s">
        <v>1147</v>
      </c>
      <c r="G720" t="s">
        <v>1115</v>
      </c>
      <c r="H720" t="s">
        <v>56</v>
      </c>
      <c r="I720" s="1">
        <v>45673</v>
      </c>
      <c r="J720" s="1">
        <v>45946</v>
      </c>
      <c r="K720" s="2">
        <v>49.98</v>
      </c>
      <c r="L720">
        <f t="shared" si="34"/>
        <v>9</v>
      </c>
      <c r="M720" t="s">
        <v>59</v>
      </c>
      <c r="N720" t="s">
        <v>1148</v>
      </c>
      <c r="O720" s="3">
        <v>0.375</v>
      </c>
      <c r="P720" s="16">
        <f t="shared" si="35"/>
        <v>18.7425</v>
      </c>
      <c r="Q720" s="2">
        <v>0</v>
      </c>
      <c r="R720" s="2">
        <v>18.739999999999998</v>
      </c>
      <c r="S720" s="2">
        <v>18.739999999999998</v>
      </c>
      <c r="T720" t="s">
        <v>307</v>
      </c>
    </row>
    <row r="721" spans="1:20" x14ac:dyDescent="0.25">
      <c r="A721">
        <v>2026682935</v>
      </c>
      <c r="B721" t="s">
        <v>353</v>
      </c>
      <c r="C721" t="s">
        <v>354</v>
      </c>
      <c r="D721" s="6" t="str">
        <f t="shared" si="33"/>
        <v>AMBER LAMIA</v>
      </c>
      <c r="E721" t="s">
        <v>307</v>
      </c>
      <c r="F721" t="s">
        <v>1147</v>
      </c>
      <c r="G721" t="s">
        <v>1115</v>
      </c>
      <c r="H721" t="s">
        <v>56</v>
      </c>
      <c r="I721" s="1">
        <v>45678</v>
      </c>
      <c r="J721" s="1">
        <v>45951</v>
      </c>
      <c r="K721" s="2">
        <v>39.979999999999997</v>
      </c>
      <c r="L721">
        <f t="shared" si="34"/>
        <v>9</v>
      </c>
      <c r="M721" t="s">
        <v>59</v>
      </c>
      <c r="N721" t="s">
        <v>1148</v>
      </c>
      <c r="O721" s="3">
        <v>0.375</v>
      </c>
      <c r="P721" s="16">
        <f t="shared" si="35"/>
        <v>14.9925</v>
      </c>
      <c r="Q721" s="2">
        <v>0</v>
      </c>
      <c r="R721" s="2">
        <v>14.99</v>
      </c>
      <c r="S721" s="2">
        <v>14.99</v>
      </c>
      <c r="T721" t="s">
        <v>307</v>
      </c>
    </row>
    <row r="722" spans="1:20" x14ac:dyDescent="0.25">
      <c r="A722">
        <v>2026585511</v>
      </c>
      <c r="B722" t="s">
        <v>1032</v>
      </c>
      <c r="C722" t="s">
        <v>265</v>
      </c>
      <c r="D722" s="6" t="str">
        <f t="shared" si="33"/>
        <v>MICHELE LIBERATORE</v>
      </c>
      <c r="E722" t="s">
        <v>307</v>
      </c>
      <c r="F722" t="s">
        <v>1147</v>
      </c>
      <c r="G722" t="s">
        <v>1115</v>
      </c>
      <c r="H722" t="s">
        <v>56</v>
      </c>
      <c r="I722" s="1">
        <v>45672</v>
      </c>
      <c r="J722" s="1">
        <v>45945</v>
      </c>
      <c r="K722" s="2">
        <v>149.46</v>
      </c>
      <c r="L722">
        <f t="shared" si="34"/>
        <v>9</v>
      </c>
      <c r="M722" t="s">
        <v>59</v>
      </c>
      <c r="N722" t="s">
        <v>1148</v>
      </c>
      <c r="O722" s="3">
        <v>0.375</v>
      </c>
      <c r="P722" s="16">
        <f t="shared" si="35"/>
        <v>56.047499999999999</v>
      </c>
      <c r="Q722" s="2">
        <v>0</v>
      </c>
      <c r="R722" s="2">
        <v>56.05</v>
      </c>
      <c r="S722" s="2">
        <v>56.05</v>
      </c>
      <c r="T722" t="s">
        <v>307</v>
      </c>
    </row>
    <row r="723" spans="1:20" x14ac:dyDescent="0.25">
      <c r="A723">
        <v>2026696631</v>
      </c>
      <c r="B723" t="s">
        <v>355</v>
      </c>
      <c r="C723" t="s">
        <v>356</v>
      </c>
      <c r="D723" s="6" t="str">
        <f t="shared" si="33"/>
        <v>CASEY REINIG</v>
      </c>
      <c r="E723" t="s">
        <v>307</v>
      </c>
      <c r="F723" t="s">
        <v>1147</v>
      </c>
      <c r="G723" t="s">
        <v>1115</v>
      </c>
      <c r="H723" t="s">
        <v>56</v>
      </c>
      <c r="I723" s="1">
        <v>45679</v>
      </c>
      <c r="J723" s="1">
        <v>45952</v>
      </c>
      <c r="K723" s="2">
        <v>81.58</v>
      </c>
      <c r="L723">
        <f t="shared" si="34"/>
        <v>9</v>
      </c>
      <c r="M723" t="s">
        <v>59</v>
      </c>
      <c r="N723" t="s">
        <v>1148</v>
      </c>
      <c r="O723" s="3">
        <v>0.375</v>
      </c>
      <c r="P723" s="16">
        <f t="shared" si="35"/>
        <v>30.592500000000001</v>
      </c>
      <c r="Q723" s="2">
        <v>0</v>
      </c>
      <c r="R723" s="2">
        <v>30.59</v>
      </c>
      <c r="S723" s="2">
        <v>30.59</v>
      </c>
      <c r="T723" t="s">
        <v>307</v>
      </c>
    </row>
    <row r="724" spans="1:20" x14ac:dyDescent="0.25">
      <c r="A724">
        <v>2025850687</v>
      </c>
      <c r="B724" t="s">
        <v>556</v>
      </c>
      <c r="C724" t="s">
        <v>791</v>
      </c>
      <c r="D724" s="6" t="str">
        <f t="shared" si="33"/>
        <v>WANIETA TAYLOR</v>
      </c>
      <c r="E724" t="s">
        <v>307</v>
      </c>
      <c r="F724">
        <v>8977234</v>
      </c>
      <c r="G724" t="s">
        <v>1078</v>
      </c>
      <c r="H724" t="s">
        <v>56</v>
      </c>
      <c r="I724" s="1">
        <v>45658</v>
      </c>
      <c r="J724" s="1">
        <v>45931</v>
      </c>
      <c r="K724" s="2">
        <v>63.34</v>
      </c>
      <c r="L724">
        <f t="shared" si="34"/>
        <v>9</v>
      </c>
      <c r="M724" t="s">
        <v>59</v>
      </c>
      <c r="N724" t="s">
        <v>1148</v>
      </c>
      <c r="O724" s="3">
        <v>0.375</v>
      </c>
      <c r="P724" s="16">
        <f t="shared" si="35"/>
        <v>23.752500000000001</v>
      </c>
      <c r="Q724" s="2">
        <v>0</v>
      </c>
      <c r="R724" s="2">
        <v>23.75</v>
      </c>
      <c r="S724" s="2">
        <v>23.75</v>
      </c>
      <c r="T724" t="s">
        <v>307</v>
      </c>
    </row>
    <row r="725" spans="1:20" x14ac:dyDescent="0.25">
      <c r="A725">
        <v>2026594776</v>
      </c>
      <c r="B725" t="s">
        <v>348</v>
      </c>
      <c r="C725" t="s">
        <v>349</v>
      </c>
      <c r="D725" s="6" t="str">
        <f t="shared" si="33"/>
        <v>DAVID ZAHURANCE</v>
      </c>
      <c r="E725" t="s">
        <v>307</v>
      </c>
      <c r="F725">
        <v>8977234</v>
      </c>
      <c r="G725" t="s">
        <v>1078</v>
      </c>
      <c r="H725" t="s">
        <v>56</v>
      </c>
      <c r="I725" s="1">
        <v>45678</v>
      </c>
      <c r="J725" s="1">
        <v>45951</v>
      </c>
      <c r="K725" s="2">
        <v>57.11</v>
      </c>
      <c r="L725">
        <f t="shared" si="34"/>
        <v>9</v>
      </c>
      <c r="M725" t="s">
        <v>59</v>
      </c>
      <c r="N725" t="s">
        <v>1148</v>
      </c>
      <c r="O725" s="3">
        <v>0.375</v>
      </c>
      <c r="P725" s="16">
        <f t="shared" si="35"/>
        <v>21.416249999999998</v>
      </c>
      <c r="Q725" s="2">
        <v>0</v>
      </c>
      <c r="R725" s="2">
        <v>21.42</v>
      </c>
      <c r="S725" s="2">
        <v>21.42</v>
      </c>
      <c r="T725" t="s">
        <v>307</v>
      </c>
    </row>
    <row r="726" spans="1:20" x14ac:dyDescent="0.25">
      <c r="A726">
        <v>2026213326</v>
      </c>
      <c r="B726" t="s">
        <v>788</v>
      </c>
      <c r="C726" t="s">
        <v>787</v>
      </c>
      <c r="D726" s="6" t="str">
        <f t="shared" si="33"/>
        <v>HOWARD BELL</v>
      </c>
      <c r="E726" t="s">
        <v>307</v>
      </c>
      <c r="F726">
        <v>19279958</v>
      </c>
      <c r="G726" t="s">
        <v>1100</v>
      </c>
      <c r="H726" t="s">
        <v>56</v>
      </c>
      <c r="I726" s="1">
        <v>45644</v>
      </c>
      <c r="J726" s="1">
        <v>45948</v>
      </c>
      <c r="K726" s="2">
        <v>87.5</v>
      </c>
      <c r="L726">
        <f t="shared" si="34"/>
        <v>10</v>
      </c>
      <c r="M726" t="s">
        <v>59</v>
      </c>
      <c r="N726" t="s">
        <v>1148</v>
      </c>
      <c r="O726" s="3">
        <v>0.375</v>
      </c>
      <c r="P726" s="16">
        <f t="shared" si="35"/>
        <v>32.8125</v>
      </c>
      <c r="Q726" s="2">
        <v>0</v>
      </c>
      <c r="R726" s="2">
        <v>32.81</v>
      </c>
      <c r="S726" s="2">
        <v>32.81</v>
      </c>
      <c r="T726" t="s">
        <v>307</v>
      </c>
    </row>
    <row r="727" spans="1:20" x14ac:dyDescent="0.25">
      <c r="A727">
        <v>2026141665</v>
      </c>
      <c r="B727" t="s">
        <v>1036</v>
      </c>
      <c r="C727" t="s">
        <v>1035</v>
      </c>
      <c r="D727" s="6" t="str">
        <f t="shared" si="33"/>
        <v>NIDA HUSSAIN</v>
      </c>
      <c r="E727" t="s">
        <v>307</v>
      </c>
      <c r="F727">
        <v>8307933</v>
      </c>
      <c r="G727" t="s">
        <v>1098</v>
      </c>
      <c r="H727" t="s">
        <v>56</v>
      </c>
      <c r="I727" s="1">
        <v>45641</v>
      </c>
      <c r="J727" s="1">
        <v>45945</v>
      </c>
      <c r="K727" s="2">
        <v>101.87</v>
      </c>
      <c r="L727">
        <f t="shared" si="34"/>
        <v>10</v>
      </c>
      <c r="M727" t="s">
        <v>59</v>
      </c>
      <c r="N727" t="s">
        <v>1148</v>
      </c>
      <c r="O727" s="3">
        <v>0.375</v>
      </c>
      <c r="P727" s="16">
        <f t="shared" si="35"/>
        <v>38.201250000000002</v>
      </c>
      <c r="Q727" s="2">
        <v>0</v>
      </c>
      <c r="R727" s="2">
        <v>38.200000000000003</v>
      </c>
      <c r="S727" s="2">
        <v>38.200000000000003</v>
      </c>
      <c r="T727" t="s">
        <v>307</v>
      </c>
    </row>
    <row r="728" spans="1:20" x14ac:dyDescent="0.25">
      <c r="A728">
        <v>2026265883</v>
      </c>
      <c r="B728" t="s">
        <v>154</v>
      </c>
      <c r="C728" t="s">
        <v>256</v>
      </c>
      <c r="D728" s="6" t="str">
        <f t="shared" si="33"/>
        <v>ALEX JOHNSON</v>
      </c>
      <c r="E728" t="s">
        <v>307</v>
      </c>
      <c r="F728">
        <v>19279958</v>
      </c>
      <c r="G728" t="s">
        <v>1100</v>
      </c>
      <c r="H728" t="s">
        <v>56</v>
      </c>
      <c r="I728" s="1">
        <v>45647</v>
      </c>
      <c r="J728" s="1">
        <v>45951</v>
      </c>
      <c r="K728" s="2">
        <v>53.2</v>
      </c>
      <c r="L728">
        <f t="shared" si="34"/>
        <v>10</v>
      </c>
      <c r="M728" t="s">
        <v>59</v>
      </c>
      <c r="N728" t="s">
        <v>1148</v>
      </c>
      <c r="O728" s="3">
        <v>0.375</v>
      </c>
      <c r="P728" s="16">
        <f t="shared" si="35"/>
        <v>19.950000000000003</v>
      </c>
      <c r="Q728" s="2">
        <v>0</v>
      </c>
      <c r="R728" s="2">
        <v>19.95</v>
      </c>
      <c r="S728" s="2">
        <v>19.95</v>
      </c>
      <c r="T728" t="s">
        <v>307</v>
      </c>
    </row>
    <row r="729" spans="1:20" x14ac:dyDescent="0.25">
      <c r="A729">
        <v>2026146921</v>
      </c>
      <c r="B729" t="s">
        <v>621</v>
      </c>
      <c r="C729" t="s">
        <v>1034</v>
      </c>
      <c r="D729" s="6" t="str">
        <f t="shared" si="33"/>
        <v>VINCE MACCARELLI</v>
      </c>
      <c r="E729" t="s">
        <v>307</v>
      </c>
      <c r="F729">
        <v>17528908</v>
      </c>
      <c r="G729" t="s">
        <v>1115</v>
      </c>
      <c r="H729" t="s">
        <v>56</v>
      </c>
      <c r="I729" s="1">
        <v>45639</v>
      </c>
      <c r="J729" s="1">
        <v>45943</v>
      </c>
      <c r="K729" s="2">
        <v>39.979999999999997</v>
      </c>
      <c r="L729">
        <f t="shared" si="34"/>
        <v>10</v>
      </c>
      <c r="M729" t="s">
        <v>59</v>
      </c>
      <c r="N729" t="s">
        <v>1148</v>
      </c>
      <c r="O729" s="3">
        <v>0.375</v>
      </c>
      <c r="P729" s="16">
        <f t="shared" si="35"/>
        <v>14.9925</v>
      </c>
      <c r="Q729" s="2">
        <v>0</v>
      </c>
      <c r="R729" s="2">
        <v>14.99</v>
      </c>
      <c r="S729" s="2">
        <v>14.99</v>
      </c>
      <c r="T729" t="s">
        <v>307</v>
      </c>
    </row>
    <row r="730" spans="1:20" x14ac:dyDescent="0.25">
      <c r="A730">
        <v>2026213887</v>
      </c>
      <c r="B730" t="s">
        <v>1033</v>
      </c>
      <c r="C730" t="s">
        <v>349</v>
      </c>
      <c r="D730" s="6" t="str">
        <f t="shared" si="33"/>
        <v>DAVID MOUGHALIAN</v>
      </c>
      <c r="E730" t="s">
        <v>307</v>
      </c>
      <c r="F730">
        <v>18781057</v>
      </c>
      <c r="G730" t="s">
        <v>1089</v>
      </c>
      <c r="H730" t="s">
        <v>56</v>
      </c>
      <c r="I730" s="1">
        <v>45644</v>
      </c>
      <c r="J730" s="1">
        <v>45948</v>
      </c>
      <c r="K730" s="2">
        <v>39.979999999999997</v>
      </c>
      <c r="L730">
        <f t="shared" si="34"/>
        <v>10</v>
      </c>
      <c r="M730" t="s">
        <v>59</v>
      </c>
      <c r="N730" t="s">
        <v>1148</v>
      </c>
      <c r="O730" s="3">
        <v>0.375</v>
      </c>
      <c r="P730" s="16">
        <f t="shared" si="35"/>
        <v>14.9925</v>
      </c>
      <c r="Q730" s="2">
        <v>0</v>
      </c>
      <c r="R730" s="2">
        <v>14.99</v>
      </c>
      <c r="S730" s="2">
        <v>14.99</v>
      </c>
      <c r="T730" t="s">
        <v>307</v>
      </c>
    </row>
    <row r="731" spans="1:20" x14ac:dyDescent="0.25">
      <c r="A731">
        <v>2025785646</v>
      </c>
      <c r="B731" t="s">
        <v>1016</v>
      </c>
      <c r="C731" t="s">
        <v>1015</v>
      </c>
      <c r="D731" s="6" t="str">
        <f t="shared" si="33"/>
        <v>KEITH RODECK</v>
      </c>
      <c r="E731" t="s">
        <v>307</v>
      </c>
      <c r="F731">
        <v>8977234</v>
      </c>
      <c r="G731" t="s">
        <v>1078</v>
      </c>
      <c r="H731" t="s">
        <v>56</v>
      </c>
      <c r="I731" s="1">
        <v>45612</v>
      </c>
      <c r="J731" s="1">
        <v>45946</v>
      </c>
      <c r="K731" s="2">
        <v>89.37</v>
      </c>
      <c r="L731">
        <f t="shared" si="34"/>
        <v>11</v>
      </c>
      <c r="M731" t="s">
        <v>59</v>
      </c>
      <c r="N731" t="s">
        <v>1148</v>
      </c>
      <c r="O731" s="3">
        <v>0.375</v>
      </c>
      <c r="P731" s="16">
        <f t="shared" si="35"/>
        <v>33.513750000000002</v>
      </c>
      <c r="Q731" s="2">
        <v>0</v>
      </c>
      <c r="R731" s="2">
        <v>33.51</v>
      </c>
      <c r="S731" s="2">
        <v>33.51</v>
      </c>
      <c r="T731" t="s">
        <v>307</v>
      </c>
    </row>
    <row r="732" spans="1:20" x14ac:dyDescent="0.25">
      <c r="A732">
        <v>2025358290</v>
      </c>
      <c r="B732" t="s">
        <v>1039</v>
      </c>
      <c r="C732" t="s">
        <v>444</v>
      </c>
      <c r="D732" s="6" t="str">
        <f t="shared" si="33"/>
        <v>ROBERT TREFTZ</v>
      </c>
      <c r="E732" t="s">
        <v>307</v>
      </c>
      <c r="F732">
        <v>19278370</v>
      </c>
      <c r="G732" t="s">
        <v>1076</v>
      </c>
      <c r="H732" t="s">
        <v>56</v>
      </c>
      <c r="I732" s="1">
        <v>45583</v>
      </c>
      <c r="J732" s="1">
        <v>45948</v>
      </c>
      <c r="K732" s="2">
        <v>39.979999999999997</v>
      </c>
      <c r="L732">
        <f t="shared" si="34"/>
        <v>12</v>
      </c>
      <c r="M732" t="s">
        <v>59</v>
      </c>
      <c r="N732" t="s">
        <v>1148</v>
      </c>
      <c r="O732" s="3">
        <v>0.375</v>
      </c>
      <c r="P732" s="16">
        <f t="shared" si="35"/>
        <v>14.9925</v>
      </c>
      <c r="Q732" s="2">
        <v>0</v>
      </c>
      <c r="R732" s="2">
        <v>14.99</v>
      </c>
      <c r="S732" s="2">
        <v>14.99</v>
      </c>
      <c r="T732" t="s">
        <v>307</v>
      </c>
    </row>
    <row r="733" spans="1:20" x14ac:dyDescent="0.25">
      <c r="A733">
        <v>2024853073</v>
      </c>
      <c r="B733" t="s">
        <v>733</v>
      </c>
      <c r="C733" t="s">
        <v>732</v>
      </c>
      <c r="D733" s="6" t="str">
        <f t="shared" si="33"/>
        <v>BERNARDO CARVALHO</v>
      </c>
      <c r="E733" t="s">
        <v>307</v>
      </c>
      <c r="F733">
        <v>17425766</v>
      </c>
      <c r="G733" t="s">
        <v>1097</v>
      </c>
      <c r="H733" t="s">
        <v>56</v>
      </c>
      <c r="I733" s="1">
        <v>45550</v>
      </c>
      <c r="J733" s="1">
        <v>45945</v>
      </c>
      <c r="K733" s="2">
        <v>56.53</v>
      </c>
      <c r="L733">
        <f t="shared" si="34"/>
        <v>13</v>
      </c>
      <c r="M733" t="s">
        <v>59</v>
      </c>
      <c r="N733" t="s">
        <v>1148</v>
      </c>
      <c r="O733" s="4">
        <v>0.06</v>
      </c>
      <c r="P733" s="16">
        <f t="shared" si="35"/>
        <v>3.3917999999999999</v>
      </c>
      <c r="Q733" s="2">
        <v>0</v>
      </c>
      <c r="R733" s="2">
        <v>3.39</v>
      </c>
      <c r="S733" s="2">
        <v>3.39</v>
      </c>
      <c r="T733" t="s">
        <v>307</v>
      </c>
    </row>
    <row r="734" spans="1:20" x14ac:dyDescent="0.25">
      <c r="A734">
        <v>2025028098</v>
      </c>
      <c r="B734" t="s">
        <v>343</v>
      </c>
      <c r="C734" t="s">
        <v>344</v>
      </c>
      <c r="D734" s="6" t="str">
        <f t="shared" si="33"/>
        <v>NANCY GALE</v>
      </c>
      <c r="E734" t="s">
        <v>307</v>
      </c>
      <c r="F734">
        <v>8977234</v>
      </c>
      <c r="G734" t="s">
        <v>1078</v>
      </c>
      <c r="H734" t="s">
        <v>56</v>
      </c>
      <c r="I734" s="1">
        <v>45561</v>
      </c>
      <c r="J734" s="1">
        <v>45956</v>
      </c>
      <c r="K734" s="2">
        <v>37.840000000000003</v>
      </c>
      <c r="L734">
        <f t="shared" si="34"/>
        <v>13</v>
      </c>
      <c r="M734" t="s">
        <v>59</v>
      </c>
      <c r="N734" t="s">
        <v>1148</v>
      </c>
      <c r="O734" s="4">
        <v>0.06</v>
      </c>
      <c r="P734" s="16">
        <f t="shared" si="35"/>
        <v>2.2704</v>
      </c>
      <c r="Q734" s="2">
        <v>0</v>
      </c>
      <c r="R734" s="2">
        <v>2.27</v>
      </c>
      <c r="S734" s="2">
        <v>2.27</v>
      </c>
      <c r="T734" t="s">
        <v>307</v>
      </c>
    </row>
    <row r="735" spans="1:20" x14ac:dyDescent="0.25">
      <c r="A735">
        <v>2024462650</v>
      </c>
      <c r="B735" t="s">
        <v>118</v>
      </c>
      <c r="C735" t="s">
        <v>85</v>
      </c>
      <c r="D735" s="6" t="str">
        <f t="shared" si="33"/>
        <v>JOHN BATES</v>
      </c>
      <c r="E735" t="s">
        <v>307</v>
      </c>
      <c r="F735">
        <v>8307933</v>
      </c>
      <c r="G735" t="s">
        <v>1098</v>
      </c>
      <c r="H735" t="s">
        <v>56</v>
      </c>
      <c r="I735" s="1">
        <v>45524</v>
      </c>
      <c r="J735" s="1">
        <v>45950</v>
      </c>
      <c r="K735" s="2">
        <v>42.42</v>
      </c>
      <c r="L735">
        <f t="shared" si="34"/>
        <v>14</v>
      </c>
      <c r="M735" t="s">
        <v>59</v>
      </c>
      <c r="N735" t="s">
        <v>1148</v>
      </c>
      <c r="O735" s="4">
        <v>0.06</v>
      </c>
      <c r="P735" s="16">
        <f t="shared" si="35"/>
        <v>2.5451999999999999</v>
      </c>
      <c r="Q735" s="2">
        <v>0</v>
      </c>
      <c r="R735" s="2">
        <v>2.5499999999999998</v>
      </c>
      <c r="S735" s="2">
        <v>2.5499999999999998</v>
      </c>
      <c r="T735" t="s">
        <v>307</v>
      </c>
    </row>
    <row r="736" spans="1:20" x14ac:dyDescent="0.25">
      <c r="A736">
        <v>2023316630</v>
      </c>
      <c r="B736" t="s">
        <v>1041</v>
      </c>
      <c r="C736" t="s">
        <v>82</v>
      </c>
      <c r="D736" s="6" t="str">
        <f t="shared" si="33"/>
        <v>DONNA SHIPP</v>
      </c>
      <c r="E736" t="s">
        <v>307</v>
      </c>
      <c r="F736">
        <v>8977234</v>
      </c>
      <c r="G736" t="s">
        <v>1078</v>
      </c>
      <c r="H736" t="s">
        <v>56</v>
      </c>
      <c r="I736" s="1">
        <v>45461</v>
      </c>
      <c r="J736" s="1">
        <v>45948</v>
      </c>
      <c r="K736" s="2">
        <v>50.33</v>
      </c>
      <c r="L736">
        <f t="shared" si="34"/>
        <v>16</v>
      </c>
      <c r="M736" t="s">
        <v>59</v>
      </c>
      <c r="N736" t="s">
        <v>1148</v>
      </c>
      <c r="O736" s="4">
        <v>0.06</v>
      </c>
      <c r="P736" s="16">
        <f t="shared" si="35"/>
        <v>3.0197999999999996</v>
      </c>
      <c r="Q736" s="2">
        <v>0</v>
      </c>
      <c r="R736" s="2">
        <v>3.02</v>
      </c>
      <c r="S736" s="2">
        <v>3.02</v>
      </c>
      <c r="T736" t="s">
        <v>307</v>
      </c>
    </row>
    <row r="737" spans="1:20" x14ac:dyDescent="0.25">
      <c r="A737">
        <v>2023499226</v>
      </c>
      <c r="B737" t="s">
        <v>810</v>
      </c>
      <c r="C737" t="s">
        <v>205</v>
      </c>
      <c r="D737" s="6" t="str">
        <f t="shared" si="33"/>
        <v>RHONDA SURRATT</v>
      </c>
      <c r="E737" t="s">
        <v>307</v>
      </c>
      <c r="F737">
        <v>18781057</v>
      </c>
      <c r="G737" t="s">
        <v>1089</v>
      </c>
      <c r="H737" t="s">
        <v>56</v>
      </c>
      <c r="I737" s="1">
        <v>45456</v>
      </c>
      <c r="J737" s="1">
        <v>45943</v>
      </c>
      <c r="K737" s="2">
        <v>33.479999999999997</v>
      </c>
      <c r="L737">
        <f t="shared" si="34"/>
        <v>16</v>
      </c>
      <c r="M737" t="s">
        <v>59</v>
      </c>
      <c r="N737" t="s">
        <v>1148</v>
      </c>
      <c r="O737" s="4">
        <v>0.06</v>
      </c>
      <c r="P737" s="16">
        <f t="shared" si="35"/>
        <v>2.0087999999999999</v>
      </c>
      <c r="Q737" s="2">
        <v>0</v>
      </c>
      <c r="R737" s="2">
        <v>2.0099999999999998</v>
      </c>
      <c r="S737" s="2">
        <v>2.0099999999999998</v>
      </c>
      <c r="T737" t="s">
        <v>307</v>
      </c>
    </row>
    <row r="738" spans="1:20" x14ac:dyDescent="0.25">
      <c r="A738">
        <v>2023245977</v>
      </c>
      <c r="B738" t="s">
        <v>812</v>
      </c>
      <c r="C738" t="s">
        <v>811</v>
      </c>
      <c r="D738" s="6" t="str">
        <f t="shared" si="33"/>
        <v>CLARITA WHEATLEY</v>
      </c>
      <c r="E738" t="s">
        <v>307</v>
      </c>
      <c r="F738" t="s">
        <v>1146</v>
      </c>
      <c r="G738" t="s">
        <v>1097</v>
      </c>
      <c r="H738" t="s">
        <v>56</v>
      </c>
      <c r="I738" s="1">
        <v>45444</v>
      </c>
      <c r="J738" s="1">
        <v>45931</v>
      </c>
      <c r="K738" s="2">
        <v>24.88</v>
      </c>
      <c r="L738">
        <f t="shared" si="34"/>
        <v>16</v>
      </c>
      <c r="M738" t="s">
        <v>59</v>
      </c>
      <c r="N738" t="s">
        <v>1148</v>
      </c>
      <c r="O738" s="4">
        <v>0.06</v>
      </c>
      <c r="P738" s="16">
        <f t="shared" si="35"/>
        <v>1.4927999999999999</v>
      </c>
      <c r="Q738" s="2">
        <v>0</v>
      </c>
      <c r="R738" s="2">
        <v>1.49</v>
      </c>
      <c r="S738" s="2">
        <v>1.49</v>
      </c>
      <c r="T738" t="s">
        <v>307</v>
      </c>
    </row>
    <row r="739" spans="1:20" x14ac:dyDescent="0.25">
      <c r="A739">
        <v>2023139789</v>
      </c>
      <c r="B739" t="s">
        <v>247</v>
      </c>
      <c r="C739" t="s">
        <v>248</v>
      </c>
      <c r="D739" s="6" t="str">
        <f t="shared" si="33"/>
        <v>CRAIG RUBINFELD</v>
      </c>
      <c r="E739" t="s">
        <v>307</v>
      </c>
      <c r="F739">
        <v>18781057</v>
      </c>
      <c r="G739" t="s">
        <v>1089</v>
      </c>
      <c r="H739" t="s">
        <v>56</v>
      </c>
      <c r="I739" s="1">
        <v>45432</v>
      </c>
      <c r="J739" s="1">
        <v>45950</v>
      </c>
      <c r="K739" s="2">
        <v>43.65</v>
      </c>
      <c r="L739">
        <f t="shared" si="34"/>
        <v>17</v>
      </c>
      <c r="M739" t="s">
        <v>59</v>
      </c>
      <c r="N739" t="s">
        <v>1148</v>
      </c>
      <c r="O739" s="4">
        <v>0.06</v>
      </c>
      <c r="P739" s="16">
        <f t="shared" si="35"/>
        <v>2.6189999999999998</v>
      </c>
      <c r="Q739" s="2">
        <v>0</v>
      </c>
      <c r="R739" s="2">
        <v>2.62</v>
      </c>
      <c r="S739" s="2">
        <v>2.62</v>
      </c>
      <c r="T739" t="s">
        <v>307</v>
      </c>
    </row>
    <row r="740" spans="1:20" x14ac:dyDescent="0.25">
      <c r="A740">
        <v>2022747854</v>
      </c>
      <c r="B740" t="s">
        <v>816</v>
      </c>
      <c r="C740" t="s">
        <v>344</v>
      </c>
      <c r="D740" s="6" t="str">
        <f t="shared" si="33"/>
        <v>NANCY SOLIVAN</v>
      </c>
      <c r="E740" t="s">
        <v>307</v>
      </c>
      <c r="F740">
        <v>18781057</v>
      </c>
      <c r="G740" t="s">
        <v>1089</v>
      </c>
      <c r="H740" t="s">
        <v>56</v>
      </c>
      <c r="I740" s="1">
        <v>45413</v>
      </c>
      <c r="J740" s="1">
        <v>45931</v>
      </c>
      <c r="K740" s="2">
        <v>36.11</v>
      </c>
      <c r="L740">
        <f t="shared" si="34"/>
        <v>17</v>
      </c>
      <c r="M740" t="s">
        <v>59</v>
      </c>
      <c r="N740" t="s">
        <v>1148</v>
      </c>
      <c r="O740" s="4">
        <v>0.06</v>
      </c>
      <c r="P740" s="16">
        <f t="shared" si="35"/>
        <v>2.1665999999999999</v>
      </c>
      <c r="Q740" s="2">
        <v>0</v>
      </c>
      <c r="R740" s="2">
        <v>2.17</v>
      </c>
      <c r="S740" s="2">
        <v>2.17</v>
      </c>
      <c r="T740" t="s">
        <v>307</v>
      </c>
    </row>
    <row r="741" spans="1:20" x14ac:dyDescent="0.25">
      <c r="A741">
        <v>2023051089</v>
      </c>
      <c r="B741" t="s">
        <v>813</v>
      </c>
      <c r="C741" t="s">
        <v>251</v>
      </c>
      <c r="D741" s="6" t="str">
        <f t="shared" si="33"/>
        <v>THERESA WHITTINGTON</v>
      </c>
      <c r="E741" t="s">
        <v>307</v>
      </c>
      <c r="F741">
        <v>18781057</v>
      </c>
      <c r="G741" t="s">
        <v>1089</v>
      </c>
      <c r="H741" t="s">
        <v>56</v>
      </c>
      <c r="I741" s="1">
        <v>45422</v>
      </c>
      <c r="J741" s="1">
        <v>45940</v>
      </c>
      <c r="K741" s="2">
        <v>24.88</v>
      </c>
      <c r="L741">
        <f t="shared" si="34"/>
        <v>17</v>
      </c>
      <c r="M741" t="s">
        <v>59</v>
      </c>
      <c r="N741" t="s">
        <v>1148</v>
      </c>
      <c r="O741" s="4">
        <v>0.06</v>
      </c>
      <c r="P741" s="16">
        <f t="shared" si="35"/>
        <v>1.4927999999999999</v>
      </c>
      <c r="Q741" s="2">
        <v>0</v>
      </c>
      <c r="R741" s="2">
        <v>1.49</v>
      </c>
      <c r="S741" s="2">
        <v>1.49</v>
      </c>
      <c r="T741" t="s">
        <v>307</v>
      </c>
    </row>
    <row r="742" spans="1:20" x14ac:dyDescent="0.25">
      <c r="A742">
        <v>2022838178</v>
      </c>
      <c r="B742" t="s">
        <v>332</v>
      </c>
      <c r="C742" t="s">
        <v>333</v>
      </c>
      <c r="D742" s="6" t="str">
        <f t="shared" si="33"/>
        <v>RAE NESBIT</v>
      </c>
      <c r="E742" t="s">
        <v>307</v>
      </c>
      <c r="F742">
        <v>8977234</v>
      </c>
      <c r="G742" t="s">
        <v>1078</v>
      </c>
      <c r="H742" t="s">
        <v>56</v>
      </c>
      <c r="I742" s="1">
        <v>45407</v>
      </c>
      <c r="J742" s="1">
        <v>45955</v>
      </c>
      <c r="K742" s="2">
        <v>70.52</v>
      </c>
      <c r="L742">
        <f t="shared" si="34"/>
        <v>18</v>
      </c>
      <c r="M742" t="s">
        <v>59</v>
      </c>
      <c r="N742" t="s">
        <v>1148</v>
      </c>
      <c r="O742" s="4">
        <v>0.06</v>
      </c>
      <c r="P742" s="16">
        <f t="shared" si="35"/>
        <v>4.2311999999999994</v>
      </c>
      <c r="Q742" s="2">
        <v>0</v>
      </c>
      <c r="R742" s="2">
        <v>4.2300000000000004</v>
      </c>
      <c r="S742" s="2">
        <v>4.2300000000000004</v>
      </c>
      <c r="T742" t="s">
        <v>307</v>
      </c>
    </row>
    <row r="743" spans="1:20" x14ac:dyDescent="0.25">
      <c r="A743">
        <v>2022763331</v>
      </c>
      <c r="B743" t="s">
        <v>328</v>
      </c>
      <c r="C743" t="s">
        <v>329</v>
      </c>
      <c r="D743" s="6" t="str">
        <f t="shared" si="33"/>
        <v>YINONG XING</v>
      </c>
      <c r="E743" t="s">
        <v>307</v>
      </c>
      <c r="F743">
        <v>19278370</v>
      </c>
      <c r="G743" t="s">
        <v>1076</v>
      </c>
      <c r="H743" t="s">
        <v>56</v>
      </c>
      <c r="I743" s="1">
        <v>45402</v>
      </c>
      <c r="J743" s="1">
        <v>45950</v>
      </c>
      <c r="K743" s="2">
        <v>39.979999999999997</v>
      </c>
      <c r="L743">
        <f t="shared" si="34"/>
        <v>18</v>
      </c>
      <c r="M743" t="s">
        <v>59</v>
      </c>
      <c r="N743" t="s">
        <v>1148</v>
      </c>
      <c r="O743" s="4">
        <v>0.06</v>
      </c>
      <c r="P743" s="16">
        <f t="shared" si="35"/>
        <v>2.3987999999999996</v>
      </c>
      <c r="Q743" s="2">
        <v>0</v>
      </c>
      <c r="R743" s="2">
        <v>2.4</v>
      </c>
      <c r="S743" s="2">
        <v>2.4</v>
      </c>
      <c r="T743" t="s">
        <v>307</v>
      </c>
    </row>
    <row r="744" spans="1:20" x14ac:dyDescent="0.25">
      <c r="A744">
        <v>2022254781</v>
      </c>
      <c r="B744" t="s">
        <v>740</v>
      </c>
      <c r="C744" t="s">
        <v>145</v>
      </c>
      <c r="D744" s="6" t="str">
        <f t="shared" si="33"/>
        <v>CHARLES MOHLER</v>
      </c>
      <c r="E744" t="s">
        <v>307</v>
      </c>
      <c r="F744">
        <v>8977234</v>
      </c>
      <c r="G744" t="s">
        <v>1078</v>
      </c>
      <c r="H744" t="s">
        <v>56</v>
      </c>
      <c r="I744" s="1">
        <v>45364</v>
      </c>
      <c r="J744" s="1">
        <v>45943</v>
      </c>
      <c r="K744" s="2">
        <v>136.49</v>
      </c>
      <c r="L744">
        <f t="shared" si="34"/>
        <v>19</v>
      </c>
      <c r="M744" t="s">
        <v>59</v>
      </c>
      <c r="N744" t="s">
        <v>1148</v>
      </c>
      <c r="O744" s="4">
        <v>0.06</v>
      </c>
      <c r="P744" s="16">
        <f t="shared" si="35"/>
        <v>8.1894000000000009</v>
      </c>
      <c r="Q744" s="2">
        <v>0</v>
      </c>
      <c r="R744" s="2">
        <v>8.19</v>
      </c>
      <c r="S744" s="2">
        <v>8.19</v>
      </c>
      <c r="T744" t="s">
        <v>307</v>
      </c>
    </row>
    <row r="745" spans="1:20" x14ac:dyDescent="0.25">
      <c r="A745">
        <v>2021476042</v>
      </c>
      <c r="B745" t="s">
        <v>320</v>
      </c>
      <c r="C745" t="s">
        <v>321</v>
      </c>
      <c r="D745" s="6" t="str">
        <f t="shared" si="33"/>
        <v>JOEL BOLDEN</v>
      </c>
      <c r="E745" t="s">
        <v>307</v>
      </c>
      <c r="F745">
        <v>17528908</v>
      </c>
      <c r="G745" t="s">
        <v>1115</v>
      </c>
      <c r="H745" t="s">
        <v>56</v>
      </c>
      <c r="I745" s="1">
        <v>45311</v>
      </c>
      <c r="J745" s="1">
        <v>45950</v>
      </c>
      <c r="K745" s="2">
        <v>49.98</v>
      </c>
      <c r="L745">
        <f t="shared" si="34"/>
        <v>21</v>
      </c>
      <c r="M745" t="s">
        <v>59</v>
      </c>
      <c r="N745" t="s">
        <v>1148</v>
      </c>
      <c r="O745" s="4">
        <v>0.06</v>
      </c>
      <c r="P745" s="16">
        <f t="shared" si="35"/>
        <v>2.9987999999999997</v>
      </c>
      <c r="Q745" s="2">
        <v>0</v>
      </c>
      <c r="R745" s="2">
        <v>3</v>
      </c>
      <c r="S745" s="2">
        <v>3</v>
      </c>
      <c r="T745" t="s">
        <v>307</v>
      </c>
    </row>
    <row r="746" spans="1:20" x14ac:dyDescent="0.25">
      <c r="A746">
        <v>2021470237</v>
      </c>
      <c r="B746" t="s">
        <v>1042</v>
      </c>
      <c r="C746" t="s">
        <v>153</v>
      </c>
      <c r="D746" s="6" t="str">
        <f t="shared" si="33"/>
        <v>RYAN HANNAS</v>
      </c>
      <c r="E746" t="s">
        <v>307</v>
      </c>
      <c r="F746">
        <v>17528908</v>
      </c>
      <c r="G746" t="s">
        <v>1115</v>
      </c>
      <c r="H746" t="s">
        <v>56</v>
      </c>
      <c r="I746" s="1">
        <v>45310</v>
      </c>
      <c r="J746" s="1">
        <v>45949</v>
      </c>
      <c r="K746" s="2">
        <v>60.89</v>
      </c>
      <c r="L746">
        <f t="shared" si="34"/>
        <v>21</v>
      </c>
      <c r="M746" t="s">
        <v>59</v>
      </c>
      <c r="N746" t="s">
        <v>1148</v>
      </c>
      <c r="O746" s="4">
        <v>0.06</v>
      </c>
      <c r="P746" s="16">
        <f t="shared" si="35"/>
        <v>3.6534</v>
      </c>
      <c r="Q746" s="2">
        <v>0</v>
      </c>
      <c r="R746" s="2">
        <v>3.65</v>
      </c>
      <c r="S746" s="2">
        <v>3.65</v>
      </c>
      <c r="T746" t="s">
        <v>307</v>
      </c>
    </row>
    <row r="747" spans="1:20" x14ac:dyDescent="0.25">
      <c r="A747">
        <v>2021544238</v>
      </c>
      <c r="B747" t="s">
        <v>326</v>
      </c>
      <c r="C747" t="s">
        <v>327</v>
      </c>
      <c r="D747" s="6" t="str">
        <f t="shared" si="33"/>
        <v>SUZANNE LEVY</v>
      </c>
      <c r="E747" t="s">
        <v>307</v>
      </c>
      <c r="F747">
        <v>19278370</v>
      </c>
      <c r="G747" t="s">
        <v>1076</v>
      </c>
      <c r="H747" t="s">
        <v>56</v>
      </c>
      <c r="I747" s="1">
        <v>45317</v>
      </c>
      <c r="J747" s="1">
        <v>45956</v>
      </c>
      <c r="K747" s="2">
        <v>39.979999999999997</v>
      </c>
      <c r="L747">
        <f t="shared" si="34"/>
        <v>21</v>
      </c>
      <c r="M747" t="s">
        <v>59</v>
      </c>
      <c r="N747" t="s">
        <v>1148</v>
      </c>
      <c r="O747" s="4">
        <v>0.06</v>
      </c>
      <c r="P747" s="16">
        <f t="shared" si="35"/>
        <v>2.3987999999999996</v>
      </c>
      <c r="Q747" s="2">
        <v>0</v>
      </c>
      <c r="R747" s="2">
        <v>2.4</v>
      </c>
      <c r="S747" s="2">
        <v>2.4</v>
      </c>
      <c r="T747" t="s">
        <v>307</v>
      </c>
    </row>
    <row r="748" spans="1:20" x14ac:dyDescent="0.25">
      <c r="A748">
        <v>2020849790</v>
      </c>
      <c r="B748" t="s">
        <v>318</v>
      </c>
      <c r="C748" t="s">
        <v>319</v>
      </c>
      <c r="D748" s="6" t="str">
        <f t="shared" si="33"/>
        <v>LANCE MEHAFFEY</v>
      </c>
      <c r="E748" t="s">
        <v>307</v>
      </c>
      <c r="F748">
        <v>8977234</v>
      </c>
      <c r="G748" t="s">
        <v>1078</v>
      </c>
      <c r="H748" t="s">
        <v>56</v>
      </c>
      <c r="I748" s="1">
        <v>45251</v>
      </c>
      <c r="J748" s="1">
        <v>45951</v>
      </c>
      <c r="K748" s="2">
        <v>47.78</v>
      </c>
      <c r="L748">
        <f t="shared" si="34"/>
        <v>23</v>
      </c>
      <c r="M748" t="s">
        <v>59</v>
      </c>
      <c r="N748" t="s">
        <v>1148</v>
      </c>
      <c r="O748" s="4">
        <v>0.06</v>
      </c>
      <c r="P748" s="16">
        <f t="shared" si="35"/>
        <v>2.8668</v>
      </c>
      <c r="Q748" s="2">
        <v>0</v>
      </c>
      <c r="R748" s="2">
        <v>2.87</v>
      </c>
      <c r="S748" s="2">
        <v>2.87</v>
      </c>
      <c r="T748" t="s">
        <v>307</v>
      </c>
    </row>
    <row r="749" spans="1:20" x14ac:dyDescent="0.25">
      <c r="A749">
        <v>2019665210</v>
      </c>
      <c r="B749" t="s">
        <v>312</v>
      </c>
      <c r="C749" t="s">
        <v>313</v>
      </c>
      <c r="D749" s="6" t="str">
        <f t="shared" si="33"/>
        <v>ALAN CLARK</v>
      </c>
      <c r="E749" t="s">
        <v>307</v>
      </c>
      <c r="F749">
        <v>8977234</v>
      </c>
      <c r="G749" t="s">
        <v>1078</v>
      </c>
      <c r="H749" t="s">
        <v>56</v>
      </c>
      <c r="I749" s="1">
        <v>45192</v>
      </c>
      <c r="J749" s="1">
        <v>45953</v>
      </c>
      <c r="K749" s="2">
        <v>42.78</v>
      </c>
      <c r="L749">
        <f t="shared" si="34"/>
        <v>25</v>
      </c>
      <c r="M749" t="s">
        <v>59</v>
      </c>
      <c r="N749" t="s">
        <v>1148</v>
      </c>
      <c r="O749" s="4">
        <v>0.06</v>
      </c>
      <c r="P749" s="16">
        <f t="shared" si="35"/>
        <v>2.5668000000000002</v>
      </c>
      <c r="Q749" s="2">
        <v>0</v>
      </c>
      <c r="R749" s="2">
        <v>2.57</v>
      </c>
      <c r="S749" s="2">
        <v>2.57</v>
      </c>
      <c r="T749" t="s">
        <v>307</v>
      </c>
    </row>
    <row r="750" spans="1:20" x14ac:dyDescent="0.25">
      <c r="A750">
        <v>2020039861</v>
      </c>
      <c r="B750" t="s">
        <v>613</v>
      </c>
      <c r="C750" t="s">
        <v>1045</v>
      </c>
      <c r="D750" s="6" t="str">
        <f t="shared" si="33"/>
        <v>CHANTAL WHITE</v>
      </c>
      <c r="E750" t="s">
        <v>307</v>
      </c>
      <c r="F750">
        <v>8977234</v>
      </c>
      <c r="G750" t="s">
        <v>1078</v>
      </c>
      <c r="H750" t="s">
        <v>56</v>
      </c>
      <c r="I750" s="1">
        <v>45182</v>
      </c>
      <c r="J750" s="1">
        <v>45943</v>
      </c>
      <c r="K750" s="2">
        <v>53.57</v>
      </c>
      <c r="L750">
        <f t="shared" si="34"/>
        <v>25</v>
      </c>
      <c r="M750" t="s">
        <v>59</v>
      </c>
      <c r="N750" t="s">
        <v>1148</v>
      </c>
      <c r="O750" s="4">
        <v>0.06</v>
      </c>
      <c r="P750" s="16">
        <f t="shared" si="35"/>
        <v>3.2141999999999999</v>
      </c>
      <c r="Q750" s="2">
        <v>0</v>
      </c>
      <c r="R750" s="2">
        <v>3.21</v>
      </c>
      <c r="S750" s="2">
        <v>3.21</v>
      </c>
      <c r="T750" t="s">
        <v>307</v>
      </c>
    </row>
    <row r="751" spans="1:20" x14ac:dyDescent="0.25">
      <c r="A751">
        <v>2019766639</v>
      </c>
      <c r="B751" t="s">
        <v>1047</v>
      </c>
      <c r="C751" t="s">
        <v>92</v>
      </c>
      <c r="D751" s="6" t="str">
        <f t="shared" si="33"/>
        <v>BRIAN PISTORIUS</v>
      </c>
      <c r="E751" t="s">
        <v>307</v>
      </c>
      <c r="F751">
        <v>8977234</v>
      </c>
      <c r="G751" t="s">
        <v>1078</v>
      </c>
      <c r="H751" t="s">
        <v>56</v>
      </c>
      <c r="I751" s="1">
        <v>45157</v>
      </c>
      <c r="J751" s="1">
        <v>45949</v>
      </c>
      <c r="K751" s="2">
        <v>72.77</v>
      </c>
      <c r="L751">
        <f t="shared" si="34"/>
        <v>26</v>
      </c>
      <c r="M751" t="s">
        <v>59</v>
      </c>
      <c r="N751" t="s">
        <v>1148</v>
      </c>
      <c r="O751" s="4">
        <v>0.06</v>
      </c>
      <c r="P751" s="16">
        <f t="shared" si="35"/>
        <v>4.3661999999999992</v>
      </c>
      <c r="Q751" s="2">
        <v>0</v>
      </c>
      <c r="R751" s="2">
        <v>4.37</v>
      </c>
      <c r="S751" s="2">
        <v>4.37</v>
      </c>
      <c r="T751" t="s">
        <v>307</v>
      </c>
    </row>
    <row r="752" spans="1:20" x14ac:dyDescent="0.25">
      <c r="A752">
        <v>2019352254</v>
      </c>
      <c r="B752" t="s">
        <v>1049</v>
      </c>
      <c r="C752" t="s">
        <v>1048</v>
      </c>
      <c r="D752" s="6" t="str">
        <f t="shared" si="33"/>
        <v>BRITTANY FRISHKORN</v>
      </c>
      <c r="E752" t="s">
        <v>307</v>
      </c>
      <c r="F752">
        <v>19278370</v>
      </c>
      <c r="G752" t="s">
        <v>1076</v>
      </c>
      <c r="H752" t="s">
        <v>56</v>
      </c>
      <c r="I752" s="1">
        <v>45120</v>
      </c>
      <c r="J752" s="1">
        <v>45943</v>
      </c>
      <c r="K752" s="2">
        <v>49.98</v>
      </c>
      <c r="L752">
        <f t="shared" si="34"/>
        <v>27</v>
      </c>
      <c r="M752" t="s">
        <v>59</v>
      </c>
      <c r="N752" t="s">
        <v>1148</v>
      </c>
      <c r="O752" s="4">
        <v>0.06</v>
      </c>
      <c r="P752" s="16">
        <f t="shared" si="35"/>
        <v>2.9987999999999997</v>
      </c>
      <c r="Q752" s="2">
        <v>0</v>
      </c>
      <c r="R752" s="2">
        <v>3</v>
      </c>
      <c r="S752" s="2">
        <v>3</v>
      </c>
      <c r="T752" t="s">
        <v>307</v>
      </c>
    </row>
    <row r="753" spans="1:53" x14ac:dyDescent="0.25">
      <c r="A753">
        <v>2017683726</v>
      </c>
      <c r="B753" t="s">
        <v>755</v>
      </c>
      <c r="C753" t="s">
        <v>754</v>
      </c>
      <c r="D753" s="6" t="str">
        <f t="shared" si="33"/>
        <v>ARTHUR CARLSON</v>
      </c>
      <c r="E753" t="s">
        <v>307</v>
      </c>
      <c r="F753">
        <v>20436896</v>
      </c>
      <c r="G753" t="s">
        <v>1120</v>
      </c>
      <c r="H753" t="s">
        <v>56</v>
      </c>
      <c r="I753" s="1">
        <v>44974</v>
      </c>
      <c r="J753" s="1">
        <v>45947</v>
      </c>
      <c r="K753" s="2">
        <v>31.88</v>
      </c>
      <c r="L753">
        <f t="shared" si="34"/>
        <v>32</v>
      </c>
      <c r="M753" t="s">
        <v>59</v>
      </c>
      <c r="N753" t="s">
        <v>1148</v>
      </c>
      <c r="O753" s="4">
        <v>0.06</v>
      </c>
      <c r="P753" s="16">
        <f t="shared" si="35"/>
        <v>1.9127999999999998</v>
      </c>
      <c r="Q753" s="2">
        <v>0</v>
      </c>
      <c r="R753" s="2">
        <v>1.91</v>
      </c>
      <c r="S753" s="2">
        <v>1.91</v>
      </c>
      <c r="T753" t="s">
        <v>307</v>
      </c>
    </row>
    <row r="754" spans="1:53" x14ac:dyDescent="0.25">
      <c r="A754">
        <v>2017105567</v>
      </c>
      <c r="B754" t="s">
        <v>1051</v>
      </c>
      <c r="C754" t="s">
        <v>1050</v>
      </c>
      <c r="D754" s="6" t="str">
        <f t="shared" si="33"/>
        <v>BREEA GOVENAR</v>
      </c>
      <c r="E754" t="s">
        <v>307</v>
      </c>
      <c r="F754">
        <v>19278370</v>
      </c>
      <c r="G754" t="s">
        <v>1076</v>
      </c>
      <c r="H754" t="s">
        <v>56</v>
      </c>
      <c r="I754" s="1">
        <v>44911</v>
      </c>
      <c r="J754" s="1">
        <v>45946</v>
      </c>
      <c r="K754" s="2">
        <v>101.58</v>
      </c>
      <c r="L754">
        <f t="shared" si="34"/>
        <v>34</v>
      </c>
      <c r="M754" t="s">
        <v>59</v>
      </c>
      <c r="N754" t="s">
        <v>1148</v>
      </c>
      <c r="O754" s="4">
        <v>0.06</v>
      </c>
      <c r="P754" s="16">
        <f t="shared" si="35"/>
        <v>6.0947999999999993</v>
      </c>
      <c r="Q754" s="2">
        <v>0</v>
      </c>
      <c r="R754" s="2">
        <v>6.09</v>
      </c>
      <c r="S754" s="2">
        <v>6.09</v>
      </c>
      <c r="T754" t="s">
        <v>307</v>
      </c>
    </row>
    <row r="755" spans="1:53" x14ac:dyDescent="0.25">
      <c r="A755">
        <v>2016328595</v>
      </c>
      <c r="B755" t="s">
        <v>103</v>
      </c>
      <c r="C755" t="s">
        <v>104</v>
      </c>
      <c r="D755" s="6" t="str">
        <f t="shared" si="33"/>
        <v>STEVEN DIETZ</v>
      </c>
      <c r="E755" t="s">
        <v>307</v>
      </c>
      <c r="F755">
        <v>8307933</v>
      </c>
      <c r="G755" t="s">
        <v>1098</v>
      </c>
      <c r="H755" t="s">
        <v>56</v>
      </c>
      <c r="I755" s="1">
        <v>44829</v>
      </c>
      <c r="J755" s="1">
        <v>45955</v>
      </c>
      <c r="K755" s="2">
        <v>42.47</v>
      </c>
      <c r="L755">
        <f t="shared" si="34"/>
        <v>37</v>
      </c>
      <c r="M755" t="s">
        <v>59</v>
      </c>
      <c r="N755" t="s">
        <v>1148</v>
      </c>
      <c r="O755" s="4">
        <v>0.06</v>
      </c>
      <c r="P755" s="16">
        <f t="shared" si="35"/>
        <v>2.5482</v>
      </c>
      <c r="Q755" s="2">
        <v>0</v>
      </c>
      <c r="R755" s="2">
        <v>2.5499999999999998</v>
      </c>
      <c r="S755" s="2">
        <v>2.5499999999999998</v>
      </c>
      <c r="T755" t="s">
        <v>307</v>
      </c>
    </row>
    <row r="756" spans="1:53" x14ac:dyDescent="0.25">
      <c r="A756" s="6">
        <v>2030519283</v>
      </c>
      <c r="B756" s="6" t="s">
        <v>694</v>
      </c>
      <c r="C756" s="6" t="s">
        <v>109</v>
      </c>
      <c r="D756" s="6" t="str">
        <f t="shared" si="33"/>
        <v>GREGORY BIBA</v>
      </c>
      <c r="E756" s="6" t="s">
        <v>442</v>
      </c>
      <c r="F756" s="6">
        <v>7470776</v>
      </c>
      <c r="G756" s="6" t="s">
        <v>1093</v>
      </c>
      <c r="H756" s="6" t="s">
        <v>56</v>
      </c>
      <c r="I756" s="5">
        <v>45885</v>
      </c>
      <c r="J756" s="5">
        <v>45946</v>
      </c>
      <c r="K756" s="7">
        <v>242.88</v>
      </c>
      <c r="L756" s="6">
        <f t="shared" si="34"/>
        <v>2</v>
      </c>
      <c r="M756" s="6" t="s">
        <v>59</v>
      </c>
      <c r="N756" s="6" t="s">
        <v>1145</v>
      </c>
      <c r="O756" s="9">
        <v>0.9</v>
      </c>
      <c r="P756" s="16">
        <f t="shared" si="35"/>
        <v>218.59200000000001</v>
      </c>
      <c r="Q756" s="7">
        <v>218.59</v>
      </c>
      <c r="R756" s="7">
        <v>0</v>
      </c>
      <c r="S756" s="7">
        <v>0</v>
      </c>
      <c r="T756" s="6" t="s">
        <v>442</v>
      </c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</row>
    <row r="757" spans="1:53" x14ac:dyDescent="0.25">
      <c r="A757" s="6">
        <v>2030380188</v>
      </c>
      <c r="B757" s="6" t="s">
        <v>718</v>
      </c>
      <c r="C757" s="6" t="s">
        <v>717</v>
      </c>
      <c r="D757" s="6" t="str">
        <f t="shared" si="33"/>
        <v>DELNO CORNISH</v>
      </c>
      <c r="E757" s="6" t="s">
        <v>442</v>
      </c>
      <c r="F757" s="6">
        <v>371819</v>
      </c>
      <c r="G757" s="6" t="s">
        <v>1085</v>
      </c>
      <c r="H757" s="6" t="s">
        <v>56</v>
      </c>
      <c r="I757" s="5">
        <v>45884</v>
      </c>
      <c r="J757" s="5">
        <v>45945</v>
      </c>
      <c r="K757" s="7">
        <v>35.85</v>
      </c>
      <c r="L757" s="6">
        <f t="shared" si="34"/>
        <v>2</v>
      </c>
      <c r="M757" s="6" t="s">
        <v>59</v>
      </c>
      <c r="N757" s="6" t="s">
        <v>1145</v>
      </c>
      <c r="O757" s="9">
        <v>0.9</v>
      </c>
      <c r="P757" s="16">
        <f t="shared" si="35"/>
        <v>32.265000000000001</v>
      </c>
      <c r="Q757" s="7">
        <v>32.26</v>
      </c>
      <c r="R757" s="7">
        <v>0</v>
      </c>
      <c r="S757" s="7">
        <v>0</v>
      </c>
      <c r="T757" s="6" t="s">
        <v>442</v>
      </c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</row>
    <row r="758" spans="1:53" x14ac:dyDescent="0.25">
      <c r="A758" s="6">
        <v>2030461447</v>
      </c>
      <c r="B758" s="6" t="s">
        <v>398</v>
      </c>
      <c r="C758" s="6" t="s">
        <v>399</v>
      </c>
      <c r="D758" s="6" t="str">
        <f t="shared" si="33"/>
        <v>MELTON JASON</v>
      </c>
      <c r="E758" s="6" t="s">
        <v>442</v>
      </c>
      <c r="F758" s="6">
        <v>371819</v>
      </c>
      <c r="G758" s="6" t="s">
        <v>1085</v>
      </c>
      <c r="H758" s="6" t="s">
        <v>56</v>
      </c>
      <c r="I758" s="5">
        <v>45892</v>
      </c>
      <c r="J758" s="5">
        <v>45953</v>
      </c>
      <c r="K758" s="7">
        <v>51.25</v>
      </c>
      <c r="L758" s="6">
        <f t="shared" si="34"/>
        <v>2</v>
      </c>
      <c r="M758" s="6" t="s">
        <v>59</v>
      </c>
      <c r="N758" s="6" t="s">
        <v>1145</v>
      </c>
      <c r="O758" s="9">
        <v>0.9</v>
      </c>
      <c r="P758" s="16">
        <f t="shared" si="35"/>
        <v>46.125</v>
      </c>
      <c r="Q758" s="7">
        <v>46.12</v>
      </c>
      <c r="R758" s="7">
        <v>0</v>
      </c>
      <c r="S758" s="7">
        <v>0</v>
      </c>
      <c r="T758" s="6" t="s">
        <v>442</v>
      </c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</row>
    <row r="759" spans="1:53" x14ac:dyDescent="0.25">
      <c r="A759" s="6">
        <v>2030359371</v>
      </c>
      <c r="B759" s="6" t="s">
        <v>542</v>
      </c>
      <c r="C759" s="6" t="s">
        <v>543</v>
      </c>
      <c r="D759" s="6" t="str">
        <f t="shared" si="33"/>
        <v>PLAINFEATHER LUJUANA</v>
      </c>
      <c r="E759" s="6" t="s">
        <v>442</v>
      </c>
      <c r="F759" s="6">
        <v>371819</v>
      </c>
      <c r="G759" s="6" t="s">
        <v>1085</v>
      </c>
      <c r="H759" s="6" t="s">
        <v>56</v>
      </c>
      <c r="I759" s="5">
        <v>45879</v>
      </c>
      <c r="J759" s="5">
        <v>45940</v>
      </c>
      <c r="K759" s="7">
        <v>37.42</v>
      </c>
      <c r="L759" s="6">
        <f t="shared" si="34"/>
        <v>2</v>
      </c>
      <c r="M759" s="6" t="s">
        <v>59</v>
      </c>
      <c r="N759" s="6" t="s">
        <v>1145</v>
      </c>
      <c r="O759" s="9">
        <v>0.9</v>
      </c>
      <c r="P759" s="16">
        <f t="shared" si="35"/>
        <v>33.678000000000004</v>
      </c>
      <c r="Q759" s="7">
        <v>33.68</v>
      </c>
      <c r="R759" s="7">
        <v>0</v>
      </c>
      <c r="S759" s="7">
        <v>0</v>
      </c>
      <c r="T759" s="6" t="s">
        <v>442</v>
      </c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</row>
    <row r="760" spans="1:53" x14ac:dyDescent="0.25">
      <c r="A760" s="6">
        <v>2030503343</v>
      </c>
      <c r="B760" s="6" t="s">
        <v>696</v>
      </c>
      <c r="C760" s="6" t="s">
        <v>351</v>
      </c>
      <c r="D760" s="6" t="str">
        <f t="shared" si="33"/>
        <v>JOSHUA ROSE</v>
      </c>
      <c r="E760" s="6" t="s">
        <v>442</v>
      </c>
      <c r="F760" s="6">
        <v>21436172</v>
      </c>
      <c r="G760" s="6" t="s">
        <v>1126</v>
      </c>
      <c r="H760" s="6" t="s">
        <v>56</v>
      </c>
      <c r="I760" s="5">
        <v>45884</v>
      </c>
      <c r="J760" s="5">
        <v>45945</v>
      </c>
      <c r="K760" s="7">
        <v>41.88</v>
      </c>
      <c r="L760" s="6">
        <f t="shared" si="34"/>
        <v>2</v>
      </c>
      <c r="M760" s="6" t="s">
        <v>59</v>
      </c>
      <c r="N760" s="6" t="s">
        <v>1145</v>
      </c>
      <c r="O760" s="9">
        <v>0.9</v>
      </c>
      <c r="P760" s="16">
        <f t="shared" si="35"/>
        <v>37.692</v>
      </c>
      <c r="Q760" s="7">
        <v>37.69</v>
      </c>
      <c r="R760" s="7">
        <v>0</v>
      </c>
      <c r="S760" s="7">
        <v>0</v>
      </c>
      <c r="T760" s="6" t="s">
        <v>442</v>
      </c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</row>
    <row r="761" spans="1:53" x14ac:dyDescent="0.25">
      <c r="A761" s="6">
        <v>2030455583</v>
      </c>
      <c r="B761" s="6" t="s">
        <v>710</v>
      </c>
      <c r="C761" s="6" t="s">
        <v>398</v>
      </c>
      <c r="D761" s="6" t="str">
        <f t="shared" si="33"/>
        <v>JASON TROUT</v>
      </c>
      <c r="E761" s="6" t="s">
        <v>442</v>
      </c>
      <c r="F761" s="6">
        <v>16865615</v>
      </c>
      <c r="G761" s="6" t="s">
        <v>1107</v>
      </c>
      <c r="H761" s="6" t="s">
        <v>56</v>
      </c>
      <c r="I761" s="5">
        <v>45882</v>
      </c>
      <c r="J761" s="5">
        <v>45943</v>
      </c>
      <c r="K761" s="7">
        <v>52.92</v>
      </c>
      <c r="L761" s="6">
        <f t="shared" si="34"/>
        <v>2</v>
      </c>
      <c r="M761" s="6" t="s">
        <v>59</v>
      </c>
      <c r="N761" s="6" t="s">
        <v>1145</v>
      </c>
      <c r="O761" s="9">
        <v>0.9</v>
      </c>
      <c r="P761" s="16">
        <f t="shared" si="35"/>
        <v>47.628</v>
      </c>
      <c r="Q761" s="7">
        <v>47.63</v>
      </c>
      <c r="R761" s="7">
        <v>0</v>
      </c>
      <c r="S761" s="7">
        <v>0</v>
      </c>
      <c r="T761" s="6" t="s">
        <v>442</v>
      </c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</row>
    <row r="762" spans="1:53" x14ac:dyDescent="0.25">
      <c r="A762" s="6">
        <v>2030117415</v>
      </c>
      <c r="B762" s="6" t="s">
        <v>394</v>
      </c>
      <c r="C762" s="6" t="s">
        <v>395</v>
      </c>
      <c r="D762" s="6" t="str">
        <f t="shared" si="33"/>
        <v>THORNTON DAWN</v>
      </c>
      <c r="E762" s="6" t="s">
        <v>442</v>
      </c>
      <c r="F762" s="6">
        <v>371819</v>
      </c>
      <c r="G762" s="6" t="s">
        <v>1085</v>
      </c>
      <c r="H762" s="6" t="s">
        <v>56</v>
      </c>
      <c r="I762" s="5">
        <v>45863</v>
      </c>
      <c r="J762" s="5">
        <v>45955</v>
      </c>
      <c r="K762" s="7">
        <v>69.08</v>
      </c>
      <c r="L762" s="6">
        <f t="shared" si="34"/>
        <v>3</v>
      </c>
      <c r="M762" s="6" t="s">
        <v>59</v>
      </c>
      <c r="N762" s="6" t="s">
        <v>1145</v>
      </c>
      <c r="O762" s="9">
        <v>0.9</v>
      </c>
      <c r="P762" s="16">
        <f t="shared" si="35"/>
        <v>62.171999999999997</v>
      </c>
      <c r="Q762" s="7">
        <v>62.17</v>
      </c>
      <c r="R762" s="7">
        <v>0</v>
      </c>
      <c r="S762" s="7">
        <v>0</v>
      </c>
      <c r="T762" s="6" t="s">
        <v>442</v>
      </c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</row>
    <row r="763" spans="1:53" x14ac:dyDescent="0.25">
      <c r="A763" s="6">
        <v>2029488849</v>
      </c>
      <c r="B763" s="6" t="s">
        <v>929</v>
      </c>
      <c r="C763" s="6" t="s">
        <v>928</v>
      </c>
      <c r="D763" s="6" t="str">
        <f t="shared" si="33"/>
        <v>OYUNTSETSEG GANBOLD</v>
      </c>
      <c r="E763" s="6" t="s">
        <v>442</v>
      </c>
      <c r="F763" s="6">
        <v>20220688</v>
      </c>
      <c r="G763" s="6" t="s">
        <v>1087</v>
      </c>
      <c r="H763" s="6" t="s">
        <v>56</v>
      </c>
      <c r="I763" s="5">
        <v>45825</v>
      </c>
      <c r="J763" s="5">
        <v>45947</v>
      </c>
      <c r="K763" s="7">
        <v>21.6</v>
      </c>
      <c r="L763" s="6">
        <f t="shared" si="34"/>
        <v>4</v>
      </c>
      <c r="M763" s="6" t="s">
        <v>59</v>
      </c>
      <c r="N763" s="6" t="s">
        <v>1145</v>
      </c>
      <c r="O763" s="9">
        <v>0.9</v>
      </c>
      <c r="P763" s="16">
        <f t="shared" si="35"/>
        <v>19.440000000000001</v>
      </c>
      <c r="Q763" s="7">
        <v>19.440000000000001</v>
      </c>
      <c r="R763" s="7">
        <v>0</v>
      </c>
      <c r="S763" s="7">
        <v>0</v>
      </c>
      <c r="T763" s="6" t="s">
        <v>442</v>
      </c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</row>
    <row r="764" spans="1:53" x14ac:dyDescent="0.25">
      <c r="A764" s="6">
        <v>2029647651</v>
      </c>
      <c r="B764" s="6" t="s">
        <v>522</v>
      </c>
      <c r="C764" s="6" t="s">
        <v>523</v>
      </c>
      <c r="D764" s="6" t="str">
        <f t="shared" si="33"/>
        <v>ERDENE TERGUUNBAYAR</v>
      </c>
      <c r="E764" s="6" t="s">
        <v>442</v>
      </c>
      <c r="F764" s="6">
        <v>20220688</v>
      </c>
      <c r="G764" s="6" t="s">
        <v>1087</v>
      </c>
      <c r="H764" s="6" t="s">
        <v>56</v>
      </c>
      <c r="I764" s="5">
        <v>45834</v>
      </c>
      <c r="J764" s="5">
        <v>45956</v>
      </c>
      <c r="K764" s="7">
        <v>17.62</v>
      </c>
      <c r="L764" s="6">
        <f t="shared" si="34"/>
        <v>4</v>
      </c>
      <c r="M764" s="6" t="s">
        <v>59</v>
      </c>
      <c r="N764" s="6" t="s">
        <v>1145</v>
      </c>
      <c r="O764" s="9">
        <v>0.9</v>
      </c>
      <c r="P764" s="16">
        <f t="shared" si="35"/>
        <v>15.858000000000001</v>
      </c>
      <c r="Q764" s="7">
        <v>15.86</v>
      </c>
      <c r="R764" s="7">
        <v>0</v>
      </c>
      <c r="S764" s="7">
        <v>0</v>
      </c>
      <c r="T764" s="6" t="s">
        <v>442</v>
      </c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</row>
    <row r="765" spans="1:53" x14ac:dyDescent="0.25">
      <c r="A765" s="6">
        <v>2028890708</v>
      </c>
      <c r="B765" s="6" t="s">
        <v>966</v>
      </c>
      <c r="C765" s="6" t="s">
        <v>965</v>
      </c>
      <c r="D765" s="6" t="str">
        <f t="shared" si="33"/>
        <v>ERDENECHIMEG BAASANJAV</v>
      </c>
      <c r="E765" s="6" t="s">
        <v>442</v>
      </c>
      <c r="F765" s="6">
        <v>20220688</v>
      </c>
      <c r="G765" s="6" t="s">
        <v>1087</v>
      </c>
      <c r="H765" s="6" t="s">
        <v>56</v>
      </c>
      <c r="I765" s="5">
        <v>45790</v>
      </c>
      <c r="J765" s="5">
        <v>45943</v>
      </c>
      <c r="K765" s="7">
        <v>23.05</v>
      </c>
      <c r="L765" s="6">
        <f t="shared" si="34"/>
        <v>5</v>
      </c>
      <c r="M765" s="6" t="s">
        <v>59</v>
      </c>
      <c r="N765" s="6" t="s">
        <v>1145</v>
      </c>
      <c r="O765" s="9">
        <v>0.9</v>
      </c>
      <c r="P765" s="16">
        <f t="shared" si="35"/>
        <v>20.745000000000001</v>
      </c>
      <c r="Q765" s="7">
        <v>0</v>
      </c>
      <c r="R765" s="7">
        <v>20.74</v>
      </c>
      <c r="S765" s="7">
        <v>20.74</v>
      </c>
      <c r="T765" s="6" t="s">
        <v>442</v>
      </c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</row>
    <row r="766" spans="1:53" x14ac:dyDescent="0.25">
      <c r="A766" s="6">
        <v>2028784372</v>
      </c>
      <c r="B766" s="6" t="s">
        <v>858</v>
      </c>
      <c r="C766" s="6" t="s">
        <v>857</v>
      </c>
      <c r="D766" s="6" t="str">
        <f t="shared" si="33"/>
        <v>JAMIE HAMBRICK</v>
      </c>
      <c r="E766" s="6" t="s">
        <v>442</v>
      </c>
      <c r="F766" s="6">
        <v>7146581</v>
      </c>
      <c r="G766" s="6" t="s">
        <v>1110</v>
      </c>
      <c r="H766" s="6" t="s">
        <v>56</v>
      </c>
      <c r="I766" s="5">
        <v>45792</v>
      </c>
      <c r="J766" s="5">
        <v>45945</v>
      </c>
      <c r="K766" s="7">
        <v>9.5299999999999994</v>
      </c>
      <c r="L766" s="6">
        <f t="shared" si="34"/>
        <v>5</v>
      </c>
      <c r="M766" s="6" t="s">
        <v>59</v>
      </c>
      <c r="N766" s="6" t="s">
        <v>1145</v>
      </c>
      <c r="O766" s="9">
        <v>0.9</v>
      </c>
      <c r="P766" s="16">
        <f t="shared" si="35"/>
        <v>8.577</v>
      </c>
      <c r="Q766" s="7">
        <v>0</v>
      </c>
      <c r="R766" s="7">
        <v>8.58</v>
      </c>
      <c r="S766" s="7">
        <v>8.58</v>
      </c>
      <c r="T766" s="6" t="s">
        <v>442</v>
      </c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</row>
    <row r="767" spans="1:53" x14ac:dyDescent="0.25">
      <c r="A767" s="6">
        <v>2029101373</v>
      </c>
      <c r="B767" s="6" t="s">
        <v>189</v>
      </c>
      <c r="C767" s="6" t="s">
        <v>190</v>
      </c>
      <c r="D767" s="6" t="str">
        <f t="shared" si="33"/>
        <v>JEREMY HIGDON</v>
      </c>
      <c r="E767" s="6" t="s">
        <v>442</v>
      </c>
      <c r="F767" s="6">
        <v>371819</v>
      </c>
      <c r="G767" s="6" t="s">
        <v>1085</v>
      </c>
      <c r="H767" s="6" t="s">
        <v>56</v>
      </c>
      <c r="I767" s="5">
        <v>45801</v>
      </c>
      <c r="J767" s="5">
        <v>45954</v>
      </c>
      <c r="K767" s="7">
        <v>33.75</v>
      </c>
      <c r="L767" s="6">
        <f t="shared" si="34"/>
        <v>5</v>
      </c>
      <c r="M767" s="6" t="s">
        <v>59</v>
      </c>
      <c r="N767" s="6" t="s">
        <v>1145</v>
      </c>
      <c r="O767" s="9">
        <v>0.9</v>
      </c>
      <c r="P767" s="16">
        <f t="shared" si="35"/>
        <v>30.375</v>
      </c>
      <c r="Q767" s="7">
        <v>30.38</v>
      </c>
      <c r="R767" s="7">
        <v>0</v>
      </c>
      <c r="S767" s="7">
        <v>0</v>
      </c>
      <c r="T767" s="6" t="s">
        <v>442</v>
      </c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</row>
    <row r="768" spans="1:53" x14ac:dyDescent="0.25">
      <c r="A768" s="6">
        <v>2029031002</v>
      </c>
      <c r="B768" s="6" t="s">
        <v>503</v>
      </c>
      <c r="C768" s="6" t="s">
        <v>504</v>
      </c>
      <c r="D768" s="6" t="str">
        <f t="shared" si="33"/>
        <v>ERBOLD MUNKHBAYAR</v>
      </c>
      <c r="E768" s="6" t="s">
        <v>442</v>
      </c>
      <c r="F768" s="6">
        <v>20220688</v>
      </c>
      <c r="G768" s="6" t="s">
        <v>1087</v>
      </c>
      <c r="H768" s="6" t="s">
        <v>56</v>
      </c>
      <c r="I768" s="5">
        <v>45798</v>
      </c>
      <c r="J768" s="5">
        <v>45951</v>
      </c>
      <c r="K768" s="7">
        <v>16.670000000000002</v>
      </c>
      <c r="L768" s="6">
        <f t="shared" si="34"/>
        <v>5</v>
      </c>
      <c r="M768" s="6" t="s">
        <v>59</v>
      </c>
      <c r="N768" s="6" t="s">
        <v>1145</v>
      </c>
      <c r="O768" s="9">
        <v>0.9</v>
      </c>
      <c r="P768" s="16">
        <f t="shared" si="35"/>
        <v>15.003000000000002</v>
      </c>
      <c r="Q768" s="7">
        <v>15</v>
      </c>
      <c r="R768" s="7">
        <v>0</v>
      </c>
      <c r="S768" s="7">
        <v>0</v>
      </c>
      <c r="T768" s="6" t="s">
        <v>442</v>
      </c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</row>
    <row r="769" spans="1:53" x14ac:dyDescent="0.25">
      <c r="A769" s="6">
        <v>2028993380</v>
      </c>
      <c r="B769" s="6" t="s">
        <v>503</v>
      </c>
      <c r="C769" s="6" t="s">
        <v>945</v>
      </c>
      <c r="D769" s="6" t="str">
        <f t="shared" si="33"/>
        <v>JARGALSAIKHAN MUNKHBAYAR</v>
      </c>
      <c r="E769" s="6" t="s">
        <v>442</v>
      </c>
      <c r="F769" s="6">
        <v>20220688</v>
      </c>
      <c r="G769" s="6" t="s">
        <v>1087</v>
      </c>
      <c r="H769" s="6" t="s">
        <v>56</v>
      </c>
      <c r="I769" s="5">
        <v>45795</v>
      </c>
      <c r="J769" s="5">
        <v>45948</v>
      </c>
      <c r="K769" s="7">
        <v>33.93</v>
      </c>
      <c r="L769" s="6">
        <f t="shared" si="34"/>
        <v>5</v>
      </c>
      <c r="M769" s="6" t="s">
        <v>59</v>
      </c>
      <c r="N769" s="6" t="s">
        <v>1145</v>
      </c>
      <c r="O769" s="9">
        <v>0.9</v>
      </c>
      <c r="P769" s="16">
        <f t="shared" si="35"/>
        <v>30.536999999999999</v>
      </c>
      <c r="Q769" s="7">
        <v>0</v>
      </c>
      <c r="R769" s="7">
        <v>30.54</v>
      </c>
      <c r="S769" s="7">
        <v>30.54</v>
      </c>
      <c r="T769" s="6" t="s">
        <v>442</v>
      </c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</row>
    <row r="770" spans="1:53" x14ac:dyDescent="0.25">
      <c r="A770" s="6">
        <v>2029039458</v>
      </c>
      <c r="B770" s="6" t="s">
        <v>505</v>
      </c>
      <c r="C770" s="6" t="s">
        <v>506</v>
      </c>
      <c r="D770" s="6" t="str">
        <f t="shared" ref="D770:D833" si="36">CONCATENATE(C770, " ",B770)</f>
        <v>JENNY RIOS</v>
      </c>
      <c r="E770" s="6" t="s">
        <v>442</v>
      </c>
      <c r="F770" s="6">
        <v>371819</v>
      </c>
      <c r="G770" s="6" t="s">
        <v>1085</v>
      </c>
      <c r="H770" s="6" t="s">
        <v>56</v>
      </c>
      <c r="I770" s="5">
        <v>45798</v>
      </c>
      <c r="J770" s="5">
        <v>45951</v>
      </c>
      <c r="K770" s="7">
        <v>48</v>
      </c>
      <c r="L770" s="6">
        <f t="shared" ref="L770:L833" si="37">DATEDIF(I770,J770,"M")</f>
        <v>5</v>
      </c>
      <c r="M770" s="6" t="s">
        <v>59</v>
      </c>
      <c r="N770" s="6" t="s">
        <v>1145</v>
      </c>
      <c r="O770" s="9">
        <v>0.9</v>
      </c>
      <c r="P770" s="16">
        <f t="shared" ref="P770:P833" si="38">K770*O770</f>
        <v>43.2</v>
      </c>
      <c r="Q770" s="7">
        <v>43.2</v>
      </c>
      <c r="R770" s="7">
        <v>0</v>
      </c>
      <c r="S770" s="7">
        <v>0</v>
      </c>
      <c r="T770" s="6" t="s">
        <v>442</v>
      </c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</row>
    <row r="771" spans="1:53" x14ac:dyDescent="0.25">
      <c r="A771" s="6">
        <v>2029062371</v>
      </c>
      <c r="B771" s="6" t="s">
        <v>384</v>
      </c>
      <c r="C771" s="6" t="s">
        <v>385</v>
      </c>
      <c r="D771" s="6" t="str">
        <f t="shared" si="36"/>
        <v>VANESSA SALAZAR</v>
      </c>
      <c r="E771" s="6" t="s">
        <v>442</v>
      </c>
      <c r="F771" s="6">
        <v>371819</v>
      </c>
      <c r="G771" s="6" t="s">
        <v>1085</v>
      </c>
      <c r="H771" s="6" t="s">
        <v>56</v>
      </c>
      <c r="I771" s="5">
        <v>45800</v>
      </c>
      <c r="J771" s="5">
        <v>45953</v>
      </c>
      <c r="K771" s="7">
        <v>28.83</v>
      </c>
      <c r="L771" s="6">
        <f t="shared" si="37"/>
        <v>5</v>
      </c>
      <c r="M771" s="6" t="s">
        <v>59</v>
      </c>
      <c r="N771" s="6" t="s">
        <v>1145</v>
      </c>
      <c r="O771" s="9">
        <v>0.9</v>
      </c>
      <c r="P771" s="16">
        <f t="shared" si="38"/>
        <v>25.946999999999999</v>
      </c>
      <c r="Q771" s="7">
        <v>0</v>
      </c>
      <c r="R771" s="7">
        <v>25.95</v>
      </c>
      <c r="S771" s="7">
        <v>25.95</v>
      </c>
      <c r="T771" s="6" t="s">
        <v>442</v>
      </c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</row>
    <row r="772" spans="1:53" x14ac:dyDescent="0.25">
      <c r="A772" s="6">
        <v>2029026298</v>
      </c>
      <c r="B772" s="6" t="s">
        <v>378</v>
      </c>
      <c r="C772" s="6" t="s">
        <v>379</v>
      </c>
      <c r="D772" s="6" t="str">
        <f t="shared" si="36"/>
        <v>KRISTINA SMITH</v>
      </c>
      <c r="E772" s="6" t="s">
        <v>442</v>
      </c>
      <c r="F772" s="6">
        <v>371819</v>
      </c>
      <c r="G772" s="6" t="s">
        <v>1085</v>
      </c>
      <c r="H772" s="6" t="s">
        <v>56</v>
      </c>
      <c r="I772" s="5">
        <v>45798</v>
      </c>
      <c r="J772" s="5">
        <v>45951</v>
      </c>
      <c r="K772" s="7">
        <v>44.13</v>
      </c>
      <c r="L772" s="6">
        <f t="shared" si="37"/>
        <v>5</v>
      </c>
      <c r="M772" s="6" t="s">
        <v>59</v>
      </c>
      <c r="N772" s="6" t="s">
        <v>1145</v>
      </c>
      <c r="O772" s="9">
        <v>0.9</v>
      </c>
      <c r="P772" s="16">
        <f t="shared" si="38"/>
        <v>39.717000000000006</v>
      </c>
      <c r="Q772" s="7">
        <v>39.72</v>
      </c>
      <c r="R772" s="7">
        <v>0</v>
      </c>
      <c r="S772" s="7">
        <v>0</v>
      </c>
      <c r="T772" s="6" t="s">
        <v>442</v>
      </c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</row>
    <row r="773" spans="1:53" x14ac:dyDescent="0.25">
      <c r="A773" s="6">
        <v>2028919768</v>
      </c>
      <c r="B773" s="6" t="s">
        <v>963</v>
      </c>
      <c r="C773" s="6" t="s">
        <v>962</v>
      </c>
      <c r="D773" s="6" t="str">
        <f t="shared" si="36"/>
        <v>GERELTUYA TUMURKHUYAG</v>
      </c>
      <c r="E773" s="6" t="s">
        <v>442</v>
      </c>
      <c r="F773" s="6">
        <v>20220688</v>
      </c>
      <c r="G773" s="6" t="s">
        <v>1087</v>
      </c>
      <c r="H773" s="6" t="s">
        <v>56</v>
      </c>
      <c r="I773" s="5">
        <v>45791</v>
      </c>
      <c r="J773" s="5">
        <v>45944</v>
      </c>
      <c r="K773" s="7">
        <v>17.38</v>
      </c>
      <c r="L773" s="6">
        <f t="shared" si="37"/>
        <v>5</v>
      </c>
      <c r="M773" s="6" t="s">
        <v>59</v>
      </c>
      <c r="N773" s="6" t="s">
        <v>1145</v>
      </c>
      <c r="O773" s="9">
        <v>0.9</v>
      </c>
      <c r="P773" s="16">
        <f t="shared" si="38"/>
        <v>15.641999999999999</v>
      </c>
      <c r="Q773" s="7">
        <v>0</v>
      </c>
      <c r="R773" s="7">
        <v>15.64</v>
      </c>
      <c r="S773" s="7">
        <v>15.64</v>
      </c>
      <c r="T773" s="6" t="s">
        <v>442</v>
      </c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</row>
    <row r="774" spans="1:53" x14ac:dyDescent="0.25">
      <c r="A774" s="6">
        <v>2028135306</v>
      </c>
      <c r="B774" s="6" t="s">
        <v>153</v>
      </c>
      <c r="C774" s="6" t="s">
        <v>830</v>
      </c>
      <c r="D774" s="6" t="str">
        <f t="shared" si="36"/>
        <v>STEPHEN RYAN</v>
      </c>
      <c r="E774" s="6" t="s">
        <v>442</v>
      </c>
      <c r="F774" s="6">
        <v>371819</v>
      </c>
      <c r="G774" s="6" t="s">
        <v>1085</v>
      </c>
      <c r="H774" s="6" t="s">
        <v>56</v>
      </c>
      <c r="I774" s="5">
        <v>45748</v>
      </c>
      <c r="J774" s="5">
        <v>45931</v>
      </c>
      <c r="K774" s="7">
        <v>43.81</v>
      </c>
      <c r="L774" s="6">
        <f t="shared" si="37"/>
        <v>6</v>
      </c>
      <c r="M774" s="6" t="s">
        <v>59</v>
      </c>
      <c r="N774" s="6" t="s">
        <v>1145</v>
      </c>
      <c r="O774" s="9">
        <v>0.9</v>
      </c>
      <c r="P774" s="16">
        <f t="shared" si="38"/>
        <v>39.429000000000002</v>
      </c>
      <c r="Q774" s="7">
        <v>0</v>
      </c>
      <c r="R774" s="7">
        <v>39.43</v>
      </c>
      <c r="S774" s="7">
        <v>39.43</v>
      </c>
      <c r="T774" s="6" t="s">
        <v>442</v>
      </c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</row>
    <row r="775" spans="1:53" x14ac:dyDescent="0.25">
      <c r="A775" s="6">
        <v>2028498801</v>
      </c>
      <c r="B775" s="6" t="s">
        <v>178</v>
      </c>
      <c r="C775" s="6" t="s">
        <v>179</v>
      </c>
      <c r="D775" s="6" t="str">
        <f t="shared" si="36"/>
        <v>TIMOTHY VAWTER</v>
      </c>
      <c r="E775" s="6" t="s">
        <v>442</v>
      </c>
      <c r="F775" s="6">
        <v>16633294</v>
      </c>
      <c r="G775" s="6" t="s">
        <v>1079</v>
      </c>
      <c r="H775" s="6" t="s">
        <v>56</v>
      </c>
      <c r="I775" s="5">
        <v>45772</v>
      </c>
      <c r="J775" s="5">
        <v>45955</v>
      </c>
      <c r="K775" s="7">
        <v>56.75</v>
      </c>
      <c r="L775" s="6">
        <f t="shared" si="37"/>
        <v>6</v>
      </c>
      <c r="M775" s="6" t="s">
        <v>59</v>
      </c>
      <c r="N775" s="6" t="s">
        <v>1145</v>
      </c>
      <c r="O775" s="9">
        <v>0.9</v>
      </c>
      <c r="P775" s="16">
        <f t="shared" si="38"/>
        <v>51.075000000000003</v>
      </c>
      <c r="Q775" s="7">
        <v>0</v>
      </c>
      <c r="R775" s="7">
        <v>51.08</v>
      </c>
      <c r="S775" s="7">
        <v>51.08</v>
      </c>
      <c r="T775" s="6" t="s">
        <v>442</v>
      </c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</row>
    <row r="776" spans="1:53" x14ac:dyDescent="0.25">
      <c r="A776" s="6">
        <v>2027904551</v>
      </c>
      <c r="B776" s="6" t="s">
        <v>484</v>
      </c>
      <c r="C776" s="6" t="s">
        <v>485</v>
      </c>
      <c r="D776" s="6" t="str">
        <f t="shared" si="36"/>
        <v>PAMELA DEATON</v>
      </c>
      <c r="E776" s="6" t="s">
        <v>442</v>
      </c>
      <c r="F776" s="6">
        <v>8244481</v>
      </c>
      <c r="G776" s="6" t="s">
        <v>1124</v>
      </c>
      <c r="H776" s="6" t="s">
        <v>56</v>
      </c>
      <c r="I776" s="5">
        <v>45741</v>
      </c>
      <c r="J776" s="5">
        <v>45955</v>
      </c>
      <c r="K776" s="7">
        <v>46.42</v>
      </c>
      <c r="L776" s="6">
        <f t="shared" si="37"/>
        <v>7</v>
      </c>
      <c r="M776" s="6" t="s">
        <v>59</v>
      </c>
      <c r="N776" s="6" t="s">
        <v>1148</v>
      </c>
      <c r="O776" s="9">
        <v>0.9</v>
      </c>
      <c r="P776" s="16">
        <f t="shared" si="38"/>
        <v>41.778000000000006</v>
      </c>
      <c r="Q776" s="7">
        <v>0</v>
      </c>
      <c r="R776" s="7">
        <v>41.78</v>
      </c>
      <c r="S776" s="7">
        <v>41.78</v>
      </c>
      <c r="T776" s="6" t="s">
        <v>442</v>
      </c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</row>
    <row r="777" spans="1:53" x14ac:dyDescent="0.25">
      <c r="A777" s="6">
        <v>2027012191</v>
      </c>
      <c r="B777" s="6" t="s">
        <v>891</v>
      </c>
      <c r="C777" s="6" t="s">
        <v>890</v>
      </c>
      <c r="D777" s="6" t="str">
        <f t="shared" si="36"/>
        <v>JIMMY CAMP</v>
      </c>
      <c r="E777" s="6" t="s">
        <v>442</v>
      </c>
      <c r="F777" s="6">
        <v>371819</v>
      </c>
      <c r="G777" s="6" t="s">
        <v>1085</v>
      </c>
      <c r="H777" s="6" t="s">
        <v>56</v>
      </c>
      <c r="I777" s="5">
        <v>45696</v>
      </c>
      <c r="J777" s="5">
        <v>45938</v>
      </c>
      <c r="K777" s="7">
        <v>-50.18</v>
      </c>
      <c r="L777" s="6">
        <f t="shared" si="37"/>
        <v>8</v>
      </c>
      <c r="M777" s="6" t="s">
        <v>59</v>
      </c>
      <c r="N777" s="6" t="s">
        <v>1148</v>
      </c>
      <c r="O777" s="9">
        <v>0.9</v>
      </c>
      <c r="P777" s="16">
        <f t="shared" si="38"/>
        <v>-45.161999999999999</v>
      </c>
      <c r="Q777" s="7">
        <v>0</v>
      </c>
      <c r="R777" s="7">
        <v>-45.16</v>
      </c>
      <c r="S777" s="7">
        <v>-45.16</v>
      </c>
      <c r="T777" s="6" t="s">
        <v>442</v>
      </c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</row>
    <row r="778" spans="1:53" x14ac:dyDescent="0.25">
      <c r="A778" s="6">
        <v>2027182069</v>
      </c>
      <c r="B778" s="6" t="s">
        <v>883</v>
      </c>
      <c r="C778" s="6" t="s">
        <v>981</v>
      </c>
      <c r="D778" s="6" t="str">
        <f t="shared" si="36"/>
        <v>JESSE CARLTON</v>
      </c>
      <c r="E778" s="6" t="s">
        <v>442</v>
      </c>
      <c r="F778" s="6">
        <v>371819</v>
      </c>
      <c r="G778" s="6" t="s">
        <v>1085</v>
      </c>
      <c r="H778" s="6" t="s">
        <v>56</v>
      </c>
      <c r="I778" s="5">
        <v>45707</v>
      </c>
      <c r="J778" s="5">
        <v>45949</v>
      </c>
      <c r="K778" s="7">
        <v>42.42</v>
      </c>
      <c r="L778" s="6">
        <f t="shared" si="37"/>
        <v>8</v>
      </c>
      <c r="M778" s="6" t="s">
        <v>59</v>
      </c>
      <c r="N778" s="6" t="s">
        <v>1148</v>
      </c>
      <c r="O778" s="9">
        <v>0.9</v>
      </c>
      <c r="P778" s="16">
        <f t="shared" si="38"/>
        <v>38.178000000000004</v>
      </c>
      <c r="Q778" s="7">
        <v>0</v>
      </c>
      <c r="R778" s="7">
        <v>38.18</v>
      </c>
      <c r="S778" s="7">
        <v>38.18</v>
      </c>
      <c r="T778" s="6" t="s">
        <v>442</v>
      </c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</row>
    <row r="779" spans="1:53" x14ac:dyDescent="0.25">
      <c r="A779" s="6">
        <v>2026693770</v>
      </c>
      <c r="B779" s="6" t="s">
        <v>481</v>
      </c>
      <c r="C779" s="6" t="s">
        <v>482</v>
      </c>
      <c r="D779" s="6" t="str">
        <f t="shared" si="36"/>
        <v>HORTANCE NGANDO</v>
      </c>
      <c r="E779" s="6" t="s">
        <v>442</v>
      </c>
      <c r="F779" s="6">
        <v>371819</v>
      </c>
      <c r="G779" s="6" t="s">
        <v>1085</v>
      </c>
      <c r="H779" s="6" t="s">
        <v>56</v>
      </c>
      <c r="I779" s="5">
        <v>45679</v>
      </c>
      <c r="J779" s="5">
        <v>45952</v>
      </c>
      <c r="K779" s="7">
        <v>58.17</v>
      </c>
      <c r="L779" s="6">
        <f t="shared" si="37"/>
        <v>9</v>
      </c>
      <c r="M779" s="6" t="s">
        <v>59</v>
      </c>
      <c r="N779" s="6" t="s">
        <v>1148</v>
      </c>
      <c r="O779" s="9">
        <v>0.9</v>
      </c>
      <c r="P779" s="16">
        <f t="shared" si="38"/>
        <v>52.353000000000002</v>
      </c>
      <c r="Q779" s="7">
        <v>0</v>
      </c>
      <c r="R779" s="7">
        <v>52.35</v>
      </c>
      <c r="S779" s="7">
        <v>52.35</v>
      </c>
      <c r="T779" s="6" t="s">
        <v>442</v>
      </c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</row>
    <row r="780" spans="1:53" x14ac:dyDescent="0.25">
      <c r="A780" s="6">
        <v>2026206771</v>
      </c>
      <c r="B780" s="6" t="s">
        <v>996</v>
      </c>
      <c r="C780" s="6" t="s">
        <v>583</v>
      </c>
      <c r="D780" s="6" t="str">
        <f t="shared" si="36"/>
        <v>PAUL DUREN</v>
      </c>
      <c r="E780" s="6" t="s">
        <v>442</v>
      </c>
      <c r="F780" s="6">
        <v>371819</v>
      </c>
      <c r="G780" s="6" t="s">
        <v>1085</v>
      </c>
      <c r="H780" s="6" t="s">
        <v>56</v>
      </c>
      <c r="I780" s="5">
        <v>45645</v>
      </c>
      <c r="J780" s="5">
        <v>45949</v>
      </c>
      <c r="K780" s="7">
        <v>51.78</v>
      </c>
      <c r="L780" s="6">
        <f t="shared" si="37"/>
        <v>10</v>
      </c>
      <c r="M780" s="6" t="s">
        <v>59</v>
      </c>
      <c r="N780" s="6" t="s">
        <v>1148</v>
      </c>
      <c r="O780" s="9">
        <v>0.9</v>
      </c>
      <c r="P780" s="16">
        <f t="shared" si="38"/>
        <v>46.602000000000004</v>
      </c>
      <c r="Q780" s="7">
        <v>0</v>
      </c>
      <c r="R780" s="7">
        <v>46.6</v>
      </c>
      <c r="S780" s="7">
        <v>46.6</v>
      </c>
      <c r="T780" s="6" t="s">
        <v>442</v>
      </c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</row>
    <row r="781" spans="1:53" x14ac:dyDescent="0.25">
      <c r="A781" s="6">
        <v>2025783063</v>
      </c>
      <c r="B781" s="6" t="s">
        <v>883</v>
      </c>
      <c r="C781" s="6" t="s">
        <v>1017</v>
      </c>
      <c r="D781" s="6" t="str">
        <f t="shared" si="36"/>
        <v>TAMMY CARLTON</v>
      </c>
      <c r="E781" s="6" t="s">
        <v>442</v>
      </c>
      <c r="F781" s="6">
        <v>371819</v>
      </c>
      <c r="G781" s="6" t="s">
        <v>1085</v>
      </c>
      <c r="H781" s="6" t="s">
        <v>56</v>
      </c>
      <c r="I781" s="5">
        <v>45612</v>
      </c>
      <c r="J781" s="5">
        <v>45946</v>
      </c>
      <c r="K781" s="7">
        <v>58.17</v>
      </c>
      <c r="L781" s="6">
        <f t="shared" si="37"/>
        <v>11</v>
      </c>
      <c r="M781" s="6" t="s">
        <v>59</v>
      </c>
      <c r="N781" s="6" t="s">
        <v>1148</v>
      </c>
      <c r="O781" s="9">
        <v>0.9</v>
      </c>
      <c r="P781" s="16">
        <f t="shared" si="38"/>
        <v>52.353000000000002</v>
      </c>
      <c r="Q781" s="7">
        <v>0</v>
      </c>
      <c r="R781" s="7">
        <v>52.35</v>
      </c>
      <c r="S781" s="7">
        <v>52.35</v>
      </c>
      <c r="T781" s="6" t="s">
        <v>442</v>
      </c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</row>
    <row r="782" spans="1:53" x14ac:dyDescent="0.25">
      <c r="A782" s="6">
        <v>2025783978</v>
      </c>
      <c r="B782" s="6" t="s">
        <v>883</v>
      </c>
      <c r="C782" s="6" t="s">
        <v>882</v>
      </c>
      <c r="D782" s="6" t="str">
        <f t="shared" si="36"/>
        <v>KEGHAN CARLTON</v>
      </c>
      <c r="E782" s="6" t="s">
        <v>442</v>
      </c>
      <c r="F782" s="6">
        <v>371819</v>
      </c>
      <c r="G782" s="6" t="s">
        <v>1085</v>
      </c>
      <c r="H782" s="6" t="s">
        <v>56</v>
      </c>
      <c r="I782" s="5">
        <v>45612</v>
      </c>
      <c r="J782" s="5">
        <v>45946</v>
      </c>
      <c r="K782" s="7">
        <v>16.63</v>
      </c>
      <c r="L782" s="6">
        <f t="shared" si="37"/>
        <v>11</v>
      </c>
      <c r="M782" s="6" t="s">
        <v>59</v>
      </c>
      <c r="N782" s="6" t="s">
        <v>1148</v>
      </c>
      <c r="O782" s="9">
        <v>0.9</v>
      </c>
      <c r="P782" s="16">
        <f t="shared" si="38"/>
        <v>14.966999999999999</v>
      </c>
      <c r="Q782" s="7">
        <v>0</v>
      </c>
      <c r="R782" s="7">
        <v>14.97</v>
      </c>
      <c r="S782" s="7">
        <v>14.97</v>
      </c>
      <c r="T782" s="6" t="s">
        <v>442</v>
      </c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</row>
    <row r="783" spans="1:53" x14ac:dyDescent="0.25">
      <c r="A783" s="6">
        <v>2025254891</v>
      </c>
      <c r="B783" s="6" t="s">
        <v>1027</v>
      </c>
      <c r="C783" s="6" t="s">
        <v>1026</v>
      </c>
      <c r="D783" s="6" t="str">
        <f t="shared" si="36"/>
        <v>KRISTIN DICKINSON</v>
      </c>
      <c r="E783" s="6" t="s">
        <v>442</v>
      </c>
      <c r="F783" s="6">
        <v>371819</v>
      </c>
      <c r="G783" s="6" t="s">
        <v>1085</v>
      </c>
      <c r="H783" s="6" t="s">
        <v>56</v>
      </c>
      <c r="I783" s="5">
        <v>45576</v>
      </c>
      <c r="J783" s="5">
        <v>45941</v>
      </c>
      <c r="K783" s="7">
        <v>19.28</v>
      </c>
      <c r="L783" s="6">
        <f t="shared" si="37"/>
        <v>12</v>
      </c>
      <c r="M783" s="6" t="s">
        <v>59</v>
      </c>
      <c r="N783" s="6" t="s">
        <v>1148</v>
      </c>
      <c r="O783" s="9">
        <v>0.9</v>
      </c>
      <c r="P783" s="16">
        <f t="shared" si="38"/>
        <v>17.352</v>
      </c>
      <c r="Q783" s="7">
        <v>0</v>
      </c>
      <c r="R783" s="7">
        <v>17.350000000000001</v>
      </c>
      <c r="S783" s="7">
        <v>17.350000000000001</v>
      </c>
      <c r="T783" s="6" t="s">
        <v>442</v>
      </c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</row>
    <row r="784" spans="1:53" x14ac:dyDescent="0.25">
      <c r="A784" s="6">
        <v>2025432387</v>
      </c>
      <c r="B784" s="6" t="s">
        <v>469</v>
      </c>
      <c r="C784" s="6" t="s">
        <v>470</v>
      </c>
      <c r="D784" s="6" t="str">
        <f t="shared" si="36"/>
        <v>CHELCIE LAMB</v>
      </c>
      <c r="E784" s="6" t="s">
        <v>442</v>
      </c>
      <c r="F784" s="6">
        <v>371819</v>
      </c>
      <c r="G784" s="6" t="s">
        <v>1085</v>
      </c>
      <c r="H784" s="6" t="s">
        <v>56</v>
      </c>
      <c r="I784" s="5">
        <v>45588</v>
      </c>
      <c r="J784" s="5">
        <v>45953</v>
      </c>
      <c r="K784" s="7">
        <v>31.17</v>
      </c>
      <c r="L784" s="6">
        <f t="shared" si="37"/>
        <v>12</v>
      </c>
      <c r="M784" s="6" t="s">
        <v>59</v>
      </c>
      <c r="N784" s="6" t="s">
        <v>1148</v>
      </c>
      <c r="O784" s="9">
        <v>0.9</v>
      </c>
      <c r="P784" s="16">
        <f t="shared" si="38"/>
        <v>28.053000000000001</v>
      </c>
      <c r="Q784" s="7">
        <v>0</v>
      </c>
      <c r="R784" s="7">
        <v>28.05</v>
      </c>
      <c r="S784" s="7">
        <v>28.05</v>
      </c>
      <c r="T784" s="6" t="s">
        <v>442</v>
      </c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</row>
    <row r="785" spans="1:53" x14ac:dyDescent="0.25">
      <c r="A785" s="6">
        <v>2025324175</v>
      </c>
      <c r="B785" s="6" t="s">
        <v>156</v>
      </c>
      <c r="C785" s="6" t="s">
        <v>1023</v>
      </c>
      <c r="D785" s="6" t="str">
        <f t="shared" si="36"/>
        <v>KELLI MARTIN</v>
      </c>
      <c r="E785" s="6" t="s">
        <v>442</v>
      </c>
      <c r="F785" s="6">
        <v>371819</v>
      </c>
      <c r="G785" s="6" t="s">
        <v>1085</v>
      </c>
      <c r="H785" s="6" t="s">
        <v>56</v>
      </c>
      <c r="I785" s="5">
        <v>45584</v>
      </c>
      <c r="J785" s="5">
        <v>45949</v>
      </c>
      <c r="K785" s="7">
        <v>99.25</v>
      </c>
      <c r="L785" s="6">
        <f t="shared" si="37"/>
        <v>12</v>
      </c>
      <c r="M785" s="6" t="s">
        <v>59</v>
      </c>
      <c r="N785" s="6" t="s">
        <v>1148</v>
      </c>
      <c r="O785" s="9">
        <v>0.9</v>
      </c>
      <c r="P785" s="16">
        <f t="shared" si="38"/>
        <v>89.325000000000003</v>
      </c>
      <c r="Q785" s="7">
        <v>0</v>
      </c>
      <c r="R785" s="7">
        <v>89.32</v>
      </c>
      <c r="S785" s="7">
        <v>89.32</v>
      </c>
      <c r="T785" s="6" t="s">
        <v>442</v>
      </c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</row>
    <row r="786" spans="1:53" x14ac:dyDescent="0.25">
      <c r="A786" s="6">
        <v>2024864177</v>
      </c>
      <c r="B786" s="6" t="s">
        <v>731</v>
      </c>
      <c r="C786" s="6" t="s">
        <v>730</v>
      </c>
      <c r="D786" s="6" t="str">
        <f t="shared" si="36"/>
        <v>CHRISTA CONINO</v>
      </c>
      <c r="E786" s="6" t="s">
        <v>442</v>
      </c>
      <c r="F786" s="6">
        <v>371819</v>
      </c>
      <c r="G786" s="6" t="s">
        <v>1085</v>
      </c>
      <c r="H786" s="6" t="s">
        <v>56</v>
      </c>
      <c r="I786" s="5">
        <v>45549</v>
      </c>
      <c r="J786" s="5">
        <v>45944</v>
      </c>
      <c r="K786" s="7">
        <v>19.309999999999999</v>
      </c>
      <c r="L786" s="6">
        <f t="shared" si="37"/>
        <v>13</v>
      </c>
      <c r="M786" s="6" t="s">
        <v>59</v>
      </c>
      <c r="N786" s="6" t="s">
        <v>1148</v>
      </c>
      <c r="O786" s="9">
        <v>0.1</v>
      </c>
      <c r="P786" s="16">
        <f t="shared" si="38"/>
        <v>1.931</v>
      </c>
      <c r="Q786" s="7">
        <v>0</v>
      </c>
      <c r="R786" s="7">
        <v>1.93</v>
      </c>
      <c r="S786" s="7">
        <v>1.93</v>
      </c>
      <c r="T786" s="6" t="s">
        <v>442</v>
      </c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</row>
    <row r="787" spans="1:53" x14ac:dyDescent="0.25">
      <c r="A787" s="6">
        <v>2023973863</v>
      </c>
      <c r="B787" s="6" t="s">
        <v>460</v>
      </c>
      <c r="C787" s="6" t="s">
        <v>461</v>
      </c>
      <c r="D787" s="6" t="str">
        <f t="shared" si="36"/>
        <v>CHANG SHIN</v>
      </c>
      <c r="E787" s="6" t="s">
        <v>442</v>
      </c>
      <c r="F787" s="6">
        <v>371819</v>
      </c>
      <c r="G787" s="6" t="s">
        <v>1085</v>
      </c>
      <c r="H787" s="6" t="s">
        <v>56</v>
      </c>
      <c r="I787" s="5">
        <v>45493</v>
      </c>
      <c r="J787" s="5">
        <v>45950</v>
      </c>
      <c r="K787" s="7">
        <v>27.81</v>
      </c>
      <c r="L787" s="6">
        <f t="shared" si="37"/>
        <v>15</v>
      </c>
      <c r="M787" s="6" t="s">
        <v>59</v>
      </c>
      <c r="N787" s="6" t="s">
        <v>1148</v>
      </c>
      <c r="O787" s="9">
        <v>0.1</v>
      </c>
      <c r="P787" s="16">
        <f t="shared" si="38"/>
        <v>2.7810000000000001</v>
      </c>
      <c r="Q787" s="7">
        <v>0</v>
      </c>
      <c r="R787" s="7">
        <v>2.78</v>
      </c>
      <c r="S787" s="7">
        <v>2.78</v>
      </c>
      <c r="T787" s="6" t="s">
        <v>442</v>
      </c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</row>
    <row r="788" spans="1:53" x14ac:dyDescent="0.25">
      <c r="A788">
        <v>2030560165</v>
      </c>
      <c r="B788" t="s">
        <v>693</v>
      </c>
      <c r="C788" t="s">
        <v>692</v>
      </c>
      <c r="D788" s="6" t="str">
        <f t="shared" si="36"/>
        <v>GEORGE KNOTTS</v>
      </c>
      <c r="E788" t="s">
        <v>442</v>
      </c>
      <c r="F788">
        <v>9079571</v>
      </c>
      <c r="G788" t="s">
        <v>1092</v>
      </c>
      <c r="H788" t="s">
        <v>56</v>
      </c>
      <c r="I788" s="1">
        <v>45888</v>
      </c>
      <c r="J788" s="1">
        <v>45949</v>
      </c>
      <c r="K788" s="2">
        <v>128.69</v>
      </c>
      <c r="L788">
        <f t="shared" si="37"/>
        <v>2</v>
      </c>
      <c r="M788" t="s">
        <v>59</v>
      </c>
      <c r="N788" t="s">
        <v>1148</v>
      </c>
      <c r="O788" s="4">
        <v>0.9</v>
      </c>
      <c r="P788" s="16">
        <f t="shared" si="38"/>
        <v>115.821</v>
      </c>
      <c r="Q788" s="2">
        <v>115.82</v>
      </c>
      <c r="R788" s="2">
        <v>0</v>
      </c>
      <c r="S788" s="2">
        <v>0</v>
      </c>
      <c r="T788" t="s">
        <v>442</v>
      </c>
    </row>
    <row r="789" spans="1:53" x14ac:dyDescent="0.25">
      <c r="A789">
        <v>2030429654</v>
      </c>
      <c r="B789" t="s">
        <v>226</v>
      </c>
      <c r="C789" t="s">
        <v>227</v>
      </c>
      <c r="D789" s="6" t="str">
        <f t="shared" si="36"/>
        <v>BOOKER LINDA</v>
      </c>
      <c r="E789" t="s">
        <v>442</v>
      </c>
      <c r="F789">
        <v>8307933</v>
      </c>
      <c r="G789" t="s">
        <v>1098</v>
      </c>
      <c r="H789" t="s">
        <v>56</v>
      </c>
      <c r="I789" s="1">
        <v>45889</v>
      </c>
      <c r="J789" s="1">
        <v>45950</v>
      </c>
      <c r="K789" s="2">
        <v>51.63</v>
      </c>
      <c r="L789">
        <f t="shared" si="37"/>
        <v>2</v>
      </c>
      <c r="M789" t="s">
        <v>59</v>
      </c>
      <c r="N789" t="s">
        <v>1148</v>
      </c>
      <c r="O789" s="4">
        <v>0.9</v>
      </c>
      <c r="P789" s="16">
        <f t="shared" si="38"/>
        <v>46.467000000000006</v>
      </c>
      <c r="Q789" s="2">
        <v>46.47</v>
      </c>
      <c r="R789" s="2">
        <v>0</v>
      </c>
      <c r="S789" s="2">
        <v>0</v>
      </c>
      <c r="T789" t="s">
        <v>442</v>
      </c>
    </row>
    <row r="790" spans="1:53" x14ac:dyDescent="0.25">
      <c r="A790">
        <v>2029737100</v>
      </c>
      <c r="B790" t="s">
        <v>927</v>
      </c>
      <c r="C790" t="s">
        <v>630</v>
      </c>
      <c r="D790" s="6" t="str">
        <f t="shared" si="36"/>
        <v>CHRISTOPHER FEEMSTER</v>
      </c>
      <c r="E790" t="s">
        <v>442</v>
      </c>
      <c r="F790">
        <v>5442438</v>
      </c>
      <c r="G790" t="s">
        <v>1077</v>
      </c>
      <c r="H790" t="s">
        <v>56</v>
      </c>
      <c r="I790" s="1">
        <v>45856</v>
      </c>
      <c r="J790" s="1">
        <v>45948</v>
      </c>
      <c r="K790" s="2">
        <v>51.78</v>
      </c>
      <c r="L790">
        <f t="shared" si="37"/>
        <v>3</v>
      </c>
      <c r="M790" t="s">
        <v>59</v>
      </c>
      <c r="N790" t="s">
        <v>1148</v>
      </c>
      <c r="O790" s="4">
        <v>0.9</v>
      </c>
      <c r="P790" s="16">
        <f t="shared" si="38"/>
        <v>46.602000000000004</v>
      </c>
      <c r="Q790" s="2">
        <v>46.6</v>
      </c>
      <c r="R790" s="2">
        <v>0</v>
      </c>
      <c r="S790" s="2">
        <v>0</v>
      </c>
      <c r="T790" t="s">
        <v>442</v>
      </c>
    </row>
    <row r="791" spans="1:53" x14ac:dyDescent="0.25">
      <c r="A791">
        <v>2029174126</v>
      </c>
      <c r="B791" t="s">
        <v>942</v>
      </c>
      <c r="C791" t="s">
        <v>941</v>
      </c>
      <c r="D791" s="6" t="str">
        <f t="shared" si="36"/>
        <v>TOREY DICKSON</v>
      </c>
      <c r="E791" t="s">
        <v>442</v>
      </c>
      <c r="F791">
        <v>9079571</v>
      </c>
      <c r="G791" t="s">
        <v>1092</v>
      </c>
      <c r="H791" t="s">
        <v>56</v>
      </c>
      <c r="I791" s="1">
        <v>45809</v>
      </c>
      <c r="J791" s="1">
        <v>45962</v>
      </c>
      <c r="K791" s="2">
        <v>41.88</v>
      </c>
      <c r="L791">
        <f t="shared" si="37"/>
        <v>5</v>
      </c>
      <c r="M791" t="s">
        <v>59</v>
      </c>
      <c r="N791" t="s">
        <v>1148</v>
      </c>
      <c r="O791" s="4">
        <v>0.9</v>
      </c>
      <c r="P791" s="16">
        <f t="shared" si="38"/>
        <v>37.692</v>
      </c>
      <c r="Q791" s="2">
        <v>37.69</v>
      </c>
      <c r="R791" s="2">
        <v>0</v>
      </c>
      <c r="S791" s="2">
        <v>0</v>
      </c>
      <c r="T791" t="s">
        <v>442</v>
      </c>
    </row>
    <row r="792" spans="1:53" x14ac:dyDescent="0.25">
      <c r="A792">
        <v>2028917836</v>
      </c>
      <c r="B792" t="s">
        <v>495</v>
      </c>
      <c r="C792" t="s">
        <v>496</v>
      </c>
      <c r="D792" s="6" t="str">
        <f t="shared" si="36"/>
        <v>HERMAN EATON</v>
      </c>
      <c r="E792" t="s">
        <v>442</v>
      </c>
      <c r="F792">
        <v>5442438</v>
      </c>
      <c r="G792" t="s">
        <v>1077</v>
      </c>
      <c r="H792" t="s">
        <v>56</v>
      </c>
      <c r="I792" s="1">
        <v>45795</v>
      </c>
      <c r="J792" s="1">
        <v>45948</v>
      </c>
      <c r="K792" s="2">
        <v>-127.63</v>
      </c>
      <c r="L792">
        <f t="shared" si="37"/>
        <v>5</v>
      </c>
      <c r="M792" t="s">
        <v>59</v>
      </c>
      <c r="N792" t="s">
        <v>1148</v>
      </c>
      <c r="O792" s="4">
        <v>0.9</v>
      </c>
      <c r="P792" s="16">
        <f t="shared" si="38"/>
        <v>-114.867</v>
      </c>
      <c r="Q792" s="2">
        <v>0</v>
      </c>
      <c r="R792" s="2">
        <v>-114.87</v>
      </c>
      <c r="S792" s="2">
        <v>-114.87</v>
      </c>
      <c r="T792" t="s">
        <v>442</v>
      </c>
    </row>
    <row r="793" spans="1:53" x14ac:dyDescent="0.25">
      <c r="A793">
        <v>2028918191</v>
      </c>
      <c r="B793" t="s">
        <v>495</v>
      </c>
      <c r="C793" t="s">
        <v>497</v>
      </c>
      <c r="D793" s="6" t="str">
        <f t="shared" si="36"/>
        <v>DIANA EATON</v>
      </c>
      <c r="E793" t="s">
        <v>442</v>
      </c>
      <c r="F793">
        <v>5442438</v>
      </c>
      <c r="G793" t="s">
        <v>1077</v>
      </c>
      <c r="H793" t="s">
        <v>56</v>
      </c>
      <c r="I793" s="1">
        <v>45795</v>
      </c>
      <c r="J793" s="1">
        <v>45948</v>
      </c>
      <c r="K793" s="2">
        <v>-15.67</v>
      </c>
      <c r="L793">
        <f t="shared" si="37"/>
        <v>5</v>
      </c>
      <c r="M793" t="s">
        <v>59</v>
      </c>
      <c r="N793" t="s">
        <v>1148</v>
      </c>
      <c r="O793" s="4">
        <v>0.9</v>
      </c>
      <c r="P793" s="16">
        <f t="shared" si="38"/>
        <v>-14.103</v>
      </c>
      <c r="Q793" s="2">
        <v>0</v>
      </c>
      <c r="R793" s="2">
        <v>-14.1</v>
      </c>
      <c r="S793" s="2">
        <v>-14.1</v>
      </c>
      <c r="T793" t="s">
        <v>442</v>
      </c>
    </row>
    <row r="794" spans="1:53" x14ac:dyDescent="0.25">
      <c r="A794">
        <v>2028917836</v>
      </c>
      <c r="B794" t="s">
        <v>495</v>
      </c>
      <c r="C794" t="s">
        <v>496</v>
      </c>
      <c r="D794" s="6" t="str">
        <f t="shared" si="36"/>
        <v>HERMAN EATON</v>
      </c>
      <c r="E794" t="s">
        <v>442</v>
      </c>
      <c r="F794">
        <v>5442438</v>
      </c>
      <c r="G794" t="s">
        <v>1077</v>
      </c>
      <c r="H794" t="s">
        <v>56</v>
      </c>
      <c r="I794" s="1">
        <v>45795</v>
      </c>
      <c r="J794" s="1">
        <v>45948</v>
      </c>
      <c r="K794" s="2">
        <v>127.63</v>
      </c>
      <c r="L794">
        <f t="shared" si="37"/>
        <v>5</v>
      </c>
      <c r="M794" t="s">
        <v>59</v>
      </c>
      <c r="N794" t="s">
        <v>1148</v>
      </c>
      <c r="O794" s="4">
        <v>0.9</v>
      </c>
      <c r="P794" s="16">
        <f t="shared" si="38"/>
        <v>114.867</v>
      </c>
      <c r="Q794" s="2">
        <v>0</v>
      </c>
      <c r="R794" s="2">
        <v>114.87</v>
      </c>
      <c r="S794" s="2">
        <v>114.87</v>
      </c>
      <c r="T794" t="s">
        <v>442</v>
      </c>
    </row>
    <row r="795" spans="1:53" x14ac:dyDescent="0.25">
      <c r="A795">
        <v>2028918191</v>
      </c>
      <c r="B795" t="s">
        <v>495</v>
      </c>
      <c r="C795" t="s">
        <v>497</v>
      </c>
      <c r="D795" s="6" t="str">
        <f t="shared" si="36"/>
        <v>DIANA EATON</v>
      </c>
      <c r="E795" t="s">
        <v>442</v>
      </c>
      <c r="F795">
        <v>5442438</v>
      </c>
      <c r="G795" t="s">
        <v>1077</v>
      </c>
      <c r="H795" t="s">
        <v>56</v>
      </c>
      <c r="I795" s="1">
        <v>45795</v>
      </c>
      <c r="J795" s="1">
        <v>45948</v>
      </c>
      <c r="K795" s="2">
        <v>15.67</v>
      </c>
      <c r="L795">
        <f t="shared" si="37"/>
        <v>5</v>
      </c>
      <c r="M795" t="s">
        <v>59</v>
      </c>
      <c r="N795" t="s">
        <v>1148</v>
      </c>
      <c r="O795" s="4">
        <v>0.9</v>
      </c>
      <c r="P795" s="16">
        <f t="shared" si="38"/>
        <v>14.103</v>
      </c>
      <c r="Q795" s="2">
        <v>0</v>
      </c>
      <c r="R795" s="2">
        <v>14.1</v>
      </c>
      <c r="S795" s="2">
        <v>14.1</v>
      </c>
      <c r="T795" t="s">
        <v>442</v>
      </c>
    </row>
    <row r="796" spans="1:53" x14ac:dyDescent="0.25">
      <c r="A796">
        <v>2028615205</v>
      </c>
      <c r="B796" t="s">
        <v>861</v>
      </c>
      <c r="C796" t="s">
        <v>293</v>
      </c>
      <c r="D796" s="6" t="str">
        <f t="shared" si="36"/>
        <v>JONATHAN LIGHTFOOT</v>
      </c>
      <c r="E796" t="s">
        <v>442</v>
      </c>
      <c r="F796">
        <v>21435997</v>
      </c>
      <c r="G796" t="s">
        <v>1138</v>
      </c>
      <c r="H796" t="s">
        <v>56</v>
      </c>
      <c r="I796" s="1">
        <v>45784</v>
      </c>
      <c r="J796" s="1">
        <v>45937</v>
      </c>
      <c r="K796" s="2">
        <v>-42.42</v>
      </c>
      <c r="L796">
        <f t="shared" si="37"/>
        <v>5</v>
      </c>
      <c r="M796" t="s">
        <v>59</v>
      </c>
      <c r="N796" t="s">
        <v>1148</v>
      </c>
      <c r="O796" s="4">
        <v>0.9</v>
      </c>
      <c r="P796" s="16">
        <f t="shared" si="38"/>
        <v>-38.178000000000004</v>
      </c>
      <c r="Q796" s="2">
        <v>0</v>
      </c>
      <c r="R796" s="2">
        <v>-38.18</v>
      </c>
      <c r="S796" s="2">
        <v>-38.18</v>
      </c>
      <c r="T796" t="s">
        <v>442</v>
      </c>
    </row>
    <row r="797" spans="1:53" x14ac:dyDescent="0.25">
      <c r="A797">
        <v>2028918531</v>
      </c>
      <c r="B797" t="s">
        <v>498</v>
      </c>
      <c r="C797" t="s">
        <v>499</v>
      </c>
      <c r="D797" s="6" t="str">
        <f t="shared" si="36"/>
        <v>CORTNI MONROE</v>
      </c>
      <c r="E797" t="s">
        <v>442</v>
      </c>
      <c r="F797">
        <v>5442438</v>
      </c>
      <c r="G797" t="s">
        <v>1077</v>
      </c>
      <c r="H797" t="s">
        <v>56</v>
      </c>
      <c r="I797" s="1">
        <v>45795</v>
      </c>
      <c r="J797" s="1">
        <v>45948</v>
      </c>
      <c r="K797" s="2">
        <v>-12.92</v>
      </c>
      <c r="L797">
        <f t="shared" si="37"/>
        <v>5</v>
      </c>
      <c r="M797" t="s">
        <v>59</v>
      </c>
      <c r="N797" t="s">
        <v>1148</v>
      </c>
      <c r="O797" s="4">
        <v>0.9</v>
      </c>
      <c r="P797" s="16">
        <f t="shared" si="38"/>
        <v>-11.628</v>
      </c>
      <c r="Q797" s="2">
        <v>0</v>
      </c>
      <c r="R797" s="2">
        <v>-11.63</v>
      </c>
      <c r="S797" s="2">
        <v>-11.63</v>
      </c>
      <c r="T797" t="s">
        <v>442</v>
      </c>
    </row>
    <row r="798" spans="1:53" x14ac:dyDescent="0.25">
      <c r="A798">
        <v>2028918531</v>
      </c>
      <c r="B798" t="s">
        <v>498</v>
      </c>
      <c r="C798" t="s">
        <v>499</v>
      </c>
      <c r="D798" s="6" t="str">
        <f t="shared" si="36"/>
        <v>CORTNI MONROE</v>
      </c>
      <c r="E798" t="s">
        <v>442</v>
      </c>
      <c r="F798">
        <v>5442438</v>
      </c>
      <c r="G798" t="s">
        <v>1077</v>
      </c>
      <c r="H798" t="s">
        <v>56</v>
      </c>
      <c r="I798" s="1">
        <v>45795</v>
      </c>
      <c r="J798" s="1">
        <v>45948</v>
      </c>
      <c r="K798" s="2">
        <v>12.92</v>
      </c>
      <c r="L798">
        <f t="shared" si="37"/>
        <v>5</v>
      </c>
      <c r="M798" t="s">
        <v>59</v>
      </c>
      <c r="N798" t="s">
        <v>1148</v>
      </c>
      <c r="O798" s="4">
        <v>0.9</v>
      </c>
      <c r="P798" s="16">
        <f t="shared" si="38"/>
        <v>11.628</v>
      </c>
      <c r="Q798" s="2">
        <v>0</v>
      </c>
      <c r="R798" s="2">
        <v>11.63</v>
      </c>
      <c r="S798" s="2">
        <v>11.63</v>
      </c>
      <c r="T798" t="s">
        <v>442</v>
      </c>
    </row>
    <row r="799" spans="1:53" x14ac:dyDescent="0.25">
      <c r="A799">
        <v>2028857839</v>
      </c>
      <c r="B799" t="s">
        <v>181</v>
      </c>
      <c r="C799" t="s">
        <v>182</v>
      </c>
      <c r="D799" s="6" t="str">
        <f t="shared" si="36"/>
        <v>DEE PARKS</v>
      </c>
      <c r="E799" t="s">
        <v>442</v>
      </c>
      <c r="F799">
        <v>8307933</v>
      </c>
      <c r="G799" t="s">
        <v>1098</v>
      </c>
      <c r="H799" t="s">
        <v>56</v>
      </c>
      <c r="I799" s="1">
        <v>45789</v>
      </c>
      <c r="J799" s="1">
        <v>45942</v>
      </c>
      <c r="K799" s="2">
        <v>51.63</v>
      </c>
      <c r="L799">
        <f t="shared" si="37"/>
        <v>5</v>
      </c>
      <c r="M799" t="s">
        <v>59</v>
      </c>
      <c r="N799" t="s">
        <v>1148</v>
      </c>
      <c r="O799" s="4">
        <v>0.9</v>
      </c>
      <c r="P799" s="16">
        <f t="shared" si="38"/>
        <v>46.467000000000006</v>
      </c>
      <c r="Q799" s="2">
        <v>0</v>
      </c>
      <c r="R799" s="2">
        <v>46.47</v>
      </c>
      <c r="S799" s="2">
        <v>46.47</v>
      </c>
      <c r="T799" t="s">
        <v>442</v>
      </c>
    </row>
    <row r="800" spans="1:53" x14ac:dyDescent="0.25">
      <c r="A800">
        <v>2029005430</v>
      </c>
      <c r="B800" t="s">
        <v>502</v>
      </c>
      <c r="C800" t="s">
        <v>62</v>
      </c>
      <c r="D800" s="6" t="str">
        <f t="shared" si="36"/>
        <v>WILLIAM SINGLETON</v>
      </c>
      <c r="E800" t="s">
        <v>442</v>
      </c>
      <c r="F800">
        <v>5442438</v>
      </c>
      <c r="G800" t="s">
        <v>1077</v>
      </c>
      <c r="H800" t="s">
        <v>56</v>
      </c>
      <c r="I800" s="1">
        <v>45797</v>
      </c>
      <c r="J800" s="1">
        <v>45950</v>
      </c>
      <c r="K800" s="2">
        <v>31.23</v>
      </c>
      <c r="L800">
        <f t="shared" si="37"/>
        <v>5</v>
      </c>
      <c r="M800" t="s">
        <v>59</v>
      </c>
      <c r="N800" t="s">
        <v>1148</v>
      </c>
      <c r="O800" s="4">
        <v>0.9</v>
      </c>
      <c r="P800" s="16">
        <f t="shared" si="38"/>
        <v>28.106999999999999</v>
      </c>
      <c r="Q800" s="2">
        <v>28.11</v>
      </c>
      <c r="R800" s="2">
        <v>0</v>
      </c>
      <c r="S800" s="2">
        <v>0</v>
      </c>
      <c r="T800" t="s">
        <v>442</v>
      </c>
    </row>
    <row r="801" spans="1:20" x14ac:dyDescent="0.25">
      <c r="A801">
        <v>2027712307</v>
      </c>
      <c r="B801" t="s">
        <v>625</v>
      </c>
      <c r="C801" t="s">
        <v>979</v>
      </c>
      <c r="D801" s="6" t="str">
        <f t="shared" si="36"/>
        <v>WILLIE ANDERSON</v>
      </c>
      <c r="E801" t="s">
        <v>442</v>
      </c>
      <c r="F801">
        <v>8307933</v>
      </c>
      <c r="G801" t="s">
        <v>1098</v>
      </c>
      <c r="H801" t="s">
        <v>56</v>
      </c>
      <c r="I801" s="1">
        <v>45727</v>
      </c>
      <c r="J801" s="1">
        <v>45941</v>
      </c>
      <c r="K801" s="2">
        <v>-123.44</v>
      </c>
      <c r="L801">
        <f t="shared" si="37"/>
        <v>7</v>
      </c>
      <c r="M801" t="s">
        <v>59</v>
      </c>
      <c r="N801" t="s">
        <v>1148</v>
      </c>
      <c r="O801" s="4">
        <v>0.9</v>
      </c>
      <c r="P801" s="16">
        <f t="shared" si="38"/>
        <v>-111.096</v>
      </c>
      <c r="Q801" s="2">
        <v>0</v>
      </c>
      <c r="R801" s="2">
        <v>-111.1</v>
      </c>
      <c r="S801" s="2">
        <v>-111.1</v>
      </c>
      <c r="T801" t="s">
        <v>442</v>
      </c>
    </row>
    <row r="802" spans="1:20" x14ac:dyDescent="0.25">
      <c r="A802">
        <v>2027854740</v>
      </c>
      <c r="B802" t="s">
        <v>782</v>
      </c>
      <c r="C802" t="s">
        <v>781</v>
      </c>
      <c r="D802" s="6" t="str">
        <f t="shared" si="36"/>
        <v>TERESA COUSINEAU-VESELICA</v>
      </c>
      <c r="E802" t="s">
        <v>442</v>
      </c>
      <c r="F802">
        <v>8977234</v>
      </c>
      <c r="G802" t="s">
        <v>1078</v>
      </c>
      <c r="H802" t="s">
        <v>56</v>
      </c>
      <c r="I802" s="1">
        <v>45734</v>
      </c>
      <c r="J802" s="1">
        <v>45948</v>
      </c>
      <c r="K802" s="2">
        <v>51.63</v>
      </c>
      <c r="L802">
        <f t="shared" si="37"/>
        <v>7</v>
      </c>
      <c r="M802" t="s">
        <v>59</v>
      </c>
      <c r="N802" t="s">
        <v>1148</v>
      </c>
      <c r="O802" s="4">
        <v>0.9</v>
      </c>
      <c r="P802" s="16">
        <f t="shared" si="38"/>
        <v>46.467000000000006</v>
      </c>
      <c r="Q802" s="2">
        <v>0</v>
      </c>
      <c r="R802" s="2">
        <v>46.47</v>
      </c>
      <c r="S802" s="2">
        <v>46.47</v>
      </c>
      <c r="T802" t="s">
        <v>442</v>
      </c>
    </row>
    <row r="803" spans="1:20" x14ac:dyDescent="0.25">
      <c r="A803">
        <v>2027869112</v>
      </c>
      <c r="B803" t="s">
        <v>878</v>
      </c>
      <c r="C803" t="s">
        <v>877</v>
      </c>
      <c r="D803" s="6" t="str">
        <f t="shared" si="36"/>
        <v>THI DINH</v>
      </c>
      <c r="E803" t="s">
        <v>442</v>
      </c>
      <c r="F803">
        <v>8977234</v>
      </c>
      <c r="G803" t="s">
        <v>1078</v>
      </c>
      <c r="H803" t="s">
        <v>56</v>
      </c>
      <c r="I803" s="1">
        <v>45734</v>
      </c>
      <c r="J803" s="1">
        <v>45948</v>
      </c>
      <c r="K803" s="2">
        <v>9.8000000000000007</v>
      </c>
      <c r="L803">
        <f t="shared" si="37"/>
        <v>7</v>
      </c>
      <c r="M803" t="s">
        <v>59</v>
      </c>
      <c r="N803" t="s">
        <v>1148</v>
      </c>
      <c r="O803" s="4">
        <v>0.9</v>
      </c>
      <c r="P803" s="16">
        <f t="shared" si="38"/>
        <v>8.82</v>
      </c>
      <c r="Q803" s="2">
        <v>0</v>
      </c>
      <c r="R803" s="2">
        <v>8.82</v>
      </c>
      <c r="S803" s="2">
        <v>8.82</v>
      </c>
      <c r="T803" t="s">
        <v>442</v>
      </c>
    </row>
    <row r="804" spans="1:20" x14ac:dyDescent="0.25">
      <c r="A804">
        <v>2027258067</v>
      </c>
      <c r="B804" t="s">
        <v>160</v>
      </c>
      <c r="C804" t="s">
        <v>161</v>
      </c>
      <c r="D804" s="6" t="str">
        <f t="shared" si="36"/>
        <v>VIVIANA BUSH</v>
      </c>
      <c r="E804" t="s">
        <v>442</v>
      </c>
      <c r="F804">
        <v>8977234</v>
      </c>
      <c r="G804" t="s">
        <v>1078</v>
      </c>
      <c r="H804" t="s">
        <v>56</v>
      </c>
      <c r="I804" s="1">
        <v>45710</v>
      </c>
      <c r="J804" s="1">
        <v>45952</v>
      </c>
      <c r="K804" s="2">
        <v>31.08</v>
      </c>
      <c r="L804">
        <f t="shared" si="37"/>
        <v>8</v>
      </c>
      <c r="M804" t="s">
        <v>59</v>
      </c>
      <c r="N804" t="s">
        <v>1148</v>
      </c>
      <c r="O804" s="4">
        <v>0.9</v>
      </c>
      <c r="P804" s="16">
        <f t="shared" si="38"/>
        <v>27.971999999999998</v>
      </c>
      <c r="Q804" s="2">
        <v>0</v>
      </c>
      <c r="R804" s="2">
        <v>27.97</v>
      </c>
      <c r="S804" s="2">
        <v>27.97</v>
      </c>
      <c r="T804" t="s">
        <v>442</v>
      </c>
    </row>
    <row r="805" spans="1:20" x14ac:dyDescent="0.25">
      <c r="A805">
        <v>2026219525</v>
      </c>
      <c r="B805" t="s">
        <v>156</v>
      </c>
      <c r="C805" t="s">
        <v>995</v>
      </c>
      <c r="D805" s="6" t="str">
        <f t="shared" si="36"/>
        <v>TOSHNA MARTIN</v>
      </c>
      <c r="E805" t="s">
        <v>442</v>
      </c>
      <c r="F805">
        <v>8307933</v>
      </c>
      <c r="G805" t="s">
        <v>1098</v>
      </c>
      <c r="H805" t="s">
        <v>56</v>
      </c>
      <c r="I805" s="1">
        <v>45669</v>
      </c>
      <c r="J805" s="1">
        <v>45942</v>
      </c>
      <c r="K805" s="2">
        <v>79.5</v>
      </c>
      <c r="L805">
        <f t="shared" si="37"/>
        <v>9</v>
      </c>
      <c r="M805" t="s">
        <v>59</v>
      </c>
      <c r="N805" t="s">
        <v>1148</v>
      </c>
      <c r="O805" s="4">
        <v>0.9</v>
      </c>
      <c r="P805" s="16">
        <f t="shared" si="38"/>
        <v>71.55</v>
      </c>
      <c r="Q805" s="2">
        <v>0</v>
      </c>
      <c r="R805" s="2">
        <v>71.55</v>
      </c>
      <c r="S805" s="2">
        <v>71.55</v>
      </c>
      <c r="T805" t="s">
        <v>442</v>
      </c>
    </row>
    <row r="806" spans="1:20" x14ac:dyDescent="0.25">
      <c r="A806">
        <v>2026206372</v>
      </c>
      <c r="B806" t="s">
        <v>998</v>
      </c>
      <c r="C806" t="s">
        <v>997</v>
      </c>
      <c r="D806" s="6" t="str">
        <f t="shared" si="36"/>
        <v>SHEILA BRORMAN</v>
      </c>
      <c r="E806" t="s">
        <v>442</v>
      </c>
      <c r="F806">
        <v>8307933</v>
      </c>
      <c r="G806" t="s">
        <v>1098</v>
      </c>
      <c r="H806" t="s">
        <v>56</v>
      </c>
      <c r="I806" s="1">
        <v>45644</v>
      </c>
      <c r="J806" s="1">
        <v>45948</v>
      </c>
      <c r="K806" s="2">
        <v>74</v>
      </c>
      <c r="L806">
        <f t="shared" si="37"/>
        <v>10</v>
      </c>
      <c r="M806" t="s">
        <v>59</v>
      </c>
      <c r="N806" t="s">
        <v>1148</v>
      </c>
      <c r="O806" s="4">
        <v>0.9</v>
      </c>
      <c r="P806" s="16">
        <f t="shared" si="38"/>
        <v>66.600000000000009</v>
      </c>
      <c r="Q806" s="2">
        <v>0</v>
      </c>
      <c r="R806" s="2">
        <v>66.599999999999994</v>
      </c>
      <c r="S806" s="2">
        <v>66.599999999999994</v>
      </c>
      <c r="T806" t="s">
        <v>442</v>
      </c>
    </row>
    <row r="807" spans="1:20" x14ac:dyDescent="0.25">
      <c r="A807">
        <v>2026265885</v>
      </c>
      <c r="B807" t="s">
        <v>154</v>
      </c>
      <c r="C807" t="s">
        <v>256</v>
      </c>
      <c r="D807" s="6" t="str">
        <f t="shared" si="36"/>
        <v>ALEX JOHNSON</v>
      </c>
      <c r="E807" t="s">
        <v>442</v>
      </c>
      <c r="F807">
        <v>19279958</v>
      </c>
      <c r="G807" t="s">
        <v>1100</v>
      </c>
      <c r="H807" t="s">
        <v>56</v>
      </c>
      <c r="I807" s="1">
        <v>45647</v>
      </c>
      <c r="J807" s="1">
        <v>45951</v>
      </c>
      <c r="K807" s="2">
        <v>32.33</v>
      </c>
      <c r="L807">
        <f t="shared" si="37"/>
        <v>10</v>
      </c>
      <c r="M807" t="s">
        <v>59</v>
      </c>
      <c r="N807" t="s">
        <v>1148</v>
      </c>
      <c r="O807" s="4">
        <v>0.9</v>
      </c>
      <c r="P807" s="16">
        <f t="shared" si="38"/>
        <v>29.096999999999998</v>
      </c>
      <c r="Q807" s="2">
        <v>0</v>
      </c>
      <c r="R807" s="2">
        <v>29.1</v>
      </c>
      <c r="S807" s="2">
        <v>29.1</v>
      </c>
      <c r="T807" t="s">
        <v>442</v>
      </c>
    </row>
    <row r="808" spans="1:20" x14ac:dyDescent="0.25">
      <c r="A808">
        <v>2023911658</v>
      </c>
      <c r="B808" t="s">
        <v>738</v>
      </c>
      <c r="C808" t="s">
        <v>737</v>
      </c>
      <c r="D808" s="6" t="str">
        <f t="shared" si="36"/>
        <v>LOIS SHEFFIELD</v>
      </c>
      <c r="E808" t="s">
        <v>442</v>
      </c>
      <c r="F808">
        <v>8977234</v>
      </c>
      <c r="G808" t="s">
        <v>1078</v>
      </c>
      <c r="H808" t="s">
        <v>56</v>
      </c>
      <c r="I808" s="1">
        <v>45486</v>
      </c>
      <c r="J808" s="1">
        <v>45943</v>
      </c>
      <c r="K808" s="2">
        <v>150.63</v>
      </c>
      <c r="L808">
        <f t="shared" si="37"/>
        <v>15</v>
      </c>
      <c r="M808" t="s">
        <v>59</v>
      </c>
      <c r="N808" t="s">
        <v>1148</v>
      </c>
      <c r="O808" s="4">
        <v>0.1</v>
      </c>
      <c r="P808" s="16">
        <f t="shared" si="38"/>
        <v>15.063000000000001</v>
      </c>
      <c r="Q808" s="2">
        <v>0</v>
      </c>
      <c r="R808" s="2">
        <v>15.06</v>
      </c>
      <c r="S808" s="2">
        <v>15.06</v>
      </c>
      <c r="T808" t="s">
        <v>442</v>
      </c>
    </row>
    <row r="809" spans="1:20" x14ac:dyDescent="0.25">
      <c r="A809">
        <v>2022682156</v>
      </c>
      <c r="B809" t="s">
        <v>113</v>
      </c>
      <c r="C809" t="s">
        <v>114</v>
      </c>
      <c r="D809" s="6" t="str">
        <f t="shared" si="36"/>
        <v>BLAKE DEALESSANDRO</v>
      </c>
      <c r="E809" t="s">
        <v>442</v>
      </c>
      <c r="F809">
        <v>8307933</v>
      </c>
      <c r="G809" t="s">
        <v>1098</v>
      </c>
      <c r="H809" t="s">
        <v>56</v>
      </c>
      <c r="I809" s="1">
        <v>45418</v>
      </c>
      <c r="J809" s="1">
        <v>45936</v>
      </c>
      <c r="K809" s="2">
        <v>-23.67</v>
      </c>
      <c r="L809">
        <f t="shared" si="37"/>
        <v>17</v>
      </c>
      <c r="M809" t="s">
        <v>59</v>
      </c>
      <c r="N809" t="s">
        <v>1148</v>
      </c>
      <c r="O809" s="4">
        <v>0.1</v>
      </c>
      <c r="P809" s="16">
        <f t="shared" si="38"/>
        <v>-2.3670000000000004</v>
      </c>
      <c r="Q809" s="2">
        <v>0</v>
      </c>
      <c r="R809" s="2">
        <v>-2.37</v>
      </c>
      <c r="S809" s="2">
        <v>-2.37</v>
      </c>
      <c r="T809" t="s">
        <v>442</v>
      </c>
    </row>
    <row r="810" spans="1:20" x14ac:dyDescent="0.25">
      <c r="A810">
        <v>2022748694</v>
      </c>
      <c r="B810" t="s">
        <v>739</v>
      </c>
      <c r="C810" t="s">
        <v>123</v>
      </c>
      <c r="D810" s="6" t="str">
        <f t="shared" si="36"/>
        <v>THOMAS DELROSSI</v>
      </c>
      <c r="E810" t="s">
        <v>442</v>
      </c>
      <c r="F810">
        <v>8307933</v>
      </c>
      <c r="G810" t="s">
        <v>1098</v>
      </c>
      <c r="H810" t="s">
        <v>56</v>
      </c>
      <c r="I810" s="1">
        <v>45400</v>
      </c>
      <c r="J810" s="1">
        <v>45948</v>
      </c>
      <c r="K810" s="2">
        <v>112.25</v>
      </c>
      <c r="L810">
        <f t="shared" si="37"/>
        <v>18</v>
      </c>
      <c r="M810" t="s">
        <v>59</v>
      </c>
      <c r="N810" t="s">
        <v>1148</v>
      </c>
      <c r="O810" s="4">
        <v>0.1</v>
      </c>
      <c r="P810" s="16">
        <f t="shared" si="38"/>
        <v>11.225000000000001</v>
      </c>
      <c r="Q810" s="2">
        <v>0</v>
      </c>
      <c r="R810" s="2">
        <v>11.22</v>
      </c>
      <c r="S810" s="2">
        <v>11.22</v>
      </c>
      <c r="T810" t="s">
        <v>442</v>
      </c>
    </row>
    <row r="811" spans="1:20" x14ac:dyDescent="0.25">
      <c r="A811">
        <v>2022148752</v>
      </c>
      <c r="B811" t="s">
        <v>457</v>
      </c>
      <c r="C811" t="s">
        <v>458</v>
      </c>
      <c r="D811" s="6" t="str">
        <f t="shared" si="36"/>
        <v>FELICIA WALLACE</v>
      </c>
      <c r="E811" t="s">
        <v>442</v>
      </c>
      <c r="F811">
        <v>8307933</v>
      </c>
      <c r="G811" t="s">
        <v>1098</v>
      </c>
      <c r="H811" t="s">
        <v>56</v>
      </c>
      <c r="I811" s="1">
        <v>45377</v>
      </c>
      <c r="J811" s="1">
        <v>45956</v>
      </c>
      <c r="K811" s="2">
        <v>51.31</v>
      </c>
      <c r="L811">
        <f t="shared" si="37"/>
        <v>19</v>
      </c>
      <c r="M811" t="s">
        <v>59</v>
      </c>
      <c r="N811" t="s">
        <v>1148</v>
      </c>
      <c r="O811" s="4">
        <v>0.1</v>
      </c>
      <c r="P811" s="16">
        <f t="shared" si="38"/>
        <v>5.1310000000000002</v>
      </c>
      <c r="Q811" s="2">
        <v>0</v>
      </c>
      <c r="R811" s="2">
        <v>5.13</v>
      </c>
      <c r="S811" s="2">
        <v>5.13</v>
      </c>
      <c r="T811" t="s">
        <v>442</v>
      </c>
    </row>
    <row r="812" spans="1:20" x14ac:dyDescent="0.25">
      <c r="A812">
        <v>2021598259</v>
      </c>
      <c r="B812" t="s">
        <v>742</v>
      </c>
      <c r="C812" t="s">
        <v>741</v>
      </c>
      <c r="D812" s="6" t="str">
        <f t="shared" si="36"/>
        <v>DEAN BEYER</v>
      </c>
      <c r="E812" t="s">
        <v>442</v>
      </c>
      <c r="F812">
        <v>8307933</v>
      </c>
      <c r="G812" t="s">
        <v>1098</v>
      </c>
      <c r="H812" t="s">
        <v>56</v>
      </c>
      <c r="I812" s="1">
        <v>45341</v>
      </c>
      <c r="J812" s="1">
        <v>45949</v>
      </c>
      <c r="K812" s="2">
        <v>163.25</v>
      </c>
      <c r="L812">
        <f t="shared" si="37"/>
        <v>20</v>
      </c>
      <c r="M812" t="s">
        <v>59</v>
      </c>
      <c r="N812" t="s">
        <v>1148</v>
      </c>
      <c r="O812" s="4">
        <v>0.1</v>
      </c>
      <c r="P812" s="16">
        <f t="shared" si="38"/>
        <v>16.324999999999999</v>
      </c>
      <c r="Q812" s="2">
        <v>0</v>
      </c>
      <c r="R812" s="2">
        <v>16.32</v>
      </c>
      <c r="S812" s="2">
        <v>16.32</v>
      </c>
      <c r="T812" t="s">
        <v>442</v>
      </c>
    </row>
    <row r="813" spans="1:20" x14ac:dyDescent="0.25">
      <c r="A813">
        <v>2020780792</v>
      </c>
      <c r="B813" t="s">
        <v>746</v>
      </c>
      <c r="C813" t="s">
        <v>745</v>
      </c>
      <c r="D813" s="6" t="str">
        <f t="shared" si="36"/>
        <v>VACILIKI RESS</v>
      </c>
      <c r="E813" t="s">
        <v>442</v>
      </c>
      <c r="F813">
        <v>8307933</v>
      </c>
      <c r="G813" t="s">
        <v>1098</v>
      </c>
      <c r="H813" t="s">
        <v>56</v>
      </c>
      <c r="I813" s="1">
        <v>45245</v>
      </c>
      <c r="J813" s="1">
        <v>45945</v>
      </c>
      <c r="K813" s="2">
        <v>51.63</v>
      </c>
      <c r="L813">
        <f t="shared" si="37"/>
        <v>23</v>
      </c>
      <c r="M813" t="s">
        <v>59</v>
      </c>
      <c r="N813" t="s">
        <v>1148</v>
      </c>
      <c r="O813" s="4">
        <v>0.1</v>
      </c>
      <c r="P813" s="16">
        <f t="shared" si="38"/>
        <v>5.1630000000000003</v>
      </c>
      <c r="Q813" s="2">
        <v>0</v>
      </c>
      <c r="R813" s="2">
        <v>5.16</v>
      </c>
      <c r="S813" s="2">
        <v>5.16</v>
      </c>
      <c r="T813" t="s">
        <v>442</v>
      </c>
    </row>
    <row r="814" spans="1:20" x14ac:dyDescent="0.25">
      <c r="A814">
        <v>2018717179</v>
      </c>
      <c r="B814" t="s">
        <v>154</v>
      </c>
      <c r="C814" t="s">
        <v>750</v>
      </c>
      <c r="D814" s="6" t="str">
        <f t="shared" si="36"/>
        <v>CALVIN JOHNSON</v>
      </c>
      <c r="E814" t="s">
        <v>442</v>
      </c>
      <c r="F814">
        <v>8307933</v>
      </c>
      <c r="G814" t="s">
        <v>1098</v>
      </c>
      <c r="H814" t="s">
        <v>56</v>
      </c>
      <c r="I814" s="1">
        <v>45065</v>
      </c>
      <c r="J814" s="1">
        <v>45949</v>
      </c>
      <c r="K814" s="2">
        <v>123.44</v>
      </c>
      <c r="L814">
        <f t="shared" si="37"/>
        <v>29</v>
      </c>
      <c r="M814" t="s">
        <v>59</v>
      </c>
      <c r="N814" t="s">
        <v>1148</v>
      </c>
      <c r="O814" s="4">
        <v>0.1</v>
      </c>
      <c r="P814" s="16">
        <f t="shared" si="38"/>
        <v>12.344000000000001</v>
      </c>
      <c r="Q814" s="2">
        <v>0</v>
      </c>
      <c r="R814" s="2">
        <v>12.34</v>
      </c>
      <c r="S814" s="2">
        <v>12.34</v>
      </c>
      <c r="T814" t="s">
        <v>442</v>
      </c>
    </row>
    <row r="815" spans="1:20" x14ac:dyDescent="0.25">
      <c r="A815">
        <v>2018396887</v>
      </c>
      <c r="B815" t="s">
        <v>752</v>
      </c>
      <c r="C815" t="s">
        <v>751</v>
      </c>
      <c r="D815" s="6" t="str">
        <f t="shared" si="36"/>
        <v>CARROL KING</v>
      </c>
      <c r="E815" t="s">
        <v>442</v>
      </c>
      <c r="F815">
        <v>8307933</v>
      </c>
      <c r="G815" t="s">
        <v>1098</v>
      </c>
      <c r="H815" t="s">
        <v>56</v>
      </c>
      <c r="I815" s="1">
        <v>45035</v>
      </c>
      <c r="J815" s="1">
        <v>45949</v>
      </c>
      <c r="K815" s="2">
        <v>58.21</v>
      </c>
      <c r="L815">
        <f t="shared" si="37"/>
        <v>30</v>
      </c>
      <c r="M815" t="s">
        <v>59</v>
      </c>
      <c r="N815" t="s">
        <v>1148</v>
      </c>
      <c r="O815" s="4">
        <v>0.1</v>
      </c>
      <c r="P815" s="16">
        <f t="shared" si="38"/>
        <v>5.8210000000000006</v>
      </c>
      <c r="Q815" s="2">
        <v>0</v>
      </c>
      <c r="R815" s="2">
        <v>5.82</v>
      </c>
      <c r="S815" s="2">
        <v>5.82</v>
      </c>
      <c r="T815" t="s">
        <v>442</v>
      </c>
    </row>
    <row r="816" spans="1:20" x14ac:dyDescent="0.25">
      <c r="A816">
        <v>2018351025</v>
      </c>
      <c r="B816" t="s">
        <v>753</v>
      </c>
      <c r="C816" t="s">
        <v>171</v>
      </c>
      <c r="D816" s="6" t="str">
        <f t="shared" si="36"/>
        <v>JACOB PHELPS</v>
      </c>
      <c r="E816" t="s">
        <v>442</v>
      </c>
      <c r="F816">
        <v>8307933</v>
      </c>
      <c r="G816" t="s">
        <v>1098</v>
      </c>
      <c r="H816" t="s">
        <v>56</v>
      </c>
      <c r="I816" s="1">
        <v>45030</v>
      </c>
      <c r="J816" s="1">
        <v>45944</v>
      </c>
      <c r="K816" s="2">
        <v>29.25</v>
      </c>
      <c r="L816">
        <f t="shared" si="37"/>
        <v>30</v>
      </c>
      <c r="M816" t="s">
        <v>59</v>
      </c>
      <c r="N816" t="s">
        <v>1148</v>
      </c>
      <c r="O816" s="4">
        <v>0.1</v>
      </c>
      <c r="P816" s="16">
        <f t="shared" si="38"/>
        <v>2.9250000000000003</v>
      </c>
      <c r="Q816" s="2">
        <v>0</v>
      </c>
      <c r="R816" s="2">
        <v>2.92</v>
      </c>
      <c r="S816" s="2">
        <v>2.92</v>
      </c>
      <c r="T816" t="s">
        <v>442</v>
      </c>
    </row>
    <row r="817" spans="1:53" x14ac:dyDescent="0.25">
      <c r="A817">
        <v>2017608417</v>
      </c>
      <c r="B817" t="s">
        <v>67</v>
      </c>
      <c r="C817" t="s">
        <v>444</v>
      </c>
      <c r="D817" s="6" t="str">
        <f t="shared" si="36"/>
        <v>ROBERT JACKSON</v>
      </c>
      <c r="E817" t="s">
        <v>442</v>
      </c>
      <c r="F817">
        <v>8307933</v>
      </c>
      <c r="G817" t="s">
        <v>1098</v>
      </c>
      <c r="H817" t="s">
        <v>56</v>
      </c>
      <c r="I817" s="1">
        <v>44983</v>
      </c>
      <c r="J817" s="1">
        <v>45956</v>
      </c>
      <c r="K817" s="2">
        <v>163.25</v>
      </c>
      <c r="L817">
        <f t="shared" si="37"/>
        <v>32</v>
      </c>
      <c r="M817" t="s">
        <v>59</v>
      </c>
      <c r="N817" t="s">
        <v>1148</v>
      </c>
      <c r="O817" s="4">
        <v>0.1</v>
      </c>
      <c r="P817" s="16">
        <f t="shared" si="38"/>
        <v>16.324999999999999</v>
      </c>
      <c r="Q817" s="2">
        <v>0</v>
      </c>
      <c r="R817" s="2">
        <v>16.32</v>
      </c>
      <c r="S817" s="2">
        <v>16.32</v>
      </c>
      <c r="T817" t="s">
        <v>442</v>
      </c>
    </row>
    <row r="818" spans="1:53" x14ac:dyDescent="0.25">
      <c r="A818">
        <v>2016328596</v>
      </c>
      <c r="B818" t="s">
        <v>103</v>
      </c>
      <c r="C818" t="s">
        <v>104</v>
      </c>
      <c r="D818" s="6" t="str">
        <f t="shared" si="36"/>
        <v>STEVEN DIETZ</v>
      </c>
      <c r="E818" t="s">
        <v>442</v>
      </c>
      <c r="F818">
        <v>8307933</v>
      </c>
      <c r="G818" t="s">
        <v>1098</v>
      </c>
      <c r="H818" t="s">
        <v>56</v>
      </c>
      <c r="I818" s="1">
        <v>44829</v>
      </c>
      <c r="J818" s="1">
        <v>45955</v>
      </c>
      <c r="K818" s="2">
        <v>32.42</v>
      </c>
      <c r="L818">
        <f t="shared" si="37"/>
        <v>37</v>
      </c>
      <c r="M818" t="s">
        <v>59</v>
      </c>
      <c r="N818" t="s">
        <v>1148</v>
      </c>
      <c r="O818" s="4">
        <v>0.1</v>
      </c>
      <c r="P818" s="16">
        <f t="shared" si="38"/>
        <v>3.2420000000000004</v>
      </c>
      <c r="Q818" s="2">
        <v>0</v>
      </c>
      <c r="R818" s="2">
        <v>3.24</v>
      </c>
      <c r="S818" s="2">
        <v>3.24</v>
      </c>
      <c r="T818" t="s">
        <v>442</v>
      </c>
    </row>
    <row r="819" spans="1:53" x14ac:dyDescent="0.25">
      <c r="A819" s="6">
        <v>2029073662</v>
      </c>
      <c r="B819" s="6" t="s">
        <v>86</v>
      </c>
      <c r="C819" s="6" t="s">
        <v>87</v>
      </c>
      <c r="D819" s="6" t="str">
        <f t="shared" si="36"/>
        <v>ERIN HENNESSY</v>
      </c>
      <c r="E819" s="6" t="s">
        <v>88</v>
      </c>
      <c r="F819" s="6">
        <v>19586992</v>
      </c>
      <c r="G819" s="6" t="s">
        <v>1104</v>
      </c>
      <c r="H819" s="6" t="s">
        <v>56</v>
      </c>
      <c r="I819" s="5">
        <v>45801</v>
      </c>
      <c r="J819" s="5">
        <v>45954</v>
      </c>
      <c r="K819" s="7">
        <v>50.6</v>
      </c>
      <c r="L819" s="6">
        <f t="shared" si="37"/>
        <v>5</v>
      </c>
      <c r="M819" s="6" t="s">
        <v>59</v>
      </c>
      <c r="N819" s="6" t="s">
        <v>1145</v>
      </c>
      <c r="O819" s="9">
        <v>0.6</v>
      </c>
      <c r="P819" s="16">
        <f t="shared" si="38"/>
        <v>30.36</v>
      </c>
      <c r="Q819" s="7">
        <v>30.36</v>
      </c>
      <c r="R819" s="7">
        <v>0</v>
      </c>
      <c r="S819" s="7">
        <v>0</v>
      </c>
      <c r="T819" s="6" t="s">
        <v>88</v>
      </c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</row>
    <row r="820" spans="1:53" x14ac:dyDescent="0.25">
      <c r="A820">
        <v>2016841042</v>
      </c>
      <c r="B820" t="s">
        <v>154</v>
      </c>
      <c r="C820" t="s">
        <v>818</v>
      </c>
      <c r="D820" s="6" t="str">
        <f t="shared" si="36"/>
        <v>KENNETH JOHNSON</v>
      </c>
      <c r="E820" t="s">
        <v>88</v>
      </c>
      <c r="F820">
        <v>9079571</v>
      </c>
      <c r="G820" t="s">
        <v>1092</v>
      </c>
      <c r="H820" t="s">
        <v>56</v>
      </c>
      <c r="I820" s="1">
        <v>44883</v>
      </c>
      <c r="J820" s="1">
        <v>45948</v>
      </c>
      <c r="K820" s="2">
        <v>97.79</v>
      </c>
      <c r="L820">
        <f t="shared" si="37"/>
        <v>35</v>
      </c>
      <c r="M820" t="s">
        <v>59</v>
      </c>
      <c r="N820" t="s">
        <v>1148</v>
      </c>
      <c r="O820" s="3">
        <v>6.5000000000000002E-2</v>
      </c>
      <c r="P820" s="16">
        <f t="shared" si="38"/>
        <v>6.3563500000000008</v>
      </c>
      <c r="Q820" s="2">
        <v>0</v>
      </c>
      <c r="R820" s="2">
        <v>6.36</v>
      </c>
      <c r="S820" s="2">
        <v>6.36</v>
      </c>
      <c r="T820" t="s">
        <v>88</v>
      </c>
    </row>
    <row r="821" spans="1:53" x14ac:dyDescent="0.25">
      <c r="A821" s="6">
        <v>2028320246</v>
      </c>
      <c r="B821" s="6" t="s">
        <v>75</v>
      </c>
      <c r="C821" s="6" t="s">
        <v>76</v>
      </c>
      <c r="D821" s="6" t="str">
        <f t="shared" si="36"/>
        <v>MAGDALENA CABRAL</v>
      </c>
      <c r="E821" s="6" t="s">
        <v>78</v>
      </c>
      <c r="F821" s="6">
        <v>16633294</v>
      </c>
      <c r="G821" s="6" t="s">
        <v>1079</v>
      </c>
      <c r="H821" s="6" t="s">
        <v>56</v>
      </c>
      <c r="I821" s="5">
        <v>45772</v>
      </c>
      <c r="J821" s="5">
        <v>45955</v>
      </c>
      <c r="K821" s="7">
        <v>68.52</v>
      </c>
      <c r="L821" s="6">
        <f t="shared" si="37"/>
        <v>6</v>
      </c>
      <c r="M821" s="6" t="s">
        <v>59</v>
      </c>
      <c r="N821" s="6" t="s">
        <v>1145</v>
      </c>
      <c r="O821" s="9">
        <v>0.6</v>
      </c>
      <c r="P821" s="16">
        <f t="shared" si="38"/>
        <v>41.111999999999995</v>
      </c>
      <c r="Q821" s="7">
        <v>0</v>
      </c>
      <c r="R821" s="7">
        <v>41.11</v>
      </c>
      <c r="S821" s="7">
        <v>41.11</v>
      </c>
      <c r="T821" s="6" t="s">
        <v>78</v>
      </c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</row>
    <row r="822" spans="1:53" x14ac:dyDescent="0.25">
      <c r="A822">
        <v>2029035617</v>
      </c>
      <c r="B822" t="s">
        <v>81</v>
      </c>
      <c r="C822" t="s">
        <v>82</v>
      </c>
      <c r="D822" s="6" t="str">
        <f t="shared" si="36"/>
        <v>DONNA CARO</v>
      </c>
      <c r="E822" t="s">
        <v>78</v>
      </c>
      <c r="F822">
        <v>18781057</v>
      </c>
      <c r="G822" t="s">
        <v>1089</v>
      </c>
      <c r="H822" t="s">
        <v>56</v>
      </c>
      <c r="I822" s="1">
        <v>45798</v>
      </c>
      <c r="J822" s="1">
        <v>45951</v>
      </c>
      <c r="K822" s="2">
        <v>105.84</v>
      </c>
      <c r="L822">
        <f t="shared" si="37"/>
        <v>5</v>
      </c>
      <c r="M822" t="s">
        <v>59</v>
      </c>
      <c r="N822" t="s">
        <v>1148</v>
      </c>
      <c r="O822" s="4">
        <v>0.6</v>
      </c>
      <c r="P822" s="16">
        <f t="shared" si="38"/>
        <v>63.503999999999998</v>
      </c>
      <c r="Q822" s="2">
        <v>63.5</v>
      </c>
      <c r="R822" s="2">
        <v>0</v>
      </c>
      <c r="S822" s="2">
        <v>0</v>
      </c>
      <c r="T822" t="s">
        <v>78</v>
      </c>
    </row>
    <row r="823" spans="1:53" x14ac:dyDescent="0.25">
      <c r="A823">
        <v>2027854739</v>
      </c>
      <c r="B823" t="s">
        <v>782</v>
      </c>
      <c r="C823" t="s">
        <v>781</v>
      </c>
      <c r="D823" s="6" t="str">
        <f t="shared" si="36"/>
        <v>TERESA COUSINEAU-VESELICA</v>
      </c>
      <c r="E823" t="s">
        <v>78</v>
      </c>
      <c r="F823">
        <v>8977234</v>
      </c>
      <c r="G823" t="s">
        <v>1078</v>
      </c>
      <c r="H823" t="s">
        <v>56</v>
      </c>
      <c r="I823" s="1">
        <v>45734</v>
      </c>
      <c r="J823" s="1">
        <v>45948</v>
      </c>
      <c r="K823" s="2">
        <v>109.84</v>
      </c>
      <c r="L823">
        <f t="shared" si="37"/>
        <v>7</v>
      </c>
      <c r="M823" t="s">
        <v>59</v>
      </c>
      <c r="N823" t="s">
        <v>1148</v>
      </c>
      <c r="O823" s="4">
        <v>0.6</v>
      </c>
      <c r="P823" s="16">
        <f t="shared" si="38"/>
        <v>65.903999999999996</v>
      </c>
      <c r="Q823" s="2">
        <v>0</v>
      </c>
      <c r="R823" s="2">
        <v>65.900000000000006</v>
      </c>
      <c r="S823" s="2">
        <v>65.900000000000006</v>
      </c>
      <c r="T823" t="s">
        <v>78</v>
      </c>
    </row>
    <row r="824" spans="1:53" x14ac:dyDescent="0.25">
      <c r="A824">
        <v>2025850685</v>
      </c>
      <c r="B824" t="s">
        <v>556</v>
      </c>
      <c r="C824" t="s">
        <v>791</v>
      </c>
      <c r="D824" s="6" t="str">
        <f t="shared" si="36"/>
        <v>WANIETA TAYLOR</v>
      </c>
      <c r="E824" t="s">
        <v>78</v>
      </c>
      <c r="F824">
        <v>8977234</v>
      </c>
      <c r="G824" t="s">
        <v>1078</v>
      </c>
      <c r="H824" t="s">
        <v>56</v>
      </c>
      <c r="I824" s="1">
        <v>45658</v>
      </c>
      <c r="J824" s="1">
        <v>45931</v>
      </c>
      <c r="K824" s="2">
        <v>105.84</v>
      </c>
      <c r="L824">
        <f t="shared" si="37"/>
        <v>9</v>
      </c>
      <c r="M824" t="s">
        <v>59</v>
      </c>
      <c r="N824" t="s">
        <v>1148</v>
      </c>
      <c r="O824" s="4">
        <v>0.6</v>
      </c>
      <c r="P824" s="16">
        <f t="shared" si="38"/>
        <v>63.503999999999998</v>
      </c>
      <c r="Q824" s="2">
        <v>0</v>
      </c>
      <c r="R824" s="2">
        <v>63.5</v>
      </c>
      <c r="S824" s="2">
        <v>63.5</v>
      </c>
      <c r="T824" t="s">
        <v>78</v>
      </c>
    </row>
    <row r="825" spans="1:53" x14ac:dyDescent="0.25">
      <c r="A825">
        <v>2025769233</v>
      </c>
      <c r="B825" t="s">
        <v>795</v>
      </c>
      <c r="C825" t="s">
        <v>794</v>
      </c>
      <c r="D825" s="6" t="str">
        <f t="shared" si="36"/>
        <v>JAYLA TERRY</v>
      </c>
      <c r="E825" t="s">
        <v>78</v>
      </c>
      <c r="F825">
        <v>17425766</v>
      </c>
      <c r="G825" t="s">
        <v>1097</v>
      </c>
      <c r="H825" t="s">
        <v>56</v>
      </c>
      <c r="I825" s="1">
        <v>45611</v>
      </c>
      <c r="J825" s="1">
        <v>45945</v>
      </c>
      <c r="K825" s="2">
        <v>56.46</v>
      </c>
      <c r="L825">
        <f t="shared" si="37"/>
        <v>11</v>
      </c>
      <c r="M825" t="s">
        <v>59</v>
      </c>
      <c r="N825" t="s">
        <v>1148</v>
      </c>
      <c r="O825" s="4">
        <v>0.6</v>
      </c>
      <c r="P825" s="16">
        <f t="shared" si="38"/>
        <v>33.875999999999998</v>
      </c>
      <c r="Q825" s="2">
        <v>0</v>
      </c>
      <c r="R825" s="2">
        <v>33.880000000000003</v>
      </c>
      <c r="S825" s="2">
        <v>33.880000000000003</v>
      </c>
      <c r="T825" t="s">
        <v>78</v>
      </c>
    </row>
    <row r="826" spans="1:53" x14ac:dyDescent="0.25">
      <c r="A826">
        <v>2023509944</v>
      </c>
      <c r="B826" t="s">
        <v>809</v>
      </c>
      <c r="C826" t="s">
        <v>690</v>
      </c>
      <c r="D826" s="6" t="str">
        <f t="shared" si="36"/>
        <v>NATALIA VOLZ</v>
      </c>
      <c r="E826" t="s">
        <v>78</v>
      </c>
      <c r="F826">
        <v>18781057</v>
      </c>
      <c r="G826" t="s">
        <v>1089</v>
      </c>
      <c r="H826" t="s">
        <v>56</v>
      </c>
      <c r="I826" s="1">
        <v>45457</v>
      </c>
      <c r="J826" s="1">
        <v>45944</v>
      </c>
      <c r="K826" s="2">
        <v>109.84</v>
      </c>
      <c r="L826">
        <f t="shared" si="37"/>
        <v>16</v>
      </c>
      <c r="M826" t="s">
        <v>59</v>
      </c>
      <c r="N826" t="s">
        <v>1148</v>
      </c>
      <c r="O826" s="3">
        <v>6.5000000000000002E-2</v>
      </c>
      <c r="P826" s="16">
        <f t="shared" si="38"/>
        <v>7.1396000000000006</v>
      </c>
      <c r="Q826" s="2">
        <v>0</v>
      </c>
      <c r="R826" s="2">
        <v>7.14</v>
      </c>
      <c r="S826" s="2">
        <v>7.14</v>
      </c>
      <c r="T826" t="s">
        <v>78</v>
      </c>
    </row>
    <row r="827" spans="1:53" x14ac:dyDescent="0.25">
      <c r="A827" s="6">
        <v>2020534057</v>
      </c>
      <c r="B827" s="6" t="s">
        <v>48</v>
      </c>
      <c r="C827" s="6" t="s">
        <v>49</v>
      </c>
      <c r="D827" s="6" t="str">
        <f t="shared" si="36"/>
        <v>MICHAEL MCCANN</v>
      </c>
      <c r="E827" s="6" t="s">
        <v>53</v>
      </c>
      <c r="F827" s="6">
        <v>8971826</v>
      </c>
      <c r="G827" s="6" t="s">
        <v>1103</v>
      </c>
      <c r="H827" s="6" t="s">
        <v>56</v>
      </c>
      <c r="I827" s="5">
        <v>45224</v>
      </c>
      <c r="J827" s="5">
        <v>45955</v>
      </c>
      <c r="K827" s="7">
        <v>42.45</v>
      </c>
      <c r="L827" s="6">
        <f t="shared" si="37"/>
        <v>24</v>
      </c>
      <c r="M827" s="6" t="s">
        <v>59</v>
      </c>
      <c r="N827" s="6" t="s">
        <v>1148</v>
      </c>
      <c r="O827" s="8">
        <v>6.5000000000000002E-2</v>
      </c>
      <c r="P827" s="16">
        <f t="shared" si="38"/>
        <v>2.7592500000000002</v>
      </c>
      <c r="Q827" s="7">
        <v>0</v>
      </c>
      <c r="R827" s="7">
        <v>2.76</v>
      </c>
      <c r="S827" s="7">
        <v>2.76</v>
      </c>
      <c r="T827" s="6" t="s">
        <v>53</v>
      </c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</row>
    <row r="828" spans="1:53" x14ac:dyDescent="0.25">
      <c r="A828">
        <v>2030469676</v>
      </c>
      <c r="B828" t="s">
        <v>612</v>
      </c>
      <c r="C828" t="s">
        <v>611</v>
      </c>
      <c r="D828" s="6" t="str">
        <f t="shared" si="36"/>
        <v>NOAH STEVENS</v>
      </c>
      <c r="E828" t="s">
        <v>53</v>
      </c>
      <c r="F828">
        <v>18781057</v>
      </c>
      <c r="G828" t="s">
        <v>1089</v>
      </c>
      <c r="H828" t="s">
        <v>230</v>
      </c>
      <c r="I828" s="1">
        <v>45901</v>
      </c>
      <c r="J828" s="1">
        <v>45931</v>
      </c>
      <c r="K828" s="2">
        <v>-46.45</v>
      </c>
      <c r="L828">
        <f t="shared" si="37"/>
        <v>1</v>
      </c>
      <c r="M828" t="s">
        <v>59</v>
      </c>
      <c r="N828" t="s">
        <v>1148</v>
      </c>
      <c r="O828" s="4">
        <v>0.6</v>
      </c>
      <c r="P828" s="16">
        <f t="shared" si="38"/>
        <v>-27.87</v>
      </c>
      <c r="Q828" s="2">
        <v>0</v>
      </c>
      <c r="R828" s="2">
        <v>-27.87</v>
      </c>
      <c r="S828" s="2">
        <v>-27.87</v>
      </c>
      <c r="T828" t="s">
        <v>53</v>
      </c>
    </row>
    <row r="829" spans="1:53" x14ac:dyDescent="0.25">
      <c r="A829">
        <v>2030516317</v>
      </c>
      <c r="B829" t="s">
        <v>768</v>
      </c>
      <c r="C829" t="s">
        <v>197</v>
      </c>
      <c r="D829" s="6" t="str">
        <f t="shared" si="36"/>
        <v>CRYSTAL FOX</v>
      </c>
      <c r="E829" t="s">
        <v>53</v>
      </c>
      <c r="F829">
        <v>18781057</v>
      </c>
      <c r="G829" t="s">
        <v>1089</v>
      </c>
      <c r="H829" t="s">
        <v>56</v>
      </c>
      <c r="I829" s="1">
        <v>45885</v>
      </c>
      <c r="J829" s="1">
        <v>45946</v>
      </c>
      <c r="K829" s="2">
        <v>50.06</v>
      </c>
      <c r="L829">
        <f t="shared" si="37"/>
        <v>2</v>
      </c>
      <c r="M829" t="s">
        <v>59</v>
      </c>
      <c r="N829" t="s">
        <v>1148</v>
      </c>
      <c r="O829" s="4">
        <v>0.6</v>
      </c>
      <c r="P829" s="16">
        <f t="shared" si="38"/>
        <v>30.036000000000001</v>
      </c>
      <c r="Q829" s="2">
        <v>30.04</v>
      </c>
      <c r="R829" s="2">
        <v>0</v>
      </c>
      <c r="S829" s="2">
        <v>0</v>
      </c>
      <c r="T829" t="s">
        <v>53</v>
      </c>
    </row>
    <row r="830" spans="1:53" x14ac:dyDescent="0.25">
      <c r="A830">
        <v>2029894141</v>
      </c>
      <c r="B830" t="s">
        <v>923</v>
      </c>
      <c r="C830" t="s">
        <v>74</v>
      </c>
      <c r="D830" s="6" t="str">
        <f t="shared" si="36"/>
        <v>CAROL BALLA</v>
      </c>
      <c r="E830" t="s">
        <v>53</v>
      </c>
      <c r="F830">
        <v>8977234</v>
      </c>
      <c r="G830" t="s">
        <v>1078</v>
      </c>
      <c r="H830" t="s">
        <v>56</v>
      </c>
      <c r="I830" s="1">
        <v>45852</v>
      </c>
      <c r="J830" s="1">
        <v>45944</v>
      </c>
      <c r="K830" s="2">
        <v>42.45</v>
      </c>
      <c r="L830">
        <f t="shared" si="37"/>
        <v>3</v>
      </c>
      <c r="M830" t="s">
        <v>59</v>
      </c>
      <c r="N830" t="s">
        <v>1148</v>
      </c>
      <c r="O830" s="4">
        <v>0.6</v>
      </c>
      <c r="P830" s="16">
        <f t="shared" si="38"/>
        <v>25.470000000000002</v>
      </c>
      <c r="Q830" s="2">
        <v>25.47</v>
      </c>
      <c r="R830" s="2">
        <v>0</v>
      </c>
      <c r="S830" s="2">
        <v>0</v>
      </c>
      <c r="T830" t="s">
        <v>53</v>
      </c>
    </row>
    <row r="831" spans="1:53" x14ac:dyDescent="0.25">
      <c r="A831">
        <v>2028488144</v>
      </c>
      <c r="B831" t="s">
        <v>780</v>
      </c>
      <c r="C831" t="s">
        <v>779</v>
      </c>
      <c r="D831" s="6" t="str">
        <f t="shared" si="36"/>
        <v>CHELSEA REITENBACH</v>
      </c>
      <c r="E831" t="s">
        <v>53</v>
      </c>
      <c r="F831">
        <v>18781057</v>
      </c>
      <c r="G831" t="s">
        <v>1089</v>
      </c>
      <c r="H831" t="s">
        <v>56</v>
      </c>
      <c r="I831" s="1">
        <v>45766</v>
      </c>
      <c r="J831" s="1">
        <v>45949</v>
      </c>
      <c r="K831" s="2">
        <v>62.54</v>
      </c>
      <c r="L831">
        <f t="shared" si="37"/>
        <v>6</v>
      </c>
      <c r="M831" t="s">
        <v>59</v>
      </c>
      <c r="N831" t="s">
        <v>1148</v>
      </c>
      <c r="O831" s="4">
        <v>0.6</v>
      </c>
      <c r="P831" s="16">
        <f t="shared" si="38"/>
        <v>37.524000000000001</v>
      </c>
      <c r="Q831" s="2">
        <v>0</v>
      </c>
      <c r="R831" s="2">
        <v>37.520000000000003</v>
      </c>
      <c r="S831" s="2">
        <v>37.520000000000003</v>
      </c>
      <c r="T831" t="s">
        <v>53</v>
      </c>
    </row>
    <row r="832" spans="1:53" x14ac:dyDescent="0.25">
      <c r="A832">
        <v>2026584086</v>
      </c>
      <c r="B832" t="s">
        <v>66</v>
      </c>
      <c r="C832" t="s">
        <v>67</v>
      </c>
      <c r="D832" s="6" t="str">
        <f t="shared" si="36"/>
        <v>JACKSON KINDER</v>
      </c>
      <c r="E832" t="s">
        <v>53</v>
      </c>
      <c r="F832">
        <v>19278370</v>
      </c>
      <c r="G832" t="s">
        <v>1076</v>
      </c>
      <c r="H832" t="s">
        <v>56</v>
      </c>
      <c r="I832" s="1">
        <v>45689</v>
      </c>
      <c r="J832" s="1">
        <v>45931</v>
      </c>
      <c r="K832" s="2">
        <v>-52.69</v>
      </c>
      <c r="L832">
        <f t="shared" si="37"/>
        <v>8</v>
      </c>
      <c r="M832" t="s">
        <v>59</v>
      </c>
      <c r="N832" t="s">
        <v>1148</v>
      </c>
      <c r="O832" s="4">
        <v>0.6</v>
      </c>
      <c r="P832" s="16">
        <f t="shared" si="38"/>
        <v>-31.613999999999997</v>
      </c>
      <c r="Q832" s="2">
        <v>0</v>
      </c>
      <c r="R832" s="2">
        <v>-31.61</v>
      </c>
      <c r="S832" s="2">
        <v>-31.61</v>
      </c>
      <c r="T832" t="s">
        <v>53</v>
      </c>
    </row>
    <row r="833" spans="1:20" x14ac:dyDescent="0.25">
      <c r="A833">
        <v>2026740151</v>
      </c>
      <c r="B833" t="s">
        <v>71</v>
      </c>
      <c r="C833" t="s">
        <v>72</v>
      </c>
      <c r="D833" s="6" t="str">
        <f t="shared" si="36"/>
        <v>CATHERINE MURRAY</v>
      </c>
      <c r="E833" t="s">
        <v>53</v>
      </c>
      <c r="F833">
        <v>17425766</v>
      </c>
      <c r="G833" t="s">
        <v>1097</v>
      </c>
      <c r="H833" t="s">
        <v>56</v>
      </c>
      <c r="I833" s="1">
        <v>45681</v>
      </c>
      <c r="J833" s="1">
        <v>45954</v>
      </c>
      <c r="K833" s="2">
        <v>40.159999999999997</v>
      </c>
      <c r="L833">
        <f t="shared" si="37"/>
        <v>9</v>
      </c>
      <c r="M833" t="s">
        <v>59</v>
      </c>
      <c r="N833" t="s">
        <v>1148</v>
      </c>
      <c r="O833" s="4">
        <v>0.6</v>
      </c>
      <c r="P833" s="16">
        <f t="shared" si="38"/>
        <v>24.095999999999997</v>
      </c>
      <c r="Q833" s="2">
        <v>0</v>
      </c>
      <c r="R833" s="2">
        <v>24.1</v>
      </c>
      <c r="S833" s="2">
        <v>24.1</v>
      </c>
      <c r="T833" t="s">
        <v>53</v>
      </c>
    </row>
    <row r="834" spans="1:20" x14ac:dyDescent="0.25">
      <c r="A834">
        <v>2026603200</v>
      </c>
      <c r="B834" t="s">
        <v>785</v>
      </c>
      <c r="C834" t="s">
        <v>784</v>
      </c>
      <c r="D834" s="6" t="str">
        <f t="shared" ref="D834:D844" si="39">CONCATENATE(C834, " ",B834)</f>
        <v>GEOFFREY PETTINE</v>
      </c>
      <c r="E834" t="s">
        <v>53</v>
      </c>
      <c r="F834">
        <v>18781057</v>
      </c>
      <c r="G834" t="s">
        <v>1089</v>
      </c>
      <c r="H834" t="s">
        <v>56</v>
      </c>
      <c r="I834" s="1">
        <v>45673</v>
      </c>
      <c r="J834" s="1">
        <v>45946</v>
      </c>
      <c r="K834" s="2">
        <v>56.69</v>
      </c>
      <c r="L834">
        <f t="shared" ref="L834:L844" si="40">DATEDIF(I834,J834,"M")</f>
        <v>9</v>
      </c>
      <c r="M834" t="s">
        <v>59</v>
      </c>
      <c r="N834" t="s">
        <v>1148</v>
      </c>
      <c r="O834" s="4">
        <v>0.6</v>
      </c>
      <c r="P834" s="16">
        <f t="shared" ref="P834:P844" si="41">K834*O834</f>
        <v>34.013999999999996</v>
      </c>
      <c r="Q834" s="2">
        <v>0</v>
      </c>
      <c r="R834" s="2">
        <v>34.01</v>
      </c>
      <c r="S834" s="2">
        <v>34.01</v>
      </c>
      <c r="T834" t="s">
        <v>53</v>
      </c>
    </row>
    <row r="835" spans="1:20" x14ac:dyDescent="0.25">
      <c r="A835">
        <v>2025756063</v>
      </c>
      <c r="B835" t="s">
        <v>797</v>
      </c>
      <c r="C835" t="s">
        <v>796</v>
      </c>
      <c r="D835" s="6" t="str">
        <f t="shared" si="39"/>
        <v>KEVIN CLOUSE</v>
      </c>
      <c r="E835" t="s">
        <v>53</v>
      </c>
      <c r="F835">
        <v>17425766</v>
      </c>
      <c r="G835" t="s">
        <v>1097</v>
      </c>
      <c r="H835" t="s">
        <v>56</v>
      </c>
      <c r="I835" s="1">
        <v>45610</v>
      </c>
      <c r="J835" s="1">
        <v>45944</v>
      </c>
      <c r="K835" s="2">
        <v>46.45</v>
      </c>
      <c r="L835">
        <f t="shared" si="40"/>
        <v>11</v>
      </c>
      <c r="M835" t="s">
        <v>59</v>
      </c>
      <c r="N835" t="s">
        <v>1148</v>
      </c>
      <c r="O835" s="4">
        <v>0.6</v>
      </c>
      <c r="P835" s="16">
        <f t="shared" si="41"/>
        <v>27.87</v>
      </c>
      <c r="Q835" s="2">
        <v>0</v>
      </c>
      <c r="R835" s="2">
        <v>27.87</v>
      </c>
      <c r="S835" s="2">
        <v>27.87</v>
      </c>
      <c r="T835" t="s">
        <v>53</v>
      </c>
    </row>
    <row r="836" spans="1:20" x14ac:dyDescent="0.25">
      <c r="A836">
        <v>2025771713</v>
      </c>
      <c r="B836" t="s">
        <v>1073</v>
      </c>
      <c r="C836" t="s">
        <v>131</v>
      </c>
      <c r="D836" s="6" t="str">
        <f t="shared" si="39"/>
        <v>MATTHEW WHITLOCK</v>
      </c>
      <c r="E836" t="s">
        <v>53</v>
      </c>
      <c r="F836">
        <v>17425766</v>
      </c>
      <c r="G836" t="s">
        <v>1097</v>
      </c>
      <c r="H836" t="s">
        <v>56</v>
      </c>
      <c r="I836" s="1">
        <v>45611</v>
      </c>
      <c r="J836" s="1">
        <v>45945</v>
      </c>
      <c r="K836" s="2">
        <v>52.69</v>
      </c>
      <c r="L836">
        <f t="shared" si="40"/>
        <v>11</v>
      </c>
      <c r="M836" t="s">
        <v>59</v>
      </c>
      <c r="N836" t="s">
        <v>1148</v>
      </c>
      <c r="O836" s="4">
        <v>0.6</v>
      </c>
      <c r="P836" s="16">
        <f t="shared" si="41"/>
        <v>31.613999999999997</v>
      </c>
      <c r="Q836" s="2">
        <v>0</v>
      </c>
      <c r="R836" s="2">
        <v>31.61</v>
      </c>
      <c r="S836" s="2">
        <v>31.61</v>
      </c>
      <c r="T836" t="s">
        <v>53</v>
      </c>
    </row>
    <row r="837" spans="1:20" x14ac:dyDescent="0.25">
      <c r="A837">
        <v>2024737148</v>
      </c>
      <c r="B837" t="s">
        <v>802</v>
      </c>
      <c r="C837" t="s">
        <v>801</v>
      </c>
      <c r="D837" s="6" t="str">
        <f t="shared" si="39"/>
        <v>JACLYN SHACKELFORD</v>
      </c>
      <c r="E837" t="s">
        <v>53</v>
      </c>
      <c r="F837">
        <v>18781057</v>
      </c>
      <c r="G837" t="s">
        <v>1089</v>
      </c>
      <c r="H837" t="s">
        <v>56</v>
      </c>
      <c r="I837" s="1">
        <v>45541</v>
      </c>
      <c r="J837" s="1">
        <v>45936</v>
      </c>
      <c r="K837" s="2">
        <v>96.55</v>
      </c>
      <c r="L837">
        <f t="shared" si="40"/>
        <v>13</v>
      </c>
      <c r="M837" t="s">
        <v>59</v>
      </c>
      <c r="N837" t="s">
        <v>1148</v>
      </c>
      <c r="O837" s="3">
        <v>6.5000000000000002E-2</v>
      </c>
      <c r="P837" s="16">
        <f t="shared" si="41"/>
        <v>6.2757500000000004</v>
      </c>
      <c r="Q837" s="2">
        <v>0</v>
      </c>
      <c r="R837" s="2">
        <v>6.28</v>
      </c>
      <c r="S837" s="2">
        <v>6.28</v>
      </c>
      <c r="T837" t="s">
        <v>53</v>
      </c>
    </row>
    <row r="838" spans="1:20" x14ac:dyDescent="0.25">
      <c r="A838">
        <v>2024425645</v>
      </c>
      <c r="B838" t="s">
        <v>735</v>
      </c>
      <c r="C838" t="s">
        <v>346</v>
      </c>
      <c r="D838" s="6" t="str">
        <f t="shared" si="39"/>
        <v>JACQUELINE FARTHING</v>
      </c>
      <c r="E838" t="s">
        <v>53</v>
      </c>
      <c r="F838">
        <v>8977234</v>
      </c>
      <c r="G838" t="s">
        <v>1078</v>
      </c>
      <c r="H838" t="s">
        <v>56</v>
      </c>
      <c r="I838" s="1">
        <v>45521</v>
      </c>
      <c r="J838" s="1">
        <v>45947</v>
      </c>
      <c r="K838" s="2">
        <v>34.01</v>
      </c>
      <c r="L838">
        <f t="shared" si="40"/>
        <v>14</v>
      </c>
      <c r="M838" t="s">
        <v>59</v>
      </c>
      <c r="N838" t="s">
        <v>1148</v>
      </c>
      <c r="O838" s="3">
        <v>6.5000000000000002E-2</v>
      </c>
      <c r="P838" s="16">
        <f t="shared" si="41"/>
        <v>2.2106499999999998</v>
      </c>
      <c r="Q838" s="2">
        <v>0</v>
      </c>
      <c r="R838" s="2">
        <v>2.21</v>
      </c>
      <c r="S838" s="2">
        <v>2.21</v>
      </c>
      <c r="T838" t="s">
        <v>53</v>
      </c>
    </row>
    <row r="839" spans="1:20" x14ac:dyDescent="0.25">
      <c r="A839">
        <v>2024407150</v>
      </c>
      <c r="B839" t="s">
        <v>804</v>
      </c>
      <c r="C839" t="s">
        <v>803</v>
      </c>
      <c r="D839" s="6" t="str">
        <f t="shared" si="39"/>
        <v>MEGAN LONGENECKER</v>
      </c>
      <c r="E839" t="s">
        <v>53</v>
      </c>
      <c r="F839">
        <v>17425766</v>
      </c>
      <c r="G839" t="s">
        <v>1097</v>
      </c>
      <c r="H839" t="s">
        <v>56</v>
      </c>
      <c r="I839" s="1">
        <v>45520</v>
      </c>
      <c r="J839" s="1">
        <v>45946</v>
      </c>
      <c r="K839" s="2">
        <v>56.69</v>
      </c>
      <c r="L839">
        <f t="shared" si="40"/>
        <v>14</v>
      </c>
      <c r="M839" t="s">
        <v>59</v>
      </c>
      <c r="N839" t="s">
        <v>1148</v>
      </c>
      <c r="O839" s="3">
        <v>6.5000000000000002E-2</v>
      </c>
      <c r="P839" s="16">
        <f t="shared" si="41"/>
        <v>3.68485</v>
      </c>
      <c r="Q839" s="2">
        <v>0</v>
      </c>
      <c r="R839" s="2">
        <v>3.68</v>
      </c>
      <c r="S839" s="2">
        <v>3.68</v>
      </c>
      <c r="T839" t="s">
        <v>53</v>
      </c>
    </row>
    <row r="840" spans="1:20" x14ac:dyDescent="0.25">
      <c r="A840">
        <v>2024382706</v>
      </c>
      <c r="B840" t="s">
        <v>806</v>
      </c>
      <c r="C840" t="s">
        <v>409</v>
      </c>
      <c r="D840" s="6" t="str">
        <f t="shared" si="39"/>
        <v>SARAH LUDDY</v>
      </c>
      <c r="E840" t="s">
        <v>53</v>
      </c>
      <c r="F840">
        <v>17425766</v>
      </c>
      <c r="G840" t="s">
        <v>1097</v>
      </c>
      <c r="H840" t="s">
        <v>56</v>
      </c>
      <c r="I840" s="1">
        <v>45519</v>
      </c>
      <c r="J840" s="1">
        <v>45945</v>
      </c>
      <c r="K840" s="2">
        <v>40.159999999999997</v>
      </c>
      <c r="L840">
        <f t="shared" si="40"/>
        <v>14</v>
      </c>
      <c r="M840" t="s">
        <v>59</v>
      </c>
      <c r="N840" t="s">
        <v>1148</v>
      </c>
      <c r="O840" s="3">
        <v>6.5000000000000002E-2</v>
      </c>
      <c r="P840" s="16">
        <f t="shared" si="41"/>
        <v>2.6103999999999998</v>
      </c>
      <c r="Q840" s="2">
        <v>0</v>
      </c>
      <c r="R840" s="2">
        <v>2.61</v>
      </c>
      <c r="S840" s="2">
        <v>2.61</v>
      </c>
      <c r="T840" t="s">
        <v>53</v>
      </c>
    </row>
    <row r="841" spans="1:20" x14ac:dyDescent="0.25">
      <c r="A841">
        <v>2023510924</v>
      </c>
      <c r="B841" t="s">
        <v>808</v>
      </c>
      <c r="C841" t="s">
        <v>145</v>
      </c>
      <c r="D841" s="6" t="str">
        <f t="shared" si="39"/>
        <v>CHARLES CAMPBELL</v>
      </c>
      <c r="E841" t="s">
        <v>53</v>
      </c>
      <c r="F841">
        <v>18781057</v>
      </c>
      <c r="G841" t="s">
        <v>1089</v>
      </c>
      <c r="H841" t="s">
        <v>56</v>
      </c>
      <c r="I841" s="1">
        <v>45457</v>
      </c>
      <c r="J841" s="1">
        <v>45944</v>
      </c>
      <c r="K841" s="2">
        <v>56.69</v>
      </c>
      <c r="L841">
        <f t="shared" si="40"/>
        <v>16</v>
      </c>
      <c r="M841" t="s">
        <v>59</v>
      </c>
      <c r="N841" t="s">
        <v>1148</v>
      </c>
      <c r="O841" s="3">
        <v>6.5000000000000002E-2</v>
      </c>
      <c r="P841" s="16">
        <f t="shared" si="41"/>
        <v>3.68485</v>
      </c>
      <c r="Q841" s="2">
        <v>0</v>
      </c>
      <c r="R841" s="2">
        <v>3.68</v>
      </c>
      <c r="S841" s="2">
        <v>3.68</v>
      </c>
      <c r="T841" t="s">
        <v>53</v>
      </c>
    </row>
    <row r="842" spans="1:20" x14ac:dyDescent="0.25">
      <c r="A842">
        <v>2023499225</v>
      </c>
      <c r="B842" t="s">
        <v>810</v>
      </c>
      <c r="C842" t="s">
        <v>205</v>
      </c>
      <c r="D842" s="6" t="str">
        <f t="shared" si="39"/>
        <v>RHONDA SURRATT</v>
      </c>
      <c r="E842" t="s">
        <v>53</v>
      </c>
      <c r="F842">
        <v>18781057</v>
      </c>
      <c r="G842" t="s">
        <v>1089</v>
      </c>
      <c r="H842" t="s">
        <v>56</v>
      </c>
      <c r="I842" s="1">
        <v>45456</v>
      </c>
      <c r="J842" s="1">
        <v>45943</v>
      </c>
      <c r="K842" s="2">
        <v>56.69</v>
      </c>
      <c r="L842">
        <f t="shared" si="40"/>
        <v>16</v>
      </c>
      <c r="M842" t="s">
        <v>59</v>
      </c>
      <c r="N842" t="s">
        <v>1148</v>
      </c>
      <c r="O842" s="3">
        <v>6.5000000000000002E-2</v>
      </c>
      <c r="P842" s="16">
        <f t="shared" si="41"/>
        <v>3.68485</v>
      </c>
      <c r="Q842" s="2">
        <v>0</v>
      </c>
      <c r="R842" s="2">
        <v>3.68</v>
      </c>
      <c r="S842" s="2">
        <v>3.68</v>
      </c>
      <c r="T842" t="s">
        <v>53</v>
      </c>
    </row>
    <row r="843" spans="1:20" x14ac:dyDescent="0.25">
      <c r="A843">
        <v>2022721020</v>
      </c>
      <c r="B843" t="s">
        <v>817</v>
      </c>
      <c r="C843" t="s">
        <v>49</v>
      </c>
      <c r="D843" s="6" t="str">
        <f t="shared" si="39"/>
        <v>MICHAEL LARKIN</v>
      </c>
      <c r="E843" t="s">
        <v>53</v>
      </c>
      <c r="F843">
        <v>18781057</v>
      </c>
      <c r="G843" t="s">
        <v>1089</v>
      </c>
      <c r="H843" t="s">
        <v>56</v>
      </c>
      <c r="I843" s="1">
        <v>45413</v>
      </c>
      <c r="J843" s="1">
        <v>45931</v>
      </c>
      <c r="K843" s="2">
        <v>40.159999999999997</v>
      </c>
      <c r="L843">
        <f t="shared" si="40"/>
        <v>17</v>
      </c>
      <c r="M843" t="s">
        <v>59</v>
      </c>
      <c r="N843" t="s">
        <v>1148</v>
      </c>
      <c r="O843" s="3">
        <v>6.5000000000000002E-2</v>
      </c>
      <c r="P843" s="16">
        <f t="shared" si="41"/>
        <v>2.6103999999999998</v>
      </c>
      <c r="Q843" s="2">
        <v>0</v>
      </c>
      <c r="R843" s="2">
        <v>2.61</v>
      </c>
      <c r="S843" s="2">
        <v>2.61</v>
      </c>
      <c r="T843" t="s">
        <v>53</v>
      </c>
    </row>
    <row r="844" spans="1:20" x14ac:dyDescent="0.25">
      <c r="A844">
        <v>2022279767</v>
      </c>
      <c r="B844" t="s">
        <v>61</v>
      </c>
      <c r="C844" t="s">
        <v>62</v>
      </c>
      <c r="D844" s="6" t="str">
        <f t="shared" si="39"/>
        <v>WILLIAM HEIMKREITER</v>
      </c>
      <c r="E844" t="s">
        <v>53</v>
      </c>
      <c r="F844">
        <v>18598357</v>
      </c>
      <c r="G844" t="s">
        <v>1084</v>
      </c>
      <c r="H844" t="s">
        <v>56</v>
      </c>
      <c r="I844" s="1">
        <v>45371</v>
      </c>
      <c r="J844" s="1">
        <v>45950</v>
      </c>
      <c r="K844" s="2">
        <v>46.46</v>
      </c>
      <c r="L844">
        <f t="shared" si="40"/>
        <v>19</v>
      </c>
      <c r="M844" t="s">
        <v>59</v>
      </c>
      <c r="N844" t="s">
        <v>1148</v>
      </c>
      <c r="O844" s="3">
        <v>2.5000000000000001E-2</v>
      </c>
      <c r="P844" s="16">
        <f t="shared" si="41"/>
        <v>1.1615</v>
      </c>
      <c r="Q844" s="2">
        <v>0</v>
      </c>
      <c r="R844" s="2">
        <v>1.1599999999999999</v>
      </c>
      <c r="S844" s="2">
        <v>1.1599999999999999</v>
      </c>
      <c r="T844" t="s">
        <v>53</v>
      </c>
    </row>
  </sheetData>
  <sortState xmlns:xlrd2="http://schemas.microsoft.com/office/spreadsheetml/2017/richdata2" ref="A2:BA877">
    <sortCondition ref="T2:T87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94D3F-53A6-442B-9C8F-4270B91EB5EA}">
  <dimension ref="A1:S33"/>
  <sheetViews>
    <sheetView workbookViewId="0">
      <selection activeCell="E19" sqref="E19"/>
    </sheetView>
  </sheetViews>
  <sheetFormatPr defaultRowHeight="15" x14ac:dyDescent="0.25"/>
  <cols>
    <col min="1" max="1" width="11" bestFit="1" customWidth="1"/>
  </cols>
  <sheetData>
    <row r="1" spans="1:19" x14ac:dyDescent="0.25">
      <c r="A1" t="s">
        <v>3</v>
      </c>
      <c r="B1" t="s">
        <v>4</v>
      </c>
      <c r="C1" t="s">
        <v>5</v>
      </c>
      <c r="D1" t="s">
        <v>9</v>
      </c>
      <c r="E1" t="s">
        <v>10</v>
      </c>
      <c r="F1" t="s">
        <v>1074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20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</row>
    <row r="2" spans="1:19" s="6" customFormat="1" x14ac:dyDescent="0.25">
      <c r="A2" s="6">
        <v>2029966004</v>
      </c>
      <c r="B2" s="6" t="s">
        <v>55</v>
      </c>
      <c r="C2" s="6" t="s">
        <v>615</v>
      </c>
      <c r="D2" s="6" t="s">
        <v>445</v>
      </c>
      <c r="E2" s="6">
        <v>16912722</v>
      </c>
      <c r="F2" s="6" t="s">
        <v>1111</v>
      </c>
      <c r="G2" s="6" t="s">
        <v>230</v>
      </c>
      <c r="H2" s="5">
        <v>45854</v>
      </c>
      <c r="J2" s="7">
        <v>0</v>
      </c>
      <c r="M2" s="7">
        <v>0</v>
      </c>
      <c r="N2" s="7">
        <v>50.93</v>
      </c>
      <c r="O2" s="7">
        <v>-254.66</v>
      </c>
      <c r="P2" s="7">
        <v>-254.66</v>
      </c>
      <c r="Q2" s="7">
        <v>0</v>
      </c>
      <c r="R2" s="7">
        <v>0</v>
      </c>
      <c r="S2" s="6" t="s">
        <v>605</v>
      </c>
    </row>
    <row r="3" spans="1:19" s="6" customFormat="1" x14ac:dyDescent="0.25">
      <c r="A3" s="6">
        <v>2030574908</v>
      </c>
      <c r="B3" s="6" t="s">
        <v>609</v>
      </c>
      <c r="C3" s="6" t="s">
        <v>608</v>
      </c>
      <c r="D3" s="6" t="s">
        <v>307</v>
      </c>
      <c r="E3" s="6">
        <v>649163</v>
      </c>
      <c r="F3" s="6" t="s">
        <v>1082</v>
      </c>
      <c r="G3" s="6" t="s">
        <v>230</v>
      </c>
      <c r="H3" s="5">
        <v>45901</v>
      </c>
      <c r="J3" s="7">
        <v>0</v>
      </c>
      <c r="M3" s="7">
        <v>0</v>
      </c>
      <c r="N3" s="7">
        <v>22.19</v>
      </c>
      <c r="O3" s="7">
        <v>-110.92</v>
      </c>
      <c r="P3" s="7">
        <v>-110.92</v>
      </c>
      <c r="Q3" s="7">
        <v>0</v>
      </c>
      <c r="R3" s="7">
        <v>0</v>
      </c>
      <c r="S3" s="6" t="s">
        <v>605</v>
      </c>
    </row>
    <row r="4" spans="1:19" s="6" customFormat="1" x14ac:dyDescent="0.25">
      <c r="A4" s="6">
        <v>2030574907</v>
      </c>
      <c r="B4" s="6" t="s">
        <v>609</v>
      </c>
      <c r="C4" s="6" t="s">
        <v>608</v>
      </c>
      <c r="D4" s="6" t="s">
        <v>184</v>
      </c>
      <c r="E4" s="6">
        <v>649163</v>
      </c>
      <c r="F4" s="6" t="s">
        <v>1082</v>
      </c>
      <c r="G4" s="6" t="s">
        <v>230</v>
      </c>
      <c r="H4" s="5">
        <v>45901</v>
      </c>
      <c r="J4" s="7">
        <v>0</v>
      </c>
      <c r="M4" s="7">
        <v>0</v>
      </c>
      <c r="N4" s="7">
        <v>52.59</v>
      </c>
      <c r="O4" s="7">
        <v>-262.95</v>
      </c>
      <c r="P4" s="7">
        <v>-262.95</v>
      </c>
      <c r="Q4" s="7">
        <v>0</v>
      </c>
      <c r="R4" s="7">
        <v>0</v>
      </c>
      <c r="S4" s="6" t="s">
        <v>605</v>
      </c>
    </row>
    <row r="5" spans="1:19" s="6" customFormat="1" x14ac:dyDescent="0.25">
      <c r="A5" s="6">
        <v>2030574906</v>
      </c>
      <c r="B5" s="6" t="s">
        <v>609</v>
      </c>
      <c r="C5" s="6" t="s">
        <v>608</v>
      </c>
      <c r="D5" s="6" t="s">
        <v>445</v>
      </c>
      <c r="E5" s="6">
        <v>649163</v>
      </c>
      <c r="F5" s="6" t="s">
        <v>1082</v>
      </c>
      <c r="G5" s="6" t="s">
        <v>230</v>
      </c>
      <c r="H5" s="5">
        <v>45901</v>
      </c>
      <c r="J5" s="7">
        <v>0</v>
      </c>
      <c r="M5" s="7">
        <v>0</v>
      </c>
      <c r="N5" s="7">
        <v>23.48</v>
      </c>
      <c r="O5" s="7">
        <v>-117.39</v>
      </c>
      <c r="P5" s="7">
        <v>-117.39</v>
      </c>
      <c r="Q5" s="7">
        <v>0</v>
      </c>
      <c r="R5" s="7">
        <v>0</v>
      </c>
      <c r="S5" s="6" t="s">
        <v>605</v>
      </c>
    </row>
    <row r="6" spans="1:19" s="6" customFormat="1" x14ac:dyDescent="0.25">
      <c r="A6" s="6">
        <v>2028973238</v>
      </c>
      <c r="B6" s="6" t="s">
        <v>621</v>
      </c>
      <c r="C6" s="6" t="s">
        <v>368</v>
      </c>
      <c r="D6" s="6" t="s">
        <v>575</v>
      </c>
      <c r="E6" s="6">
        <v>649163</v>
      </c>
      <c r="F6" s="6" t="s">
        <v>1115</v>
      </c>
      <c r="G6" s="6" t="s">
        <v>230</v>
      </c>
      <c r="H6" s="5">
        <v>45809</v>
      </c>
      <c r="J6" s="7">
        <v>0</v>
      </c>
      <c r="M6" s="7">
        <v>0</v>
      </c>
      <c r="N6" s="7">
        <v>193.45</v>
      </c>
      <c r="O6" s="7">
        <v>-96.73</v>
      </c>
      <c r="P6" s="7">
        <v>-96.73</v>
      </c>
      <c r="Q6" s="7">
        <v>0</v>
      </c>
      <c r="R6" s="7">
        <v>0</v>
      </c>
      <c r="S6" s="6" t="s">
        <v>605</v>
      </c>
    </row>
    <row r="7" spans="1:19" s="6" customFormat="1" x14ac:dyDescent="0.25">
      <c r="A7" s="6">
        <v>2030868834</v>
      </c>
      <c r="B7" s="6" t="s">
        <v>234</v>
      </c>
      <c r="C7" s="6" t="s">
        <v>109</v>
      </c>
      <c r="D7" s="6" t="s">
        <v>107</v>
      </c>
      <c r="E7" s="6">
        <v>649163</v>
      </c>
      <c r="F7" s="6" t="s">
        <v>1098</v>
      </c>
      <c r="G7" s="6" t="s">
        <v>230</v>
      </c>
      <c r="H7" s="5">
        <v>45906</v>
      </c>
      <c r="J7" s="7">
        <v>0</v>
      </c>
      <c r="M7" s="7">
        <v>0</v>
      </c>
      <c r="N7" s="7">
        <v>217.85</v>
      </c>
      <c r="O7" s="7">
        <v>-1089.22</v>
      </c>
      <c r="P7" s="7">
        <v>-1089.22</v>
      </c>
      <c r="Q7" s="7">
        <v>0</v>
      </c>
      <c r="R7" s="7">
        <v>0</v>
      </c>
      <c r="S7" s="6" t="s">
        <v>605</v>
      </c>
    </row>
    <row r="8" spans="1:19" s="6" customFormat="1" x14ac:dyDescent="0.25">
      <c r="A8" s="6">
        <v>2029067254</v>
      </c>
      <c r="B8" s="6" t="s">
        <v>620</v>
      </c>
      <c r="C8" s="6" t="s">
        <v>619</v>
      </c>
      <c r="D8" s="6" t="s">
        <v>445</v>
      </c>
      <c r="E8" s="6">
        <v>649163</v>
      </c>
      <c r="F8" s="6" t="s">
        <v>1107</v>
      </c>
      <c r="G8" s="6" t="s">
        <v>230</v>
      </c>
      <c r="H8" s="5">
        <v>45809</v>
      </c>
      <c r="J8" s="7">
        <v>0</v>
      </c>
      <c r="M8" s="7">
        <v>0</v>
      </c>
      <c r="N8" s="7">
        <v>54.57</v>
      </c>
      <c r="O8" s="7">
        <v>-27.29</v>
      </c>
      <c r="P8" s="7">
        <v>-27.29</v>
      </c>
      <c r="Q8" s="7">
        <v>0</v>
      </c>
      <c r="R8" s="7">
        <v>0</v>
      </c>
      <c r="S8" s="6" t="s">
        <v>605</v>
      </c>
    </row>
    <row r="9" spans="1:19" s="6" customFormat="1" x14ac:dyDescent="0.25">
      <c r="A9" s="6">
        <v>2029067255</v>
      </c>
      <c r="B9" s="6" t="s">
        <v>620</v>
      </c>
      <c r="C9" s="6" t="s">
        <v>619</v>
      </c>
      <c r="D9" s="6" t="s">
        <v>146</v>
      </c>
      <c r="E9" s="6">
        <v>649163</v>
      </c>
      <c r="F9" s="6" t="s">
        <v>1107</v>
      </c>
      <c r="G9" s="6" t="s">
        <v>230</v>
      </c>
      <c r="H9" s="5">
        <v>45809</v>
      </c>
      <c r="J9" s="7">
        <v>0</v>
      </c>
      <c r="M9" s="7">
        <v>0</v>
      </c>
      <c r="N9" s="7">
        <v>64.430000000000007</v>
      </c>
      <c r="O9" s="7">
        <v>-32.21</v>
      </c>
      <c r="P9" s="7">
        <v>-32.21</v>
      </c>
      <c r="Q9" s="7">
        <v>0</v>
      </c>
      <c r="R9" s="7">
        <v>0</v>
      </c>
      <c r="S9" s="6" t="s">
        <v>605</v>
      </c>
    </row>
    <row r="10" spans="1:19" s="6" customFormat="1" x14ac:dyDescent="0.25">
      <c r="A10" s="6">
        <v>2029416122</v>
      </c>
      <c r="B10" s="6" t="s">
        <v>618</v>
      </c>
      <c r="C10" s="6" t="s">
        <v>617</v>
      </c>
      <c r="D10" s="6" t="s">
        <v>307</v>
      </c>
      <c r="E10" s="6">
        <v>16865615</v>
      </c>
      <c r="F10" s="6" t="s">
        <v>1107</v>
      </c>
      <c r="G10" s="6" t="s">
        <v>230</v>
      </c>
      <c r="H10" s="5">
        <v>45824</v>
      </c>
      <c r="J10" s="7">
        <v>0</v>
      </c>
      <c r="M10" s="7">
        <v>0</v>
      </c>
      <c r="N10" s="7">
        <v>46.84</v>
      </c>
      <c r="O10" s="7">
        <v>-93.67</v>
      </c>
      <c r="P10" s="7">
        <v>-93.67</v>
      </c>
      <c r="Q10" s="7">
        <v>0</v>
      </c>
      <c r="R10" s="7">
        <v>0</v>
      </c>
      <c r="S10" s="6" t="s">
        <v>605</v>
      </c>
    </row>
    <row r="11" spans="1:19" s="6" customFormat="1" x14ac:dyDescent="0.25">
      <c r="A11" s="6">
        <v>2029416123</v>
      </c>
      <c r="B11" s="6" t="s">
        <v>618</v>
      </c>
      <c r="C11" s="6" t="s">
        <v>617</v>
      </c>
      <c r="D11" s="6" t="s">
        <v>438</v>
      </c>
      <c r="E11" s="6">
        <v>16865615</v>
      </c>
      <c r="F11" s="6" t="s">
        <v>1107</v>
      </c>
      <c r="G11" s="6" t="s">
        <v>230</v>
      </c>
      <c r="H11" s="5">
        <v>45824</v>
      </c>
      <c r="J11" s="7">
        <v>0</v>
      </c>
      <c r="M11" s="7">
        <v>0</v>
      </c>
      <c r="N11" s="7">
        <v>155.21</v>
      </c>
      <c r="O11" s="7">
        <v>-310.41000000000003</v>
      </c>
      <c r="P11" s="7">
        <v>-310.41000000000003</v>
      </c>
      <c r="Q11" s="7">
        <v>0</v>
      </c>
      <c r="R11" s="7">
        <v>0</v>
      </c>
      <c r="S11" s="6" t="s">
        <v>605</v>
      </c>
    </row>
    <row r="12" spans="1:19" s="6" customFormat="1" x14ac:dyDescent="0.25">
      <c r="A12" s="6">
        <v>2029416125</v>
      </c>
      <c r="B12" s="6" t="s">
        <v>618</v>
      </c>
      <c r="C12" s="6" t="s">
        <v>617</v>
      </c>
      <c r="D12" s="6" t="s">
        <v>439</v>
      </c>
      <c r="E12" s="6">
        <v>16865615</v>
      </c>
      <c r="F12" s="6" t="s">
        <v>1107</v>
      </c>
      <c r="G12" s="6" t="s">
        <v>230</v>
      </c>
      <c r="H12" s="5">
        <v>45824</v>
      </c>
      <c r="J12" s="7">
        <v>0</v>
      </c>
      <c r="M12" s="7">
        <v>0</v>
      </c>
      <c r="N12" s="7">
        <v>5.39</v>
      </c>
      <c r="O12" s="7">
        <v>-10.78</v>
      </c>
      <c r="P12" s="7">
        <v>-10.78</v>
      </c>
      <c r="Q12" s="7">
        <v>0</v>
      </c>
      <c r="R12" s="7">
        <v>0</v>
      </c>
      <c r="S12" s="6" t="s">
        <v>605</v>
      </c>
    </row>
    <row r="13" spans="1:19" s="6" customFormat="1" x14ac:dyDescent="0.25">
      <c r="A13" s="6">
        <v>2029416126</v>
      </c>
      <c r="B13" s="6" t="s">
        <v>618</v>
      </c>
      <c r="C13" s="6" t="s">
        <v>617</v>
      </c>
      <c r="D13" s="6" t="s">
        <v>445</v>
      </c>
      <c r="E13" s="6">
        <v>16865615</v>
      </c>
      <c r="F13" s="6" t="s">
        <v>1107</v>
      </c>
      <c r="G13" s="6" t="s">
        <v>230</v>
      </c>
      <c r="H13" s="5">
        <v>45824</v>
      </c>
      <c r="J13" s="7">
        <v>0</v>
      </c>
      <c r="M13" s="7">
        <v>0</v>
      </c>
      <c r="N13" s="7">
        <v>12.74</v>
      </c>
      <c r="O13" s="7">
        <v>-25.48</v>
      </c>
      <c r="P13" s="7">
        <v>-25.48</v>
      </c>
      <c r="Q13" s="7">
        <v>0</v>
      </c>
      <c r="R13" s="7">
        <v>0</v>
      </c>
      <c r="S13" s="6" t="s">
        <v>605</v>
      </c>
    </row>
    <row r="14" spans="1:19" s="6" customFormat="1" x14ac:dyDescent="0.25">
      <c r="A14" s="6">
        <v>2030469675</v>
      </c>
      <c r="B14" s="6" t="s">
        <v>612</v>
      </c>
      <c r="C14" s="6" t="s">
        <v>611</v>
      </c>
      <c r="D14" s="6" t="s">
        <v>431</v>
      </c>
      <c r="E14" s="6">
        <v>649163</v>
      </c>
      <c r="F14" s="6" t="s">
        <v>1089</v>
      </c>
      <c r="G14" s="6" t="s">
        <v>230</v>
      </c>
      <c r="H14" s="5">
        <v>45901</v>
      </c>
      <c r="J14" s="7">
        <v>0</v>
      </c>
      <c r="M14" s="7">
        <v>0</v>
      </c>
      <c r="N14" s="7">
        <v>4.47</v>
      </c>
      <c r="O14" s="7">
        <v>-22.37</v>
      </c>
      <c r="P14" s="7">
        <v>-22.37</v>
      </c>
      <c r="Q14" s="7">
        <v>0</v>
      </c>
      <c r="R14" s="7">
        <v>0</v>
      </c>
      <c r="S14" s="6" t="s">
        <v>605</v>
      </c>
    </row>
    <row r="15" spans="1:19" s="6" customFormat="1" x14ac:dyDescent="0.25">
      <c r="A15" s="6">
        <v>2030469676</v>
      </c>
      <c r="B15" s="6" t="s">
        <v>612</v>
      </c>
      <c r="C15" s="6" t="s">
        <v>611</v>
      </c>
      <c r="D15" s="6" t="s">
        <v>53</v>
      </c>
      <c r="E15" s="6">
        <v>649163</v>
      </c>
      <c r="F15" s="6" t="s">
        <v>1089</v>
      </c>
      <c r="G15" s="6" t="s">
        <v>230</v>
      </c>
      <c r="H15" s="5">
        <v>45901</v>
      </c>
      <c r="J15" s="7">
        <v>0</v>
      </c>
      <c r="M15" s="7">
        <v>0</v>
      </c>
      <c r="N15" s="7">
        <v>27.87</v>
      </c>
      <c r="O15" s="7">
        <v>-139.35</v>
      </c>
      <c r="P15" s="7">
        <v>-139.35</v>
      </c>
      <c r="Q15" s="7">
        <v>0</v>
      </c>
      <c r="R15" s="7">
        <v>0</v>
      </c>
      <c r="S15" s="6" t="s">
        <v>605</v>
      </c>
    </row>
    <row r="16" spans="1:19" s="6" customFormat="1" x14ac:dyDescent="0.25">
      <c r="A16" s="6">
        <v>2030469677</v>
      </c>
      <c r="B16" s="6" t="s">
        <v>612</v>
      </c>
      <c r="C16" s="6" t="s">
        <v>611</v>
      </c>
      <c r="D16" s="6" t="s">
        <v>307</v>
      </c>
      <c r="E16" s="6">
        <v>649163</v>
      </c>
      <c r="F16" s="6" t="s">
        <v>1089</v>
      </c>
      <c r="G16" s="6" t="s">
        <v>230</v>
      </c>
      <c r="H16" s="5">
        <v>45901</v>
      </c>
      <c r="J16" s="7">
        <v>0</v>
      </c>
      <c r="M16" s="7">
        <v>0</v>
      </c>
      <c r="N16" s="7">
        <v>10.01</v>
      </c>
      <c r="O16" s="7">
        <v>-50.07</v>
      </c>
      <c r="P16" s="7">
        <v>-50.07</v>
      </c>
      <c r="Q16" s="7">
        <v>0</v>
      </c>
      <c r="R16" s="7">
        <v>0</v>
      </c>
      <c r="S16" s="6" t="s">
        <v>605</v>
      </c>
    </row>
    <row r="17" spans="1:19" s="6" customFormat="1" x14ac:dyDescent="0.25">
      <c r="A17" s="6">
        <v>2029368470</v>
      </c>
      <c r="B17" s="6" t="s">
        <v>416</v>
      </c>
      <c r="C17" s="6" t="s">
        <v>616</v>
      </c>
      <c r="D17" s="6" t="s">
        <v>307</v>
      </c>
      <c r="E17" s="6">
        <v>649163</v>
      </c>
      <c r="F17" s="6" t="s">
        <v>1096</v>
      </c>
      <c r="G17" s="6" t="s">
        <v>230</v>
      </c>
      <c r="H17" s="5">
        <v>45839</v>
      </c>
      <c r="J17" s="7">
        <v>0</v>
      </c>
      <c r="M17" s="7">
        <v>0</v>
      </c>
      <c r="N17" s="7">
        <v>78.5</v>
      </c>
      <c r="O17" s="7">
        <v>-78.510000000000005</v>
      </c>
      <c r="P17" s="7">
        <v>-78.510000000000005</v>
      </c>
      <c r="Q17" s="7">
        <v>0</v>
      </c>
      <c r="R17" s="7">
        <v>0</v>
      </c>
      <c r="S17" s="6" t="s">
        <v>605</v>
      </c>
    </row>
    <row r="18" spans="1:19" s="6" customFormat="1" x14ac:dyDescent="0.25">
      <c r="A18" s="6">
        <v>2030479075</v>
      </c>
      <c r="B18" s="6" t="s">
        <v>156</v>
      </c>
      <c r="C18" s="6" t="s">
        <v>610</v>
      </c>
      <c r="D18" s="6" t="s">
        <v>307</v>
      </c>
      <c r="E18" s="6">
        <v>649163</v>
      </c>
      <c r="F18" s="6" t="s">
        <v>1096</v>
      </c>
      <c r="G18" s="6" t="s">
        <v>230</v>
      </c>
      <c r="H18" s="5">
        <v>45886</v>
      </c>
      <c r="J18" s="7">
        <v>0</v>
      </c>
      <c r="M18" s="7">
        <v>0</v>
      </c>
      <c r="N18" s="7">
        <v>7.23</v>
      </c>
      <c r="O18" s="7">
        <v>-36.15</v>
      </c>
      <c r="P18" s="7">
        <v>-36.15</v>
      </c>
      <c r="Q18" s="7">
        <v>0</v>
      </c>
      <c r="R18" s="7">
        <v>0</v>
      </c>
      <c r="S18" s="6" t="s">
        <v>605</v>
      </c>
    </row>
    <row r="19" spans="1:19" s="6" customFormat="1" x14ac:dyDescent="0.25">
      <c r="A19" s="6">
        <v>2030009011</v>
      </c>
      <c r="B19" s="6" t="s">
        <v>614</v>
      </c>
      <c r="C19" s="6" t="s">
        <v>613</v>
      </c>
      <c r="D19" s="6" t="s">
        <v>442</v>
      </c>
      <c r="E19" s="6">
        <v>21436172</v>
      </c>
      <c r="F19" s="6" t="s">
        <v>1126</v>
      </c>
      <c r="G19" s="6" t="s">
        <v>230</v>
      </c>
      <c r="H19" s="5">
        <v>45856</v>
      </c>
      <c r="J19" s="7">
        <v>0</v>
      </c>
      <c r="M19" s="7">
        <v>0</v>
      </c>
      <c r="N19" s="7">
        <v>52.61</v>
      </c>
      <c r="O19" s="7">
        <v>-263.07</v>
      </c>
      <c r="P19" s="7">
        <v>-263.07</v>
      </c>
      <c r="Q19" s="7">
        <v>0</v>
      </c>
      <c r="R19" s="7">
        <v>0</v>
      </c>
      <c r="S19" s="6" t="s">
        <v>605</v>
      </c>
    </row>
    <row r="20" spans="1:19" s="6" customFormat="1" x14ac:dyDescent="0.25">
      <c r="A20" s="6">
        <v>2030683642</v>
      </c>
      <c r="B20" s="6" t="s">
        <v>607</v>
      </c>
      <c r="C20" s="6" t="s">
        <v>606</v>
      </c>
      <c r="D20" s="6" t="s">
        <v>445</v>
      </c>
      <c r="E20" s="6">
        <v>649163</v>
      </c>
      <c r="F20" s="6" t="s">
        <v>1105</v>
      </c>
      <c r="G20" s="6" t="s">
        <v>230</v>
      </c>
      <c r="H20" s="5">
        <v>45901</v>
      </c>
      <c r="J20" s="7">
        <v>0</v>
      </c>
      <c r="M20" s="7">
        <v>0</v>
      </c>
      <c r="N20" s="7">
        <v>70.67</v>
      </c>
      <c r="O20" s="7">
        <v>-353.32</v>
      </c>
      <c r="P20" s="7">
        <v>-353.32</v>
      </c>
      <c r="Q20" s="7">
        <v>0</v>
      </c>
      <c r="R20" s="7">
        <v>0</v>
      </c>
      <c r="S20" s="6" t="s">
        <v>605</v>
      </c>
    </row>
    <row r="21" spans="1:19" s="6" customFormat="1" x14ac:dyDescent="0.25">
      <c r="A21" s="6">
        <v>2028840698</v>
      </c>
      <c r="B21" s="6" t="s">
        <v>622</v>
      </c>
      <c r="C21" s="6" t="s">
        <v>163</v>
      </c>
      <c r="D21" s="6" t="s">
        <v>445</v>
      </c>
      <c r="E21" s="6">
        <v>649163</v>
      </c>
      <c r="F21" s="6" t="s">
        <v>1078</v>
      </c>
      <c r="G21" s="6" t="s">
        <v>230</v>
      </c>
      <c r="H21" s="5">
        <v>45809</v>
      </c>
      <c r="J21" s="7">
        <v>0</v>
      </c>
      <c r="M21" s="7">
        <v>0</v>
      </c>
      <c r="N21" s="7">
        <v>83.41</v>
      </c>
      <c r="O21" s="7">
        <v>-41.71</v>
      </c>
      <c r="P21" s="7">
        <v>-41.71</v>
      </c>
      <c r="Q21" s="7">
        <v>0</v>
      </c>
      <c r="R21" s="7">
        <v>0</v>
      </c>
      <c r="S21" s="6" t="s">
        <v>605</v>
      </c>
    </row>
    <row r="22" spans="1:19" s="6" customFormat="1" x14ac:dyDescent="0.25">
      <c r="A22" s="6">
        <v>2028840699</v>
      </c>
      <c r="B22" s="6" t="s">
        <v>622</v>
      </c>
      <c r="C22" s="6" t="s">
        <v>163</v>
      </c>
      <c r="D22" s="6" t="s">
        <v>545</v>
      </c>
      <c r="E22" s="6">
        <v>649163</v>
      </c>
      <c r="F22" s="6" t="s">
        <v>1078</v>
      </c>
      <c r="G22" s="6" t="s">
        <v>230</v>
      </c>
      <c r="H22" s="5">
        <v>45809</v>
      </c>
      <c r="J22" s="7">
        <v>0</v>
      </c>
      <c r="M22" s="7">
        <v>0</v>
      </c>
      <c r="N22" s="7">
        <v>72.040000000000006</v>
      </c>
      <c r="O22" s="7">
        <v>-36.03</v>
      </c>
      <c r="P22" s="7">
        <v>-36.03</v>
      </c>
      <c r="Q22" s="7">
        <v>0</v>
      </c>
      <c r="R22" s="7">
        <v>0</v>
      </c>
      <c r="S22" s="6" t="s">
        <v>605</v>
      </c>
    </row>
    <row r="23" spans="1:19" s="6" customFormat="1" x14ac:dyDescent="0.25">
      <c r="A23" s="6">
        <v>2028840700</v>
      </c>
      <c r="B23" s="6" t="s">
        <v>622</v>
      </c>
      <c r="C23" s="6" t="s">
        <v>163</v>
      </c>
      <c r="D23" s="6" t="s">
        <v>184</v>
      </c>
      <c r="E23" s="6">
        <v>649163</v>
      </c>
      <c r="F23" s="6" t="s">
        <v>1078</v>
      </c>
      <c r="G23" s="6" t="s">
        <v>230</v>
      </c>
      <c r="H23" s="5">
        <v>45809</v>
      </c>
      <c r="J23" s="7">
        <v>0</v>
      </c>
      <c r="M23" s="7">
        <v>0</v>
      </c>
      <c r="N23" s="7">
        <v>29.28</v>
      </c>
      <c r="O23" s="7">
        <v>-14.64</v>
      </c>
      <c r="P23" s="7">
        <v>-14.64</v>
      </c>
      <c r="Q23" s="7">
        <v>0</v>
      </c>
      <c r="R23" s="7">
        <v>0</v>
      </c>
      <c r="S23" s="6" t="s">
        <v>605</v>
      </c>
    </row>
    <row r="24" spans="1:19" s="6" customFormat="1" x14ac:dyDescent="0.25">
      <c r="A24" s="6">
        <v>2030218150</v>
      </c>
      <c r="B24" s="6" t="s">
        <v>331</v>
      </c>
      <c r="C24" s="6" t="s">
        <v>281</v>
      </c>
      <c r="D24" s="6" t="s">
        <v>445</v>
      </c>
      <c r="E24" s="6">
        <v>649163</v>
      </c>
      <c r="F24" s="6" t="s">
        <v>1111</v>
      </c>
      <c r="G24" s="6" t="s">
        <v>230</v>
      </c>
      <c r="H24" s="5">
        <v>45870</v>
      </c>
      <c r="J24" s="7">
        <v>0</v>
      </c>
      <c r="M24" s="7">
        <v>0</v>
      </c>
      <c r="N24" s="7">
        <v>165.12</v>
      </c>
      <c r="O24" s="7">
        <v>-330.23</v>
      </c>
      <c r="P24" s="7">
        <v>-330.23</v>
      </c>
      <c r="Q24" s="7">
        <v>0</v>
      </c>
      <c r="R24" s="7">
        <v>0</v>
      </c>
      <c r="S24" s="6" t="s">
        <v>603</v>
      </c>
    </row>
    <row r="25" spans="1:19" s="6" customFormat="1" x14ac:dyDescent="0.25">
      <c r="A25" s="6">
        <v>2030720647</v>
      </c>
      <c r="B25" s="6" t="s">
        <v>558</v>
      </c>
      <c r="C25" s="6" t="s">
        <v>559</v>
      </c>
      <c r="D25" s="6" t="s">
        <v>445</v>
      </c>
      <c r="E25" s="6">
        <v>649163</v>
      </c>
      <c r="F25" s="6" t="s">
        <v>1128</v>
      </c>
      <c r="G25" s="6" t="s">
        <v>230</v>
      </c>
      <c r="H25" s="5">
        <v>45901</v>
      </c>
      <c r="J25" s="7">
        <v>0</v>
      </c>
      <c r="M25" s="7">
        <v>0</v>
      </c>
      <c r="N25" s="7">
        <v>114.4</v>
      </c>
      <c r="O25" s="7">
        <v>-572.01</v>
      </c>
      <c r="P25" s="7">
        <v>-572.01</v>
      </c>
      <c r="Q25" s="7">
        <v>0</v>
      </c>
      <c r="R25" s="7">
        <v>0</v>
      </c>
      <c r="S25" s="6" t="s">
        <v>603</v>
      </c>
    </row>
    <row r="26" spans="1:19" s="10" customFormat="1" x14ac:dyDescent="0.25">
      <c r="A26" s="10">
        <v>2030846037</v>
      </c>
      <c r="B26" s="10" t="s">
        <v>414</v>
      </c>
      <c r="C26" s="10" t="s">
        <v>415</v>
      </c>
      <c r="D26" s="10" t="s">
        <v>307</v>
      </c>
      <c r="E26" s="10">
        <v>649163</v>
      </c>
      <c r="F26" s="10" t="s">
        <v>1096</v>
      </c>
      <c r="G26" s="10" t="s">
        <v>230</v>
      </c>
      <c r="H26" s="11">
        <v>45913</v>
      </c>
      <c r="J26" s="12">
        <v>0</v>
      </c>
      <c r="M26" s="12">
        <v>0</v>
      </c>
      <c r="N26" s="12">
        <v>10.64</v>
      </c>
      <c r="O26" s="12">
        <v>-53.2</v>
      </c>
      <c r="P26" s="12">
        <v>-53.2</v>
      </c>
      <c r="Q26" s="12">
        <v>0</v>
      </c>
      <c r="R26" s="12">
        <v>0</v>
      </c>
      <c r="S26" s="10" t="s">
        <v>603</v>
      </c>
    </row>
    <row r="27" spans="1:19" s="6" customFormat="1" x14ac:dyDescent="0.25">
      <c r="A27" s="6">
        <v>2029599902</v>
      </c>
      <c r="B27" s="6" t="s">
        <v>604</v>
      </c>
      <c r="C27" s="6" t="s">
        <v>486</v>
      </c>
      <c r="D27" s="6" t="s">
        <v>445</v>
      </c>
      <c r="E27" s="6">
        <v>21421111</v>
      </c>
      <c r="F27" s="6" t="s">
        <v>1096</v>
      </c>
      <c r="G27" s="6" t="s">
        <v>230</v>
      </c>
      <c r="H27" s="5">
        <v>45832</v>
      </c>
      <c r="J27" s="7">
        <v>0</v>
      </c>
      <c r="M27" s="7">
        <v>0</v>
      </c>
      <c r="N27" s="7">
        <v>68.260000000000005</v>
      </c>
      <c r="O27" s="7">
        <v>-136.53</v>
      </c>
      <c r="P27" s="7">
        <v>-136.53</v>
      </c>
      <c r="Q27" s="7">
        <v>0</v>
      </c>
      <c r="R27" s="7">
        <v>0</v>
      </c>
      <c r="S27" s="6" t="s">
        <v>603</v>
      </c>
    </row>
    <row r="28" spans="1:19" s="10" customFormat="1" x14ac:dyDescent="0.25">
      <c r="A28" s="10">
        <v>2030846038</v>
      </c>
      <c r="B28" s="10" t="s">
        <v>414</v>
      </c>
      <c r="C28" s="10" t="s">
        <v>415</v>
      </c>
      <c r="D28" s="10" t="s">
        <v>445</v>
      </c>
      <c r="E28" s="10">
        <v>649163</v>
      </c>
      <c r="F28" s="10" t="s">
        <v>1096</v>
      </c>
      <c r="G28" s="10" t="s">
        <v>230</v>
      </c>
      <c r="H28" s="11">
        <v>45913</v>
      </c>
      <c r="J28" s="12">
        <v>0</v>
      </c>
      <c r="M28" s="12">
        <v>0</v>
      </c>
      <c r="N28" s="12">
        <v>19.87</v>
      </c>
      <c r="O28" s="12">
        <v>-99.35</v>
      </c>
      <c r="P28" s="12">
        <v>-99.35</v>
      </c>
      <c r="Q28" s="12">
        <v>0</v>
      </c>
      <c r="R28" s="12">
        <v>0</v>
      </c>
      <c r="S28" s="10" t="s">
        <v>603</v>
      </c>
    </row>
    <row r="29" spans="1:19" s="6" customFormat="1" x14ac:dyDescent="0.25">
      <c r="A29" s="6">
        <v>2029599901</v>
      </c>
      <c r="B29" s="6" t="s">
        <v>604</v>
      </c>
      <c r="C29" s="6" t="s">
        <v>486</v>
      </c>
      <c r="D29" s="6" t="s">
        <v>307</v>
      </c>
      <c r="E29" s="6">
        <v>21421111</v>
      </c>
      <c r="F29" s="6" t="s">
        <v>1096</v>
      </c>
      <c r="G29" s="6" t="s">
        <v>230</v>
      </c>
      <c r="H29" s="5">
        <v>45832</v>
      </c>
      <c r="J29" s="7">
        <v>0</v>
      </c>
      <c r="M29" s="7">
        <v>0</v>
      </c>
      <c r="N29" s="7">
        <v>14.59</v>
      </c>
      <c r="O29" s="7">
        <v>-29.17</v>
      </c>
      <c r="P29" s="7">
        <v>-29.17</v>
      </c>
      <c r="Q29" s="7">
        <v>0</v>
      </c>
      <c r="R29" s="7">
        <v>0</v>
      </c>
      <c r="S29" s="6" t="s">
        <v>603</v>
      </c>
    </row>
    <row r="30" spans="1:19" s="6" customFormat="1" x14ac:dyDescent="0.25">
      <c r="A30" s="6">
        <v>2030805541</v>
      </c>
      <c r="B30" s="6" t="s">
        <v>292</v>
      </c>
      <c r="C30" s="6" t="s">
        <v>293</v>
      </c>
      <c r="D30" s="6" t="s">
        <v>438</v>
      </c>
      <c r="E30" s="6">
        <v>649163</v>
      </c>
      <c r="F30" s="6" t="s">
        <v>1094</v>
      </c>
      <c r="G30" s="6" t="s">
        <v>230</v>
      </c>
      <c r="H30" s="5">
        <v>45902</v>
      </c>
      <c r="J30" s="7">
        <v>0</v>
      </c>
      <c r="M30" s="7">
        <v>0</v>
      </c>
      <c r="N30" s="7">
        <v>90.45</v>
      </c>
      <c r="O30" s="7">
        <v>-452.26</v>
      </c>
      <c r="P30" s="7">
        <v>-452.26</v>
      </c>
      <c r="Q30" s="7">
        <v>0</v>
      </c>
      <c r="R30" s="7">
        <v>0</v>
      </c>
      <c r="S30" s="6" t="s">
        <v>603</v>
      </c>
    </row>
    <row r="31" spans="1:19" s="6" customFormat="1" x14ac:dyDescent="0.25">
      <c r="A31" s="6">
        <v>2030805542</v>
      </c>
      <c r="B31" s="6" t="s">
        <v>292</v>
      </c>
      <c r="C31" s="6" t="s">
        <v>293</v>
      </c>
      <c r="D31" s="6" t="s">
        <v>261</v>
      </c>
      <c r="E31" s="6">
        <v>649163</v>
      </c>
      <c r="F31" s="6" t="s">
        <v>1094</v>
      </c>
      <c r="G31" s="6" t="s">
        <v>230</v>
      </c>
      <c r="H31" s="5">
        <v>45902</v>
      </c>
      <c r="J31" s="7">
        <v>0</v>
      </c>
      <c r="M31" s="7">
        <v>0</v>
      </c>
      <c r="N31" s="7">
        <v>5.7</v>
      </c>
      <c r="O31" s="7">
        <v>-28.5</v>
      </c>
      <c r="P31" s="7">
        <v>-28.5</v>
      </c>
      <c r="Q31" s="7">
        <v>0</v>
      </c>
      <c r="R31" s="7">
        <v>0</v>
      </c>
      <c r="S31" s="6" t="s">
        <v>603</v>
      </c>
    </row>
    <row r="32" spans="1:19" s="10" customFormat="1" x14ac:dyDescent="0.25">
      <c r="A32" s="10">
        <v>2030463472</v>
      </c>
      <c r="B32" s="10" t="s">
        <v>228</v>
      </c>
      <c r="C32" s="10" t="s">
        <v>229</v>
      </c>
      <c r="D32" s="10" t="s">
        <v>545</v>
      </c>
      <c r="F32" s="10" t="s">
        <v>1077</v>
      </c>
      <c r="G32" s="10" t="s">
        <v>230</v>
      </c>
      <c r="H32" s="11">
        <v>45885</v>
      </c>
      <c r="J32" s="12">
        <v>0</v>
      </c>
      <c r="M32" s="12">
        <v>0</v>
      </c>
      <c r="N32" s="12">
        <v>77.819999999999993</v>
      </c>
      <c r="O32" s="12">
        <v>-155.62</v>
      </c>
      <c r="P32" s="12">
        <v>-155.62</v>
      </c>
      <c r="Q32" s="12">
        <v>0</v>
      </c>
      <c r="R32" s="12">
        <v>0</v>
      </c>
      <c r="S32" s="10" t="s">
        <v>603</v>
      </c>
    </row>
    <row r="33" spans="1:19" s="10" customFormat="1" x14ac:dyDescent="0.25">
      <c r="A33" s="10">
        <v>2030463473</v>
      </c>
      <c r="B33" s="10" t="s">
        <v>228</v>
      </c>
      <c r="C33" s="10" t="s">
        <v>229</v>
      </c>
      <c r="D33" s="10" t="s">
        <v>107</v>
      </c>
      <c r="E33" s="10">
        <v>649163</v>
      </c>
      <c r="F33" s="10" t="s">
        <v>1077</v>
      </c>
      <c r="G33" s="10" t="s">
        <v>230</v>
      </c>
      <c r="H33" s="11">
        <v>45885</v>
      </c>
      <c r="J33" s="12">
        <v>0</v>
      </c>
      <c r="M33" s="12">
        <v>0</v>
      </c>
      <c r="N33" s="12">
        <v>269.39999999999998</v>
      </c>
      <c r="O33" s="12">
        <v>-538.82000000000005</v>
      </c>
      <c r="P33" s="12">
        <v>-538.82000000000005</v>
      </c>
      <c r="Q33" s="12">
        <v>0</v>
      </c>
      <c r="R33" s="12">
        <v>0</v>
      </c>
      <c r="S33" s="10" t="s">
        <v>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20411454 - Main Line Benefits L</vt:lpstr>
      <vt:lpstr>NB</vt:lpstr>
      <vt:lpstr>AE Agents</vt:lpstr>
      <vt:lpstr>Sheet1</vt:lpstr>
      <vt:lpstr>RN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2025-09-29T16:17:34Z</dcterms:created>
  <dcterms:modified xsi:type="dcterms:W3CDTF">2025-11-14T16:28:14Z</dcterms:modified>
</cp:coreProperties>
</file>