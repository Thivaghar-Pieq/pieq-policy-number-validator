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combined\10-13-25\"/>
    </mc:Choice>
  </mc:AlternateContent>
  <xr:revisionPtr revIDLastSave="0" documentId="13_ncr:1_{57218CF4-8B68-497E-BF69-B44530D3A12D}" xr6:coauthVersionLast="47" xr6:coauthVersionMax="47" xr10:uidLastSave="{00000000-0000-0000-0000-000000000000}"/>
  <bookViews>
    <workbookView xWindow="28680" yWindow="-120" windowWidth="29040" windowHeight="16440" activeTab="2" xr2:uid="{67D5509E-CA2B-4EE7-A294-10CC36667837}"/>
  </bookViews>
  <sheets>
    <sheet name="20411454 - Main Line Benefits L" sheetId="1" r:id="rId1"/>
    <sheet name="Sheet1" sheetId="5" r:id="rId2"/>
    <sheet name="Sheet2" sheetId="6" r:id="rId3"/>
    <sheet name="RN" sheetId="2" r:id="rId4"/>
    <sheet name="Chargebacks" sheetId="4" r:id="rId5"/>
    <sheet name="NB" sheetId="3" r:id="rId6"/>
  </sheets>
  <calcPr calcId="181029"/>
</workbook>
</file>

<file path=xl/calcChain.xml><?xml version="1.0" encoding="utf-8"?>
<calcChain xmlns="http://schemas.openxmlformats.org/spreadsheetml/2006/main">
  <c r="D19" i="6" l="1"/>
  <c r="D15" i="6"/>
  <c r="D21" i="6"/>
  <c r="D5" i="6"/>
  <c r="D3" i="6"/>
  <c r="D14" i="6"/>
  <c r="D10" i="6"/>
  <c r="D6" i="6"/>
  <c r="D8" i="6"/>
  <c r="D12" i="6"/>
  <c r="D27" i="6"/>
  <c r="D30" i="6"/>
  <c r="D25" i="6"/>
  <c r="D31" i="6"/>
  <c r="D26" i="6"/>
  <c r="D29" i="6"/>
  <c r="D32" i="6"/>
  <c r="D11" i="6"/>
  <c r="D38" i="6"/>
  <c r="D35" i="6"/>
  <c r="D34" i="6"/>
  <c r="D7" i="6"/>
  <c r="D17" i="6"/>
  <c r="D13" i="6"/>
  <c r="D2" i="6"/>
  <c r="D37" i="6"/>
  <c r="D39" i="6"/>
  <c r="D33" i="6"/>
  <c r="D24" i="6"/>
  <c r="D22" i="6"/>
  <c r="D23" i="6"/>
  <c r="D4" i="6"/>
  <c r="D9" i="6"/>
  <c r="D20" i="6"/>
  <c r="D36" i="6"/>
  <c r="D16" i="6"/>
  <c r="D28" i="6"/>
  <c r="K24" i="6"/>
  <c r="K27" i="6"/>
  <c r="K30" i="6"/>
  <c r="K5" i="6"/>
  <c r="K6" i="6"/>
  <c r="K13" i="6"/>
  <c r="K22" i="6"/>
  <c r="K25" i="6"/>
  <c r="K14" i="6"/>
  <c r="K35" i="6"/>
  <c r="K15" i="6"/>
  <c r="K3" i="6"/>
  <c r="K31" i="6"/>
  <c r="K2" i="6"/>
  <c r="K16" i="6"/>
  <c r="K19" i="6"/>
  <c r="K20" i="6"/>
  <c r="K9" i="6"/>
  <c r="K21" i="6"/>
  <c r="K23" i="6"/>
  <c r="K26" i="6"/>
  <c r="K10" i="6"/>
  <c r="K28" i="6"/>
  <c r="K29" i="6"/>
  <c r="K32" i="6"/>
  <c r="K33" i="6"/>
  <c r="K34" i="6"/>
  <c r="K36" i="6"/>
  <c r="K37" i="6"/>
  <c r="K38" i="6"/>
  <c r="K11" i="6"/>
  <c r="K39" i="6"/>
  <c r="K7" i="6"/>
  <c r="K8" i="6"/>
  <c r="K12" i="6"/>
  <c r="K4" i="6"/>
  <c r="O74" i="2"/>
  <c r="O57" i="2"/>
  <c r="O58" i="2"/>
  <c r="O144" i="2"/>
  <c r="O141" i="2"/>
  <c r="O155" i="2"/>
  <c r="O138" i="2"/>
  <c r="O139" i="2"/>
  <c r="O50" i="2"/>
  <c r="O84" i="2"/>
  <c r="O92" i="2"/>
  <c r="O86" i="2"/>
  <c r="O87" i="2"/>
  <c r="O148" i="2"/>
  <c r="O162" i="2"/>
  <c r="O156" i="2"/>
  <c r="O161" i="2"/>
  <c r="O121" i="2"/>
  <c r="O123" i="2"/>
  <c r="O105" i="2"/>
  <c r="O108" i="2"/>
  <c r="O49" i="2"/>
  <c r="O41" i="2"/>
  <c r="O67" i="2"/>
  <c r="O36" i="2"/>
  <c r="O43" i="2"/>
  <c r="O2" i="2"/>
  <c r="O8" i="2"/>
  <c r="O33" i="2"/>
  <c r="O60" i="2"/>
  <c r="O88" i="2"/>
  <c r="O107" i="2"/>
  <c r="O127" i="2"/>
  <c r="O134" i="2"/>
  <c r="O147" i="2"/>
  <c r="O166" i="2"/>
  <c r="O183" i="2"/>
  <c r="O192" i="2"/>
  <c r="O115" i="2"/>
  <c r="O116" i="2"/>
  <c r="O117" i="2"/>
  <c r="O109" i="2"/>
  <c r="O133" i="2"/>
  <c r="O140" i="2"/>
  <c r="O136" i="2"/>
  <c r="O70" i="2"/>
  <c r="O56" i="2"/>
  <c r="O132" i="2"/>
  <c r="O44" i="2"/>
  <c r="O48" i="2"/>
  <c r="O53" i="2"/>
  <c r="O79" i="2"/>
  <c r="O32" i="2"/>
  <c r="O24" i="2"/>
  <c r="O37" i="2"/>
  <c r="O62" i="2"/>
  <c r="O182" i="2"/>
  <c r="O180" i="2"/>
  <c r="O181" i="2"/>
  <c r="O143" i="2"/>
  <c r="O157" i="2"/>
  <c r="O160" i="2"/>
  <c r="O163" i="2"/>
  <c r="O146" i="2"/>
  <c r="O187" i="2"/>
  <c r="O184" i="2"/>
  <c r="O185" i="2"/>
  <c r="O149" i="2"/>
  <c r="O150" i="2"/>
  <c r="O154" i="2"/>
  <c r="O39" i="2"/>
  <c r="O68" i="2"/>
  <c r="O76" i="2"/>
  <c r="O85" i="2"/>
  <c r="O93" i="2"/>
  <c r="O131" i="2"/>
  <c r="O128" i="2"/>
  <c r="O45" i="2"/>
  <c r="O78" i="2"/>
  <c r="O23" i="2"/>
  <c r="O38" i="2"/>
  <c r="O54" i="2"/>
  <c r="O59" i="2"/>
  <c r="O63" i="2"/>
  <c r="O34" i="2"/>
  <c r="O12" i="2"/>
  <c r="O223" i="2"/>
  <c r="O13" i="2"/>
  <c r="O126" i="2"/>
  <c r="O130" i="2"/>
  <c r="O120" i="2"/>
  <c r="O122" i="2"/>
  <c r="O129" i="2"/>
  <c r="O111" i="2"/>
  <c r="O71" i="2"/>
  <c r="O69" i="2"/>
  <c r="O40" i="2"/>
  <c r="O47" i="2"/>
  <c r="O35" i="2"/>
  <c r="O82" i="2"/>
  <c r="O9" i="2"/>
  <c r="O5" i="2"/>
  <c r="O6" i="2"/>
  <c r="O98" i="2"/>
  <c r="O77" i="2"/>
  <c r="O18" i="2"/>
  <c r="O83" i="2"/>
  <c r="O10" i="2"/>
  <c r="O64" i="2"/>
  <c r="O61" i="2"/>
  <c r="O7" i="2"/>
  <c r="O89" i="2"/>
  <c r="O191" i="2"/>
  <c r="O158" i="2"/>
  <c r="O186" i="2"/>
  <c r="O152" i="2"/>
  <c r="O17" i="2"/>
  <c r="O16" i="2"/>
  <c r="O102" i="2"/>
  <c r="O66" i="2"/>
  <c r="O91" i="2"/>
  <c r="O119" i="2"/>
  <c r="O188" i="2"/>
  <c r="O135" i="2"/>
  <c r="O114" i="2"/>
  <c r="O125" i="2"/>
  <c r="O113" i="2"/>
  <c r="O124" i="2"/>
  <c r="O193" i="2"/>
  <c r="O30" i="2"/>
  <c r="O29" i="2"/>
  <c r="O225" i="2"/>
  <c r="O224" i="2"/>
  <c r="O73" i="2"/>
  <c r="O96" i="2"/>
  <c r="O103" i="2"/>
  <c r="O21" i="2"/>
  <c r="O15" i="2"/>
  <c r="O81" i="2"/>
  <c r="O4" i="2"/>
  <c r="O101" i="2"/>
  <c r="O100" i="2"/>
  <c r="O20" i="2"/>
  <c r="O3" i="2"/>
  <c r="O11" i="2"/>
  <c r="O65" i="2"/>
  <c r="O90" i="2"/>
  <c r="O118" i="2"/>
  <c r="O222" i="2"/>
  <c r="O221" i="2"/>
  <c r="O220" i="2"/>
  <c r="O167" i="2"/>
  <c r="O42" i="2"/>
  <c r="O27" i="2"/>
  <c r="O72" i="2"/>
  <c r="O55" i="2"/>
  <c r="O80" i="2"/>
  <c r="O46" i="2"/>
  <c r="O31" i="2"/>
  <c r="O26" i="2"/>
  <c r="O25" i="2"/>
  <c r="O97" i="2"/>
  <c r="O28" i="2"/>
  <c r="O212" i="2"/>
  <c r="O197" i="2"/>
  <c r="O198" i="2"/>
  <c r="O199" i="2"/>
  <c r="O165" i="2"/>
  <c r="O164" i="2"/>
  <c r="O219" i="2"/>
  <c r="O216" i="2"/>
  <c r="O215" i="2"/>
  <c r="O208" i="2"/>
  <c r="O207" i="2"/>
  <c r="O206" i="2"/>
  <c r="O194" i="2"/>
  <c r="O145" i="2"/>
  <c r="O190" i="2"/>
  <c r="O179" i="2"/>
  <c r="O176" i="2"/>
  <c r="O177" i="2"/>
  <c r="O175" i="2"/>
  <c r="O218" i="2"/>
  <c r="O214" i="2"/>
  <c r="O217" i="2"/>
  <c r="O213" i="2"/>
  <c r="O204" i="2"/>
  <c r="O205" i="2"/>
  <c r="O202" i="2"/>
  <c r="O210" i="2"/>
  <c r="O211" i="2"/>
  <c r="O209" i="2"/>
  <c r="O201" i="2"/>
  <c r="O200" i="2"/>
  <c r="O203" i="2"/>
  <c r="O196" i="2"/>
  <c r="O195" i="2"/>
  <c r="O189" i="2"/>
  <c r="O151" i="2"/>
  <c r="O173" i="2"/>
  <c r="O168" i="2"/>
  <c r="O174" i="2"/>
  <c r="O172" i="2"/>
  <c r="O137" i="2"/>
  <c r="O142" i="2"/>
  <c r="O75" i="2"/>
  <c r="O52" i="2"/>
  <c r="O95" i="2"/>
  <c r="O94" i="2"/>
  <c r="O99" i="2"/>
  <c r="O14" i="2"/>
  <c r="O19" i="2"/>
  <c r="O22" i="2"/>
  <c r="O104" i="2"/>
  <c r="O106" i="2"/>
  <c r="O178" i="2"/>
  <c r="O159" i="2"/>
  <c r="O169" i="2"/>
  <c r="O171" i="2"/>
  <c r="O170" i="2"/>
  <c r="O153" i="2"/>
  <c r="O112" i="2"/>
  <c r="O110" i="2"/>
  <c r="O275" i="2"/>
  <c r="O276" i="2"/>
  <c r="O305" i="2"/>
  <c r="O350" i="2"/>
  <c r="O255" i="2"/>
  <c r="O323" i="2"/>
  <c r="O251" i="2"/>
  <c r="O437" i="2"/>
  <c r="O447" i="2"/>
  <c r="O436" i="2"/>
  <c r="O298" i="2"/>
  <c r="O449" i="2"/>
  <c r="O441" i="2"/>
  <c r="O409" i="2"/>
  <c r="O336" i="2"/>
  <c r="O319" i="2"/>
  <c r="O320" i="2"/>
  <c r="O391" i="2"/>
  <c r="O312" i="2"/>
  <c r="O311" i="2"/>
  <c r="O418" i="2"/>
  <c r="O419" i="2"/>
  <c r="O395" i="2"/>
  <c r="O394" i="2"/>
  <c r="O396" i="2"/>
  <c r="O420" i="2"/>
  <c r="O401" i="2"/>
  <c r="O381" i="2"/>
  <c r="O340" i="2"/>
  <c r="O405" i="2"/>
  <c r="O346" i="2"/>
  <c r="O334" i="2"/>
  <c r="O421" i="2"/>
  <c r="O412" i="2"/>
  <c r="O411" i="2"/>
  <c r="O402" i="2"/>
  <c r="O399" i="2"/>
  <c r="O385" i="2"/>
  <c r="O386" i="2"/>
  <c r="O382" i="2"/>
  <c r="O384" i="2"/>
  <c r="O383" i="2"/>
  <c r="O342" i="2"/>
  <c r="O403" i="2"/>
  <c r="O345" i="2"/>
  <c r="O324" i="2"/>
  <c r="O235" i="2"/>
  <c r="O238" i="2"/>
  <c r="O234" i="2"/>
  <c r="O348" i="2"/>
  <c r="O318" i="2"/>
  <c r="O300" i="2"/>
  <c r="O331" i="2"/>
  <c r="O314" i="2"/>
  <c r="O264" i="2"/>
  <c r="O414" i="2"/>
  <c r="O304" i="2"/>
  <c r="O322" i="2"/>
  <c r="O301" i="2"/>
  <c r="O341" i="2"/>
  <c r="O374" i="2"/>
  <c r="O365" i="2"/>
  <c r="O364" i="2"/>
  <c r="O274" i="2"/>
  <c r="O282" i="2"/>
  <c r="O283" i="2"/>
  <c r="O268" i="2"/>
  <c r="O292" i="2"/>
  <c r="O303" i="2"/>
  <c r="O285" i="2"/>
  <c r="O313" i="2"/>
  <c r="O267" i="2"/>
  <c r="O263" i="2"/>
  <c r="O231" i="2"/>
  <c r="O294" i="2"/>
  <c r="O242" i="2"/>
  <c r="O230" i="2"/>
  <c r="O284" i="2"/>
  <c r="O326" i="2"/>
  <c r="O354" i="2"/>
  <c r="O353" i="2"/>
  <c r="O375" i="2"/>
  <c r="O443" i="2"/>
  <c r="O442" i="2"/>
  <c r="O434" i="2"/>
  <c r="O435" i="2"/>
  <c r="O245" i="2"/>
  <c r="O236" i="2"/>
  <c r="O302" i="2"/>
  <c r="O347" i="2"/>
  <c r="O337" i="2"/>
  <c r="O343" i="2"/>
  <c r="O241" i="2"/>
  <c r="O243" i="2"/>
  <c r="O246" i="2"/>
  <c r="O357" i="2"/>
  <c r="O359" i="2"/>
  <c r="O393" i="2"/>
  <c r="O356" i="2"/>
  <c r="O360" i="2"/>
  <c r="O352" i="2"/>
  <c r="O390" i="2"/>
  <c r="O363" i="2"/>
  <c r="O362" i="2"/>
  <c r="O358" i="2"/>
  <c r="O448" i="2"/>
  <c r="O239" i="2"/>
  <c r="O240" i="2"/>
  <c r="O233" i="2"/>
  <c r="O232" i="2"/>
  <c r="O227" i="2"/>
  <c r="O226" i="2"/>
  <c r="O228" i="2"/>
  <c r="O229" i="2"/>
  <c r="O262" i="2"/>
  <c r="O428" i="2"/>
  <c r="O427" i="2"/>
  <c r="O429" i="2"/>
  <c r="O366" i="2"/>
  <c r="O407" i="2"/>
  <c r="O408" i="2"/>
  <c r="O426" i="2"/>
  <c r="O416" i="2"/>
  <c r="O430" i="2"/>
  <c r="O423" i="2"/>
  <c r="O424" i="2"/>
  <c r="O425" i="2"/>
  <c r="O413" i="2"/>
  <c r="O410" i="2"/>
  <c r="O361" i="2"/>
  <c r="O446" i="2"/>
  <c r="O450" i="2"/>
  <c r="O444" i="2"/>
  <c r="O445" i="2"/>
  <c r="O258" i="2"/>
  <c r="O270" i="2"/>
  <c r="O271" i="2"/>
  <c r="O265" i="2"/>
  <c r="O308" i="2"/>
  <c r="O315" i="2"/>
  <c r="O280" i="2"/>
  <c r="O257" i="2"/>
  <c r="O256" i="2"/>
  <c r="O254" i="2"/>
  <c r="O248" i="2"/>
  <c r="O253" i="2"/>
  <c r="O273" i="2"/>
  <c r="O249" i="2"/>
  <c r="O250" i="2"/>
  <c r="O261" i="2"/>
  <c r="O281" i="2"/>
  <c r="O259" i="2"/>
  <c r="O260" i="2"/>
  <c r="O291" i="2"/>
  <c r="O289" i="2"/>
  <c r="O269" i="2"/>
  <c r="O252" i="2"/>
  <c r="O279" i="2"/>
  <c r="O297" i="2"/>
  <c r="O244" i="2"/>
  <c r="O296" i="2"/>
  <c r="O266" i="2"/>
  <c r="O272" i="2"/>
  <c r="O247" i="2"/>
  <c r="O237" i="2"/>
  <c r="O299" i="2"/>
  <c r="O417" i="2"/>
  <c r="O431" i="2"/>
  <c r="O351" i="2"/>
  <c r="O327" i="2"/>
  <c r="O306" i="2"/>
  <c r="O369" i="2"/>
  <c r="O328" i="2"/>
  <c r="O330" i="2"/>
  <c r="O310" i="2"/>
  <c r="O438" i="2"/>
  <c r="O433" i="2"/>
  <c r="O392" i="2"/>
  <c r="O371" i="2"/>
  <c r="O440" i="2"/>
  <c r="O439" i="2"/>
  <c r="O335" i="2"/>
  <c r="O325" i="2"/>
  <c r="O329" i="2"/>
  <c r="O309" i="2"/>
  <c r="O432" i="2"/>
  <c r="O422" i="2"/>
  <c r="O415" i="2"/>
  <c r="O406" i="2"/>
  <c r="O404" i="2"/>
  <c r="O378" i="2"/>
  <c r="O349" i="2"/>
  <c r="O355" i="2"/>
  <c r="O344" i="2"/>
  <c r="O339" i="2"/>
  <c r="O333" i="2"/>
  <c r="O316" i="2"/>
  <c r="O293" i="2"/>
  <c r="O288" i="2"/>
  <c r="O287" i="2"/>
  <c r="O277" i="2"/>
  <c r="O278" i="2"/>
  <c r="O338" i="2"/>
  <c r="O332" i="2"/>
  <c r="O290" i="2"/>
  <c r="O295" i="2"/>
  <c r="O286" i="2"/>
  <c r="O307" i="2"/>
  <c r="O321" i="2"/>
  <c r="O317" i="2"/>
  <c r="O398" i="2"/>
  <c r="O380" i="2"/>
  <c r="O379" i="2"/>
  <c r="O367" i="2"/>
  <c r="O368" i="2"/>
  <c r="O376" i="2"/>
  <c r="O387" i="2"/>
  <c r="O370" i="2"/>
  <c r="O400" i="2"/>
  <c r="O397" i="2"/>
  <c r="O389" i="2"/>
  <c r="O377" i="2"/>
  <c r="O388" i="2"/>
  <c r="O372" i="2"/>
  <c r="O373" i="2"/>
  <c r="O51" i="2"/>
  <c r="K427" i="2"/>
  <c r="K429" i="2"/>
  <c r="K418" i="2"/>
  <c r="K419" i="2"/>
  <c r="K417" i="2"/>
  <c r="K395" i="2"/>
  <c r="K394" i="2"/>
  <c r="K396" i="2"/>
  <c r="K366" i="2"/>
  <c r="K357" i="2"/>
  <c r="K296" i="2"/>
  <c r="K437" i="2"/>
  <c r="K431" i="2"/>
  <c r="K212" i="2"/>
  <c r="K197" i="2"/>
  <c r="K398" i="2"/>
  <c r="K198" i="2"/>
  <c r="K199" i="2"/>
  <c r="K380" i="2"/>
  <c r="K379" i="2"/>
  <c r="K367" i="2"/>
  <c r="K368" i="2"/>
  <c r="K182" i="2"/>
  <c r="K180" i="2"/>
  <c r="K181" i="2"/>
  <c r="K165" i="2"/>
  <c r="K164" i="2"/>
  <c r="K143" i="2"/>
  <c r="K351" i="2"/>
  <c r="K144" i="2"/>
  <c r="K308" i="2"/>
  <c r="K326" i="2"/>
  <c r="K327" i="2"/>
  <c r="K126" i="2"/>
  <c r="K105" i="2"/>
  <c r="K307" i="2"/>
  <c r="K306" i="2"/>
  <c r="K104" i="2"/>
  <c r="K106" i="2"/>
  <c r="K297" i="2"/>
  <c r="K278" i="2"/>
  <c r="K258" i="2"/>
  <c r="K279" i="2"/>
  <c r="K52" i="2"/>
  <c r="K55" i="2"/>
  <c r="K277" i="2"/>
  <c r="K54" i="2"/>
  <c r="K280" i="2"/>
  <c r="K53" i="2"/>
  <c r="K252" i="2"/>
  <c r="K256" i="2"/>
  <c r="K253" i="2"/>
  <c r="K25" i="2"/>
  <c r="K26" i="2"/>
  <c r="K23" i="2"/>
  <c r="K257" i="2"/>
  <c r="K24" i="2"/>
  <c r="K27" i="2"/>
  <c r="K254" i="2"/>
  <c r="K255" i="2"/>
  <c r="K3" i="2"/>
  <c r="K226" i="2"/>
  <c r="K227" i="2"/>
  <c r="K4" i="2"/>
  <c r="K5" i="2"/>
  <c r="K407" i="2"/>
  <c r="K420" i="2"/>
  <c r="K369" i="2"/>
  <c r="K414" i="2"/>
  <c r="K408" i="2"/>
  <c r="K401" i="2"/>
  <c r="K381" i="2"/>
  <c r="K359" i="2"/>
  <c r="K148" i="2"/>
  <c r="K340" i="2"/>
  <c r="K328" i="2"/>
  <c r="K330" i="2"/>
  <c r="K310" i="2"/>
  <c r="K86" i="2"/>
  <c r="K57" i="2"/>
  <c r="K282" i="2"/>
  <c r="K263" i="2"/>
  <c r="K228" i="2"/>
  <c r="K229" i="2"/>
  <c r="K7" i="2"/>
  <c r="K234" i="2"/>
  <c r="K225" i="2"/>
  <c r="K224" i="2"/>
  <c r="K449" i="2"/>
  <c r="K446" i="2"/>
  <c r="K441" i="2"/>
  <c r="K222" i="2"/>
  <c r="K438" i="2"/>
  <c r="K221" i="2"/>
  <c r="K433" i="2"/>
  <c r="K426" i="2"/>
  <c r="K416" i="2"/>
  <c r="K219" i="2"/>
  <c r="K216" i="2"/>
  <c r="K405" i="2"/>
  <c r="K215" i="2"/>
  <c r="K208" i="2"/>
  <c r="K207" i="2"/>
  <c r="K206" i="2"/>
  <c r="K393" i="2"/>
  <c r="K194" i="2"/>
  <c r="K392" i="2"/>
  <c r="K22" i="2"/>
  <c r="K14" i="2"/>
  <c r="K239" i="2"/>
  <c r="K240" i="2"/>
  <c r="K12" i="2"/>
  <c r="K13" i="2"/>
  <c r="K6" i="2"/>
  <c r="K15" i="2"/>
  <c r="K237" i="2"/>
  <c r="K10" i="2"/>
  <c r="K241" i="2"/>
  <c r="K246" i="2"/>
  <c r="K17" i="2"/>
  <c r="K238" i="2"/>
  <c r="K16" i="2"/>
  <c r="K371" i="2"/>
  <c r="K264" i="2"/>
  <c r="K283" i="2"/>
  <c r="K232" i="2"/>
  <c r="K233" i="2"/>
  <c r="K9" i="2"/>
  <c r="K235" i="2"/>
  <c r="K447" i="2"/>
  <c r="K448" i="2"/>
  <c r="K440" i="2"/>
  <c r="K439" i="2"/>
  <c r="K223" i="2"/>
  <c r="K409" i="2"/>
  <c r="K145" i="2"/>
  <c r="K354" i="2"/>
  <c r="K353" i="2"/>
  <c r="K341" i="2"/>
  <c r="K132" i="2"/>
  <c r="K133" i="2"/>
  <c r="K298" i="2"/>
  <c r="K231" i="2"/>
  <c r="K230" i="2"/>
  <c r="K191" i="2"/>
  <c r="K376" i="2"/>
  <c r="K375" i="2"/>
  <c r="K374" i="2"/>
  <c r="K190" i="2"/>
  <c r="K179" i="2"/>
  <c r="K365" i="2"/>
  <c r="K364" i="2"/>
  <c r="K176" i="2"/>
  <c r="K177" i="2"/>
  <c r="K178" i="2"/>
  <c r="K175" i="2"/>
  <c r="K157" i="2"/>
  <c r="K158" i="2"/>
  <c r="K160" i="2"/>
  <c r="K162" i="2"/>
  <c r="K356" i="2"/>
  <c r="K163" i="2"/>
  <c r="K159" i="2"/>
  <c r="K161" i="2"/>
  <c r="K141" i="2"/>
  <c r="K347" i="2"/>
  <c r="K140" i="2"/>
  <c r="K348" i="2"/>
  <c r="K346" i="2"/>
  <c r="K334" i="2"/>
  <c r="K131" i="2"/>
  <c r="K338" i="2"/>
  <c r="K335" i="2"/>
  <c r="K130" i="2"/>
  <c r="K336" i="2"/>
  <c r="K337" i="2"/>
  <c r="K121" i="2"/>
  <c r="K304" i="2"/>
  <c r="K319" i="2"/>
  <c r="K321" i="2"/>
  <c r="K119" i="2"/>
  <c r="K322" i="2"/>
  <c r="K320" i="2"/>
  <c r="K120" i="2"/>
  <c r="K122" i="2"/>
  <c r="K99" i="2"/>
  <c r="K97" i="2"/>
  <c r="K101" i="2"/>
  <c r="K303" i="2"/>
  <c r="K100" i="2"/>
  <c r="K98" i="2"/>
  <c r="K82" i="2"/>
  <c r="K294" i="2"/>
  <c r="K76" i="2"/>
  <c r="K80" i="2"/>
  <c r="K293" i="2"/>
  <c r="K78" i="2"/>
  <c r="K77" i="2"/>
  <c r="K79" i="2"/>
  <c r="K295" i="2"/>
  <c r="K81" i="2"/>
  <c r="K292" i="2"/>
  <c r="K43" i="2"/>
  <c r="K271" i="2"/>
  <c r="K45" i="2"/>
  <c r="K44" i="2"/>
  <c r="K20" i="2"/>
  <c r="K19" i="2"/>
  <c r="K21" i="2"/>
  <c r="K244" i="2"/>
  <c r="K242" i="2"/>
  <c r="K18" i="2"/>
  <c r="K243" i="2"/>
  <c r="K430" i="2"/>
  <c r="K423" i="2"/>
  <c r="K424" i="2"/>
  <c r="K425" i="2"/>
  <c r="K413" i="2"/>
  <c r="K421" i="2"/>
  <c r="K412" i="2"/>
  <c r="K410" i="2"/>
  <c r="K411" i="2"/>
  <c r="K402" i="2"/>
  <c r="K399" i="2"/>
  <c r="K385" i="2"/>
  <c r="K387" i="2"/>
  <c r="K386" i="2"/>
  <c r="K382" i="2"/>
  <c r="K384" i="2"/>
  <c r="K383" i="2"/>
  <c r="K370" i="2"/>
  <c r="K360" i="2"/>
  <c r="K361" i="2"/>
  <c r="K146" i="2"/>
  <c r="K352" i="2"/>
  <c r="K342" i="2"/>
  <c r="K325" i="2"/>
  <c r="K329" i="2"/>
  <c r="K309" i="2"/>
  <c r="K84" i="2"/>
  <c r="K87" i="2"/>
  <c r="K51" i="2"/>
  <c r="K58" i="2"/>
  <c r="K59" i="2"/>
  <c r="K262" i="2"/>
  <c r="K32" i="2"/>
  <c r="K2" i="2"/>
  <c r="K8" i="2"/>
  <c r="K33" i="2"/>
  <c r="K60" i="2"/>
  <c r="K88" i="2"/>
  <c r="K107" i="2"/>
  <c r="K127" i="2"/>
  <c r="K134" i="2"/>
  <c r="K147" i="2"/>
  <c r="K166" i="2"/>
  <c r="K183" i="2"/>
  <c r="K192" i="2"/>
  <c r="K450" i="2"/>
  <c r="K444" i="2"/>
  <c r="K445" i="2"/>
  <c r="K443" i="2"/>
  <c r="K442" i="2"/>
  <c r="K436" i="2"/>
  <c r="K434" i="2"/>
  <c r="K435" i="2"/>
  <c r="K432" i="2"/>
  <c r="K220" i="2"/>
  <c r="K422" i="2"/>
  <c r="K218" i="2"/>
  <c r="K415" i="2"/>
  <c r="K406" i="2"/>
  <c r="K404" i="2"/>
  <c r="K214" i="2"/>
  <c r="K403" i="2"/>
  <c r="K217" i="2"/>
  <c r="K213" i="2"/>
  <c r="K204" i="2"/>
  <c r="K205" i="2"/>
  <c r="K202" i="2"/>
  <c r="K210" i="2"/>
  <c r="K400" i="2"/>
  <c r="K397" i="2"/>
  <c r="K211" i="2"/>
  <c r="K209" i="2"/>
  <c r="K201" i="2"/>
  <c r="K200" i="2"/>
  <c r="K203" i="2"/>
  <c r="K193" i="2"/>
  <c r="K389" i="2"/>
  <c r="K377" i="2"/>
  <c r="K390" i="2"/>
  <c r="K388" i="2"/>
  <c r="K391" i="2"/>
  <c r="K196" i="2"/>
  <c r="K195" i="2"/>
  <c r="K378" i="2"/>
  <c r="K186" i="2"/>
  <c r="K372" i="2"/>
  <c r="K373" i="2"/>
  <c r="K187" i="2"/>
  <c r="K184" i="2"/>
  <c r="K185" i="2"/>
  <c r="K189" i="2"/>
  <c r="K188" i="2"/>
  <c r="K167" i="2"/>
  <c r="K169" i="2"/>
  <c r="K363" i="2"/>
  <c r="K151" i="2"/>
  <c r="K173" i="2"/>
  <c r="K362" i="2"/>
  <c r="K358" i="2"/>
  <c r="K168" i="2"/>
  <c r="K171" i="2"/>
  <c r="K174" i="2"/>
  <c r="K170" i="2"/>
  <c r="K172" i="2"/>
  <c r="K149" i="2"/>
  <c r="K152" i="2"/>
  <c r="K150" i="2"/>
  <c r="K156" i="2"/>
  <c r="K349" i="2"/>
  <c r="K355" i="2"/>
  <c r="K154" i="2"/>
  <c r="K153" i="2"/>
  <c r="K155" i="2"/>
  <c r="K138" i="2"/>
  <c r="K139" i="2"/>
  <c r="K343" i="2"/>
  <c r="K135" i="2"/>
  <c r="K137" i="2"/>
  <c r="K142" i="2"/>
  <c r="K136" i="2"/>
  <c r="K344" i="2"/>
  <c r="K339" i="2"/>
  <c r="K345" i="2"/>
  <c r="K324" i="2"/>
  <c r="K128" i="2"/>
  <c r="K331" i="2"/>
  <c r="K315" i="2"/>
  <c r="K332" i="2"/>
  <c r="K333" i="2"/>
  <c r="K129" i="2"/>
  <c r="K314" i="2"/>
  <c r="K123" i="2"/>
  <c r="K301" i="2"/>
  <c r="K313" i="2"/>
  <c r="K114" i="2"/>
  <c r="K125" i="2"/>
  <c r="K118" i="2"/>
  <c r="K113" i="2"/>
  <c r="K124" i="2"/>
  <c r="K115" i="2"/>
  <c r="K116" i="2"/>
  <c r="K108" i="2"/>
  <c r="K117" i="2"/>
  <c r="K318" i="2"/>
  <c r="K317" i="2"/>
  <c r="K109" i="2"/>
  <c r="K316" i="2"/>
  <c r="K312" i="2"/>
  <c r="K311" i="2"/>
  <c r="K112" i="2"/>
  <c r="K110" i="2"/>
  <c r="K111" i="2"/>
  <c r="K95" i="2"/>
  <c r="K323" i="2"/>
  <c r="K299" i="2"/>
  <c r="K94" i="2"/>
  <c r="K96" i="2"/>
  <c r="K103" i="2"/>
  <c r="K85" i="2"/>
  <c r="K93" i="2"/>
  <c r="K300" i="2"/>
  <c r="K90" i="2"/>
  <c r="K91" i="2"/>
  <c r="K302" i="2"/>
  <c r="K89" i="2"/>
  <c r="K92" i="2"/>
  <c r="K102" i="2"/>
  <c r="K74" i="2"/>
  <c r="K287" i="2"/>
  <c r="K270" i="2"/>
  <c r="K291" i="2"/>
  <c r="K272" i="2"/>
  <c r="K61" i="2"/>
  <c r="K284" i="2"/>
  <c r="K83" i="2"/>
  <c r="K75" i="2"/>
  <c r="K68" i="2"/>
  <c r="K290" i="2"/>
  <c r="K72" i="2"/>
  <c r="K289" i="2"/>
  <c r="K288" i="2"/>
  <c r="K63" i="2"/>
  <c r="K35" i="2"/>
  <c r="K64" i="2"/>
  <c r="K71" i="2"/>
  <c r="K69" i="2"/>
  <c r="K66" i="2"/>
  <c r="K281" i="2"/>
  <c r="K273" i="2"/>
  <c r="K56" i="2"/>
  <c r="K70" i="2"/>
  <c r="K62" i="2"/>
  <c r="K286" i="2"/>
  <c r="K73" i="2"/>
  <c r="K266" i="2"/>
  <c r="K247" i="2"/>
  <c r="K65" i="2"/>
  <c r="K285" i="2"/>
  <c r="K67" i="2"/>
  <c r="K274" i="2"/>
  <c r="K261" i="2"/>
  <c r="K248" i="2"/>
  <c r="K268" i="2"/>
  <c r="K30" i="2"/>
  <c r="K259" i="2"/>
  <c r="K42" i="2"/>
  <c r="K36" i="2"/>
  <c r="K245" i="2"/>
  <c r="K236" i="2"/>
  <c r="K29" i="2"/>
  <c r="K28" i="2"/>
  <c r="K31" i="2"/>
  <c r="K46" i="2"/>
  <c r="K49" i="2"/>
  <c r="K41" i="2"/>
  <c r="K34" i="2"/>
  <c r="K265" i="2"/>
  <c r="K38" i="2"/>
  <c r="K249" i="2"/>
  <c r="K37" i="2"/>
  <c r="K48" i="2"/>
  <c r="K39" i="2"/>
  <c r="K269" i="2"/>
  <c r="K267" i="2"/>
  <c r="K250" i="2"/>
  <c r="K260" i="2"/>
  <c r="K251" i="2"/>
  <c r="K40" i="2"/>
  <c r="K47" i="2"/>
  <c r="K50" i="2"/>
  <c r="K11" i="2"/>
  <c r="K428" i="2"/>
  <c r="D427" i="2"/>
  <c r="D429" i="2"/>
  <c r="D418" i="2"/>
  <c r="D419" i="2"/>
  <c r="D417" i="2"/>
  <c r="D395" i="2"/>
  <c r="D394" i="2"/>
  <c r="D396" i="2"/>
  <c r="D366" i="2"/>
  <c r="D350" i="2"/>
  <c r="D357" i="2"/>
  <c r="D296" i="2"/>
  <c r="D437" i="2"/>
  <c r="D431" i="2"/>
  <c r="D212" i="2"/>
  <c r="D197" i="2"/>
  <c r="D398" i="2"/>
  <c r="D198" i="2"/>
  <c r="D199" i="2"/>
  <c r="D380" i="2"/>
  <c r="D379" i="2"/>
  <c r="D367" i="2"/>
  <c r="D368" i="2"/>
  <c r="D182" i="2"/>
  <c r="D180" i="2"/>
  <c r="D181" i="2"/>
  <c r="D165" i="2"/>
  <c r="D164" i="2"/>
  <c r="D143" i="2"/>
  <c r="D351" i="2"/>
  <c r="D144" i="2"/>
  <c r="D308" i="2"/>
  <c r="D326" i="2"/>
  <c r="D327" i="2"/>
  <c r="D126" i="2"/>
  <c r="D105" i="2"/>
  <c r="D307" i="2"/>
  <c r="D306" i="2"/>
  <c r="D104" i="2"/>
  <c r="D106" i="2"/>
  <c r="D297" i="2"/>
  <c r="D278" i="2"/>
  <c r="D258" i="2"/>
  <c r="D279" i="2"/>
  <c r="D52" i="2"/>
  <c r="D55" i="2"/>
  <c r="D277" i="2"/>
  <c r="D54" i="2"/>
  <c r="D280" i="2"/>
  <c r="D53" i="2"/>
  <c r="D252" i="2"/>
  <c r="D256" i="2"/>
  <c r="D253" i="2"/>
  <c r="D25" i="2"/>
  <c r="D26" i="2"/>
  <c r="D23" i="2"/>
  <c r="D257" i="2"/>
  <c r="D24" i="2"/>
  <c r="D27" i="2"/>
  <c r="D254" i="2"/>
  <c r="D255" i="2"/>
  <c r="D3" i="2"/>
  <c r="D226" i="2"/>
  <c r="D227" i="2"/>
  <c r="D4" i="2"/>
  <c r="D5" i="2"/>
  <c r="D407" i="2"/>
  <c r="D420" i="2"/>
  <c r="D369" i="2"/>
  <c r="D414" i="2"/>
  <c r="D408" i="2"/>
  <c r="D401" i="2"/>
  <c r="D381" i="2"/>
  <c r="D359" i="2"/>
  <c r="D148" i="2"/>
  <c r="D340" i="2"/>
  <c r="D328" i="2"/>
  <c r="D330" i="2"/>
  <c r="D310" i="2"/>
  <c r="D86" i="2"/>
  <c r="D57" i="2"/>
  <c r="D282" i="2"/>
  <c r="D263" i="2"/>
  <c r="D228" i="2"/>
  <c r="D229" i="2"/>
  <c r="D7" i="2"/>
  <c r="D234" i="2"/>
  <c r="D225" i="2"/>
  <c r="D224" i="2"/>
  <c r="D449" i="2"/>
  <c r="D446" i="2"/>
  <c r="D441" i="2"/>
  <c r="D222" i="2"/>
  <c r="D438" i="2"/>
  <c r="D221" i="2"/>
  <c r="D433" i="2"/>
  <c r="D426" i="2"/>
  <c r="D416" i="2"/>
  <c r="D219" i="2"/>
  <c r="D216" i="2"/>
  <c r="D405" i="2"/>
  <c r="D215" i="2"/>
  <c r="D208" i="2"/>
  <c r="D207" i="2"/>
  <c r="D206" i="2"/>
  <c r="D393" i="2"/>
  <c r="D194" i="2"/>
  <c r="D392" i="2"/>
  <c r="D22" i="2"/>
  <c r="D14" i="2"/>
  <c r="D239" i="2"/>
  <c r="D240" i="2"/>
  <c r="D12" i="2"/>
  <c r="D13" i="2"/>
  <c r="D6" i="2"/>
  <c r="D15" i="2"/>
  <c r="D237" i="2"/>
  <c r="D10" i="2"/>
  <c r="D241" i="2"/>
  <c r="D246" i="2"/>
  <c r="D17" i="2"/>
  <c r="D238" i="2"/>
  <c r="D16" i="2"/>
  <c r="D371" i="2"/>
  <c r="D264" i="2"/>
  <c r="D283" i="2"/>
  <c r="D232" i="2"/>
  <c r="D233" i="2"/>
  <c r="D9" i="2"/>
  <c r="D235" i="2"/>
  <c r="D447" i="2"/>
  <c r="D448" i="2"/>
  <c r="D440" i="2"/>
  <c r="D439" i="2"/>
  <c r="D223" i="2"/>
  <c r="D409" i="2"/>
  <c r="D145" i="2"/>
  <c r="D354" i="2"/>
  <c r="D353" i="2"/>
  <c r="D341" i="2"/>
  <c r="D132" i="2"/>
  <c r="D133" i="2"/>
  <c r="D298" i="2"/>
  <c r="D231" i="2"/>
  <c r="D230" i="2"/>
  <c r="D191" i="2"/>
  <c r="D376" i="2"/>
  <c r="D375" i="2"/>
  <c r="D374" i="2"/>
  <c r="D190" i="2"/>
  <c r="D179" i="2"/>
  <c r="D365" i="2"/>
  <c r="D364" i="2"/>
  <c r="D176" i="2"/>
  <c r="D177" i="2"/>
  <c r="D178" i="2"/>
  <c r="D175" i="2"/>
  <c r="D157" i="2"/>
  <c r="D158" i="2"/>
  <c r="D160" i="2"/>
  <c r="D162" i="2"/>
  <c r="D356" i="2"/>
  <c r="D163" i="2"/>
  <c r="D159" i="2"/>
  <c r="D161" i="2"/>
  <c r="D141" i="2"/>
  <c r="D347" i="2"/>
  <c r="D140" i="2"/>
  <c r="D348" i="2"/>
  <c r="D346" i="2"/>
  <c r="D334" i="2"/>
  <c r="D131" i="2"/>
  <c r="D338" i="2"/>
  <c r="D335" i="2"/>
  <c r="D130" i="2"/>
  <c r="D336" i="2"/>
  <c r="D337" i="2"/>
  <c r="D121" i="2"/>
  <c r="D304" i="2"/>
  <c r="D319" i="2"/>
  <c r="D321" i="2"/>
  <c r="D119" i="2"/>
  <c r="D322" i="2"/>
  <c r="D320" i="2"/>
  <c r="D120" i="2"/>
  <c r="D122" i="2"/>
  <c r="D99" i="2"/>
  <c r="D97" i="2"/>
  <c r="D101" i="2"/>
  <c r="D303" i="2"/>
  <c r="D100" i="2"/>
  <c r="D98" i="2"/>
  <c r="D82" i="2"/>
  <c r="D294" i="2"/>
  <c r="D76" i="2"/>
  <c r="D80" i="2"/>
  <c r="D293" i="2"/>
  <c r="D78" i="2"/>
  <c r="D77" i="2"/>
  <c r="D79" i="2"/>
  <c r="D295" i="2"/>
  <c r="D276" i="2"/>
  <c r="D81" i="2"/>
  <c r="D292" i="2"/>
  <c r="D43" i="2"/>
  <c r="D271" i="2"/>
  <c r="D45" i="2"/>
  <c r="D44" i="2"/>
  <c r="D20" i="2"/>
  <c r="D19" i="2"/>
  <c r="D21" i="2"/>
  <c r="D244" i="2"/>
  <c r="D242" i="2"/>
  <c r="D18" i="2"/>
  <c r="D243" i="2"/>
  <c r="D430" i="2"/>
  <c r="D423" i="2"/>
  <c r="D424" i="2"/>
  <c r="D425" i="2"/>
  <c r="D413" i="2"/>
  <c r="D421" i="2"/>
  <c r="D412" i="2"/>
  <c r="D410" i="2"/>
  <c r="D411" i="2"/>
  <c r="D402" i="2"/>
  <c r="D399" i="2"/>
  <c r="D385" i="2"/>
  <c r="D387" i="2"/>
  <c r="D386" i="2"/>
  <c r="D382" i="2"/>
  <c r="D384" i="2"/>
  <c r="D383" i="2"/>
  <c r="D370" i="2"/>
  <c r="D360" i="2"/>
  <c r="D361" i="2"/>
  <c r="D146" i="2"/>
  <c r="D352" i="2"/>
  <c r="D342" i="2"/>
  <c r="D325" i="2"/>
  <c r="D329" i="2"/>
  <c r="D309" i="2"/>
  <c r="D84" i="2"/>
  <c r="D87" i="2"/>
  <c r="D51" i="2"/>
  <c r="D58" i="2"/>
  <c r="D59" i="2"/>
  <c r="D262" i="2"/>
  <c r="D32" i="2"/>
  <c r="D2" i="2"/>
  <c r="D8" i="2"/>
  <c r="D33" i="2"/>
  <c r="D60" i="2"/>
  <c r="D88" i="2"/>
  <c r="D107" i="2"/>
  <c r="D127" i="2"/>
  <c r="D134" i="2"/>
  <c r="D147" i="2"/>
  <c r="D166" i="2"/>
  <c r="D183" i="2"/>
  <c r="D192" i="2"/>
  <c r="D450" i="2"/>
  <c r="D444" i="2"/>
  <c r="D445" i="2"/>
  <c r="D443" i="2"/>
  <c r="D442" i="2"/>
  <c r="D436" i="2"/>
  <c r="D434" i="2"/>
  <c r="D435" i="2"/>
  <c r="D432" i="2"/>
  <c r="D220" i="2"/>
  <c r="D422" i="2"/>
  <c r="D218" i="2"/>
  <c r="D415" i="2"/>
  <c r="D406" i="2"/>
  <c r="D404" i="2"/>
  <c r="D214" i="2"/>
  <c r="D403" i="2"/>
  <c r="D217" i="2"/>
  <c r="D213" i="2"/>
  <c r="D204" i="2"/>
  <c r="D205" i="2"/>
  <c r="D202" i="2"/>
  <c r="D210" i="2"/>
  <c r="D400" i="2"/>
  <c r="D397" i="2"/>
  <c r="D211" i="2"/>
  <c r="D209" i="2"/>
  <c r="D201" i="2"/>
  <c r="D200" i="2"/>
  <c r="D203" i="2"/>
  <c r="D193" i="2"/>
  <c r="D389" i="2"/>
  <c r="D377" i="2"/>
  <c r="D390" i="2"/>
  <c r="D388" i="2"/>
  <c r="D391" i="2"/>
  <c r="D196" i="2"/>
  <c r="D195" i="2"/>
  <c r="D378" i="2"/>
  <c r="D186" i="2"/>
  <c r="D372" i="2"/>
  <c r="D373" i="2"/>
  <c r="D187" i="2"/>
  <c r="D184" i="2"/>
  <c r="D185" i="2"/>
  <c r="D189" i="2"/>
  <c r="D188" i="2"/>
  <c r="D167" i="2"/>
  <c r="D169" i="2"/>
  <c r="D363" i="2"/>
  <c r="D151" i="2"/>
  <c r="D173" i="2"/>
  <c r="D362" i="2"/>
  <c r="D358" i="2"/>
  <c r="D168" i="2"/>
  <c r="D171" i="2"/>
  <c r="D174" i="2"/>
  <c r="D170" i="2"/>
  <c r="D172" i="2"/>
  <c r="D149" i="2"/>
  <c r="D152" i="2"/>
  <c r="D150" i="2"/>
  <c r="D156" i="2"/>
  <c r="D349" i="2"/>
  <c r="D355" i="2"/>
  <c r="D154" i="2"/>
  <c r="D153" i="2"/>
  <c r="D155" i="2"/>
  <c r="D138" i="2"/>
  <c r="D139" i="2"/>
  <c r="D343" i="2"/>
  <c r="D135" i="2"/>
  <c r="D137" i="2"/>
  <c r="D142" i="2"/>
  <c r="D136" i="2"/>
  <c r="D344" i="2"/>
  <c r="D339" i="2"/>
  <c r="D345" i="2"/>
  <c r="D324" i="2"/>
  <c r="D128" i="2"/>
  <c r="D331" i="2"/>
  <c r="D315" i="2"/>
  <c r="D332" i="2"/>
  <c r="D333" i="2"/>
  <c r="D129" i="2"/>
  <c r="D314" i="2"/>
  <c r="D123" i="2"/>
  <c r="D301" i="2"/>
  <c r="D313" i="2"/>
  <c r="D114" i="2"/>
  <c r="D125" i="2"/>
  <c r="D118" i="2"/>
  <c r="D113" i="2"/>
  <c r="D124" i="2"/>
  <c r="D115" i="2"/>
  <c r="D116" i="2"/>
  <c r="D108" i="2"/>
  <c r="D117" i="2"/>
  <c r="D318" i="2"/>
  <c r="D317" i="2"/>
  <c r="D305" i="2"/>
  <c r="D109" i="2"/>
  <c r="D316" i="2"/>
  <c r="D312" i="2"/>
  <c r="D311" i="2"/>
  <c r="D112" i="2"/>
  <c r="D110" i="2"/>
  <c r="D111" i="2"/>
  <c r="D95" i="2"/>
  <c r="D323" i="2"/>
  <c r="D299" i="2"/>
  <c r="D94" i="2"/>
  <c r="D96" i="2"/>
  <c r="D103" i="2"/>
  <c r="D85" i="2"/>
  <c r="D93" i="2"/>
  <c r="D300" i="2"/>
  <c r="D90" i="2"/>
  <c r="D91" i="2"/>
  <c r="D302" i="2"/>
  <c r="D89" i="2"/>
  <c r="D92" i="2"/>
  <c r="D102" i="2"/>
  <c r="D74" i="2"/>
  <c r="D287" i="2"/>
  <c r="D270" i="2"/>
  <c r="D291" i="2"/>
  <c r="D272" i="2"/>
  <c r="D61" i="2"/>
  <c r="D284" i="2"/>
  <c r="D83" i="2"/>
  <c r="D75" i="2"/>
  <c r="D68" i="2"/>
  <c r="D290" i="2"/>
  <c r="D72" i="2"/>
  <c r="D289" i="2"/>
  <c r="D288" i="2"/>
  <c r="D63" i="2"/>
  <c r="D35" i="2"/>
  <c r="D64" i="2"/>
  <c r="D71" i="2"/>
  <c r="D69" i="2"/>
  <c r="D66" i="2"/>
  <c r="D281" i="2"/>
  <c r="D273" i="2"/>
  <c r="D56" i="2"/>
  <c r="D70" i="2"/>
  <c r="D62" i="2"/>
  <c r="D286" i="2"/>
  <c r="D275" i="2"/>
  <c r="D73" i="2"/>
  <c r="D266" i="2"/>
  <c r="D247" i="2"/>
  <c r="D65" i="2"/>
  <c r="D285" i="2"/>
  <c r="D67" i="2"/>
  <c r="D274" i="2"/>
  <c r="D261" i="2"/>
  <c r="D248" i="2"/>
  <c r="D268" i="2"/>
  <c r="D30" i="2"/>
  <c r="D259" i="2"/>
  <c r="D42" i="2"/>
  <c r="D36" i="2"/>
  <c r="D245" i="2"/>
  <c r="D236" i="2"/>
  <c r="D29" i="2"/>
  <c r="D28" i="2"/>
  <c r="D31" i="2"/>
  <c r="D46" i="2"/>
  <c r="D49" i="2"/>
  <c r="D41" i="2"/>
  <c r="D34" i="2"/>
  <c r="D265" i="2"/>
  <c r="D38" i="2"/>
  <c r="D249" i="2"/>
  <c r="D37" i="2"/>
  <c r="D48" i="2"/>
  <c r="D39" i="2"/>
  <c r="D269" i="2"/>
  <c r="D267" i="2"/>
  <c r="D250" i="2"/>
  <c r="D260" i="2"/>
  <c r="D251" i="2"/>
  <c r="D40" i="2"/>
  <c r="D47" i="2"/>
  <c r="D50" i="2"/>
  <c r="D11" i="2"/>
  <c r="D428" i="2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" i="3"/>
  <c r="D8" i="3"/>
  <c r="D9" i="3"/>
  <c r="D6" i="3"/>
  <c r="D4" i="3"/>
  <c r="D19" i="3"/>
  <c r="D3" i="3"/>
  <c r="D10" i="3"/>
  <c r="D2" i="3"/>
  <c r="D11" i="3"/>
  <c r="D12" i="3"/>
  <c r="D20" i="3"/>
  <c r="D13" i="3"/>
  <c r="D14" i="3"/>
  <c r="D15" i="3"/>
  <c r="D16" i="3"/>
  <c r="D5" i="3"/>
  <c r="D21" i="3"/>
  <c r="D17" i="3"/>
  <c r="D22" i="3"/>
  <c r="D18" i="3"/>
  <c r="D7" i="3"/>
  <c r="K5" i="3"/>
  <c r="K6" i="3"/>
  <c r="K4" i="3"/>
  <c r="K21" i="3"/>
  <c r="K19" i="3"/>
  <c r="K20" i="3"/>
  <c r="K3" i="3"/>
  <c r="K8" i="3"/>
  <c r="K22" i="3"/>
  <c r="K9" i="3"/>
  <c r="K17" i="3"/>
  <c r="K10" i="3"/>
  <c r="K7" i="3"/>
  <c r="K2" i="3"/>
  <c r="K11" i="3"/>
  <c r="K16" i="3"/>
  <c r="K13" i="3"/>
  <c r="K18" i="3"/>
  <c r="K14" i="3"/>
  <c r="K12" i="3"/>
  <c r="K15" i="3"/>
</calcChain>
</file>

<file path=xl/sharedStrings.xml><?xml version="1.0" encoding="utf-8"?>
<sst xmlns="http://schemas.openxmlformats.org/spreadsheetml/2006/main" count="21774" uniqueCount="762">
  <si>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</si>
  <si>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</si>
  <si>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</si>
  <si>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</si>
  <si>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</si>
  <si>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</si>
  <si>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</si>
  <si>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</si>
  <si>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</si>
  <si>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</si>
  <si>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</si>
  <si>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</si>
  <si>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</si>
  <si>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</si>
  <si>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</si>
  <si>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</si>
  <si>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</si>
  <si>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</si>
  <si>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</si>
  <si>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</si>
  <si>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</si>
  <si>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</si>
  <si>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</si>
  <si>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</si>
  <si>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</si>
  <si>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</si>
  <si>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</si>
  <si>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</si>
  <si>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</si>
  <si>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</si>
  <si>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</si>
  <si>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</si>
  <si>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</si>
  <si>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</si>
  <si>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</si>
  <si>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</si>
  <si>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</si>
  <si>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</si>
  <si>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</si>
  <si>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</si>
  <si>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</si>
  <si>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</si>
  <si>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</si>
  <si>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</si>
  <si>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</si>
  <si>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</si>
  <si>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</si>
  <si>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</si>
  <si>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</si>
  <si>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WEBBER</t>
  </si>
  <si>
    <t>DIANE</t>
  </si>
  <si>
    <t>Allstate Health Solutions</t>
  </si>
  <si>
    <t>AZ</t>
  </si>
  <si>
    <t>Ancillary</t>
  </si>
  <si>
    <t>Cancer and Heart/Stroke GI 20231</t>
  </si>
  <si>
    <t>CALTAGIRONE</t>
  </si>
  <si>
    <t>RYAN</t>
  </si>
  <si>
    <t>Active</t>
  </si>
  <si>
    <t xml:space="preserve">Monthly </t>
  </si>
  <si>
    <t>Default</t>
  </si>
  <si>
    <t>FY</t>
  </si>
  <si>
    <t>Y</t>
  </si>
  <si>
    <t>MULLOY</t>
  </si>
  <si>
    <t>SHARON</t>
  </si>
  <si>
    <t>OR</t>
  </si>
  <si>
    <t>Yale</t>
  </si>
  <si>
    <t>Richard</t>
  </si>
  <si>
    <t>MACKINNON</t>
  </si>
  <si>
    <t>EWAN</t>
  </si>
  <si>
    <t>CO</t>
  </si>
  <si>
    <t>Critical Illness w/ Term Life 21677</t>
  </si>
  <si>
    <t>Geske</t>
  </si>
  <si>
    <t>Heather</t>
  </si>
  <si>
    <t>GERMAIN</t>
  </si>
  <si>
    <t>ERIC</t>
  </si>
  <si>
    <t>Cancer and Heart/Stroke 20231 CO-FL-MN-MI</t>
  </si>
  <si>
    <t>SCHOENDIENST</t>
  </si>
  <si>
    <t>LINDSEY</t>
  </si>
  <si>
    <t>IL</t>
  </si>
  <si>
    <t>Association</t>
  </si>
  <si>
    <t>Life Association Access</t>
  </si>
  <si>
    <t>Chad</t>
  </si>
  <si>
    <t>A6</t>
  </si>
  <si>
    <t>PAGET</t>
  </si>
  <si>
    <t>SETH</t>
  </si>
  <si>
    <t>LIFE Association Membership - C 14956 PPO</t>
  </si>
  <si>
    <t>Allan</t>
  </si>
  <si>
    <t>H</t>
  </si>
  <si>
    <t>A10</t>
  </si>
  <si>
    <t>HARPER</t>
  </si>
  <si>
    <t>JOHN</t>
  </si>
  <si>
    <t>TX</t>
  </si>
  <si>
    <t>Dental</t>
  </si>
  <si>
    <t>SELECT DENTAL 29304</t>
  </si>
  <si>
    <t>Garnett</t>
  </si>
  <si>
    <t>Michael</t>
  </si>
  <si>
    <t>MARTIN</t>
  </si>
  <si>
    <t>FANTAYIJA</t>
  </si>
  <si>
    <t>FINNIGAN</t>
  </si>
  <si>
    <t>COLLEEN</t>
  </si>
  <si>
    <t>GRIFFIN</t>
  </si>
  <si>
    <t>TIMMY</t>
  </si>
  <si>
    <t>OK</t>
  </si>
  <si>
    <t>Powers</t>
  </si>
  <si>
    <t>Matthew</t>
  </si>
  <si>
    <t>BRATTON</t>
  </si>
  <si>
    <t>JENNIFER</t>
  </si>
  <si>
    <t>IN</t>
  </si>
  <si>
    <t>Sanderock</t>
  </si>
  <si>
    <t>Marsha</t>
  </si>
  <si>
    <t>LOPEZ</t>
  </si>
  <si>
    <t>DELIA</t>
  </si>
  <si>
    <t>Nevarez</t>
  </si>
  <si>
    <t>Antonia</t>
  </si>
  <si>
    <t>Fixed Indemnity</t>
  </si>
  <si>
    <t>Allstate Health Access</t>
  </si>
  <si>
    <t>Other</t>
  </si>
  <si>
    <t>Accident Fixed-Benefit 21044</t>
  </si>
  <si>
    <t>WILBER</t>
  </si>
  <si>
    <t>MD</t>
  </si>
  <si>
    <t>Term Life 21673</t>
  </si>
  <si>
    <t>SCHAEFFER</t>
  </si>
  <si>
    <t>WILLIAM</t>
  </si>
  <si>
    <t>EATON</t>
  </si>
  <si>
    <t>KENNETH</t>
  </si>
  <si>
    <t>Plan Enhancer 20214</t>
  </si>
  <si>
    <t>Choi</t>
  </si>
  <si>
    <t>Andrew</t>
  </si>
  <si>
    <t>MOORE</t>
  </si>
  <si>
    <t>RITA</t>
  </si>
  <si>
    <t>KS</t>
  </si>
  <si>
    <t>Ferguson</t>
  </si>
  <si>
    <t>Taliah</t>
  </si>
  <si>
    <t>SANCHEZ</t>
  </si>
  <si>
    <t>GUADALUPE</t>
  </si>
  <si>
    <t>Schumann</t>
  </si>
  <si>
    <t>Barry</t>
  </si>
  <si>
    <t>DENOFRIO</t>
  </si>
  <si>
    <t>NICOLE</t>
  </si>
  <si>
    <t>PETRUNGARO</t>
  </si>
  <si>
    <t>ANDREA</t>
  </si>
  <si>
    <t>MADRIGAL</t>
  </si>
  <si>
    <t>CRISTIAN</t>
  </si>
  <si>
    <t>Dionesotes</t>
  </si>
  <si>
    <t>Noah</t>
  </si>
  <si>
    <t>DOSSETT</t>
  </si>
  <si>
    <t>CHRISTOPHER</t>
  </si>
  <si>
    <t>PARDUE</t>
  </si>
  <si>
    <t>THOMAS</t>
  </si>
  <si>
    <t>OTGON</t>
  </si>
  <si>
    <t>KHATANBAATAR</t>
  </si>
  <si>
    <t>ZANA</t>
  </si>
  <si>
    <t>NASANDELGER</t>
  </si>
  <si>
    <t>LOIGEROT</t>
  </si>
  <si>
    <t>ETHAN</t>
  </si>
  <si>
    <t>MT</t>
  </si>
  <si>
    <t>Shulman</t>
  </si>
  <si>
    <t>Jake</t>
  </si>
  <si>
    <t>KUPFERSCHMID</t>
  </si>
  <si>
    <t>MICHAEL</t>
  </si>
  <si>
    <t>YALE</t>
  </si>
  <si>
    <t>JACOB</t>
  </si>
  <si>
    <t>BATTULGA</t>
  </si>
  <si>
    <t>NARMANDAKH</t>
  </si>
  <si>
    <t>WALDREN</t>
  </si>
  <si>
    <t>STACEY</t>
  </si>
  <si>
    <t>Short Term Medical</t>
  </si>
  <si>
    <t>National General STM CO-CT-IA-KS-MD-MO-ND-OR-SD</t>
  </si>
  <si>
    <t>DAUGHERTY</t>
  </si>
  <si>
    <t>MATTHEW</t>
  </si>
  <si>
    <t>A1</t>
  </si>
  <si>
    <t>NHIC STM PPO All Other States</t>
  </si>
  <si>
    <t>Recuro PPO All Other States</t>
  </si>
  <si>
    <t>CURRIE</t>
  </si>
  <si>
    <t>PATRICK</t>
  </si>
  <si>
    <t>MI</t>
  </si>
  <si>
    <t>Accident</t>
  </si>
  <si>
    <t>TrioMED Accident and CI 14939</t>
  </si>
  <si>
    <t>KATELENN</t>
  </si>
  <si>
    <t>Chargeback</t>
  </si>
  <si>
    <t>Converted</t>
  </si>
  <si>
    <t>RN</t>
  </si>
  <si>
    <t>N</t>
  </si>
  <si>
    <t>SURRATT</t>
  </si>
  <si>
    <t>RHONDA</t>
  </si>
  <si>
    <t>AL</t>
  </si>
  <si>
    <t>ROKEN</t>
  </si>
  <si>
    <t>VOLZ</t>
  </si>
  <si>
    <t>NATALIA</t>
  </si>
  <si>
    <t>PA</t>
  </si>
  <si>
    <t>TrioMED 30k 15307</t>
  </si>
  <si>
    <t>CAMPBELL</t>
  </si>
  <si>
    <t>CHARLES</t>
  </si>
  <si>
    <t>LUDDY</t>
  </si>
  <si>
    <t>SARAH</t>
  </si>
  <si>
    <t>FOLEY</t>
  </si>
  <si>
    <t>CAROL</t>
  </si>
  <si>
    <t>LONGENECKER</t>
  </si>
  <si>
    <t>MEGAN</t>
  </si>
  <si>
    <t>FARTHING</t>
  </si>
  <si>
    <t>JACQUELINE</t>
  </si>
  <si>
    <t>CLOUSE</t>
  </si>
  <si>
    <t>KEVIN</t>
  </si>
  <si>
    <t>TERRY</t>
  </si>
  <si>
    <t>JAYLA</t>
  </si>
  <si>
    <t>WHITLOCK</t>
  </si>
  <si>
    <t>PETTINE</t>
  </si>
  <si>
    <t>GEOFFREY</t>
  </si>
  <si>
    <t>KABEL</t>
  </si>
  <si>
    <t>JOSEPH</t>
  </si>
  <si>
    <t>POWERS</t>
  </si>
  <si>
    <t>TIMOTHY</t>
  </si>
  <si>
    <t>JOHNSON</t>
  </si>
  <si>
    <t>CATHERINE</t>
  </si>
  <si>
    <t>VA</t>
  </si>
  <si>
    <t>TrioMED 15k 15285</t>
  </si>
  <si>
    <t>KINYUA</t>
  </si>
  <si>
    <t>JARED</t>
  </si>
  <si>
    <t>BALLA</t>
  </si>
  <si>
    <t>SC</t>
  </si>
  <si>
    <t>JEROUSEK</t>
  </si>
  <si>
    <t>DENISE</t>
  </si>
  <si>
    <t>RICHTER</t>
  </si>
  <si>
    <t>ADAM</t>
  </si>
  <si>
    <t>MOHLER</t>
  </si>
  <si>
    <t>FL</t>
  </si>
  <si>
    <t>GRISSOM</t>
  </si>
  <si>
    <t>ANTHONY</t>
  </si>
  <si>
    <t>MS</t>
  </si>
  <si>
    <t>PHILLIPS</t>
  </si>
  <si>
    <t>DICKINSON</t>
  </si>
  <si>
    <t>KRISTIN</t>
  </si>
  <si>
    <t>Cancer and Heart/Stroke 20231</t>
  </si>
  <si>
    <t>DARCY</t>
  </si>
  <si>
    <t>GESKE</t>
  </si>
  <si>
    <t>JEFFRIES</t>
  </si>
  <si>
    <t>ZARIYAH</t>
  </si>
  <si>
    <t>ROWELL</t>
  </si>
  <si>
    <t>JORDAN</t>
  </si>
  <si>
    <t>KONKOL</t>
  </si>
  <si>
    <t>ELLIS</t>
  </si>
  <si>
    <t>LINDA</t>
  </si>
  <si>
    <t>HINTZICKER</t>
  </si>
  <si>
    <t>SANDOVAL</t>
  </si>
  <si>
    <t>NIKKI</t>
  </si>
  <si>
    <t>HEATHER</t>
  </si>
  <si>
    <t>DOBSCH</t>
  </si>
  <si>
    <t>CARRIE</t>
  </si>
  <si>
    <t>FELOSA</t>
  </si>
  <si>
    <t>DAWN</t>
  </si>
  <si>
    <t>CARROLL</t>
  </si>
  <si>
    <t>EDWARD</t>
  </si>
  <si>
    <t>MORGAN-PRESTON</t>
  </si>
  <si>
    <t>CHERI</t>
  </si>
  <si>
    <t>GOOD</t>
  </si>
  <si>
    <t>CLEAVE</t>
  </si>
  <si>
    <t>MADELYN</t>
  </si>
  <si>
    <t>PATTERSON</t>
  </si>
  <si>
    <t>JAMES</t>
  </si>
  <si>
    <t>SHELLEY</t>
  </si>
  <si>
    <t>TEIPEL</t>
  </si>
  <si>
    <t>GREGORY</t>
  </si>
  <si>
    <t>BRECK</t>
  </si>
  <si>
    <t>ALEXIS</t>
  </si>
  <si>
    <t>SHOCKLEY</t>
  </si>
  <si>
    <t>CONNIE</t>
  </si>
  <si>
    <t>Tigue</t>
  </si>
  <si>
    <t>Kirk</t>
  </si>
  <si>
    <t>SINGH</t>
  </si>
  <si>
    <t>JUANITA</t>
  </si>
  <si>
    <t>WILLIAMS</t>
  </si>
  <si>
    <t>DUSTIN</t>
  </si>
  <si>
    <t>WI</t>
  </si>
  <si>
    <t>Hodgman</t>
  </si>
  <si>
    <t>Timothy</t>
  </si>
  <si>
    <t>WRING</t>
  </si>
  <si>
    <t>DAVID</t>
  </si>
  <si>
    <t>FUENTES</t>
  </si>
  <si>
    <t>MELISSA</t>
  </si>
  <si>
    <t>VICTOR</t>
  </si>
  <si>
    <t>SANDRA</t>
  </si>
  <si>
    <t>LA</t>
  </si>
  <si>
    <t>CHIARO</t>
  </si>
  <si>
    <t>MARY</t>
  </si>
  <si>
    <t>Walenga</t>
  </si>
  <si>
    <t>Dale</t>
  </si>
  <si>
    <t>MCKEE</t>
  </si>
  <si>
    <t>JILL</t>
  </si>
  <si>
    <t>IA</t>
  </si>
  <si>
    <t>ANNETTE</t>
  </si>
  <si>
    <t>TREVINO</t>
  </si>
  <si>
    <t>DEUSER</t>
  </si>
  <si>
    <t>Abdul</t>
  </si>
  <si>
    <t>Saadia</t>
  </si>
  <si>
    <t>GEORGE</t>
  </si>
  <si>
    <t>ALMENDAREZ</t>
  </si>
  <si>
    <t>DEYANIRA</t>
  </si>
  <si>
    <t>DUKE</t>
  </si>
  <si>
    <t>KENZIE</t>
  </si>
  <si>
    <t>UT</t>
  </si>
  <si>
    <t>MARTINEZ</t>
  </si>
  <si>
    <t>URIEL</t>
  </si>
  <si>
    <t>LOUIE</t>
  </si>
  <si>
    <t>Lee</t>
  </si>
  <si>
    <t>Joel</t>
  </si>
  <si>
    <t>QURESHI</t>
  </si>
  <si>
    <t>SEMAB</t>
  </si>
  <si>
    <t>Max</t>
  </si>
  <si>
    <t>Ronald</t>
  </si>
  <si>
    <t>DUNCAN</t>
  </si>
  <si>
    <t>STEPHEN</t>
  </si>
  <si>
    <t>STALLKAMP</t>
  </si>
  <si>
    <t>OH</t>
  </si>
  <si>
    <t>DARRYL</t>
  </si>
  <si>
    <t>CHESTER</t>
  </si>
  <si>
    <t>WATSON</t>
  </si>
  <si>
    <t>OCTA'VYON</t>
  </si>
  <si>
    <t>LAKE</t>
  </si>
  <si>
    <t>KODI</t>
  </si>
  <si>
    <t>DARIAN</t>
  </si>
  <si>
    <t>ENERGY</t>
  </si>
  <si>
    <t>LYNNSEY</t>
  </si>
  <si>
    <t>DANBY</t>
  </si>
  <si>
    <t>BRETT</t>
  </si>
  <si>
    <t>HEINTZ</t>
  </si>
  <si>
    <t>GEHRING</t>
  </si>
  <si>
    <t>TROUT</t>
  </si>
  <si>
    <t>JASON</t>
  </si>
  <si>
    <t>THOMPSON</t>
  </si>
  <si>
    <t>LATONYS</t>
  </si>
  <si>
    <t>BARNES</t>
  </si>
  <si>
    <t>KAI</t>
  </si>
  <si>
    <t>LEWIS</t>
  </si>
  <si>
    <t>MELANIE</t>
  </si>
  <si>
    <t>KRAUTER</t>
  </si>
  <si>
    <t>Allstate Health Cancer Only 5035</t>
  </si>
  <si>
    <t>LOTHARP</t>
  </si>
  <si>
    <t>NC</t>
  </si>
  <si>
    <t>PRINCETON</t>
  </si>
  <si>
    <t>ANDRE</t>
  </si>
  <si>
    <t>Halsaver</t>
  </si>
  <si>
    <t>Jennifer</t>
  </si>
  <si>
    <t>WALL</t>
  </si>
  <si>
    <t>LISA</t>
  </si>
  <si>
    <t>ELMAN</t>
  </si>
  <si>
    <t>STUART</t>
  </si>
  <si>
    <t>DECKARD</t>
  </si>
  <si>
    <t>JACKSON</t>
  </si>
  <si>
    <t>BRYAN</t>
  </si>
  <si>
    <t>GA</t>
  </si>
  <si>
    <t>LIFE Association Membership - C 14956 LM</t>
  </si>
  <si>
    <t>JULIAN</t>
  </si>
  <si>
    <t>GEISSINGER</t>
  </si>
  <si>
    <t>DOUGLAS</t>
  </si>
  <si>
    <t>Life Association C OH</t>
  </si>
  <si>
    <t>BRITT</t>
  </si>
  <si>
    <t>LANDON</t>
  </si>
  <si>
    <t>TN</t>
  </si>
  <si>
    <t>PAUL</t>
  </si>
  <si>
    <t>JEANETTE</t>
  </si>
  <si>
    <t>RAGUSA</t>
  </si>
  <si>
    <t>KARA</t>
  </si>
  <si>
    <t>CARVALHO</t>
  </si>
  <si>
    <t>BERNARDO</t>
  </si>
  <si>
    <t>STANLEY</t>
  </si>
  <si>
    <t>STOCKTON</t>
  </si>
  <si>
    <t>ALEXANDRA</t>
  </si>
  <si>
    <t>GALLARELLO</t>
  </si>
  <si>
    <t>MARYANN</t>
  </si>
  <si>
    <t>NV</t>
  </si>
  <si>
    <t>DIXON</t>
  </si>
  <si>
    <t>CHAD</t>
  </si>
  <si>
    <t>DE</t>
  </si>
  <si>
    <t>NOVAC</t>
  </si>
  <si>
    <t>GYORGYI</t>
  </si>
  <si>
    <t>Life Association Access (GI)</t>
  </si>
  <si>
    <t>JUKIC</t>
  </si>
  <si>
    <t>TANJA</t>
  </si>
  <si>
    <t>CAMPANELLA</t>
  </si>
  <si>
    <t>LOVING</t>
  </si>
  <si>
    <t>Solivan</t>
  </si>
  <si>
    <t>Erica</t>
  </si>
  <si>
    <t>GREEN</t>
  </si>
  <si>
    <t>KARENLYNN</t>
  </si>
  <si>
    <t>Arenson</t>
  </si>
  <si>
    <t>Gregg</t>
  </si>
  <si>
    <t>Life Association C IN</t>
  </si>
  <si>
    <t>ORT</t>
  </si>
  <si>
    <t>LIFE C TN-IN-NE-IA-ND-KS-MD-VA-ME-SD-MO-NC-OR</t>
  </si>
  <si>
    <t>A3</t>
  </si>
  <si>
    <t>RISING</t>
  </si>
  <si>
    <t>PETER</t>
  </si>
  <si>
    <t>DIGREGORIO</t>
  </si>
  <si>
    <t>GOVENAR</t>
  </si>
  <si>
    <t>BREEA</t>
  </si>
  <si>
    <t>KOZACHECK</t>
  </si>
  <si>
    <t>ANNE MARIE</t>
  </si>
  <si>
    <t>CARLSON</t>
  </si>
  <si>
    <t>ARTHUR</t>
  </si>
  <si>
    <t>FRISHKORN</t>
  </si>
  <si>
    <t>BRITTANY</t>
  </si>
  <si>
    <t>SCHAAL</t>
  </si>
  <si>
    <t>AGUGLIA</t>
  </si>
  <si>
    <t>SCOTT</t>
  </si>
  <si>
    <t>WHITE</t>
  </si>
  <si>
    <t>CHANTAL</t>
  </si>
  <si>
    <t>STANIECH</t>
  </si>
  <si>
    <t>SHANNON</t>
  </si>
  <si>
    <t>KAPANGA</t>
  </si>
  <si>
    <t>SEAN</t>
  </si>
  <si>
    <t>JENNINGS</t>
  </si>
  <si>
    <t>MO</t>
  </si>
  <si>
    <t>HURSEY</t>
  </si>
  <si>
    <t>PAULA</t>
  </si>
  <si>
    <t>MOREAU</t>
  </si>
  <si>
    <t>MASON</t>
  </si>
  <si>
    <t>RODECK</t>
  </si>
  <si>
    <t>KEITH</t>
  </si>
  <si>
    <t>OSBORNE</t>
  </si>
  <si>
    <t>CYNTHIA</t>
  </si>
  <si>
    <t>BERGERON</t>
  </si>
  <si>
    <t>NATALIE</t>
  </si>
  <si>
    <t>ITURBE</t>
  </si>
  <si>
    <t>TORRES</t>
  </si>
  <si>
    <t>JOSE</t>
  </si>
  <si>
    <t>HENDRIX</t>
  </si>
  <si>
    <t>TERRICA</t>
  </si>
  <si>
    <t>LIGHT</t>
  </si>
  <si>
    <t>ELIZABETH</t>
  </si>
  <si>
    <t>Dental Indemnity 21618</t>
  </si>
  <si>
    <t>LAFONTAINE</t>
  </si>
  <si>
    <t>TEMPESTT</t>
  </si>
  <si>
    <t>WILLEY</t>
  </si>
  <si>
    <t>RENEE</t>
  </si>
  <si>
    <t>MONGOL</t>
  </si>
  <si>
    <t>SEMBI</t>
  </si>
  <si>
    <t>NYAMJAV</t>
  </si>
  <si>
    <t>ENKHJARGAL</t>
  </si>
  <si>
    <t>NHIC STM 2022 OH Single Term</t>
  </si>
  <si>
    <t>NHIC STM 2022 IN Renewable</t>
  </si>
  <si>
    <t>NHIC STM PPO MO-NC-OR-IN-TN</t>
  </si>
  <si>
    <t>STEPHENSON</t>
  </si>
  <si>
    <t>BONNI</t>
  </si>
  <si>
    <t>Supplement</t>
  </si>
  <si>
    <t>NHIC Dental 2020 DVH 65+</t>
  </si>
  <si>
    <t>LARRY</t>
  </si>
  <si>
    <t>HOFFMANN</t>
  </si>
  <si>
    <t>WOLFZORN</t>
  </si>
  <si>
    <t>WOODALL</t>
  </si>
  <si>
    <t>BARTON</t>
  </si>
  <si>
    <t>TRACI</t>
  </si>
  <si>
    <t>CARRYER</t>
  </si>
  <si>
    <t>KELLY</t>
  </si>
  <si>
    <t>MAYHEW</t>
  </si>
  <si>
    <t>REBECCA</t>
  </si>
  <si>
    <t>INSKIPT</t>
  </si>
  <si>
    <t>DEBORAH</t>
  </si>
  <si>
    <t>DUBACH</t>
  </si>
  <si>
    <t>HELAINE</t>
  </si>
  <si>
    <t>GIILESPIE</t>
  </si>
  <si>
    <t>ENDRES</t>
  </si>
  <si>
    <t>GAYLE</t>
  </si>
  <si>
    <t>NHIC LM 2021 SENIOR INDEMNITY 65+</t>
  </si>
  <si>
    <t>Life Association Standalone Bundled wLM</t>
  </si>
  <si>
    <t>LAUFF</t>
  </si>
  <si>
    <t>KIMBERLY</t>
  </si>
  <si>
    <t>BENDER</t>
  </si>
  <si>
    <t>EVELYN</t>
  </si>
  <si>
    <t>HANSFORD</t>
  </si>
  <si>
    <t>VALE</t>
  </si>
  <si>
    <t>EMMA</t>
  </si>
  <si>
    <t>HERRERA-LARSEN</t>
  </si>
  <si>
    <t>ESTHER</t>
  </si>
  <si>
    <t>HADDAD</t>
  </si>
  <si>
    <t>RAYMOND</t>
  </si>
  <si>
    <t>WILLIE</t>
  </si>
  <si>
    <t>WRIGHT</t>
  </si>
  <si>
    <t>DUNAVANT</t>
  </si>
  <si>
    <t>HUSSAIN</t>
  </si>
  <si>
    <t>NIDA</t>
  </si>
  <si>
    <t>MACCARELLI</t>
  </si>
  <si>
    <t>VINCE</t>
  </si>
  <si>
    <t>BURRI</t>
  </si>
  <si>
    <t>TODD</t>
  </si>
  <si>
    <t>YUHASZ</t>
  </si>
  <si>
    <t>ZACHARY</t>
  </si>
  <si>
    <t>LIBERATORE</t>
  </si>
  <si>
    <t>MICHELE</t>
  </si>
  <si>
    <t>JR</t>
  </si>
  <si>
    <t>LAMBERT</t>
  </si>
  <si>
    <t>GALLOWAY</t>
  </si>
  <si>
    <t>COMPTON-FREDERICK</t>
  </si>
  <si>
    <t>SUSAN</t>
  </si>
  <si>
    <t>WALKER</t>
  </si>
  <si>
    <t>ELDON</t>
  </si>
  <si>
    <t>CAVI</t>
  </si>
  <si>
    <t>REED</t>
  </si>
  <si>
    <t>RECTOR</t>
  </si>
  <si>
    <t>ANDREW</t>
  </si>
  <si>
    <t>HEGARTY</t>
  </si>
  <si>
    <t>AARON</t>
  </si>
  <si>
    <t>NGUYEN</t>
  </si>
  <si>
    <t>VAN</t>
  </si>
  <si>
    <t>CARSON</t>
  </si>
  <si>
    <t>DOWDY</t>
  </si>
  <si>
    <t>WESCOTT</t>
  </si>
  <si>
    <t>Hunsberger</t>
  </si>
  <si>
    <t>Anthony</t>
  </si>
  <si>
    <t>HUDZIK</t>
  </si>
  <si>
    <t>CASTELAN</t>
  </si>
  <si>
    <t>ANTONIO</t>
  </si>
  <si>
    <t>LARSEN</t>
  </si>
  <si>
    <t>BLAKE</t>
  </si>
  <si>
    <t>PETERS</t>
  </si>
  <si>
    <t>JAMIE</t>
  </si>
  <si>
    <t>KRAMER-KAHNY</t>
  </si>
  <si>
    <t>RUSSELL</t>
  </si>
  <si>
    <t>HOWARD</t>
  </si>
  <si>
    <t>TAMEKA</t>
  </si>
  <si>
    <t>Allen</t>
  </si>
  <si>
    <t>James</t>
  </si>
  <si>
    <t>PAOLANTONIO</t>
  </si>
  <si>
    <t>KRISTINA</t>
  </si>
  <si>
    <t>MONBRUM</t>
  </si>
  <si>
    <t>TAYLOR</t>
  </si>
  <si>
    <t>BRENNER</t>
  </si>
  <si>
    <t>BARRY</t>
  </si>
  <si>
    <t>KARAS</t>
  </si>
  <si>
    <t>BARTLOMIEJ</t>
  </si>
  <si>
    <t>HAMBRICK</t>
  </si>
  <si>
    <t>JONES</t>
  </si>
  <si>
    <t>ISAIAH</t>
  </si>
  <si>
    <t>REYNA</t>
  </si>
  <si>
    <t>MARIA</t>
  </si>
  <si>
    <t>CHIMEDTSEREN</t>
  </si>
  <si>
    <t>AMARJARGAL</t>
  </si>
  <si>
    <t>SANSONE</t>
  </si>
  <si>
    <t>NINO</t>
  </si>
  <si>
    <t>DANIEL</t>
  </si>
  <si>
    <t>WEBSTER</t>
  </si>
  <si>
    <t>SYDNEY</t>
  </si>
  <si>
    <t>COKISHA</t>
  </si>
  <si>
    <t>DWIGHT</t>
  </si>
  <si>
    <t>SAMUEL</t>
  </si>
  <si>
    <t>CLIFTON</t>
  </si>
  <si>
    <t>VINITSKI</t>
  </si>
  <si>
    <t>MADISON</t>
  </si>
  <si>
    <t>PORTUGAL</t>
  </si>
  <si>
    <t>GARY</t>
  </si>
  <si>
    <t>HERNANDEZ</t>
  </si>
  <si>
    <t>MARTHA</t>
  </si>
  <si>
    <t>FLATT</t>
  </si>
  <si>
    <t>AMBER</t>
  </si>
  <si>
    <t>DEBELLIS</t>
  </si>
  <si>
    <t>AMIT</t>
  </si>
  <si>
    <t>BELANI</t>
  </si>
  <si>
    <t>ZABRINA</t>
  </si>
  <si>
    <t>LINN</t>
  </si>
  <si>
    <t>JENSEN</t>
  </si>
  <si>
    <t>JULIE</t>
  </si>
  <si>
    <t>HODGMAN</t>
  </si>
  <si>
    <t>OVERSTREET</t>
  </si>
  <si>
    <t>ACHIMAS</t>
  </si>
  <si>
    <t>PUGH</t>
  </si>
  <si>
    <t>MARQUITA</t>
  </si>
  <si>
    <t>INMAN</t>
  </si>
  <si>
    <t>TAUGNER</t>
  </si>
  <si>
    <t>CHRISTIAN</t>
  </si>
  <si>
    <t>MANSFIELD</t>
  </si>
  <si>
    <t>ANDERSON</t>
  </si>
  <si>
    <t>LINARES</t>
  </si>
  <si>
    <t>LAURA</t>
  </si>
  <si>
    <t>ZAVERI</t>
  </si>
  <si>
    <t>RAJIV</t>
  </si>
  <si>
    <t>WIGGINS</t>
  </si>
  <si>
    <t>THEODORE</t>
  </si>
  <si>
    <t>NHIC LM 2021 Hospital Expense Protection U65</t>
  </si>
  <si>
    <t>MULLER</t>
  </si>
  <si>
    <t>JESSICA</t>
  </si>
  <si>
    <t>GIRGENTI</t>
  </si>
  <si>
    <t>MARONSKI</t>
  </si>
  <si>
    <t>Allstate Recuro RX Discount Card</t>
  </si>
  <si>
    <t>Allstate Health Access (GI)</t>
  </si>
  <si>
    <t>JOYCE</t>
  </si>
  <si>
    <t>EVANS</t>
  </si>
  <si>
    <t>SHAMAR</t>
  </si>
  <si>
    <t>HALL</t>
  </si>
  <si>
    <t>Medicare Supplement</t>
  </si>
  <si>
    <t>NHIC MedSupp 2022 IL Plan F, G Age 65-80</t>
  </si>
  <si>
    <t>BROMUND</t>
  </si>
  <si>
    <t>AMATA</t>
  </si>
  <si>
    <t>Accident Fixed Benefit</t>
  </si>
  <si>
    <t>HIGGINS</t>
  </si>
  <si>
    <t>PHELPS</t>
  </si>
  <si>
    <t>HAZEN</t>
  </si>
  <si>
    <t>RESS</t>
  </si>
  <si>
    <t>VACILIKI</t>
  </si>
  <si>
    <t>PAROTTO</t>
  </si>
  <si>
    <t>ROBERTA</t>
  </si>
  <si>
    <t>SHEFFIELD</t>
  </si>
  <si>
    <t>LOIS</t>
  </si>
  <si>
    <t>KY</t>
  </si>
  <si>
    <t>BADRAA</t>
  </si>
  <si>
    <t>BURMAN</t>
  </si>
  <si>
    <t>CONINO</t>
  </si>
  <si>
    <t>CHRISTA</t>
  </si>
  <si>
    <t>CAROLL</t>
  </si>
  <si>
    <t>RIVERA</t>
  </si>
  <si>
    <t>CRISTINA</t>
  </si>
  <si>
    <t>DAMIAN</t>
  </si>
  <si>
    <t>SID</t>
  </si>
  <si>
    <t>LYNNA</t>
  </si>
  <si>
    <t>BAKER</t>
  </si>
  <si>
    <t>AUSTIN</t>
  </si>
  <si>
    <t>VOLBRECHT</t>
  </si>
  <si>
    <t>HEIDI</t>
  </si>
  <si>
    <t>OCHIR</t>
  </si>
  <si>
    <t>MUNKHSAIKHAN</t>
  </si>
  <si>
    <t>ENKHTUR</t>
  </si>
  <si>
    <t>ODMAA</t>
  </si>
  <si>
    <t>PANGAN</t>
  </si>
  <si>
    <t>GLORIA</t>
  </si>
  <si>
    <t>CARLTON</t>
  </si>
  <si>
    <t>TAMMY</t>
  </si>
  <si>
    <t>KEGHAN</t>
  </si>
  <si>
    <t>MASHBAT</t>
  </si>
  <si>
    <t>UNDRAGA</t>
  </si>
  <si>
    <t>NOBILE</t>
  </si>
  <si>
    <t>GABRIELLA</t>
  </si>
  <si>
    <t>WERNER</t>
  </si>
  <si>
    <t>STEVEN</t>
  </si>
  <si>
    <t>MENDOZA</t>
  </si>
  <si>
    <t>MARLENE</t>
  </si>
  <si>
    <t>YOUNG</t>
  </si>
  <si>
    <t>RACHEL</t>
  </si>
  <si>
    <t>KIMBRUE</t>
  </si>
  <si>
    <t>COTTER</t>
  </si>
  <si>
    <t>KAUR</t>
  </si>
  <si>
    <t>MANJIT</t>
  </si>
  <si>
    <t>GANBOLD</t>
  </si>
  <si>
    <t>OYUN-ERDENE</t>
  </si>
  <si>
    <t>MARRUFO</t>
  </si>
  <si>
    <t>FERNANDO</t>
  </si>
  <si>
    <t>GARRETT</t>
  </si>
  <si>
    <t>JAX</t>
  </si>
  <si>
    <t>Brousseau</t>
  </si>
  <si>
    <t>Christopher</t>
  </si>
  <si>
    <t>KEE</t>
  </si>
  <si>
    <t>LESLIE</t>
  </si>
  <si>
    <t>NORA</t>
  </si>
  <si>
    <t>BAASANJAV</t>
  </si>
  <si>
    <t>ERDENECHIMEG</t>
  </si>
  <si>
    <t>II</t>
  </si>
  <si>
    <t>TUMURKHUYAG</t>
  </si>
  <si>
    <t>GERELTUYA</t>
  </si>
  <si>
    <t>COOPER</t>
  </si>
  <si>
    <t>CORAL</t>
  </si>
  <si>
    <t>BURI</t>
  </si>
  <si>
    <t>STAMPER</t>
  </si>
  <si>
    <t>HOLLY</t>
  </si>
  <si>
    <t>BURNS</t>
  </si>
  <si>
    <t>CODY</t>
  </si>
  <si>
    <t>PARKER</t>
  </si>
  <si>
    <t>WAYNE</t>
  </si>
  <si>
    <t>PANTEL</t>
  </si>
  <si>
    <t>GAGE</t>
  </si>
  <si>
    <t>PATTEN</t>
  </si>
  <si>
    <t>FUENTES-DIETSCH</t>
  </si>
  <si>
    <t>OLIVIA</t>
  </si>
  <si>
    <t>DICKSON</t>
  </si>
  <si>
    <t>TOREY</t>
  </si>
  <si>
    <t>MOONEY</t>
  </si>
  <si>
    <t>BOWSER</t>
  </si>
  <si>
    <t>WA</t>
  </si>
  <si>
    <t>FARIA</t>
  </si>
  <si>
    <t>MARIELLE</t>
  </si>
  <si>
    <t>LESSIE</t>
  </si>
  <si>
    <t>DORJKHAND</t>
  </si>
  <si>
    <t>TSENGELMAA</t>
  </si>
  <si>
    <t>BALLARD</t>
  </si>
  <si>
    <t>KATHERINE</t>
  </si>
  <si>
    <t>OYUNTSETSEG</t>
  </si>
  <si>
    <t>PALAZZO</t>
  </si>
  <si>
    <t>TERRIE</t>
  </si>
  <si>
    <t>HERRICK</t>
  </si>
  <si>
    <t>DARBRA</t>
  </si>
  <si>
    <t>REY</t>
  </si>
  <si>
    <t>JEFF</t>
  </si>
  <si>
    <t>Rose</t>
  </si>
  <si>
    <t>Latesha</t>
  </si>
  <si>
    <t>HOLLIS</t>
  </si>
  <si>
    <t>LATISHA</t>
  </si>
  <si>
    <t>KOREY</t>
  </si>
  <si>
    <t>TUMENBAYAR</t>
  </si>
  <si>
    <t>BATTSETSEG</t>
  </si>
  <si>
    <t>LISKOVEC</t>
  </si>
  <si>
    <t>FRANK</t>
  </si>
  <si>
    <t>TOBIAS</t>
  </si>
  <si>
    <t>ROBERT</t>
  </si>
  <si>
    <t>SANTOS</t>
  </si>
  <si>
    <t>RICARDO</t>
  </si>
  <si>
    <t>GIBSON</t>
  </si>
  <si>
    <t>STACIE</t>
  </si>
  <si>
    <t>GUILLERMINA</t>
  </si>
  <si>
    <t>PEREZ</t>
  </si>
  <si>
    <t>HTOO</t>
  </si>
  <si>
    <t>THANADABOUTH</t>
  </si>
  <si>
    <t>PATSAMON</t>
  </si>
  <si>
    <t>MILAM-MORRISON</t>
  </si>
  <si>
    <t>JADAH</t>
  </si>
  <si>
    <t>SWEENEY</t>
  </si>
  <si>
    <t>GRACE</t>
  </si>
  <si>
    <t>AR</t>
  </si>
  <si>
    <t>LUANGKHAM</t>
  </si>
  <si>
    <t>BETHANY</t>
  </si>
  <si>
    <t>CORNISH</t>
  </si>
  <si>
    <t>DELNO</t>
  </si>
  <si>
    <t>CURTIS</t>
  </si>
  <si>
    <t>PITTMAN</t>
  </si>
  <si>
    <t>AMY</t>
  </si>
  <si>
    <t>Berg</t>
  </si>
  <si>
    <t>Ines</t>
  </si>
  <si>
    <t>SOTIRI</t>
  </si>
  <si>
    <t>RISTAN</t>
  </si>
  <si>
    <t>ROSE</t>
  </si>
  <si>
    <t>JOSHUA</t>
  </si>
  <si>
    <t>BIBA</t>
  </si>
  <si>
    <t>CBK</t>
  </si>
  <si>
    <t>NHIC NG0000 Statement 10/13/2025</t>
  </si>
  <si>
    <t>VASISHT</t>
  </si>
  <si>
    <t>PABATHI</t>
  </si>
  <si>
    <t>ANARD</t>
  </si>
  <si>
    <t>DASHNYAM</t>
  </si>
  <si>
    <t>GREENIER</t>
  </si>
  <si>
    <t>LIFE Association Membership - B 14995</t>
  </si>
  <si>
    <t>MENDEZ</t>
  </si>
  <si>
    <t>KATHY</t>
  </si>
  <si>
    <t>CIYONNCE</t>
  </si>
  <si>
    <t>DANGERFIELD</t>
  </si>
  <si>
    <t>16912722AV6</t>
  </si>
  <si>
    <t>7470776AV6</t>
  </si>
  <si>
    <t>19586992AV6</t>
  </si>
  <si>
    <t>16865615AV6</t>
  </si>
  <si>
    <t>18201929AV6</t>
  </si>
  <si>
    <t>20724564AV6</t>
  </si>
  <si>
    <t>20220688AV6</t>
  </si>
  <si>
    <t>21607778AV6</t>
  </si>
  <si>
    <t>16633294AV6</t>
  </si>
  <si>
    <t>21561165AV6</t>
  </si>
  <si>
    <t>371819AV6</t>
  </si>
  <si>
    <t>Cancer and Heart-Stroke 20231 CO-FL-MN-MI</t>
  </si>
  <si>
    <t>Cancer and Heart-Stroke 20231</t>
  </si>
  <si>
    <t>Critical Illness with Term Life 21677</t>
  </si>
  <si>
    <t>17528908N</t>
  </si>
  <si>
    <t>AV1</t>
  </si>
  <si>
    <t>AE</t>
  </si>
  <si>
    <t>Main Line Benefits</t>
  </si>
  <si>
    <t>National General GI Access Plan-All States</t>
  </si>
  <si>
    <t>NHIC STM PPO IA</t>
  </si>
  <si>
    <t>NHIC MedSupp 2022 Plan F G Age 65-80</t>
  </si>
  <si>
    <t>Allstate OVR</t>
  </si>
  <si>
    <t>20003537old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</si>
</sst>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8" fontId="0" fillId="34" borderId="0" xfId="0" applyNumberFormat="1" applyFill="1"/>
    <xf numFmtId="9" fontId="0" fillId="34" borderId="0" xfId="0" applyNumberFormat="1" applyFill="1"/>
    <xf numFmtId="10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8" fontId="0" fillId="35" borderId="0" xfId="0" applyNumberFormat="1" applyFill="1"/>
    <xf numFmtId="9" fontId="0" fillId="35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  <xf numFmtId="0" fontId="14" fillId="0" borderId="0" xfId="0" applyFont="1" applyFill="1"/>
    <xf numFmtId="14" fontId="14" fillId="0" borderId="0" xfId="0" applyNumberFormat="1" applyFont="1" applyFill="1"/>
    <xf numFmtId="8" fontId="14" fillId="0" borderId="0" xfId="0" applyNumberFormat="1" applyFont="1" applyFill="1"/>
    <xf numFmtId="9" fontId="14" fillId="0" borderId="0" xfId="0" applyNumberFormat="1" applyFont="1" applyFill="1"/>
    <xf numFmtId="0" fontId="14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1038-151B-484B-BCBC-2E7000BE7EBE}">
  <dimension ref="A1:AV539"/>
  <sheetViews>
    <sheetView topLeftCell="G1" workbookViewId="0">
      <selection activeCell="G1" sqref="A1:XFD1048576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33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45943</v>
      </c>
      <c r="B2" t="s">
        <v>48</v>
      </c>
      <c r="C2">
        <v>649163</v>
      </c>
      <c r="D2">
        <v>2031471083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673059</v>
      </c>
      <c r="L2" t="s">
        <v>55</v>
      </c>
      <c r="M2" t="s">
        <v>56</v>
      </c>
      <c r="N2" t="s">
        <v>57</v>
      </c>
      <c r="O2" s="1">
        <v>45962</v>
      </c>
      <c r="Q2" s="1">
        <v>45992</v>
      </c>
      <c r="R2" s="2">
        <v>97.45</v>
      </c>
      <c r="S2">
        <v>1</v>
      </c>
      <c r="T2" t="s">
        <v>58</v>
      </c>
      <c r="U2" t="s">
        <v>59</v>
      </c>
      <c r="V2" s="3">
        <v>0.75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438.54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73.09</v>
      </c>
      <c r="AM2" s="2">
        <v>0</v>
      </c>
      <c r="AN2" s="2">
        <v>438.54</v>
      </c>
      <c r="AO2" s="2">
        <v>0</v>
      </c>
      <c r="AP2" s="2">
        <v>0</v>
      </c>
      <c r="AQ2" s="2">
        <v>0</v>
      </c>
    </row>
    <row r="3" spans="1:48" x14ac:dyDescent="0.25">
      <c r="A3" s="1">
        <v>45943</v>
      </c>
      <c r="B3" t="s">
        <v>48</v>
      </c>
      <c r="C3">
        <v>649163</v>
      </c>
      <c r="D3">
        <v>2031492464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823350</v>
      </c>
      <c r="L3" t="s">
        <v>65</v>
      </c>
      <c r="M3" t="s">
        <v>66</v>
      </c>
      <c r="N3" t="s">
        <v>57</v>
      </c>
      <c r="O3" s="1">
        <v>45938</v>
      </c>
      <c r="Q3" s="1">
        <v>45969</v>
      </c>
      <c r="R3" s="2">
        <v>71.63</v>
      </c>
      <c r="S3">
        <v>1</v>
      </c>
      <c r="T3" t="s">
        <v>58</v>
      </c>
      <c r="U3" t="s">
        <v>59</v>
      </c>
      <c r="V3" s="3">
        <v>0.75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322.32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53.72</v>
      </c>
      <c r="AM3" s="2">
        <v>0</v>
      </c>
      <c r="AN3" s="2">
        <v>322.32</v>
      </c>
      <c r="AO3" s="2">
        <v>0</v>
      </c>
      <c r="AP3" s="2">
        <v>0</v>
      </c>
      <c r="AQ3" s="2">
        <v>0</v>
      </c>
    </row>
    <row r="4" spans="1:48" x14ac:dyDescent="0.25">
      <c r="A4" s="1">
        <v>45943</v>
      </c>
      <c r="B4" t="s">
        <v>48</v>
      </c>
      <c r="C4">
        <v>649163</v>
      </c>
      <c r="D4">
        <v>2031494985</v>
      </c>
      <c r="E4" t="s">
        <v>67</v>
      </c>
      <c r="F4" t="s">
        <v>68</v>
      </c>
      <c r="G4" t="s">
        <v>51</v>
      </c>
      <c r="H4" t="s">
        <v>69</v>
      </c>
      <c r="I4" t="s">
        <v>53</v>
      </c>
      <c r="J4" t="s">
        <v>70</v>
      </c>
      <c r="K4">
        <v>816021</v>
      </c>
      <c r="L4" t="s">
        <v>71</v>
      </c>
      <c r="M4" t="s">
        <v>72</v>
      </c>
      <c r="N4" t="s">
        <v>57</v>
      </c>
      <c r="O4" s="1">
        <v>45938</v>
      </c>
      <c r="Q4" s="1">
        <v>45969</v>
      </c>
      <c r="R4" s="2">
        <v>16.579999999999998</v>
      </c>
      <c r="S4">
        <v>1</v>
      </c>
      <c r="T4" t="s">
        <v>58</v>
      </c>
      <c r="U4" t="s">
        <v>59</v>
      </c>
      <c r="V4" s="3">
        <v>0.9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89.52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14.92</v>
      </c>
      <c r="AM4" s="2">
        <v>0</v>
      </c>
      <c r="AN4" s="2">
        <v>89.52</v>
      </c>
      <c r="AO4" s="2">
        <v>0</v>
      </c>
      <c r="AP4" s="2">
        <v>0</v>
      </c>
      <c r="AQ4" s="2">
        <v>0</v>
      </c>
    </row>
    <row r="5" spans="1:48" x14ac:dyDescent="0.25">
      <c r="A5" s="1">
        <v>45943</v>
      </c>
      <c r="B5" t="s">
        <v>48</v>
      </c>
      <c r="C5">
        <v>649163</v>
      </c>
      <c r="D5">
        <v>2031523387</v>
      </c>
      <c r="E5" t="s">
        <v>73</v>
      </c>
      <c r="F5" t="s">
        <v>74</v>
      </c>
      <c r="G5" t="s">
        <v>51</v>
      </c>
      <c r="H5" t="s">
        <v>69</v>
      </c>
      <c r="I5" t="s">
        <v>53</v>
      </c>
      <c r="J5" t="s">
        <v>75</v>
      </c>
      <c r="K5">
        <v>816021</v>
      </c>
      <c r="L5" t="s">
        <v>71</v>
      </c>
      <c r="M5" t="s">
        <v>72</v>
      </c>
      <c r="N5" t="s">
        <v>57</v>
      </c>
      <c r="O5" s="1">
        <v>45939</v>
      </c>
      <c r="Q5" s="1">
        <v>45970</v>
      </c>
      <c r="R5" s="2">
        <v>63.48</v>
      </c>
      <c r="S5">
        <v>1</v>
      </c>
      <c r="T5" t="s">
        <v>58</v>
      </c>
      <c r="U5" t="s">
        <v>59</v>
      </c>
      <c r="V5" s="3">
        <v>0.65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247.56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41.26</v>
      </c>
      <c r="AM5" s="2">
        <v>0</v>
      </c>
      <c r="AN5" s="2">
        <v>247.56</v>
      </c>
      <c r="AO5" s="2">
        <v>0</v>
      </c>
      <c r="AP5" s="2">
        <v>0</v>
      </c>
      <c r="AQ5" s="2">
        <v>0</v>
      </c>
    </row>
    <row r="6" spans="1:48" x14ac:dyDescent="0.25">
      <c r="A6" s="1">
        <v>45943</v>
      </c>
      <c r="B6" t="s">
        <v>48</v>
      </c>
      <c r="C6">
        <v>649163</v>
      </c>
      <c r="D6">
        <v>2031523246</v>
      </c>
      <c r="E6" t="s">
        <v>76</v>
      </c>
      <c r="F6" t="s">
        <v>77</v>
      </c>
      <c r="G6" t="s">
        <v>51</v>
      </c>
      <c r="H6" t="s">
        <v>78</v>
      </c>
      <c r="I6" t="s">
        <v>79</v>
      </c>
      <c r="J6" t="s">
        <v>80</v>
      </c>
      <c r="K6">
        <v>856163</v>
      </c>
      <c r="L6" t="s">
        <v>65</v>
      </c>
      <c r="M6" t="s">
        <v>81</v>
      </c>
      <c r="N6" t="s">
        <v>57</v>
      </c>
      <c r="O6" s="1">
        <v>45939</v>
      </c>
      <c r="Q6" s="1">
        <v>45970</v>
      </c>
      <c r="R6" s="2">
        <v>15</v>
      </c>
      <c r="S6">
        <v>1</v>
      </c>
      <c r="T6" t="s">
        <v>58</v>
      </c>
      <c r="U6" t="s">
        <v>82</v>
      </c>
      <c r="V6" s="3">
        <v>0.38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34.200000000000003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5.7</v>
      </c>
      <c r="AM6" s="2">
        <v>0</v>
      </c>
      <c r="AN6" s="2">
        <v>34.200000000000003</v>
      </c>
      <c r="AO6" s="2">
        <v>0</v>
      </c>
      <c r="AP6" s="2">
        <v>0</v>
      </c>
      <c r="AQ6" s="2">
        <v>0</v>
      </c>
    </row>
    <row r="7" spans="1:48" x14ac:dyDescent="0.25">
      <c r="A7" s="1">
        <v>45943</v>
      </c>
      <c r="B7" t="s">
        <v>48</v>
      </c>
      <c r="C7">
        <v>649163</v>
      </c>
      <c r="D7">
        <v>2031581265</v>
      </c>
      <c r="E7" t="s">
        <v>83</v>
      </c>
      <c r="F7" t="s">
        <v>84</v>
      </c>
      <c r="G7" t="s">
        <v>51</v>
      </c>
      <c r="H7" t="s">
        <v>52</v>
      </c>
      <c r="I7" t="s">
        <v>79</v>
      </c>
      <c r="J7" t="s">
        <v>85</v>
      </c>
      <c r="K7">
        <v>897073</v>
      </c>
      <c r="L7" t="s">
        <v>86</v>
      </c>
      <c r="M7" t="s">
        <v>87</v>
      </c>
      <c r="N7" t="s">
        <v>57</v>
      </c>
      <c r="O7" s="1">
        <v>45942</v>
      </c>
      <c r="Q7" s="1">
        <v>45973</v>
      </c>
      <c r="R7" s="2">
        <v>15</v>
      </c>
      <c r="S7">
        <v>1</v>
      </c>
      <c r="T7" t="s">
        <v>58</v>
      </c>
      <c r="U7" t="s">
        <v>88</v>
      </c>
      <c r="V7" s="3">
        <v>0.28999999999999998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26.1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4.3499999999999996</v>
      </c>
      <c r="AM7" s="2">
        <v>0</v>
      </c>
      <c r="AN7" s="2">
        <v>26.1</v>
      </c>
      <c r="AO7" s="2">
        <v>0</v>
      </c>
      <c r="AP7" s="2">
        <v>0</v>
      </c>
      <c r="AQ7" s="2">
        <v>0</v>
      </c>
    </row>
    <row r="8" spans="1:48" x14ac:dyDescent="0.25">
      <c r="A8" s="1">
        <v>45943</v>
      </c>
      <c r="B8" t="s">
        <v>48</v>
      </c>
      <c r="C8">
        <v>649163</v>
      </c>
      <c r="D8">
        <v>2031195330</v>
      </c>
      <c r="E8" t="s">
        <v>89</v>
      </c>
      <c r="F8" t="s">
        <v>90</v>
      </c>
      <c r="G8" t="s">
        <v>51</v>
      </c>
      <c r="H8" t="s">
        <v>91</v>
      </c>
      <c r="I8" t="s">
        <v>92</v>
      </c>
      <c r="J8" t="s">
        <v>93</v>
      </c>
      <c r="K8">
        <v>884595</v>
      </c>
      <c r="L8" t="s">
        <v>94</v>
      </c>
      <c r="M8" t="s">
        <v>95</v>
      </c>
      <c r="N8" t="s">
        <v>57</v>
      </c>
      <c r="O8" s="1">
        <v>45939</v>
      </c>
      <c r="Q8" s="1">
        <v>45970</v>
      </c>
      <c r="R8" s="2">
        <v>28.38</v>
      </c>
      <c r="S8">
        <v>1</v>
      </c>
      <c r="T8" t="s">
        <v>58</v>
      </c>
      <c r="U8" t="s">
        <v>59</v>
      </c>
      <c r="V8" s="4">
        <v>0.375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63.84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10.64</v>
      </c>
      <c r="AM8" s="2">
        <v>0</v>
      </c>
      <c r="AN8" s="2">
        <v>63.84</v>
      </c>
      <c r="AO8" s="2">
        <v>0</v>
      </c>
      <c r="AP8" s="2">
        <v>0</v>
      </c>
      <c r="AQ8" s="2">
        <v>0</v>
      </c>
    </row>
    <row r="9" spans="1:48" x14ac:dyDescent="0.25">
      <c r="A9" s="1">
        <v>45943</v>
      </c>
      <c r="B9" t="s">
        <v>48</v>
      </c>
      <c r="C9">
        <v>649163</v>
      </c>
      <c r="D9">
        <v>2031492462</v>
      </c>
      <c r="E9" t="s">
        <v>62</v>
      </c>
      <c r="F9" t="s">
        <v>63</v>
      </c>
      <c r="G9" t="s">
        <v>51</v>
      </c>
      <c r="H9" t="s">
        <v>64</v>
      </c>
      <c r="I9" t="s">
        <v>92</v>
      </c>
      <c r="J9" t="s">
        <v>93</v>
      </c>
      <c r="K9">
        <v>823350</v>
      </c>
      <c r="L9" t="s">
        <v>65</v>
      </c>
      <c r="M9" t="s">
        <v>66</v>
      </c>
      <c r="N9" t="s">
        <v>57</v>
      </c>
      <c r="O9" s="1">
        <v>45938</v>
      </c>
      <c r="Q9" s="1">
        <v>45969</v>
      </c>
      <c r="R9" s="2">
        <v>88.69</v>
      </c>
      <c r="S9">
        <v>1</v>
      </c>
      <c r="T9" t="s">
        <v>58</v>
      </c>
      <c r="U9" t="s">
        <v>59</v>
      </c>
      <c r="V9" s="4">
        <v>0.375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199.56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33.26</v>
      </c>
      <c r="AM9" s="2">
        <v>0</v>
      </c>
      <c r="AN9" s="2">
        <v>199.56</v>
      </c>
      <c r="AO9" s="2">
        <v>0</v>
      </c>
      <c r="AP9" s="2">
        <v>0</v>
      </c>
      <c r="AQ9" s="2">
        <v>0</v>
      </c>
    </row>
    <row r="10" spans="1:48" x14ac:dyDescent="0.25">
      <c r="A10" s="1">
        <v>45943</v>
      </c>
      <c r="B10" t="s">
        <v>48</v>
      </c>
      <c r="C10">
        <v>649163</v>
      </c>
      <c r="D10">
        <v>2031494983</v>
      </c>
      <c r="E10" t="s">
        <v>67</v>
      </c>
      <c r="F10" t="s">
        <v>68</v>
      </c>
      <c r="G10" t="s">
        <v>51</v>
      </c>
      <c r="H10" t="s">
        <v>69</v>
      </c>
      <c r="I10" t="s">
        <v>92</v>
      </c>
      <c r="J10" t="s">
        <v>93</v>
      </c>
      <c r="K10">
        <v>816021</v>
      </c>
      <c r="L10" t="s">
        <v>71</v>
      </c>
      <c r="M10" t="s">
        <v>72</v>
      </c>
      <c r="N10" t="s">
        <v>57</v>
      </c>
      <c r="O10" s="1">
        <v>45938</v>
      </c>
      <c r="Q10" s="1">
        <v>45969</v>
      </c>
      <c r="R10" s="2">
        <v>54.57</v>
      </c>
      <c r="S10">
        <v>1</v>
      </c>
      <c r="T10" t="s">
        <v>58</v>
      </c>
      <c r="U10" t="s">
        <v>59</v>
      </c>
      <c r="V10" s="4">
        <v>0.375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122.76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20.46</v>
      </c>
      <c r="AM10" s="2">
        <v>0</v>
      </c>
      <c r="AN10" s="2">
        <v>122.76</v>
      </c>
      <c r="AO10" s="2">
        <v>0</v>
      </c>
      <c r="AP10" s="2">
        <v>0</v>
      </c>
      <c r="AQ10" s="2">
        <v>0</v>
      </c>
    </row>
    <row r="11" spans="1:48" x14ac:dyDescent="0.25">
      <c r="A11" s="1">
        <v>45943</v>
      </c>
      <c r="B11" t="s">
        <v>48</v>
      </c>
      <c r="C11">
        <v>649163</v>
      </c>
      <c r="D11">
        <v>2031497533</v>
      </c>
      <c r="E11" t="s">
        <v>96</v>
      </c>
      <c r="F11" t="s">
        <v>97</v>
      </c>
      <c r="G11" t="s">
        <v>51</v>
      </c>
      <c r="H11" t="s">
        <v>78</v>
      </c>
      <c r="I11" t="s">
        <v>92</v>
      </c>
      <c r="J11" t="s">
        <v>93</v>
      </c>
      <c r="K11">
        <v>669316</v>
      </c>
      <c r="L11" t="s">
        <v>98</v>
      </c>
      <c r="M11" t="s">
        <v>99</v>
      </c>
      <c r="N11" t="s">
        <v>57</v>
      </c>
      <c r="O11" s="1">
        <v>45938</v>
      </c>
      <c r="Q11" s="1">
        <v>45969</v>
      </c>
      <c r="R11" s="2">
        <v>53.87</v>
      </c>
      <c r="S11">
        <v>1</v>
      </c>
      <c r="T11" t="s">
        <v>58</v>
      </c>
      <c r="U11" t="s">
        <v>59</v>
      </c>
      <c r="V11" s="4">
        <v>0.375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121.2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20.2</v>
      </c>
      <c r="AM11" s="2">
        <v>0</v>
      </c>
      <c r="AN11" s="2">
        <v>121.2</v>
      </c>
      <c r="AO11" s="2">
        <v>0</v>
      </c>
      <c r="AP11" s="2">
        <v>0</v>
      </c>
      <c r="AQ11" s="2">
        <v>0</v>
      </c>
    </row>
    <row r="12" spans="1:48" x14ac:dyDescent="0.25">
      <c r="A12" s="1">
        <v>45943</v>
      </c>
      <c r="B12" t="s">
        <v>48</v>
      </c>
      <c r="C12">
        <v>649163</v>
      </c>
      <c r="D12">
        <v>2031514064</v>
      </c>
      <c r="E12" t="s">
        <v>100</v>
      </c>
      <c r="F12" t="s">
        <v>101</v>
      </c>
      <c r="G12" t="s">
        <v>51</v>
      </c>
      <c r="H12" t="s">
        <v>102</v>
      </c>
      <c r="I12" t="s">
        <v>92</v>
      </c>
      <c r="J12" t="s">
        <v>93</v>
      </c>
      <c r="K12">
        <v>820140</v>
      </c>
      <c r="L12" t="s">
        <v>103</v>
      </c>
      <c r="M12" t="s">
        <v>104</v>
      </c>
      <c r="N12" t="s">
        <v>57</v>
      </c>
      <c r="O12" s="1">
        <v>45939</v>
      </c>
      <c r="Q12" s="1">
        <v>45970</v>
      </c>
      <c r="R12" s="2">
        <v>33.159999999999997</v>
      </c>
      <c r="S12">
        <v>1</v>
      </c>
      <c r="T12" t="s">
        <v>58</v>
      </c>
      <c r="U12" t="s">
        <v>59</v>
      </c>
      <c r="V12" s="4">
        <v>9.5000000000000001E-2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18.899999999999999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3.15</v>
      </c>
      <c r="AM12" s="2">
        <v>0</v>
      </c>
      <c r="AN12" s="2">
        <v>18.899999999999999</v>
      </c>
      <c r="AO12" s="2">
        <v>0</v>
      </c>
      <c r="AP12" s="2">
        <v>0</v>
      </c>
      <c r="AQ12" s="2">
        <v>0</v>
      </c>
    </row>
    <row r="13" spans="1:48" x14ac:dyDescent="0.25">
      <c r="A13" s="1">
        <v>45943</v>
      </c>
      <c r="B13" t="s">
        <v>48</v>
      </c>
      <c r="C13">
        <v>649163</v>
      </c>
      <c r="D13">
        <v>2031526095</v>
      </c>
      <c r="E13" t="s">
        <v>105</v>
      </c>
      <c r="F13" t="s">
        <v>106</v>
      </c>
      <c r="G13" t="s">
        <v>51</v>
      </c>
      <c r="H13" t="s">
        <v>107</v>
      </c>
      <c r="I13" t="s">
        <v>92</v>
      </c>
      <c r="J13" t="s">
        <v>93</v>
      </c>
      <c r="K13">
        <v>877790</v>
      </c>
      <c r="L13" t="s">
        <v>108</v>
      </c>
      <c r="M13" t="s">
        <v>109</v>
      </c>
      <c r="N13" t="s">
        <v>57</v>
      </c>
      <c r="O13" s="1">
        <v>45939</v>
      </c>
      <c r="Q13" s="1">
        <v>45970</v>
      </c>
      <c r="R13" s="2">
        <v>48.15</v>
      </c>
      <c r="S13">
        <v>1</v>
      </c>
      <c r="T13" t="s">
        <v>58</v>
      </c>
      <c r="U13" t="s">
        <v>59</v>
      </c>
      <c r="V13" s="4">
        <v>0.375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108.36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18.059999999999999</v>
      </c>
      <c r="AM13" s="2">
        <v>0</v>
      </c>
      <c r="AN13" s="2">
        <v>108.36</v>
      </c>
      <c r="AO13" s="2">
        <v>0</v>
      </c>
      <c r="AP13" s="2">
        <v>0</v>
      </c>
      <c r="AQ13" s="2">
        <v>0</v>
      </c>
    </row>
    <row r="14" spans="1:48" x14ac:dyDescent="0.25">
      <c r="A14" s="1">
        <v>45943</v>
      </c>
      <c r="B14" t="s">
        <v>48</v>
      </c>
      <c r="C14">
        <v>649163</v>
      </c>
      <c r="D14">
        <v>2031577416</v>
      </c>
      <c r="E14" t="s">
        <v>110</v>
      </c>
      <c r="F14" t="s">
        <v>111</v>
      </c>
      <c r="G14" t="s">
        <v>51</v>
      </c>
      <c r="H14" t="s">
        <v>78</v>
      </c>
      <c r="I14" t="s">
        <v>92</v>
      </c>
      <c r="J14" t="s">
        <v>93</v>
      </c>
      <c r="K14">
        <v>884943</v>
      </c>
      <c r="L14" t="s">
        <v>112</v>
      </c>
      <c r="M14" t="s">
        <v>113</v>
      </c>
      <c r="N14" t="s">
        <v>57</v>
      </c>
      <c r="O14" s="1">
        <v>45941</v>
      </c>
      <c r="Q14" s="1">
        <v>45972</v>
      </c>
      <c r="R14" s="2">
        <v>72.52</v>
      </c>
      <c r="S14">
        <v>1</v>
      </c>
      <c r="T14" t="s">
        <v>58</v>
      </c>
      <c r="U14" t="s">
        <v>59</v>
      </c>
      <c r="V14" s="4">
        <v>0.375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163.19999999999999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27.2</v>
      </c>
      <c r="AM14" s="2">
        <v>0</v>
      </c>
      <c r="AN14" s="2">
        <v>163.19999999999999</v>
      </c>
      <c r="AO14" s="2">
        <v>0</v>
      </c>
      <c r="AP14" s="2">
        <v>0</v>
      </c>
      <c r="AQ14" s="2">
        <v>0</v>
      </c>
    </row>
    <row r="15" spans="1:48" x14ac:dyDescent="0.25">
      <c r="A15" s="1">
        <v>45943</v>
      </c>
      <c r="B15" t="s">
        <v>48</v>
      </c>
      <c r="C15">
        <v>649163</v>
      </c>
      <c r="D15">
        <v>2031523245</v>
      </c>
      <c r="E15" t="s">
        <v>76</v>
      </c>
      <c r="F15" t="s">
        <v>77</v>
      </c>
      <c r="G15" t="s">
        <v>51</v>
      </c>
      <c r="H15" t="s">
        <v>78</v>
      </c>
      <c r="I15" t="s">
        <v>114</v>
      </c>
      <c r="J15" t="s">
        <v>115</v>
      </c>
      <c r="K15">
        <v>856163</v>
      </c>
      <c r="L15" t="s">
        <v>65</v>
      </c>
      <c r="M15" t="s">
        <v>81</v>
      </c>
      <c r="N15" t="s">
        <v>57</v>
      </c>
      <c r="O15" s="1">
        <v>45939</v>
      </c>
      <c r="Q15" s="1">
        <v>45970</v>
      </c>
      <c r="R15" s="2">
        <v>131.32</v>
      </c>
      <c r="S15">
        <v>1</v>
      </c>
      <c r="T15" t="s">
        <v>58</v>
      </c>
      <c r="U15" t="s">
        <v>59</v>
      </c>
      <c r="V15" s="3">
        <v>0.38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299.39999999999998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49.9</v>
      </c>
      <c r="AM15" s="2">
        <v>0</v>
      </c>
      <c r="AN15" s="2">
        <v>299.39999999999998</v>
      </c>
      <c r="AO15" s="2">
        <v>0</v>
      </c>
      <c r="AP15" s="2">
        <v>0</v>
      </c>
      <c r="AQ15" s="2">
        <v>0</v>
      </c>
    </row>
    <row r="16" spans="1:48" x14ac:dyDescent="0.25">
      <c r="A16" s="1">
        <v>45943</v>
      </c>
      <c r="B16" t="s">
        <v>48</v>
      </c>
      <c r="C16">
        <v>649163</v>
      </c>
      <c r="D16">
        <v>2031523388</v>
      </c>
      <c r="E16" t="s">
        <v>73</v>
      </c>
      <c r="F16" t="s">
        <v>74</v>
      </c>
      <c r="G16" t="s">
        <v>51</v>
      </c>
      <c r="H16" t="s">
        <v>69</v>
      </c>
      <c r="I16" t="s">
        <v>114</v>
      </c>
      <c r="J16" t="s">
        <v>115</v>
      </c>
      <c r="K16">
        <v>816021</v>
      </c>
      <c r="L16" t="s">
        <v>71</v>
      </c>
      <c r="M16" t="s">
        <v>72</v>
      </c>
      <c r="N16" t="s">
        <v>57</v>
      </c>
      <c r="O16" s="1">
        <v>45939</v>
      </c>
      <c r="Q16" s="1">
        <v>45970</v>
      </c>
      <c r="R16" s="2">
        <v>432.86</v>
      </c>
      <c r="S16">
        <v>1</v>
      </c>
      <c r="T16" t="s">
        <v>58</v>
      </c>
      <c r="U16" t="s">
        <v>59</v>
      </c>
      <c r="V16" s="3">
        <v>0.38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986.94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164.49</v>
      </c>
      <c r="AM16" s="2">
        <v>0</v>
      </c>
      <c r="AN16" s="2">
        <v>986.94</v>
      </c>
      <c r="AO16" s="2">
        <v>0</v>
      </c>
      <c r="AP16" s="2">
        <v>0</v>
      </c>
      <c r="AQ16" s="2">
        <v>0</v>
      </c>
    </row>
    <row r="17" spans="1:43" x14ac:dyDescent="0.25">
      <c r="A17" s="1">
        <v>45943</v>
      </c>
      <c r="B17" t="s">
        <v>48</v>
      </c>
      <c r="C17">
        <v>649163</v>
      </c>
      <c r="D17">
        <v>2031195331</v>
      </c>
      <c r="E17" t="s">
        <v>89</v>
      </c>
      <c r="F17" t="s">
        <v>90</v>
      </c>
      <c r="G17" t="s">
        <v>51</v>
      </c>
      <c r="H17" t="s">
        <v>91</v>
      </c>
      <c r="I17" t="s">
        <v>116</v>
      </c>
      <c r="J17" t="s">
        <v>117</v>
      </c>
      <c r="K17">
        <v>884595</v>
      </c>
      <c r="L17" t="s">
        <v>94</v>
      </c>
      <c r="M17" t="s">
        <v>95</v>
      </c>
      <c r="N17" t="s">
        <v>57</v>
      </c>
      <c r="O17" s="1">
        <v>45939</v>
      </c>
      <c r="Q17" s="1">
        <v>45970</v>
      </c>
      <c r="R17" s="2">
        <v>25.73</v>
      </c>
      <c r="S17">
        <v>1</v>
      </c>
      <c r="T17" t="s">
        <v>58</v>
      </c>
      <c r="U17" t="s">
        <v>59</v>
      </c>
      <c r="V17" s="3">
        <v>0.7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108.06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18.010000000000002</v>
      </c>
      <c r="AM17" s="2">
        <v>0</v>
      </c>
      <c r="AN17" s="2">
        <v>108.06</v>
      </c>
      <c r="AO17" s="2">
        <v>0</v>
      </c>
      <c r="AP17" s="2">
        <v>0</v>
      </c>
      <c r="AQ17" s="2">
        <v>0</v>
      </c>
    </row>
    <row r="18" spans="1:43" x14ac:dyDescent="0.25">
      <c r="A18" s="1">
        <v>45943</v>
      </c>
      <c r="B18" t="s">
        <v>48</v>
      </c>
      <c r="C18">
        <v>649163</v>
      </c>
      <c r="D18">
        <v>2031264376</v>
      </c>
      <c r="E18" t="s">
        <v>110</v>
      </c>
      <c r="F18" t="s">
        <v>118</v>
      </c>
      <c r="G18" t="s">
        <v>51</v>
      </c>
      <c r="H18" t="s">
        <v>119</v>
      </c>
      <c r="I18" t="s">
        <v>116</v>
      </c>
      <c r="J18" t="s">
        <v>120</v>
      </c>
      <c r="K18">
        <v>780434</v>
      </c>
      <c r="L18" t="s">
        <v>121</v>
      </c>
      <c r="M18" t="s">
        <v>122</v>
      </c>
      <c r="N18" t="s">
        <v>57</v>
      </c>
      <c r="O18" s="1">
        <v>45931</v>
      </c>
      <c r="Q18" s="1">
        <v>45962</v>
      </c>
      <c r="R18" s="2">
        <v>29.25</v>
      </c>
      <c r="S18">
        <v>1</v>
      </c>
      <c r="T18" t="s">
        <v>58</v>
      </c>
      <c r="U18" t="s">
        <v>59</v>
      </c>
      <c r="V18" s="3">
        <v>0.2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35.1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5.85</v>
      </c>
      <c r="AM18" s="2">
        <v>0</v>
      </c>
      <c r="AN18" s="2">
        <v>35.1</v>
      </c>
      <c r="AO18" s="2">
        <v>0</v>
      </c>
      <c r="AP18" s="2">
        <v>0</v>
      </c>
      <c r="AQ18" s="2">
        <v>0</v>
      </c>
    </row>
    <row r="19" spans="1:43" x14ac:dyDescent="0.25">
      <c r="A19" s="1">
        <v>45943</v>
      </c>
      <c r="B19" t="s">
        <v>48</v>
      </c>
      <c r="C19">
        <v>649163</v>
      </c>
      <c r="D19">
        <v>2031453112</v>
      </c>
      <c r="E19" t="s">
        <v>123</v>
      </c>
      <c r="F19" t="s">
        <v>124</v>
      </c>
      <c r="G19" t="s">
        <v>51</v>
      </c>
      <c r="H19" t="s">
        <v>78</v>
      </c>
      <c r="I19" t="s">
        <v>116</v>
      </c>
      <c r="J19" t="s">
        <v>125</v>
      </c>
      <c r="K19">
        <v>824062</v>
      </c>
      <c r="L19" t="s">
        <v>126</v>
      </c>
      <c r="M19" t="s">
        <v>127</v>
      </c>
      <c r="N19" t="s">
        <v>57</v>
      </c>
      <c r="O19" s="1">
        <v>45941</v>
      </c>
      <c r="Q19" s="1">
        <v>45972</v>
      </c>
      <c r="R19" s="2">
        <v>212.26</v>
      </c>
      <c r="S19">
        <v>1</v>
      </c>
      <c r="T19" t="s">
        <v>58</v>
      </c>
      <c r="U19" t="s">
        <v>59</v>
      </c>
      <c r="V19" s="3">
        <v>0.7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891.48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148.58000000000001</v>
      </c>
      <c r="AM19" s="2">
        <v>0</v>
      </c>
      <c r="AN19" s="2">
        <v>891.48</v>
      </c>
      <c r="AO19" s="2">
        <v>0</v>
      </c>
      <c r="AP19" s="2">
        <v>0</v>
      </c>
      <c r="AQ19" s="2">
        <v>0</v>
      </c>
    </row>
    <row r="20" spans="1:43" s="5" customFormat="1" x14ac:dyDescent="0.25">
      <c r="A20" s="6">
        <v>45943</v>
      </c>
      <c r="B20" s="5" t="s">
        <v>48</v>
      </c>
      <c r="C20" s="5">
        <v>649163</v>
      </c>
      <c r="D20" s="5">
        <v>2031463660</v>
      </c>
      <c r="E20" s="5" t="s">
        <v>128</v>
      </c>
      <c r="F20" s="5" t="s">
        <v>129</v>
      </c>
      <c r="G20" s="5" t="s">
        <v>51</v>
      </c>
      <c r="H20" s="5" t="s">
        <v>130</v>
      </c>
      <c r="I20" s="5" t="s">
        <v>116</v>
      </c>
      <c r="J20" s="5" t="s">
        <v>120</v>
      </c>
      <c r="K20" s="5">
        <v>882034</v>
      </c>
      <c r="L20" s="5" t="s">
        <v>131</v>
      </c>
      <c r="M20" s="5" t="s">
        <v>132</v>
      </c>
      <c r="N20" s="5" t="s">
        <v>57</v>
      </c>
      <c r="O20" s="6">
        <v>45940</v>
      </c>
      <c r="Q20" s="6">
        <v>45971</v>
      </c>
      <c r="R20" s="7">
        <v>51.63</v>
      </c>
      <c r="S20" s="5">
        <v>1</v>
      </c>
      <c r="T20" s="5" t="s">
        <v>58</v>
      </c>
      <c r="U20" s="5" t="s">
        <v>59</v>
      </c>
      <c r="V20" s="8">
        <v>0.9</v>
      </c>
      <c r="W20" s="7">
        <v>0</v>
      </c>
      <c r="X20" s="5">
        <v>0</v>
      </c>
      <c r="Y20" s="5" t="s">
        <v>60</v>
      </c>
      <c r="Z20" s="5" t="s">
        <v>61</v>
      </c>
      <c r="AA20" s="5">
        <v>6</v>
      </c>
      <c r="AB20" s="7">
        <v>278.82</v>
      </c>
      <c r="AC20" s="7">
        <v>0</v>
      </c>
      <c r="AD20" s="8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46.47</v>
      </c>
      <c r="AM20" s="7">
        <v>0</v>
      </c>
      <c r="AN20" s="7">
        <v>278.82</v>
      </c>
      <c r="AO20" s="7">
        <v>0</v>
      </c>
      <c r="AP20" s="7">
        <v>0</v>
      </c>
      <c r="AQ20" s="7">
        <v>0</v>
      </c>
    </row>
    <row r="21" spans="1:43" x14ac:dyDescent="0.25">
      <c r="A21" s="1">
        <v>45943</v>
      </c>
      <c r="B21" t="s">
        <v>48</v>
      </c>
      <c r="C21">
        <v>649163</v>
      </c>
      <c r="D21">
        <v>2031471084</v>
      </c>
      <c r="E21" t="s">
        <v>49</v>
      </c>
      <c r="F21" t="s">
        <v>50</v>
      </c>
      <c r="G21" t="s">
        <v>51</v>
      </c>
      <c r="H21" t="s">
        <v>52</v>
      </c>
      <c r="I21" t="s">
        <v>116</v>
      </c>
      <c r="J21" t="s">
        <v>125</v>
      </c>
      <c r="K21">
        <v>673059</v>
      </c>
      <c r="L21" t="s">
        <v>55</v>
      </c>
      <c r="M21" t="s">
        <v>56</v>
      </c>
      <c r="N21" t="s">
        <v>57</v>
      </c>
      <c r="O21" s="1">
        <v>45962</v>
      </c>
      <c r="Q21" s="1">
        <v>45992</v>
      </c>
      <c r="R21" s="2">
        <v>25.82</v>
      </c>
      <c r="S21">
        <v>1</v>
      </c>
      <c r="T21" t="s">
        <v>58</v>
      </c>
      <c r="U21" t="s">
        <v>59</v>
      </c>
      <c r="V21" s="3">
        <v>0.7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108.42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18.07</v>
      </c>
      <c r="AM21" s="2">
        <v>0</v>
      </c>
      <c r="AN21" s="2">
        <v>108.42</v>
      </c>
      <c r="AO21" s="2">
        <v>0</v>
      </c>
      <c r="AP21" s="2">
        <v>0</v>
      </c>
      <c r="AQ21" s="2">
        <v>0</v>
      </c>
    </row>
    <row r="22" spans="1:43" x14ac:dyDescent="0.25">
      <c r="A22" s="1">
        <v>45943</v>
      </c>
      <c r="B22" t="s">
        <v>48</v>
      </c>
      <c r="C22">
        <v>649163</v>
      </c>
      <c r="D22">
        <v>2031474832</v>
      </c>
      <c r="E22" t="s">
        <v>133</v>
      </c>
      <c r="F22" t="s">
        <v>134</v>
      </c>
      <c r="G22" t="s">
        <v>51</v>
      </c>
      <c r="H22" t="s">
        <v>78</v>
      </c>
      <c r="I22" t="s">
        <v>116</v>
      </c>
      <c r="J22" t="s">
        <v>125</v>
      </c>
      <c r="K22">
        <v>821015</v>
      </c>
      <c r="L22" t="s">
        <v>135</v>
      </c>
      <c r="M22" t="s">
        <v>136</v>
      </c>
      <c r="N22" t="s">
        <v>57</v>
      </c>
      <c r="O22" s="1">
        <v>45937</v>
      </c>
      <c r="Q22" s="1">
        <v>45968</v>
      </c>
      <c r="R22" s="2">
        <v>42.36</v>
      </c>
      <c r="S22">
        <v>1</v>
      </c>
      <c r="T22" t="s">
        <v>58</v>
      </c>
      <c r="U22" t="s">
        <v>59</v>
      </c>
      <c r="V22" s="3">
        <v>0.7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177.9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29.65</v>
      </c>
      <c r="AM22" s="2">
        <v>0</v>
      </c>
      <c r="AN22" s="2">
        <v>177.9</v>
      </c>
      <c r="AO22" s="2">
        <v>0</v>
      </c>
      <c r="AP22" s="2">
        <v>0</v>
      </c>
      <c r="AQ22" s="2">
        <v>0</v>
      </c>
    </row>
    <row r="23" spans="1:43" x14ac:dyDescent="0.25">
      <c r="A23" s="1">
        <v>45943</v>
      </c>
      <c r="B23" t="s">
        <v>48</v>
      </c>
      <c r="C23">
        <v>649163</v>
      </c>
      <c r="D23">
        <v>2031492463</v>
      </c>
      <c r="E23" t="s">
        <v>62</v>
      </c>
      <c r="F23" t="s">
        <v>63</v>
      </c>
      <c r="G23" t="s">
        <v>51</v>
      </c>
      <c r="H23" t="s">
        <v>64</v>
      </c>
      <c r="I23" t="s">
        <v>116</v>
      </c>
      <c r="J23" t="s">
        <v>125</v>
      </c>
      <c r="K23">
        <v>823350</v>
      </c>
      <c r="L23" t="s">
        <v>65</v>
      </c>
      <c r="M23" t="s">
        <v>66</v>
      </c>
      <c r="N23" t="s">
        <v>57</v>
      </c>
      <c r="O23" s="1">
        <v>45938</v>
      </c>
      <c r="Q23" s="1">
        <v>45969</v>
      </c>
      <c r="R23" s="2">
        <v>101.99</v>
      </c>
      <c r="S23">
        <v>1</v>
      </c>
      <c r="T23" t="s">
        <v>58</v>
      </c>
      <c r="U23" t="s">
        <v>59</v>
      </c>
      <c r="V23" s="3">
        <v>0.7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428.34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71.39</v>
      </c>
      <c r="AM23" s="2">
        <v>0</v>
      </c>
      <c r="AN23" s="2">
        <v>428.34</v>
      </c>
      <c r="AO23" s="2">
        <v>0</v>
      </c>
      <c r="AP23" s="2">
        <v>0</v>
      </c>
      <c r="AQ23" s="2">
        <v>0</v>
      </c>
    </row>
    <row r="24" spans="1:43" x14ac:dyDescent="0.25">
      <c r="A24" s="1">
        <v>45943</v>
      </c>
      <c r="B24" t="s">
        <v>48</v>
      </c>
      <c r="C24">
        <v>649163</v>
      </c>
      <c r="D24">
        <v>2031494984</v>
      </c>
      <c r="E24" t="s">
        <v>67</v>
      </c>
      <c r="F24" t="s">
        <v>68</v>
      </c>
      <c r="G24" t="s">
        <v>51</v>
      </c>
      <c r="H24" t="s">
        <v>69</v>
      </c>
      <c r="I24" t="s">
        <v>116</v>
      </c>
      <c r="J24" t="s">
        <v>125</v>
      </c>
      <c r="K24">
        <v>816021</v>
      </c>
      <c r="L24" t="s">
        <v>71</v>
      </c>
      <c r="M24" t="s">
        <v>72</v>
      </c>
      <c r="N24" t="s">
        <v>57</v>
      </c>
      <c r="O24" s="1">
        <v>45938</v>
      </c>
      <c r="Q24" s="1">
        <v>45969</v>
      </c>
      <c r="R24" s="2">
        <v>7.11</v>
      </c>
      <c r="S24">
        <v>1</v>
      </c>
      <c r="T24" t="s">
        <v>58</v>
      </c>
      <c r="U24" t="s">
        <v>59</v>
      </c>
      <c r="V24" s="3">
        <v>0.7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29.88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4.9800000000000004</v>
      </c>
      <c r="AM24" s="2">
        <v>0</v>
      </c>
      <c r="AN24" s="2">
        <v>29.88</v>
      </c>
      <c r="AO24" s="2">
        <v>0</v>
      </c>
      <c r="AP24" s="2">
        <v>0</v>
      </c>
      <c r="AQ24" s="2">
        <v>0</v>
      </c>
    </row>
    <row r="25" spans="1:43" x14ac:dyDescent="0.25">
      <c r="A25" s="1">
        <v>45943</v>
      </c>
      <c r="B25" t="s">
        <v>48</v>
      </c>
      <c r="C25">
        <v>649163</v>
      </c>
      <c r="D25">
        <v>2031497534</v>
      </c>
      <c r="E25" t="s">
        <v>96</v>
      </c>
      <c r="F25" t="s">
        <v>97</v>
      </c>
      <c r="G25" t="s">
        <v>51</v>
      </c>
      <c r="H25" t="s">
        <v>78</v>
      </c>
      <c r="I25" t="s">
        <v>116</v>
      </c>
      <c r="J25" t="s">
        <v>125</v>
      </c>
      <c r="K25">
        <v>669316</v>
      </c>
      <c r="L25" t="s">
        <v>98</v>
      </c>
      <c r="M25" t="s">
        <v>99</v>
      </c>
      <c r="N25" t="s">
        <v>57</v>
      </c>
      <c r="O25" s="1">
        <v>45938</v>
      </c>
      <c r="Q25" s="1">
        <v>45969</v>
      </c>
      <c r="R25" s="2">
        <v>28.9</v>
      </c>
      <c r="S25">
        <v>1</v>
      </c>
      <c r="T25" t="s">
        <v>58</v>
      </c>
      <c r="U25" t="s">
        <v>59</v>
      </c>
      <c r="V25" s="3">
        <v>0.7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121.38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20.23</v>
      </c>
      <c r="AM25" s="2">
        <v>0</v>
      </c>
      <c r="AN25" s="2">
        <v>121.38</v>
      </c>
      <c r="AO25" s="2">
        <v>0</v>
      </c>
      <c r="AP25" s="2">
        <v>0</v>
      </c>
      <c r="AQ25" s="2">
        <v>0</v>
      </c>
    </row>
    <row r="26" spans="1:43" x14ac:dyDescent="0.25">
      <c r="A26" s="1">
        <v>45943</v>
      </c>
      <c r="B26" t="s">
        <v>48</v>
      </c>
      <c r="C26">
        <v>649163</v>
      </c>
      <c r="D26">
        <v>2031501468</v>
      </c>
      <c r="E26" t="s">
        <v>137</v>
      </c>
      <c r="F26" t="s">
        <v>138</v>
      </c>
      <c r="G26" t="s">
        <v>51</v>
      </c>
      <c r="H26" t="s">
        <v>78</v>
      </c>
      <c r="I26" t="s">
        <v>116</v>
      </c>
      <c r="J26" t="s">
        <v>125</v>
      </c>
      <c r="K26">
        <v>768887</v>
      </c>
      <c r="L26" t="s">
        <v>139</v>
      </c>
      <c r="M26" t="s">
        <v>140</v>
      </c>
      <c r="N26" t="s">
        <v>57</v>
      </c>
      <c r="O26" s="1">
        <v>45938</v>
      </c>
      <c r="Q26" s="1">
        <v>45969</v>
      </c>
      <c r="R26" s="2">
        <v>96</v>
      </c>
      <c r="S26">
        <v>1</v>
      </c>
      <c r="T26" t="s">
        <v>58</v>
      </c>
      <c r="U26" t="s">
        <v>59</v>
      </c>
      <c r="V26" s="3">
        <v>0.7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403.2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67.2</v>
      </c>
      <c r="AM26" s="2">
        <v>0</v>
      </c>
      <c r="AN26" s="2">
        <v>403.2</v>
      </c>
      <c r="AO26" s="2">
        <v>0</v>
      </c>
      <c r="AP26" s="2">
        <v>0</v>
      </c>
      <c r="AQ26" s="2">
        <v>0</v>
      </c>
    </row>
    <row r="27" spans="1:43" x14ac:dyDescent="0.25">
      <c r="A27" s="1">
        <v>45943</v>
      </c>
      <c r="B27" t="s">
        <v>48</v>
      </c>
      <c r="C27">
        <v>649163</v>
      </c>
      <c r="D27">
        <v>2031523386</v>
      </c>
      <c r="E27" t="s">
        <v>73</v>
      </c>
      <c r="F27" t="s">
        <v>74</v>
      </c>
      <c r="G27" t="s">
        <v>51</v>
      </c>
      <c r="H27" t="s">
        <v>69</v>
      </c>
      <c r="I27" t="s">
        <v>116</v>
      </c>
      <c r="J27" t="s">
        <v>117</v>
      </c>
      <c r="K27">
        <v>816021</v>
      </c>
      <c r="L27" t="s">
        <v>71</v>
      </c>
      <c r="M27" t="s">
        <v>72</v>
      </c>
      <c r="N27" t="s">
        <v>57</v>
      </c>
      <c r="O27" s="1">
        <v>45939</v>
      </c>
      <c r="Q27" s="1">
        <v>45970</v>
      </c>
      <c r="R27" s="2">
        <v>6.3</v>
      </c>
      <c r="S27">
        <v>1</v>
      </c>
      <c r="T27" t="s">
        <v>58</v>
      </c>
      <c r="U27" t="s">
        <v>59</v>
      </c>
      <c r="V27" s="3">
        <v>0.7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26.46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4.41</v>
      </c>
      <c r="AM27" s="2">
        <v>0</v>
      </c>
      <c r="AN27" s="2">
        <v>26.46</v>
      </c>
      <c r="AO27" s="2">
        <v>0</v>
      </c>
      <c r="AP27" s="2">
        <v>0</v>
      </c>
      <c r="AQ27" s="2">
        <v>0</v>
      </c>
    </row>
    <row r="28" spans="1:43" x14ac:dyDescent="0.25">
      <c r="A28" s="1">
        <v>45943</v>
      </c>
      <c r="B28" t="s">
        <v>48</v>
      </c>
      <c r="C28">
        <v>649163</v>
      </c>
      <c r="D28">
        <v>2031523389</v>
      </c>
      <c r="E28" t="s">
        <v>73</v>
      </c>
      <c r="F28" t="s">
        <v>74</v>
      </c>
      <c r="G28" t="s">
        <v>51</v>
      </c>
      <c r="H28" t="s">
        <v>69</v>
      </c>
      <c r="I28" t="s">
        <v>116</v>
      </c>
      <c r="J28" t="s">
        <v>125</v>
      </c>
      <c r="K28">
        <v>816021</v>
      </c>
      <c r="L28" t="s">
        <v>71</v>
      </c>
      <c r="M28" t="s">
        <v>72</v>
      </c>
      <c r="N28" t="s">
        <v>57</v>
      </c>
      <c r="O28" s="1">
        <v>45939</v>
      </c>
      <c r="Q28" s="1">
        <v>45970</v>
      </c>
      <c r="R28" s="2">
        <v>9.1</v>
      </c>
      <c r="S28">
        <v>1</v>
      </c>
      <c r="T28" t="s">
        <v>58</v>
      </c>
      <c r="U28" t="s">
        <v>59</v>
      </c>
      <c r="V28" s="3">
        <v>0.7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38.22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6.37</v>
      </c>
      <c r="AM28" s="2">
        <v>0</v>
      </c>
      <c r="AN28" s="2">
        <v>38.22</v>
      </c>
      <c r="AO28" s="2">
        <v>0</v>
      </c>
      <c r="AP28" s="2">
        <v>0</v>
      </c>
      <c r="AQ28" s="2">
        <v>0</v>
      </c>
    </row>
    <row r="29" spans="1:43" x14ac:dyDescent="0.25">
      <c r="A29" s="1">
        <v>45943</v>
      </c>
      <c r="B29" t="s">
        <v>48</v>
      </c>
      <c r="C29">
        <v>649163</v>
      </c>
      <c r="D29">
        <v>2031525706</v>
      </c>
      <c r="E29" t="s">
        <v>141</v>
      </c>
      <c r="F29" t="s">
        <v>142</v>
      </c>
      <c r="G29" t="s">
        <v>51</v>
      </c>
      <c r="H29" t="s">
        <v>91</v>
      </c>
      <c r="I29" t="s">
        <v>116</v>
      </c>
      <c r="J29" t="s">
        <v>125</v>
      </c>
      <c r="K29">
        <v>884312</v>
      </c>
      <c r="L29" t="s">
        <v>143</v>
      </c>
      <c r="M29" t="s">
        <v>144</v>
      </c>
      <c r="N29" t="s">
        <v>57</v>
      </c>
      <c r="O29" s="1">
        <v>45939</v>
      </c>
      <c r="Q29" s="1">
        <v>45970</v>
      </c>
      <c r="R29" s="2">
        <v>99</v>
      </c>
      <c r="S29">
        <v>1</v>
      </c>
      <c r="T29" t="s">
        <v>58</v>
      </c>
      <c r="U29" t="s">
        <v>59</v>
      </c>
      <c r="V29" s="3">
        <v>0.7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415.8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69.3</v>
      </c>
      <c r="AM29" s="2">
        <v>0</v>
      </c>
      <c r="AN29" s="2">
        <v>415.8</v>
      </c>
      <c r="AO29" s="2">
        <v>0</v>
      </c>
      <c r="AP29" s="2">
        <v>0</v>
      </c>
      <c r="AQ29" s="2">
        <v>0</v>
      </c>
    </row>
    <row r="30" spans="1:43" x14ac:dyDescent="0.25">
      <c r="A30" s="1">
        <v>45943</v>
      </c>
      <c r="B30" t="s">
        <v>48</v>
      </c>
      <c r="C30">
        <v>649163</v>
      </c>
      <c r="D30">
        <v>2031526094</v>
      </c>
      <c r="E30" t="s">
        <v>105</v>
      </c>
      <c r="F30" t="s">
        <v>106</v>
      </c>
      <c r="G30" t="s">
        <v>51</v>
      </c>
      <c r="H30" t="s">
        <v>107</v>
      </c>
      <c r="I30" t="s">
        <v>116</v>
      </c>
      <c r="J30" t="s">
        <v>125</v>
      </c>
      <c r="K30">
        <v>877790</v>
      </c>
      <c r="L30" t="s">
        <v>108</v>
      </c>
      <c r="M30" t="s">
        <v>109</v>
      </c>
      <c r="N30" t="s">
        <v>57</v>
      </c>
      <c r="O30" s="1">
        <v>45939</v>
      </c>
      <c r="Q30" s="1">
        <v>45970</v>
      </c>
      <c r="R30" s="2">
        <v>3.52</v>
      </c>
      <c r="S30">
        <v>1</v>
      </c>
      <c r="T30" t="s">
        <v>58</v>
      </c>
      <c r="U30" t="s">
        <v>59</v>
      </c>
      <c r="V30" s="3">
        <v>0.7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14.76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2.46</v>
      </c>
      <c r="AM30" s="2">
        <v>0</v>
      </c>
      <c r="AN30" s="2">
        <v>14.76</v>
      </c>
      <c r="AO30" s="2">
        <v>0</v>
      </c>
      <c r="AP30" s="2">
        <v>0</v>
      </c>
      <c r="AQ30" s="2">
        <v>0</v>
      </c>
    </row>
    <row r="31" spans="1:43" x14ac:dyDescent="0.25">
      <c r="A31" s="1">
        <v>45943</v>
      </c>
      <c r="B31" t="s">
        <v>48</v>
      </c>
      <c r="C31">
        <v>649163</v>
      </c>
      <c r="D31">
        <v>2031534330</v>
      </c>
      <c r="E31" t="s">
        <v>145</v>
      </c>
      <c r="F31" t="s">
        <v>146</v>
      </c>
      <c r="G31" t="s">
        <v>51</v>
      </c>
      <c r="H31" t="s">
        <v>91</v>
      </c>
      <c r="I31" t="s">
        <v>116</v>
      </c>
      <c r="J31" t="s">
        <v>125</v>
      </c>
      <c r="K31">
        <v>767312</v>
      </c>
      <c r="L31" t="s">
        <v>147</v>
      </c>
      <c r="M31" t="s">
        <v>148</v>
      </c>
      <c r="N31" t="s">
        <v>57</v>
      </c>
      <c r="O31" s="1">
        <v>45940</v>
      </c>
      <c r="Q31" s="1">
        <v>45971</v>
      </c>
      <c r="R31" s="2">
        <v>79.03</v>
      </c>
      <c r="S31">
        <v>1</v>
      </c>
      <c r="T31" t="s">
        <v>58</v>
      </c>
      <c r="U31" t="s">
        <v>59</v>
      </c>
      <c r="V31" s="3">
        <v>0.7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331.92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55.32</v>
      </c>
      <c r="AM31" s="2">
        <v>0</v>
      </c>
      <c r="AN31" s="2">
        <v>331.92</v>
      </c>
      <c r="AO31" s="2">
        <v>0</v>
      </c>
      <c r="AP31" s="2">
        <v>0</v>
      </c>
      <c r="AQ31" s="2">
        <v>0</v>
      </c>
    </row>
    <row r="32" spans="1:43" x14ac:dyDescent="0.25">
      <c r="A32" s="1">
        <v>45943</v>
      </c>
      <c r="B32" t="s">
        <v>48</v>
      </c>
      <c r="C32">
        <v>649163</v>
      </c>
      <c r="D32">
        <v>2031568599</v>
      </c>
      <c r="E32" t="s">
        <v>149</v>
      </c>
      <c r="F32" t="s">
        <v>150</v>
      </c>
      <c r="G32" t="s">
        <v>51</v>
      </c>
      <c r="H32" t="s">
        <v>78</v>
      </c>
      <c r="I32" t="s">
        <v>116</v>
      </c>
      <c r="J32" t="s">
        <v>125</v>
      </c>
      <c r="K32">
        <v>807212</v>
      </c>
      <c r="L32" t="s">
        <v>151</v>
      </c>
      <c r="M32" t="s">
        <v>152</v>
      </c>
      <c r="N32" t="s">
        <v>57</v>
      </c>
      <c r="O32" s="1">
        <v>45941</v>
      </c>
      <c r="Q32" s="1">
        <v>45972</v>
      </c>
      <c r="R32" s="2">
        <v>95.92</v>
      </c>
      <c r="S32">
        <v>1</v>
      </c>
      <c r="T32" t="s">
        <v>58</v>
      </c>
      <c r="U32" t="s">
        <v>59</v>
      </c>
      <c r="V32" s="3">
        <v>0.7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402.84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67.14</v>
      </c>
      <c r="AM32" s="2">
        <v>0</v>
      </c>
      <c r="AN32" s="2">
        <v>402.84</v>
      </c>
      <c r="AO32" s="2">
        <v>0</v>
      </c>
      <c r="AP32" s="2">
        <v>0</v>
      </c>
      <c r="AQ32" s="2">
        <v>0</v>
      </c>
    </row>
    <row r="33" spans="1:43" x14ac:dyDescent="0.25">
      <c r="A33" s="1">
        <v>45943</v>
      </c>
      <c r="B33" t="s">
        <v>48</v>
      </c>
      <c r="C33">
        <v>649163</v>
      </c>
      <c r="D33">
        <v>2031569265</v>
      </c>
      <c r="E33" t="s">
        <v>153</v>
      </c>
      <c r="F33" t="s">
        <v>154</v>
      </c>
      <c r="G33" t="s">
        <v>51</v>
      </c>
      <c r="H33" t="s">
        <v>155</v>
      </c>
      <c r="I33" t="s">
        <v>116</v>
      </c>
      <c r="J33" t="s">
        <v>125</v>
      </c>
      <c r="K33">
        <v>856824</v>
      </c>
      <c r="L33" t="s">
        <v>156</v>
      </c>
      <c r="M33" t="s">
        <v>157</v>
      </c>
      <c r="N33" t="s">
        <v>57</v>
      </c>
      <c r="O33" s="1">
        <v>45941</v>
      </c>
      <c r="Q33" s="1">
        <v>45972</v>
      </c>
      <c r="R33" s="2">
        <v>56.5</v>
      </c>
      <c r="S33">
        <v>1</v>
      </c>
      <c r="T33" t="s">
        <v>58</v>
      </c>
      <c r="U33" t="s">
        <v>59</v>
      </c>
      <c r="V33" s="3">
        <v>0.7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237.3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39.549999999999997</v>
      </c>
      <c r="AM33" s="2">
        <v>0</v>
      </c>
      <c r="AN33" s="2">
        <v>237.3</v>
      </c>
      <c r="AO33" s="2">
        <v>0</v>
      </c>
      <c r="AP33" s="2">
        <v>0</v>
      </c>
      <c r="AQ33" s="2">
        <v>0</v>
      </c>
    </row>
    <row r="34" spans="1:43" x14ac:dyDescent="0.25">
      <c r="A34" s="1">
        <v>45943</v>
      </c>
      <c r="B34" t="s">
        <v>48</v>
      </c>
      <c r="C34">
        <v>649163</v>
      </c>
      <c r="D34">
        <v>2031574170</v>
      </c>
      <c r="E34" t="s">
        <v>158</v>
      </c>
      <c r="F34" t="s">
        <v>159</v>
      </c>
      <c r="G34" t="s">
        <v>51</v>
      </c>
      <c r="H34" t="s">
        <v>52</v>
      </c>
      <c r="I34" t="s">
        <v>116</v>
      </c>
      <c r="J34" t="s">
        <v>125</v>
      </c>
      <c r="K34">
        <v>812782</v>
      </c>
      <c r="L34" t="s">
        <v>160</v>
      </c>
      <c r="M34" t="s">
        <v>161</v>
      </c>
      <c r="N34" t="s">
        <v>57</v>
      </c>
      <c r="O34" s="1">
        <v>45962</v>
      </c>
      <c r="Q34" s="1">
        <v>45992</v>
      </c>
      <c r="R34" s="2">
        <v>101.78</v>
      </c>
      <c r="S34">
        <v>1</v>
      </c>
      <c r="T34" t="s">
        <v>58</v>
      </c>
      <c r="U34" t="s">
        <v>59</v>
      </c>
      <c r="V34" s="3">
        <v>0.7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427.5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71.25</v>
      </c>
      <c r="AM34" s="2">
        <v>0</v>
      </c>
      <c r="AN34" s="2">
        <v>427.5</v>
      </c>
      <c r="AO34" s="2">
        <v>0</v>
      </c>
      <c r="AP34" s="2">
        <v>0</v>
      </c>
      <c r="AQ34" s="2">
        <v>0</v>
      </c>
    </row>
    <row r="35" spans="1:43" x14ac:dyDescent="0.25">
      <c r="A35" s="1">
        <v>45943</v>
      </c>
      <c r="B35" t="s">
        <v>48</v>
      </c>
      <c r="C35">
        <v>649163</v>
      </c>
      <c r="D35">
        <v>2031574197</v>
      </c>
      <c r="E35" t="s">
        <v>162</v>
      </c>
      <c r="F35" t="s">
        <v>163</v>
      </c>
      <c r="G35" t="s">
        <v>51</v>
      </c>
      <c r="H35" t="s">
        <v>78</v>
      </c>
      <c r="I35" t="s">
        <v>116</v>
      </c>
      <c r="J35" t="s">
        <v>125</v>
      </c>
      <c r="K35">
        <v>807212</v>
      </c>
      <c r="L35" t="s">
        <v>151</v>
      </c>
      <c r="M35" t="s">
        <v>152</v>
      </c>
      <c r="N35" t="s">
        <v>57</v>
      </c>
      <c r="O35" s="1">
        <v>45941</v>
      </c>
      <c r="Q35" s="1">
        <v>45972</v>
      </c>
      <c r="R35" s="2">
        <v>42.36</v>
      </c>
      <c r="S35">
        <v>1</v>
      </c>
      <c r="T35" t="s">
        <v>58</v>
      </c>
      <c r="U35" t="s">
        <v>59</v>
      </c>
      <c r="V35" s="3">
        <v>0.7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177.9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29.65</v>
      </c>
      <c r="AM35" s="2">
        <v>0</v>
      </c>
      <c r="AN35" s="2">
        <v>177.9</v>
      </c>
      <c r="AO35" s="2">
        <v>0</v>
      </c>
      <c r="AP35" s="2">
        <v>0</v>
      </c>
      <c r="AQ35" s="2">
        <v>0</v>
      </c>
    </row>
    <row r="36" spans="1:43" x14ac:dyDescent="0.25">
      <c r="A36" s="1">
        <v>45943</v>
      </c>
      <c r="B36" t="s">
        <v>48</v>
      </c>
      <c r="C36">
        <v>649163</v>
      </c>
      <c r="D36">
        <v>2031468649</v>
      </c>
      <c r="E36" t="s">
        <v>164</v>
      </c>
      <c r="F36" t="s">
        <v>165</v>
      </c>
      <c r="G36" t="s">
        <v>51</v>
      </c>
      <c r="H36" t="s">
        <v>64</v>
      </c>
      <c r="I36" t="s">
        <v>166</v>
      </c>
      <c r="J36" t="s">
        <v>167</v>
      </c>
      <c r="K36">
        <v>753748</v>
      </c>
      <c r="L36" t="s">
        <v>168</v>
      </c>
      <c r="M36" t="s">
        <v>169</v>
      </c>
      <c r="N36" t="s">
        <v>57</v>
      </c>
      <c r="O36" s="1">
        <v>45937</v>
      </c>
      <c r="Q36" s="1">
        <v>45968</v>
      </c>
      <c r="R36" s="2">
        <v>311.39999999999998</v>
      </c>
      <c r="S36">
        <v>1</v>
      </c>
      <c r="T36" t="s">
        <v>58</v>
      </c>
      <c r="U36" t="s">
        <v>170</v>
      </c>
      <c r="V36" s="3">
        <v>0.27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84.08</v>
      </c>
      <c r="AN36" s="2">
        <v>84.08</v>
      </c>
      <c r="AO36" s="2">
        <v>0</v>
      </c>
      <c r="AP36" s="2">
        <v>0</v>
      </c>
      <c r="AQ36" s="2">
        <v>0</v>
      </c>
    </row>
    <row r="37" spans="1:43" x14ac:dyDescent="0.25">
      <c r="A37" s="1">
        <v>45943</v>
      </c>
      <c r="B37" t="s">
        <v>48</v>
      </c>
      <c r="C37">
        <v>649163</v>
      </c>
      <c r="D37">
        <v>2031581263</v>
      </c>
      <c r="E37" t="s">
        <v>83</v>
      </c>
      <c r="F37" t="s">
        <v>84</v>
      </c>
      <c r="G37" t="s">
        <v>51</v>
      </c>
      <c r="H37" t="s">
        <v>52</v>
      </c>
      <c r="I37" t="s">
        <v>166</v>
      </c>
      <c r="J37" t="s">
        <v>171</v>
      </c>
      <c r="K37">
        <v>897073</v>
      </c>
      <c r="L37" t="s">
        <v>86</v>
      </c>
      <c r="M37" t="s">
        <v>87</v>
      </c>
      <c r="N37" t="s">
        <v>57</v>
      </c>
      <c r="O37" s="1">
        <v>45942</v>
      </c>
      <c r="Q37" s="1">
        <v>45973</v>
      </c>
      <c r="R37" s="2">
        <v>285.18</v>
      </c>
      <c r="S37">
        <v>1</v>
      </c>
      <c r="T37" t="s">
        <v>58</v>
      </c>
      <c r="U37" t="s">
        <v>88</v>
      </c>
      <c r="V37" s="3">
        <v>0.28999999999999998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496.2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82.7</v>
      </c>
      <c r="AM37" s="2">
        <v>0</v>
      </c>
      <c r="AN37" s="2">
        <v>496.2</v>
      </c>
      <c r="AO37" s="2">
        <v>0</v>
      </c>
      <c r="AP37" s="2">
        <v>0</v>
      </c>
      <c r="AQ37" s="2">
        <v>0</v>
      </c>
    </row>
    <row r="38" spans="1:43" x14ac:dyDescent="0.25">
      <c r="A38" s="1">
        <v>45943</v>
      </c>
      <c r="B38" t="s">
        <v>48</v>
      </c>
      <c r="C38">
        <v>649163</v>
      </c>
      <c r="D38">
        <v>2031581264</v>
      </c>
      <c r="E38" t="s">
        <v>83</v>
      </c>
      <c r="F38" t="s">
        <v>84</v>
      </c>
      <c r="G38" t="s">
        <v>51</v>
      </c>
      <c r="H38" t="s">
        <v>52</v>
      </c>
      <c r="I38" t="s">
        <v>166</v>
      </c>
      <c r="J38" t="s">
        <v>172</v>
      </c>
      <c r="K38">
        <v>897073</v>
      </c>
      <c r="L38" t="s">
        <v>86</v>
      </c>
      <c r="M38" t="s">
        <v>87</v>
      </c>
      <c r="N38" t="s">
        <v>57</v>
      </c>
      <c r="O38" s="1">
        <v>45942</v>
      </c>
      <c r="Q38" s="1">
        <v>45973</v>
      </c>
      <c r="R38" s="2">
        <v>9.9499999999999993</v>
      </c>
      <c r="S38">
        <v>1</v>
      </c>
      <c r="T38" t="s">
        <v>58</v>
      </c>
      <c r="U38" t="s">
        <v>88</v>
      </c>
      <c r="V38" s="3">
        <v>0.28999999999999998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17.34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2.89</v>
      </c>
      <c r="AM38" s="2">
        <v>0</v>
      </c>
      <c r="AN38" s="2">
        <v>17.34</v>
      </c>
      <c r="AO38" s="2">
        <v>0</v>
      </c>
      <c r="AP38" s="2">
        <v>0</v>
      </c>
      <c r="AQ38" s="2">
        <v>0</v>
      </c>
    </row>
    <row r="39" spans="1:43" x14ac:dyDescent="0.25">
      <c r="A39" s="1">
        <v>45943</v>
      </c>
      <c r="B39" t="s">
        <v>48</v>
      </c>
      <c r="C39">
        <v>649163</v>
      </c>
      <c r="D39">
        <v>2016921674</v>
      </c>
      <c r="E39" t="s">
        <v>173</v>
      </c>
      <c r="F39" t="s">
        <v>174</v>
      </c>
      <c r="G39" t="s">
        <v>51</v>
      </c>
      <c r="H39" t="s">
        <v>175</v>
      </c>
      <c r="I39" t="s">
        <v>176</v>
      </c>
      <c r="J39" t="s">
        <v>177</v>
      </c>
      <c r="K39">
        <v>649793</v>
      </c>
      <c r="L39" t="s">
        <v>55</v>
      </c>
      <c r="M39" t="s">
        <v>178</v>
      </c>
      <c r="N39" t="s">
        <v>179</v>
      </c>
      <c r="O39" s="1">
        <v>44927</v>
      </c>
      <c r="P39" s="1">
        <v>45936</v>
      </c>
      <c r="Q39" s="1">
        <v>45962</v>
      </c>
      <c r="R39" s="2">
        <v>-52.69</v>
      </c>
      <c r="S39">
        <v>1</v>
      </c>
      <c r="T39" t="s">
        <v>58</v>
      </c>
      <c r="U39" t="s">
        <v>180</v>
      </c>
      <c r="V39" s="4">
        <v>6.5000000000000002E-2</v>
      </c>
      <c r="W39" s="2">
        <v>0</v>
      </c>
      <c r="X39">
        <v>-1</v>
      </c>
      <c r="Y39" t="s">
        <v>181</v>
      </c>
      <c r="Z39" t="s">
        <v>182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-3.42</v>
      </c>
      <c r="AN39" s="2">
        <v>-3.42</v>
      </c>
      <c r="AO39" s="2">
        <v>0</v>
      </c>
      <c r="AP39" s="2">
        <v>0</v>
      </c>
      <c r="AQ39" s="2">
        <v>0</v>
      </c>
    </row>
    <row r="40" spans="1:43" x14ac:dyDescent="0.25">
      <c r="A40" s="1">
        <v>45943</v>
      </c>
      <c r="B40" t="s">
        <v>48</v>
      </c>
      <c r="C40">
        <v>649163</v>
      </c>
      <c r="D40">
        <v>2023499225</v>
      </c>
      <c r="E40" t="s">
        <v>183</v>
      </c>
      <c r="F40" t="s">
        <v>184</v>
      </c>
      <c r="G40" t="s">
        <v>51</v>
      </c>
      <c r="H40" t="s">
        <v>185</v>
      </c>
      <c r="I40" t="s">
        <v>176</v>
      </c>
      <c r="J40" t="s">
        <v>177</v>
      </c>
      <c r="K40">
        <v>751867</v>
      </c>
      <c r="L40" t="s">
        <v>186</v>
      </c>
      <c r="M40" t="s">
        <v>90</v>
      </c>
      <c r="N40" t="s">
        <v>57</v>
      </c>
      <c r="O40" s="1">
        <v>45456</v>
      </c>
      <c r="Q40" s="1">
        <v>45974</v>
      </c>
      <c r="R40" s="2">
        <v>56.69</v>
      </c>
      <c r="S40">
        <v>1</v>
      </c>
      <c r="T40" t="s">
        <v>58</v>
      </c>
      <c r="U40" t="s">
        <v>180</v>
      </c>
      <c r="V40" s="4">
        <v>6.5000000000000002E-2</v>
      </c>
      <c r="W40" s="2">
        <v>0</v>
      </c>
      <c r="X40">
        <v>0</v>
      </c>
      <c r="Y40" t="s">
        <v>181</v>
      </c>
      <c r="Z40" t="s">
        <v>182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3.68</v>
      </c>
      <c r="AN40" s="2">
        <v>3.68</v>
      </c>
      <c r="AO40" s="2">
        <v>0</v>
      </c>
      <c r="AP40" s="2">
        <v>0</v>
      </c>
      <c r="AQ40" s="2">
        <v>0</v>
      </c>
    </row>
    <row r="41" spans="1:43" x14ac:dyDescent="0.25">
      <c r="A41" s="1">
        <v>45943</v>
      </c>
      <c r="B41" t="s">
        <v>48</v>
      </c>
      <c r="C41">
        <v>649163</v>
      </c>
      <c r="D41">
        <v>2023509944</v>
      </c>
      <c r="E41" t="s">
        <v>187</v>
      </c>
      <c r="F41" t="s">
        <v>188</v>
      </c>
      <c r="G41" t="s">
        <v>51</v>
      </c>
      <c r="H41" t="s">
        <v>189</v>
      </c>
      <c r="I41" t="s">
        <v>176</v>
      </c>
      <c r="J41" t="s">
        <v>190</v>
      </c>
      <c r="K41">
        <v>751867</v>
      </c>
      <c r="L41" t="s">
        <v>186</v>
      </c>
      <c r="M41" t="s">
        <v>90</v>
      </c>
      <c r="N41" t="s">
        <v>57</v>
      </c>
      <c r="O41" s="1">
        <v>45457</v>
      </c>
      <c r="Q41" s="1">
        <v>45975</v>
      </c>
      <c r="R41" s="2">
        <v>109.84</v>
      </c>
      <c r="S41">
        <v>1</v>
      </c>
      <c r="T41" t="s">
        <v>58</v>
      </c>
      <c r="U41" t="s">
        <v>180</v>
      </c>
      <c r="V41" s="4">
        <v>6.5000000000000002E-2</v>
      </c>
      <c r="W41" s="2">
        <v>0</v>
      </c>
      <c r="X41">
        <v>0</v>
      </c>
      <c r="Y41" t="s">
        <v>181</v>
      </c>
      <c r="Z41" t="s">
        <v>182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7.14</v>
      </c>
      <c r="AN41" s="2">
        <v>7.14</v>
      </c>
      <c r="AO41" s="2">
        <v>0</v>
      </c>
      <c r="AP41" s="2">
        <v>0</v>
      </c>
      <c r="AQ41" s="2">
        <v>0</v>
      </c>
    </row>
    <row r="42" spans="1:43" x14ac:dyDescent="0.25">
      <c r="A42" s="1">
        <v>45943</v>
      </c>
      <c r="B42" t="s">
        <v>48</v>
      </c>
      <c r="C42">
        <v>649163</v>
      </c>
      <c r="D42">
        <v>2023510924</v>
      </c>
      <c r="E42" t="s">
        <v>191</v>
      </c>
      <c r="F42" t="s">
        <v>192</v>
      </c>
      <c r="G42" t="s">
        <v>51</v>
      </c>
      <c r="H42" t="s">
        <v>189</v>
      </c>
      <c r="I42" t="s">
        <v>176</v>
      </c>
      <c r="J42" t="s">
        <v>177</v>
      </c>
      <c r="K42">
        <v>751867</v>
      </c>
      <c r="L42" t="s">
        <v>186</v>
      </c>
      <c r="M42" t="s">
        <v>90</v>
      </c>
      <c r="N42" t="s">
        <v>57</v>
      </c>
      <c r="O42" s="1">
        <v>45457</v>
      </c>
      <c r="Q42" s="1">
        <v>45975</v>
      </c>
      <c r="R42" s="2">
        <v>56.69</v>
      </c>
      <c r="S42">
        <v>1</v>
      </c>
      <c r="T42" t="s">
        <v>58</v>
      </c>
      <c r="U42" t="s">
        <v>180</v>
      </c>
      <c r="V42" s="4">
        <v>6.5000000000000002E-2</v>
      </c>
      <c r="W42" s="2">
        <v>0</v>
      </c>
      <c r="X42">
        <v>0</v>
      </c>
      <c r="Y42" t="s">
        <v>181</v>
      </c>
      <c r="Z42" t="s">
        <v>182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3.68</v>
      </c>
      <c r="AN42" s="2">
        <v>3.68</v>
      </c>
      <c r="AO42" s="2">
        <v>0</v>
      </c>
      <c r="AP42" s="2">
        <v>0</v>
      </c>
      <c r="AQ42" s="2">
        <v>0</v>
      </c>
    </row>
    <row r="43" spans="1:43" x14ac:dyDescent="0.25">
      <c r="A43" s="1">
        <v>45943</v>
      </c>
      <c r="B43" t="s">
        <v>48</v>
      </c>
      <c r="C43">
        <v>649163</v>
      </c>
      <c r="D43">
        <v>2024382706</v>
      </c>
      <c r="E43" t="s">
        <v>193</v>
      </c>
      <c r="F43" t="s">
        <v>194</v>
      </c>
      <c r="G43" t="s">
        <v>51</v>
      </c>
      <c r="H43" t="s">
        <v>189</v>
      </c>
      <c r="I43" t="s">
        <v>176</v>
      </c>
      <c r="J43" t="s">
        <v>177</v>
      </c>
      <c r="K43">
        <v>650218</v>
      </c>
      <c r="L43" t="s">
        <v>195</v>
      </c>
      <c r="M43" t="s">
        <v>196</v>
      </c>
      <c r="N43" t="s">
        <v>57</v>
      </c>
      <c r="O43" s="1">
        <v>45519</v>
      </c>
      <c r="Q43" s="1">
        <v>45976</v>
      </c>
      <c r="R43" s="2">
        <v>40.159999999999997</v>
      </c>
      <c r="S43">
        <v>1</v>
      </c>
      <c r="T43" t="s">
        <v>58</v>
      </c>
      <c r="U43" t="s">
        <v>180</v>
      </c>
      <c r="V43" s="4">
        <v>6.5000000000000002E-2</v>
      </c>
      <c r="W43" s="2">
        <v>0</v>
      </c>
      <c r="X43">
        <v>0</v>
      </c>
      <c r="Y43" t="s">
        <v>181</v>
      </c>
      <c r="Z43" t="s">
        <v>182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2.61</v>
      </c>
      <c r="AN43" s="2">
        <v>2.61</v>
      </c>
      <c r="AO43" s="2">
        <v>0</v>
      </c>
      <c r="AP43" s="2">
        <v>0</v>
      </c>
      <c r="AQ43" s="2">
        <v>0</v>
      </c>
    </row>
    <row r="44" spans="1:43" x14ac:dyDescent="0.25">
      <c r="A44" s="1">
        <v>45943</v>
      </c>
      <c r="B44" t="s">
        <v>48</v>
      </c>
      <c r="C44">
        <v>649163</v>
      </c>
      <c r="D44">
        <v>2024407150</v>
      </c>
      <c r="E44" t="s">
        <v>197</v>
      </c>
      <c r="F44" t="s">
        <v>198</v>
      </c>
      <c r="G44" t="s">
        <v>51</v>
      </c>
      <c r="H44" t="s">
        <v>189</v>
      </c>
      <c r="I44" t="s">
        <v>176</v>
      </c>
      <c r="J44" t="s">
        <v>177</v>
      </c>
      <c r="K44">
        <v>650218</v>
      </c>
      <c r="L44" t="s">
        <v>195</v>
      </c>
      <c r="M44" t="s">
        <v>196</v>
      </c>
      <c r="N44" t="s">
        <v>57</v>
      </c>
      <c r="O44" s="1">
        <v>45520</v>
      </c>
      <c r="Q44" s="1">
        <v>45977</v>
      </c>
      <c r="R44" s="2">
        <v>56.69</v>
      </c>
      <c r="S44">
        <v>1</v>
      </c>
      <c r="T44" t="s">
        <v>58</v>
      </c>
      <c r="U44" t="s">
        <v>180</v>
      </c>
      <c r="V44" s="4">
        <v>6.5000000000000002E-2</v>
      </c>
      <c r="W44" s="2">
        <v>0</v>
      </c>
      <c r="X44">
        <v>0</v>
      </c>
      <c r="Y44" t="s">
        <v>181</v>
      </c>
      <c r="Z44" t="s">
        <v>182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3.68</v>
      </c>
      <c r="AN44" s="2">
        <v>3.68</v>
      </c>
      <c r="AO44" s="2">
        <v>0</v>
      </c>
      <c r="AP44" s="2">
        <v>0</v>
      </c>
      <c r="AQ44" s="2">
        <v>0</v>
      </c>
    </row>
    <row r="45" spans="1:43" x14ac:dyDescent="0.25">
      <c r="A45" s="1">
        <v>45943</v>
      </c>
      <c r="B45" t="s">
        <v>48</v>
      </c>
      <c r="C45">
        <v>649163</v>
      </c>
      <c r="D45">
        <v>2024425645</v>
      </c>
      <c r="E45" t="s">
        <v>199</v>
      </c>
      <c r="F45" t="s">
        <v>200</v>
      </c>
      <c r="G45" t="s">
        <v>51</v>
      </c>
      <c r="H45" t="s">
        <v>107</v>
      </c>
      <c r="I45" t="s">
        <v>176</v>
      </c>
      <c r="J45" t="s">
        <v>177</v>
      </c>
      <c r="K45">
        <v>673059</v>
      </c>
      <c r="L45" t="s">
        <v>55</v>
      </c>
      <c r="M45" t="s">
        <v>56</v>
      </c>
      <c r="N45" t="s">
        <v>57</v>
      </c>
      <c r="O45" s="1">
        <v>45521</v>
      </c>
      <c r="Q45" s="1">
        <v>45978</v>
      </c>
      <c r="R45" s="2">
        <v>34.01</v>
      </c>
      <c r="S45">
        <v>1</v>
      </c>
      <c r="T45" t="s">
        <v>58</v>
      </c>
      <c r="U45" t="s">
        <v>180</v>
      </c>
      <c r="V45" s="4">
        <v>6.5000000000000002E-2</v>
      </c>
      <c r="W45" s="2">
        <v>0</v>
      </c>
      <c r="X45">
        <v>0</v>
      </c>
      <c r="Y45" t="s">
        <v>181</v>
      </c>
      <c r="Z45" t="s">
        <v>182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2.21</v>
      </c>
      <c r="AN45" s="2">
        <v>2.21</v>
      </c>
      <c r="AO45" s="2">
        <v>0</v>
      </c>
      <c r="AP45" s="2">
        <v>0</v>
      </c>
      <c r="AQ45" s="2">
        <v>0</v>
      </c>
    </row>
    <row r="46" spans="1:43" x14ac:dyDescent="0.25">
      <c r="A46" s="1">
        <v>45943</v>
      </c>
      <c r="B46" t="s">
        <v>48</v>
      </c>
      <c r="C46">
        <v>649163</v>
      </c>
      <c r="D46">
        <v>2025756063</v>
      </c>
      <c r="E46" t="s">
        <v>201</v>
      </c>
      <c r="F46" t="s">
        <v>202</v>
      </c>
      <c r="G46" t="s">
        <v>51</v>
      </c>
      <c r="H46" t="s">
        <v>189</v>
      </c>
      <c r="I46" t="s">
        <v>176</v>
      </c>
      <c r="J46" t="s">
        <v>177</v>
      </c>
      <c r="K46">
        <v>650218</v>
      </c>
      <c r="L46" t="s">
        <v>195</v>
      </c>
      <c r="M46" t="s">
        <v>196</v>
      </c>
      <c r="N46" t="s">
        <v>57</v>
      </c>
      <c r="O46" s="1">
        <v>45610</v>
      </c>
      <c r="Q46" s="1">
        <v>45975</v>
      </c>
      <c r="R46" s="2">
        <v>46.45</v>
      </c>
      <c r="S46">
        <v>1</v>
      </c>
      <c r="T46" t="s">
        <v>58</v>
      </c>
      <c r="U46" t="s">
        <v>180</v>
      </c>
      <c r="V46" s="3">
        <v>0.6</v>
      </c>
      <c r="W46" s="2">
        <v>0</v>
      </c>
      <c r="X46">
        <v>0</v>
      </c>
      <c r="Y46" t="s">
        <v>60</v>
      </c>
      <c r="Z46" t="s">
        <v>182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27.87</v>
      </c>
      <c r="AN46" s="2">
        <v>27.87</v>
      </c>
      <c r="AO46" s="2">
        <v>0</v>
      </c>
      <c r="AP46" s="2">
        <v>0</v>
      </c>
      <c r="AQ46" s="2">
        <v>0</v>
      </c>
    </row>
    <row r="47" spans="1:43" x14ac:dyDescent="0.25">
      <c r="A47" s="1">
        <v>45943</v>
      </c>
      <c r="B47" t="s">
        <v>48</v>
      </c>
      <c r="C47">
        <v>649163</v>
      </c>
      <c r="D47">
        <v>2025769233</v>
      </c>
      <c r="E47" t="s">
        <v>203</v>
      </c>
      <c r="F47" t="s">
        <v>204</v>
      </c>
      <c r="G47" t="s">
        <v>51</v>
      </c>
      <c r="H47" t="s">
        <v>189</v>
      </c>
      <c r="I47" t="s">
        <v>176</v>
      </c>
      <c r="J47" t="s">
        <v>190</v>
      </c>
      <c r="K47">
        <v>650218</v>
      </c>
      <c r="L47" t="s">
        <v>195</v>
      </c>
      <c r="M47" t="s">
        <v>196</v>
      </c>
      <c r="N47" t="s">
        <v>57</v>
      </c>
      <c r="O47" s="1">
        <v>45611</v>
      </c>
      <c r="Q47" s="1">
        <v>45976</v>
      </c>
      <c r="R47" s="2">
        <v>56.46</v>
      </c>
      <c r="S47">
        <v>1</v>
      </c>
      <c r="T47" t="s">
        <v>58</v>
      </c>
      <c r="U47" t="s">
        <v>180</v>
      </c>
      <c r="V47" s="3">
        <v>0.6</v>
      </c>
      <c r="W47" s="2">
        <v>0</v>
      </c>
      <c r="X47">
        <v>0</v>
      </c>
      <c r="Y47" t="s">
        <v>60</v>
      </c>
      <c r="Z47" t="s">
        <v>182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33.880000000000003</v>
      </c>
      <c r="AN47" s="2">
        <v>33.880000000000003</v>
      </c>
      <c r="AO47" s="2">
        <v>0</v>
      </c>
      <c r="AP47" s="2">
        <v>0</v>
      </c>
      <c r="AQ47" s="2">
        <v>0</v>
      </c>
    </row>
    <row r="48" spans="1:43" x14ac:dyDescent="0.25">
      <c r="A48" s="1">
        <v>45943</v>
      </c>
      <c r="B48" t="s">
        <v>48</v>
      </c>
      <c r="C48">
        <v>649163</v>
      </c>
      <c r="D48">
        <v>2025771713</v>
      </c>
      <c r="E48" t="s">
        <v>205</v>
      </c>
      <c r="F48" t="s">
        <v>169</v>
      </c>
      <c r="G48" t="s">
        <v>51</v>
      </c>
      <c r="H48" t="s">
        <v>189</v>
      </c>
      <c r="I48" t="s">
        <v>176</v>
      </c>
      <c r="J48" t="s">
        <v>177</v>
      </c>
      <c r="K48">
        <v>650218</v>
      </c>
      <c r="L48" t="s">
        <v>195</v>
      </c>
      <c r="M48" t="s">
        <v>196</v>
      </c>
      <c r="N48" t="s">
        <v>57</v>
      </c>
      <c r="O48" s="1">
        <v>45611</v>
      </c>
      <c r="Q48" s="1">
        <v>45976</v>
      </c>
      <c r="R48" s="2">
        <v>52.69</v>
      </c>
      <c r="S48">
        <v>1</v>
      </c>
      <c r="T48" t="s">
        <v>58</v>
      </c>
      <c r="U48" t="s">
        <v>180</v>
      </c>
      <c r="V48" s="3">
        <v>0.6</v>
      </c>
      <c r="W48" s="2">
        <v>0</v>
      </c>
      <c r="X48">
        <v>0</v>
      </c>
      <c r="Y48" t="s">
        <v>60</v>
      </c>
      <c r="Z48" t="s">
        <v>182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31.61</v>
      </c>
      <c r="AN48" s="2">
        <v>31.61</v>
      </c>
      <c r="AO48" s="2">
        <v>0</v>
      </c>
      <c r="AP48" s="2">
        <v>0</v>
      </c>
      <c r="AQ48" s="2">
        <v>0</v>
      </c>
    </row>
    <row r="49" spans="1:43" x14ac:dyDescent="0.25">
      <c r="A49" s="1">
        <v>45943</v>
      </c>
      <c r="B49" t="s">
        <v>48</v>
      </c>
      <c r="C49">
        <v>649163</v>
      </c>
      <c r="D49">
        <v>2026603200</v>
      </c>
      <c r="E49" t="s">
        <v>206</v>
      </c>
      <c r="F49" t="s">
        <v>207</v>
      </c>
      <c r="G49" t="s">
        <v>51</v>
      </c>
      <c r="H49" t="s">
        <v>189</v>
      </c>
      <c r="I49" t="s">
        <v>176</v>
      </c>
      <c r="J49" t="s">
        <v>177</v>
      </c>
      <c r="K49">
        <v>751867</v>
      </c>
      <c r="L49" t="s">
        <v>186</v>
      </c>
      <c r="M49" t="s">
        <v>90</v>
      </c>
      <c r="N49" t="s">
        <v>57</v>
      </c>
      <c r="O49" s="1">
        <v>45673</v>
      </c>
      <c r="Q49" s="1">
        <v>45977</v>
      </c>
      <c r="R49" s="2">
        <v>56.69</v>
      </c>
      <c r="S49">
        <v>1</v>
      </c>
      <c r="T49" t="s">
        <v>58</v>
      </c>
      <c r="U49" t="s">
        <v>180</v>
      </c>
      <c r="V49" s="3">
        <v>0.6</v>
      </c>
      <c r="W49" s="2">
        <v>0</v>
      </c>
      <c r="X49">
        <v>0</v>
      </c>
      <c r="Y49" t="s">
        <v>60</v>
      </c>
      <c r="Z49" t="s">
        <v>182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34.01</v>
      </c>
      <c r="AN49" s="2">
        <v>34.01</v>
      </c>
      <c r="AO49" s="2">
        <v>0</v>
      </c>
      <c r="AP49" s="2">
        <v>0</v>
      </c>
      <c r="AQ49" s="2">
        <v>0</v>
      </c>
    </row>
    <row r="50" spans="1:43" x14ac:dyDescent="0.25">
      <c r="A50" s="1">
        <v>45943</v>
      </c>
      <c r="B50" t="s">
        <v>48</v>
      </c>
      <c r="C50">
        <v>649163</v>
      </c>
      <c r="D50">
        <v>2026958695</v>
      </c>
      <c r="E50" t="s">
        <v>208</v>
      </c>
      <c r="F50" t="s">
        <v>209</v>
      </c>
      <c r="G50" t="s">
        <v>51</v>
      </c>
      <c r="H50" t="s">
        <v>189</v>
      </c>
      <c r="I50" t="s">
        <v>176</v>
      </c>
      <c r="J50" t="s">
        <v>177</v>
      </c>
      <c r="K50">
        <v>677095</v>
      </c>
      <c r="L50" t="s">
        <v>210</v>
      </c>
      <c r="M50" t="s">
        <v>211</v>
      </c>
      <c r="N50" t="s">
        <v>57</v>
      </c>
      <c r="O50" s="1">
        <v>45702</v>
      </c>
      <c r="Q50" s="1">
        <v>45975</v>
      </c>
      <c r="R50" s="2">
        <v>52.69</v>
      </c>
      <c r="S50">
        <v>1</v>
      </c>
      <c r="T50" t="s">
        <v>58</v>
      </c>
      <c r="U50" t="s">
        <v>180</v>
      </c>
      <c r="V50" s="3">
        <v>0.2</v>
      </c>
      <c r="W50" s="2">
        <v>0</v>
      </c>
      <c r="X50">
        <v>0</v>
      </c>
      <c r="Y50" t="s">
        <v>60</v>
      </c>
      <c r="Z50" t="s">
        <v>182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10.54</v>
      </c>
      <c r="AN50" s="2">
        <v>10.54</v>
      </c>
      <c r="AO50" s="2">
        <v>0</v>
      </c>
      <c r="AP50" s="2">
        <v>0</v>
      </c>
      <c r="AQ50" s="2">
        <v>0</v>
      </c>
    </row>
    <row r="51" spans="1:43" x14ac:dyDescent="0.25">
      <c r="A51" s="1">
        <v>45943</v>
      </c>
      <c r="B51" t="s">
        <v>48</v>
      </c>
      <c r="C51">
        <v>649163</v>
      </c>
      <c r="D51">
        <v>2027070510</v>
      </c>
      <c r="E51" t="s">
        <v>212</v>
      </c>
      <c r="F51" t="s">
        <v>213</v>
      </c>
      <c r="G51" t="s">
        <v>51</v>
      </c>
      <c r="H51" t="s">
        <v>214</v>
      </c>
      <c r="I51" t="s">
        <v>176</v>
      </c>
      <c r="J51" t="s">
        <v>215</v>
      </c>
      <c r="K51">
        <v>756418</v>
      </c>
      <c r="L51" t="s">
        <v>216</v>
      </c>
      <c r="M51" t="s">
        <v>217</v>
      </c>
      <c r="N51" t="s">
        <v>57</v>
      </c>
      <c r="O51" s="1">
        <v>45700</v>
      </c>
      <c r="Q51" s="1">
        <v>45973</v>
      </c>
      <c r="R51" s="2">
        <v>46.56</v>
      </c>
      <c r="S51">
        <v>1</v>
      </c>
      <c r="T51" t="s">
        <v>58</v>
      </c>
      <c r="U51" t="s">
        <v>180</v>
      </c>
      <c r="V51" s="3">
        <v>0.6</v>
      </c>
      <c r="W51" s="2">
        <v>0</v>
      </c>
      <c r="X51">
        <v>0</v>
      </c>
      <c r="Y51" t="s">
        <v>60</v>
      </c>
      <c r="Z51" t="s">
        <v>182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27.94</v>
      </c>
      <c r="AN51" s="2">
        <v>27.94</v>
      </c>
      <c r="AO51" s="2">
        <v>0</v>
      </c>
      <c r="AP51" s="2">
        <v>0</v>
      </c>
      <c r="AQ51" s="2">
        <v>0</v>
      </c>
    </row>
    <row r="52" spans="1:43" x14ac:dyDescent="0.25">
      <c r="A52" s="1">
        <v>45943</v>
      </c>
      <c r="B52" t="s">
        <v>48</v>
      </c>
      <c r="C52">
        <v>649163</v>
      </c>
      <c r="D52">
        <v>2029894141</v>
      </c>
      <c r="E52" t="s">
        <v>218</v>
      </c>
      <c r="F52" t="s">
        <v>196</v>
      </c>
      <c r="G52" t="s">
        <v>51</v>
      </c>
      <c r="H52" t="s">
        <v>219</v>
      </c>
      <c r="I52" t="s">
        <v>176</v>
      </c>
      <c r="J52" t="s">
        <v>177</v>
      </c>
      <c r="K52">
        <v>673059</v>
      </c>
      <c r="L52" t="s">
        <v>55</v>
      </c>
      <c r="M52" t="s">
        <v>56</v>
      </c>
      <c r="N52" t="s">
        <v>57</v>
      </c>
      <c r="O52" s="1">
        <v>45852</v>
      </c>
      <c r="Q52" s="1">
        <v>45975</v>
      </c>
      <c r="R52" s="2">
        <v>42.45</v>
      </c>
      <c r="S52">
        <v>1</v>
      </c>
      <c r="T52" t="s">
        <v>58</v>
      </c>
      <c r="U52" t="s">
        <v>180</v>
      </c>
      <c r="V52" s="3">
        <v>0.6</v>
      </c>
      <c r="W52" s="2">
        <v>0</v>
      </c>
      <c r="X52">
        <v>0</v>
      </c>
      <c r="Y52" t="s">
        <v>60</v>
      </c>
      <c r="Z52" t="s">
        <v>182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25.47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45943</v>
      </c>
      <c r="B53" t="s">
        <v>48</v>
      </c>
      <c r="C53">
        <v>649163</v>
      </c>
      <c r="D53">
        <v>2020174611</v>
      </c>
      <c r="E53" t="s">
        <v>220</v>
      </c>
      <c r="F53" t="s">
        <v>221</v>
      </c>
      <c r="G53" t="s">
        <v>51</v>
      </c>
      <c r="H53" t="s">
        <v>119</v>
      </c>
      <c r="I53" t="s">
        <v>53</v>
      </c>
      <c r="J53" t="s">
        <v>70</v>
      </c>
      <c r="K53">
        <v>652037</v>
      </c>
      <c r="L53" t="s">
        <v>222</v>
      </c>
      <c r="M53" t="s">
        <v>223</v>
      </c>
      <c r="N53" t="s">
        <v>57</v>
      </c>
      <c r="O53" s="1">
        <v>45214</v>
      </c>
      <c r="Q53" s="1">
        <v>45976</v>
      </c>
      <c r="R53" s="2">
        <v>246.44</v>
      </c>
      <c r="S53">
        <v>1</v>
      </c>
      <c r="T53" t="s">
        <v>58</v>
      </c>
      <c r="U53" t="s">
        <v>180</v>
      </c>
      <c r="V53" s="3">
        <v>0.1</v>
      </c>
      <c r="W53" s="2">
        <v>0</v>
      </c>
      <c r="X53">
        <v>0</v>
      </c>
      <c r="Y53" t="s">
        <v>181</v>
      </c>
      <c r="Z53" t="s">
        <v>182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24.64</v>
      </c>
      <c r="AN53" s="2">
        <v>24.64</v>
      </c>
      <c r="AO53" s="2">
        <v>0</v>
      </c>
      <c r="AP53" s="2">
        <v>0</v>
      </c>
      <c r="AQ53" s="2">
        <v>0</v>
      </c>
    </row>
    <row r="54" spans="1:43" x14ac:dyDescent="0.25">
      <c r="A54" s="1">
        <v>45943</v>
      </c>
      <c r="B54" t="s">
        <v>48</v>
      </c>
      <c r="C54">
        <v>649163</v>
      </c>
      <c r="D54">
        <v>2022254779</v>
      </c>
      <c r="E54" t="s">
        <v>224</v>
      </c>
      <c r="F54" t="s">
        <v>192</v>
      </c>
      <c r="G54" t="s">
        <v>51</v>
      </c>
      <c r="H54" t="s">
        <v>225</v>
      </c>
      <c r="I54" t="s">
        <v>53</v>
      </c>
      <c r="J54" t="s">
        <v>75</v>
      </c>
      <c r="K54">
        <v>673059</v>
      </c>
      <c r="L54" t="s">
        <v>55</v>
      </c>
      <c r="M54" t="s">
        <v>56</v>
      </c>
      <c r="N54" t="s">
        <v>57</v>
      </c>
      <c r="O54" s="1">
        <v>45364</v>
      </c>
      <c r="Q54" s="1">
        <v>45974</v>
      </c>
      <c r="R54" s="2">
        <v>150.51</v>
      </c>
      <c r="S54">
        <v>1</v>
      </c>
      <c r="T54" t="s">
        <v>58</v>
      </c>
      <c r="U54" t="s">
        <v>180</v>
      </c>
      <c r="V54" s="3">
        <v>0.1</v>
      </c>
      <c r="W54" s="2">
        <v>0</v>
      </c>
      <c r="X54">
        <v>0</v>
      </c>
      <c r="Y54" t="s">
        <v>181</v>
      </c>
      <c r="Z54" t="s">
        <v>182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15.05</v>
      </c>
      <c r="AN54" s="2">
        <v>15.05</v>
      </c>
      <c r="AO54" s="2">
        <v>0</v>
      </c>
      <c r="AP54" s="2">
        <v>0</v>
      </c>
      <c r="AQ54" s="2">
        <v>0</v>
      </c>
    </row>
    <row r="55" spans="1:43" x14ac:dyDescent="0.25">
      <c r="A55" s="1">
        <v>45943</v>
      </c>
      <c r="B55" t="s">
        <v>48</v>
      </c>
      <c r="C55">
        <v>649163</v>
      </c>
      <c r="D55">
        <v>2024573704</v>
      </c>
      <c r="E55" t="s">
        <v>226</v>
      </c>
      <c r="F55" t="s">
        <v>227</v>
      </c>
      <c r="G55" t="s">
        <v>51</v>
      </c>
      <c r="H55" t="s">
        <v>228</v>
      </c>
      <c r="I55" t="s">
        <v>53</v>
      </c>
      <c r="J55" t="s">
        <v>70</v>
      </c>
      <c r="K55">
        <v>767312</v>
      </c>
      <c r="L55" t="s">
        <v>147</v>
      </c>
      <c r="M55" t="s">
        <v>148</v>
      </c>
      <c r="N55" t="s">
        <v>179</v>
      </c>
      <c r="O55" s="1">
        <v>45536</v>
      </c>
      <c r="P55" s="1">
        <v>45936</v>
      </c>
      <c r="Q55" s="1">
        <v>45962</v>
      </c>
      <c r="R55" s="2">
        <v>-97.58</v>
      </c>
      <c r="S55">
        <v>1</v>
      </c>
      <c r="T55" t="s">
        <v>58</v>
      </c>
      <c r="U55" t="s">
        <v>180</v>
      </c>
      <c r="V55" s="3">
        <v>0.1</v>
      </c>
      <c r="W55" s="2">
        <v>0</v>
      </c>
      <c r="X55">
        <v>-1</v>
      </c>
      <c r="Y55" t="s">
        <v>181</v>
      </c>
      <c r="Z55" t="s">
        <v>182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-9.76</v>
      </c>
      <c r="AN55" s="2">
        <v>-9.76</v>
      </c>
      <c r="AO55" s="2">
        <v>0</v>
      </c>
      <c r="AP55" s="2">
        <v>0</v>
      </c>
      <c r="AQ55" s="2">
        <v>0</v>
      </c>
    </row>
    <row r="56" spans="1:43" x14ac:dyDescent="0.25">
      <c r="A56" s="1">
        <v>45943</v>
      </c>
      <c r="B56" t="s">
        <v>48</v>
      </c>
      <c r="C56">
        <v>649163</v>
      </c>
      <c r="D56">
        <v>2024834573</v>
      </c>
      <c r="E56" t="s">
        <v>229</v>
      </c>
      <c r="F56" t="s">
        <v>194</v>
      </c>
      <c r="G56" t="s">
        <v>51</v>
      </c>
      <c r="H56" t="s">
        <v>102</v>
      </c>
      <c r="I56" t="s">
        <v>53</v>
      </c>
      <c r="J56" t="s">
        <v>70</v>
      </c>
      <c r="K56">
        <v>767312</v>
      </c>
      <c r="L56" t="s">
        <v>147</v>
      </c>
      <c r="M56" t="s">
        <v>148</v>
      </c>
      <c r="N56" t="s">
        <v>57</v>
      </c>
      <c r="O56" s="1">
        <v>45549</v>
      </c>
      <c r="Q56" s="1">
        <v>45975</v>
      </c>
      <c r="R56" s="2">
        <v>41.42</v>
      </c>
      <c r="S56">
        <v>1</v>
      </c>
      <c r="T56" t="s">
        <v>58</v>
      </c>
      <c r="U56" t="s">
        <v>180</v>
      </c>
      <c r="V56" s="3">
        <v>0.1</v>
      </c>
      <c r="W56" s="2">
        <v>0</v>
      </c>
      <c r="X56">
        <v>0</v>
      </c>
      <c r="Y56" t="s">
        <v>181</v>
      </c>
      <c r="Z56" t="s">
        <v>182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4.1399999999999997</v>
      </c>
      <c r="AN56" s="2">
        <v>4.1399999999999997</v>
      </c>
      <c r="AO56" s="2">
        <v>0</v>
      </c>
      <c r="AP56" s="2">
        <v>0</v>
      </c>
      <c r="AQ56" s="2">
        <v>0</v>
      </c>
    </row>
    <row r="57" spans="1:43" x14ac:dyDescent="0.25">
      <c r="A57" s="1">
        <v>45943</v>
      </c>
      <c r="B57" t="s">
        <v>48</v>
      </c>
      <c r="C57">
        <v>649163</v>
      </c>
      <c r="D57">
        <v>2025254892</v>
      </c>
      <c r="E57" t="s">
        <v>230</v>
      </c>
      <c r="F57" t="s">
        <v>231</v>
      </c>
      <c r="G57" t="s">
        <v>51</v>
      </c>
      <c r="H57" t="s">
        <v>130</v>
      </c>
      <c r="I57" t="s">
        <v>53</v>
      </c>
      <c r="J57" t="s">
        <v>232</v>
      </c>
      <c r="K57">
        <v>767312</v>
      </c>
      <c r="L57" t="s">
        <v>147</v>
      </c>
      <c r="M57" t="s">
        <v>148</v>
      </c>
      <c r="N57" t="s">
        <v>57</v>
      </c>
      <c r="O57" s="1">
        <v>45576</v>
      </c>
      <c r="Q57" s="1">
        <v>45972</v>
      </c>
      <c r="R57" s="2">
        <v>48.79</v>
      </c>
      <c r="S57">
        <v>1</v>
      </c>
      <c r="T57" t="s">
        <v>58</v>
      </c>
      <c r="U57" t="s">
        <v>180</v>
      </c>
      <c r="V57" s="3">
        <v>0.1</v>
      </c>
      <c r="W57" s="2">
        <v>0</v>
      </c>
      <c r="X57">
        <v>0</v>
      </c>
      <c r="Y57" t="s">
        <v>181</v>
      </c>
      <c r="Z57" t="s">
        <v>182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4.88</v>
      </c>
      <c r="AN57" s="2">
        <v>4.88</v>
      </c>
      <c r="AO57" s="2">
        <v>0</v>
      </c>
      <c r="AP57" s="2">
        <v>0</v>
      </c>
      <c r="AQ57" s="2">
        <v>0</v>
      </c>
    </row>
    <row r="58" spans="1:43" x14ac:dyDescent="0.25">
      <c r="A58" s="1">
        <v>45943</v>
      </c>
      <c r="B58" t="s">
        <v>48</v>
      </c>
      <c r="C58">
        <v>649163</v>
      </c>
      <c r="D58">
        <v>2025262312</v>
      </c>
      <c r="E58" t="s">
        <v>233</v>
      </c>
      <c r="F58" t="s">
        <v>90</v>
      </c>
      <c r="G58" t="s">
        <v>51</v>
      </c>
      <c r="H58" t="s">
        <v>69</v>
      </c>
      <c r="I58" t="s">
        <v>53</v>
      </c>
      <c r="J58" t="s">
        <v>75</v>
      </c>
      <c r="K58">
        <v>796984</v>
      </c>
      <c r="L58" t="s">
        <v>234</v>
      </c>
      <c r="M58" t="s">
        <v>122</v>
      </c>
      <c r="N58" t="s">
        <v>57</v>
      </c>
      <c r="O58" s="1">
        <v>45576</v>
      </c>
      <c r="Q58" s="1">
        <v>45972</v>
      </c>
      <c r="R58" s="2">
        <v>22.71</v>
      </c>
      <c r="S58">
        <v>1</v>
      </c>
      <c r="T58" t="s">
        <v>58</v>
      </c>
      <c r="U58" t="s">
        <v>180</v>
      </c>
      <c r="V58" s="3">
        <v>0.1</v>
      </c>
      <c r="W58" s="2">
        <v>0</v>
      </c>
      <c r="X58">
        <v>0</v>
      </c>
      <c r="Y58" t="s">
        <v>181</v>
      </c>
      <c r="Z58" t="s">
        <v>182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2.27</v>
      </c>
      <c r="AN58" s="2">
        <v>2.27</v>
      </c>
      <c r="AO58" s="2">
        <v>0</v>
      </c>
      <c r="AP58" s="2">
        <v>0</v>
      </c>
      <c r="AQ58" s="2">
        <v>0</v>
      </c>
    </row>
    <row r="59" spans="1:43" x14ac:dyDescent="0.25">
      <c r="A59" s="1">
        <v>45943</v>
      </c>
      <c r="B59" t="s">
        <v>48</v>
      </c>
      <c r="C59">
        <v>649163</v>
      </c>
      <c r="D59">
        <v>2025287065</v>
      </c>
      <c r="E59" t="s">
        <v>235</v>
      </c>
      <c r="F59" t="s">
        <v>236</v>
      </c>
      <c r="G59" t="s">
        <v>51</v>
      </c>
      <c r="H59" t="s">
        <v>52</v>
      </c>
      <c r="I59" t="s">
        <v>53</v>
      </c>
      <c r="J59" t="s">
        <v>70</v>
      </c>
      <c r="K59">
        <v>767312</v>
      </c>
      <c r="L59" t="s">
        <v>147</v>
      </c>
      <c r="M59" t="s">
        <v>148</v>
      </c>
      <c r="N59" t="s">
        <v>57</v>
      </c>
      <c r="O59" s="1">
        <v>45577</v>
      </c>
      <c r="Q59" s="1">
        <v>45973</v>
      </c>
      <c r="R59" s="2">
        <v>13.92</v>
      </c>
      <c r="S59">
        <v>1</v>
      </c>
      <c r="T59" t="s">
        <v>58</v>
      </c>
      <c r="U59" t="s">
        <v>180</v>
      </c>
      <c r="V59" s="3">
        <v>0.1</v>
      </c>
      <c r="W59" s="2">
        <v>0</v>
      </c>
      <c r="X59">
        <v>0</v>
      </c>
      <c r="Y59" t="s">
        <v>181</v>
      </c>
      <c r="Z59" t="s">
        <v>182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1.39</v>
      </c>
      <c r="AN59" s="2">
        <v>1.39</v>
      </c>
      <c r="AO59" s="2">
        <v>0</v>
      </c>
      <c r="AP59" s="2">
        <v>0</v>
      </c>
      <c r="AQ59" s="2">
        <v>0</v>
      </c>
    </row>
    <row r="60" spans="1:43" x14ac:dyDescent="0.25">
      <c r="A60" s="1">
        <v>45943</v>
      </c>
      <c r="B60" t="s">
        <v>48</v>
      </c>
      <c r="C60">
        <v>649163</v>
      </c>
      <c r="D60">
        <v>2025316510</v>
      </c>
      <c r="E60" t="s">
        <v>237</v>
      </c>
      <c r="F60" t="s">
        <v>238</v>
      </c>
      <c r="G60" t="s">
        <v>51</v>
      </c>
      <c r="H60" t="s">
        <v>219</v>
      </c>
      <c r="I60" t="s">
        <v>53</v>
      </c>
      <c r="J60" t="s">
        <v>70</v>
      </c>
      <c r="K60">
        <v>767312</v>
      </c>
      <c r="L60" t="s">
        <v>147</v>
      </c>
      <c r="M60" t="s">
        <v>148</v>
      </c>
      <c r="N60" t="s">
        <v>57</v>
      </c>
      <c r="O60" s="1">
        <v>45580</v>
      </c>
      <c r="Q60" s="1">
        <v>45976</v>
      </c>
      <c r="R60" s="2">
        <v>19.309999999999999</v>
      </c>
      <c r="S60">
        <v>1</v>
      </c>
      <c r="T60" t="s">
        <v>58</v>
      </c>
      <c r="U60" t="s">
        <v>180</v>
      </c>
      <c r="V60" s="3">
        <v>0.1</v>
      </c>
      <c r="W60" s="2">
        <v>0</v>
      </c>
      <c r="X60">
        <v>0</v>
      </c>
      <c r="Y60" t="s">
        <v>181</v>
      </c>
      <c r="Z60" t="s">
        <v>182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1.93</v>
      </c>
      <c r="AN60" s="2">
        <v>1.93</v>
      </c>
      <c r="AO60" s="2">
        <v>0</v>
      </c>
      <c r="AP60" s="2">
        <v>0</v>
      </c>
      <c r="AQ60" s="2">
        <v>0</v>
      </c>
    </row>
    <row r="61" spans="1:43" x14ac:dyDescent="0.25">
      <c r="A61" s="1">
        <v>45943</v>
      </c>
      <c r="B61" t="s">
        <v>48</v>
      </c>
      <c r="C61">
        <v>649163</v>
      </c>
      <c r="D61">
        <v>2025721592</v>
      </c>
      <c r="E61" t="s">
        <v>239</v>
      </c>
      <c r="F61" t="s">
        <v>194</v>
      </c>
      <c r="G61" t="s">
        <v>51</v>
      </c>
      <c r="H61" t="s">
        <v>69</v>
      </c>
      <c r="I61" t="s">
        <v>53</v>
      </c>
      <c r="J61" t="s">
        <v>75</v>
      </c>
      <c r="K61">
        <v>796984</v>
      </c>
      <c r="L61" t="s">
        <v>234</v>
      </c>
      <c r="M61" t="s">
        <v>122</v>
      </c>
      <c r="N61" t="s">
        <v>57</v>
      </c>
      <c r="O61" s="1">
        <v>45608</v>
      </c>
      <c r="Q61" s="1">
        <v>45973</v>
      </c>
      <c r="R61" s="2">
        <v>56.03</v>
      </c>
      <c r="S61">
        <v>1</v>
      </c>
      <c r="T61" t="s">
        <v>58</v>
      </c>
      <c r="U61" t="s">
        <v>180</v>
      </c>
      <c r="V61" s="3">
        <v>0.65</v>
      </c>
      <c r="W61" s="2">
        <v>0</v>
      </c>
      <c r="X61">
        <v>0</v>
      </c>
      <c r="Y61" t="s">
        <v>60</v>
      </c>
      <c r="Z61" t="s">
        <v>182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36.42</v>
      </c>
      <c r="AN61" s="2">
        <v>36.42</v>
      </c>
      <c r="AO61" s="2">
        <v>0</v>
      </c>
      <c r="AP61" s="2">
        <v>0</v>
      </c>
      <c r="AQ61" s="2">
        <v>0</v>
      </c>
    </row>
    <row r="62" spans="1:43" x14ac:dyDescent="0.25">
      <c r="A62" s="1">
        <v>45943</v>
      </c>
      <c r="B62" t="s">
        <v>48</v>
      </c>
      <c r="C62">
        <v>649163</v>
      </c>
      <c r="D62">
        <v>2025727309</v>
      </c>
      <c r="E62" t="s">
        <v>240</v>
      </c>
      <c r="F62" t="s">
        <v>241</v>
      </c>
      <c r="G62" t="s">
        <v>51</v>
      </c>
      <c r="H62" t="s">
        <v>69</v>
      </c>
      <c r="I62" t="s">
        <v>53</v>
      </c>
      <c r="J62" t="s">
        <v>75</v>
      </c>
      <c r="K62">
        <v>796984</v>
      </c>
      <c r="L62" t="s">
        <v>234</v>
      </c>
      <c r="M62" t="s">
        <v>122</v>
      </c>
      <c r="N62" t="s">
        <v>57</v>
      </c>
      <c r="O62" s="1">
        <v>45608</v>
      </c>
      <c r="Q62" s="1">
        <v>45973</v>
      </c>
      <c r="R62" s="2">
        <v>42.13</v>
      </c>
      <c r="S62">
        <v>1</v>
      </c>
      <c r="T62" t="s">
        <v>58</v>
      </c>
      <c r="U62" t="s">
        <v>180</v>
      </c>
      <c r="V62" s="3">
        <v>0.65</v>
      </c>
      <c r="W62" s="2">
        <v>0</v>
      </c>
      <c r="X62">
        <v>0</v>
      </c>
      <c r="Y62" t="s">
        <v>60</v>
      </c>
      <c r="Z62" t="s">
        <v>182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27.38</v>
      </c>
      <c r="AN62" s="2">
        <v>27.38</v>
      </c>
      <c r="AO62" s="2">
        <v>0</v>
      </c>
      <c r="AP62" s="2">
        <v>0</v>
      </c>
      <c r="AQ62" s="2">
        <v>0</v>
      </c>
    </row>
    <row r="63" spans="1:43" x14ac:dyDescent="0.25">
      <c r="A63" s="1">
        <v>45943</v>
      </c>
      <c r="B63" t="s">
        <v>48</v>
      </c>
      <c r="C63">
        <v>649163</v>
      </c>
      <c r="D63">
        <v>2026061218</v>
      </c>
      <c r="E63" t="s">
        <v>242</v>
      </c>
      <c r="F63" t="s">
        <v>209</v>
      </c>
      <c r="G63" t="s">
        <v>51</v>
      </c>
      <c r="H63" t="s">
        <v>69</v>
      </c>
      <c r="I63" t="s">
        <v>53</v>
      </c>
      <c r="J63" t="s">
        <v>75</v>
      </c>
      <c r="K63">
        <v>796984</v>
      </c>
      <c r="L63" t="s">
        <v>234</v>
      </c>
      <c r="M63" t="s">
        <v>122</v>
      </c>
      <c r="N63" t="s">
        <v>57</v>
      </c>
      <c r="O63" s="1">
        <v>45641</v>
      </c>
      <c r="Q63" s="1">
        <v>45976</v>
      </c>
      <c r="R63" s="2">
        <v>37.130000000000003</v>
      </c>
      <c r="S63">
        <v>1</v>
      </c>
      <c r="T63" t="s">
        <v>58</v>
      </c>
      <c r="U63" t="s">
        <v>180</v>
      </c>
      <c r="V63" s="3">
        <v>0.65</v>
      </c>
      <c r="W63" s="2">
        <v>0</v>
      </c>
      <c r="X63">
        <v>0</v>
      </c>
      <c r="Y63" t="s">
        <v>60</v>
      </c>
      <c r="Z63" t="s">
        <v>182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24.13</v>
      </c>
      <c r="AN63" s="2">
        <v>24.13</v>
      </c>
      <c r="AO63" s="2">
        <v>0</v>
      </c>
      <c r="AP63" s="2">
        <v>0</v>
      </c>
      <c r="AQ63" s="2">
        <v>0</v>
      </c>
    </row>
    <row r="64" spans="1:43" x14ac:dyDescent="0.25">
      <c r="A64" s="1">
        <v>45943</v>
      </c>
      <c r="B64" t="s">
        <v>48</v>
      </c>
      <c r="C64">
        <v>649163</v>
      </c>
      <c r="D64">
        <v>2026111642</v>
      </c>
      <c r="E64" t="s">
        <v>243</v>
      </c>
      <c r="F64" t="s">
        <v>244</v>
      </c>
      <c r="G64" t="s">
        <v>51</v>
      </c>
      <c r="H64" t="s">
        <v>69</v>
      </c>
      <c r="I64" t="s">
        <v>53</v>
      </c>
      <c r="J64" t="s">
        <v>75</v>
      </c>
      <c r="K64">
        <v>796984</v>
      </c>
      <c r="L64" t="s">
        <v>234</v>
      </c>
      <c r="M64" t="s">
        <v>122</v>
      </c>
      <c r="N64" t="s">
        <v>57</v>
      </c>
      <c r="O64" s="1">
        <v>45641</v>
      </c>
      <c r="Q64" s="1">
        <v>45976</v>
      </c>
      <c r="R64" s="2">
        <v>58.48</v>
      </c>
      <c r="S64">
        <v>1</v>
      </c>
      <c r="T64" t="s">
        <v>58</v>
      </c>
      <c r="U64" t="s">
        <v>180</v>
      </c>
      <c r="V64" s="3">
        <v>0.65</v>
      </c>
      <c r="W64" s="2">
        <v>0</v>
      </c>
      <c r="X64">
        <v>0</v>
      </c>
      <c r="Y64" t="s">
        <v>60</v>
      </c>
      <c r="Z64" t="s">
        <v>182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38.01</v>
      </c>
      <c r="AN64" s="2">
        <v>38.01</v>
      </c>
      <c r="AO64" s="2">
        <v>0</v>
      </c>
      <c r="AP64" s="2">
        <v>0</v>
      </c>
      <c r="AQ64" s="2">
        <v>0</v>
      </c>
    </row>
    <row r="65" spans="1:43" x14ac:dyDescent="0.25">
      <c r="A65" s="1">
        <v>45943</v>
      </c>
      <c r="B65" t="s">
        <v>48</v>
      </c>
      <c r="C65">
        <v>649163</v>
      </c>
      <c r="D65">
        <v>2026133999</v>
      </c>
      <c r="E65" t="s">
        <v>234</v>
      </c>
      <c r="F65" t="s">
        <v>245</v>
      </c>
      <c r="G65" t="s">
        <v>51</v>
      </c>
      <c r="H65" t="s">
        <v>69</v>
      </c>
      <c r="I65" t="s">
        <v>53</v>
      </c>
      <c r="J65" t="s">
        <v>75</v>
      </c>
      <c r="K65">
        <v>816021</v>
      </c>
      <c r="L65" t="s">
        <v>71</v>
      </c>
      <c r="M65" t="s">
        <v>72</v>
      </c>
      <c r="N65" t="s">
        <v>57</v>
      </c>
      <c r="O65" s="1">
        <v>45638</v>
      </c>
      <c r="Q65" s="1">
        <v>45973</v>
      </c>
      <c r="R65" s="2">
        <v>100.33</v>
      </c>
      <c r="S65">
        <v>1</v>
      </c>
      <c r="T65" t="s">
        <v>58</v>
      </c>
      <c r="U65" t="s">
        <v>180</v>
      </c>
      <c r="V65" s="3">
        <v>0.65</v>
      </c>
      <c r="W65" s="2">
        <v>0</v>
      </c>
      <c r="X65">
        <v>0</v>
      </c>
      <c r="Y65" t="s">
        <v>60</v>
      </c>
      <c r="Z65" t="s">
        <v>182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65.209999999999994</v>
      </c>
      <c r="AN65" s="2">
        <v>65.209999999999994</v>
      </c>
      <c r="AO65" s="2">
        <v>0</v>
      </c>
      <c r="AP65" s="2">
        <v>0</v>
      </c>
      <c r="AQ65" s="2">
        <v>0</v>
      </c>
    </row>
    <row r="66" spans="1:43" x14ac:dyDescent="0.25">
      <c r="A66" s="1">
        <v>45943</v>
      </c>
      <c r="B66" t="s">
        <v>48</v>
      </c>
      <c r="C66">
        <v>649163</v>
      </c>
      <c r="D66">
        <v>2026180758</v>
      </c>
      <c r="E66" t="s">
        <v>246</v>
      </c>
      <c r="F66" t="s">
        <v>247</v>
      </c>
      <c r="G66" t="s">
        <v>51</v>
      </c>
      <c r="H66" t="s">
        <v>69</v>
      </c>
      <c r="I66" t="s">
        <v>53</v>
      </c>
      <c r="J66" t="s">
        <v>75</v>
      </c>
      <c r="K66">
        <v>816021</v>
      </c>
      <c r="L66" t="s">
        <v>71</v>
      </c>
      <c r="M66" t="s">
        <v>72</v>
      </c>
      <c r="N66" t="s">
        <v>57</v>
      </c>
      <c r="O66" s="1">
        <v>45641</v>
      </c>
      <c r="Q66" s="1">
        <v>45976</v>
      </c>
      <c r="R66" s="2">
        <v>18.7</v>
      </c>
      <c r="S66">
        <v>1</v>
      </c>
      <c r="T66" t="s">
        <v>58</v>
      </c>
      <c r="U66" t="s">
        <v>180</v>
      </c>
      <c r="V66" s="3">
        <v>0.65</v>
      </c>
      <c r="W66" s="2">
        <v>0</v>
      </c>
      <c r="X66">
        <v>0</v>
      </c>
      <c r="Y66" t="s">
        <v>60</v>
      </c>
      <c r="Z66" t="s">
        <v>182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12.16</v>
      </c>
      <c r="AN66" s="2">
        <v>12.16</v>
      </c>
      <c r="AO66" s="2">
        <v>0</v>
      </c>
      <c r="AP66" s="2">
        <v>0</v>
      </c>
      <c r="AQ66" s="2">
        <v>0</v>
      </c>
    </row>
    <row r="67" spans="1:43" x14ac:dyDescent="0.25">
      <c r="A67" s="1">
        <v>45943</v>
      </c>
      <c r="B67" t="s">
        <v>48</v>
      </c>
      <c r="C67">
        <v>649163</v>
      </c>
      <c r="D67">
        <v>2026184418</v>
      </c>
      <c r="E67" t="s">
        <v>248</v>
      </c>
      <c r="F67" t="s">
        <v>249</v>
      </c>
      <c r="G67" t="s">
        <v>51</v>
      </c>
      <c r="H67" t="s">
        <v>69</v>
      </c>
      <c r="I67" t="s">
        <v>53</v>
      </c>
      <c r="J67" t="s">
        <v>75</v>
      </c>
      <c r="K67">
        <v>816021</v>
      </c>
      <c r="L67" t="s">
        <v>71</v>
      </c>
      <c r="M67" t="s">
        <v>72</v>
      </c>
      <c r="N67" t="s">
        <v>57</v>
      </c>
      <c r="O67" s="1">
        <v>45641</v>
      </c>
      <c r="Q67" s="1">
        <v>45976</v>
      </c>
      <c r="R67" s="2">
        <v>45.51</v>
      </c>
      <c r="S67">
        <v>1</v>
      </c>
      <c r="T67" t="s">
        <v>58</v>
      </c>
      <c r="U67" t="s">
        <v>180</v>
      </c>
      <c r="V67" s="3">
        <v>0.65</v>
      </c>
      <c r="W67" s="2">
        <v>0</v>
      </c>
      <c r="X67">
        <v>0</v>
      </c>
      <c r="Y67" t="s">
        <v>60</v>
      </c>
      <c r="Z67" t="s">
        <v>182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29.58</v>
      </c>
      <c r="AN67" s="2">
        <v>29.58</v>
      </c>
      <c r="AO67" s="2">
        <v>0</v>
      </c>
      <c r="AP67" s="2">
        <v>0</v>
      </c>
      <c r="AQ67" s="2">
        <v>0</v>
      </c>
    </row>
    <row r="68" spans="1:43" x14ac:dyDescent="0.25">
      <c r="A68" s="1">
        <v>45943</v>
      </c>
      <c r="B68" t="s">
        <v>48</v>
      </c>
      <c r="C68">
        <v>649163</v>
      </c>
      <c r="D68">
        <v>2026581911</v>
      </c>
      <c r="E68" t="s">
        <v>250</v>
      </c>
      <c r="F68" t="s">
        <v>251</v>
      </c>
      <c r="G68" t="s">
        <v>51</v>
      </c>
      <c r="H68" t="s">
        <v>91</v>
      </c>
      <c r="I68" t="s">
        <v>53</v>
      </c>
      <c r="J68" t="s">
        <v>70</v>
      </c>
      <c r="K68">
        <v>767312</v>
      </c>
      <c r="L68" t="s">
        <v>147</v>
      </c>
      <c r="M68" t="s">
        <v>148</v>
      </c>
      <c r="N68" t="s">
        <v>57</v>
      </c>
      <c r="O68" s="1">
        <v>45672</v>
      </c>
      <c r="Q68" s="1">
        <v>45976</v>
      </c>
      <c r="R68" s="2">
        <v>76.959999999999994</v>
      </c>
      <c r="S68">
        <v>1</v>
      </c>
      <c r="T68" t="s">
        <v>58</v>
      </c>
      <c r="U68" t="s">
        <v>180</v>
      </c>
      <c r="V68" s="3">
        <v>0.9</v>
      </c>
      <c r="W68" s="2">
        <v>0</v>
      </c>
      <c r="X68">
        <v>0</v>
      </c>
      <c r="Y68" t="s">
        <v>60</v>
      </c>
      <c r="Z68" t="s">
        <v>182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69.260000000000005</v>
      </c>
      <c r="AN68" s="2">
        <v>69.260000000000005</v>
      </c>
      <c r="AO68" s="2">
        <v>0</v>
      </c>
      <c r="AP68" s="2">
        <v>0</v>
      </c>
      <c r="AQ68" s="2">
        <v>0</v>
      </c>
    </row>
    <row r="69" spans="1:43" x14ac:dyDescent="0.25">
      <c r="A69" s="1">
        <v>45943</v>
      </c>
      <c r="B69" t="s">
        <v>48</v>
      </c>
      <c r="C69">
        <v>649163</v>
      </c>
      <c r="D69">
        <v>2026617754</v>
      </c>
      <c r="E69" t="s">
        <v>250</v>
      </c>
      <c r="F69" t="s">
        <v>148</v>
      </c>
      <c r="G69" t="s">
        <v>51</v>
      </c>
      <c r="H69" t="s">
        <v>91</v>
      </c>
      <c r="I69" t="s">
        <v>53</v>
      </c>
      <c r="J69" t="s">
        <v>70</v>
      </c>
      <c r="K69">
        <v>767312</v>
      </c>
      <c r="L69" t="s">
        <v>147</v>
      </c>
      <c r="M69" t="s">
        <v>148</v>
      </c>
      <c r="N69" t="s">
        <v>57</v>
      </c>
      <c r="O69" s="1">
        <v>45673</v>
      </c>
      <c r="Q69" s="1">
        <v>45977</v>
      </c>
      <c r="R69" s="2">
        <v>72.290000000000006</v>
      </c>
      <c r="S69">
        <v>1</v>
      </c>
      <c r="T69" t="s">
        <v>58</v>
      </c>
      <c r="U69" t="s">
        <v>180</v>
      </c>
      <c r="V69" s="3">
        <v>0.9</v>
      </c>
      <c r="W69" s="2">
        <v>0</v>
      </c>
      <c r="X69">
        <v>0</v>
      </c>
      <c r="Y69" t="s">
        <v>60</v>
      </c>
      <c r="Z69" t="s">
        <v>182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65.06</v>
      </c>
      <c r="AN69" s="2">
        <v>65.06</v>
      </c>
      <c r="AO69" s="2">
        <v>0</v>
      </c>
      <c r="AP69" s="2">
        <v>0</v>
      </c>
      <c r="AQ69" s="2">
        <v>0</v>
      </c>
    </row>
    <row r="70" spans="1:43" x14ac:dyDescent="0.25">
      <c r="A70" s="1">
        <v>45943</v>
      </c>
      <c r="B70" t="s">
        <v>48</v>
      </c>
      <c r="C70">
        <v>649163</v>
      </c>
      <c r="D70">
        <v>2027038281</v>
      </c>
      <c r="E70" t="s">
        <v>252</v>
      </c>
      <c r="F70" t="s">
        <v>253</v>
      </c>
      <c r="G70" t="s">
        <v>51</v>
      </c>
      <c r="H70" t="s">
        <v>69</v>
      </c>
      <c r="I70" t="s">
        <v>53</v>
      </c>
      <c r="J70" t="s">
        <v>75</v>
      </c>
      <c r="K70">
        <v>816021</v>
      </c>
      <c r="L70" t="s">
        <v>71</v>
      </c>
      <c r="M70" t="s">
        <v>72</v>
      </c>
      <c r="N70" t="s">
        <v>57</v>
      </c>
      <c r="O70" s="1">
        <v>45699</v>
      </c>
      <c r="Q70" s="1">
        <v>45972</v>
      </c>
      <c r="R70" s="2">
        <v>48.33</v>
      </c>
      <c r="S70">
        <v>1</v>
      </c>
      <c r="T70" t="s">
        <v>58</v>
      </c>
      <c r="U70" t="s">
        <v>180</v>
      </c>
      <c r="V70" s="3">
        <v>0.65</v>
      </c>
      <c r="W70" s="2">
        <v>0</v>
      </c>
      <c r="X70">
        <v>0</v>
      </c>
      <c r="Y70" t="s">
        <v>60</v>
      </c>
      <c r="Z70" t="s">
        <v>182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31.41</v>
      </c>
      <c r="AN70" s="2">
        <v>31.41</v>
      </c>
      <c r="AO70" s="2">
        <v>0</v>
      </c>
      <c r="AP70" s="2">
        <v>0</v>
      </c>
      <c r="AQ70" s="2">
        <v>0</v>
      </c>
    </row>
    <row r="71" spans="1:43" x14ac:dyDescent="0.25">
      <c r="A71" s="1">
        <v>45943</v>
      </c>
      <c r="B71" t="s">
        <v>48</v>
      </c>
      <c r="C71">
        <v>649163</v>
      </c>
      <c r="D71">
        <v>2027064141</v>
      </c>
      <c r="E71" t="s">
        <v>254</v>
      </c>
      <c r="F71" t="s">
        <v>56</v>
      </c>
      <c r="G71" t="s">
        <v>51</v>
      </c>
      <c r="H71" t="s">
        <v>219</v>
      </c>
      <c r="I71" t="s">
        <v>53</v>
      </c>
      <c r="J71" t="s">
        <v>232</v>
      </c>
      <c r="K71">
        <v>673059</v>
      </c>
      <c r="L71" t="s">
        <v>55</v>
      </c>
      <c r="M71" t="s">
        <v>56</v>
      </c>
      <c r="N71" t="s">
        <v>57</v>
      </c>
      <c r="O71" s="1">
        <v>45700</v>
      </c>
      <c r="Q71" s="1">
        <v>45973</v>
      </c>
      <c r="R71" s="2">
        <v>94.38</v>
      </c>
      <c r="S71">
        <v>1</v>
      </c>
      <c r="T71" t="s">
        <v>58</v>
      </c>
      <c r="U71" t="s">
        <v>180</v>
      </c>
      <c r="V71" s="3">
        <v>0.75</v>
      </c>
      <c r="W71" s="2">
        <v>0</v>
      </c>
      <c r="X71">
        <v>0</v>
      </c>
      <c r="Y71" t="s">
        <v>60</v>
      </c>
      <c r="Z71" t="s">
        <v>182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70.78</v>
      </c>
      <c r="AN71" s="2">
        <v>70.78</v>
      </c>
      <c r="AO71" s="2">
        <v>0</v>
      </c>
      <c r="AP71" s="2">
        <v>0</v>
      </c>
      <c r="AQ71" s="2">
        <v>0</v>
      </c>
    </row>
    <row r="72" spans="1:43" x14ac:dyDescent="0.25">
      <c r="A72" s="1">
        <v>45943</v>
      </c>
      <c r="B72" t="s">
        <v>48</v>
      </c>
      <c r="C72">
        <v>649163</v>
      </c>
      <c r="D72">
        <v>2027115500</v>
      </c>
      <c r="E72" t="s">
        <v>255</v>
      </c>
      <c r="F72" t="s">
        <v>256</v>
      </c>
      <c r="G72" t="s">
        <v>51</v>
      </c>
      <c r="H72" t="s">
        <v>78</v>
      </c>
      <c r="I72" t="s">
        <v>53</v>
      </c>
      <c r="J72" t="s">
        <v>70</v>
      </c>
      <c r="K72">
        <v>768887</v>
      </c>
      <c r="L72" t="s">
        <v>139</v>
      </c>
      <c r="M72" t="s">
        <v>140</v>
      </c>
      <c r="N72" t="s">
        <v>57</v>
      </c>
      <c r="O72" s="1">
        <v>45703</v>
      </c>
      <c r="Q72" s="1">
        <v>45976</v>
      </c>
      <c r="R72" s="2">
        <v>13.92</v>
      </c>
      <c r="S72">
        <v>1</v>
      </c>
      <c r="T72" t="s">
        <v>58</v>
      </c>
      <c r="U72" t="s">
        <v>180</v>
      </c>
      <c r="V72" s="3">
        <v>0.9</v>
      </c>
      <c r="W72" s="2">
        <v>0</v>
      </c>
      <c r="X72">
        <v>0</v>
      </c>
      <c r="Y72" t="s">
        <v>60</v>
      </c>
      <c r="Z72" t="s">
        <v>182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12.53</v>
      </c>
      <c r="AN72" s="2">
        <v>12.53</v>
      </c>
      <c r="AO72" s="2">
        <v>0</v>
      </c>
      <c r="AP72" s="2">
        <v>0</v>
      </c>
      <c r="AQ72" s="2">
        <v>0</v>
      </c>
    </row>
    <row r="73" spans="1:43" x14ac:dyDescent="0.25">
      <c r="A73" s="1">
        <v>45943</v>
      </c>
      <c r="B73" t="s">
        <v>48</v>
      </c>
      <c r="C73">
        <v>649163</v>
      </c>
      <c r="D73">
        <v>2028219139</v>
      </c>
      <c r="E73" t="s">
        <v>257</v>
      </c>
      <c r="F73" t="s">
        <v>258</v>
      </c>
      <c r="G73" t="s">
        <v>51</v>
      </c>
      <c r="H73" t="s">
        <v>91</v>
      </c>
      <c r="I73" t="s">
        <v>53</v>
      </c>
      <c r="J73" t="s">
        <v>70</v>
      </c>
      <c r="K73">
        <v>753748</v>
      </c>
      <c r="L73" t="s">
        <v>168</v>
      </c>
      <c r="M73" t="s">
        <v>169</v>
      </c>
      <c r="N73" t="s">
        <v>57</v>
      </c>
      <c r="O73" s="1">
        <v>45790</v>
      </c>
      <c r="Q73" s="1">
        <v>45974</v>
      </c>
      <c r="R73" s="2">
        <v>234.5</v>
      </c>
      <c r="S73">
        <v>1</v>
      </c>
      <c r="T73" t="s">
        <v>58</v>
      </c>
      <c r="U73" t="s">
        <v>180</v>
      </c>
      <c r="V73" s="3">
        <v>0.9</v>
      </c>
      <c r="W73" s="2">
        <v>0</v>
      </c>
      <c r="X73">
        <v>0</v>
      </c>
      <c r="Y73" t="s">
        <v>60</v>
      </c>
      <c r="Z73" t="s">
        <v>182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211.05</v>
      </c>
      <c r="AN73" s="2">
        <v>211.05</v>
      </c>
      <c r="AO73" s="2">
        <v>0</v>
      </c>
      <c r="AP73" s="2">
        <v>0</v>
      </c>
      <c r="AQ73" s="2">
        <v>0</v>
      </c>
    </row>
    <row r="74" spans="1:43" x14ac:dyDescent="0.25">
      <c r="A74" s="1">
        <v>45943</v>
      </c>
      <c r="B74" t="s">
        <v>48</v>
      </c>
      <c r="C74">
        <v>649163</v>
      </c>
      <c r="D74">
        <v>2028303459</v>
      </c>
      <c r="E74" t="s">
        <v>212</v>
      </c>
      <c r="F74" t="s">
        <v>259</v>
      </c>
      <c r="G74" t="s">
        <v>51</v>
      </c>
      <c r="H74" t="s">
        <v>185</v>
      </c>
      <c r="I74" t="s">
        <v>53</v>
      </c>
      <c r="J74" t="s">
        <v>232</v>
      </c>
      <c r="K74">
        <v>651818</v>
      </c>
      <c r="L74" t="s">
        <v>260</v>
      </c>
      <c r="M74" t="s">
        <v>261</v>
      </c>
      <c r="N74" t="s">
        <v>57</v>
      </c>
      <c r="O74" s="1">
        <v>45762</v>
      </c>
      <c r="Q74" s="1">
        <v>45976</v>
      </c>
      <c r="R74" s="2">
        <v>132.5</v>
      </c>
      <c r="S74">
        <v>1</v>
      </c>
      <c r="T74" t="s">
        <v>58</v>
      </c>
      <c r="U74" t="s">
        <v>180</v>
      </c>
      <c r="V74" s="3">
        <v>0.75</v>
      </c>
      <c r="W74" s="2">
        <v>0</v>
      </c>
      <c r="X74">
        <v>0</v>
      </c>
      <c r="Y74" t="s">
        <v>60</v>
      </c>
      <c r="Z74" t="s">
        <v>182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99.38</v>
      </c>
      <c r="AN74" s="2">
        <v>99.38</v>
      </c>
      <c r="AO74" s="2">
        <v>0</v>
      </c>
      <c r="AP74" s="2">
        <v>0</v>
      </c>
      <c r="AQ74" s="2">
        <v>0</v>
      </c>
    </row>
    <row r="75" spans="1:43" x14ac:dyDescent="0.25">
      <c r="A75" s="1">
        <v>45943</v>
      </c>
      <c r="B75" t="s">
        <v>48</v>
      </c>
      <c r="C75">
        <v>649163</v>
      </c>
      <c r="D75">
        <v>2028367117</v>
      </c>
      <c r="E75" t="s">
        <v>262</v>
      </c>
      <c r="F75" t="s">
        <v>263</v>
      </c>
      <c r="G75" t="s">
        <v>51</v>
      </c>
      <c r="H75" t="s">
        <v>52</v>
      </c>
      <c r="I75" t="s">
        <v>53</v>
      </c>
      <c r="J75" t="s">
        <v>70</v>
      </c>
      <c r="K75">
        <v>673059</v>
      </c>
      <c r="L75" t="s">
        <v>55</v>
      </c>
      <c r="M75" t="s">
        <v>56</v>
      </c>
      <c r="N75" t="s">
        <v>57</v>
      </c>
      <c r="O75" s="1">
        <v>45759</v>
      </c>
      <c r="Q75" s="1">
        <v>45973</v>
      </c>
      <c r="R75" s="2">
        <v>27.71</v>
      </c>
      <c r="S75">
        <v>1</v>
      </c>
      <c r="T75" t="s">
        <v>58</v>
      </c>
      <c r="U75" t="s">
        <v>180</v>
      </c>
      <c r="V75" s="3">
        <v>0.9</v>
      </c>
      <c r="W75" s="2">
        <v>0</v>
      </c>
      <c r="X75">
        <v>0</v>
      </c>
      <c r="Y75" t="s">
        <v>60</v>
      </c>
      <c r="Z75" t="s">
        <v>182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24.94</v>
      </c>
      <c r="AN75" s="2">
        <v>24.94</v>
      </c>
      <c r="AO75" s="2">
        <v>0</v>
      </c>
      <c r="AP75" s="2">
        <v>0</v>
      </c>
      <c r="AQ75" s="2">
        <v>0</v>
      </c>
    </row>
    <row r="76" spans="1:43" x14ac:dyDescent="0.25">
      <c r="A76" s="1">
        <v>45943</v>
      </c>
      <c r="B76" t="s">
        <v>48</v>
      </c>
      <c r="C76">
        <v>649163</v>
      </c>
      <c r="D76">
        <v>2028379894</v>
      </c>
      <c r="E76" t="s">
        <v>264</v>
      </c>
      <c r="F76" t="s">
        <v>265</v>
      </c>
      <c r="G76" t="s">
        <v>51</v>
      </c>
      <c r="H76" t="s">
        <v>91</v>
      </c>
      <c r="I76" t="s">
        <v>53</v>
      </c>
      <c r="J76" t="s">
        <v>232</v>
      </c>
      <c r="K76">
        <v>822865</v>
      </c>
      <c r="L76" t="s">
        <v>266</v>
      </c>
      <c r="M76" t="s">
        <v>267</v>
      </c>
      <c r="N76" t="s">
        <v>57</v>
      </c>
      <c r="O76" s="1">
        <v>45760</v>
      </c>
      <c r="Q76" s="1">
        <v>45974</v>
      </c>
      <c r="R76" s="2">
        <v>81.099999999999994</v>
      </c>
      <c r="S76">
        <v>1</v>
      </c>
      <c r="T76" t="s">
        <v>58</v>
      </c>
      <c r="U76" t="s">
        <v>180</v>
      </c>
      <c r="V76" s="3">
        <v>0.75</v>
      </c>
      <c r="W76" s="2">
        <v>0</v>
      </c>
      <c r="X76">
        <v>0</v>
      </c>
      <c r="Y76" t="s">
        <v>60</v>
      </c>
      <c r="Z76" t="s">
        <v>182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60.82</v>
      </c>
      <c r="AN76" s="2">
        <v>60.82</v>
      </c>
      <c r="AO76" s="2">
        <v>0</v>
      </c>
      <c r="AP76" s="2">
        <v>0</v>
      </c>
      <c r="AQ76" s="2">
        <v>0</v>
      </c>
    </row>
    <row r="77" spans="1:43" x14ac:dyDescent="0.25">
      <c r="A77" s="1">
        <v>45943</v>
      </c>
      <c r="B77" t="s">
        <v>48</v>
      </c>
      <c r="C77">
        <v>649163</v>
      </c>
      <c r="D77">
        <v>2028935096</v>
      </c>
      <c r="E77" t="s">
        <v>268</v>
      </c>
      <c r="F77" t="s">
        <v>269</v>
      </c>
      <c r="G77" t="s">
        <v>51</v>
      </c>
      <c r="H77" t="s">
        <v>225</v>
      </c>
      <c r="I77" t="s">
        <v>53</v>
      </c>
      <c r="J77" t="s">
        <v>54</v>
      </c>
      <c r="K77">
        <v>821015</v>
      </c>
      <c r="L77" t="s">
        <v>135</v>
      </c>
      <c r="M77" t="s">
        <v>136</v>
      </c>
      <c r="N77" t="s">
        <v>57</v>
      </c>
      <c r="O77" s="1">
        <v>45792</v>
      </c>
      <c r="Q77" s="1">
        <v>45976</v>
      </c>
      <c r="R77" s="2">
        <v>50.98</v>
      </c>
      <c r="S77">
        <v>1</v>
      </c>
      <c r="T77" t="s">
        <v>58</v>
      </c>
      <c r="U77" t="s">
        <v>180</v>
      </c>
      <c r="V77" s="3">
        <v>0.75</v>
      </c>
      <c r="W77" s="2">
        <v>0</v>
      </c>
      <c r="X77">
        <v>0</v>
      </c>
      <c r="Y77" t="s">
        <v>60</v>
      </c>
      <c r="Z77" t="s">
        <v>182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38.24</v>
      </c>
      <c r="AN77" s="2">
        <v>38.24</v>
      </c>
      <c r="AO77" s="2">
        <v>0</v>
      </c>
      <c r="AP77" s="2">
        <v>0</v>
      </c>
      <c r="AQ77" s="2">
        <v>0</v>
      </c>
    </row>
    <row r="78" spans="1:43" x14ac:dyDescent="0.25">
      <c r="A78" s="1">
        <v>45943</v>
      </c>
      <c r="B78" t="s">
        <v>48</v>
      </c>
      <c r="C78">
        <v>649163</v>
      </c>
      <c r="D78">
        <v>2028941656</v>
      </c>
      <c r="E78" t="s">
        <v>270</v>
      </c>
      <c r="F78" t="s">
        <v>271</v>
      </c>
      <c r="G78" t="s">
        <v>51</v>
      </c>
      <c r="H78" t="s">
        <v>272</v>
      </c>
      <c r="I78" t="s">
        <v>53</v>
      </c>
      <c r="J78" t="s">
        <v>70</v>
      </c>
      <c r="K78">
        <v>822723</v>
      </c>
      <c r="L78" t="s">
        <v>273</v>
      </c>
      <c r="M78" t="s">
        <v>274</v>
      </c>
      <c r="N78" t="s">
        <v>57</v>
      </c>
      <c r="O78" s="1">
        <v>45792</v>
      </c>
      <c r="Q78" s="1">
        <v>45976</v>
      </c>
      <c r="R78" s="2">
        <v>143.63</v>
      </c>
      <c r="S78">
        <v>1</v>
      </c>
      <c r="T78" t="s">
        <v>58</v>
      </c>
      <c r="U78" t="s">
        <v>180</v>
      </c>
      <c r="V78" s="3">
        <v>0.9</v>
      </c>
      <c r="W78" s="2">
        <v>0</v>
      </c>
      <c r="X78">
        <v>0</v>
      </c>
      <c r="Y78" t="s">
        <v>60</v>
      </c>
      <c r="Z78" t="s">
        <v>182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129.27000000000001</v>
      </c>
      <c r="AN78" s="2">
        <v>129.27000000000001</v>
      </c>
      <c r="AO78" s="2">
        <v>0</v>
      </c>
      <c r="AP78" s="2">
        <v>0</v>
      </c>
      <c r="AQ78" s="2">
        <v>0</v>
      </c>
    </row>
    <row r="79" spans="1:43" x14ac:dyDescent="0.25">
      <c r="A79" s="1">
        <v>45943</v>
      </c>
      <c r="B79" t="s">
        <v>48</v>
      </c>
      <c r="C79">
        <v>649163</v>
      </c>
      <c r="D79">
        <v>2028958358</v>
      </c>
      <c r="E79" t="s">
        <v>275</v>
      </c>
      <c r="F79" t="s">
        <v>276</v>
      </c>
      <c r="G79" t="s">
        <v>51</v>
      </c>
      <c r="H79" t="s">
        <v>78</v>
      </c>
      <c r="I79" t="s">
        <v>53</v>
      </c>
      <c r="J79" t="s">
        <v>70</v>
      </c>
      <c r="K79">
        <v>673059</v>
      </c>
      <c r="L79" t="s">
        <v>55</v>
      </c>
      <c r="M79" t="s">
        <v>56</v>
      </c>
      <c r="N79" t="s">
        <v>57</v>
      </c>
      <c r="O79" s="1">
        <v>45793</v>
      </c>
      <c r="Q79" s="1">
        <v>45977</v>
      </c>
      <c r="R79" s="2">
        <v>50.96</v>
      </c>
      <c r="S79">
        <v>1</v>
      </c>
      <c r="T79" t="s">
        <v>58</v>
      </c>
      <c r="U79" t="s">
        <v>180</v>
      </c>
      <c r="V79" s="3">
        <v>0.9</v>
      </c>
      <c r="W79" s="2">
        <v>0</v>
      </c>
      <c r="X79">
        <v>0</v>
      </c>
      <c r="Y79" t="s">
        <v>60</v>
      </c>
      <c r="Z79" t="s">
        <v>182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45.86</v>
      </c>
      <c r="AN79" s="2">
        <v>45.86</v>
      </c>
      <c r="AO79" s="2">
        <v>0</v>
      </c>
      <c r="AP79" s="2">
        <v>0</v>
      </c>
      <c r="AQ79" s="2">
        <v>0</v>
      </c>
    </row>
    <row r="80" spans="1:43" x14ac:dyDescent="0.25">
      <c r="A80" s="1">
        <v>45943</v>
      </c>
      <c r="B80" t="s">
        <v>48</v>
      </c>
      <c r="C80">
        <v>649163</v>
      </c>
      <c r="D80">
        <v>2028965775</v>
      </c>
      <c r="E80" t="s">
        <v>277</v>
      </c>
      <c r="F80" t="s">
        <v>278</v>
      </c>
      <c r="G80" t="s">
        <v>51</v>
      </c>
      <c r="H80" t="s">
        <v>78</v>
      </c>
      <c r="I80" t="s">
        <v>53</v>
      </c>
      <c r="J80" t="s">
        <v>54</v>
      </c>
      <c r="K80">
        <v>792847</v>
      </c>
      <c r="L80" t="s">
        <v>277</v>
      </c>
      <c r="M80" t="s">
        <v>279</v>
      </c>
      <c r="N80" t="s">
        <v>57</v>
      </c>
      <c r="O80" s="1">
        <v>45793</v>
      </c>
      <c r="Q80" s="1">
        <v>45977</v>
      </c>
      <c r="R80" s="2">
        <v>19.3</v>
      </c>
      <c r="S80">
        <v>1</v>
      </c>
      <c r="T80" t="s">
        <v>58</v>
      </c>
      <c r="U80" t="s">
        <v>180</v>
      </c>
      <c r="V80" s="3">
        <v>0.75</v>
      </c>
      <c r="W80" s="2">
        <v>0</v>
      </c>
      <c r="X80">
        <v>0</v>
      </c>
      <c r="Y80" t="s">
        <v>60</v>
      </c>
      <c r="Z80" t="s">
        <v>182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14.48</v>
      </c>
      <c r="AN80" s="2">
        <v>14.48</v>
      </c>
      <c r="AO80" s="2">
        <v>0</v>
      </c>
      <c r="AP80" s="2">
        <v>0</v>
      </c>
      <c r="AQ80" s="2">
        <v>0</v>
      </c>
    </row>
    <row r="81" spans="1:43" x14ac:dyDescent="0.25">
      <c r="A81" s="1">
        <v>45943</v>
      </c>
      <c r="B81" t="s">
        <v>48</v>
      </c>
      <c r="C81">
        <v>649163</v>
      </c>
      <c r="D81">
        <v>2028965806</v>
      </c>
      <c r="E81" t="s">
        <v>277</v>
      </c>
      <c r="F81" t="s">
        <v>280</v>
      </c>
      <c r="G81" t="s">
        <v>51</v>
      </c>
      <c r="H81" t="s">
        <v>281</v>
      </c>
      <c r="I81" t="s">
        <v>53</v>
      </c>
      <c r="J81" t="s">
        <v>54</v>
      </c>
      <c r="K81">
        <v>792847</v>
      </c>
      <c r="L81" t="s">
        <v>277</v>
      </c>
      <c r="M81" t="s">
        <v>279</v>
      </c>
      <c r="N81" t="s">
        <v>57</v>
      </c>
      <c r="O81" s="1">
        <v>45793</v>
      </c>
      <c r="Q81" s="1">
        <v>45977</v>
      </c>
      <c r="R81" s="2">
        <v>73.42</v>
      </c>
      <c r="S81">
        <v>1</v>
      </c>
      <c r="T81" t="s">
        <v>58</v>
      </c>
      <c r="U81" t="s">
        <v>180</v>
      </c>
      <c r="V81" s="3">
        <v>0.75</v>
      </c>
      <c r="W81" s="2">
        <v>0</v>
      </c>
      <c r="X81">
        <v>0</v>
      </c>
      <c r="Y81" t="s">
        <v>60</v>
      </c>
      <c r="Z81" t="s">
        <v>182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55.06</v>
      </c>
      <c r="AN81" s="2">
        <v>55.06</v>
      </c>
      <c r="AO81" s="2">
        <v>0</v>
      </c>
      <c r="AP81" s="2">
        <v>0</v>
      </c>
      <c r="AQ81" s="2">
        <v>0</v>
      </c>
    </row>
    <row r="82" spans="1:43" x14ac:dyDescent="0.25">
      <c r="A82" s="1">
        <v>45943</v>
      </c>
      <c r="B82" t="s">
        <v>48</v>
      </c>
      <c r="C82">
        <v>649163</v>
      </c>
      <c r="D82">
        <v>2029177109</v>
      </c>
      <c r="E82" t="s">
        <v>282</v>
      </c>
      <c r="F82" t="s">
        <v>283</v>
      </c>
      <c r="G82" t="s">
        <v>51</v>
      </c>
      <c r="H82" t="s">
        <v>78</v>
      </c>
      <c r="I82" t="s">
        <v>53</v>
      </c>
      <c r="J82" t="s">
        <v>54</v>
      </c>
      <c r="K82">
        <v>820873</v>
      </c>
      <c r="L82" t="s">
        <v>284</v>
      </c>
      <c r="M82" t="s">
        <v>285</v>
      </c>
      <c r="N82" t="s">
        <v>179</v>
      </c>
      <c r="O82" s="1">
        <v>45809</v>
      </c>
      <c r="P82" s="1">
        <v>45943</v>
      </c>
      <c r="Q82" s="1">
        <v>45962</v>
      </c>
      <c r="R82" s="2">
        <v>-72.73</v>
      </c>
      <c r="S82">
        <v>1</v>
      </c>
      <c r="T82" t="s">
        <v>58</v>
      </c>
      <c r="U82" t="s">
        <v>180</v>
      </c>
      <c r="V82" s="3">
        <v>0.75</v>
      </c>
      <c r="W82" s="2">
        <v>0</v>
      </c>
      <c r="X82">
        <v>-1</v>
      </c>
      <c r="Y82" t="s">
        <v>60</v>
      </c>
      <c r="Z82" t="s">
        <v>182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-54.55</v>
      </c>
      <c r="AN82" s="2">
        <v>-54.55</v>
      </c>
      <c r="AO82" s="2">
        <v>0</v>
      </c>
      <c r="AP82" s="2">
        <v>0</v>
      </c>
      <c r="AQ82" s="2">
        <v>0</v>
      </c>
    </row>
    <row r="83" spans="1:43" x14ac:dyDescent="0.25">
      <c r="A83" s="1">
        <v>45943</v>
      </c>
      <c r="B83" t="s">
        <v>48</v>
      </c>
      <c r="C83">
        <v>649163</v>
      </c>
      <c r="D83">
        <v>2029177109</v>
      </c>
      <c r="E83" t="s">
        <v>282</v>
      </c>
      <c r="F83" t="s">
        <v>283</v>
      </c>
      <c r="G83" t="s">
        <v>51</v>
      </c>
      <c r="H83" t="s">
        <v>78</v>
      </c>
      <c r="I83" t="s">
        <v>53</v>
      </c>
      <c r="J83" t="s">
        <v>54</v>
      </c>
      <c r="K83">
        <v>820873</v>
      </c>
      <c r="L83" t="s">
        <v>284</v>
      </c>
      <c r="M83" t="s">
        <v>285</v>
      </c>
      <c r="N83" t="s">
        <v>179</v>
      </c>
      <c r="O83" s="1">
        <v>45809</v>
      </c>
      <c r="P83" s="1">
        <v>45943</v>
      </c>
      <c r="Q83" s="1">
        <v>45962</v>
      </c>
      <c r="R83" s="2">
        <v>-72.73</v>
      </c>
      <c r="S83">
        <v>1</v>
      </c>
      <c r="T83" t="s">
        <v>58</v>
      </c>
      <c r="U83" t="s">
        <v>180</v>
      </c>
      <c r="V83" s="3">
        <v>0.75</v>
      </c>
      <c r="W83" s="2">
        <v>0</v>
      </c>
      <c r="X83">
        <v>-1</v>
      </c>
      <c r="Y83" t="s">
        <v>60</v>
      </c>
      <c r="Z83" t="s">
        <v>182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-54.55</v>
      </c>
      <c r="AN83" s="2">
        <v>-54.55</v>
      </c>
      <c r="AO83" s="2">
        <v>0</v>
      </c>
      <c r="AP83" s="2">
        <v>0</v>
      </c>
      <c r="AQ83" s="2">
        <v>0</v>
      </c>
    </row>
    <row r="84" spans="1:43" x14ac:dyDescent="0.25">
      <c r="A84" s="1">
        <v>45943</v>
      </c>
      <c r="B84" t="s">
        <v>48</v>
      </c>
      <c r="C84">
        <v>649163</v>
      </c>
      <c r="D84">
        <v>2029185271</v>
      </c>
      <c r="E84" t="s">
        <v>286</v>
      </c>
      <c r="F84" t="s">
        <v>287</v>
      </c>
      <c r="G84" t="s">
        <v>51</v>
      </c>
      <c r="H84" t="s">
        <v>288</v>
      </c>
      <c r="I84" t="s">
        <v>53</v>
      </c>
      <c r="J84" t="s">
        <v>54</v>
      </c>
      <c r="K84">
        <v>673059</v>
      </c>
      <c r="L84" t="s">
        <v>55</v>
      </c>
      <c r="M84" t="s">
        <v>56</v>
      </c>
      <c r="N84" t="s">
        <v>57</v>
      </c>
      <c r="O84" s="1">
        <v>45825</v>
      </c>
      <c r="Q84" s="1">
        <v>45978</v>
      </c>
      <c r="R84" s="2">
        <v>66.03</v>
      </c>
      <c r="S84">
        <v>1</v>
      </c>
      <c r="T84" t="s">
        <v>58</v>
      </c>
      <c r="U84" t="s">
        <v>180</v>
      </c>
      <c r="V84" s="3">
        <v>0.75</v>
      </c>
      <c r="W84" s="2">
        <v>0</v>
      </c>
      <c r="X84">
        <v>0</v>
      </c>
      <c r="Y84" t="s">
        <v>60</v>
      </c>
      <c r="Z84" t="s">
        <v>182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49.52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45943</v>
      </c>
      <c r="B85" t="s">
        <v>48</v>
      </c>
      <c r="C85">
        <v>649163</v>
      </c>
      <c r="D85">
        <v>2029292997</v>
      </c>
      <c r="E85" t="s">
        <v>289</v>
      </c>
      <c r="F85" t="s">
        <v>290</v>
      </c>
      <c r="G85" t="s">
        <v>51</v>
      </c>
      <c r="H85" t="s">
        <v>91</v>
      </c>
      <c r="I85" t="s">
        <v>53</v>
      </c>
      <c r="J85" t="s">
        <v>54</v>
      </c>
      <c r="K85">
        <v>856824</v>
      </c>
      <c r="L85" t="s">
        <v>156</v>
      </c>
      <c r="M85" t="s">
        <v>157</v>
      </c>
      <c r="N85" t="s">
        <v>179</v>
      </c>
      <c r="O85" s="1">
        <v>45839</v>
      </c>
      <c r="P85" s="1">
        <v>45936</v>
      </c>
      <c r="Q85" s="1">
        <v>45962</v>
      </c>
      <c r="R85" s="2">
        <v>-56.1</v>
      </c>
      <c r="S85">
        <v>1</v>
      </c>
      <c r="T85" t="s">
        <v>58</v>
      </c>
      <c r="U85" t="s">
        <v>180</v>
      </c>
      <c r="V85" s="3">
        <v>0.75</v>
      </c>
      <c r="W85" s="2">
        <v>0</v>
      </c>
      <c r="X85">
        <v>-1</v>
      </c>
      <c r="Y85" t="s">
        <v>60</v>
      </c>
      <c r="Z85" t="s">
        <v>182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-42.08</v>
      </c>
      <c r="AN85" s="2">
        <v>-42.08</v>
      </c>
      <c r="AO85" s="2">
        <v>0</v>
      </c>
      <c r="AP85" s="2">
        <v>0</v>
      </c>
      <c r="AQ85" s="2">
        <v>0</v>
      </c>
    </row>
    <row r="86" spans="1:43" x14ac:dyDescent="0.25">
      <c r="A86" s="1">
        <v>45943</v>
      </c>
      <c r="B86" t="s">
        <v>48</v>
      </c>
      <c r="C86">
        <v>649163</v>
      </c>
      <c r="D86">
        <v>2029878253</v>
      </c>
      <c r="E86" t="s">
        <v>291</v>
      </c>
      <c r="F86" t="s">
        <v>161</v>
      </c>
      <c r="G86" t="s">
        <v>51</v>
      </c>
      <c r="H86" t="s">
        <v>78</v>
      </c>
      <c r="I86" t="s">
        <v>53</v>
      </c>
      <c r="J86" t="s">
        <v>54</v>
      </c>
      <c r="K86">
        <v>824076</v>
      </c>
      <c r="L86" t="s">
        <v>292</v>
      </c>
      <c r="M86" t="s">
        <v>293</v>
      </c>
      <c r="N86" t="s">
        <v>57</v>
      </c>
      <c r="O86" s="1">
        <v>45853</v>
      </c>
      <c r="Q86" s="1">
        <v>45976</v>
      </c>
      <c r="R86" s="2">
        <v>15.97</v>
      </c>
      <c r="S86">
        <v>1</v>
      </c>
      <c r="T86" t="s">
        <v>58</v>
      </c>
      <c r="U86" t="s">
        <v>180</v>
      </c>
      <c r="V86" s="3">
        <v>0.75</v>
      </c>
      <c r="W86" s="2">
        <v>0</v>
      </c>
      <c r="X86">
        <v>0</v>
      </c>
      <c r="Y86" t="s">
        <v>60</v>
      </c>
      <c r="Z86" t="s">
        <v>182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11.98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45943</v>
      </c>
      <c r="B87" t="s">
        <v>48</v>
      </c>
      <c r="C87">
        <v>649163</v>
      </c>
      <c r="D87">
        <v>2029887594</v>
      </c>
      <c r="E87" t="s">
        <v>165</v>
      </c>
      <c r="F87" t="s">
        <v>294</v>
      </c>
      <c r="G87" t="s">
        <v>51</v>
      </c>
      <c r="H87" t="s">
        <v>91</v>
      </c>
      <c r="I87" t="s">
        <v>53</v>
      </c>
      <c r="J87" t="s">
        <v>70</v>
      </c>
      <c r="K87">
        <v>753748</v>
      </c>
      <c r="L87" t="s">
        <v>168</v>
      </c>
      <c r="M87" t="s">
        <v>169</v>
      </c>
      <c r="N87" t="s">
        <v>57</v>
      </c>
      <c r="O87" s="1">
        <v>45870</v>
      </c>
      <c r="Q87" s="1">
        <v>45962</v>
      </c>
      <c r="R87" s="2">
        <v>305.58</v>
      </c>
      <c r="S87">
        <v>1</v>
      </c>
      <c r="T87" t="s">
        <v>58</v>
      </c>
      <c r="U87" t="s">
        <v>180</v>
      </c>
      <c r="V87" s="3">
        <v>0.9</v>
      </c>
      <c r="W87" s="2">
        <v>0</v>
      </c>
      <c r="X87">
        <v>0</v>
      </c>
      <c r="Y87" t="s">
        <v>60</v>
      </c>
      <c r="Z87" t="s">
        <v>182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275.02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1">
        <v>45943</v>
      </c>
      <c r="B88" t="s">
        <v>48</v>
      </c>
      <c r="C88">
        <v>649163</v>
      </c>
      <c r="D88">
        <v>2029894138</v>
      </c>
      <c r="E88" t="s">
        <v>218</v>
      </c>
      <c r="F88" t="s">
        <v>196</v>
      </c>
      <c r="G88" t="s">
        <v>51</v>
      </c>
      <c r="H88" t="s">
        <v>219</v>
      </c>
      <c r="I88" t="s">
        <v>53</v>
      </c>
      <c r="J88" t="s">
        <v>54</v>
      </c>
      <c r="K88">
        <v>673059</v>
      </c>
      <c r="L88" t="s">
        <v>55</v>
      </c>
      <c r="M88" t="s">
        <v>56</v>
      </c>
      <c r="N88" t="s">
        <v>57</v>
      </c>
      <c r="O88" s="1">
        <v>45852</v>
      </c>
      <c r="Q88" s="1">
        <v>45975</v>
      </c>
      <c r="R88" s="2">
        <v>80.8</v>
      </c>
      <c r="S88">
        <v>1</v>
      </c>
      <c r="T88" t="s">
        <v>58</v>
      </c>
      <c r="U88" t="s">
        <v>180</v>
      </c>
      <c r="V88" s="3">
        <v>0.75</v>
      </c>
      <c r="W88" s="2">
        <v>0</v>
      </c>
      <c r="X88">
        <v>0</v>
      </c>
      <c r="Y88" t="s">
        <v>60</v>
      </c>
      <c r="Z88" t="s">
        <v>182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60.6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1">
        <v>45943</v>
      </c>
      <c r="B89" t="s">
        <v>48</v>
      </c>
      <c r="C89">
        <v>649163</v>
      </c>
      <c r="D89">
        <v>2029910877</v>
      </c>
      <c r="E89" t="s">
        <v>295</v>
      </c>
      <c r="F89" t="s">
        <v>296</v>
      </c>
      <c r="G89" t="s">
        <v>51</v>
      </c>
      <c r="H89" t="s">
        <v>281</v>
      </c>
      <c r="I89" t="s">
        <v>53</v>
      </c>
      <c r="J89" t="s">
        <v>232</v>
      </c>
      <c r="K89">
        <v>792847</v>
      </c>
      <c r="L89" t="s">
        <v>277</v>
      </c>
      <c r="M89" t="s">
        <v>279</v>
      </c>
      <c r="N89" t="s">
        <v>57</v>
      </c>
      <c r="O89" s="1">
        <v>45850</v>
      </c>
      <c r="Q89" s="1">
        <v>45973</v>
      </c>
      <c r="R89" s="2">
        <v>150.47999999999999</v>
      </c>
      <c r="S89">
        <v>1</v>
      </c>
      <c r="T89" t="s">
        <v>58</v>
      </c>
      <c r="U89" t="s">
        <v>180</v>
      </c>
      <c r="V89" s="3">
        <v>0.75</v>
      </c>
      <c r="W89" s="2">
        <v>0</v>
      </c>
      <c r="X89">
        <v>0</v>
      </c>
      <c r="Y89" t="s">
        <v>60</v>
      </c>
      <c r="Z89" t="s">
        <v>182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112.86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1">
        <v>45943</v>
      </c>
      <c r="B90" t="s">
        <v>48</v>
      </c>
      <c r="C90">
        <v>649163</v>
      </c>
      <c r="D90">
        <v>2029938124</v>
      </c>
      <c r="E90" t="s">
        <v>297</v>
      </c>
      <c r="F90" t="s">
        <v>298</v>
      </c>
      <c r="G90" t="s">
        <v>51</v>
      </c>
      <c r="H90" t="s">
        <v>299</v>
      </c>
      <c r="I90" t="s">
        <v>53</v>
      </c>
      <c r="J90" t="s">
        <v>70</v>
      </c>
      <c r="K90">
        <v>767312</v>
      </c>
      <c r="L90" t="s">
        <v>147</v>
      </c>
      <c r="M90" t="s">
        <v>148</v>
      </c>
      <c r="N90" t="s">
        <v>57</v>
      </c>
      <c r="O90" s="1">
        <v>45853</v>
      </c>
      <c r="Q90" s="1">
        <v>45976</v>
      </c>
      <c r="R90" s="2">
        <v>50.87</v>
      </c>
      <c r="S90">
        <v>1</v>
      </c>
      <c r="T90" t="s">
        <v>58</v>
      </c>
      <c r="U90" t="s">
        <v>180</v>
      </c>
      <c r="V90" s="3">
        <v>0.9</v>
      </c>
      <c r="W90" s="2">
        <v>0</v>
      </c>
      <c r="X90">
        <v>0</v>
      </c>
      <c r="Y90" t="s">
        <v>60</v>
      </c>
      <c r="Z90" t="s">
        <v>182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45.78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1">
        <v>45943</v>
      </c>
      <c r="B91" t="s">
        <v>48</v>
      </c>
      <c r="C91">
        <v>649163</v>
      </c>
      <c r="D91">
        <v>2029951925</v>
      </c>
      <c r="E91" t="s">
        <v>300</v>
      </c>
      <c r="F91" t="s">
        <v>301</v>
      </c>
      <c r="G91" t="s">
        <v>51</v>
      </c>
      <c r="H91" t="s">
        <v>78</v>
      </c>
      <c r="I91" t="s">
        <v>53</v>
      </c>
      <c r="J91" t="s">
        <v>232</v>
      </c>
      <c r="K91">
        <v>824076</v>
      </c>
      <c r="L91" t="s">
        <v>292</v>
      </c>
      <c r="M91" t="s">
        <v>293</v>
      </c>
      <c r="N91" t="s">
        <v>57</v>
      </c>
      <c r="O91" s="1">
        <v>45853</v>
      </c>
      <c r="Q91" s="1">
        <v>45976</v>
      </c>
      <c r="R91" s="2">
        <v>19.25</v>
      </c>
      <c r="S91">
        <v>1</v>
      </c>
      <c r="T91" t="s">
        <v>58</v>
      </c>
      <c r="U91" t="s">
        <v>180</v>
      </c>
      <c r="V91" s="3">
        <v>0.75</v>
      </c>
      <c r="W91" s="2">
        <v>0</v>
      </c>
      <c r="X91">
        <v>0</v>
      </c>
      <c r="Y91" t="s">
        <v>60</v>
      </c>
      <c r="Z91" t="s">
        <v>182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14.44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1">
        <v>45943</v>
      </c>
      <c r="B92" t="s">
        <v>48</v>
      </c>
      <c r="C92">
        <v>649163</v>
      </c>
      <c r="D92">
        <v>2029955373</v>
      </c>
      <c r="E92" t="s">
        <v>302</v>
      </c>
      <c r="F92" t="s">
        <v>278</v>
      </c>
      <c r="G92" t="s">
        <v>51</v>
      </c>
      <c r="H92" t="s">
        <v>69</v>
      </c>
      <c r="I92" t="s">
        <v>53</v>
      </c>
      <c r="J92" t="s">
        <v>75</v>
      </c>
      <c r="K92">
        <v>824082</v>
      </c>
      <c r="L92" t="s">
        <v>303</v>
      </c>
      <c r="M92" t="s">
        <v>304</v>
      </c>
      <c r="N92" t="s">
        <v>57</v>
      </c>
      <c r="O92" s="1">
        <v>45853</v>
      </c>
      <c r="Q92" s="1">
        <v>45976</v>
      </c>
      <c r="R92" s="2">
        <v>29.98</v>
      </c>
      <c r="S92">
        <v>1</v>
      </c>
      <c r="T92" t="s">
        <v>58</v>
      </c>
      <c r="U92" t="s">
        <v>180</v>
      </c>
      <c r="V92" s="3">
        <v>0.65</v>
      </c>
      <c r="W92" s="2">
        <v>0</v>
      </c>
      <c r="X92">
        <v>0</v>
      </c>
      <c r="Y92" t="s">
        <v>60</v>
      </c>
      <c r="Z92" t="s">
        <v>182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19.489999999999998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45943</v>
      </c>
      <c r="B93" t="s">
        <v>48</v>
      </c>
      <c r="C93">
        <v>649163</v>
      </c>
      <c r="D93">
        <v>2029967975</v>
      </c>
      <c r="E93" t="s">
        <v>305</v>
      </c>
      <c r="F93" t="s">
        <v>306</v>
      </c>
      <c r="G93" t="s">
        <v>51</v>
      </c>
      <c r="H93" t="s">
        <v>119</v>
      </c>
      <c r="I93" t="s">
        <v>53</v>
      </c>
      <c r="J93" t="s">
        <v>70</v>
      </c>
      <c r="K93">
        <v>823068</v>
      </c>
      <c r="L93" t="s">
        <v>307</v>
      </c>
      <c r="M93" t="s">
        <v>308</v>
      </c>
      <c r="N93" t="s">
        <v>57</v>
      </c>
      <c r="O93" s="1">
        <v>45854</v>
      </c>
      <c r="Q93" s="1">
        <v>45977</v>
      </c>
      <c r="R93" s="2">
        <v>107.63</v>
      </c>
      <c r="S93">
        <v>1</v>
      </c>
      <c r="T93" t="s">
        <v>58</v>
      </c>
      <c r="U93" t="s">
        <v>180</v>
      </c>
      <c r="V93" s="3">
        <v>0.9</v>
      </c>
      <c r="W93" s="2">
        <v>0</v>
      </c>
      <c r="X93">
        <v>0</v>
      </c>
      <c r="Y93" t="s">
        <v>60</v>
      </c>
      <c r="Z93" t="s">
        <v>182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96.87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45943</v>
      </c>
      <c r="B94" t="s">
        <v>48</v>
      </c>
      <c r="C94">
        <v>649163</v>
      </c>
      <c r="D94">
        <v>2029969605</v>
      </c>
      <c r="E94" t="s">
        <v>309</v>
      </c>
      <c r="F94" t="s">
        <v>310</v>
      </c>
      <c r="G94" t="s">
        <v>51</v>
      </c>
      <c r="H94" t="s">
        <v>69</v>
      </c>
      <c r="I94" t="s">
        <v>53</v>
      </c>
      <c r="J94" t="s">
        <v>54</v>
      </c>
      <c r="K94">
        <v>816021</v>
      </c>
      <c r="L94" t="s">
        <v>71</v>
      </c>
      <c r="M94" t="s">
        <v>72</v>
      </c>
      <c r="N94" t="s">
        <v>57</v>
      </c>
      <c r="O94" s="1">
        <v>45854</v>
      </c>
      <c r="Q94" s="1">
        <v>45977</v>
      </c>
      <c r="R94" s="2">
        <v>52.84</v>
      </c>
      <c r="S94">
        <v>1</v>
      </c>
      <c r="T94" t="s">
        <v>58</v>
      </c>
      <c r="U94" t="s">
        <v>180</v>
      </c>
      <c r="V94" s="3">
        <v>0.75</v>
      </c>
      <c r="W94" s="2">
        <v>0</v>
      </c>
      <c r="X94">
        <v>0</v>
      </c>
      <c r="Y94" t="s">
        <v>60</v>
      </c>
      <c r="Z94" t="s">
        <v>182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39.630000000000003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45943</v>
      </c>
      <c r="B95" t="s">
        <v>48</v>
      </c>
      <c r="C95">
        <v>649163</v>
      </c>
      <c r="D95">
        <v>2029980504</v>
      </c>
      <c r="E95" t="s">
        <v>184</v>
      </c>
      <c r="F95" t="s">
        <v>311</v>
      </c>
      <c r="G95" t="s">
        <v>51</v>
      </c>
      <c r="H95" t="s">
        <v>312</v>
      </c>
      <c r="I95" t="s">
        <v>53</v>
      </c>
      <c r="J95" t="s">
        <v>54</v>
      </c>
      <c r="K95">
        <v>673059</v>
      </c>
      <c r="L95" t="s">
        <v>55</v>
      </c>
      <c r="M95" t="s">
        <v>56</v>
      </c>
      <c r="N95" t="s">
        <v>57</v>
      </c>
      <c r="O95" s="1">
        <v>45884</v>
      </c>
      <c r="Q95" s="1">
        <v>45976</v>
      </c>
      <c r="R95" s="2">
        <v>85.81</v>
      </c>
      <c r="S95">
        <v>1</v>
      </c>
      <c r="T95" t="s">
        <v>58</v>
      </c>
      <c r="U95" t="s">
        <v>180</v>
      </c>
      <c r="V95" s="3">
        <v>0.75</v>
      </c>
      <c r="W95" s="2">
        <v>0</v>
      </c>
      <c r="X95">
        <v>0</v>
      </c>
      <c r="Y95" t="s">
        <v>60</v>
      </c>
      <c r="Z95" t="s">
        <v>182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64.36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45943</v>
      </c>
      <c r="B96" t="s">
        <v>48</v>
      </c>
      <c r="C96">
        <v>649163</v>
      </c>
      <c r="D96">
        <v>2030198368</v>
      </c>
      <c r="E96" t="s">
        <v>313</v>
      </c>
      <c r="F96" t="s">
        <v>314</v>
      </c>
      <c r="G96" t="s">
        <v>51</v>
      </c>
      <c r="H96" t="s">
        <v>119</v>
      </c>
      <c r="I96" t="s">
        <v>53</v>
      </c>
      <c r="J96" t="s">
        <v>70</v>
      </c>
      <c r="K96">
        <v>823068</v>
      </c>
      <c r="L96" t="s">
        <v>307</v>
      </c>
      <c r="M96" t="s">
        <v>308</v>
      </c>
      <c r="N96" t="s">
        <v>57</v>
      </c>
      <c r="O96" s="1">
        <v>45870</v>
      </c>
      <c r="Q96" s="1">
        <v>45962</v>
      </c>
      <c r="R96" s="2">
        <v>85.5</v>
      </c>
      <c r="S96">
        <v>1</v>
      </c>
      <c r="T96" t="s">
        <v>58</v>
      </c>
      <c r="U96" t="s">
        <v>180</v>
      </c>
      <c r="V96" s="3">
        <v>0.9</v>
      </c>
      <c r="W96" s="2">
        <v>0</v>
      </c>
      <c r="X96">
        <v>0</v>
      </c>
      <c r="Y96" t="s">
        <v>60</v>
      </c>
      <c r="Z96" t="s">
        <v>182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76.95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1">
        <v>45943</v>
      </c>
      <c r="B97" t="s">
        <v>48</v>
      </c>
      <c r="C97">
        <v>649163</v>
      </c>
      <c r="D97">
        <v>2030313518</v>
      </c>
      <c r="E97" t="s">
        <v>315</v>
      </c>
      <c r="F97" t="s">
        <v>316</v>
      </c>
      <c r="G97" t="s">
        <v>51</v>
      </c>
      <c r="H97" t="s">
        <v>119</v>
      </c>
      <c r="I97" t="s">
        <v>53</v>
      </c>
      <c r="J97" t="s">
        <v>70</v>
      </c>
      <c r="K97">
        <v>823068</v>
      </c>
      <c r="L97" t="s">
        <v>307</v>
      </c>
      <c r="M97" t="s">
        <v>308</v>
      </c>
      <c r="N97" t="s">
        <v>57</v>
      </c>
      <c r="O97" s="1">
        <v>45884</v>
      </c>
      <c r="Q97" s="1">
        <v>45976</v>
      </c>
      <c r="R97" s="2">
        <v>20.059999999999999</v>
      </c>
      <c r="S97">
        <v>1</v>
      </c>
      <c r="T97" t="s">
        <v>58</v>
      </c>
      <c r="U97" t="s">
        <v>180</v>
      </c>
      <c r="V97" s="3">
        <v>0.9</v>
      </c>
      <c r="W97" s="2">
        <v>0</v>
      </c>
      <c r="X97">
        <v>0</v>
      </c>
      <c r="Y97" t="s">
        <v>60</v>
      </c>
      <c r="Z97" t="s">
        <v>182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18.05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45943</v>
      </c>
      <c r="B98" t="s">
        <v>48</v>
      </c>
      <c r="C98">
        <v>649163</v>
      </c>
      <c r="D98">
        <v>2030341226</v>
      </c>
      <c r="E98" t="s">
        <v>317</v>
      </c>
      <c r="F98" t="s">
        <v>318</v>
      </c>
      <c r="G98" t="s">
        <v>51</v>
      </c>
      <c r="H98" t="s">
        <v>155</v>
      </c>
      <c r="I98" t="s">
        <v>53</v>
      </c>
      <c r="J98" t="s">
        <v>70</v>
      </c>
      <c r="K98">
        <v>767312</v>
      </c>
      <c r="L98" t="s">
        <v>147</v>
      </c>
      <c r="M98" t="s">
        <v>148</v>
      </c>
      <c r="N98" t="s">
        <v>57</v>
      </c>
      <c r="O98" s="1">
        <v>45879</v>
      </c>
      <c r="Q98" s="1">
        <v>45971</v>
      </c>
      <c r="R98" s="2">
        <v>26.88</v>
      </c>
      <c r="S98">
        <v>1</v>
      </c>
      <c r="T98" t="s">
        <v>58</v>
      </c>
      <c r="U98" t="s">
        <v>180</v>
      </c>
      <c r="V98" s="3">
        <v>0.9</v>
      </c>
      <c r="W98" s="2">
        <v>0</v>
      </c>
      <c r="X98">
        <v>0</v>
      </c>
      <c r="Y98" t="s">
        <v>60</v>
      </c>
      <c r="Z98" t="s">
        <v>182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24.19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45943</v>
      </c>
      <c r="B99" t="s">
        <v>48</v>
      </c>
      <c r="C99">
        <v>649163</v>
      </c>
      <c r="D99">
        <v>2030349979</v>
      </c>
      <c r="E99" t="s">
        <v>319</v>
      </c>
      <c r="F99" t="s">
        <v>320</v>
      </c>
      <c r="G99" t="s">
        <v>51</v>
      </c>
      <c r="H99" t="s">
        <v>155</v>
      </c>
      <c r="I99" t="s">
        <v>53</v>
      </c>
      <c r="J99" t="s">
        <v>70</v>
      </c>
      <c r="K99">
        <v>767312</v>
      </c>
      <c r="L99" t="s">
        <v>147</v>
      </c>
      <c r="M99" t="s">
        <v>148</v>
      </c>
      <c r="N99" t="s">
        <v>57</v>
      </c>
      <c r="O99" s="1">
        <v>45879</v>
      </c>
      <c r="Q99" s="1">
        <v>45971</v>
      </c>
      <c r="R99" s="2">
        <v>29.01</v>
      </c>
      <c r="S99">
        <v>1</v>
      </c>
      <c r="T99" t="s">
        <v>58</v>
      </c>
      <c r="U99" t="s">
        <v>180</v>
      </c>
      <c r="V99" s="3">
        <v>0.9</v>
      </c>
      <c r="W99" s="2">
        <v>0</v>
      </c>
      <c r="X99">
        <v>0</v>
      </c>
      <c r="Y99" t="s">
        <v>60</v>
      </c>
      <c r="Z99" t="s">
        <v>182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26.11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1">
        <v>45943</v>
      </c>
      <c r="B100" t="s">
        <v>48</v>
      </c>
      <c r="C100">
        <v>649163</v>
      </c>
      <c r="D100">
        <v>2030413755</v>
      </c>
      <c r="E100" t="s">
        <v>321</v>
      </c>
      <c r="F100" t="s">
        <v>322</v>
      </c>
      <c r="G100" t="s">
        <v>51</v>
      </c>
      <c r="H100" t="s">
        <v>64</v>
      </c>
      <c r="I100" t="s">
        <v>53</v>
      </c>
      <c r="J100" t="s">
        <v>70</v>
      </c>
      <c r="K100">
        <v>753748</v>
      </c>
      <c r="L100" t="s">
        <v>168</v>
      </c>
      <c r="M100" t="s">
        <v>169</v>
      </c>
      <c r="N100" t="s">
        <v>179</v>
      </c>
      <c r="O100" s="1">
        <v>45901</v>
      </c>
      <c r="P100" s="1">
        <v>45936</v>
      </c>
      <c r="Q100" s="1">
        <v>45962</v>
      </c>
      <c r="R100" s="2">
        <v>-136.16</v>
      </c>
      <c r="S100">
        <v>1</v>
      </c>
      <c r="T100" t="s">
        <v>58</v>
      </c>
      <c r="U100" t="s">
        <v>180</v>
      </c>
      <c r="V100" s="3">
        <v>0.9</v>
      </c>
      <c r="W100" s="2">
        <v>0</v>
      </c>
      <c r="X100">
        <v>-1</v>
      </c>
      <c r="Y100" t="s">
        <v>60</v>
      </c>
      <c r="Z100" t="s">
        <v>182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-122.54</v>
      </c>
      <c r="AN100" s="2">
        <v>-122.54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45943</v>
      </c>
      <c r="B101" t="s">
        <v>48</v>
      </c>
      <c r="C101">
        <v>649163</v>
      </c>
      <c r="D101">
        <v>2030431358</v>
      </c>
      <c r="E101" t="s">
        <v>323</v>
      </c>
      <c r="F101" t="s">
        <v>324</v>
      </c>
      <c r="G101" t="s">
        <v>51</v>
      </c>
      <c r="H101" t="s">
        <v>69</v>
      </c>
      <c r="I101" t="s">
        <v>53</v>
      </c>
      <c r="J101" t="s">
        <v>54</v>
      </c>
      <c r="K101">
        <v>824082</v>
      </c>
      <c r="L101" t="s">
        <v>303</v>
      </c>
      <c r="M101" t="s">
        <v>304</v>
      </c>
      <c r="N101" t="s">
        <v>57</v>
      </c>
      <c r="O101" s="1">
        <v>45881</v>
      </c>
      <c r="Q101" s="1">
        <v>45973</v>
      </c>
      <c r="R101" s="2">
        <v>30.34</v>
      </c>
      <c r="S101">
        <v>1</v>
      </c>
      <c r="T101" t="s">
        <v>58</v>
      </c>
      <c r="U101" t="s">
        <v>180</v>
      </c>
      <c r="V101" s="3">
        <v>0.75</v>
      </c>
      <c r="W101" s="2">
        <v>0</v>
      </c>
      <c r="X101">
        <v>0</v>
      </c>
      <c r="Y101" t="s">
        <v>60</v>
      </c>
      <c r="Z101" t="s">
        <v>182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22.76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45943</v>
      </c>
      <c r="B102" t="s">
        <v>48</v>
      </c>
      <c r="C102">
        <v>649163</v>
      </c>
      <c r="D102">
        <v>2030454169</v>
      </c>
      <c r="E102" t="s">
        <v>325</v>
      </c>
      <c r="F102" t="s">
        <v>148</v>
      </c>
      <c r="G102" t="s">
        <v>51</v>
      </c>
      <c r="H102" t="s">
        <v>119</v>
      </c>
      <c r="I102" t="s">
        <v>53</v>
      </c>
      <c r="J102" t="s">
        <v>70</v>
      </c>
      <c r="K102">
        <v>823068</v>
      </c>
      <c r="L102" t="s">
        <v>307</v>
      </c>
      <c r="M102" t="s">
        <v>308</v>
      </c>
      <c r="N102" t="s">
        <v>57</v>
      </c>
      <c r="O102" s="1">
        <v>45883</v>
      </c>
      <c r="Q102" s="1">
        <v>45975</v>
      </c>
      <c r="R102" s="2">
        <v>92.5</v>
      </c>
      <c r="S102">
        <v>1</v>
      </c>
      <c r="T102" t="s">
        <v>58</v>
      </c>
      <c r="U102" t="s">
        <v>180</v>
      </c>
      <c r="V102" s="3">
        <v>0.9</v>
      </c>
      <c r="W102" s="2">
        <v>0</v>
      </c>
      <c r="X102">
        <v>0</v>
      </c>
      <c r="Y102" t="s">
        <v>60</v>
      </c>
      <c r="Z102" t="s">
        <v>182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83.25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45943</v>
      </c>
      <c r="B103" t="s">
        <v>48</v>
      </c>
      <c r="C103">
        <v>649163</v>
      </c>
      <c r="D103">
        <v>2030455582</v>
      </c>
      <c r="E103" t="s">
        <v>326</v>
      </c>
      <c r="F103" t="s">
        <v>327</v>
      </c>
      <c r="G103" t="s">
        <v>51</v>
      </c>
      <c r="H103" t="s">
        <v>69</v>
      </c>
      <c r="I103" t="s">
        <v>53</v>
      </c>
      <c r="J103" t="s">
        <v>75</v>
      </c>
      <c r="K103">
        <v>816021</v>
      </c>
      <c r="L103" t="s">
        <v>71</v>
      </c>
      <c r="M103" t="s">
        <v>72</v>
      </c>
      <c r="N103" t="s">
        <v>57</v>
      </c>
      <c r="O103" s="1">
        <v>45882</v>
      </c>
      <c r="Q103" s="1">
        <v>45974</v>
      </c>
      <c r="R103" s="2">
        <v>29.88</v>
      </c>
      <c r="S103">
        <v>1</v>
      </c>
      <c r="T103" t="s">
        <v>58</v>
      </c>
      <c r="U103" t="s">
        <v>180</v>
      </c>
      <c r="V103" s="3">
        <v>0.65</v>
      </c>
      <c r="W103" s="2">
        <v>0</v>
      </c>
      <c r="X103">
        <v>0</v>
      </c>
      <c r="Y103" t="s">
        <v>60</v>
      </c>
      <c r="Z103" t="s">
        <v>182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19.420000000000002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45943</v>
      </c>
      <c r="B104" t="s">
        <v>48</v>
      </c>
      <c r="C104">
        <v>649163</v>
      </c>
      <c r="D104">
        <v>2030474901</v>
      </c>
      <c r="E104" t="s">
        <v>328</v>
      </c>
      <c r="F104" t="s">
        <v>329</v>
      </c>
      <c r="G104" t="s">
        <v>51</v>
      </c>
      <c r="H104" t="s">
        <v>91</v>
      </c>
      <c r="I104" t="s">
        <v>53</v>
      </c>
      <c r="J104" t="s">
        <v>70</v>
      </c>
      <c r="K104">
        <v>767312</v>
      </c>
      <c r="L104" t="s">
        <v>147</v>
      </c>
      <c r="M104" t="s">
        <v>148</v>
      </c>
      <c r="N104" t="s">
        <v>57</v>
      </c>
      <c r="O104" s="1">
        <v>45883</v>
      </c>
      <c r="Q104" s="1">
        <v>45975</v>
      </c>
      <c r="R104" s="2">
        <v>104.71</v>
      </c>
      <c r="S104">
        <v>1</v>
      </c>
      <c r="T104" t="s">
        <v>58</v>
      </c>
      <c r="U104" t="s">
        <v>180</v>
      </c>
      <c r="V104" s="3">
        <v>0.9</v>
      </c>
      <c r="W104" s="2">
        <v>0</v>
      </c>
      <c r="X104">
        <v>0</v>
      </c>
      <c r="Y104" t="s">
        <v>60</v>
      </c>
      <c r="Z104" t="s">
        <v>182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94.24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45943</v>
      </c>
      <c r="B105" t="s">
        <v>48</v>
      </c>
      <c r="C105">
        <v>649163</v>
      </c>
      <c r="D105">
        <v>2030488872</v>
      </c>
      <c r="E105" t="s">
        <v>330</v>
      </c>
      <c r="F105" t="s">
        <v>331</v>
      </c>
      <c r="G105" t="s">
        <v>51</v>
      </c>
      <c r="H105" t="s">
        <v>119</v>
      </c>
      <c r="I105" t="s">
        <v>53</v>
      </c>
      <c r="J105" t="s">
        <v>70</v>
      </c>
      <c r="K105">
        <v>823068</v>
      </c>
      <c r="L105" t="s">
        <v>307</v>
      </c>
      <c r="M105" t="s">
        <v>308</v>
      </c>
      <c r="N105" t="s">
        <v>57</v>
      </c>
      <c r="O105" s="1">
        <v>45884</v>
      </c>
      <c r="Q105" s="1">
        <v>45976</v>
      </c>
      <c r="R105" s="2">
        <v>46.94</v>
      </c>
      <c r="S105">
        <v>1</v>
      </c>
      <c r="T105" t="s">
        <v>58</v>
      </c>
      <c r="U105" t="s">
        <v>180</v>
      </c>
      <c r="V105" s="3">
        <v>0.9</v>
      </c>
      <c r="W105" s="2">
        <v>0</v>
      </c>
      <c r="X105">
        <v>0</v>
      </c>
      <c r="Y105" t="s">
        <v>60</v>
      </c>
      <c r="Z105" t="s">
        <v>182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42.25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45943</v>
      </c>
      <c r="B106" t="s">
        <v>48</v>
      </c>
      <c r="C106">
        <v>649163</v>
      </c>
      <c r="D106">
        <v>2030501934</v>
      </c>
      <c r="E106" t="s">
        <v>332</v>
      </c>
      <c r="F106" t="s">
        <v>258</v>
      </c>
      <c r="G106" t="s">
        <v>51</v>
      </c>
      <c r="H106" t="s">
        <v>119</v>
      </c>
      <c r="I106" t="s">
        <v>53</v>
      </c>
      <c r="J106" t="s">
        <v>70</v>
      </c>
      <c r="K106">
        <v>652037</v>
      </c>
      <c r="L106" t="s">
        <v>222</v>
      </c>
      <c r="M106" t="s">
        <v>223</v>
      </c>
      <c r="N106" t="s">
        <v>57</v>
      </c>
      <c r="O106" s="1">
        <v>45884</v>
      </c>
      <c r="Q106" s="1">
        <v>45976</v>
      </c>
      <c r="R106" s="2">
        <v>77.959999999999994</v>
      </c>
      <c r="S106">
        <v>1</v>
      </c>
      <c r="T106" t="s">
        <v>58</v>
      </c>
      <c r="U106" t="s">
        <v>180</v>
      </c>
      <c r="V106" s="3">
        <v>0.9</v>
      </c>
      <c r="W106" s="2">
        <v>0</v>
      </c>
      <c r="X106">
        <v>0</v>
      </c>
      <c r="Y106" t="s">
        <v>60</v>
      </c>
      <c r="Z106" t="s">
        <v>182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70.16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45943</v>
      </c>
      <c r="B107" t="s">
        <v>48</v>
      </c>
      <c r="C107">
        <v>649163</v>
      </c>
      <c r="D107">
        <v>2030675167</v>
      </c>
      <c r="E107" t="s">
        <v>333</v>
      </c>
      <c r="F107" t="s">
        <v>334</v>
      </c>
      <c r="G107" t="s">
        <v>51</v>
      </c>
      <c r="H107" t="s">
        <v>175</v>
      </c>
      <c r="I107" t="s">
        <v>53</v>
      </c>
      <c r="J107" t="s">
        <v>335</v>
      </c>
      <c r="K107">
        <v>823350</v>
      </c>
      <c r="L107" t="s">
        <v>65</v>
      </c>
      <c r="M107" t="s">
        <v>66</v>
      </c>
      <c r="N107" t="s">
        <v>57</v>
      </c>
      <c r="O107" s="1">
        <v>45901</v>
      </c>
      <c r="Q107" s="1">
        <v>45962</v>
      </c>
      <c r="R107" s="2">
        <v>25.65</v>
      </c>
      <c r="S107">
        <v>1</v>
      </c>
      <c r="T107" t="s">
        <v>58</v>
      </c>
      <c r="U107" t="s">
        <v>180</v>
      </c>
      <c r="V107" s="3">
        <v>0.75</v>
      </c>
      <c r="W107" s="2">
        <v>0</v>
      </c>
      <c r="X107">
        <v>0</v>
      </c>
      <c r="Y107" t="s">
        <v>60</v>
      </c>
      <c r="Z107" t="s">
        <v>182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19.239999999999998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45943</v>
      </c>
      <c r="B108" t="s">
        <v>48</v>
      </c>
      <c r="C108">
        <v>649163</v>
      </c>
      <c r="D108">
        <v>2030772793</v>
      </c>
      <c r="E108" t="s">
        <v>192</v>
      </c>
      <c r="F108" t="s">
        <v>336</v>
      </c>
      <c r="G108" t="s">
        <v>51</v>
      </c>
      <c r="H108" t="s">
        <v>337</v>
      </c>
      <c r="I108" t="s">
        <v>53</v>
      </c>
      <c r="J108" t="s">
        <v>54</v>
      </c>
      <c r="K108">
        <v>856163</v>
      </c>
      <c r="L108" t="s">
        <v>65</v>
      </c>
      <c r="M108" t="s">
        <v>81</v>
      </c>
      <c r="N108" t="s">
        <v>179</v>
      </c>
      <c r="O108" s="1">
        <v>45901</v>
      </c>
      <c r="P108" s="1">
        <v>45943</v>
      </c>
      <c r="Q108" s="1">
        <v>45962</v>
      </c>
      <c r="R108" s="2">
        <v>-106.53</v>
      </c>
      <c r="S108">
        <v>1</v>
      </c>
      <c r="T108" t="s">
        <v>58</v>
      </c>
      <c r="U108" t="s">
        <v>180</v>
      </c>
      <c r="V108" s="3">
        <v>0.75</v>
      </c>
      <c r="W108" s="2">
        <v>0</v>
      </c>
      <c r="X108">
        <v>-1</v>
      </c>
      <c r="Y108" t="s">
        <v>60</v>
      </c>
      <c r="Z108" t="s">
        <v>182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-79.900000000000006</v>
      </c>
      <c r="AN108" s="2">
        <v>-79.900000000000006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45943</v>
      </c>
      <c r="B109" t="s">
        <v>48</v>
      </c>
      <c r="C109">
        <v>649163</v>
      </c>
      <c r="D109">
        <v>2030924642</v>
      </c>
      <c r="E109" t="s">
        <v>338</v>
      </c>
      <c r="F109" t="s">
        <v>339</v>
      </c>
      <c r="G109" t="s">
        <v>51</v>
      </c>
      <c r="H109" t="s">
        <v>312</v>
      </c>
      <c r="I109" t="s">
        <v>53</v>
      </c>
      <c r="J109" t="s">
        <v>54</v>
      </c>
      <c r="K109">
        <v>874230</v>
      </c>
      <c r="L109" t="s">
        <v>340</v>
      </c>
      <c r="M109" t="s">
        <v>341</v>
      </c>
      <c r="N109" t="s">
        <v>57</v>
      </c>
      <c r="O109" s="1">
        <v>45911</v>
      </c>
      <c r="Q109" s="1">
        <v>45972</v>
      </c>
      <c r="R109" s="2">
        <v>17.77</v>
      </c>
      <c r="S109">
        <v>1</v>
      </c>
      <c r="T109" t="s">
        <v>58</v>
      </c>
      <c r="U109" t="s">
        <v>59</v>
      </c>
      <c r="V109" s="3">
        <v>0.75</v>
      </c>
      <c r="W109" s="2">
        <v>0</v>
      </c>
      <c r="X109">
        <v>0</v>
      </c>
      <c r="Y109" t="s">
        <v>60</v>
      </c>
      <c r="Z109" t="s">
        <v>182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13.33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45943</v>
      </c>
      <c r="B110" t="s">
        <v>48</v>
      </c>
      <c r="C110">
        <v>649163</v>
      </c>
      <c r="D110">
        <v>2030932601</v>
      </c>
      <c r="E110" t="s">
        <v>342</v>
      </c>
      <c r="F110" t="s">
        <v>343</v>
      </c>
      <c r="G110" t="s">
        <v>51</v>
      </c>
      <c r="H110" t="s">
        <v>312</v>
      </c>
      <c r="I110" t="s">
        <v>53</v>
      </c>
      <c r="J110" t="s">
        <v>54</v>
      </c>
      <c r="K110">
        <v>874230</v>
      </c>
      <c r="L110" t="s">
        <v>340</v>
      </c>
      <c r="M110" t="s">
        <v>341</v>
      </c>
      <c r="N110" t="s">
        <v>57</v>
      </c>
      <c r="O110" s="1">
        <v>45911</v>
      </c>
      <c r="Q110" s="1">
        <v>45972</v>
      </c>
      <c r="R110" s="2">
        <v>18.489999999999998</v>
      </c>
      <c r="S110">
        <v>1</v>
      </c>
      <c r="T110" t="s">
        <v>58</v>
      </c>
      <c r="U110" t="s">
        <v>59</v>
      </c>
      <c r="V110" s="3">
        <v>0.75</v>
      </c>
      <c r="W110" s="2">
        <v>0</v>
      </c>
      <c r="X110">
        <v>0</v>
      </c>
      <c r="Y110" t="s">
        <v>60</v>
      </c>
      <c r="Z110" t="s">
        <v>182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13.87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45943</v>
      </c>
      <c r="B111" t="s">
        <v>48</v>
      </c>
      <c r="C111">
        <v>649163</v>
      </c>
      <c r="D111">
        <v>2030982989</v>
      </c>
      <c r="E111" t="s">
        <v>344</v>
      </c>
      <c r="F111" t="s">
        <v>345</v>
      </c>
      <c r="G111" t="s">
        <v>51</v>
      </c>
      <c r="H111" t="s">
        <v>225</v>
      </c>
      <c r="I111" t="s">
        <v>53</v>
      </c>
      <c r="J111" t="s">
        <v>54</v>
      </c>
      <c r="K111">
        <v>823350</v>
      </c>
      <c r="L111" t="s">
        <v>65</v>
      </c>
      <c r="M111" t="s">
        <v>66</v>
      </c>
      <c r="N111" t="s">
        <v>57</v>
      </c>
      <c r="O111" s="1">
        <v>45915</v>
      </c>
      <c r="Q111" s="1">
        <v>45976</v>
      </c>
      <c r="R111" s="2">
        <v>62.71</v>
      </c>
      <c r="S111">
        <v>1</v>
      </c>
      <c r="T111" t="s">
        <v>58</v>
      </c>
      <c r="U111" t="s">
        <v>59</v>
      </c>
      <c r="V111" s="3">
        <v>0.75</v>
      </c>
      <c r="W111" s="2">
        <v>0</v>
      </c>
      <c r="X111">
        <v>0</v>
      </c>
      <c r="Y111" t="s">
        <v>60</v>
      </c>
      <c r="Z111" t="s">
        <v>182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47.03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45943</v>
      </c>
      <c r="B112" t="s">
        <v>48</v>
      </c>
      <c r="C112">
        <v>649163</v>
      </c>
      <c r="D112">
        <v>2031017069</v>
      </c>
      <c r="E112" t="s">
        <v>346</v>
      </c>
      <c r="F112" t="s">
        <v>159</v>
      </c>
      <c r="G112" t="s">
        <v>51</v>
      </c>
      <c r="H112" t="s">
        <v>107</v>
      </c>
      <c r="I112" t="s">
        <v>53</v>
      </c>
      <c r="J112" t="s">
        <v>70</v>
      </c>
      <c r="K112">
        <v>877790</v>
      </c>
      <c r="L112" t="s">
        <v>108</v>
      </c>
      <c r="M112" t="s">
        <v>109</v>
      </c>
      <c r="N112" t="s">
        <v>57</v>
      </c>
      <c r="O112" s="1">
        <v>45913</v>
      </c>
      <c r="Q112" s="1">
        <v>45974</v>
      </c>
      <c r="R112" s="2">
        <v>55</v>
      </c>
      <c r="S112">
        <v>1</v>
      </c>
      <c r="T112" t="s">
        <v>58</v>
      </c>
      <c r="U112" t="s">
        <v>59</v>
      </c>
      <c r="V112" s="3">
        <v>0.9</v>
      </c>
      <c r="W112" s="2">
        <v>0</v>
      </c>
      <c r="X112">
        <v>0</v>
      </c>
      <c r="Y112" t="s">
        <v>60</v>
      </c>
      <c r="Z112" t="s">
        <v>182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49.5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45943</v>
      </c>
      <c r="B113" t="s">
        <v>48</v>
      </c>
      <c r="C113">
        <v>649163</v>
      </c>
      <c r="D113">
        <v>2023845998</v>
      </c>
      <c r="E113" t="s">
        <v>347</v>
      </c>
      <c r="F113" t="s">
        <v>348</v>
      </c>
      <c r="G113" t="s">
        <v>51</v>
      </c>
      <c r="H113" t="s">
        <v>349</v>
      </c>
      <c r="I113" t="s">
        <v>79</v>
      </c>
      <c r="J113" t="s">
        <v>350</v>
      </c>
      <c r="K113">
        <v>751867</v>
      </c>
      <c r="L113" t="s">
        <v>186</v>
      </c>
      <c r="M113" t="s">
        <v>90</v>
      </c>
      <c r="N113" t="s">
        <v>57</v>
      </c>
      <c r="O113" s="1">
        <v>45505</v>
      </c>
      <c r="Q113" s="1">
        <v>45962</v>
      </c>
      <c r="R113" s="2">
        <v>15</v>
      </c>
      <c r="S113">
        <v>1</v>
      </c>
      <c r="T113" t="s">
        <v>58</v>
      </c>
      <c r="U113" t="s">
        <v>180</v>
      </c>
      <c r="V113" s="3">
        <v>0.1</v>
      </c>
      <c r="W113" s="2">
        <v>0</v>
      </c>
      <c r="X113">
        <v>0</v>
      </c>
      <c r="Y113" t="s">
        <v>181</v>
      </c>
      <c r="Z113" t="s">
        <v>182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1.5</v>
      </c>
      <c r="AN113" s="2">
        <v>1.5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45943</v>
      </c>
      <c r="B114" t="s">
        <v>48</v>
      </c>
      <c r="C114">
        <v>649163</v>
      </c>
      <c r="D114">
        <v>2023867556</v>
      </c>
      <c r="E114" t="s">
        <v>261</v>
      </c>
      <c r="F114" t="s">
        <v>351</v>
      </c>
      <c r="G114" t="s">
        <v>51</v>
      </c>
      <c r="H114" t="s">
        <v>189</v>
      </c>
      <c r="I114" t="s">
        <v>79</v>
      </c>
      <c r="J114" t="s">
        <v>350</v>
      </c>
      <c r="K114">
        <v>650218</v>
      </c>
      <c r="L114" t="s">
        <v>195</v>
      </c>
      <c r="M114" t="s">
        <v>196</v>
      </c>
      <c r="N114" t="s">
        <v>57</v>
      </c>
      <c r="O114" s="1">
        <v>45483</v>
      </c>
      <c r="Q114" s="1">
        <v>45971</v>
      </c>
      <c r="R114" s="2">
        <v>15</v>
      </c>
      <c r="S114">
        <v>1</v>
      </c>
      <c r="T114" t="s">
        <v>58</v>
      </c>
      <c r="U114" t="s">
        <v>180</v>
      </c>
      <c r="V114" s="3">
        <v>0.1</v>
      </c>
      <c r="W114" s="2">
        <v>0</v>
      </c>
      <c r="X114">
        <v>0</v>
      </c>
      <c r="Y114" t="s">
        <v>181</v>
      </c>
      <c r="Z114" t="s">
        <v>182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1.5</v>
      </c>
      <c r="AN114" s="2">
        <v>1.5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45943</v>
      </c>
      <c r="B115" t="s">
        <v>48</v>
      </c>
      <c r="C115">
        <v>649163</v>
      </c>
      <c r="D115">
        <v>2023913074</v>
      </c>
      <c r="E115" t="s">
        <v>352</v>
      </c>
      <c r="F115" t="s">
        <v>353</v>
      </c>
      <c r="G115" t="s">
        <v>51</v>
      </c>
      <c r="H115" t="s">
        <v>312</v>
      </c>
      <c r="I115" t="s">
        <v>79</v>
      </c>
      <c r="J115" t="s">
        <v>354</v>
      </c>
      <c r="K115">
        <v>673059</v>
      </c>
      <c r="L115" t="s">
        <v>55</v>
      </c>
      <c r="M115" t="s">
        <v>56</v>
      </c>
      <c r="N115" t="s">
        <v>57</v>
      </c>
      <c r="O115" s="1">
        <v>45643</v>
      </c>
      <c r="Q115" s="1">
        <v>45978</v>
      </c>
      <c r="R115" s="2">
        <v>15</v>
      </c>
      <c r="S115">
        <v>1</v>
      </c>
      <c r="T115" t="s">
        <v>58</v>
      </c>
      <c r="U115" t="s">
        <v>180</v>
      </c>
      <c r="V115" s="3">
        <v>0.19</v>
      </c>
      <c r="W115" s="2">
        <v>0</v>
      </c>
      <c r="X115">
        <v>0</v>
      </c>
      <c r="Y115" t="s">
        <v>60</v>
      </c>
      <c r="Z115" t="s">
        <v>182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2.85</v>
      </c>
      <c r="AN115" s="2">
        <v>2.85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45943</v>
      </c>
      <c r="B116" t="s">
        <v>48</v>
      </c>
      <c r="C116">
        <v>649163</v>
      </c>
      <c r="D116">
        <v>2024372430</v>
      </c>
      <c r="E116" t="s">
        <v>355</v>
      </c>
      <c r="F116" t="s">
        <v>356</v>
      </c>
      <c r="G116" t="s">
        <v>51</v>
      </c>
      <c r="H116" t="s">
        <v>357</v>
      </c>
      <c r="I116" t="s">
        <v>79</v>
      </c>
      <c r="J116" t="s">
        <v>85</v>
      </c>
      <c r="K116">
        <v>669316</v>
      </c>
      <c r="L116" t="s">
        <v>98</v>
      </c>
      <c r="M116" t="s">
        <v>99</v>
      </c>
      <c r="N116" t="s">
        <v>57</v>
      </c>
      <c r="O116" s="1">
        <v>45518</v>
      </c>
      <c r="Q116" s="1">
        <v>45975</v>
      </c>
      <c r="R116" s="2">
        <v>15</v>
      </c>
      <c r="S116">
        <v>1</v>
      </c>
      <c r="T116" t="s">
        <v>58</v>
      </c>
      <c r="U116" t="s">
        <v>180</v>
      </c>
      <c r="V116" s="3">
        <v>0.28999999999999998</v>
      </c>
      <c r="W116" s="2">
        <v>0</v>
      </c>
      <c r="X116">
        <v>0</v>
      </c>
      <c r="Y116" t="s">
        <v>181</v>
      </c>
      <c r="Z116" t="s">
        <v>182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4.3499999999999996</v>
      </c>
      <c r="AN116" s="2">
        <v>4.3499999999999996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45943</v>
      </c>
      <c r="B117" t="s">
        <v>48</v>
      </c>
      <c r="C117">
        <v>649163</v>
      </c>
      <c r="D117">
        <v>2024403626</v>
      </c>
      <c r="E117" t="s">
        <v>358</v>
      </c>
      <c r="F117" t="s">
        <v>359</v>
      </c>
      <c r="G117" t="s">
        <v>51</v>
      </c>
      <c r="H117" t="s">
        <v>185</v>
      </c>
      <c r="I117" t="s">
        <v>79</v>
      </c>
      <c r="J117" t="s">
        <v>350</v>
      </c>
      <c r="K117">
        <v>751867</v>
      </c>
      <c r="L117" t="s">
        <v>186</v>
      </c>
      <c r="M117" t="s">
        <v>90</v>
      </c>
      <c r="N117" t="s">
        <v>57</v>
      </c>
      <c r="O117" s="1">
        <v>45520</v>
      </c>
      <c r="Q117" s="1">
        <v>45977</v>
      </c>
      <c r="R117" s="2">
        <v>15</v>
      </c>
      <c r="S117">
        <v>1</v>
      </c>
      <c r="T117" t="s">
        <v>58</v>
      </c>
      <c r="U117" t="s">
        <v>180</v>
      </c>
      <c r="V117" s="3">
        <v>0.1</v>
      </c>
      <c r="W117" s="2">
        <v>0</v>
      </c>
      <c r="X117">
        <v>0</v>
      </c>
      <c r="Y117" t="s">
        <v>181</v>
      </c>
      <c r="Z117" t="s">
        <v>182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1.5</v>
      </c>
      <c r="AN117" s="2">
        <v>1.5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45943</v>
      </c>
      <c r="B118" t="s">
        <v>48</v>
      </c>
      <c r="C118">
        <v>649163</v>
      </c>
      <c r="D118">
        <v>2024680809</v>
      </c>
      <c r="E118" t="s">
        <v>360</v>
      </c>
      <c r="F118" t="s">
        <v>361</v>
      </c>
      <c r="G118" t="s">
        <v>51</v>
      </c>
      <c r="H118" t="s">
        <v>91</v>
      </c>
      <c r="I118" t="s">
        <v>79</v>
      </c>
      <c r="J118" t="s">
        <v>85</v>
      </c>
      <c r="K118">
        <v>767312</v>
      </c>
      <c r="L118" t="s">
        <v>147</v>
      </c>
      <c r="M118" t="s">
        <v>148</v>
      </c>
      <c r="N118" t="s">
        <v>179</v>
      </c>
      <c r="O118" s="1">
        <v>45575</v>
      </c>
      <c r="P118" s="1">
        <v>45943</v>
      </c>
      <c r="Q118" s="1">
        <v>45971</v>
      </c>
      <c r="R118" s="2">
        <v>-15</v>
      </c>
      <c r="S118">
        <v>1</v>
      </c>
      <c r="T118" t="s">
        <v>58</v>
      </c>
      <c r="U118" t="s">
        <v>180</v>
      </c>
      <c r="V118" s="3">
        <v>0.28999999999999998</v>
      </c>
      <c r="W118" s="2">
        <v>0</v>
      </c>
      <c r="X118">
        <v>-1</v>
      </c>
      <c r="Y118" t="s">
        <v>181</v>
      </c>
      <c r="Z118" t="s">
        <v>182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-4.3499999999999996</v>
      </c>
      <c r="AN118" s="2">
        <v>-4.3499999999999996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45943</v>
      </c>
      <c r="B119" t="s">
        <v>48</v>
      </c>
      <c r="C119">
        <v>649163</v>
      </c>
      <c r="D119">
        <v>2024853076</v>
      </c>
      <c r="E119" t="s">
        <v>362</v>
      </c>
      <c r="F119" t="s">
        <v>363</v>
      </c>
      <c r="G119" t="s">
        <v>51</v>
      </c>
      <c r="H119" t="s">
        <v>225</v>
      </c>
      <c r="I119" t="s">
        <v>79</v>
      </c>
      <c r="J119" t="s">
        <v>350</v>
      </c>
      <c r="K119">
        <v>650218</v>
      </c>
      <c r="L119" t="s">
        <v>195</v>
      </c>
      <c r="M119" t="s">
        <v>196</v>
      </c>
      <c r="N119" t="s">
        <v>57</v>
      </c>
      <c r="O119" s="1">
        <v>45550</v>
      </c>
      <c r="Q119" s="1">
        <v>45976</v>
      </c>
      <c r="R119" s="2">
        <v>15</v>
      </c>
      <c r="S119">
        <v>1</v>
      </c>
      <c r="T119" t="s">
        <v>58</v>
      </c>
      <c r="U119" t="s">
        <v>180</v>
      </c>
      <c r="V119" s="3">
        <v>0.1</v>
      </c>
      <c r="W119" s="2">
        <v>0</v>
      </c>
      <c r="X119">
        <v>0</v>
      </c>
      <c r="Y119" t="s">
        <v>181</v>
      </c>
      <c r="Z119" t="s">
        <v>182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1.5</v>
      </c>
      <c r="AN119" s="2">
        <v>1.5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45943</v>
      </c>
      <c r="B120" t="s">
        <v>48</v>
      </c>
      <c r="C120">
        <v>649163</v>
      </c>
      <c r="D120">
        <v>2025737165</v>
      </c>
      <c r="E120" t="s">
        <v>364</v>
      </c>
      <c r="F120" t="s">
        <v>165</v>
      </c>
      <c r="G120" t="s">
        <v>51</v>
      </c>
      <c r="H120" t="s">
        <v>312</v>
      </c>
      <c r="I120" t="s">
        <v>79</v>
      </c>
      <c r="J120" t="s">
        <v>350</v>
      </c>
      <c r="K120">
        <v>650218</v>
      </c>
      <c r="L120" t="s">
        <v>195</v>
      </c>
      <c r="M120" t="s">
        <v>196</v>
      </c>
      <c r="N120" t="s">
        <v>57</v>
      </c>
      <c r="O120" s="1">
        <v>45609</v>
      </c>
      <c r="Q120" s="1">
        <v>45974</v>
      </c>
      <c r="R120" s="2">
        <v>15</v>
      </c>
      <c r="S120">
        <v>1</v>
      </c>
      <c r="T120" t="s">
        <v>58</v>
      </c>
      <c r="U120" t="s">
        <v>180</v>
      </c>
      <c r="V120" s="3">
        <v>0.38</v>
      </c>
      <c r="W120" s="2">
        <v>0</v>
      </c>
      <c r="X120">
        <v>0</v>
      </c>
      <c r="Y120" t="s">
        <v>60</v>
      </c>
      <c r="Z120" t="s">
        <v>182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5.7</v>
      </c>
      <c r="AN120" s="2">
        <v>5.7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45943</v>
      </c>
      <c r="B121" t="s">
        <v>48</v>
      </c>
      <c r="C121">
        <v>649163</v>
      </c>
      <c r="D121">
        <v>2026586623</v>
      </c>
      <c r="E121" t="s">
        <v>365</v>
      </c>
      <c r="F121" t="s">
        <v>366</v>
      </c>
      <c r="G121" t="s">
        <v>51</v>
      </c>
      <c r="H121" t="s">
        <v>214</v>
      </c>
      <c r="I121" t="s">
        <v>79</v>
      </c>
      <c r="J121" t="s">
        <v>350</v>
      </c>
      <c r="K121">
        <v>756418</v>
      </c>
      <c r="L121" t="s">
        <v>216</v>
      </c>
      <c r="M121" t="s">
        <v>217</v>
      </c>
      <c r="N121" t="s">
        <v>57</v>
      </c>
      <c r="O121" s="1">
        <v>45672</v>
      </c>
      <c r="Q121" s="1">
        <v>45976</v>
      </c>
      <c r="R121" s="2">
        <v>15</v>
      </c>
      <c r="S121">
        <v>1</v>
      </c>
      <c r="T121" t="s">
        <v>58</v>
      </c>
      <c r="U121" t="s">
        <v>180</v>
      </c>
      <c r="V121" s="3">
        <v>0.38</v>
      </c>
      <c r="W121" s="2">
        <v>0</v>
      </c>
      <c r="X121">
        <v>0</v>
      </c>
      <c r="Y121" t="s">
        <v>60</v>
      </c>
      <c r="Z121" t="s">
        <v>182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5.7</v>
      </c>
      <c r="AN121" s="2">
        <v>5.7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45943</v>
      </c>
      <c r="B122" t="s">
        <v>48</v>
      </c>
      <c r="C122">
        <v>649163</v>
      </c>
      <c r="D122">
        <v>2027080634</v>
      </c>
      <c r="E122" t="s">
        <v>367</v>
      </c>
      <c r="F122" t="s">
        <v>368</v>
      </c>
      <c r="G122" t="s">
        <v>51</v>
      </c>
      <c r="H122" t="s">
        <v>369</v>
      </c>
      <c r="I122" t="s">
        <v>79</v>
      </c>
      <c r="J122" t="s">
        <v>85</v>
      </c>
      <c r="K122">
        <v>824062</v>
      </c>
      <c r="L122" t="s">
        <v>126</v>
      </c>
      <c r="M122" t="s">
        <v>127</v>
      </c>
      <c r="N122" t="s">
        <v>57</v>
      </c>
      <c r="O122" s="1">
        <v>45701</v>
      </c>
      <c r="Q122" s="1">
        <v>45974</v>
      </c>
      <c r="R122" s="2">
        <v>15</v>
      </c>
      <c r="S122">
        <v>1</v>
      </c>
      <c r="T122" t="s">
        <v>58</v>
      </c>
      <c r="U122" t="s">
        <v>180</v>
      </c>
      <c r="V122" s="3">
        <v>0.28999999999999998</v>
      </c>
      <c r="W122" s="2">
        <v>0</v>
      </c>
      <c r="X122">
        <v>0</v>
      </c>
      <c r="Y122" t="s">
        <v>60</v>
      </c>
      <c r="Z122" t="s">
        <v>182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4.3499999999999996</v>
      </c>
      <c r="AN122" s="2">
        <v>4.3499999999999996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45943</v>
      </c>
      <c r="B123" t="s">
        <v>48</v>
      </c>
      <c r="C123">
        <v>649163</v>
      </c>
      <c r="D123">
        <v>2027849976</v>
      </c>
      <c r="E123" t="s">
        <v>370</v>
      </c>
      <c r="F123" t="s">
        <v>371</v>
      </c>
      <c r="G123" t="s">
        <v>51</v>
      </c>
      <c r="H123" t="s">
        <v>372</v>
      </c>
      <c r="I123" t="s">
        <v>79</v>
      </c>
      <c r="J123" t="s">
        <v>350</v>
      </c>
      <c r="K123">
        <v>650218</v>
      </c>
      <c r="L123" t="s">
        <v>195</v>
      </c>
      <c r="M123" t="s">
        <v>196</v>
      </c>
      <c r="N123" t="s">
        <v>57</v>
      </c>
      <c r="O123" s="1">
        <v>45733</v>
      </c>
      <c r="Q123" s="1">
        <v>45978</v>
      </c>
      <c r="R123" s="2">
        <v>15</v>
      </c>
      <c r="S123">
        <v>1</v>
      </c>
      <c r="T123" t="s">
        <v>58</v>
      </c>
      <c r="U123" t="s">
        <v>180</v>
      </c>
      <c r="V123" s="3">
        <v>0.38</v>
      </c>
      <c r="W123" s="2">
        <v>0</v>
      </c>
      <c r="X123">
        <v>0</v>
      </c>
      <c r="Y123" t="s">
        <v>60</v>
      </c>
      <c r="Z123" t="s">
        <v>182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5.7</v>
      </c>
      <c r="AN123" s="2">
        <v>5.7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45943</v>
      </c>
      <c r="B124" t="s">
        <v>48</v>
      </c>
      <c r="C124">
        <v>649163</v>
      </c>
      <c r="D124">
        <v>2028367121</v>
      </c>
      <c r="E124" t="s">
        <v>262</v>
      </c>
      <c r="F124" t="s">
        <v>263</v>
      </c>
      <c r="G124" t="s">
        <v>51</v>
      </c>
      <c r="H124" t="s">
        <v>52</v>
      </c>
      <c r="I124" t="s">
        <v>79</v>
      </c>
      <c r="J124" t="s">
        <v>80</v>
      </c>
      <c r="K124">
        <v>673059</v>
      </c>
      <c r="L124" t="s">
        <v>55</v>
      </c>
      <c r="M124" t="s">
        <v>56</v>
      </c>
      <c r="N124" t="s">
        <v>57</v>
      </c>
      <c r="O124" s="1">
        <v>45759</v>
      </c>
      <c r="Q124" s="1">
        <v>45973</v>
      </c>
      <c r="R124" s="2">
        <v>15</v>
      </c>
      <c r="S124">
        <v>1</v>
      </c>
      <c r="T124" t="s">
        <v>58</v>
      </c>
      <c r="U124" t="s">
        <v>180</v>
      </c>
      <c r="V124" s="3">
        <v>0.38</v>
      </c>
      <c r="W124" s="2">
        <v>0</v>
      </c>
      <c r="X124">
        <v>0</v>
      </c>
      <c r="Y124" t="s">
        <v>60</v>
      </c>
      <c r="Z124" t="s">
        <v>182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5.7</v>
      </c>
      <c r="AN124" s="2">
        <v>5.7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45943</v>
      </c>
      <c r="B125" t="s">
        <v>48</v>
      </c>
      <c r="C125">
        <v>649163</v>
      </c>
      <c r="D125">
        <v>2028437289</v>
      </c>
      <c r="E125" t="s">
        <v>373</v>
      </c>
      <c r="F125" t="s">
        <v>374</v>
      </c>
      <c r="G125" t="s">
        <v>51</v>
      </c>
      <c r="H125" t="s">
        <v>52</v>
      </c>
      <c r="I125" t="s">
        <v>79</v>
      </c>
      <c r="J125" t="s">
        <v>85</v>
      </c>
      <c r="K125">
        <v>673059</v>
      </c>
      <c r="L125" t="s">
        <v>55</v>
      </c>
      <c r="M125" t="s">
        <v>56</v>
      </c>
      <c r="N125" t="s">
        <v>57</v>
      </c>
      <c r="O125" s="1">
        <v>45764</v>
      </c>
      <c r="Q125" s="1">
        <v>45978</v>
      </c>
      <c r="R125" s="2">
        <v>15</v>
      </c>
      <c r="S125">
        <v>1</v>
      </c>
      <c r="T125" t="s">
        <v>58</v>
      </c>
      <c r="U125" t="s">
        <v>180</v>
      </c>
      <c r="V125" s="3">
        <v>0.28999999999999998</v>
      </c>
      <c r="W125" s="2">
        <v>0</v>
      </c>
      <c r="X125">
        <v>0</v>
      </c>
      <c r="Y125" t="s">
        <v>60</v>
      </c>
      <c r="Z125" t="s">
        <v>182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4.3499999999999996</v>
      </c>
      <c r="AN125" s="2">
        <v>4.3499999999999996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45943</v>
      </c>
      <c r="B126" t="s">
        <v>48</v>
      </c>
      <c r="C126">
        <v>649163</v>
      </c>
      <c r="D126">
        <v>2028958359</v>
      </c>
      <c r="E126" t="s">
        <v>275</v>
      </c>
      <c r="F126" t="s">
        <v>276</v>
      </c>
      <c r="G126" t="s">
        <v>51</v>
      </c>
      <c r="H126" t="s">
        <v>78</v>
      </c>
      <c r="I126" t="s">
        <v>79</v>
      </c>
      <c r="J126" t="s">
        <v>375</v>
      </c>
      <c r="K126">
        <v>673059</v>
      </c>
      <c r="L126" t="s">
        <v>55</v>
      </c>
      <c r="M126" t="s">
        <v>56</v>
      </c>
      <c r="N126" t="s">
        <v>57</v>
      </c>
      <c r="O126" s="1">
        <v>45793</v>
      </c>
      <c r="Q126" s="1">
        <v>45977</v>
      </c>
      <c r="R126" s="2">
        <v>15</v>
      </c>
      <c r="S126">
        <v>1</v>
      </c>
      <c r="T126" t="s">
        <v>58</v>
      </c>
      <c r="U126" t="s">
        <v>180</v>
      </c>
      <c r="V126" s="3">
        <v>0.19</v>
      </c>
      <c r="W126" s="2">
        <v>0</v>
      </c>
      <c r="X126">
        <v>0</v>
      </c>
      <c r="Y126" t="s">
        <v>60</v>
      </c>
      <c r="Z126" t="s">
        <v>182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2.85</v>
      </c>
      <c r="AN126" s="2">
        <v>2.85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45943</v>
      </c>
      <c r="B127" t="s">
        <v>48</v>
      </c>
      <c r="C127">
        <v>649163</v>
      </c>
      <c r="D127">
        <v>2029177110</v>
      </c>
      <c r="E127" t="s">
        <v>282</v>
      </c>
      <c r="F127" t="s">
        <v>283</v>
      </c>
      <c r="G127" t="s">
        <v>51</v>
      </c>
      <c r="H127" t="s">
        <v>78</v>
      </c>
      <c r="I127" t="s">
        <v>79</v>
      </c>
      <c r="J127" t="s">
        <v>350</v>
      </c>
      <c r="K127">
        <v>820873</v>
      </c>
      <c r="L127" t="s">
        <v>284</v>
      </c>
      <c r="M127" t="s">
        <v>285</v>
      </c>
      <c r="N127" t="s">
        <v>179</v>
      </c>
      <c r="O127" s="1">
        <v>45809</v>
      </c>
      <c r="P127" s="1">
        <v>45943</v>
      </c>
      <c r="Q127" s="1">
        <v>45962</v>
      </c>
      <c r="R127" s="2">
        <v>-15</v>
      </c>
      <c r="S127">
        <v>1</v>
      </c>
      <c r="T127" t="s">
        <v>58</v>
      </c>
      <c r="U127" t="s">
        <v>180</v>
      </c>
      <c r="V127" s="3">
        <v>0.38</v>
      </c>
      <c r="W127" s="2">
        <v>0</v>
      </c>
      <c r="X127">
        <v>-1</v>
      </c>
      <c r="Y127" t="s">
        <v>60</v>
      </c>
      <c r="Z127" t="s">
        <v>182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-5.7</v>
      </c>
      <c r="AN127" s="2">
        <v>-5.7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45943</v>
      </c>
      <c r="B128" t="s">
        <v>48</v>
      </c>
      <c r="C128">
        <v>649163</v>
      </c>
      <c r="D128">
        <v>2029177110</v>
      </c>
      <c r="E128" t="s">
        <v>282</v>
      </c>
      <c r="F128" t="s">
        <v>283</v>
      </c>
      <c r="G128" t="s">
        <v>51</v>
      </c>
      <c r="H128" t="s">
        <v>78</v>
      </c>
      <c r="I128" t="s">
        <v>79</v>
      </c>
      <c r="J128" t="s">
        <v>350</v>
      </c>
      <c r="K128">
        <v>820873</v>
      </c>
      <c r="L128" t="s">
        <v>284</v>
      </c>
      <c r="M128" t="s">
        <v>285</v>
      </c>
      <c r="N128" t="s">
        <v>179</v>
      </c>
      <c r="O128" s="1">
        <v>45809</v>
      </c>
      <c r="P128" s="1">
        <v>45943</v>
      </c>
      <c r="Q128" s="1">
        <v>45962</v>
      </c>
      <c r="R128" s="2">
        <v>-15</v>
      </c>
      <c r="S128">
        <v>1</v>
      </c>
      <c r="T128" t="s">
        <v>58</v>
      </c>
      <c r="U128" t="s">
        <v>180</v>
      </c>
      <c r="V128" s="3">
        <v>0.38</v>
      </c>
      <c r="W128" s="2">
        <v>0</v>
      </c>
      <c r="X128">
        <v>-1</v>
      </c>
      <c r="Y128" t="s">
        <v>60</v>
      </c>
      <c r="Z128" t="s">
        <v>182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-5.7</v>
      </c>
      <c r="AN128" s="2">
        <v>-5.7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45943</v>
      </c>
      <c r="B129" t="s">
        <v>48</v>
      </c>
      <c r="C129">
        <v>649163</v>
      </c>
      <c r="D129">
        <v>2029486077</v>
      </c>
      <c r="E129" t="s">
        <v>376</v>
      </c>
      <c r="F129" t="s">
        <v>377</v>
      </c>
      <c r="G129" t="s">
        <v>51</v>
      </c>
      <c r="H129" t="s">
        <v>78</v>
      </c>
      <c r="I129" t="s">
        <v>79</v>
      </c>
      <c r="J129" t="s">
        <v>80</v>
      </c>
      <c r="K129">
        <v>824062</v>
      </c>
      <c r="L129" t="s">
        <v>126</v>
      </c>
      <c r="M129" t="s">
        <v>127</v>
      </c>
      <c r="N129" t="s">
        <v>57</v>
      </c>
      <c r="O129" s="1">
        <v>45825</v>
      </c>
      <c r="Q129" s="1">
        <v>45978</v>
      </c>
      <c r="R129" s="2">
        <v>15</v>
      </c>
      <c r="S129">
        <v>1</v>
      </c>
      <c r="T129" t="s">
        <v>58</v>
      </c>
      <c r="U129" t="s">
        <v>180</v>
      </c>
      <c r="V129" s="3">
        <v>0.38</v>
      </c>
      <c r="W129" s="2">
        <v>0</v>
      </c>
      <c r="X129">
        <v>0</v>
      </c>
      <c r="Y129" t="s">
        <v>60</v>
      </c>
      <c r="Z129" t="s">
        <v>182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5.7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45943</v>
      </c>
      <c r="B130" t="s">
        <v>48</v>
      </c>
      <c r="C130">
        <v>649163</v>
      </c>
      <c r="D130">
        <v>2029844786</v>
      </c>
      <c r="E130" t="s">
        <v>227</v>
      </c>
      <c r="F130" t="s">
        <v>378</v>
      </c>
      <c r="G130" t="s">
        <v>51</v>
      </c>
      <c r="H130" t="s">
        <v>78</v>
      </c>
      <c r="I130" t="s">
        <v>79</v>
      </c>
      <c r="J130" t="s">
        <v>80</v>
      </c>
      <c r="K130">
        <v>768887</v>
      </c>
      <c r="L130" t="s">
        <v>139</v>
      </c>
      <c r="M130" t="s">
        <v>140</v>
      </c>
      <c r="N130" t="s">
        <v>57</v>
      </c>
      <c r="O130" s="1">
        <v>45849</v>
      </c>
      <c r="Q130" s="1">
        <v>45972</v>
      </c>
      <c r="R130" s="2">
        <v>15</v>
      </c>
      <c r="S130">
        <v>1</v>
      </c>
      <c r="T130" t="s">
        <v>58</v>
      </c>
      <c r="U130" t="s">
        <v>180</v>
      </c>
      <c r="V130" s="3">
        <v>0.38</v>
      </c>
      <c r="W130" s="2">
        <v>0</v>
      </c>
      <c r="X130">
        <v>0</v>
      </c>
      <c r="Y130" t="s">
        <v>60</v>
      </c>
      <c r="Z130" t="s">
        <v>182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5.7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45943</v>
      </c>
      <c r="B131" t="s">
        <v>48</v>
      </c>
      <c r="C131">
        <v>649163</v>
      </c>
      <c r="D131">
        <v>2029995395</v>
      </c>
      <c r="E131" t="s">
        <v>379</v>
      </c>
      <c r="F131" t="s">
        <v>211</v>
      </c>
      <c r="G131" t="s">
        <v>51</v>
      </c>
      <c r="H131" t="s">
        <v>225</v>
      </c>
      <c r="I131" t="s">
        <v>79</v>
      </c>
      <c r="J131" t="s">
        <v>85</v>
      </c>
      <c r="K131">
        <v>877182</v>
      </c>
      <c r="L131" t="s">
        <v>380</v>
      </c>
      <c r="M131" t="s">
        <v>381</v>
      </c>
      <c r="N131" t="s">
        <v>57</v>
      </c>
      <c r="O131" s="1">
        <v>45855</v>
      </c>
      <c r="Q131" s="1">
        <v>45978</v>
      </c>
      <c r="R131" s="2">
        <v>15</v>
      </c>
      <c r="S131">
        <v>1</v>
      </c>
      <c r="T131" t="s">
        <v>58</v>
      </c>
      <c r="U131" t="s">
        <v>180</v>
      </c>
      <c r="V131" s="3">
        <v>0.28999999999999998</v>
      </c>
      <c r="W131" s="2">
        <v>0</v>
      </c>
      <c r="X131">
        <v>0</v>
      </c>
      <c r="Y131" t="s">
        <v>60</v>
      </c>
      <c r="Z131" t="s">
        <v>182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4.3499999999999996</v>
      </c>
      <c r="AN131" s="2">
        <v>4.3499999999999996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45943</v>
      </c>
      <c r="B132" t="s">
        <v>48</v>
      </c>
      <c r="C132">
        <v>649163</v>
      </c>
      <c r="D132">
        <v>2030485608</v>
      </c>
      <c r="E132" t="s">
        <v>382</v>
      </c>
      <c r="F132" t="s">
        <v>383</v>
      </c>
      <c r="G132" t="s">
        <v>51</v>
      </c>
      <c r="H132" t="s">
        <v>219</v>
      </c>
      <c r="I132" t="s">
        <v>79</v>
      </c>
      <c r="J132" t="s">
        <v>85</v>
      </c>
      <c r="K132">
        <v>839913</v>
      </c>
      <c r="L132" t="s">
        <v>384</v>
      </c>
      <c r="M132" t="s">
        <v>385</v>
      </c>
      <c r="N132" t="s">
        <v>57</v>
      </c>
      <c r="O132" s="1">
        <v>45883</v>
      </c>
      <c r="Q132" s="1">
        <v>45975</v>
      </c>
      <c r="R132" s="2">
        <v>15</v>
      </c>
      <c r="S132">
        <v>1</v>
      </c>
      <c r="T132" t="s">
        <v>58</v>
      </c>
      <c r="U132" t="s">
        <v>180</v>
      </c>
      <c r="V132" s="3">
        <v>0.28999999999999998</v>
      </c>
      <c r="W132" s="2">
        <v>0</v>
      </c>
      <c r="X132">
        <v>0</v>
      </c>
      <c r="Y132" t="s">
        <v>60</v>
      </c>
      <c r="Z132" t="s">
        <v>182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4.3499999999999996</v>
      </c>
      <c r="AN132" s="2">
        <v>4.3499999999999996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45943</v>
      </c>
      <c r="B133" t="s">
        <v>48</v>
      </c>
      <c r="C133">
        <v>649163</v>
      </c>
      <c r="D133">
        <v>2030924643</v>
      </c>
      <c r="E133" t="s">
        <v>338</v>
      </c>
      <c r="F133" t="s">
        <v>339</v>
      </c>
      <c r="G133" t="s">
        <v>51</v>
      </c>
      <c r="H133" t="s">
        <v>312</v>
      </c>
      <c r="I133" t="s">
        <v>79</v>
      </c>
      <c r="J133" t="s">
        <v>354</v>
      </c>
      <c r="K133">
        <v>874230</v>
      </c>
      <c r="L133" t="s">
        <v>340</v>
      </c>
      <c r="M133" t="s">
        <v>341</v>
      </c>
      <c r="N133" t="s">
        <v>57</v>
      </c>
      <c r="O133" s="1">
        <v>45911</v>
      </c>
      <c r="Q133" s="1">
        <v>45972</v>
      </c>
      <c r="R133" s="2">
        <v>15</v>
      </c>
      <c r="S133">
        <v>1</v>
      </c>
      <c r="T133" t="s">
        <v>58</v>
      </c>
      <c r="U133" t="s">
        <v>82</v>
      </c>
      <c r="V133" s="3">
        <v>0.19</v>
      </c>
      <c r="W133" s="2">
        <v>0</v>
      </c>
      <c r="X133">
        <v>0</v>
      </c>
      <c r="Y133" t="s">
        <v>60</v>
      </c>
      <c r="Z133" t="s">
        <v>182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2.85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45943</v>
      </c>
      <c r="B134" t="s">
        <v>48</v>
      </c>
      <c r="C134">
        <v>649163</v>
      </c>
      <c r="D134">
        <v>2030932602</v>
      </c>
      <c r="E134" t="s">
        <v>342</v>
      </c>
      <c r="F134" t="s">
        <v>343</v>
      </c>
      <c r="G134" t="s">
        <v>51</v>
      </c>
      <c r="H134" t="s">
        <v>312</v>
      </c>
      <c r="I134" t="s">
        <v>79</v>
      </c>
      <c r="J134" t="s">
        <v>354</v>
      </c>
      <c r="K134">
        <v>874230</v>
      </c>
      <c r="L134" t="s">
        <v>340</v>
      </c>
      <c r="M134" t="s">
        <v>341</v>
      </c>
      <c r="N134" t="s">
        <v>57</v>
      </c>
      <c r="O134" s="1">
        <v>45911</v>
      </c>
      <c r="Q134" s="1">
        <v>45972</v>
      </c>
      <c r="R134" s="2">
        <v>15</v>
      </c>
      <c r="S134">
        <v>1</v>
      </c>
      <c r="T134" t="s">
        <v>58</v>
      </c>
      <c r="U134" t="s">
        <v>82</v>
      </c>
      <c r="V134" s="3">
        <v>0.19</v>
      </c>
      <c r="W134" s="2">
        <v>0</v>
      </c>
      <c r="X134">
        <v>0</v>
      </c>
      <c r="Y134" t="s">
        <v>60</v>
      </c>
      <c r="Z134" t="s">
        <v>182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2.85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45943</v>
      </c>
      <c r="B135" t="s">
        <v>48</v>
      </c>
      <c r="C135">
        <v>649163</v>
      </c>
      <c r="D135">
        <v>2031017071</v>
      </c>
      <c r="E135" t="s">
        <v>346</v>
      </c>
      <c r="F135" t="s">
        <v>159</v>
      </c>
      <c r="G135" t="s">
        <v>51</v>
      </c>
      <c r="H135" t="s">
        <v>107</v>
      </c>
      <c r="I135" t="s">
        <v>79</v>
      </c>
      <c r="J135" t="s">
        <v>386</v>
      </c>
      <c r="K135">
        <v>877790</v>
      </c>
      <c r="L135" t="s">
        <v>108</v>
      </c>
      <c r="M135" t="s">
        <v>109</v>
      </c>
      <c r="N135" t="s">
        <v>57</v>
      </c>
      <c r="O135" s="1">
        <v>45913</v>
      </c>
      <c r="Q135" s="1">
        <v>45974</v>
      </c>
      <c r="R135" s="2">
        <v>15</v>
      </c>
      <c r="S135">
        <v>1</v>
      </c>
      <c r="T135" t="s">
        <v>58</v>
      </c>
      <c r="U135" t="s">
        <v>88</v>
      </c>
      <c r="V135" s="3">
        <v>0.19</v>
      </c>
      <c r="W135" s="2">
        <v>0</v>
      </c>
      <c r="X135">
        <v>0</v>
      </c>
      <c r="Y135" t="s">
        <v>60</v>
      </c>
      <c r="Z135" t="s">
        <v>182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2.85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45943</v>
      </c>
      <c r="B136" t="s">
        <v>48</v>
      </c>
      <c r="C136">
        <v>649163</v>
      </c>
      <c r="D136">
        <v>2031057793</v>
      </c>
      <c r="E136" t="s">
        <v>387</v>
      </c>
      <c r="F136" t="s">
        <v>90</v>
      </c>
      <c r="G136" t="s">
        <v>51</v>
      </c>
      <c r="H136" t="s">
        <v>337</v>
      </c>
      <c r="I136" t="s">
        <v>79</v>
      </c>
      <c r="J136" t="s">
        <v>388</v>
      </c>
      <c r="K136">
        <v>856163</v>
      </c>
      <c r="L136" t="s">
        <v>65</v>
      </c>
      <c r="M136" t="s">
        <v>81</v>
      </c>
      <c r="N136" t="s">
        <v>57</v>
      </c>
      <c r="O136" s="1">
        <v>45915</v>
      </c>
      <c r="Q136" s="1">
        <v>45976</v>
      </c>
      <c r="R136" s="2">
        <v>15</v>
      </c>
      <c r="S136">
        <v>1</v>
      </c>
      <c r="T136" t="s">
        <v>58</v>
      </c>
      <c r="U136" t="s">
        <v>389</v>
      </c>
      <c r="V136" s="3">
        <v>0.27</v>
      </c>
      <c r="W136" s="2">
        <v>0</v>
      </c>
      <c r="X136">
        <v>0</v>
      </c>
      <c r="Y136" t="s">
        <v>60</v>
      </c>
      <c r="Z136" t="s">
        <v>182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4.05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45943</v>
      </c>
      <c r="B137" t="s">
        <v>48</v>
      </c>
      <c r="C137">
        <v>649163</v>
      </c>
      <c r="D137">
        <v>2016549422</v>
      </c>
      <c r="E137" t="s">
        <v>390</v>
      </c>
      <c r="F137" t="s">
        <v>327</v>
      </c>
      <c r="G137" t="s">
        <v>51</v>
      </c>
      <c r="H137" t="s">
        <v>189</v>
      </c>
      <c r="I137" t="s">
        <v>92</v>
      </c>
      <c r="J137" t="s">
        <v>93</v>
      </c>
      <c r="K137">
        <v>650794</v>
      </c>
      <c r="L137" t="s">
        <v>222</v>
      </c>
      <c r="M137" t="s">
        <v>391</v>
      </c>
      <c r="N137" t="s">
        <v>57</v>
      </c>
      <c r="O137" s="1">
        <v>44849</v>
      </c>
      <c r="Q137" s="1">
        <v>45976</v>
      </c>
      <c r="R137" s="2">
        <v>149.46</v>
      </c>
      <c r="S137">
        <v>1</v>
      </c>
      <c r="T137" t="s">
        <v>58</v>
      </c>
      <c r="U137" t="s">
        <v>180</v>
      </c>
      <c r="V137" s="3">
        <v>0.06</v>
      </c>
      <c r="W137" s="2">
        <v>0</v>
      </c>
      <c r="X137">
        <v>0</v>
      </c>
      <c r="Y137" t="s">
        <v>181</v>
      </c>
      <c r="Z137" t="s">
        <v>182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8.9700000000000006</v>
      </c>
      <c r="AN137" s="2">
        <v>8.9700000000000006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45943</v>
      </c>
      <c r="B138" t="s">
        <v>48</v>
      </c>
      <c r="C138">
        <v>649163</v>
      </c>
      <c r="D138">
        <v>2017069747</v>
      </c>
      <c r="E138" t="s">
        <v>392</v>
      </c>
      <c r="F138" t="s">
        <v>159</v>
      </c>
      <c r="G138" t="s">
        <v>51</v>
      </c>
      <c r="H138" t="s">
        <v>189</v>
      </c>
      <c r="I138" t="s">
        <v>92</v>
      </c>
      <c r="J138" t="s">
        <v>93</v>
      </c>
      <c r="K138">
        <v>650794</v>
      </c>
      <c r="L138" t="s">
        <v>222</v>
      </c>
      <c r="M138" t="s">
        <v>391</v>
      </c>
      <c r="N138" t="s">
        <v>57</v>
      </c>
      <c r="O138" s="1">
        <v>44909</v>
      </c>
      <c r="Q138" s="1">
        <v>45975</v>
      </c>
      <c r="R138" s="2">
        <v>36.65</v>
      </c>
      <c r="S138">
        <v>1</v>
      </c>
      <c r="T138" t="s">
        <v>58</v>
      </c>
      <c r="U138" t="s">
        <v>180</v>
      </c>
      <c r="V138" s="3">
        <v>0.06</v>
      </c>
      <c r="W138" s="2">
        <v>0</v>
      </c>
      <c r="X138">
        <v>0</v>
      </c>
      <c r="Y138" t="s">
        <v>181</v>
      </c>
      <c r="Z138" t="s">
        <v>182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2.2000000000000002</v>
      </c>
      <c r="AN138" s="2">
        <v>2.2000000000000002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45943</v>
      </c>
      <c r="B139" t="s">
        <v>48</v>
      </c>
      <c r="C139">
        <v>649163</v>
      </c>
      <c r="D139">
        <v>2017105567</v>
      </c>
      <c r="E139" t="s">
        <v>393</v>
      </c>
      <c r="F139" t="s">
        <v>394</v>
      </c>
      <c r="G139" t="s">
        <v>51</v>
      </c>
      <c r="H139" t="s">
        <v>189</v>
      </c>
      <c r="I139" t="s">
        <v>92</v>
      </c>
      <c r="J139" t="s">
        <v>93</v>
      </c>
      <c r="K139">
        <v>649247</v>
      </c>
      <c r="L139" t="s">
        <v>395</v>
      </c>
      <c r="M139" t="s">
        <v>396</v>
      </c>
      <c r="N139" t="s">
        <v>57</v>
      </c>
      <c r="O139" s="1">
        <v>44911</v>
      </c>
      <c r="Q139" s="1">
        <v>45977</v>
      </c>
      <c r="R139" s="2">
        <v>101.58</v>
      </c>
      <c r="S139">
        <v>1</v>
      </c>
      <c r="T139" t="s">
        <v>58</v>
      </c>
      <c r="U139" t="s">
        <v>180</v>
      </c>
      <c r="V139" s="3">
        <v>0.06</v>
      </c>
      <c r="W139" s="2">
        <v>0</v>
      </c>
      <c r="X139">
        <v>0</v>
      </c>
      <c r="Y139" t="s">
        <v>181</v>
      </c>
      <c r="Z139" t="s">
        <v>182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6.09</v>
      </c>
      <c r="AN139" s="2">
        <v>6.09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45943</v>
      </c>
      <c r="B140" t="s">
        <v>48</v>
      </c>
      <c r="C140">
        <v>649163</v>
      </c>
      <c r="D140">
        <v>2017683726</v>
      </c>
      <c r="E140" t="s">
        <v>397</v>
      </c>
      <c r="F140" t="s">
        <v>398</v>
      </c>
      <c r="G140" t="s">
        <v>51</v>
      </c>
      <c r="H140" t="s">
        <v>225</v>
      </c>
      <c r="I140" t="s">
        <v>92</v>
      </c>
      <c r="J140" t="s">
        <v>93</v>
      </c>
      <c r="K140">
        <v>649793</v>
      </c>
      <c r="L140" t="s">
        <v>55</v>
      </c>
      <c r="M140" t="s">
        <v>178</v>
      </c>
      <c r="N140" t="s">
        <v>57</v>
      </c>
      <c r="O140" s="1">
        <v>44974</v>
      </c>
      <c r="Q140" s="1">
        <v>45978</v>
      </c>
      <c r="R140" s="2">
        <v>31.88</v>
      </c>
      <c r="S140">
        <v>1</v>
      </c>
      <c r="T140" t="s">
        <v>58</v>
      </c>
      <c r="U140" t="s">
        <v>180</v>
      </c>
      <c r="V140" s="3">
        <v>0.06</v>
      </c>
      <c r="W140" s="2">
        <v>0</v>
      </c>
      <c r="X140">
        <v>0</v>
      </c>
      <c r="Y140" t="s">
        <v>181</v>
      </c>
      <c r="Z140" t="s">
        <v>182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1.91</v>
      </c>
      <c r="AN140" s="2">
        <v>1.91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45943</v>
      </c>
      <c r="B141" t="s">
        <v>48</v>
      </c>
      <c r="C141">
        <v>649163</v>
      </c>
      <c r="D141">
        <v>2019352254</v>
      </c>
      <c r="E141" t="s">
        <v>399</v>
      </c>
      <c r="F141" t="s">
        <v>400</v>
      </c>
      <c r="G141" t="s">
        <v>51</v>
      </c>
      <c r="H141" t="s">
        <v>189</v>
      </c>
      <c r="I141" t="s">
        <v>92</v>
      </c>
      <c r="J141" t="s">
        <v>93</v>
      </c>
      <c r="K141">
        <v>649247</v>
      </c>
      <c r="L141" t="s">
        <v>395</v>
      </c>
      <c r="M141" t="s">
        <v>396</v>
      </c>
      <c r="N141" t="s">
        <v>57</v>
      </c>
      <c r="O141" s="1">
        <v>45120</v>
      </c>
      <c r="Q141" s="1">
        <v>45974</v>
      </c>
      <c r="R141" s="2">
        <v>49.98</v>
      </c>
      <c r="S141">
        <v>1</v>
      </c>
      <c r="T141" t="s">
        <v>58</v>
      </c>
      <c r="U141" t="s">
        <v>180</v>
      </c>
      <c r="V141" s="3">
        <v>0.06</v>
      </c>
      <c r="W141" s="2">
        <v>0</v>
      </c>
      <c r="X141">
        <v>0</v>
      </c>
      <c r="Y141" t="s">
        <v>181</v>
      </c>
      <c r="Z141" t="s">
        <v>182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3</v>
      </c>
      <c r="AN141" s="2">
        <v>3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45943</v>
      </c>
      <c r="B142" t="s">
        <v>48</v>
      </c>
      <c r="C142">
        <v>649163</v>
      </c>
      <c r="D142">
        <v>2020037859</v>
      </c>
      <c r="E142" t="s">
        <v>401</v>
      </c>
      <c r="F142" t="s">
        <v>159</v>
      </c>
      <c r="G142" t="s">
        <v>51</v>
      </c>
      <c r="H142" t="s">
        <v>189</v>
      </c>
      <c r="I142" t="s">
        <v>92</v>
      </c>
      <c r="J142" t="s">
        <v>93</v>
      </c>
      <c r="K142">
        <v>702406</v>
      </c>
      <c r="L142" t="s">
        <v>402</v>
      </c>
      <c r="M142" t="s">
        <v>403</v>
      </c>
      <c r="N142" t="s">
        <v>57</v>
      </c>
      <c r="O142" s="1">
        <v>45182</v>
      </c>
      <c r="Q142" s="1">
        <v>45974</v>
      </c>
      <c r="R142" s="2">
        <v>151.88</v>
      </c>
      <c r="S142">
        <v>1</v>
      </c>
      <c r="T142" t="s">
        <v>58</v>
      </c>
      <c r="U142" t="s">
        <v>180</v>
      </c>
      <c r="V142" s="3">
        <v>0.06</v>
      </c>
      <c r="W142" s="2">
        <v>0</v>
      </c>
      <c r="X142">
        <v>0</v>
      </c>
      <c r="Y142" t="s">
        <v>181</v>
      </c>
      <c r="Z142" t="s">
        <v>182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9.11</v>
      </c>
      <c r="AN142" s="2">
        <v>9.11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45943</v>
      </c>
      <c r="B143" t="s">
        <v>48</v>
      </c>
      <c r="C143">
        <v>649163</v>
      </c>
      <c r="D143">
        <v>2020039861</v>
      </c>
      <c r="E143" t="s">
        <v>404</v>
      </c>
      <c r="F143" t="s">
        <v>405</v>
      </c>
      <c r="G143" t="s">
        <v>51</v>
      </c>
      <c r="H143" t="s">
        <v>78</v>
      </c>
      <c r="I143" t="s">
        <v>92</v>
      </c>
      <c r="J143" t="s">
        <v>93</v>
      </c>
      <c r="K143">
        <v>673059</v>
      </c>
      <c r="L143" t="s">
        <v>55</v>
      </c>
      <c r="M143" t="s">
        <v>56</v>
      </c>
      <c r="N143" t="s">
        <v>57</v>
      </c>
      <c r="O143" s="1">
        <v>45182</v>
      </c>
      <c r="Q143" s="1">
        <v>45974</v>
      </c>
      <c r="R143" s="2">
        <v>53.57</v>
      </c>
      <c r="S143">
        <v>1</v>
      </c>
      <c r="T143" t="s">
        <v>58</v>
      </c>
      <c r="U143" t="s">
        <v>180</v>
      </c>
      <c r="V143" s="3">
        <v>0.06</v>
      </c>
      <c r="W143" s="2">
        <v>0</v>
      </c>
      <c r="X143">
        <v>0</v>
      </c>
      <c r="Y143" t="s">
        <v>181</v>
      </c>
      <c r="Z143" t="s">
        <v>182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3.21</v>
      </c>
      <c r="AN143" s="2">
        <v>3.21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45943</v>
      </c>
      <c r="B144" t="s">
        <v>48</v>
      </c>
      <c r="C144">
        <v>649163</v>
      </c>
      <c r="D144">
        <v>2020776384</v>
      </c>
      <c r="E144" t="s">
        <v>406</v>
      </c>
      <c r="F144" t="s">
        <v>407</v>
      </c>
      <c r="G144" t="s">
        <v>51</v>
      </c>
      <c r="H144" t="s">
        <v>189</v>
      </c>
      <c r="I144" t="s">
        <v>92</v>
      </c>
      <c r="J144" t="s">
        <v>93</v>
      </c>
      <c r="K144">
        <v>702406</v>
      </c>
      <c r="L144" t="s">
        <v>402</v>
      </c>
      <c r="M144" t="s">
        <v>403</v>
      </c>
      <c r="N144" t="s">
        <v>57</v>
      </c>
      <c r="O144" s="1">
        <v>45244</v>
      </c>
      <c r="Q144" s="1">
        <v>45975</v>
      </c>
      <c r="R144" s="2">
        <v>119.58</v>
      </c>
      <c r="S144">
        <v>1</v>
      </c>
      <c r="T144" t="s">
        <v>58</v>
      </c>
      <c r="U144" t="s">
        <v>180</v>
      </c>
      <c r="V144" s="3">
        <v>0.06</v>
      </c>
      <c r="W144" s="2">
        <v>0</v>
      </c>
      <c r="X144">
        <v>0</v>
      </c>
      <c r="Y144" t="s">
        <v>181</v>
      </c>
      <c r="Z144" t="s">
        <v>182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7.17</v>
      </c>
      <c r="AN144" s="2">
        <v>7.17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45943</v>
      </c>
      <c r="B145" t="s">
        <v>48</v>
      </c>
      <c r="C145">
        <v>649163</v>
      </c>
      <c r="D145">
        <v>2022254781</v>
      </c>
      <c r="E145" t="s">
        <v>224</v>
      </c>
      <c r="F145" t="s">
        <v>192</v>
      </c>
      <c r="G145" t="s">
        <v>51</v>
      </c>
      <c r="H145" t="s">
        <v>225</v>
      </c>
      <c r="I145" t="s">
        <v>92</v>
      </c>
      <c r="J145" t="s">
        <v>93</v>
      </c>
      <c r="K145">
        <v>673059</v>
      </c>
      <c r="L145" t="s">
        <v>55</v>
      </c>
      <c r="M145" t="s">
        <v>56</v>
      </c>
      <c r="N145" t="s">
        <v>57</v>
      </c>
      <c r="O145" s="1">
        <v>45364</v>
      </c>
      <c r="Q145" s="1">
        <v>45974</v>
      </c>
      <c r="R145" s="2">
        <v>136.49</v>
      </c>
      <c r="S145">
        <v>1</v>
      </c>
      <c r="T145" t="s">
        <v>58</v>
      </c>
      <c r="U145" t="s">
        <v>180</v>
      </c>
      <c r="V145" s="3">
        <v>0.06</v>
      </c>
      <c r="W145" s="2">
        <v>0</v>
      </c>
      <c r="X145">
        <v>0</v>
      </c>
      <c r="Y145" t="s">
        <v>181</v>
      </c>
      <c r="Z145" t="s">
        <v>182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8.19</v>
      </c>
      <c r="AN145" s="2">
        <v>8.19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45943</v>
      </c>
      <c r="B146" t="s">
        <v>48</v>
      </c>
      <c r="C146">
        <v>649163</v>
      </c>
      <c r="D146">
        <v>2023499226</v>
      </c>
      <c r="E146" t="s">
        <v>183</v>
      </c>
      <c r="F146" t="s">
        <v>184</v>
      </c>
      <c r="G146" t="s">
        <v>51</v>
      </c>
      <c r="H146" t="s">
        <v>185</v>
      </c>
      <c r="I146" t="s">
        <v>92</v>
      </c>
      <c r="J146" t="s">
        <v>93</v>
      </c>
      <c r="K146">
        <v>751867</v>
      </c>
      <c r="L146" t="s">
        <v>186</v>
      </c>
      <c r="M146" t="s">
        <v>90</v>
      </c>
      <c r="N146" t="s">
        <v>57</v>
      </c>
      <c r="O146" s="1">
        <v>45456</v>
      </c>
      <c r="Q146" s="1">
        <v>45974</v>
      </c>
      <c r="R146" s="2">
        <v>33.479999999999997</v>
      </c>
      <c r="S146">
        <v>1</v>
      </c>
      <c r="T146" t="s">
        <v>58</v>
      </c>
      <c r="U146" t="s">
        <v>180</v>
      </c>
      <c r="V146" s="3">
        <v>0.06</v>
      </c>
      <c r="W146" s="2">
        <v>0</v>
      </c>
      <c r="X146">
        <v>0</v>
      </c>
      <c r="Y146" t="s">
        <v>181</v>
      </c>
      <c r="Z146" t="s">
        <v>182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2.0099999999999998</v>
      </c>
      <c r="AN146" s="2">
        <v>2.0099999999999998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45943</v>
      </c>
      <c r="B147" t="s">
        <v>48</v>
      </c>
      <c r="C147">
        <v>649163</v>
      </c>
      <c r="D147">
        <v>2023845996</v>
      </c>
      <c r="E147" t="s">
        <v>347</v>
      </c>
      <c r="F147" t="s">
        <v>348</v>
      </c>
      <c r="G147" t="s">
        <v>51</v>
      </c>
      <c r="H147" t="s">
        <v>349</v>
      </c>
      <c r="I147" t="s">
        <v>92</v>
      </c>
      <c r="J147" t="s">
        <v>93</v>
      </c>
      <c r="K147">
        <v>751867</v>
      </c>
      <c r="L147" t="s">
        <v>186</v>
      </c>
      <c r="M147" t="s">
        <v>90</v>
      </c>
      <c r="N147" t="s">
        <v>57</v>
      </c>
      <c r="O147" s="1">
        <v>45505</v>
      </c>
      <c r="Q147" s="1">
        <v>45962</v>
      </c>
      <c r="R147" s="2">
        <v>27.06</v>
      </c>
      <c r="S147">
        <v>1</v>
      </c>
      <c r="T147" t="s">
        <v>58</v>
      </c>
      <c r="U147" t="s">
        <v>180</v>
      </c>
      <c r="V147" s="3">
        <v>0.06</v>
      </c>
      <c r="W147" s="2">
        <v>0</v>
      </c>
      <c r="X147">
        <v>0</v>
      </c>
      <c r="Y147" t="s">
        <v>181</v>
      </c>
      <c r="Z147" t="s">
        <v>182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1.62</v>
      </c>
      <c r="AN147" s="2">
        <v>1.62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45943</v>
      </c>
      <c r="B148" t="s">
        <v>48</v>
      </c>
      <c r="C148">
        <v>649163</v>
      </c>
      <c r="D148">
        <v>2024356430</v>
      </c>
      <c r="E148" t="s">
        <v>408</v>
      </c>
      <c r="F148" t="s">
        <v>409</v>
      </c>
      <c r="G148" t="s">
        <v>51</v>
      </c>
      <c r="H148" t="s">
        <v>78</v>
      </c>
      <c r="I148" t="s">
        <v>92</v>
      </c>
      <c r="J148" t="s">
        <v>93</v>
      </c>
      <c r="K148">
        <v>767312</v>
      </c>
      <c r="L148" t="s">
        <v>147</v>
      </c>
      <c r="M148" t="s">
        <v>148</v>
      </c>
      <c r="N148" t="s">
        <v>57</v>
      </c>
      <c r="O148" s="1">
        <v>45517</v>
      </c>
      <c r="Q148" s="1">
        <v>45974</v>
      </c>
      <c r="R148" s="2">
        <v>27.22</v>
      </c>
      <c r="S148">
        <v>1</v>
      </c>
      <c r="T148" t="s">
        <v>58</v>
      </c>
      <c r="U148" t="s">
        <v>180</v>
      </c>
      <c r="V148" s="3">
        <v>0.06</v>
      </c>
      <c r="W148" s="2">
        <v>0</v>
      </c>
      <c r="X148">
        <v>0</v>
      </c>
      <c r="Y148" t="s">
        <v>181</v>
      </c>
      <c r="Z148" t="s">
        <v>182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1.63</v>
      </c>
      <c r="AN148" s="2">
        <v>1.63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45943</v>
      </c>
      <c r="B149" t="s">
        <v>48</v>
      </c>
      <c r="C149">
        <v>649163</v>
      </c>
      <c r="D149">
        <v>2024834571</v>
      </c>
      <c r="E149" t="s">
        <v>229</v>
      </c>
      <c r="F149" t="s">
        <v>194</v>
      </c>
      <c r="G149" t="s">
        <v>51</v>
      </c>
      <c r="H149" t="s">
        <v>102</v>
      </c>
      <c r="I149" t="s">
        <v>92</v>
      </c>
      <c r="J149" t="s">
        <v>93</v>
      </c>
      <c r="K149">
        <v>767312</v>
      </c>
      <c r="L149" t="s">
        <v>147</v>
      </c>
      <c r="M149" t="s">
        <v>148</v>
      </c>
      <c r="N149" t="s">
        <v>57</v>
      </c>
      <c r="O149" s="1">
        <v>45549</v>
      </c>
      <c r="Q149" s="1">
        <v>45975</v>
      </c>
      <c r="R149" s="2">
        <v>75.599999999999994</v>
      </c>
      <c r="S149">
        <v>1</v>
      </c>
      <c r="T149" t="s">
        <v>58</v>
      </c>
      <c r="U149" t="s">
        <v>180</v>
      </c>
      <c r="V149" s="3">
        <v>0.06</v>
      </c>
      <c r="W149" s="2">
        <v>0</v>
      </c>
      <c r="X149">
        <v>0</v>
      </c>
      <c r="Y149" t="s">
        <v>181</v>
      </c>
      <c r="Z149" t="s">
        <v>182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4.54</v>
      </c>
      <c r="AN149" s="2">
        <v>4.54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45943</v>
      </c>
      <c r="B150" t="s">
        <v>48</v>
      </c>
      <c r="C150">
        <v>649163</v>
      </c>
      <c r="D150">
        <v>2024853073</v>
      </c>
      <c r="E150" t="s">
        <v>362</v>
      </c>
      <c r="F150" t="s">
        <v>363</v>
      </c>
      <c r="G150" t="s">
        <v>51</v>
      </c>
      <c r="H150" t="s">
        <v>225</v>
      </c>
      <c r="I150" t="s">
        <v>92</v>
      </c>
      <c r="J150" t="s">
        <v>93</v>
      </c>
      <c r="K150">
        <v>650218</v>
      </c>
      <c r="L150" t="s">
        <v>195</v>
      </c>
      <c r="M150" t="s">
        <v>196</v>
      </c>
      <c r="N150" t="s">
        <v>57</v>
      </c>
      <c r="O150" s="1">
        <v>45550</v>
      </c>
      <c r="Q150" s="1">
        <v>45976</v>
      </c>
      <c r="R150" s="2">
        <v>56.53</v>
      </c>
      <c r="S150">
        <v>1</v>
      </c>
      <c r="T150" t="s">
        <v>58</v>
      </c>
      <c r="U150" t="s">
        <v>180</v>
      </c>
      <c r="V150" s="3">
        <v>0.06</v>
      </c>
      <c r="W150" s="2">
        <v>0</v>
      </c>
      <c r="X150">
        <v>0</v>
      </c>
      <c r="Y150" t="s">
        <v>181</v>
      </c>
      <c r="Z150" t="s">
        <v>182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3.39</v>
      </c>
      <c r="AN150" s="2">
        <v>3.39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45943</v>
      </c>
      <c r="B151" t="s">
        <v>48</v>
      </c>
      <c r="C151">
        <v>649163</v>
      </c>
      <c r="D151">
        <v>2024865456</v>
      </c>
      <c r="E151" t="s">
        <v>410</v>
      </c>
      <c r="F151" t="s">
        <v>258</v>
      </c>
      <c r="G151" t="s">
        <v>51</v>
      </c>
      <c r="H151" t="s">
        <v>411</v>
      </c>
      <c r="I151" t="s">
        <v>92</v>
      </c>
      <c r="J151" t="s">
        <v>93</v>
      </c>
      <c r="K151">
        <v>767312</v>
      </c>
      <c r="L151" t="s">
        <v>147</v>
      </c>
      <c r="M151" t="s">
        <v>148</v>
      </c>
      <c r="N151" t="s">
        <v>57</v>
      </c>
      <c r="O151" s="1">
        <v>45549</v>
      </c>
      <c r="Q151" s="1">
        <v>45975</v>
      </c>
      <c r="R151" s="2">
        <v>27.67</v>
      </c>
      <c r="S151">
        <v>1</v>
      </c>
      <c r="T151" t="s">
        <v>58</v>
      </c>
      <c r="U151" t="s">
        <v>180</v>
      </c>
      <c r="V151" s="3">
        <v>0.06</v>
      </c>
      <c r="W151" s="2">
        <v>0</v>
      </c>
      <c r="X151">
        <v>0</v>
      </c>
      <c r="Y151" t="s">
        <v>181</v>
      </c>
      <c r="Z151" t="s">
        <v>182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1.66</v>
      </c>
      <c r="AN151" s="2">
        <v>1.66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45943</v>
      </c>
      <c r="B152" t="s">
        <v>48</v>
      </c>
      <c r="C152">
        <v>649163</v>
      </c>
      <c r="D152">
        <v>2025254889</v>
      </c>
      <c r="E152" t="s">
        <v>230</v>
      </c>
      <c r="F152" t="s">
        <v>231</v>
      </c>
      <c r="G152" t="s">
        <v>51</v>
      </c>
      <c r="H152" t="s">
        <v>130</v>
      </c>
      <c r="I152" t="s">
        <v>92</v>
      </c>
      <c r="J152" t="s">
        <v>93</v>
      </c>
      <c r="K152">
        <v>767312</v>
      </c>
      <c r="L152" t="s">
        <v>147</v>
      </c>
      <c r="M152" t="s">
        <v>148</v>
      </c>
      <c r="N152" t="s">
        <v>57</v>
      </c>
      <c r="O152" s="1">
        <v>45576</v>
      </c>
      <c r="Q152" s="1">
        <v>45972</v>
      </c>
      <c r="R152" s="2">
        <v>23.54</v>
      </c>
      <c r="S152">
        <v>1</v>
      </c>
      <c r="T152" t="s">
        <v>58</v>
      </c>
      <c r="U152" t="s">
        <v>180</v>
      </c>
      <c r="V152" s="3">
        <v>0.06</v>
      </c>
      <c r="W152" s="2">
        <v>0</v>
      </c>
      <c r="X152">
        <v>0</v>
      </c>
      <c r="Y152" t="s">
        <v>181</v>
      </c>
      <c r="Z152" t="s">
        <v>182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1.41</v>
      </c>
      <c r="AN152" s="2">
        <v>1.41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45943</v>
      </c>
      <c r="B153" t="s">
        <v>48</v>
      </c>
      <c r="C153">
        <v>649163</v>
      </c>
      <c r="D153">
        <v>2025287064</v>
      </c>
      <c r="E153" t="s">
        <v>235</v>
      </c>
      <c r="F153" t="s">
        <v>236</v>
      </c>
      <c r="G153" t="s">
        <v>51</v>
      </c>
      <c r="H153" t="s">
        <v>52</v>
      </c>
      <c r="I153" t="s">
        <v>92</v>
      </c>
      <c r="J153" t="s">
        <v>93</v>
      </c>
      <c r="K153">
        <v>767312</v>
      </c>
      <c r="L153" t="s">
        <v>147</v>
      </c>
      <c r="M153" t="s">
        <v>148</v>
      </c>
      <c r="N153" t="s">
        <v>57</v>
      </c>
      <c r="O153" s="1">
        <v>45577</v>
      </c>
      <c r="Q153" s="1">
        <v>45973</v>
      </c>
      <c r="R153" s="2">
        <v>18.25</v>
      </c>
      <c r="S153">
        <v>1</v>
      </c>
      <c r="T153" t="s">
        <v>58</v>
      </c>
      <c r="U153" t="s">
        <v>180</v>
      </c>
      <c r="V153" s="3">
        <v>0.06</v>
      </c>
      <c r="W153" s="2">
        <v>0</v>
      </c>
      <c r="X153">
        <v>0</v>
      </c>
      <c r="Y153" t="s">
        <v>181</v>
      </c>
      <c r="Z153" t="s">
        <v>182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1.1000000000000001</v>
      </c>
      <c r="AN153" s="2">
        <v>1.1000000000000001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45943</v>
      </c>
      <c r="B154" t="s">
        <v>48</v>
      </c>
      <c r="C154">
        <v>649163</v>
      </c>
      <c r="D154">
        <v>2025316508</v>
      </c>
      <c r="E154" t="s">
        <v>237</v>
      </c>
      <c r="F154" t="s">
        <v>238</v>
      </c>
      <c r="G154" t="s">
        <v>51</v>
      </c>
      <c r="H154" t="s">
        <v>219</v>
      </c>
      <c r="I154" t="s">
        <v>92</v>
      </c>
      <c r="J154" t="s">
        <v>93</v>
      </c>
      <c r="K154">
        <v>767312</v>
      </c>
      <c r="L154" t="s">
        <v>147</v>
      </c>
      <c r="M154" t="s">
        <v>148</v>
      </c>
      <c r="N154" t="s">
        <v>57</v>
      </c>
      <c r="O154" s="1">
        <v>45580</v>
      </c>
      <c r="Q154" s="1">
        <v>45976</v>
      </c>
      <c r="R154" s="2">
        <v>14.84</v>
      </c>
      <c r="S154">
        <v>1</v>
      </c>
      <c r="T154" t="s">
        <v>58</v>
      </c>
      <c r="U154" t="s">
        <v>180</v>
      </c>
      <c r="V154" s="3">
        <v>0.06</v>
      </c>
      <c r="W154" s="2">
        <v>0</v>
      </c>
      <c r="X154">
        <v>0</v>
      </c>
      <c r="Y154" t="s">
        <v>181</v>
      </c>
      <c r="Z154" t="s">
        <v>182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0.89</v>
      </c>
      <c r="AN154" s="2">
        <v>0.89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45943</v>
      </c>
      <c r="B155" t="s">
        <v>48</v>
      </c>
      <c r="C155">
        <v>649163</v>
      </c>
      <c r="D155">
        <v>2025724990</v>
      </c>
      <c r="E155" t="s">
        <v>412</v>
      </c>
      <c r="F155" t="s">
        <v>413</v>
      </c>
      <c r="G155" t="s">
        <v>51</v>
      </c>
      <c r="H155" t="s">
        <v>214</v>
      </c>
      <c r="I155" t="s">
        <v>92</v>
      </c>
      <c r="J155" t="s">
        <v>93</v>
      </c>
      <c r="K155">
        <v>756418</v>
      </c>
      <c r="L155" t="s">
        <v>216</v>
      </c>
      <c r="M155" t="s">
        <v>217</v>
      </c>
      <c r="N155" t="s">
        <v>57</v>
      </c>
      <c r="O155" s="1">
        <v>45608</v>
      </c>
      <c r="Q155" s="1">
        <v>45973</v>
      </c>
      <c r="R155" s="2">
        <v>94.25</v>
      </c>
      <c r="S155">
        <v>1</v>
      </c>
      <c r="T155" t="s">
        <v>58</v>
      </c>
      <c r="U155" t="s">
        <v>180</v>
      </c>
      <c r="V155" s="4">
        <v>0.375</v>
      </c>
      <c r="W155" s="2">
        <v>0</v>
      </c>
      <c r="X155">
        <v>0</v>
      </c>
      <c r="Y155" t="s">
        <v>60</v>
      </c>
      <c r="Z155" t="s">
        <v>182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35.340000000000003</v>
      </c>
      <c r="AN155" s="2">
        <v>35.340000000000003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45943</v>
      </c>
      <c r="B156" t="s">
        <v>48</v>
      </c>
      <c r="C156">
        <v>649163</v>
      </c>
      <c r="D156">
        <v>2025738648</v>
      </c>
      <c r="E156" t="s">
        <v>414</v>
      </c>
      <c r="F156" t="s">
        <v>415</v>
      </c>
      <c r="G156" t="s">
        <v>51</v>
      </c>
      <c r="H156" t="s">
        <v>102</v>
      </c>
      <c r="I156" t="s">
        <v>92</v>
      </c>
      <c r="J156" t="s">
        <v>93</v>
      </c>
      <c r="K156">
        <v>767312</v>
      </c>
      <c r="L156" t="s">
        <v>147</v>
      </c>
      <c r="M156" t="s">
        <v>148</v>
      </c>
      <c r="N156" t="s">
        <v>57</v>
      </c>
      <c r="O156" s="1">
        <v>45609</v>
      </c>
      <c r="Q156" s="1">
        <v>45974</v>
      </c>
      <c r="R156" s="2">
        <v>18.66</v>
      </c>
      <c r="S156">
        <v>1</v>
      </c>
      <c r="T156" t="s">
        <v>58</v>
      </c>
      <c r="U156" t="s">
        <v>180</v>
      </c>
      <c r="V156" s="4">
        <v>0.375</v>
      </c>
      <c r="W156" s="2">
        <v>0</v>
      </c>
      <c r="X156">
        <v>0</v>
      </c>
      <c r="Y156" t="s">
        <v>60</v>
      </c>
      <c r="Z156" t="s">
        <v>182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7</v>
      </c>
      <c r="AN156" s="2">
        <v>7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45943</v>
      </c>
      <c r="B157" t="s">
        <v>48</v>
      </c>
      <c r="C157">
        <v>649163</v>
      </c>
      <c r="D157">
        <v>2025785646</v>
      </c>
      <c r="E157" t="s">
        <v>416</v>
      </c>
      <c r="F157" t="s">
        <v>417</v>
      </c>
      <c r="G157" t="s">
        <v>51</v>
      </c>
      <c r="H157" t="s">
        <v>225</v>
      </c>
      <c r="I157" t="s">
        <v>92</v>
      </c>
      <c r="J157" t="s">
        <v>93</v>
      </c>
      <c r="K157">
        <v>673059</v>
      </c>
      <c r="L157" t="s">
        <v>55</v>
      </c>
      <c r="M157" t="s">
        <v>56</v>
      </c>
      <c r="N157" t="s">
        <v>57</v>
      </c>
      <c r="O157" s="1">
        <v>45612</v>
      </c>
      <c r="Q157" s="1">
        <v>45977</v>
      </c>
      <c r="R157" s="2">
        <v>89.37</v>
      </c>
      <c r="S157">
        <v>1</v>
      </c>
      <c r="T157" t="s">
        <v>58</v>
      </c>
      <c r="U157" t="s">
        <v>180</v>
      </c>
      <c r="V157" s="4">
        <v>0.375</v>
      </c>
      <c r="W157" s="2">
        <v>0</v>
      </c>
      <c r="X157">
        <v>0</v>
      </c>
      <c r="Y157" t="s">
        <v>60</v>
      </c>
      <c r="Z157" t="s">
        <v>182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33.51</v>
      </c>
      <c r="AN157" s="2">
        <v>33.51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45943</v>
      </c>
      <c r="B158" t="s">
        <v>48</v>
      </c>
      <c r="C158">
        <v>649163</v>
      </c>
      <c r="D158">
        <v>2030676913</v>
      </c>
      <c r="E158" t="s">
        <v>418</v>
      </c>
      <c r="F158" t="s">
        <v>419</v>
      </c>
      <c r="G158" t="s">
        <v>51</v>
      </c>
      <c r="H158" t="s">
        <v>185</v>
      </c>
      <c r="I158" t="s">
        <v>116</v>
      </c>
      <c r="J158" t="s">
        <v>125</v>
      </c>
      <c r="K158">
        <v>856824</v>
      </c>
      <c r="L158" t="s">
        <v>156</v>
      </c>
      <c r="M158" t="s">
        <v>157</v>
      </c>
      <c r="N158" t="s">
        <v>179</v>
      </c>
      <c r="O158" s="1">
        <v>45931</v>
      </c>
      <c r="P158" s="1">
        <v>45936</v>
      </c>
      <c r="Q158" s="1">
        <v>45962</v>
      </c>
      <c r="R158" s="2">
        <v>-159.80000000000001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-1</v>
      </c>
      <c r="Y158" t="s">
        <v>60</v>
      </c>
      <c r="Z158" t="s">
        <v>182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-111.86</v>
      </c>
      <c r="AN158" s="2">
        <v>-111.86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45943</v>
      </c>
      <c r="B159" t="s">
        <v>48</v>
      </c>
      <c r="C159">
        <v>649163</v>
      </c>
      <c r="D159">
        <v>2030676914</v>
      </c>
      <c r="E159" t="s">
        <v>418</v>
      </c>
      <c r="F159" t="s">
        <v>419</v>
      </c>
      <c r="G159" t="s">
        <v>51</v>
      </c>
      <c r="H159" t="s">
        <v>185</v>
      </c>
      <c r="I159" t="s">
        <v>116</v>
      </c>
      <c r="J159" t="s">
        <v>120</v>
      </c>
      <c r="K159">
        <v>856824</v>
      </c>
      <c r="L159" t="s">
        <v>156</v>
      </c>
      <c r="M159" t="s">
        <v>157</v>
      </c>
      <c r="N159" t="s">
        <v>179</v>
      </c>
      <c r="O159" s="1">
        <v>45931</v>
      </c>
      <c r="P159" s="1">
        <v>45936</v>
      </c>
      <c r="Q159" s="1">
        <v>45962</v>
      </c>
      <c r="R159" s="2">
        <v>-77.099999999999994</v>
      </c>
      <c r="S159">
        <v>1</v>
      </c>
      <c r="T159" t="s">
        <v>58</v>
      </c>
      <c r="U159" t="s">
        <v>59</v>
      </c>
      <c r="V159" s="3">
        <v>0.9</v>
      </c>
      <c r="W159" s="2">
        <v>0</v>
      </c>
      <c r="X159">
        <v>-1</v>
      </c>
      <c r="Y159" t="s">
        <v>60</v>
      </c>
      <c r="Z159" t="s">
        <v>182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-69.39</v>
      </c>
      <c r="AN159" s="2">
        <v>-69.39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45943</v>
      </c>
      <c r="B160" t="s">
        <v>48</v>
      </c>
      <c r="C160">
        <v>649163</v>
      </c>
      <c r="D160">
        <v>2030772792</v>
      </c>
      <c r="E160" t="s">
        <v>192</v>
      </c>
      <c r="F160" t="s">
        <v>336</v>
      </c>
      <c r="G160" t="s">
        <v>51</v>
      </c>
      <c r="H160" t="s">
        <v>337</v>
      </c>
      <c r="I160" t="s">
        <v>116</v>
      </c>
      <c r="J160" t="s">
        <v>125</v>
      </c>
      <c r="K160">
        <v>856163</v>
      </c>
      <c r="L160" t="s">
        <v>65</v>
      </c>
      <c r="M160" t="s">
        <v>81</v>
      </c>
      <c r="N160" t="s">
        <v>179</v>
      </c>
      <c r="O160" s="1">
        <v>45901</v>
      </c>
      <c r="P160" s="1">
        <v>45943</v>
      </c>
      <c r="Q160" s="1">
        <v>45962</v>
      </c>
      <c r="R160" s="2">
        <v>-48.27</v>
      </c>
      <c r="S160">
        <v>1</v>
      </c>
      <c r="T160" t="s">
        <v>58</v>
      </c>
      <c r="U160" t="s">
        <v>180</v>
      </c>
      <c r="V160" s="3">
        <v>0.7</v>
      </c>
      <c r="W160" s="2">
        <v>0</v>
      </c>
      <c r="X160">
        <v>-1</v>
      </c>
      <c r="Y160" t="s">
        <v>60</v>
      </c>
      <c r="Z160" t="s">
        <v>182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-33.79</v>
      </c>
      <c r="AN160" s="2">
        <v>-33.79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45943</v>
      </c>
      <c r="B161" t="s">
        <v>48</v>
      </c>
      <c r="C161">
        <v>649163</v>
      </c>
      <c r="D161">
        <v>2030805142</v>
      </c>
      <c r="E161" t="s">
        <v>420</v>
      </c>
      <c r="F161" t="s">
        <v>421</v>
      </c>
      <c r="G161" t="s">
        <v>51</v>
      </c>
      <c r="H161" t="s">
        <v>91</v>
      </c>
      <c r="I161" t="s">
        <v>116</v>
      </c>
      <c r="J161" t="s">
        <v>120</v>
      </c>
      <c r="K161">
        <v>792847</v>
      </c>
      <c r="L161" t="s">
        <v>277</v>
      </c>
      <c r="M161" t="s">
        <v>279</v>
      </c>
      <c r="N161" t="s">
        <v>57</v>
      </c>
      <c r="O161" s="1">
        <v>45902</v>
      </c>
      <c r="Q161" s="1">
        <v>45963</v>
      </c>
      <c r="R161" s="2">
        <v>9.25</v>
      </c>
      <c r="S161">
        <v>1</v>
      </c>
      <c r="T161" t="s">
        <v>58</v>
      </c>
      <c r="U161" t="s">
        <v>180</v>
      </c>
      <c r="V161" s="3">
        <v>0.9</v>
      </c>
      <c r="W161" s="2">
        <v>0</v>
      </c>
      <c r="X161">
        <v>0</v>
      </c>
      <c r="Y161" t="s">
        <v>60</v>
      </c>
      <c r="Z161" t="s">
        <v>182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8.32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45943</v>
      </c>
      <c r="B162" t="s">
        <v>48</v>
      </c>
      <c r="C162">
        <v>649163</v>
      </c>
      <c r="D162">
        <v>2030805143</v>
      </c>
      <c r="E162" t="s">
        <v>420</v>
      </c>
      <c r="F162" t="s">
        <v>421</v>
      </c>
      <c r="G162" t="s">
        <v>51</v>
      </c>
      <c r="H162" t="s">
        <v>91</v>
      </c>
      <c r="I162" t="s">
        <v>116</v>
      </c>
      <c r="J162" t="s">
        <v>125</v>
      </c>
      <c r="K162">
        <v>792847</v>
      </c>
      <c r="L162" t="s">
        <v>277</v>
      </c>
      <c r="M162" t="s">
        <v>279</v>
      </c>
      <c r="N162" t="s">
        <v>57</v>
      </c>
      <c r="O162" s="1">
        <v>45902</v>
      </c>
      <c r="Q162" s="1">
        <v>45963</v>
      </c>
      <c r="R162" s="2">
        <v>34.950000000000003</v>
      </c>
      <c r="S162">
        <v>1</v>
      </c>
      <c r="T162" t="s">
        <v>58</v>
      </c>
      <c r="U162" t="s">
        <v>180</v>
      </c>
      <c r="V162" s="3">
        <v>0.7</v>
      </c>
      <c r="W162" s="2">
        <v>0</v>
      </c>
      <c r="X162">
        <v>0</v>
      </c>
      <c r="Y162" t="s">
        <v>60</v>
      </c>
      <c r="Z162" t="s">
        <v>182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24.46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45943</v>
      </c>
      <c r="B163" t="s">
        <v>48</v>
      </c>
      <c r="C163">
        <v>649163</v>
      </c>
      <c r="D163">
        <v>2030924641</v>
      </c>
      <c r="E163" t="s">
        <v>338</v>
      </c>
      <c r="F163" t="s">
        <v>339</v>
      </c>
      <c r="G163" t="s">
        <v>51</v>
      </c>
      <c r="H163" t="s">
        <v>312</v>
      </c>
      <c r="I163" t="s">
        <v>116</v>
      </c>
      <c r="J163" t="s">
        <v>125</v>
      </c>
      <c r="K163">
        <v>874230</v>
      </c>
      <c r="L163" t="s">
        <v>340</v>
      </c>
      <c r="M163" t="s">
        <v>341</v>
      </c>
      <c r="N163" t="s">
        <v>57</v>
      </c>
      <c r="O163" s="1">
        <v>45911</v>
      </c>
      <c r="Q163" s="1">
        <v>45972</v>
      </c>
      <c r="R163" s="2">
        <v>65.48</v>
      </c>
      <c r="S163">
        <v>1</v>
      </c>
      <c r="T163" t="s">
        <v>58</v>
      </c>
      <c r="U163" t="s">
        <v>59</v>
      </c>
      <c r="V163" s="3">
        <v>0.7</v>
      </c>
      <c r="W163" s="2">
        <v>0</v>
      </c>
      <c r="X163">
        <v>0</v>
      </c>
      <c r="Y163" t="s">
        <v>60</v>
      </c>
      <c r="Z163" t="s">
        <v>182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45.84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45943</v>
      </c>
      <c r="B164" t="s">
        <v>48</v>
      </c>
      <c r="C164">
        <v>649163</v>
      </c>
      <c r="D164">
        <v>2030932600</v>
      </c>
      <c r="E164" t="s">
        <v>342</v>
      </c>
      <c r="F164" t="s">
        <v>343</v>
      </c>
      <c r="G164" t="s">
        <v>51</v>
      </c>
      <c r="H164" t="s">
        <v>312</v>
      </c>
      <c r="I164" t="s">
        <v>116</v>
      </c>
      <c r="J164" t="s">
        <v>125</v>
      </c>
      <c r="K164">
        <v>874230</v>
      </c>
      <c r="L164" t="s">
        <v>340</v>
      </c>
      <c r="M164" t="s">
        <v>341</v>
      </c>
      <c r="N164" t="s">
        <v>57</v>
      </c>
      <c r="O164" s="1">
        <v>45911</v>
      </c>
      <c r="Q164" s="1">
        <v>45972</v>
      </c>
      <c r="R164" s="2">
        <v>65.48</v>
      </c>
      <c r="S164">
        <v>1</v>
      </c>
      <c r="T164" t="s">
        <v>58</v>
      </c>
      <c r="U164" t="s">
        <v>59</v>
      </c>
      <c r="V164" s="3">
        <v>0.7</v>
      </c>
      <c r="W164" s="2">
        <v>0</v>
      </c>
      <c r="X164">
        <v>0</v>
      </c>
      <c r="Y164" t="s">
        <v>60</v>
      </c>
      <c r="Z164" t="s">
        <v>182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45.84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45943</v>
      </c>
      <c r="B165" t="s">
        <v>48</v>
      </c>
      <c r="C165">
        <v>649163</v>
      </c>
      <c r="D165">
        <v>2030945328</v>
      </c>
      <c r="E165" t="s">
        <v>422</v>
      </c>
      <c r="F165" t="s">
        <v>159</v>
      </c>
      <c r="G165" t="s">
        <v>51</v>
      </c>
      <c r="H165" t="s">
        <v>78</v>
      </c>
      <c r="I165" t="s">
        <v>116</v>
      </c>
      <c r="J165" t="s">
        <v>125</v>
      </c>
      <c r="K165">
        <v>756803</v>
      </c>
      <c r="L165" t="s">
        <v>423</v>
      </c>
      <c r="M165" t="s">
        <v>424</v>
      </c>
      <c r="N165" t="s">
        <v>57</v>
      </c>
      <c r="O165" s="1">
        <v>45915</v>
      </c>
      <c r="Q165" s="1">
        <v>45976</v>
      </c>
      <c r="R165" s="2">
        <v>27.5</v>
      </c>
      <c r="S165">
        <v>1</v>
      </c>
      <c r="T165" t="s">
        <v>58</v>
      </c>
      <c r="U165" t="s">
        <v>59</v>
      </c>
      <c r="V165" s="3">
        <v>0.7</v>
      </c>
      <c r="W165" s="2">
        <v>0</v>
      </c>
      <c r="X165">
        <v>0</v>
      </c>
      <c r="Y165" t="s">
        <v>60</v>
      </c>
      <c r="Z165" t="s">
        <v>182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19.25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45943</v>
      </c>
      <c r="B166" t="s">
        <v>48</v>
      </c>
      <c r="C166">
        <v>649163</v>
      </c>
      <c r="D166">
        <v>2030954164</v>
      </c>
      <c r="E166" t="s">
        <v>425</v>
      </c>
      <c r="F166" t="s">
        <v>426</v>
      </c>
      <c r="G166" t="s">
        <v>51</v>
      </c>
      <c r="H166" t="s">
        <v>91</v>
      </c>
      <c r="I166" t="s">
        <v>116</v>
      </c>
      <c r="J166" t="s">
        <v>125</v>
      </c>
      <c r="K166">
        <v>822865</v>
      </c>
      <c r="L166" t="s">
        <v>266</v>
      </c>
      <c r="M166" t="s">
        <v>267</v>
      </c>
      <c r="N166" t="s">
        <v>57</v>
      </c>
      <c r="O166" s="1">
        <v>45911</v>
      </c>
      <c r="Q166" s="1">
        <v>45972</v>
      </c>
      <c r="R166" s="2">
        <v>28.38</v>
      </c>
      <c r="S166">
        <v>1</v>
      </c>
      <c r="T166" t="s">
        <v>58</v>
      </c>
      <c r="U166" t="s">
        <v>59</v>
      </c>
      <c r="V166" s="3">
        <v>0.7</v>
      </c>
      <c r="W166" s="2">
        <v>0</v>
      </c>
      <c r="X166">
        <v>0</v>
      </c>
      <c r="Y166" t="s">
        <v>60</v>
      </c>
      <c r="Z166" t="s">
        <v>182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19.87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45943</v>
      </c>
      <c r="B167" t="s">
        <v>48</v>
      </c>
      <c r="C167">
        <v>649163</v>
      </c>
      <c r="D167">
        <v>2030962019</v>
      </c>
      <c r="E167" t="s">
        <v>427</v>
      </c>
      <c r="F167" t="s">
        <v>428</v>
      </c>
      <c r="G167" t="s">
        <v>51</v>
      </c>
      <c r="H167" t="s">
        <v>107</v>
      </c>
      <c r="I167" t="s">
        <v>116</v>
      </c>
      <c r="J167" t="s">
        <v>429</v>
      </c>
      <c r="K167">
        <v>877790</v>
      </c>
      <c r="L167" t="s">
        <v>108</v>
      </c>
      <c r="M167" t="s">
        <v>109</v>
      </c>
      <c r="N167" t="s">
        <v>57</v>
      </c>
      <c r="O167" s="1">
        <v>45911</v>
      </c>
      <c r="Q167" s="1">
        <v>45972</v>
      </c>
      <c r="R167" s="2">
        <v>62.3</v>
      </c>
      <c r="S167">
        <v>1</v>
      </c>
      <c r="T167" t="s">
        <v>58</v>
      </c>
      <c r="U167" t="s">
        <v>59</v>
      </c>
      <c r="V167" s="3">
        <v>0.42</v>
      </c>
      <c r="W167" s="2">
        <v>0</v>
      </c>
      <c r="X167">
        <v>0</v>
      </c>
      <c r="Y167" t="s">
        <v>60</v>
      </c>
      <c r="Z167" t="s">
        <v>182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26.17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45943</v>
      </c>
      <c r="B168" t="s">
        <v>48</v>
      </c>
      <c r="C168">
        <v>649163</v>
      </c>
      <c r="D168">
        <v>2030982991</v>
      </c>
      <c r="E168" t="s">
        <v>344</v>
      </c>
      <c r="F168" t="s">
        <v>345</v>
      </c>
      <c r="G168" t="s">
        <v>51</v>
      </c>
      <c r="H168" t="s">
        <v>225</v>
      </c>
      <c r="I168" t="s">
        <v>116</v>
      </c>
      <c r="J168" t="s">
        <v>125</v>
      </c>
      <c r="K168">
        <v>823350</v>
      </c>
      <c r="L168" t="s">
        <v>65</v>
      </c>
      <c r="M168" t="s">
        <v>66</v>
      </c>
      <c r="N168" t="s">
        <v>57</v>
      </c>
      <c r="O168" s="1">
        <v>45915</v>
      </c>
      <c r="Q168" s="1">
        <v>45976</v>
      </c>
      <c r="R168" s="2">
        <v>94.01</v>
      </c>
      <c r="S168">
        <v>1</v>
      </c>
      <c r="T168" t="s">
        <v>58</v>
      </c>
      <c r="U168" t="s">
        <v>59</v>
      </c>
      <c r="V168" s="3">
        <v>0.7</v>
      </c>
      <c r="W168" s="2">
        <v>0</v>
      </c>
      <c r="X168">
        <v>0</v>
      </c>
      <c r="Y168" t="s">
        <v>60</v>
      </c>
      <c r="Z168" t="s">
        <v>182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65.81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45943</v>
      </c>
      <c r="B169" t="s">
        <v>48</v>
      </c>
      <c r="C169">
        <v>649163</v>
      </c>
      <c r="D169">
        <v>2030986241</v>
      </c>
      <c r="E169" t="s">
        <v>430</v>
      </c>
      <c r="F169" t="s">
        <v>431</v>
      </c>
      <c r="G169" t="s">
        <v>51</v>
      </c>
      <c r="H169" t="s">
        <v>91</v>
      </c>
      <c r="I169" t="s">
        <v>116</v>
      </c>
      <c r="J169" t="s">
        <v>125</v>
      </c>
      <c r="K169">
        <v>673059</v>
      </c>
      <c r="L169" t="s">
        <v>55</v>
      </c>
      <c r="M169" t="s">
        <v>56</v>
      </c>
      <c r="N169" t="s">
        <v>57</v>
      </c>
      <c r="O169" s="1">
        <v>45913</v>
      </c>
      <c r="Q169" s="1">
        <v>45974</v>
      </c>
      <c r="R169" s="2">
        <v>13</v>
      </c>
      <c r="S169">
        <v>1</v>
      </c>
      <c r="T169" t="s">
        <v>58</v>
      </c>
      <c r="U169" t="s">
        <v>59</v>
      </c>
      <c r="V169" s="3">
        <v>0.7</v>
      </c>
      <c r="W169" s="2">
        <v>0</v>
      </c>
      <c r="X169">
        <v>0</v>
      </c>
      <c r="Y169" t="s">
        <v>60</v>
      </c>
      <c r="Z169" t="s">
        <v>182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9.1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45943</v>
      </c>
      <c r="B170" t="s">
        <v>48</v>
      </c>
      <c r="C170">
        <v>649163</v>
      </c>
      <c r="D170">
        <v>2031017068</v>
      </c>
      <c r="E170" t="s">
        <v>346</v>
      </c>
      <c r="F170" t="s">
        <v>159</v>
      </c>
      <c r="G170" t="s">
        <v>51</v>
      </c>
      <c r="H170" t="s">
        <v>107</v>
      </c>
      <c r="I170" t="s">
        <v>116</v>
      </c>
      <c r="J170" t="s">
        <v>125</v>
      </c>
      <c r="K170">
        <v>877790</v>
      </c>
      <c r="L170" t="s">
        <v>108</v>
      </c>
      <c r="M170" t="s">
        <v>109</v>
      </c>
      <c r="N170" t="s">
        <v>57</v>
      </c>
      <c r="O170" s="1">
        <v>45913</v>
      </c>
      <c r="Q170" s="1">
        <v>45974</v>
      </c>
      <c r="R170" s="2">
        <v>14.92</v>
      </c>
      <c r="S170">
        <v>1</v>
      </c>
      <c r="T170" t="s">
        <v>58</v>
      </c>
      <c r="U170" t="s">
        <v>59</v>
      </c>
      <c r="V170" s="3">
        <v>0.7</v>
      </c>
      <c r="W170" s="2">
        <v>0</v>
      </c>
      <c r="X170">
        <v>0</v>
      </c>
      <c r="Y170" t="s">
        <v>60</v>
      </c>
      <c r="Z170" t="s">
        <v>182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10.44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45943</v>
      </c>
      <c r="B171" t="s">
        <v>48</v>
      </c>
      <c r="C171">
        <v>649163</v>
      </c>
      <c r="D171">
        <v>2031047975</v>
      </c>
      <c r="E171" t="s">
        <v>432</v>
      </c>
      <c r="F171" t="s">
        <v>433</v>
      </c>
      <c r="G171" t="s">
        <v>51</v>
      </c>
      <c r="H171" t="s">
        <v>91</v>
      </c>
      <c r="I171" t="s">
        <v>116</v>
      </c>
      <c r="J171" t="s">
        <v>125</v>
      </c>
      <c r="K171">
        <v>756418</v>
      </c>
      <c r="L171" t="s">
        <v>216</v>
      </c>
      <c r="M171" t="s">
        <v>217</v>
      </c>
      <c r="N171" t="s">
        <v>57</v>
      </c>
      <c r="O171" s="1">
        <v>45914</v>
      </c>
      <c r="Q171" s="1">
        <v>45975</v>
      </c>
      <c r="R171" s="2">
        <v>84.43</v>
      </c>
      <c r="S171">
        <v>1</v>
      </c>
      <c r="T171" t="s">
        <v>58</v>
      </c>
      <c r="U171" t="s">
        <v>59</v>
      </c>
      <c r="V171" s="3">
        <v>0.7</v>
      </c>
      <c r="W171" s="2">
        <v>0</v>
      </c>
      <c r="X171">
        <v>0</v>
      </c>
      <c r="Y171" t="s">
        <v>60</v>
      </c>
      <c r="Z171" t="s">
        <v>182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59.1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45943</v>
      </c>
      <c r="B172" t="s">
        <v>48</v>
      </c>
      <c r="C172">
        <v>649163</v>
      </c>
      <c r="D172">
        <v>2031047976</v>
      </c>
      <c r="E172" t="s">
        <v>432</v>
      </c>
      <c r="F172" t="s">
        <v>433</v>
      </c>
      <c r="G172" t="s">
        <v>51</v>
      </c>
      <c r="H172" t="s">
        <v>91</v>
      </c>
      <c r="I172" t="s">
        <v>116</v>
      </c>
      <c r="J172" t="s">
        <v>120</v>
      </c>
      <c r="K172">
        <v>756418</v>
      </c>
      <c r="L172" t="s">
        <v>216</v>
      </c>
      <c r="M172" t="s">
        <v>217</v>
      </c>
      <c r="N172" t="s">
        <v>57</v>
      </c>
      <c r="O172" s="1">
        <v>45914</v>
      </c>
      <c r="Q172" s="1">
        <v>45975</v>
      </c>
      <c r="R172" s="2">
        <v>22.38</v>
      </c>
      <c r="S172">
        <v>1</v>
      </c>
      <c r="T172" t="s">
        <v>58</v>
      </c>
      <c r="U172" t="s">
        <v>59</v>
      </c>
      <c r="V172" s="3">
        <v>0.9</v>
      </c>
      <c r="W172" s="2">
        <v>0</v>
      </c>
      <c r="X172">
        <v>0</v>
      </c>
      <c r="Y172" t="s">
        <v>60</v>
      </c>
      <c r="Z172" t="s">
        <v>182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20.14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45943</v>
      </c>
      <c r="B173" t="s">
        <v>48</v>
      </c>
      <c r="C173">
        <v>649163</v>
      </c>
      <c r="D173">
        <v>2031048164</v>
      </c>
      <c r="E173" t="s">
        <v>434</v>
      </c>
      <c r="F173" t="s">
        <v>435</v>
      </c>
      <c r="G173" t="s">
        <v>51</v>
      </c>
      <c r="H173" t="s">
        <v>78</v>
      </c>
      <c r="I173" t="s">
        <v>116</v>
      </c>
      <c r="J173" t="s">
        <v>125</v>
      </c>
      <c r="K173">
        <v>807212</v>
      </c>
      <c r="L173" t="s">
        <v>151</v>
      </c>
      <c r="M173" t="s">
        <v>152</v>
      </c>
      <c r="N173" t="s">
        <v>57</v>
      </c>
      <c r="O173" s="1">
        <v>45914</v>
      </c>
      <c r="Q173" s="1">
        <v>45975</v>
      </c>
      <c r="R173" s="2">
        <v>160.29</v>
      </c>
      <c r="S173">
        <v>1</v>
      </c>
      <c r="T173" t="s">
        <v>58</v>
      </c>
      <c r="U173" t="s">
        <v>59</v>
      </c>
      <c r="V173" s="3">
        <v>0.7</v>
      </c>
      <c r="W173" s="2">
        <v>0</v>
      </c>
      <c r="X173">
        <v>0</v>
      </c>
      <c r="Y173" t="s">
        <v>60</v>
      </c>
      <c r="Z173" t="s">
        <v>182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112.2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45943</v>
      </c>
      <c r="B174" t="s">
        <v>48</v>
      </c>
      <c r="C174">
        <v>649163</v>
      </c>
      <c r="D174">
        <v>2031057792</v>
      </c>
      <c r="E174" t="s">
        <v>387</v>
      </c>
      <c r="F174" t="s">
        <v>90</v>
      </c>
      <c r="G174" t="s">
        <v>51</v>
      </c>
      <c r="H174" t="s">
        <v>337</v>
      </c>
      <c r="I174" t="s">
        <v>116</v>
      </c>
      <c r="J174" t="s">
        <v>125</v>
      </c>
      <c r="K174">
        <v>856163</v>
      </c>
      <c r="L174" t="s">
        <v>65</v>
      </c>
      <c r="M174" t="s">
        <v>81</v>
      </c>
      <c r="N174" t="s">
        <v>57</v>
      </c>
      <c r="O174" s="1">
        <v>45915</v>
      </c>
      <c r="Q174" s="1">
        <v>45976</v>
      </c>
      <c r="R174" s="2">
        <v>30.68</v>
      </c>
      <c r="S174">
        <v>1</v>
      </c>
      <c r="T174" t="s">
        <v>58</v>
      </c>
      <c r="U174" t="s">
        <v>59</v>
      </c>
      <c r="V174" s="3">
        <v>0.7</v>
      </c>
      <c r="W174" s="2">
        <v>0</v>
      </c>
      <c r="X174">
        <v>0</v>
      </c>
      <c r="Y174" t="s">
        <v>60</v>
      </c>
      <c r="Z174" t="s">
        <v>182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21.48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45943</v>
      </c>
      <c r="B175" t="s">
        <v>48</v>
      </c>
      <c r="C175">
        <v>649163</v>
      </c>
      <c r="D175">
        <v>2031073871</v>
      </c>
      <c r="E175" t="s">
        <v>436</v>
      </c>
      <c r="F175" t="s">
        <v>437</v>
      </c>
      <c r="G175" t="s">
        <v>51</v>
      </c>
      <c r="H175" t="s">
        <v>78</v>
      </c>
      <c r="I175" t="s">
        <v>116</v>
      </c>
      <c r="J175" t="s">
        <v>125</v>
      </c>
      <c r="K175">
        <v>807212</v>
      </c>
      <c r="L175" t="s">
        <v>151</v>
      </c>
      <c r="M175" t="s">
        <v>152</v>
      </c>
      <c r="N175" t="s">
        <v>57</v>
      </c>
      <c r="O175" s="1">
        <v>45916</v>
      </c>
      <c r="Q175" s="1">
        <v>45977</v>
      </c>
      <c r="R175" s="2">
        <v>96</v>
      </c>
      <c r="S175">
        <v>1</v>
      </c>
      <c r="T175" t="s">
        <v>58</v>
      </c>
      <c r="U175" t="s">
        <v>59</v>
      </c>
      <c r="V175" s="3">
        <v>0.7</v>
      </c>
      <c r="W175" s="2">
        <v>0</v>
      </c>
      <c r="X175">
        <v>0</v>
      </c>
      <c r="Y175" t="s">
        <v>60</v>
      </c>
      <c r="Z175" t="s">
        <v>182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67.2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45943</v>
      </c>
      <c r="B176" t="s">
        <v>48</v>
      </c>
      <c r="C176">
        <v>649163</v>
      </c>
      <c r="D176">
        <v>2031337038</v>
      </c>
      <c r="E176" t="s">
        <v>133</v>
      </c>
      <c r="F176" t="s">
        <v>134</v>
      </c>
      <c r="G176" t="s">
        <v>51</v>
      </c>
      <c r="H176" t="s">
        <v>78</v>
      </c>
      <c r="I176" t="s">
        <v>116</v>
      </c>
      <c r="J176" t="s">
        <v>125</v>
      </c>
      <c r="K176">
        <v>821015</v>
      </c>
      <c r="L176" t="s">
        <v>135</v>
      </c>
      <c r="M176" t="s">
        <v>136</v>
      </c>
      <c r="N176" t="s">
        <v>179</v>
      </c>
      <c r="O176" s="1">
        <v>45932</v>
      </c>
      <c r="P176" s="1">
        <v>45943</v>
      </c>
      <c r="Q176" s="1">
        <v>45963</v>
      </c>
      <c r="R176" s="2">
        <v>-145.41999999999999</v>
      </c>
      <c r="S176">
        <v>1</v>
      </c>
      <c r="T176" t="s">
        <v>58</v>
      </c>
      <c r="U176" t="s">
        <v>59</v>
      </c>
      <c r="V176" s="3">
        <v>0.7</v>
      </c>
      <c r="W176" s="2">
        <v>0</v>
      </c>
      <c r="X176">
        <v>-1</v>
      </c>
      <c r="Y176" t="s">
        <v>60</v>
      </c>
      <c r="Z176" t="s">
        <v>182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-101.79</v>
      </c>
      <c r="AN176" s="2">
        <v>-101.79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45943</v>
      </c>
      <c r="B177" t="s">
        <v>48</v>
      </c>
      <c r="C177">
        <v>649163</v>
      </c>
      <c r="D177">
        <v>2023913072</v>
      </c>
      <c r="E177" t="s">
        <v>352</v>
      </c>
      <c r="F177" t="s">
        <v>353</v>
      </c>
      <c r="G177" t="s">
        <v>51</v>
      </c>
      <c r="H177" t="s">
        <v>312</v>
      </c>
      <c r="I177" t="s">
        <v>166</v>
      </c>
      <c r="J177" t="s">
        <v>438</v>
      </c>
      <c r="K177">
        <v>673059</v>
      </c>
      <c r="L177" t="s">
        <v>55</v>
      </c>
      <c r="M177" t="s">
        <v>56</v>
      </c>
      <c r="N177" t="s">
        <v>57</v>
      </c>
      <c r="O177" s="1">
        <v>45643</v>
      </c>
      <c r="Q177" s="1">
        <v>45978</v>
      </c>
      <c r="R177" s="2">
        <v>306.95</v>
      </c>
      <c r="S177">
        <v>1</v>
      </c>
      <c r="T177" t="s">
        <v>58</v>
      </c>
      <c r="U177" t="s">
        <v>180</v>
      </c>
      <c r="V177" s="3">
        <v>0.19</v>
      </c>
      <c r="W177" s="2">
        <v>0</v>
      </c>
      <c r="X177">
        <v>0</v>
      </c>
      <c r="Y177" t="s">
        <v>60</v>
      </c>
      <c r="Z177" t="s">
        <v>182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58.32</v>
      </c>
      <c r="AN177" s="2">
        <v>58.32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45943</v>
      </c>
      <c r="B178" t="s">
        <v>48</v>
      </c>
      <c r="C178">
        <v>649163</v>
      </c>
      <c r="D178">
        <v>2024372431</v>
      </c>
      <c r="E178" t="s">
        <v>355</v>
      </c>
      <c r="F178" t="s">
        <v>356</v>
      </c>
      <c r="G178" t="s">
        <v>51</v>
      </c>
      <c r="H178" t="s">
        <v>357</v>
      </c>
      <c r="I178" t="s">
        <v>166</v>
      </c>
      <c r="J178" t="s">
        <v>171</v>
      </c>
      <c r="K178">
        <v>669316</v>
      </c>
      <c r="L178" t="s">
        <v>98</v>
      </c>
      <c r="M178" t="s">
        <v>99</v>
      </c>
      <c r="N178" t="s">
        <v>57</v>
      </c>
      <c r="O178" s="1">
        <v>45882</v>
      </c>
      <c r="Q178" s="1">
        <v>45974</v>
      </c>
      <c r="R178" s="2">
        <v>315.83999999999997</v>
      </c>
      <c r="S178">
        <v>1</v>
      </c>
      <c r="T178" t="s">
        <v>58</v>
      </c>
      <c r="U178" t="s">
        <v>180</v>
      </c>
      <c r="V178" s="3">
        <v>0.28999999999999998</v>
      </c>
      <c r="W178" s="2">
        <v>0</v>
      </c>
      <c r="X178">
        <v>0</v>
      </c>
      <c r="Y178" t="s">
        <v>60</v>
      </c>
      <c r="Z178" t="s">
        <v>182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91.59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45943</v>
      </c>
      <c r="B179" t="s">
        <v>48</v>
      </c>
      <c r="C179">
        <v>649163</v>
      </c>
      <c r="D179">
        <v>2029995393</v>
      </c>
      <c r="E179" t="s">
        <v>379</v>
      </c>
      <c r="F179" t="s">
        <v>211</v>
      </c>
      <c r="G179" t="s">
        <v>51</v>
      </c>
      <c r="H179" t="s">
        <v>225</v>
      </c>
      <c r="I179" t="s">
        <v>166</v>
      </c>
      <c r="J179" t="s">
        <v>171</v>
      </c>
      <c r="K179">
        <v>877182</v>
      </c>
      <c r="L179" t="s">
        <v>380</v>
      </c>
      <c r="M179" t="s">
        <v>381</v>
      </c>
      <c r="N179" t="s">
        <v>57</v>
      </c>
      <c r="O179" s="1">
        <v>45855</v>
      </c>
      <c r="Q179" s="1">
        <v>45978</v>
      </c>
      <c r="R179" s="2">
        <v>154.38</v>
      </c>
      <c r="S179">
        <v>1</v>
      </c>
      <c r="T179" t="s">
        <v>58</v>
      </c>
      <c r="U179" t="s">
        <v>180</v>
      </c>
      <c r="V179" s="3">
        <v>0.28999999999999998</v>
      </c>
      <c r="W179" s="2">
        <v>0</v>
      </c>
      <c r="X179">
        <v>0</v>
      </c>
      <c r="Y179" t="s">
        <v>60</v>
      </c>
      <c r="Z179" t="s">
        <v>182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44.77</v>
      </c>
      <c r="AN179" s="2">
        <v>44.77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45943</v>
      </c>
      <c r="B180" t="s">
        <v>48</v>
      </c>
      <c r="C180">
        <v>649163</v>
      </c>
      <c r="D180">
        <v>2030924640</v>
      </c>
      <c r="E180" t="s">
        <v>338</v>
      </c>
      <c r="F180" t="s">
        <v>339</v>
      </c>
      <c r="G180" t="s">
        <v>51</v>
      </c>
      <c r="H180" t="s">
        <v>312</v>
      </c>
      <c r="I180" t="s">
        <v>166</v>
      </c>
      <c r="J180" t="s">
        <v>438</v>
      </c>
      <c r="K180">
        <v>874230</v>
      </c>
      <c r="L180" t="s">
        <v>340</v>
      </c>
      <c r="M180" t="s">
        <v>341</v>
      </c>
      <c r="N180" t="s">
        <v>57</v>
      </c>
      <c r="O180" s="1">
        <v>45911</v>
      </c>
      <c r="Q180" s="1">
        <v>45972</v>
      </c>
      <c r="R180" s="2">
        <v>163.94</v>
      </c>
      <c r="S180">
        <v>1</v>
      </c>
      <c r="T180" t="s">
        <v>58</v>
      </c>
      <c r="U180" t="s">
        <v>82</v>
      </c>
      <c r="V180" s="3">
        <v>0.19</v>
      </c>
      <c r="W180" s="2">
        <v>0</v>
      </c>
      <c r="X180">
        <v>0</v>
      </c>
      <c r="Y180" t="s">
        <v>60</v>
      </c>
      <c r="Z180" t="s">
        <v>182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31.15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45943</v>
      </c>
      <c r="B181" t="s">
        <v>48</v>
      </c>
      <c r="C181">
        <v>649163</v>
      </c>
      <c r="D181">
        <v>2030932599</v>
      </c>
      <c r="E181" t="s">
        <v>342</v>
      </c>
      <c r="F181" t="s">
        <v>343</v>
      </c>
      <c r="G181" t="s">
        <v>51</v>
      </c>
      <c r="H181" t="s">
        <v>312</v>
      </c>
      <c r="I181" t="s">
        <v>166</v>
      </c>
      <c r="J181" t="s">
        <v>438</v>
      </c>
      <c r="K181">
        <v>874230</v>
      </c>
      <c r="L181" t="s">
        <v>340</v>
      </c>
      <c r="M181" t="s">
        <v>341</v>
      </c>
      <c r="N181" t="s">
        <v>57</v>
      </c>
      <c r="O181" s="1">
        <v>45911</v>
      </c>
      <c r="Q181" s="1">
        <v>45972</v>
      </c>
      <c r="R181" s="2">
        <v>196.19</v>
      </c>
      <c r="S181">
        <v>1</v>
      </c>
      <c r="T181" t="s">
        <v>58</v>
      </c>
      <c r="U181" t="s">
        <v>82</v>
      </c>
      <c r="V181" s="3">
        <v>0.19</v>
      </c>
      <c r="W181" s="2">
        <v>0</v>
      </c>
      <c r="X181">
        <v>0</v>
      </c>
      <c r="Y181" t="s">
        <v>60</v>
      </c>
      <c r="Z181" t="s">
        <v>182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37.28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45943</v>
      </c>
      <c r="B182" t="s">
        <v>48</v>
      </c>
      <c r="C182">
        <v>649163</v>
      </c>
      <c r="D182">
        <v>2031017070</v>
      </c>
      <c r="E182" t="s">
        <v>346</v>
      </c>
      <c r="F182" t="s">
        <v>159</v>
      </c>
      <c r="G182" t="s">
        <v>51</v>
      </c>
      <c r="H182" t="s">
        <v>107</v>
      </c>
      <c r="I182" t="s">
        <v>166</v>
      </c>
      <c r="J182" t="s">
        <v>439</v>
      </c>
      <c r="K182">
        <v>877790</v>
      </c>
      <c r="L182" t="s">
        <v>108</v>
      </c>
      <c r="M182" t="s">
        <v>109</v>
      </c>
      <c r="N182" t="s">
        <v>57</v>
      </c>
      <c r="O182" s="1">
        <v>45913</v>
      </c>
      <c r="Q182" s="1">
        <v>45974</v>
      </c>
      <c r="R182" s="2">
        <v>262.94</v>
      </c>
      <c r="S182">
        <v>1</v>
      </c>
      <c r="T182" t="s">
        <v>58</v>
      </c>
      <c r="U182" t="s">
        <v>88</v>
      </c>
      <c r="V182" s="3">
        <v>0.19</v>
      </c>
      <c r="W182" s="2">
        <v>0</v>
      </c>
      <c r="X182">
        <v>0</v>
      </c>
      <c r="Y182" t="s">
        <v>60</v>
      </c>
      <c r="Z182" t="s">
        <v>182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49.96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45943</v>
      </c>
      <c r="B183" t="s">
        <v>48</v>
      </c>
      <c r="C183">
        <v>649163</v>
      </c>
      <c r="D183">
        <v>2031057791</v>
      </c>
      <c r="E183" t="s">
        <v>387</v>
      </c>
      <c r="F183" t="s">
        <v>90</v>
      </c>
      <c r="G183" t="s">
        <v>51</v>
      </c>
      <c r="H183" t="s">
        <v>337</v>
      </c>
      <c r="I183" t="s">
        <v>166</v>
      </c>
      <c r="J183" t="s">
        <v>440</v>
      </c>
      <c r="K183">
        <v>856163</v>
      </c>
      <c r="L183" t="s">
        <v>65</v>
      </c>
      <c r="M183" t="s">
        <v>81</v>
      </c>
      <c r="N183" t="s">
        <v>57</v>
      </c>
      <c r="O183" s="1">
        <v>45915</v>
      </c>
      <c r="Q183" s="1">
        <v>45976</v>
      </c>
      <c r="R183" s="2">
        <v>165.77</v>
      </c>
      <c r="S183">
        <v>1</v>
      </c>
      <c r="T183" t="s">
        <v>58</v>
      </c>
      <c r="U183" t="s">
        <v>389</v>
      </c>
      <c r="V183" s="3">
        <v>0.27</v>
      </c>
      <c r="W183" s="2">
        <v>0</v>
      </c>
      <c r="X183">
        <v>0</v>
      </c>
      <c r="Y183" t="s">
        <v>60</v>
      </c>
      <c r="Z183" t="s">
        <v>182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44.76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45943</v>
      </c>
      <c r="B184" t="s">
        <v>48</v>
      </c>
      <c r="C184">
        <v>649163</v>
      </c>
      <c r="D184">
        <v>2017242798</v>
      </c>
      <c r="E184" t="s">
        <v>441</v>
      </c>
      <c r="F184" t="s">
        <v>442</v>
      </c>
      <c r="G184" t="s">
        <v>51</v>
      </c>
      <c r="H184" t="s">
        <v>225</v>
      </c>
      <c r="I184" t="s">
        <v>443</v>
      </c>
      <c r="J184" t="s">
        <v>444</v>
      </c>
      <c r="K184">
        <v>652037</v>
      </c>
      <c r="L184" t="s">
        <v>222</v>
      </c>
      <c r="M184" t="s">
        <v>223</v>
      </c>
      <c r="N184" t="s">
        <v>57</v>
      </c>
      <c r="O184" s="1">
        <v>44930</v>
      </c>
      <c r="Q184" s="1">
        <v>45965</v>
      </c>
      <c r="R184" s="2">
        <v>0.78</v>
      </c>
      <c r="S184">
        <v>1</v>
      </c>
      <c r="T184" t="s">
        <v>58</v>
      </c>
      <c r="U184" t="s">
        <v>180</v>
      </c>
      <c r="V184" s="4">
        <v>5.2499999999999998E-2</v>
      </c>
      <c r="W184" s="2">
        <v>0</v>
      </c>
      <c r="X184">
        <v>0</v>
      </c>
      <c r="Y184" t="s">
        <v>181</v>
      </c>
      <c r="Z184" t="s">
        <v>182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0.04</v>
      </c>
      <c r="AN184" s="2">
        <v>0.04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45943</v>
      </c>
      <c r="B185" t="s">
        <v>48</v>
      </c>
      <c r="C185">
        <v>649163</v>
      </c>
      <c r="D185">
        <v>2017278501</v>
      </c>
      <c r="E185" t="s">
        <v>240</v>
      </c>
      <c r="F185" t="s">
        <v>445</v>
      </c>
      <c r="G185" t="s">
        <v>51</v>
      </c>
      <c r="H185" t="s">
        <v>189</v>
      </c>
      <c r="I185" t="s">
        <v>443</v>
      </c>
      <c r="J185" t="s">
        <v>444</v>
      </c>
      <c r="K185">
        <v>649164</v>
      </c>
      <c r="L185" t="s">
        <v>446</v>
      </c>
      <c r="M185" t="s">
        <v>327</v>
      </c>
      <c r="N185" t="s">
        <v>57</v>
      </c>
      <c r="O185" s="1">
        <v>44932</v>
      </c>
      <c r="Q185" s="1">
        <v>45967</v>
      </c>
      <c r="R185" s="2">
        <v>48.22</v>
      </c>
      <c r="S185">
        <v>1</v>
      </c>
      <c r="T185" t="s">
        <v>58</v>
      </c>
      <c r="U185" t="s">
        <v>180</v>
      </c>
      <c r="V185" s="4">
        <v>5.2499999999999998E-2</v>
      </c>
      <c r="W185" s="2">
        <v>0</v>
      </c>
      <c r="X185">
        <v>0</v>
      </c>
      <c r="Y185" t="s">
        <v>181</v>
      </c>
      <c r="Z185" t="s">
        <v>182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2.5299999999999998</v>
      </c>
      <c r="AN185" s="2">
        <v>2.5299999999999998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45943</v>
      </c>
      <c r="B186" t="s">
        <v>48</v>
      </c>
      <c r="C186">
        <v>649163</v>
      </c>
      <c r="D186">
        <v>2018582686</v>
      </c>
      <c r="E186" t="s">
        <v>447</v>
      </c>
      <c r="F186" t="s">
        <v>211</v>
      </c>
      <c r="G186" t="s">
        <v>51</v>
      </c>
      <c r="H186" t="s">
        <v>225</v>
      </c>
      <c r="I186" t="s">
        <v>443</v>
      </c>
      <c r="J186" t="s">
        <v>444</v>
      </c>
      <c r="K186">
        <v>673059</v>
      </c>
      <c r="L186" t="s">
        <v>55</v>
      </c>
      <c r="M186" t="s">
        <v>56</v>
      </c>
      <c r="N186" t="s">
        <v>57</v>
      </c>
      <c r="O186" s="1">
        <v>45096</v>
      </c>
      <c r="Q186" s="1">
        <v>45949</v>
      </c>
      <c r="R186" s="2">
        <v>0.14000000000000001</v>
      </c>
      <c r="S186">
        <v>1</v>
      </c>
      <c r="T186" t="s">
        <v>58</v>
      </c>
      <c r="U186" t="s">
        <v>180</v>
      </c>
      <c r="V186" s="4">
        <v>5.2499999999999998E-2</v>
      </c>
      <c r="W186" s="2">
        <v>0</v>
      </c>
      <c r="X186">
        <v>0</v>
      </c>
      <c r="Y186" t="s">
        <v>181</v>
      </c>
      <c r="Z186" t="s">
        <v>182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0.01</v>
      </c>
      <c r="AN186" s="2">
        <v>0.01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45943</v>
      </c>
      <c r="B187" t="s">
        <v>48</v>
      </c>
      <c r="C187">
        <v>649163</v>
      </c>
      <c r="D187">
        <v>2019324243</v>
      </c>
      <c r="E187" t="s">
        <v>448</v>
      </c>
      <c r="F187" t="s">
        <v>90</v>
      </c>
      <c r="G187" t="s">
        <v>51</v>
      </c>
      <c r="H187" t="s">
        <v>225</v>
      </c>
      <c r="I187" t="s">
        <v>443</v>
      </c>
      <c r="J187" t="s">
        <v>444</v>
      </c>
      <c r="K187">
        <v>673059</v>
      </c>
      <c r="L187" t="s">
        <v>55</v>
      </c>
      <c r="M187" t="s">
        <v>56</v>
      </c>
      <c r="N187" t="s">
        <v>57</v>
      </c>
      <c r="O187" s="1">
        <v>45139</v>
      </c>
      <c r="Q187" s="1">
        <v>45962</v>
      </c>
      <c r="R187" s="2">
        <v>0.26</v>
      </c>
      <c r="S187">
        <v>1</v>
      </c>
      <c r="T187" t="s">
        <v>58</v>
      </c>
      <c r="U187" t="s">
        <v>180</v>
      </c>
      <c r="V187" s="4">
        <v>5.2499999999999998E-2</v>
      </c>
      <c r="W187" s="2">
        <v>0</v>
      </c>
      <c r="X187">
        <v>0</v>
      </c>
      <c r="Y187" t="s">
        <v>181</v>
      </c>
      <c r="Z187" t="s">
        <v>182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0.01</v>
      </c>
      <c r="AN187" s="2">
        <v>0.01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45943</v>
      </c>
      <c r="B188" t="s">
        <v>48</v>
      </c>
      <c r="C188">
        <v>649163</v>
      </c>
      <c r="D188">
        <v>2019687400</v>
      </c>
      <c r="E188" t="s">
        <v>449</v>
      </c>
      <c r="F188" t="s">
        <v>450</v>
      </c>
      <c r="G188" t="s">
        <v>51</v>
      </c>
      <c r="H188" t="s">
        <v>189</v>
      </c>
      <c r="I188" t="s">
        <v>443</v>
      </c>
      <c r="J188" t="s">
        <v>444</v>
      </c>
      <c r="K188">
        <v>678320</v>
      </c>
      <c r="L188" t="s">
        <v>451</v>
      </c>
      <c r="M188" t="s">
        <v>452</v>
      </c>
      <c r="N188" t="s">
        <v>57</v>
      </c>
      <c r="O188" s="1">
        <v>45150</v>
      </c>
      <c r="Q188" s="1">
        <v>45973</v>
      </c>
      <c r="R188" s="2">
        <v>64.540000000000006</v>
      </c>
      <c r="S188">
        <v>1</v>
      </c>
      <c r="T188" t="s">
        <v>58</v>
      </c>
      <c r="U188" t="s">
        <v>180</v>
      </c>
      <c r="V188" s="4">
        <v>5.2499999999999998E-2</v>
      </c>
      <c r="W188" s="2">
        <v>0</v>
      </c>
      <c r="X188">
        <v>0</v>
      </c>
      <c r="Y188" t="s">
        <v>181</v>
      </c>
      <c r="Z188" t="s">
        <v>182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3.39</v>
      </c>
      <c r="AN188" s="2">
        <v>3.39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45943</v>
      </c>
      <c r="B189" t="s">
        <v>48</v>
      </c>
      <c r="C189">
        <v>649163</v>
      </c>
      <c r="D189">
        <v>2023013394</v>
      </c>
      <c r="E189" t="s">
        <v>453</v>
      </c>
      <c r="F189" t="s">
        <v>454</v>
      </c>
      <c r="G189" t="s">
        <v>51</v>
      </c>
      <c r="H189" t="s">
        <v>189</v>
      </c>
      <c r="I189" t="s">
        <v>443</v>
      </c>
      <c r="J189" t="s">
        <v>444</v>
      </c>
      <c r="K189">
        <v>728134</v>
      </c>
      <c r="L189" t="s">
        <v>455</v>
      </c>
      <c r="M189" t="s">
        <v>456</v>
      </c>
      <c r="N189" t="s">
        <v>179</v>
      </c>
      <c r="O189" s="1">
        <v>45444</v>
      </c>
      <c r="P189" s="1">
        <v>45943</v>
      </c>
      <c r="Q189" s="1">
        <v>45962</v>
      </c>
      <c r="R189" s="2">
        <v>-28.17</v>
      </c>
      <c r="S189">
        <v>1</v>
      </c>
      <c r="T189" t="s">
        <v>58</v>
      </c>
      <c r="U189" t="s">
        <v>180</v>
      </c>
      <c r="V189" s="4">
        <v>5.2499999999999998E-2</v>
      </c>
      <c r="W189" s="2">
        <v>0</v>
      </c>
      <c r="X189">
        <v>-1</v>
      </c>
      <c r="Y189" t="s">
        <v>181</v>
      </c>
      <c r="Z189" t="s">
        <v>182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-1.48</v>
      </c>
      <c r="AN189" s="2">
        <v>-1.48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45943</v>
      </c>
      <c r="B190" t="s">
        <v>48</v>
      </c>
      <c r="C190">
        <v>649163</v>
      </c>
      <c r="D190">
        <v>2024254141</v>
      </c>
      <c r="E190" t="s">
        <v>457</v>
      </c>
      <c r="F190" t="s">
        <v>458</v>
      </c>
      <c r="G190" t="s">
        <v>51</v>
      </c>
      <c r="H190" t="s">
        <v>189</v>
      </c>
      <c r="I190" t="s">
        <v>443</v>
      </c>
      <c r="J190" t="s">
        <v>444</v>
      </c>
      <c r="K190">
        <v>649247</v>
      </c>
      <c r="L190" t="s">
        <v>395</v>
      </c>
      <c r="M190" t="s">
        <v>396</v>
      </c>
      <c r="N190" t="s">
        <v>57</v>
      </c>
      <c r="O190" s="1">
        <v>45510</v>
      </c>
      <c r="Q190" s="1">
        <v>45967</v>
      </c>
      <c r="R190" s="2">
        <v>45.54</v>
      </c>
      <c r="S190">
        <v>1</v>
      </c>
      <c r="T190" t="s">
        <v>58</v>
      </c>
      <c r="U190" t="s">
        <v>180</v>
      </c>
      <c r="V190" s="4">
        <v>5.2499999999999998E-2</v>
      </c>
      <c r="W190" s="2">
        <v>0</v>
      </c>
      <c r="X190">
        <v>0</v>
      </c>
      <c r="Y190" t="s">
        <v>181</v>
      </c>
      <c r="Z190" t="s">
        <v>182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2.39</v>
      </c>
      <c r="AN190" s="2">
        <v>2.39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45943</v>
      </c>
      <c r="B191" t="s">
        <v>48</v>
      </c>
      <c r="C191">
        <v>649163</v>
      </c>
      <c r="D191">
        <v>2026569744</v>
      </c>
      <c r="E191" t="s">
        <v>459</v>
      </c>
      <c r="F191" t="s">
        <v>258</v>
      </c>
      <c r="G191" t="s">
        <v>51</v>
      </c>
      <c r="H191" t="s">
        <v>225</v>
      </c>
      <c r="I191" t="s">
        <v>443</v>
      </c>
      <c r="J191" t="s">
        <v>444</v>
      </c>
      <c r="K191">
        <v>767312</v>
      </c>
      <c r="L191" t="s">
        <v>147</v>
      </c>
      <c r="M191" t="s">
        <v>148</v>
      </c>
      <c r="N191" t="s">
        <v>57</v>
      </c>
      <c r="O191" s="1">
        <v>45689</v>
      </c>
      <c r="Q191" s="1">
        <v>45962</v>
      </c>
      <c r="R191" s="2">
        <v>47.6</v>
      </c>
      <c r="S191">
        <v>1</v>
      </c>
      <c r="T191" t="s">
        <v>58</v>
      </c>
      <c r="U191" t="s">
        <v>180</v>
      </c>
      <c r="V191" s="3">
        <v>0.47</v>
      </c>
      <c r="W191" s="2">
        <v>0</v>
      </c>
      <c r="X191">
        <v>0</v>
      </c>
      <c r="Y191" t="s">
        <v>60</v>
      </c>
      <c r="Z191" t="s">
        <v>182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22.37</v>
      </c>
      <c r="AN191" s="2">
        <v>22.37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45943</v>
      </c>
      <c r="B192" t="s">
        <v>48</v>
      </c>
      <c r="C192">
        <v>649163</v>
      </c>
      <c r="D192">
        <v>2026694436</v>
      </c>
      <c r="E192" t="s">
        <v>460</v>
      </c>
      <c r="F192" t="s">
        <v>461</v>
      </c>
      <c r="G192" t="s">
        <v>51</v>
      </c>
      <c r="H192" t="s">
        <v>78</v>
      </c>
      <c r="I192" t="s">
        <v>443</v>
      </c>
      <c r="J192" t="s">
        <v>462</v>
      </c>
      <c r="K192">
        <v>651818</v>
      </c>
      <c r="L192" t="s">
        <v>260</v>
      </c>
      <c r="M192" t="s">
        <v>261</v>
      </c>
      <c r="N192" t="s">
        <v>57</v>
      </c>
      <c r="O192" s="1">
        <v>45695</v>
      </c>
      <c r="Q192" s="1">
        <v>45968</v>
      </c>
      <c r="R192" s="2">
        <v>172.98</v>
      </c>
      <c r="S192">
        <v>1</v>
      </c>
      <c r="T192" t="s">
        <v>58</v>
      </c>
      <c r="U192" t="s">
        <v>180</v>
      </c>
      <c r="V192" s="3">
        <v>0.51</v>
      </c>
      <c r="W192" s="2">
        <v>0</v>
      </c>
      <c r="X192">
        <v>0</v>
      </c>
      <c r="Y192" t="s">
        <v>60</v>
      </c>
      <c r="Z192" t="s">
        <v>182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88.22</v>
      </c>
      <c r="AN192" s="2">
        <v>88.22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45943</v>
      </c>
      <c r="B193" t="s">
        <v>48</v>
      </c>
      <c r="C193">
        <v>649163</v>
      </c>
      <c r="D193">
        <v>2026694437</v>
      </c>
      <c r="E193" t="s">
        <v>460</v>
      </c>
      <c r="F193" t="s">
        <v>461</v>
      </c>
      <c r="G193" t="s">
        <v>51</v>
      </c>
      <c r="H193" t="s">
        <v>78</v>
      </c>
      <c r="I193" t="s">
        <v>443</v>
      </c>
      <c r="J193" t="s">
        <v>463</v>
      </c>
      <c r="K193">
        <v>651818</v>
      </c>
      <c r="L193" t="s">
        <v>260</v>
      </c>
      <c r="M193" t="s">
        <v>261</v>
      </c>
      <c r="N193" t="s">
        <v>57</v>
      </c>
      <c r="O193" s="1">
        <v>45695</v>
      </c>
      <c r="Q193" s="1">
        <v>45968</v>
      </c>
      <c r="R193" s="2">
        <v>14.95</v>
      </c>
      <c r="S193">
        <v>1</v>
      </c>
      <c r="T193" t="s">
        <v>58</v>
      </c>
      <c r="U193" t="s">
        <v>180</v>
      </c>
      <c r="V193" s="3">
        <v>0.51</v>
      </c>
      <c r="W193" s="2">
        <v>0</v>
      </c>
      <c r="X193">
        <v>0</v>
      </c>
      <c r="Y193" t="s">
        <v>60</v>
      </c>
      <c r="Z193" t="s">
        <v>182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7.62</v>
      </c>
      <c r="AN193" s="2">
        <v>7.62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45943</v>
      </c>
      <c r="B194" t="s">
        <v>48</v>
      </c>
      <c r="C194">
        <v>649163</v>
      </c>
      <c r="D194">
        <v>2027175182</v>
      </c>
      <c r="E194" t="s">
        <v>464</v>
      </c>
      <c r="F194" t="s">
        <v>465</v>
      </c>
      <c r="G194" t="s">
        <v>51</v>
      </c>
      <c r="H194" t="s">
        <v>189</v>
      </c>
      <c r="I194" t="s">
        <v>443</v>
      </c>
      <c r="J194" t="s">
        <v>444</v>
      </c>
      <c r="K194">
        <v>728134</v>
      </c>
      <c r="L194" t="s">
        <v>455</v>
      </c>
      <c r="M194" t="s">
        <v>456</v>
      </c>
      <c r="N194" t="s">
        <v>57</v>
      </c>
      <c r="O194" s="1">
        <v>45717</v>
      </c>
      <c r="Q194" s="1">
        <v>45962</v>
      </c>
      <c r="R194" s="2">
        <v>-43.59</v>
      </c>
      <c r="S194">
        <v>1</v>
      </c>
      <c r="T194" t="s">
        <v>58</v>
      </c>
      <c r="U194" t="s">
        <v>180</v>
      </c>
      <c r="V194" s="3">
        <v>0.47</v>
      </c>
      <c r="W194" s="2">
        <v>0</v>
      </c>
      <c r="X194">
        <v>-1</v>
      </c>
      <c r="Y194" t="s">
        <v>60</v>
      </c>
      <c r="Z194" t="s">
        <v>182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-20.49</v>
      </c>
      <c r="AN194" s="2">
        <v>-20.49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45943</v>
      </c>
      <c r="B195" t="s">
        <v>48</v>
      </c>
      <c r="C195">
        <v>649163</v>
      </c>
      <c r="D195">
        <v>2027604739</v>
      </c>
      <c r="E195" t="s">
        <v>466</v>
      </c>
      <c r="F195" t="s">
        <v>467</v>
      </c>
      <c r="G195" t="s">
        <v>51</v>
      </c>
      <c r="H195" t="s">
        <v>228</v>
      </c>
      <c r="I195" t="s">
        <v>443</v>
      </c>
      <c r="J195" t="s">
        <v>444</v>
      </c>
      <c r="K195">
        <v>766422</v>
      </c>
      <c r="L195" t="s">
        <v>468</v>
      </c>
      <c r="M195" t="s">
        <v>261</v>
      </c>
      <c r="N195" t="s">
        <v>57</v>
      </c>
      <c r="O195" s="1">
        <v>45723</v>
      </c>
      <c r="Q195" s="1">
        <v>45968</v>
      </c>
      <c r="R195" s="2">
        <v>51.04</v>
      </c>
      <c r="S195">
        <v>1</v>
      </c>
      <c r="T195" t="s">
        <v>58</v>
      </c>
      <c r="U195" t="s">
        <v>180</v>
      </c>
      <c r="V195" s="3">
        <v>0.47</v>
      </c>
      <c r="W195" s="2">
        <v>0</v>
      </c>
      <c r="X195">
        <v>0</v>
      </c>
      <c r="Y195" t="s">
        <v>60</v>
      </c>
      <c r="Z195" t="s">
        <v>182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23.99</v>
      </c>
      <c r="AN195" s="2">
        <v>23.99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45943</v>
      </c>
      <c r="B196" t="s">
        <v>48</v>
      </c>
      <c r="C196">
        <v>649163</v>
      </c>
      <c r="D196">
        <v>2027605652</v>
      </c>
      <c r="E196" t="s">
        <v>469</v>
      </c>
      <c r="F196" t="s">
        <v>470</v>
      </c>
      <c r="G196" t="s">
        <v>51</v>
      </c>
      <c r="H196" t="s">
        <v>78</v>
      </c>
      <c r="I196" t="s">
        <v>443</v>
      </c>
      <c r="J196" t="s">
        <v>444</v>
      </c>
      <c r="K196">
        <v>764123</v>
      </c>
      <c r="L196" t="s">
        <v>471</v>
      </c>
      <c r="M196" t="s">
        <v>472</v>
      </c>
      <c r="N196" t="s">
        <v>57</v>
      </c>
      <c r="O196" s="1">
        <v>45722</v>
      </c>
      <c r="Q196" s="1">
        <v>45967</v>
      </c>
      <c r="R196" s="2">
        <v>83.39</v>
      </c>
      <c r="S196">
        <v>1</v>
      </c>
      <c r="T196" t="s">
        <v>58</v>
      </c>
      <c r="U196" t="s">
        <v>180</v>
      </c>
      <c r="V196" s="3">
        <v>0.47</v>
      </c>
      <c r="W196" s="2">
        <v>0</v>
      </c>
      <c r="X196">
        <v>0</v>
      </c>
      <c r="Y196" t="s">
        <v>60</v>
      </c>
      <c r="Z196" t="s">
        <v>182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39.19</v>
      </c>
      <c r="AN196" s="2">
        <v>39.19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45943</v>
      </c>
      <c r="B197" t="s">
        <v>48</v>
      </c>
      <c r="C197">
        <v>649163</v>
      </c>
      <c r="D197">
        <v>2029358060</v>
      </c>
      <c r="E197" t="s">
        <v>473</v>
      </c>
      <c r="F197" t="s">
        <v>474</v>
      </c>
      <c r="G197" t="s">
        <v>51</v>
      </c>
      <c r="H197" t="s">
        <v>189</v>
      </c>
      <c r="I197" t="s">
        <v>443</v>
      </c>
      <c r="J197" t="s">
        <v>444</v>
      </c>
      <c r="K197">
        <v>649247</v>
      </c>
      <c r="L197" t="s">
        <v>395</v>
      </c>
      <c r="M197" t="s">
        <v>396</v>
      </c>
      <c r="N197" t="s">
        <v>57</v>
      </c>
      <c r="O197" s="1">
        <v>45817</v>
      </c>
      <c r="Q197" s="1">
        <v>45970</v>
      </c>
      <c r="R197" s="2">
        <v>60.6</v>
      </c>
      <c r="S197">
        <v>1</v>
      </c>
      <c r="T197" t="s">
        <v>58</v>
      </c>
      <c r="U197" t="s">
        <v>180</v>
      </c>
      <c r="V197" s="3">
        <v>0.47</v>
      </c>
      <c r="W197" s="2">
        <v>0</v>
      </c>
      <c r="X197">
        <v>0</v>
      </c>
      <c r="Y197" t="s">
        <v>60</v>
      </c>
      <c r="Z197" t="s">
        <v>182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28.48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45943</v>
      </c>
      <c r="B198" t="s">
        <v>48</v>
      </c>
      <c r="C198">
        <v>649163</v>
      </c>
      <c r="D198">
        <v>2030739940</v>
      </c>
      <c r="E198" t="s">
        <v>148</v>
      </c>
      <c r="F198" t="s">
        <v>475</v>
      </c>
      <c r="G198" t="s">
        <v>51</v>
      </c>
      <c r="H198" t="s">
        <v>91</v>
      </c>
      <c r="I198" t="s">
        <v>443</v>
      </c>
      <c r="J198" t="s">
        <v>462</v>
      </c>
      <c r="K198">
        <v>651818</v>
      </c>
      <c r="L198" t="s">
        <v>260</v>
      </c>
      <c r="M198" t="s">
        <v>261</v>
      </c>
      <c r="N198" t="s">
        <v>57</v>
      </c>
      <c r="O198" s="1">
        <v>45906</v>
      </c>
      <c r="Q198" s="1">
        <v>45967</v>
      </c>
      <c r="R198" s="2">
        <v>176.78</v>
      </c>
      <c r="S198">
        <v>1</v>
      </c>
      <c r="T198" t="s">
        <v>58</v>
      </c>
      <c r="U198" t="s">
        <v>180</v>
      </c>
      <c r="V198" s="3">
        <v>0.51</v>
      </c>
      <c r="W198" s="2">
        <v>0</v>
      </c>
      <c r="X198">
        <v>0</v>
      </c>
      <c r="Y198" t="s">
        <v>60</v>
      </c>
      <c r="Z198" t="s">
        <v>182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90.16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45943</v>
      </c>
      <c r="B199" t="s">
        <v>48</v>
      </c>
      <c r="C199">
        <v>649163</v>
      </c>
      <c r="D199">
        <v>2030739941</v>
      </c>
      <c r="E199" t="s">
        <v>148</v>
      </c>
      <c r="F199" t="s">
        <v>475</v>
      </c>
      <c r="G199" t="s">
        <v>51</v>
      </c>
      <c r="H199" t="s">
        <v>91</v>
      </c>
      <c r="I199" t="s">
        <v>443</v>
      </c>
      <c r="J199" t="s">
        <v>463</v>
      </c>
      <c r="K199">
        <v>651818</v>
      </c>
      <c r="L199" t="s">
        <v>260</v>
      </c>
      <c r="M199" t="s">
        <v>261</v>
      </c>
      <c r="N199" t="s">
        <v>57</v>
      </c>
      <c r="O199" s="1">
        <v>45906</v>
      </c>
      <c r="Q199" s="1">
        <v>45967</v>
      </c>
      <c r="R199" s="2">
        <v>14.95</v>
      </c>
      <c r="S199">
        <v>1</v>
      </c>
      <c r="T199" t="s">
        <v>58</v>
      </c>
      <c r="U199" t="s">
        <v>180</v>
      </c>
      <c r="V199" s="3">
        <v>0.51</v>
      </c>
      <c r="W199" s="2">
        <v>0</v>
      </c>
      <c r="X199">
        <v>0</v>
      </c>
      <c r="Y199" t="s">
        <v>60</v>
      </c>
      <c r="Z199" t="s">
        <v>182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7.62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45943</v>
      </c>
      <c r="B200" t="s">
        <v>48</v>
      </c>
      <c r="C200">
        <v>649163</v>
      </c>
      <c r="D200">
        <v>2026054686</v>
      </c>
      <c r="E200" t="s">
        <v>476</v>
      </c>
      <c r="F200" t="s">
        <v>244</v>
      </c>
      <c r="G200" t="s">
        <v>51</v>
      </c>
      <c r="H200" t="s">
        <v>78</v>
      </c>
      <c r="I200" t="s">
        <v>92</v>
      </c>
      <c r="J200" t="s">
        <v>93</v>
      </c>
      <c r="K200">
        <v>766747</v>
      </c>
      <c r="L200" t="s">
        <v>477</v>
      </c>
      <c r="M200" t="s">
        <v>159</v>
      </c>
      <c r="N200" t="s">
        <v>57</v>
      </c>
      <c r="O200" s="1">
        <v>45638</v>
      </c>
      <c r="Q200" s="1">
        <v>45973</v>
      </c>
      <c r="R200" s="2">
        <v>47.56</v>
      </c>
      <c r="S200">
        <v>1</v>
      </c>
      <c r="T200" t="s">
        <v>58</v>
      </c>
      <c r="U200" t="s">
        <v>180</v>
      </c>
      <c r="V200" s="4">
        <v>0.375</v>
      </c>
      <c r="W200" s="2">
        <v>0</v>
      </c>
      <c r="X200">
        <v>0</v>
      </c>
      <c r="Y200" t="s">
        <v>60</v>
      </c>
      <c r="Z200" t="s">
        <v>182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17.84</v>
      </c>
      <c r="AN200" s="2">
        <v>17.84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45943</v>
      </c>
      <c r="B201" t="s">
        <v>48</v>
      </c>
      <c r="C201">
        <v>649163</v>
      </c>
      <c r="D201">
        <v>2026111643</v>
      </c>
      <c r="E201" t="s">
        <v>243</v>
      </c>
      <c r="F201" t="s">
        <v>244</v>
      </c>
      <c r="G201" t="s">
        <v>51</v>
      </c>
      <c r="H201" t="s">
        <v>69</v>
      </c>
      <c r="I201" t="s">
        <v>92</v>
      </c>
      <c r="J201" t="s">
        <v>93</v>
      </c>
      <c r="K201">
        <v>796984</v>
      </c>
      <c r="L201" t="s">
        <v>234</v>
      </c>
      <c r="M201" t="s">
        <v>122</v>
      </c>
      <c r="N201" t="s">
        <v>57</v>
      </c>
      <c r="O201" s="1">
        <v>45641</v>
      </c>
      <c r="Q201" s="1">
        <v>45976</v>
      </c>
      <c r="R201" s="2">
        <v>105.78</v>
      </c>
      <c r="S201">
        <v>1</v>
      </c>
      <c r="T201" t="s">
        <v>58</v>
      </c>
      <c r="U201" t="s">
        <v>180</v>
      </c>
      <c r="V201" s="4">
        <v>0.375</v>
      </c>
      <c r="W201" s="2">
        <v>0</v>
      </c>
      <c r="X201">
        <v>0</v>
      </c>
      <c r="Y201" t="s">
        <v>60</v>
      </c>
      <c r="Z201" t="s">
        <v>182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39.67</v>
      </c>
      <c r="AN201" s="2">
        <v>39.67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45943</v>
      </c>
      <c r="B202" t="s">
        <v>48</v>
      </c>
      <c r="C202">
        <v>649163</v>
      </c>
      <c r="D202">
        <v>2026141665</v>
      </c>
      <c r="E202" t="s">
        <v>478</v>
      </c>
      <c r="F202" t="s">
        <v>479</v>
      </c>
      <c r="G202" t="s">
        <v>51</v>
      </c>
      <c r="H202" t="s">
        <v>78</v>
      </c>
      <c r="I202" t="s">
        <v>92</v>
      </c>
      <c r="J202" t="s">
        <v>93</v>
      </c>
      <c r="K202">
        <v>651818</v>
      </c>
      <c r="L202" t="s">
        <v>260</v>
      </c>
      <c r="M202" t="s">
        <v>261</v>
      </c>
      <c r="N202" t="s">
        <v>57</v>
      </c>
      <c r="O202" s="1">
        <v>45641</v>
      </c>
      <c r="Q202" s="1">
        <v>45976</v>
      </c>
      <c r="R202" s="2">
        <v>101.87</v>
      </c>
      <c r="S202">
        <v>1</v>
      </c>
      <c r="T202" t="s">
        <v>58</v>
      </c>
      <c r="U202" t="s">
        <v>180</v>
      </c>
      <c r="V202" s="4">
        <v>0.375</v>
      </c>
      <c r="W202" s="2">
        <v>0</v>
      </c>
      <c r="X202">
        <v>0</v>
      </c>
      <c r="Y202" t="s">
        <v>60</v>
      </c>
      <c r="Z202" t="s">
        <v>182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38.200000000000003</v>
      </c>
      <c r="AN202" s="2">
        <v>38.200000000000003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45943</v>
      </c>
      <c r="B203" t="s">
        <v>48</v>
      </c>
      <c r="C203">
        <v>649163</v>
      </c>
      <c r="D203">
        <v>2026146921</v>
      </c>
      <c r="E203" t="s">
        <v>480</v>
      </c>
      <c r="F203" t="s">
        <v>481</v>
      </c>
      <c r="G203" t="s">
        <v>51</v>
      </c>
      <c r="H203" t="s">
        <v>189</v>
      </c>
      <c r="I203" t="s">
        <v>92</v>
      </c>
      <c r="J203" t="s">
        <v>93</v>
      </c>
      <c r="K203">
        <v>728134</v>
      </c>
      <c r="L203" t="s">
        <v>455</v>
      </c>
      <c r="M203" t="s">
        <v>456</v>
      </c>
      <c r="N203" t="s">
        <v>57</v>
      </c>
      <c r="O203" s="1">
        <v>45639</v>
      </c>
      <c r="Q203" s="1">
        <v>45974</v>
      </c>
      <c r="R203" s="2">
        <v>39.979999999999997</v>
      </c>
      <c r="S203">
        <v>1</v>
      </c>
      <c r="T203" t="s">
        <v>58</v>
      </c>
      <c r="U203" t="s">
        <v>180</v>
      </c>
      <c r="V203" s="4">
        <v>0.375</v>
      </c>
      <c r="W203" s="2">
        <v>0</v>
      </c>
      <c r="X203">
        <v>0</v>
      </c>
      <c r="Y203" t="s">
        <v>60</v>
      </c>
      <c r="Z203" t="s">
        <v>182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14.99</v>
      </c>
      <c r="AN203" s="2">
        <v>14.99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45943</v>
      </c>
      <c r="B204" t="s">
        <v>48</v>
      </c>
      <c r="C204">
        <v>649163</v>
      </c>
      <c r="D204">
        <v>2026186217</v>
      </c>
      <c r="E204" t="s">
        <v>482</v>
      </c>
      <c r="F204" t="s">
        <v>483</v>
      </c>
      <c r="G204" t="s">
        <v>51</v>
      </c>
      <c r="H204" t="s">
        <v>272</v>
      </c>
      <c r="I204" t="s">
        <v>92</v>
      </c>
      <c r="J204" t="s">
        <v>93</v>
      </c>
      <c r="K204">
        <v>767312</v>
      </c>
      <c r="L204" t="s">
        <v>147</v>
      </c>
      <c r="M204" t="s">
        <v>148</v>
      </c>
      <c r="N204" t="s">
        <v>57</v>
      </c>
      <c r="O204" s="1">
        <v>45641</v>
      </c>
      <c r="Q204" s="1">
        <v>45976</v>
      </c>
      <c r="R204" s="2">
        <v>26.74</v>
      </c>
      <c r="S204">
        <v>1</v>
      </c>
      <c r="T204" t="s">
        <v>58</v>
      </c>
      <c r="U204" t="s">
        <v>180</v>
      </c>
      <c r="V204" s="4">
        <v>0.375</v>
      </c>
      <c r="W204" s="2">
        <v>0</v>
      </c>
      <c r="X204">
        <v>0</v>
      </c>
      <c r="Y204" t="s">
        <v>60</v>
      </c>
      <c r="Z204" t="s">
        <v>182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10.029999999999999</v>
      </c>
      <c r="AN204" s="2">
        <v>10.029999999999999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45943</v>
      </c>
      <c r="B205" t="s">
        <v>48</v>
      </c>
      <c r="C205">
        <v>649163</v>
      </c>
      <c r="D205">
        <v>2026529011</v>
      </c>
      <c r="E205" t="s">
        <v>484</v>
      </c>
      <c r="F205" t="s">
        <v>485</v>
      </c>
      <c r="G205" t="s">
        <v>51</v>
      </c>
      <c r="H205" t="s">
        <v>78</v>
      </c>
      <c r="I205" t="s">
        <v>92</v>
      </c>
      <c r="J205" t="s">
        <v>93</v>
      </c>
      <c r="K205">
        <v>766747</v>
      </c>
      <c r="L205" t="s">
        <v>477</v>
      </c>
      <c r="M205" t="s">
        <v>159</v>
      </c>
      <c r="N205" t="s">
        <v>179</v>
      </c>
      <c r="O205" s="1">
        <v>45689</v>
      </c>
      <c r="P205" s="1">
        <v>45943</v>
      </c>
      <c r="Q205" s="1">
        <v>45962</v>
      </c>
      <c r="R205" s="2">
        <v>-79.63</v>
      </c>
      <c r="S205">
        <v>1</v>
      </c>
      <c r="T205" t="s">
        <v>58</v>
      </c>
      <c r="U205" t="s">
        <v>180</v>
      </c>
      <c r="V205" s="4">
        <v>0.375</v>
      </c>
      <c r="W205" s="2">
        <v>0</v>
      </c>
      <c r="X205">
        <v>-1</v>
      </c>
      <c r="Y205" t="s">
        <v>60</v>
      </c>
      <c r="Z205" t="s">
        <v>182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-29.86</v>
      </c>
      <c r="AN205" s="2">
        <v>-29.86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45943</v>
      </c>
      <c r="B206" t="s">
        <v>48</v>
      </c>
      <c r="C206">
        <v>649163</v>
      </c>
      <c r="D206">
        <v>2026581909</v>
      </c>
      <c r="E206" t="s">
        <v>250</v>
      </c>
      <c r="F206" t="s">
        <v>251</v>
      </c>
      <c r="G206" t="s">
        <v>51</v>
      </c>
      <c r="H206" t="s">
        <v>91</v>
      </c>
      <c r="I206" t="s">
        <v>92</v>
      </c>
      <c r="J206" t="s">
        <v>93</v>
      </c>
      <c r="K206">
        <v>767312</v>
      </c>
      <c r="L206" t="s">
        <v>147</v>
      </c>
      <c r="M206" t="s">
        <v>148</v>
      </c>
      <c r="N206" t="s">
        <v>57</v>
      </c>
      <c r="O206" s="1">
        <v>45672</v>
      </c>
      <c r="Q206" s="1">
        <v>45976</v>
      </c>
      <c r="R206" s="2">
        <v>126.89</v>
      </c>
      <c r="S206">
        <v>1</v>
      </c>
      <c r="T206" t="s">
        <v>58</v>
      </c>
      <c r="U206" t="s">
        <v>180</v>
      </c>
      <c r="V206" s="4">
        <v>0.375</v>
      </c>
      <c r="W206" s="2">
        <v>0</v>
      </c>
      <c r="X206">
        <v>0</v>
      </c>
      <c r="Y206" t="s">
        <v>60</v>
      </c>
      <c r="Z206" t="s">
        <v>182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47.58</v>
      </c>
      <c r="AN206" s="2">
        <v>47.58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45943</v>
      </c>
      <c r="B207" t="s">
        <v>48</v>
      </c>
      <c r="C207">
        <v>649163</v>
      </c>
      <c r="D207">
        <v>2026585511</v>
      </c>
      <c r="E207" t="s">
        <v>486</v>
      </c>
      <c r="F207" t="s">
        <v>487</v>
      </c>
      <c r="G207" t="s">
        <v>51</v>
      </c>
      <c r="H207" t="s">
        <v>189</v>
      </c>
      <c r="I207" t="s">
        <v>92</v>
      </c>
      <c r="J207" t="s">
        <v>93</v>
      </c>
      <c r="K207">
        <v>728134</v>
      </c>
      <c r="L207" t="s">
        <v>455</v>
      </c>
      <c r="M207" t="s">
        <v>456</v>
      </c>
      <c r="N207" t="s">
        <v>57</v>
      </c>
      <c r="O207" s="1">
        <v>45672</v>
      </c>
      <c r="Q207" s="1">
        <v>45976</v>
      </c>
      <c r="R207" s="2">
        <v>149.46</v>
      </c>
      <c r="S207">
        <v>1</v>
      </c>
      <c r="T207" t="s">
        <v>58</v>
      </c>
      <c r="U207" t="s">
        <v>180</v>
      </c>
      <c r="V207" s="4">
        <v>0.375</v>
      </c>
      <c r="W207" s="2">
        <v>0</v>
      </c>
      <c r="X207">
        <v>0</v>
      </c>
      <c r="Y207" t="s">
        <v>60</v>
      </c>
      <c r="Z207" t="s">
        <v>182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56.05</v>
      </c>
      <c r="AN207" s="2">
        <v>56.05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45943</v>
      </c>
      <c r="B208" t="s">
        <v>48</v>
      </c>
      <c r="C208">
        <v>649163</v>
      </c>
      <c r="D208">
        <v>2026603256</v>
      </c>
      <c r="E208" t="s">
        <v>488</v>
      </c>
      <c r="F208" t="s">
        <v>192</v>
      </c>
      <c r="G208" t="s">
        <v>51</v>
      </c>
      <c r="H208" t="s">
        <v>189</v>
      </c>
      <c r="I208" t="s">
        <v>92</v>
      </c>
      <c r="J208" t="s">
        <v>93</v>
      </c>
      <c r="K208">
        <v>728134</v>
      </c>
      <c r="L208" t="s">
        <v>455</v>
      </c>
      <c r="M208" t="s">
        <v>456</v>
      </c>
      <c r="N208" t="s">
        <v>57</v>
      </c>
      <c r="O208" s="1">
        <v>45673</v>
      </c>
      <c r="Q208" s="1">
        <v>45977</v>
      </c>
      <c r="R208" s="2">
        <v>49.98</v>
      </c>
      <c r="S208">
        <v>1</v>
      </c>
      <c r="T208" t="s">
        <v>58</v>
      </c>
      <c r="U208" t="s">
        <v>180</v>
      </c>
      <c r="V208" s="4">
        <v>0.375</v>
      </c>
      <c r="W208" s="2">
        <v>0</v>
      </c>
      <c r="X208">
        <v>0</v>
      </c>
      <c r="Y208" t="s">
        <v>60</v>
      </c>
      <c r="Z208" t="s">
        <v>182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18.739999999999998</v>
      </c>
      <c r="AN208" s="2">
        <v>18.739999999999998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45943</v>
      </c>
      <c r="B209" t="s">
        <v>48</v>
      </c>
      <c r="C209">
        <v>649163</v>
      </c>
      <c r="D209">
        <v>2026607948</v>
      </c>
      <c r="E209" t="s">
        <v>489</v>
      </c>
      <c r="F209" t="s">
        <v>169</v>
      </c>
      <c r="G209" t="s">
        <v>51</v>
      </c>
      <c r="H209" t="s">
        <v>225</v>
      </c>
      <c r="I209" t="s">
        <v>92</v>
      </c>
      <c r="J209" t="s">
        <v>93</v>
      </c>
      <c r="K209">
        <v>767312</v>
      </c>
      <c r="L209" t="s">
        <v>147</v>
      </c>
      <c r="M209" t="s">
        <v>148</v>
      </c>
      <c r="N209" t="s">
        <v>57</v>
      </c>
      <c r="O209" s="1">
        <v>45673</v>
      </c>
      <c r="Q209" s="1">
        <v>45977</v>
      </c>
      <c r="R209" s="2">
        <v>27.97</v>
      </c>
      <c r="S209">
        <v>1</v>
      </c>
      <c r="T209" t="s">
        <v>58</v>
      </c>
      <c r="U209" t="s">
        <v>180</v>
      </c>
      <c r="V209" s="4">
        <v>0.375</v>
      </c>
      <c r="W209" s="2">
        <v>0</v>
      </c>
      <c r="X209">
        <v>0</v>
      </c>
      <c r="Y209" t="s">
        <v>60</v>
      </c>
      <c r="Z209" t="s">
        <v>182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10.49</v>
      </c>
      <c r="AN209" s="2">
        <v>10.49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45943</v>
      </c>
      <c r="B210" t="s">
        <v>48</v>
      </c>
      <c r="C210">
        <v>649163</v>
      </c>
      <c r="D210">
        <v>2026615682</v>
      </c>
      <c r="E210" t="s">
        <v>490</v>
      </c>
      <c r="F210" t="s">
        <v>56</v>
      </c>
      <c r="G210" t="s">
        <v>51</v>
      </c>
      <c r="H210" t="s">
        <v>102</v>
      </c>
      <c r="I210" t="s">
        <v>92</v>
      </c>
      <c r="J210" t="s">
        <v>93</v>
      </c>
      <c r="K210">
        <v>767312</v>
      </c>
      <c r="L210" t="s">
        <v>147</v>
      </c>
      <c r="M210" t="s">
        <v>148</v>
      </c>
      <c r="N210" t="s">
        <v>57</v>
      </c>
      <c r="O210" s="1">
        <v>45673</v>
      </c>
      <c r="Q210" s="1">
        <v>45977</v>
      </c>
      <c r="R210" s="2">
        <v>29.08</v>
      </c>
      <c r="S210">
        <v>1</v>
      </c>
      <c r="T210" t="s">
        <v>58</v>
      </c>
      <c r="U210" t="s">
        <v>180</v>
      </c>
      <c r="V210" s="4">
        <v>0.375</v>
      </c>
      <c r="W210" s="2">
        <v>0</v>
      </c>
      <c r="X210">
        <v>0</v>
      </c>
      <c r="Y210" t="s">
        <v>60</v>
      </c>
      <c r="Z210" t="s">
        <v>182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10.9</v>
      </c>
      <c r="AN210" s="2">
        <v>10.9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45943</v>
      </c>
      <c r="B211" t="s">
        <v>48</v>
      </c>
      <c r="C211">
        <v>649163</v>
      </c>
      <c r="D211">
        <v>2026618368</v>
      </c>
      <c r="E211" t="s">
        <v>491</v>
      </c>
      <c r="F211" t="s">
        <v>492</v>
      </c>
      <c r="G211" t="s">
        <v>51</v>
      </c>
      <c r="H211" t="s">
        <v>78</v>
      </c>
      <c r="I211" t="s">
        <v>92</v>
      </c>
      <c r="J211" t="s">
        <v>93</v>
      </c>
      <c r="K211">
        <v>792847</v>
      </c>
      <c r="L211" t="s">
        <v>277</v>
      </c>
      <c r="M211" t="s">
        <v>279</v>
      </c>
      <c r="N211" t="s">
        <v>57</v>
      </c>
      <c r="O211" s="1">
        <v>45673</v>
      </c>
      <c r="Q211" s="1">
        <v>45977</v>
      </c>
      <c r="R211" s="2">
        <v>35.29</v>
      </c>
      <c r="S211">
        <v>1</v>
      </c>
      <c r="T211" t="s">
        <v>58</v>
      </c>
      <c r="U211" t="s">
        <v>180</v>
      </c>
      <c r="V211" s="4">
        <v>0.375</v>
      </c>
      <c r="W211" s="2">
        <v>0</v>
      </c>
      <c r="X211">
        <v>0</v>
      </c>
      <c r="Y211" t="s">
        <v>60</v>
      </c>
      <c r="Z211" t="s">
        <v>182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13.23</v>
      </c>
      <c r="AN211" s="2">
        <v>13.23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45943</v>
      </c>
      <c r="B212" t="s">
        <v>48</v>
      </c>
      <c r="C212">
        <v>649163</v>
      </c>
      <c r="D212">
        <v>2026625853</v>
      </c>
      <c r="E212" t="s">
        <v>493</v>
      </c>
      <c r="F212" t="s">
        <v>494</v>
      </c>
      <c r="G212" t="s">
        <v>51</v>
      </c>
      <c r="H212" t="s">
        <v>102</v>
      </c>
      <c r="I212" t="s">
        <v>92</v>
      </c>
      <c r="J212" t="s">
        <v>93</v>
      </c>
      <c r="K212">
        <v>767312</v>
      </c>
      <c r="L212" t="s">
        <v>147</v>
      </c>
      <c r="M212" t="s">
        <v>148</v>
      </c>
      <c r="N212" t="s">
        <v>57</v>
      </c>
      <c r="O212" s="1">
        <v>45674</v>
      </c>
      <c r="Q212" s="1">
        <v>45978</v>
      </c>
      <c r="R212" s="2">
        <v>24.71</v>
      </c>
      <c r="S212">
        <v>1</v>
      </c>
      <c r="T212" t="s">
        <v>58</v>
      </c>
      <c r="U212" t="s">
        <v>180</v>
      </c>
      <c r="V212" s="4">
        <v>0.375</v>
      </c>
      <c r="W212" s="2">
        <v>0</v>
      </c>
      <c r="X212">
        <v>0</v>
      </c>
      <c r="Y212" t="s">
        <v>60</v>
      </c>
      <c r="Z212" t="s">
        <v>182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9.27</v>
      </c>
      <c r="AN212" s="2">
        <v>9.27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45943</v>
      </c>
      <c r="B213" t="s">
        <v>48</v>
      </c>
      <c r="C213">
        <v>649163</v>
      </c>
      <c r="D213">
        <v>2026652335</v>
      </c>
      <c r="E213" t="s">
        <v>495</v>
      </c>
      <c r="F213" t="s">
        <v>496</v>
      </c>
      <c r="G213" t="s">
        <v>51</v>
      </c>
      <c r="H213" t="s">
        <v>78</v>
      </c>
      <c r="I213" t="s">
        <v>92</v>
      </c>
      <c r="J213" t="s">
        <v>93</v>
      </c>
      <c r="K213">
        <v>812782</v>
      </c>
      <c r="L213" t="s">
        <v>160</v>
      </c>
      <c r="M213" t="s">
        <v>161</v>
      </c>
      <c r="N213" t="s">
        <v>179</v>
      </c>
      <c r="O213" s="1">
        <v>45689</v>
      </c>
      <c r="P213" s="1">
        <v>45936</v>
      </c>
      <c r="Q213" s="1">
        <v>45962</v>
      </c>
      <c r="R213" s="2">
        <v>-142.13</v>
      </c>
      <c r="S213">
        <v>1</v>
      </c>
      <c r="T213" t="s">
        <v>58</v>
      </c>
      <c r="U213" t="s">
        <v>180</v>
      </c>
      <c r="V213" s="4">
        <v>0.375</v>
      </c>
      <c r="W213" s="2">
        <v>0</v>
      </c>
      <c r="X213">
        <v>-1</v>
      </c>
      <c r="Y213" t="s">
        <v>60</v>
      </c>
      <c r="Z213" t="s">
        <v>182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-53.3</v>
      </c>
      <c r="AN213" s="2">
        <v>-53.3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45943</v>
      </c>
      <c r="B214" t="s">
        <v>48</v>
      </c>
      <c r="C214">
        <v>649163</v>
      </c>
      <c r="D214">
        <v>2027038282</v>
      </c>
      <c r="E214" t="s">
        <v>252</v>
      </c>
      <c r="F214" t="s">
        <v>253</v>
      </c>
      <c r="G214" t="s">
        <v>51</v>
      </c>
      <c r="H214" t="s">
        <v>69</v>
      </c>
      <c r="I214" t="s">
        <v>92</v>
      </c>
      <c r="J214" t="s">
        <v>93</v>
      </c>
      <c r="K214">
        <v>816021</v>
      </c>
      <c r="L214" t="s">
        <v>71</v>
      </c>
      <c r="M214" t="s">
        <v>72</v>
      </c>
      <c r="N214" t="s">
        <v>57</v>
      </c>
      <c r="O214" s="1">
        <v>45699</v>
      </c>
      <c r="Q214" s="1">
        <v>45972</v>
      </c>
      <c r="R214" s="2">
        <v>45.39</v>
      </c>
      <c r="S214">
        <v>1</v>
      </c>
      <c r="T214" t="s">
        <v>58</v>
      </c>
      <c r="U214" t="s">
        <v>180</v>
      </c>
      <c r="V214" s="4">
        <v>0.375</v>
      </c>
      <c r="W214" s="2">
        <v>0</v>
      </c>
      <c r="X214">
        <v>0</v>
      </c>
      <c r="Y214" t="s">
        <v>60</v>
      </c>
      <c r="Z214" t="s">
        <v>182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17.02</v>
      </c>
      <c r="AN214" s="2">
        <v>17.02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45943</v>
      </c>
      <c r="B215" t="s">
        <v>48</v>
      </c>
      <c r="C215">
        <v>649163</v>
      </c>
      <c r="D215">
        <v>2027052527</v>
      </c>
      <c r="E215" t="s">
        <v>497</v>
      </c>
      <c r="F215" t="s">
        <v>498</v>
      </c>
      <c r="G215" t="s">
        <v>51</v>
      </c>
      <c r="H215" t="s">
        <v>78</v>
      </c>
      <c r="I215" t="s">
        <v>92</v>
      </c>
      <c r="J215" t="s">
        <v>93</v>
      </c>
      <c r="K215">
        <v>766747</v>
      </c>
      <c r="L215" t="s">
        <v>477</v>
      </c>
      <c r="M215" t="s">
        <v>159</v>
      </c>
      <c r="N215" t="s">
        <v>57</v>
      </c>
      <c r="O215" s="1">
        <v>45699</v>
      </c>
      <c r="Q215" s="1">
        <v>45972</v>
      </c>
      <c r="R215" s="2">
        <v>48.61</v>
      </c>
      <c r="S215">
        <v>1</v>
      </c>
      <c r="T215" t="s">
        <v>58</v>
      </c>
      <c r="U215" t="s">
        <v>180</v>
      </c>
      <c r="V215" s="4">
        <v>0.375</v>
      </c>
      <c r="W215" s="2">
        <v>0</v>
      </c>
      <c r="X215">
        <v>0</v>
      </c>
      <c r="Y215" t="s">
        <v>60</v>
      </c>
      <c r="Z215" t="s">
        <v>182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18.23</v>
      </c>
      <c r="AN215" s="2">
        <v>18.23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45943</v>
      </c>
      <c r="B216" t="s">
        <v>48</v>
      </c>
      <c r="C216">
        <v>649163</v>
      </c>
      <c r="D216">
        <v>2027055699</v>
      </c>
      <c r="E216" t="s">
        <v>499</v>
      </c>
      <c r="F216" t="s">
        <v>500</v>
      </c>
      <c r="G216" t="s">
        <v>51</v>
      </c>
      <c r="H216" t="s">
        <v>69</v>
      </c>
      <c r="I216" t="s">
        <v>92</v>
      </c>
      <c r="J216" t="s">
        <v>93</v>
      </c>
      <c r="K216">
        <v>816021</v>
      </c>
      <c r="L216" t="s">
        <v>71</v>
      </c>
      <c r="M216" t="s">
        <v>72</v>
      </c>
      <c r="N216" t="s">
        <v>57</v>
      </c>
      <c r="O216" s="1">
        <v>45699</v>
      </c>
      <c r="Q216" s="1">
        <v>45972</v>
      </c>
      <c r="R216" s="2">
        <v>53.08</v>
      </c>
      <c r="S216">
        <v>1</v>
      </c>
      <c r="T216" t="s">
        <v>58</v>
      </c>
      <c r="U216" t="s">
        <v>180</v>
      </c>
      <c r="V216" s="4">
        <v>0.375</v>
      </c>
      <c r="W216" s="2">
        <v>0</v>
      </c>
      <c r="X216">
        <v>0</v>
      </c>
      <c r="Y216" t="s">
        <v>60</v>
      </c>
      <c r="Z216" t="s">
        <v>182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19.899999999999999</v>
      </c>
      <c r="AN216" s="2">
        <v>19.899999999999999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45943</v>
      </c>
      <c r="B217" t="s">
        <v>48</v>
      </c>
      <c r="C217">
        <v>649163</v>
      </c>
      <c r="D217">
        <v>2027059395</v>
      </c>
      <c r="E217" t="s">
        <v>501</v>
      </c>
      <c r="F217" t="s">
        <v>502</v>
      </c>
      <c r="G217" t="s">
        <v>51</v>
      </c>
      <c r="H217" t="s">
        <v>78</v>
      </c>
      <c r="I217" t="s">
        <v>92</v>
      </c>
      <c r="J217" t="s">
        <v>93</v>
      </c>
      <c r="K217">
        <v>824062</v>
      </c>
      <c r="L217" t="s">
        <v>126</v>
      </c>
      <c r="M217" t="s">
        <v>127</v>
      </c>
      <c r="N217" t="s">
        <v>57</v>
      </c>
      <c r="O217" s="1">
        <v>45700</v>
      </c>
      <c r="Q217" s="1">
        <v>45973</v>
      </c>
      <c r="R217" s="2">
        <v>64.760000000000005</v>
      </c>
      <c r="S217">
        <v>1</v>
      </c>
      <c r="T217" t="s">
        <v>58</v>
      </c>
      <c r="U217" t="s">
        <v>180</v>
      </c>
      <c r="V217" s="4">
        <v>0.375</v>
      </c>
      <c r="W217" s="2">
        <v>0</v>
      </c>
      <c r="X217">
        <v>0</v>
      </c>
      <c r="Y217" t="s">
        <v>60</v>
      </c>
      <c r="Z217" t="s">
        <v>182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24.28</v>
      </c>
      <c r="AN217" s="2">
        <v>24.28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45943</v>
      </c>
      <c r="B218" t="s">
        <v>48</v>
      </c>
      <c r="C218">
        <v>649163</v>
      </c>
      <c r="D218">
        <v>2027070509</v>
      </c>
      <c r="E218" t="s">
        <v>212</v>
      </c>
      <c r="F218" t="s">
        <v>213</v>
      </c>
      <c r="G218" t="s">
        <v>51</v>
      </c>
      <c r="H218" t="s">
        <v>214</v>
      </c>
      <c r="I218" t="s">
        <v>92</v>
      </c>
      <c r="J218" t="s">
        <v>93</v>
      </c>
      <c r="K218">
        <v>756418</v>
      </c>
      <c r="L218" t="s">
        <v>216</v>
      </c>
      <c r="M218" t="s">
        <v>217</v>
      </c>
      <c r="N218" t="s">
        <v>57</v>
      </c>
      <c r="O218" s="1">
        <v>45700</v>
      </c>
      <c r="Q218" s="1">
        <v>45973</v>
      </c>
      <c r="R218" s="2">
        <v>31.14</v>
      </c>
      <c r="S218">
        <v>1</v>
      </c>
      <c r="T218" t="s">
        <v>58</v>
      </c>
      <c r="U218" t="s">
        <v>180</v>
      </c>
      <c r="V218" s="4">
        <v>0.375</v>
      </c>
      <c r="W218" s="2">
        <v>0</v>
      </c>
      <c r="X218">
        <v>0</v>
      </c>
      <c r="Y218" t="s">
        <v>60</v>
      </c>
      <c r="Z218" t="s">
        <v>182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11.68</v>
      </c>
      <c r="AN218" s="2">
        <v>11.68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45943</v>
      </c>
      <c r="B219" t="s">
        <v>48</v>
      </c>
      <c r="C219">
        <v>649163</v>
      </c>
      <c r="D219">
        <v>2027072201</v>
      </c>
      <c r="E219" t="s">
        <v>503</v>
      </c>
      <c r="F219" t="s">
        <v>347</v>
      </c>
      <c r="G219" t="s">
        <v>51</v>
      </c>
      <c r="H219" t="s">
        <v>69</v>
      </c>
      <c r="I219" t="s">
        <v>92</v>
      </c>
      <c r="J219" t="s">
        <v>93</v>
      </c>
      <c r="K219">
        <v>816021</v>
      </c>
      <c r="L219" t="s">
        <v>71</v>
      </c>
      <c r="M219" t="s">
        <v>72</v>
      </c>
      <c r="N219" t="s">
        <v>57</v>
      </c>
      <c r="O219" s="1">
        <v>45703</v>
      </c>
      <c r="Q219" s="1">
        <v>45976</v>
      </c>
      <c r="R219" s="2">
        <v>102.21</v>
      </c>
      <c r="S219">
        <v>1</v>
      </c>
      <c r="T219" t="s">
        <v>58</v>
      </c>
      <c r="U219" t="s">
        <v>180</v>
      </c>
      <c r="V219" s="4">
        <v>0.375</v>
      </c>
      <c r="W219" s="2">
        <v>0</v>
      </c>
      <c r="X219">
        <v>0</v>
      </c>
      <c r="Y219" t="s">
        <v>60</v>
      </c>
      <c r="Z219" t="s">
        <v>182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38.33</v>
      </c>
      <c r="AN219" s="2">
        <v>38.33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45943</v>
      </c>
      <c r="B220" t="s">
        <v>48</v>
      </c>
      <c r="C220">
        <v>649163</v>
      </c>
      <c r="D220">
        <v>2027106747</v>
      </c>
      <c r="E220" t="s">
        <v>504</v>
      </c>
      <c r="F220" t="s">
        <v>217</v>
      </c>
      <c r="G220" t="s">
        <v>51</v>
      </c>
      <c r="H220" t="s">
        <v>78</v>
      </c>
      <c r="I220" t="s">
        <v>92</v>
      </c>
      <c r="J220" t="s">
        <v>93</v>
      </c>
      <c r="K220">
        <v>792847</v>
      </c>
      <c r="L220" t="s">
        <v>277</v>
      </c>
      <c r="M220" t="s">
        <v>279</v>
      </c>
      <c r="N220" t="s">
        <v>57</v>
      </c>
      <c r="O220" s="1">
        <v>45703</v>
      </c>
      <c r="Q220" s="1">
        <v>45976</v>
      </c>
      <c r="R220" s="2">
        <v>48.61</v>
      </c>
      <c r="S220">
        <v>1</v>
      </c>
      <c r="T220" t="s">
        <v>58</v>
      </c>
      <c r="U220" t="s">
        <v>180</v>
      </c>
      <c r="V220" s="4">
        <v>0.375</v>
      </c>
      <c r="W220" s="2">
        <v>0</v>
      </c>
      <c r="X220">
        <v>0</v>
      </c>
      <c r="Y220" t="s">
        <v>60</v>
      </c>
      <c r="Z220" t="s">
        <v>182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18.23</v>
      </c>
      <c r="AN220" s="2">
        <v>18.23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45943</v>
      </c>
      <c r="B221" t="s">
        <v>48</v>
      </c>
      <c r="C221">
        <v>649163</v>
      </c>
      <c r="D221">
        <v>2027111487</v>
      </c>
      <c r="E221" t="s">
        <v>505</v>
      </c>
      <c r="F221" t="s">
        <v>276</v>
      </c>
      <c r="G221" t="s">
        <v>51</v>
      </c>
      <c r="H221" t="s">
        <v>78</v>
      </c>
      <c r="I221" t="s">
        <v>92</v>
      </c>
      <c r="J221" t="s">
        <v>93</v>
      </c>
      <c r="K221">
        <v>840313</v>
      </c>
      <c r="L221" t="s">
        <v>506</v>
      </c>
      <c r="M221" t="s">
        <v>507</v>
      </c>
      <c r="N221" t="s">
        <v>57</v>
      </c>
      <c r="O221" s="1">
        <v>45703</v>
      </c>
      <c r="Q221" s="1">
        <v>45976</v>
      </c>
      <c r="R221" s="2">
        <v>60.94</v>
      </c>
      <c r="S221">
        <v>1</v>
      </c>
      <c r="T221" t="s">
        <v>58</v>
      </c>
      <c r="U221" t="s">
        <v>180</v>
      </c>
      <c r="V221" s="4">
        <v>0.375</v>
      </c>
      <c r="W221" s="2">
        <v>0</v>
      </c>
      <c r="X221">
        <v>0</v>
      </c>
      <c r="Y221" t="s">
        <v>60</v>
      </c>
      <c r="Z221" t="s">
        <v>182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22.85</v>
      </c>
      <c r="AN221" s="2">
        <v>22.85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45943</v>
      </c>
      <c r="B222" t="s">
        <v>48</v>
      </c>
      <c r="C222">
        <v>649163</v>
      </c>
      <c r="D222">
        <v>2027706491</v>
      </c>
      <c r="E222" t="s">
        <v>508</v>
      </c>
      <c r="F222" t="s">
        <v>211</v>
      </c>
      <c r="G222" t="s">
        <v>51</v>
      </c>
      <c r="H222" t="s">
        <v>78</v>
      </c>
      <c r="I222" t="s">
        <v>92</v>
      </c>
      <c r="J222" t="s">
        <v>93</v>
      </c>
      <c r="K222">
        <v>768887</v>
      </c>
      <c r="L222" t="s">
        <v>139</v>
      </c>
      <c r="M222" t="s">
        <v>140</v>
      </c>
      <c r="N222" t="s">
        <v>57</v>
      </c>
      <c r="O222" s="1">
        <v>45727</v>
      </c>
      <c r="Q222" s="1">
        <v>45972</v>
      </c>
      <c r="R222" s="2">
        <v>103.42</v>
      </c>
      <c r="S222">
        <v>1</v>
      </c>
      <c r="T222" t="s">
        <v>58</v>
      </c>
      <c r="U222" t="s">
        <v>180</v>
      </c>
      <c r="V222" s="4">
        <v>0.375</v>
      </c>
      <c r="W222" s="2">
        <v>0</v>
      </c>
      <c r="X222">
        <v>0</v>
      </c>
      <c r="Y222" t="s">
        <v>60</v>
      </c>
      <c r="Z222" t="s">
        <v>182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38.78</v>
      </c>
      <c r="AN222" s="2">
        <v>38.78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45943</v>
      </c>
      <c r="B223" t="s">
        <v>48</v>
      </c>
      <c r="C223">
        <v>649163</v>
      </c>
      <c r="D223">
        <v>2027729456</v>
      </c>
      <c r="E223" t="s">
        <v>509</v>
      </c>
      <c r="F223" t="s">
        <v>510</v>
      </c>
      <c r="G223" t="s">
        <v>51</v>
      </c>
      <c r="H223" t="s">
        <v>78</v>
      </c>
      <c r="I223" t="s">
        <v>92</v>
      </c>
      <c r="J223" t="s">
        <v>93</v>
      </c>
      <c r="K223">
        <v>812782</v>
      </c>
      <c r="L223" t="s">
        <v>160</v>
      </c>
      <c r="M223" t="s">
        <v>161</v>
      </c>
      <c r="N223" t="s">
        <v>57</v>
      </c>
      <c r="O223" s="1">
        <v>45728</v>
      </c>
      <c r="Q223" s="1">
        <v>45973</v>
      </c>
      <c r="R223" s="2">
        <v>150.44999999999999</v>
      </c>
      <c r="S223">
        <v>1</v>
      </c>
      <c r="T223" t="s">
        <v>58</v>
      </c>
      <c r="U223" t="s">
        <v>180</v>
      </c>
      <c r="V223" s="4">
        <v>0.375</v>
      </c>
      <c r="W223" s="2">
        <v>0</v>
      </c>
      <c r="X223">
        <v>0</v>
      </c>
      <c r="Y223" t="s">
        <v>60</v>
      </c>
      <c r="Z223" t="s">
        <v>182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56.42</v>
      </c>
      <c r="AN223" s="2">
        <v>56.42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45943</v>
      </c>
      <c r="B224" t="s">
        <v>48</v>
      </c>
      <c r="C224">
        <v>649163</v>
      </c>
      <c r="D224">
        <v>2027767676</v>
      </c>
      <c r="E224" t="s">
        <v>511</v>
      </c>
      <c r="F224" t="s">
        <v>512</v>
      </c>
      <c r="G224" t="s">
        <v>51</v>
      </c>
      <c r="H224" t="s">
        <v>272</v>
      </c>
      <c r="I224" t="s">
        <v>92</v>
      </c>
      <c r="J224" t="s">
        <v>93</v>
      </c>
      <c r="K224">
        <v>764123</v>
      </c>
      <c r="L224" t="s">
        <v>471</v>
      </c>
      <c r="M224" t="s">
        <v>472</v>
      </c>
      <c r="N224" t="s">
        <v>57</v>
      </c>
      <c r="O224" s="1">
        <v>45729</v>
      </c>
      <c r="Q224" s="1">
        <v>45974</v>
      </c>
      <c r="R224" s="2">
        <v>66.650000000000006</v>
      </c>
      <c r="S224">
        <v>1</v>
      </c>
      <c r="T224" t="s">
        <v>58</v>
      </c>
      <c r="U224" t="s">
        <v>180</v>
      </c>
      <c r="V224" s="4">
        <v>0.375</v>
      </c>
      <c r="W224" s="2">
        <v>0</v>
      </c>
      <c r="X224">
        <v>0</v>
      </c>
      <c r="Y224" t="s">
        <v>60</v>
      </c>
      <c r="Z224" t="s">
        <v>182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24.99</v>
      </c>
      <c r="AN224" s="2">
        <v>24.99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45943</v>
      </c>
      <c r="B225" t="s">
        <v>48</v>
      </c>
      <c r="C225">
        <v>649163</v>
      </c>
      <c r="D225">
        <v>2027849004</v>
      </c>
      <c r="E225" t="s">
        <v>513</v>
      </c>
      <c r="F225" t="s">
        <v>514</v>
      </c>
      <c r="G225" t="s">
        <v>51</v>
      </c>
      <c r="H225" t="s">
        <v>78</v>
      </c>
      <c r="I225" t="s">
        <v>92</v>
      </c>
      <c r="J225" t="s">
        <v>93</v>
      </c>
      <c r="K225">
        <v>856163</v>
      </c>
      <c r="L225" t="s">
        <v>65</v>
      </c>
      <c r="M225" t="s">
        <v>81</v>
      </c>
      <c r="N225" t="s">
        <v>57</v>
      </c>
      <c r="O225" s="1">
        <v>45733</v>
      </c>
      <c r="Q225" s="1">
        <v>45978</v>
      </c>
      <c r="R225" s="2">
        <v>182.73</v>
      </c>
      <c r="S225">
        <v>1</v>
      </c>
      <c r="T225" t="s">
        <v>58</v>
      </c>
      <c r="U225" t="s">
        <v>180</v>
      </c>
      <c r="V225" s="4">
        <v>0.375</v>
      </c>
      <c r="W225" s="2">
        <v>0</v>
      </c>
      <c r="X225">
        <v>0</v>
      </c>
      <c r="Y225" t="s">
        <v>60</v>
      </c>
      <c r="Z225" t="s">
        <v>182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68.52</v>
      </c>
      <c r="AN225" s="2">
        <v>68.52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45943</v>
      </c>
      <c r="B226" t="s">
        <v>48</v>
      </c>
      <c r="C226">
        <v>649163</v>
      </c>
      <c r="D226">
        <v>2027849975</v>
      </c>
      <c r="E226" t="s">
        <v>370</v>
      </c>
      <c r="F226" t="s">
        <v>371</v>
      </c>
      <c r="G226" t="s">
        <v>51</v>
      </c>
      <c r="H226" t="s">
        <v>372</v>
      </c>
      <c r="I226" t="s">
        <v>92</v>
      </c>
      <c r="J226" t="s">
        <v>93</v>
      </c>
      <c r="K226">
        <v>650218</v>
      </c>
      <c r="L226" t="s">
        <v>195</v>
      </c>
      <c r="M226" t="s">
        <v>196</v>
      </c>
      <c r="N226" t="s">
        <v>57</v>
      </c>
      <c r="O226" s="1">
        <v>45733</v>
      </c>
      <c r="Q226" s="1">
        <v>45978</v>
      </c>
      <c r="R226" s="2">
        <v>102.55</v>
      </c>
      <c r="S226">
        <v>1</v>
      </c>
      <c r="T226" t="s">
        <v>58</v>
      </c>
      <c r="U226" t="s">
        <v>180</v>
      </c>
      <c r="V226" s="4">
        <v>0.375</v>
      </c>
      <c r="W226" s="2">
        <v>0</v>
      </c>
      <c r="X226">
        <v>0</v>
      </c>
      <c r="Y226" t="s">
        <v>60</v>
      </c>
      <c r="Z226" t="s">
        <v>182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38.46</v>
      </c>
      <c r="AN226" s="2">
        <v>38.46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45943</v>
      </c>
      <c r="B227" t="s">
        <v>48</v>
      </c>
      <c r="C227">
        <v>649163</v>
      </c>
      <c r="D227">
        <v>2028149728</v>
      </c>
      <c r="E227" t="s">
        <v>515</v>
      </c>
      <c r="F227" t="s">
        <v>516</v>
      </c>
      <c r="G227" t="s">
        <v>51</v>
      </c>
      <c r="H227" t="s">
        <v>225</v>
      </c>
      <c r="I227" t="s">
        <v>92</v>
      </c>
      <c r="J227" t="s">
        <v>93</v>
      </c>
      <c r="K227">
        <v>650218</v>
      </c>
      <c r="L227" t="s">
        <v>195</v>
      </c>
      <c r="M227" t="s">
        <v>196</v>
      </c>
      <c r="N227" t="s">
        <v>57</v>
      </c>
      <c r="O227" s="1">
        <v>45748</v>
      </c>
      <c r="Q227" s="1">
        <v>45962</v>
      </c>
      <c r="R227" s="2">
        <v>16.39</v>
      </c>
      <c r="S227">
        <v>1</v>
      </c>
      <c r="T227" t="s">
        <v>58</v>
      </c>
      <c r="U227" t="s">
        <v>180</v>
      </c>
      <c r="V227" s="4">
        <v>0.375</v>
      </c>
      <c r="W227" s="2">
        <v>0</v>
      </c>
      <c r="X227">
        <v>0</v>
      </c>
      <c r="Y227" t="s">
        <v>60</v>
      </c>
      <c r="Z227" t="s">
        <v>182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6.15</v>
      </c>
      <c r="AN227" s="2">
        <v>6.15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45943</v>
      </c>
      <c r="B228" t="s">
        <v>48</v>
      </c>
      <c r="C228">
        <v>649163</v>
      </c>
      <c r="D228">
        <v>2028174265</v>
      </c>
      <c r="E228" t="s">
        <v>517</v>
      </c>
      <c r="F228" t="s">
        <v>518</v>
      </c>
      <c r="G228" t="s">
        <v>51</v>
      </c>
      <c r="H228" t="s">
        <v>78</v>
      </c>
      <c r="I228" t="s">
        <v>92</v>
      </c>
      <c r="J228" t="s">
        <v>93</v>
      </c>
      <c r="K228">
        <v>843573</v>
      </c>
      <c r="L228" t="s">
        <v>519</v>
      </c>
      <c r="M228" t="s">
        <v>520</v>
      </c>
      <c r="N228" t="s">
        <v>57</v>
      </c>
      <c r="O228" s="1">
        <v>45758</v>
      </c>
      <c r="Q228" s="1">
        <v>45972</v>
      </c>
      <c r="R228" s="2">
        <v>32.67</v>
      </c>
      <c r="S228">
        <v>1</v>
      </c>
      <c r="T228" t="s">
        <v>58</v>
      </c>
      <c r="U228" t="s">
        <v>180</v>
      </c>
      <c r="V228" s="4">
        <v>0.375</v>
      </c>
      <c r="W228" s="2">
        <v>0</v>
      </c>
      <c r="X228">
        <v>0</v>
      </c>
      <c r="Y228" t="s">
        <v>60</v>
      </c>
      <c r="Z228" t="s">
        <v>182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12.25</v>
      </c>
      <c r="AN228" s="2">
        <v>12.25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45943</v>
      </c>
      <c r="B229" t="s">
        <v>48</v>
      </c>
      <c r="C229">
        <v>649163</v>
      </c>
      <c r="D229">
        <v>2028329764</v>
      </c>
      <c r="E229" t="s">
        <v>521</v>
      </c>
      <c r="F229" t="s">
        <v>522</v>
      </c>
      <c r="G229" t="s">
        <v>51</v>
      </c>
      <c r="H229" t="s">
        <v>78</v>
      </c>
      <c r="I229" t="s">
        <v>92</v>
      </c>
      <c r="J229" t="s">
        <v>93</v>
      </c>
      <c r="K229">
        <v>824076</v>
      </c>
      <c r="L229" t="s">
        <v>292</v>
      </c>
      <c r="M229" t="s">
        <v>293</v>
      </c>
      <c r="N229" t="s">
        <v>57</v>
      </c>
      <c r="O229" s="1">
        <v>45762</v>
      </c>
      <c r="Q229" s="1">
        <v>45976</v>
      </c>
      <c r="R229" s="2">
        <v>57.19</v>
      </c>
      <c r="S229">
        <v>1</v>
      </c>
      <c r="T229" t="s">
        <v>58</v>
      </c>
      <c r="U229" t="s">
        <v>180</v>
      </c>
      <c r="V229" s="4">
        <v>0.375</v>
      </c>
      <c r="W229" s="2">
        <v>0</v>
      </c>
      <c r="X229">
        <v>0</v>
      </c>
      <c r="Y229" t="s">
        <v>60</v>
      </c>
      <c r="Z229" t="s">
        <v>182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21.45</v>
      </c>
      <c r="AN229" s="2">
        <v>21.45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45943</v>
      </c>
      <c r="B230" t="s">
        <v>48</v>
      </c>
      <c r="C230">
        <v>649163</v>
      </c>
      <c r="D230">
        <v>2028367120</v>
      </c>
      <c r="E230" t="s">
        <v>262</v>
      </c>
      <c r="F230" t="s">
        <v>263</v>
      </c>
      <c r="G230" t="s">
        <v>51</v>
      </c>
      <c r="H230" t="s">
        <v>52</v>
      </c>
      <c r="I230" t="s">
        <v>92</v>
      </c>
      <c r="J230" t="s">
        <v>93</v>
      </c>
      <c r="K230">
        <v>673059</v>
      </c>
      <c r="L230" t="s">
        <v>55</v>
      </c>
      <c r="M230" t="s">
        <v>56</v>
      </c>
      <c r="N230" t="s">
        <v>57</v>
      </c>
      <c r="O230" s="1">
        <v>45759</v>
      </c>
      <c r="Q230" s="1">
        <v>45973</v>
      </c>
      <c r="R230" s="2">
        <v>18.62</v>
      </c>
      <c r="S230">
        <v>1</v>
      </c>
      <c r="T230" t="s">
        <v>58</v>
      </c>
      <c r="U230" t="s">
        <v>180</v>
      </c>
      <c r="V230" s="4">
        <v>0.375</v>
      </c>
      <c r="W230" s="2">
        <v>0</v>
      </c>
      <c r="X230">
        <v>0</v>
      </c>
      <c r="Y230" t="s">
        <v>60</v>
      </c>
      <c r="Z230" t="s">
        <v>182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6.98</v>
      </c>
      <c r="AN230" s="2">
        <v>6.98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45943</v>
      </c>
      <c r="B231" t="s">
        <v>48</v>
      </c>
      <c r="C231">
        <v>649163</v>
      </c>
      <c r="D231">
        <v>2028379893</v>
      </c>
      <c r="E231" t="s">
        <v>264</v>
      </c>
      <c r="F231" t="s">
        <v>265</v>
      </c>
      <c r="G231" t="s">
        <v>51</v>
      </c>
      <c r="H231" t="s">
        <v>91</v>
      </c>
      <c r="I231" t="s">
        <v>92</v>
      </c>
      <c r="J231" t="s">
        <v>93</v>
      </c>
      <c r="K231">
        <v>822865</v>
      </c>
      <c r="L231" t="s">
        <v>266</v>
      </c>
      <c r="M231" t="s">
        <v>267</v>
      </c>
      <c r="N231" t="s">
        <v>57</v>
      </c>
      <c r="O231" s="1">
        <v>45760</v>
      </c>
      <c r="Q231" s="1">
        <v>45974</v>
      </c>
      <c r="R231" s="2">
        <v>27.95</v>
      </c>
      <c r="S231">
        <v>1</v>
      </c>
      <c r="T231" t="s">
        <v>58</v>
      </c>
      <c r="U231" t="s">
        <v>180</v>
      </c>
      <c r="V231" s="4">
        <v>0.375</v>
      </c>
      <c r="W231" s="2">
        <v>0</v>
      </c>
      <c r="X231">
        <v>0</v>
      </c>
      <c r="Y231" t="s">
        <v>60</v>
      </c>
      <c r="Z231" t="s">
        <v>182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10.48</v>
      </c>
      <c r="AN231" s="2">
        <v>10.48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45943</v>
      </c>
      <c r="B232" t="s">
        <v>48</v>
      </c>
      <c r="C232">
        <v>649163</v>
      </c>
      <c r="D232">
        <v>2028445565</v>
      </c>
      <c r="E232" t="s">
        <v>523</v>
      </c>
      <c r="F232" t="s">
        <v>524</v>
      </c>
      <c r="G232" t="s">
        <v>51</v>
      </c>
      <c r="H232" t="s">
        <v>78</v>
      </c>
      <c r="I232" t="s">
        <v>92</v>
      </c>
      <c r="J232" t="s">
        <v>93</v>
      </c>
      <c r="K232">
        <v>806645</v>
      </c>
      <c r="L232" t="s">
        <v>525</v>
      </c>
      <c r="M232" t="s">
        <v>526</v>
      </c>
      <c r="N232" t="s">
        <v>57</v>
      </c>
      <c r="O232" s="1">
        <v>45764</v>
      </c>
      <c r="Q232" s="1">
        <v>45978</v>
      </c>
      <c r="R232" s="2">
        <v>32.520000000000003</v>
      </c>
      <c r="S232">
        <v>1</v>
      </c>
      <c r="T232" t="s">
        <v>58</v>
      </c>
      <c r="U232" t="s">
        <v>180</v>
      </c>
      <c r="V232" s="4">
        <v>0.375</v>
      </c>
      <c r="W232" s="2">
        <v>0</v>
      </c>
      <c r="X232">
        <v>0</v>
      </c>
      <c r="Y232" t="s">
        <v>60</v>
      </c>
      <c r="Z232" t="s">
        <v>182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12.2</v>
      </c>
      <c r="AN232" s="2">
        <v>12.2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45943</v>
      </c>
      <c r="B233" t="s">
        <v>48</v>
      </c>
      <c r="C233">
        <v>649163</v>
      </c>
      <c r="D233">
        <v>2028450758</v>
      </c>
      <c r="E233" t="s">
        <v>527</v>
      </c>
      <c r="F233" t="s">
        <v>528</v>
      </c>
      <c r="G233" t="s">
        <v>51</v>
      </c>
      <c r="H233" t="s">
        <v>78</v>
      </c>
      <c r="I233" t="s">
        <v>92</v>
      </c>
      <c r="J233" t="s">
        <v>93</v>
      </c>
      <c r="K233">
        <v>812782</v>
      </c>
      <c r="L233" t="s">
        <v>160</v>
      </c>
      <c r="M233" t="s">
        <v>161</v>
      </c>
      <c r="N233" t="s">
        <v>57</v>
      </c>
      <c r="O233" s="1">
        <v>45764</v>
      </c>
      <c r="Q233" s="1">
        <v>45978</v>
      </c>
      <c r="R233" s="2">
        <v>51.01</v>
      </c>
      <c r="S233">
        <v>1</v>
      </c>
      <c r="T233" t="s">
        <v>58</v>
      </c>
      <c r="U233" t="s">
        <v>180</v>
      </c>
      <c r="V233" s="4">
        <v>0.375</v>
      </c>
      <c r="W233" s="2">
        <v>0</v>
      </c>
      <c r="X233">
        <v>0</v>
      </c>
      <c r="Y233" t="s">
        <v>60</v>
      </c>
      <c r="Z233" t="s">
        <v>182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19.13</v>
      </c>
      <c r="AN233" s="2">
        <v>19.13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45943</v>
      </c>
      <c r="B234" t="s">
        <v>48</v>
      </c>
      <c r="C234">
        <v>649163</v>
      </c>
      <c r="D234">
        <v>2028784373</v>
      </c>
      <c r="E234" t="s">
        <v>529</v>
      </c>
      <c r="F234" t="s">
        <v>514</v>
      </c>
      <c r="G234" t="s">
        <v>51</v>
      </c>
      <c r="H234" t="s">
        <v>78</v>
      </c>
      <c r="I234" t="s">
        <v>92</v>
      </c>
      <c r="J234" t="s">
        <v>93</v>
      </c>
      <c r="K234">
        <v>840313</v>
      </c>
      <c r="L234" t="s">
        <v>506</v>
      </c>
      <c r="M234" t="s">
        <v>507</v>
      </c>
      <c r="N234" t="s">
        <v>57</v>
      </c>
      <c r="O234" s="1">
        <v>45792</v>
      </c>
      <c r="Q234" s="1">
        <v>45976</v>
      </c>
      <c r="R234" s="2">
        <v>57.19</v>
      </c>
      <c r="S234">
        <v>1</v>
      </c>
      <c r="T234" t="s">
        <v>58</v>
      </c>
      <c r="U234" t="s">
        <v>180</v>
      </c>
      <c r="V234" s="4">
        <v>0.375</v>
      </c>
      <c r="W234" s="2">
        <v>0</v>
      </c>
      <c r="X234">
        <v>0</v>
      </c>
      <c r="Y234" t="s">
        <v>60</v>
      </c>
      <c r="Z234" t="s">
        <v>182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21.45</v>
      </c>
      <c r="AN234" s="2">
        <v>21.45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45943</v>
      </c>
      <c r="B235" t="s">
        <v>48</v>
      </c>
      <c r="C235">
        <v>649163</v>
      </c>
      <c r="D235">
        <v>2028803827</v>
      </c>
      <c r="E235" t="s">
        <v>530</v>
      </c>
      <c r="F235" t="s">
        <v>531</v>
      </c>
      <c r="G235" t="s">
        <v>51</v>
      </c>
      <c r="H235" t="s">
        <v>78</v>
      </c>
      <c r="I235" t="s">
        <v>92</v>
      </c>
      <c r="J235" t="s">
        <v>93</v>
      </c>
      <c r="K235">
        <v>669316</v>
      </c>
      <c r="L235" t="s">
        <v>98</v>
      </c>
      <c r="M235" t="s">
        <v>99</v>
      </c>
      <c r="N235" t="s">
        <v>57</v>
      </c>
      <c r="O235" s="1">
        <v>45809</v>
      </c>
      <c r="Q235" s="1">
        <v>45962</v>
      </c>
      <c r="R235" s="2">
        <v>51.86</v>
      </c>
      <c r="S235">
        <v>1</v>
      </c>
      <c r="T235" t="s">
        <v>58</v>
      </c>
      <c r="U235" t="s">
        <v>180</v>
      </c>
      <c r="V235" s="4">
        <v>0.375</v>
      </c>
      <c r="W235" s="2">
        <v>0</v>
      </c>
      <c r="X235">
        <v>0</v>
      </c>
      <c r="Y235" t="s">
        <v>60</v>
      </c>
      <c r="Z235" t="s">
        <v>182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19.45</v>
      </c>
      <c r="AN235" s="2">
        <v>19.45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45943</v>
      </c>
      <c r="B236" t="s">
        <v>48</v>
      </c>
      <c r="C236">
        <v>649163</v>
      </c>
      <c r="D236">
        <v>2028878699</v>
      </c>
      <c r="E236" t="s">
        <v>532</v>
      </c>
      <c r="F236" t="s">
        <v>533</v>
      </c>
      <c r="G236" t="s">
        <v>51</v>
      </c>
      <c r="H236" t="s">
        <v>225</v>
      </c>
      <c r="I236" t="s">
        <v>92</v>
      </c>
      <c r="J236" t="s">
        <v>93</v>
      </c>
      <c r="K236">
        <v>806645</v>
      </c>
      <c r="L236" t="s">
        <v>525</v>
      </c>
      <c r="M236" t="s">
        <v>526</v>
      </c>
      <c r="N236" t="s">
        <v>57</v>
      </c>
      <c r="O236" s="1">
        <v>45788</v>
      </c>
      <c r="Q236" s="1">
        <v>45972</v>
      </c>
      <c r="R236" s="2">
        <v>37.5</v>
      </c>
      <c r="S236">
        <v>1</v>
      </c>
      <c r="T236" t="s">
        <v>58</v>
      </c>
      <c r="U236" t="s">
        <v>180</v>
      </c>
      <c r="V236" s="4">
        <v>0.375</v>
      </c>
      <c r="W236" s="2">
        <v>0</v>
      </c>
      <c r="X236">
        <v>0</v>
      </c>
      <c r="Y236" t="s">
        <v>60</v>
      </c>
      <c r="Z236" t="s">
        <v>182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14.06</v>
      </c>
      <c r="AN236" s="2">
        <v>14.06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45943</v>
      </c>
      <c r="B237" t="s">
        <v>48</v>
      </c>
      <c r="C237">
        <v>649163</v>
      </c>
      <c r="D237">
        <v>2028941655</v>
      </c>
      <c r="E237" t="s">
        <v>270</v>
      </c>
      <c r="F237" t="s">
        <v>271</v>
      </c>
      <c r="G237" t="s">
        <v>51</v>
      </c>
      <c r="H237" t="s">
        <v>272</v>
      </c>
      <c r="I237" t="s">
        <v>92</v>
      </c>
      <c r="J237" t="s">
        <v>93</v>
      </c>
      <c r="K237">
        <v>822723</v>
      </c>
      <c r="L237" t="s">
        <v>273</v>
      </c>
      <c r="M237" t="s">
        <v>274</v>
      </c>
      <c r="N237" t="s">
        <v>57</v>
      </c>
      <c r="O237" s="1">
        <v>45792</v>
      </c>
      <c r="Q237" s="1">
        <v>45976</v>
      </c>
      <c r="R237" s="2">
        <v>69.41</v>
      </c>
      <c r="S237">
        <v>1</v>
      </c>
      <c r="T237" t="s">
        <v>58</v>
      </c>
      <c r="U237" t="s">
        <v>180</v>
      </c>
      <c r="V237" s="4">
        <v>0.375</v>
      </c>
      <c r="W237" s="2">
        <v>0</v>
      </c>
      <c r="X237">
        <v>0</v>
      </c>
      <c r="Y237" t="s">
        <v>60</v>
      </c>
      <c r="Z237" t="s">
        <v>182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26.03</v>
      </c>
      <c r="AN237" s="2">
        <v>26.03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45943</v>
      </c>
      <c r="B238" t="s">
        <v>48</v>
      </c>
      <c r="C238">
        <v>649163</v>
      </c>
      <c r="D238">
        <v>2028942059</v>
      </c>
      <c r="E238" t="s">
        <v>534</v>
      </c>
      <c r="F238" t="s">
        <v>535</v>
      </c>
      <c r="G238" t="s">
        <v>51</v>
      </c>
      <c r="H238" t="s">
        <v>78</v>
      </c>
      <c r="I238" t="s">
        <v>92</v>
      </c>
      <c r="J238" t="s">
        <v>93</v>
      </c>
      <c r="K238">
        <v>807212</v>
      </c>
      <c r="L238" t="s">
        <v>151</v>
      </c>
      <c r="M238" t="s">
        <v>152</v>
      </c>
      <c r="N238" t="s">
        <v>57</v>
      </c>
      <c r="O238" s="1">
        <v>45792</v>
      </c>
      <c r="Q238" s="1">
        <v>45976</v>
      </c>
      <c r="R238" s="2">
        <v>22.52</v>
      </c>
      <c r="S238">
        <v>1</v>
      </c>
      <c r="T238" t="s">
        <v>58</v>
      </c>
      <c r="U238" t="s">
        <v>180</v>
      </c>
      <c r="V238" s="4">
        <v>0.375</v>
      </c>
      <c r="W238" s="2">
        <v>0</v>
      </c>
      <c r="X238">
        <v>0</v>
      </c>
      <c r="Y238" t="s">
        <v>60</v>
      </c>
      <c r="Z238" t="s">
        <v>182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8.44</v>
      </c>
      <c r="AN238" s="2">
        <v>8.44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45943</v>
      </c>
      <c r="B239" t="s">
        <v>48</v>
      </c>
      <c r="C239">
        <v>649163</v>
      </c>
      <c r="D239">
        <v>2028948018</v>
      </c>
      <c r="E239" t="s">
        <v>536</v>
      </c>
      <c r="F239" t="s">
        <v>258</v>
      </c>
      <c r="G239" t="s">
        <v>51</v>
      </c>
      <c r="H239" t="s">
        <v>78</v>
      </c>
      <c r="I239" t="s">
        <v>92</v>
      </c>
      <c r="J239" t="s">
        <v>93</v>
      </c>
      <c r="K239">
        <v>669316</v>
      </c>
      <c r="L239" t="s">
        <v>98</v>
      </c>
      <c r="M239" t="s">
        <v>99</v>
      </c>
      <c r="N239" t="s">
        <v>57</v>
      </c>
      <c r="O239" s="1">
        <v>45793</v>
      </c>
      <c r="Q239" s="1">
        <v>45977</v>
      </c>
      <c r="R239" s="2">
        <v>182.73</v>
      </c>
      <c r="S239">
        <v>1</v>
      </c>
      <c r="T239" t="s">
        <v>58</v>
      </c>
      <c r="U239" t="s">
        <v>180</v>
      </c>
      <c r="V239" s="4">
        <v>0.375</v>
      </c>
      <c r="W239" s="2">
        <v>0</v>
      </c>
      <c r="X239">
        <v>0</v>
      </c>
      <c r="Y239" t="s">
        <v>60</v>
      </c>
      <c r="Z239" t="s">
        <v>182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68.52</v>
      </c>
      <c r="AN239" s="2">
        <v>68.52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45943</v>
      </c>
      <c r="B240" t="s">
        <v>48</v>
      </c>
      <c r="C240">
        <v>649163</v>
      </c>
      <c r="D240">
        <v>2028963798</v>
      </c>
      <c r="E240" t="s">
        <v>537</v>
      </c>
      <c r="F240" t="s">
        <v>538</v>
      </c>
      <c r="G240" t="s">
        <v>51</v>
      </c>
      <c r="H240" t="s">
        <v>78</v>
      </c>
      <c r="I240" t="s">
        <v>92</v>
      </c>
      <c r="J240" t="s">
        <v>93</v>
      </c>
      <c r="K240">
        <v>806645</v>
      </c>
      <c r="L240" t="s">
        <v>525</v>
      </c>
      <c r="M240" t="s">
        <v>526</v>
      </c>
      <c r="N240" t="s">
        <v>57</v>
      </c>
      <c r="O240" s="1">
        <v>45793</v>
      </c>
      <c r="Q240" s="1">
        <v>45977</v>
      </c>
      <c r="R240" s="2">
        <v>57.19</v>
      </c>
      <c r="S240">
        <v>1</v>
      </c>
      <c r="T240" t="s">
        <v>58</v>
      </c>
      <c r="U240" t="s">
        <v>180</v>
      </c>
      <c r="V240" s="4">
        <v>0.375</v>
      </c>
      <c r="W240" s="2">
        <v>0</v>
      </c>
      <c r="X240">
        <v>0</v>
      </c>
      <c r="Y240" t="s">
        <v>60</v>
      </c>
      <c r="Z240" t="s">
        <v>182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21.45</v>
      </c>
      <c r="AN240" s="2">
        <v>21.45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45943</v>
      </c>
      <c r="B241" t="s">
        <v>48</v>
      </c>
      <c r="C241">
        <v>649163</v>
      </c>
      <c r="D241">
        <v>2028977071</v>
      </c>
      <c r="E241" t="s">
        <v>539</v>
      </c>
      <c r="F241" t="s">
        <v>540</v>
      </c>
      <c r="G241" t="s">
        <v>51</v>
      </c>
      <c r="H241" t="s">
        <v>219</v>
      </c>
      <c r="I241" t="s">
        <v>92</v>
      </c>
      <c r="J241" t="s">
        <v>93</v>
      </c>
      <c r="K241">
        <v>822865</v>
      </c>
      <c r="L241" t="s">
        <v>266</v>
      </c>
      <c r="M241" t="s">
        <v>267</v>
      </c>
      <c r="N241" t="s">
        <v>57</v>
      </c>
      <c r="O241" s="1">
        <v>45794</v>
      </c>
      <c r="Q241" s="1">
        <v>45978</v>
      </c>
      <c r="R241" s="2">
        <v>23.34</v>
      </c>
      <c r="S241">
        <v>1</v>
      </c>
      <c r="T241" t="s">
        <v>58</v>
      </c>
      <c r="U241" t="s">
        <v>180</v>
      </c>
      <c r="V241" s="4">
        <v>0.375</v>
      </c>
      <c r="W241" s="2">
        <v>0</v>
      </c>
      <c r="X241">
        <v>0</v>
      </c>
      <c r="Y241" t="s">
        <v>60</v>
      </c>
      <c r="Z241" t="s">
        <v>182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8.75</v>
      </c>
      <c r="AN241" s="2">
        <v>8.75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45943</v>
      </c>
      <c r="B242" t="s">
        <v>48</v>
      </c>
      <c r="C242">
        <v>649163</v>
      </c>
      <c r="D242">
        <v>2028985824</v>
      </c>
      <c r="E242" t="s">
        <v>530</v>
      </c>
      <c r="F242" t="s">
        <v>541</v>
      </c>
      <c r="G242" t="s">
        <v>51</v>
      </c>
      <c r="H242" t="s">
        <v>219</v>
      </c>
      <c r="I242" t="s">
        <v>92</v>
      </c>
      <c r="J242" t="s">
        <v>93</v>
      </c>
      <c r="K242">
        <v>822865</v>
      </c>
      <c r="L242" t="s">
        <v>266</v>
      </c>
      <c r="M242" t="s">
        <v>267</v>
      </c>
      <c r="N242" t="s">
        <v>57</v>
      </c>
      <c r="O242" s="1">
        <v>45794</v>
      </c>
      <c r="Q242" s="1">
        <v>45978</v>
      </c>
      <c r="R242" s="2">
        <v>72.86</v>
      </c>
      <c r="S242">
        <v>1</v>
      </c>
      <c r="T242" t="s">
        <v>58</v>
      </c>
      <c r="U242" t="s">
        <v>180</v>
      </c>
      <c r="V242" s="4">
        <v>0.375</v>
      </c>
      <c r="W242" s="2">
        <v>0</v>
      </c>
      <c r="X242">
        <v>0</v>
      </c>
      <c r="Y242" t="s">
        <v>60</v>
      </c>
      <c r="Z242" t="s">
        <v>182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27.32</v>
      </c>
      <c r="AN242" s="2">
        <v>27.32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45943</v>
      </c>
      <c r="B243" t="s">
        <v>48</v>
      </c>
      <c r="C243">
        <v>649163</v>
      </c>
      <c r="D243">
        <v>2029056124</v>
      </c>
      <c r="E243" t="s">
        <v>530</v>
      </c>
      <c r="F243" t="s">
        <v>542</v>
      </c>
      <c r="G243" t="s">
        <v>51</v>
      </c>
      <c r="H243" t="s">
        <v>91</v>
      </c>
      <c r="I243" t="s">
        <v>92</v>
      </c>
      <c r="J243" t="s">
        <v>93</v>
      </c>
      <c r="K243">
        <v>792847</v>
      </c>
      <c r="L243" t="s">
        <v>277</v>
      </c>
      <c r="M243" t="s">
        <v>279</v>
      </c>
      <c r="N243" t="s">
        <v>57</v>
      </c>
      <c r="O243" s="1">
        <v>45799</v>
      </c>
      <c r="Q243" s="1">
        <v>45952</v>
      </c>
      <c r="R243" s="2">
        <v>68.19</v>
      </c>
      <c r="S243">
        <v>1</v>
      </c>
      <c r="T243" t="s">
        <v>58</v>
      </c>
      <c r="U243" t="s">
        <v>180</v>
      </c>
      <c r="V243" s="4">
        <v>0.375</v>
      </c>
      <c r="W243" s="2">
        <v>0</v>
      </c>
      <c r="X243">
        <v>0</v>
      </c>
      <c r="Y243" t="s">
        <v>60</v>
      </c>
      <c r="Z243" t="s">
        <v>182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25.57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45943</v>
      </c>
      <c r="B244" t="s">
        <v>48</v>
      </c>
      <c r="C244">
        <v>649163</v>
      </c>
      <c r="D244">
        <v>2029341342</v>
      </c>
      <c r="E244" t="s">
        <v>90</v>
      </c>
      <c r="F244" t="s">
        <v>543</v>
      </c>
      <c r="G244" t="s">
        <v>51</v>
      </c>
      <c r="H244" t="s">
        <v>52</v>
      </c>
      <c r="I244" t="s">
        <v>92</v>
      </c>
      <c r="J244" t="s">
        <v>93</v>
      </c>
      <c r="K244">
        <v>767312</v>
      </c>
      <c r="L244" t="s">
        <v>147</v>
      </c>
      <c r="M244" t="s">
        <v>148</v>
      </c>
      <c r="N244" t="s">
        <v>57</v>
      </c>
      <c r="O244" s="1">
        <v>45821</v>
      </c>
      <c r="Q244" s="1">
        <v>45974</v>
      </c>
      <c r="R244" s="2">
        <v>49.62</v>
      </c>
      <c r="S244">
        <v>1</v>
      </c>
      <c r="T244" t="s">
        <v>58</v>
      </c>
      <c r="U244" t="s">
        <v>180</v>
      </c>
      <c r="V244" s="4">
        <v>0.375</v>
      </c>
      <c r="W244" s="2">
        <v>0</v>
      </c>
      <c r="X244">
        <v>0</v>
      </c>
      <c r="Y244" t="s">
        <v>60</v>
      </c>
      <c r="Z244" t="s">
        <v>182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18.61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45943</v>
      </c>
      <c r="B245" t="s">
        <v>48</v>
      </c>
      <c r="C245">
        <v>649163</v>
      </c>
      <c r="D245">
        <v>2029378056</v>
      </c>
      <c r="E245" t="s">
        <v>328</v>
      </c>
      <c r="F245" t="s">
        <v>544</v>
      </c>
      <c r="G245" t="s">
        <v>51</v>
      </c>
      <c r="H245" t="s">
        <v>91</v>
      </c>
      <c r="I245" t="s">
        <v>92</v>
      </c>
      <c r="J245" t="s">
        <v>93</v>
      </c>
      <c r="K245">
        <v>823350</v>
      </c>
      <c r="L245" t="s">
        <v>65</v>
      </c>
      <c r="M245" t="s">
        <v>66</v>
      </c>
      <c r="N245" t="s">
        <v>57</v>
      </c>
      <c r="O245" s="1">
        <v>45820</v>
      </c>
      <c r="Q245" s="1">
        <v>45973</v>
      </c>
      <c r="R245" s="2">
        <v>117.83</v>
      </c>
      <c r="S245">
        <v>1</v>
      </c>
      <c r="T245" t="s">
        <v>58</v>
      </c>
      <c r="U245" t="s">
        <v>180</v>
      </c>
      <c r="V245" s="4">
        <v>0.375</v>
      </c>
      <c r="W245" s="2">
        <v>0</v>
      </c>
      <c r="X245">
        <v>0</v>
      </c>
      <c r="Y245" t="s">
        <v>60</v>
      </c>
      <c r="Z245" t="s">
        <v>182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44.19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45943</v>
      </c>
      <c r="B246" t="s">
        <v>48</v>
      </c>
      <c r="C246">
        <v>649163</v>
      </c>
      <c r="D246">
        <v>2029405218</v>
      </c>
      <c r="E246" t="s">
        <v>545</v>
      </c>
      <c r="F246" t="s">
        <v>546</v>
      </c>
      <c r="G246" t="s">
        <v>51</v>
      </c>
      <c r="H246" t="s">
        <v>175</v>
      </c>
      <c r="I246" t="s">
        <v>92</v>
      </c>
      <c r="J246" t="s">
        <v>93</v>
      </c>
      <c r="K246">
        <v>812656</v>
      </c>
      <c r="L246" t="s">
        <v>547</v>
      </c>
      <c r="M246" t="s">
        <v>548</v>
      </c>
      <c r="N246" t="s">
        <v>57</v>
      </c>
      <c r="O246" s="1">
        <v>45820</v>
      </c>
      <c r="Q246" s="1">
        <v>45973</v>
      </c>
      <c r="R246" s="2">
        <v>38.4</v>
      </c>
      <c r="S246">
        <v>1</v>
      </c>
      <c r="T246" t="s">
        <v>58</v>
      </c>
      <c r="U246" t="s">
        <v>180</v>
      </c>
      <c r="V246" s="4">
        <v>0.375</v>
      </c>
      <c r="W246" s="2">
        <v>0</v>
      </c>
      <c r="X246">
        <v>0</v>
      </c>
      <c r="Y246" t="s">
        <v>60</v>
      </c>
      <c r="Z246" t="s">
        <v>182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14.4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45943</v>
      </c>
      <c r="B247" t="s">
        <v>48</v>
      </c>
      <c r="C247">
        <v>649163</v>
      </c>
      <c r="D247">
        <v>2029413863</v>
      </c>
      <c r="E247" t="s">
        <v>549</v>
      </c>
      <c r="F247" t="s">
        <v>550</v>
      </c>
      <c r="G247" t="s">
        <v>51</v>
      </c>
      <c r="H247" t="s">
        <v>91</v>
      </c>
      <c r="I247" t="s">
        <v>92</v>
      </c>
      <c r="J247" t="s">
        <v>93</v>
      </c>
      <c r="K247">
        <v>823350</v>
      </c>
      <c r="L247" t="s">
        <v>65</v>
      </c>
      <c r="M247" t="s">
        <v>66</v>
      </c>
      <c r="N247" t="s">
        <v>57</v>
      </c>
      <c r="O247" s="1">
        <v>45820</v>
      </c>
      <c r="Q247" s="1">
        <v>45973</v>
      </c>
      <c r="R247" s="2">
        <v>68.19</v>
      </c>
      <c r="S247">
        <v>1</v>
      </c>
      <c r="T247" t="s">
        <v>58</v>
      </c>
      <c r="U247" t="s">
        <v>180</v>
      </c>
      <c r="V247" s="4">
        <v>0.375</v>
      </c>
      <c r="W247" s="2">
        <v>0</v>
      </c>
      <c r="X247">
        <v>0</v>
      </c>
      <c r="Y247" t="s">
        <v>60</v>
      </c>
      <c r="Z247" t="s">
        <v>182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25.57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45943</v>
      </c>
      <c r="B248" t="s">
        <v>48</v>
      </c>
      <c r="C248">
        <v>649163</v>
      </c>
      <c r="D248">
        <v>2029481265</v>
      </c>
      <c r="E248" t="s">
        <v>551</v>
      </c>
      <c r="F248" t="s">
        <v>552</v>
      </c>
      <c r="G248" t="s">
        <v>51</v>
      </c>
      <c r="H248" t="s">
        <v>107</v>
      </c>
      <c r="I248" t="s">
        <v>92</v>
      </c>
      <c r="J248" t="s">
        <v>93</v>
      </c>
      <c r="K248">
        <v>877790</v>
      </c>
      <c r="L248" t="s">
        <v>108</v>
      </c>
      <c r="M248" t="s">
        <v>109</v>
      </c>
      <c r="N248" t="s">
        <v>57</v>
      </c>
      <c r="O248" s="1">
        <v>45825</v>
      </c>
      <c r="Q248" s="1">
        <v>45978</v>
      </c>
      <c r="R248" s="2">
        <v>58.15</v>
      </c>
      <c r="S248">
        <v>1</v>
      </c>
      <c r="T248" t="s">
        <v>58</v>
      </c>
      <c r="U248" t="s">
        <v>180</v>
      </c>
      <c r="V248" s="4">
        <v>0.375</v>
      </c>
      <c r="W248" s="2">
        <v>0</v>
      </c>
      <c r="X248">
        <v>0</v>
      </c>
      <c r="Y248" t="s">
        <v>60</v>
      </c>
      <c r="Z248" t="s">
        <v>182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21.81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45943</v>
      </c>
      <c r="B249" t="s">
        <v>48</v>
      </c>
      <c r="C249">
        <v>649163</v>
      </c>
      <c r="D249">
        <v>2029894410</v>
      </c>
      <c r="E249" t="s">
        <v>90</v>
      </c>
      <c r="F249" t="s">
        <v>553</v>
      </c>
      <c r="G249" t="s">
        <v>51</v>
      </c>
      <c r="H249" t="s">
        <v>107</v>
      </c>
      <c r="I249" t="s">
        <v>92</v>
      </c>
      <c r="J249" t="s">
        <v>93</v>
      </c>
      <c r="K249">
        <v>877790</v>
      </c>
      <c r="L249" t="s">
        <v>108</v>
      </c>
      <c r="M249" t="s">
        <v>109</v>
      </c>
      <c r="N249" t="s">
        <v>57</v>
      </c>
      <c r="O249" s="1">
        <v>45849</v>
      </c>
      <c r="Q249" s="1">
        <v>45972</v>
      </c>
      <c r="R249" s="2">
        <v>189.28</v>
      </c>
      <c r="S249">
        <v>1</v>
      </c>
      <c r="T249" t="s">
        <v>58</v>
      </c>
      <c r="U249" t="s">
        <v>180</v>
      </c>
      <c r="V249" s="4">
        <v>0.375</v>
      </c>
      <c r="W249" s="2">
        <v>0</v>
      </c>
      <c r="X249">
        <v>0</v>
      </c>
      <c r="Y249" t="s">
        <v>60</v>
      </c>
      <c r="Z249" t="s">
        <v>182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70.98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45943</v>
      </c>
      <c r="B250" t="s">
        <v>48</v>
      </c>
      <c r="C250">
        <v>649163</v>
      </c>
      <c r="D250">
        <v>2029904975</v>
      </c>
      <c r="E250" t="s">
        <v>554</v>
      </c>
      <c r="F250" t="s">
        <v>555</v>
      </c>
      <c r="G250" t="s">
        <v>51</v>
      </c>
      <c r="H250" t="s">
        <v>225</v>
      </c>
      <c r="I250" t="s">
        <v>92</v>
      </c>
      <c r="J250" t="s">
        <v>93</v>
      </c>
      <c r="K250">
        <v>651818</v>
      </c>
      <c r="L250" t="s">
        <v>260</v>
      </c>
      <c r="M250" t="s">
        <v>261</v>
      </c>
      <c r="N250" t="s">
        <v>57</v>
      </c>
      <c r="O250" s="1">
        <v>45850</v>
      </c>
      <c r="Q250" s="1">
        <v>45973</v>
      </c>
      <c r="R250" s="2">
        <v>102.62</v>
      </c>
      <c r="S250">
        <v>1</v>
      </c>
      <c r="T250" t="s">
        <v>58</v>
      </c>
      <c r="U250" t="s">
        <v>180</v>
      </c>
      <c r="V250" s="4">
        <v>0.375</v>
      </c>
      <c r="W250" s="2">
        <v>0</v>
      </c>
      <c r="X250">
        <v>0</v>
      </c>
      <c r="Y250" t="s">
        <v>60</v>
      </c>
      <c r="Z250" t="s">
        <v>182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38.479999999999997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45943</v>
      </c>
      <c r="B251" t="s">
        <v>48</v>
      </c>
      <c r="C251">
        <v>649163</v>
      </c>
      <c r="D251">
        <v>2029910892</v>
      </c>
      <c r="E251" t="s">
        <v>556</v>
      </c>
      <c r="F251" t="s">
        <v>557</v>
      </c>
      <c r="G251" t="s">
        <v>51</v>
      </c>
      <c r="H251" t="s">
        <v>91</v>
      </c>
      <c r="I251" t="s">
        <v>92</v>
      </c>
      <c r="J251" t="s">
        <v>93</v>
      </c>
      <c r="K251">
        <v>856824</v>
      </c>
      <c r="L251" t="s">
        <v>156</v>
      </c>
      <c r="M251" t="s">
        <v>157</v>
      </c>
      <c r="N251" t="s">
        <v>57</v>
      </c>
      <c r="O251" s="1">
        <v>45850</v>
      </c>
      <c r="Q251" s="1">
        <v>45973</v>
      </c>
      <c r="R251" s="2">
        <v>28.38</v>
      </c>
      <c r="S251">
        <v>1</v>
      </c>
      <c r="T251" t="s">
        <v>58</v>
      </c>
      <c r="U251" t="s">
        <v>180</v>
      </c>
      <c r="V251" s="4">
        <v>0.375</v>
      </c>
      <c r="W251" s="2">
        <v>0</v>
      </c>
      <c r="X251">
        <v>0</v>
      </c>
      <c r="Y251" t="s">
        <v>60</v>
      </c>
      <c r="Z251" t="s">
        <v>182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10.64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45943</v>
      </c>
      <c r="B252" t="s">
        <v>48</v>
      </c>
      <c r="C252">
        <v>649163</v>
      </c>
      <c r="D252">
        <v>2029938125</v>
      </c>
      <c r="E252" t="s">
        <v>297</v>
      </c>
      <c r="F252" t="s">
        <v>298</v>
      </c>
      <c r="G252" t="s">
        <v>51</v>
      </c>
      <c r="H252" t="s">
        <v>299</v>
      </c>
      <c r="I252" t="s">
        <v>92</v>
      </c>
      <c r="J252" t="s">
        <v>93</v>
      </c>
      <c r="K252">
        <v>767312</v>
      </c>
      <c r="L252" t="s">
        <v>147</v>
      </c>
      <c r="M252" t="s">
        <v>148</v>
      </c>
      <c r="N252" t="s">
        <v>57</v>
      </c>
      <c r="O252" s="1">
        <v>45853</v>
      </c>
      <c r="Q252" s="1">
        <v>45976</v>
      </c>
      <c r="R252" s="2">
        <v>110.61</v>
      </c>
      <c r="S252">
        <v>1</v>
      </c>
      <c r="T252" t="s">
        <v>58</v>
      </c>
      <c r="U252" t="s">
        <v>180</v>
      </c>
      <c r="V252" s="4">
        <v>0.375</v>
      </c>
      <c r="W252" s="2">
        <v>0</v>
      </c>
      <c r="X252">
        <v>0</v>
      </c>
      <c r="Y252" t="s">
        <v>60</v>
      </c>
      <c r="Z252" t="s">
        <v>182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41.48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45943</v>
      </c>
      <c r="B253" t="s">
        <v>48</v>
      </c>
      <c r="C253">
        <v>649163</v>
      </c>
      <c r="D253">
        <v>2029951923</v>
      </c>
      <c r="E253" t="s">
        <v>300</v>
      </c>
      <c r="F253" t="s">
        <v>301</v>
      </c>
      <c r="G253" t="s">
        <v>51</v>
      </c>
      <c r="H253" t="s">
        <v>78</v>
      </c>
      <c r="I253" t="s">
        <v>92</v>
      </c>
      <c r="J253" t="s">
        <v>93</v>
      </c>
      <c r="K253">
        <v>824076</v>
      </c>
      <c r="L253" t="s">
        <v>292</v>
      </c>
      <c r="M253" t="s">
        <v>293</v>
      </c>
      <c r="N253" t="s">
        <v>57</v>
      </c>
      <c r="O253" s="1">
        <v>45853</v>
      </c>
      <c r="Q253" s="1">
        <v>45976</v>
      </c>
      <c r="R253" s="2">
        <v>77.48</v>
      </c>
      <c r="S253">
        <v>1</v>
      </c>
      <c r="T253" t="s">
        <v>58</v>
      </c>
      <c r="U253" t="s">
        <v>180</v>
      </c>
      <c r="V253" s="4">
        <v>0.375</v>
      </c>
      <c r="W253" s="2">
        <v>0</v>
      </c>
      <c r="X253">
        <v>0</v>
      </c>
      <c r="Y253" t="s">
        <v>60</v>
      </c>
      <c r="Z253" t="s">
        <v>182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29.06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45943</v>
      </c>
      <c r="B254" t="s">
        <v>48</v>
      </c>
      <c r="C254">
        <v>649163</v>
      </c>
      <c r="D254">
        <v>2029955371</v>
      </c>
      <c r="E254" t="s">
        <v>302</v>
      </c>
      <c r="F254" t="s">
        <v>278</v>
      </c>
      <c r="G254" t="s">
        <v>51</v>
      </c>
      <c r="H254" t="s">
        <v>69</v>
      </c>
      <c r="I254" t="s">
        <v>92</v>
      </c>
      <c r="J254" t="s">
        <v>93</v>
      </c>
      <c r="K254">
        <v>824082</v>
      </c>
      <c r="L254" t="s">
        <v>303</v>
      </c>
      <c r="M254" t="s">
        <v>304</v>
      </c>
      <c r="N254" t="s">
        <v>57</v>
      </c>
      <c r="O254" s="1">
        <v>45853</v>
      </c>
      <c r="Q254" s="1">
        <v>45976</v>
      </c>
      <c r="R254" s="2">
        <v>63.62</v>
      </c>
      <c r="S254">
        <v>1</v>
      </c>
      <c r="T254" t="s">
        <v>58</v>
      </c>
      <c r="U254" t="s">
        <v>180</v>
      </c>
      <c r="V254" s="4">
        <v>0.375</v>
      </c>
      <c r="W254" s="2">
        <v>0</v>
      </c>
      <c r="X254">
        <v>0</v>
      </c>
      <c r="Y254" t="s">
        <v>60</v>
      </c>
      <c r="Z254" t="s">
        <v>182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23.86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45943</v>
      </c>
      <c r="B255" t="s">
        <v>48</v>
      </c>
      <c r="C255">
        <v>649163</v>
      </c>
      <c r="D255">
        <v>2029957805</v>
      </c>
      <c r="E255" t="s">
        <v>558</v>
      </c>
      <c r="F255" t="s">
        <v>559</v>
      </c>
      <c r="G255" t="s">
        <v>51</v>
      </c>
      <c r="H255" t="s">
        <v>107</v>
      </c>
      <c r="I255" t="s">
        <v>92</v>
      </c>
      <c r="J255" t="s">
        <v>93</v>
      </c>
      <c r="K255">
        <v>877790</v>
      </c>
      <c r="L255" t="s">
        <v>108</v>
      </c>
      <c r="M255" t="s">
        <v>109</v>
      </c>
      <c r="N255" t="s">
        <v>57</v>
      </c>
      <c r="O255" s="1">
        <v>45854</v>
      </c>
      <c r="Q255" s="1">
        <v>45977</v>
      </c>
      <c r="R255" s="2">
        <v>58.15</v>
      </c>
      <c r="S255">
        <v>1</v>
      </c>
      <c r="T255" t="s">
        <v>58</v>
      </c>
      <c r="U255" t="s">
        <v>180</v>
      </c>
      <c r="V255" s="4">
        <v>0.375</v>
      </c>
      <c r="W255" s="2">
        <v>0</v>
      </c>
      <c r="X255">
        <v>0</v>
      </c>
      <c r="Y255" t="s">
        <v>60</v>
      </c>
      <c r="Z255" t="s">
        <v>182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21.81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45943</v>
      </c>
      <c r="B256" t="s">
        <v>48</v>
      </c>
      <c r="C256">
        <v>649163</v>
      </c>
      <c r="D256">
        <v>2029969606</v>
      </c>
      <c r="E256" t="s">
        <v>309</v>
      </c>
      <c r="F256" t="s">
        <v>310</v>
      </c>
      <c r="G256" t="s">
        <v>51</v>
      </c>
      <c r="H256" t="s">
        <v>69</v>
      </c>
      <c r="I256" t="s">
        <v>92</v>
      </c>
      <c r="J256" t="s">
        <v>93</v>
      </c>
      <c r="K256">
        <v>816021</v>
      </c>
      <c r="L256" t="s">
        <v>71</v>
      </c>
      <c r="M256" t="s">
        <v>72</v>
      </c>
      <c r="N256" t="s">
        <v>57</v>
      </c>
      <c r="O256" s="1">
        <v>45854</v>
      </c>
      <c r="Q256" s="1">
        <v>45977</v>
      </c>
      <c r="R256" s="2">
        <v>63.62</v>
      </c>
      <c r="S256">
        <v>1</v>
      </c>
      <c r="T256" t="s">
        <v>58</v>
      </c>
      <c r="U256" t="s">
        <v>180</v>
      </c>
      <c r="V256" s="4">
        <v>0.375</v>
      </c>
      <c r="W256" s="2">
        <v>0</v>
      </c>
      <c r="X256">
        <v>0</v>
      </c>
      <c r="Y256" t="s">
        <v>60</v>
      </c>
      <c r="Z256" t="s">
        <v>182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23.86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45943</v>
      </c>
      <c r="B257" t="s">
        <v>48</v>
      </c>
      <c r="C257">
        <v>649163</v>
      </c>
      <c r="D257">
        <v>2029971480</v>
      </c>
      <c r="E257" t="s">
        <v>560</v>
      </c>
      <c r="F257" t="s">
        <v>211</v>
      </c>
      <c r="G257" t="s">
        <v>51</v>
      </c>
      <c r="H257" t="s">
        <v>272</v>
      </c>
      <c r="I257" t="s">
        <v>92</v>
      </c>
      <c r="J257" t="s">
        <v>93</v>
      </c>
      <c r="K257">
        <v>822723</v>
      </c>
      <c r="L257" t="s">
        <v>273</v>
      </c>
      <c r="M257" t="s">
        <v>274</v>
      </c>
      <c r="N257" t="s">
        <v>57</v>
      </c>
      <c r="O257" s="1">
        <v>45854</v>
      </c>
      <c r="Q257" s="1">
        <v>45977</v>
      </c>
      <c r="R257" s="2">
        <v>188.04</v>
      </c>
      <c r="S257">
        <v>1</v>
      </c>
      <c r="T257" t="s">
        <v>58</v>
      </c>
      <c r="U257" t="s">
        <v>180</v>
      </c>
      <c r="V257" s="4">
        <v>0.375</v>
      </c>
      <c r="W257" s="2">
        <v>0</v>
      </c>
      <c r="X257">
        <v>0</v>
      </c>
      <c r="Y257" t="s">
        <v>60</v>
      </c>
      <c r="Z257" t="s">
        <v>182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70.52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45943</v>
      </c>
      <c r="B258" t="s">
        <v>48</v>
      </c>
      <c r="C258">
        <v>649163</v>
      </c>
      <c r="D258">
        <v>2029973107</v>
      </c>
      <c r="E258" t="s">
        <v>561</v>
      </c>
      <c r="F258" t="s">
        <v>223</v>
      </c>
      <c r="G258" t="s">
        <v>51</v>
      </c>
      <c r="H258" t="s">
        <v>102</v>
      </c>
      <c r="I258" t="s">
        <v>92</v>
      </c>
      <c r="J258" t="s">
        <v>93</v>
      </c>
      <c r="K258">
        <v>820140</v>
      </c>
      <c r="L258" t="s">
        <v>103</v>
      </c>
      <c r="M258" t="s">
        <v>104</v>
      </c>
      <c r="N258" t="s">
        <v>57</v>
      </c>
      <c r="O258" s="1">
        <v>45854</v>
      </c>
      <c r="Q258" s="1">
        <v>45977</v>
      </c>
      <c r="R258" s="2">
        <v>44.56</v>
      </c>
      <c r="S258">
        <v>1</v>
      </c>
      <c r="T258" t="s">
        <v>58</v>
      </c>
      <c r="U258" t="s">
        <v>180</v>
      </c>
      <c r="V258" s="4">
        <v>9.5000000000000001E-2</v>
      </c>
      <c r="W258" s="2">
        <v>0</v>
      </c>
      <c r="X258">
        <v>0</v>
      </c>
      <c r="Y258" t="s">
        <v>60</v>
      </c>
      <c r="Z258" t="s">
        <v>182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4.2300000000000004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45943</v>
      </c>
      <c r="B259" t="s">
        <v>48</v>
      </c>
      <c r="C259">
        <v>649163</v>
      </c>
      <c r="D259">
        <v>2029985851</v>
      </c>
      <c r="E259" t="s">
        <v>562</v>
      </c>
      <c r="F259" t="s">
        <v>140</v>
      </c>
      <c r="G259" t="s">
        <v>51</v>
      </c>
      <c r="H259" t="s">
        <v>78</v>
      </c>
      <c r="I259" t="s">
        <v>92</v>
      </c>
      <c r="J259" t="s">
        <v>93</v>
      </c>
      <c r="K259">
        <v>823350</v>
      </c>
      <c r="L259" t="s">
        <v>65</v>
      </c>
      <c r="M259" t="s">
        <v>66</v>
      </c>
      <c r="N259" t="s">
        <v>57</v>
      </c>
      <c r="O259" s="1">
        <v>45855</v>
      </c>
      <c r="Q259" s="1">
        <v>45978</v>
      </c>
      <c r="R259" s="2">
        <v>149.87</v>
      </c>
      <c r="S259">
        <v>1</v>
      </c>
      <c r="T259" t="s">
        <v>58</v>
      </c>
      <c r="U259" t="s">
        <v>180</v>
      </c>
      <c r="V259" s="4">
        <v>0.375</v>
      </c>
      <c r="W259" s="2">
        <v>0</v>
      </c>
      <c r="X259">
        <v>0</v>
      </c>
      <c r="Y259" t="s">
        <v>60</v>
      </c>
      <c r="Z259" t="s">
        <v>182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56.2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45943</v>
      </c>
      <c r="B260" t="s">
        <v>48</v>
      </c>
      <c r="C260">
        <v>649163</v>
      </c>
      <c r="D260">
        <v>2029989666</v>
      </c>
      <c r="E260" t="s">
        <v>563</v>
      </c>
      <c r="F260" t="s">
        <v>485</v>
      </c>
      <c r="G260" t="s">
        <v>51</v>
      </c>
      <c r="H260" t="s">
        <v>91</v>
      </c>
      <c r="I260" t="s">
        <v>92</v>
      </c>
      <c r="J260" t="s">
        <v>93</v>
      </c>
      <c r="K260">
        <v>812656</v>
      </c>
      <c r="L260" t="s">
        <v>547</v>
      </c>
      <c r="M260" t="s">
        <v>548</v>
      </c>
      <c r="N260" t="s">
        <v>57</v>
      </c>
      <c r="O260" s="1">
        <v>45855</v>
      </c>
      <c r="Q260" s="1">
        <v>45978</v>
      </c>
      <c r="R260" s="2">
        <v>50.3</v>
      </c>
      <c r="S260">
        <v>1</v>
      </c>
      <c r="T260" t="s">
        <v>58</v>
      </c>
      <c r="U260" t="s">
        <v>180</v>
      </c>
      <c r="V260" s="4">
        <v>0.375</v>
      </c>
      <c r="W260" s="2">
        <v>0</v>
      </c>
      <c r="X260">
        <v>0</v>
      </c>
      <c r="Y260" t="s">
        <v>60</v>
      </c>
      <c r="Z260" t="s">
        <v>182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18.86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45943</v>
      </c>
      <c r="B261" t="s">
        <v>48</v>
      </c>
      <c r="C261">
        <v>649163</v>
      </c>
      <c r="D261">
        <v>2030333349</v>
      </c>
      <c r="E261" t="s">
        <v>564</v>
      </c>
      <c r="F261" t="s">
        <v>565</v>
      </c>
      <c r="G261" t="s">
        <v>51</v>
      </c>
      <c r="H261" t="s">
        <v>219</v>
      </c>
      <c r="I261" t="s">
        <v>92</v>
      </c>
      <c r="J261" t="s">
        <v>93</v>
      </c>
      <c r="K261">
        <v>813184</v>
      </c>
      <c r="L261" t="s">
        <v>566</v>
      </c>
      <c r="M261" t="s">
        <v>567</v>
      </c>
      <c r="N261" t="s">
        <v>57</v>
      </c>
      <c r="O261" s="1">
        <v>45879</v>
      </c>
      <c r="Q261" s="1">
        <v>45971</v>
      </c>
      <c r="R261" s="2">
        <v>33.61</v>
      </c>
      <c r="S261">
        <v>1</v>
      </c>
      <c r="T261" t="s">
        <v>58</v>
      </c>
      <c r="U261" t="s">
        <v>180</v>
      </c>
      <c r="V261" s="4">
        <v>0.375</v>
      </c>
      <c r="W261" s="2">
        <v>0</v>
      </c>
      <c r="X261">
        <v>0</v>
      </c>
      <c r="Y261" t="s">
        <v>60</v>
      </c>
      <c r="Z261" t="s">
        <v>182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12.6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45943</v>
      </c>
      <c r="B262" t="s">
        <v>48</v>
      </c>
      <c r="C262">
        <v>649163</v>
      </c>
      <c r="D262">
        <v>2030413756</v>
      </c>
      <c r="E262" t="s">
        <v>321</v>
      </c>
      <c r="F262" t="s">
        <v>322</v>
      </c>
      <c r="G262" t="s">
        <v>51</v>
      </c>
      <c r="H262" t="s">
        <v>64</v>
      </c>
      <c r="I262" t="s">
        <v>92</v>
      </c>
      <c r="J262" t="s">
        <v>93</v>
      </c>
      <c r="K262">
        <v>753748</v>
      </c>
      <c r="L262" t="s">
        <v>168</v>
      </c>
      <c r="M262" t="s">
        <v>169</v>
      </c>
      <c r="N262" t="s">
        <v>179</v>
      </c>
      <c r="O262" s="1">
        <v>45901</v>
      </c>
      <c r="P262" s="1">
        <v>45936</v>
      </c>
      <c r="Q262" s="1">
        <v>45962</v>
      </c>
      <c r="R262" s="2">
        <v>-59.62</v>
      </c>
      <c r="S262">
        <v>1</v>
      </c>
      <c r="T262" t="s">
        <v>58</v>
      </c>
      <c r="U262" t="s">
        <v>180</v>
      </c>
      <c r="V262" s="4">
        <v>0.375</v>
      </c>
      <c r="W262" s="2">
        <v>0</v>
      </c>
      <c r="X262">
        <v>-1</v>
      </c>
      <c r="Y262" t="s">
        <v>60</v>
      </c>
      <c r="Z262" t="s">
        <v>182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-22.36</v>
      </c>
      <c r="AN262" s="2">
        <v>-22.36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45943</v>
      </c>
      <c r="B263" t="s">
        <v>48</v>
      </c>
      <c r="C263">
        <v>649163</v>
      </c>
      <c r="D263">
        <v>2030447484</v>
      </c>
      <c r="E263" t="s">
        <v>568</v>
      </c>
      <c r="F263" t="s">
        <v>280</v>
      </c>
      <c r="G263" t="s">
        <v>51</v>
      </c>
      <c r="H263" t="s">
        <v>225</v>
      </c>
      <c r="I263" t="s">
        <v>92</v>
      </c>
      <c r="J263" t="s">
        <v>93</v>
      </c>
      <c r="K263">
        <v>753748</v>
      </c>
      <c r="L263" t="s">
        <v>168</v>
      </c>
      <c r="M263" t="s">
        <v>169</v>
      </c>
      <c r="N263" t="s">
        <v>57</v>
      </c>
      <c r="O263" s="1">
        <v>45882</v>
      </c>
      <c r="Q263" s="1">
        <v>45974</v>
      </c>
      <c r="R263" s="2">
        <v>73.17</v>
      </c>
      <c r="S263">
        <v>1</v>
      </c>
      <c r="T263" t="s">
        <v>58</v>
      </c>
      <c r="U263" t="s">
        <v>180</v>
      </c>
      <c r="V263" s="4">
        <v>0.375</v>
      </c>
      <c r="W263" s="2">
        <v>0</v>
      </c>
      <c r="X263">
        <v>0</v>
      </c>
      <c r="Y263" t="s">
        <v>60</v>
      </c>
      <c r="Z263" t="s">
        <v>182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27.44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45943</v>
      </c>
      <c r="B264" t="s">
        <v>48</v>
      </c>
      <c r="C264">
        <v>649163</v>
      </c>
      <c r="D264">
        <v>2030452963</v>
      </c>
      <c r="E264" t="s">
        <v>569</v>
      </c>
      <c r="F264" t="s">
        <v>90</v>
      </c>
      <c r="G264" t="s">
        <v>51</v>
      </c>
      <c r="H264" t="s">
        <v>69</v>
      </c>
      <c r="I264" t="s">
        <v>92</v>
      </c>
      <c r="J264" t="s">
        <v>93</v>
      </c>
      <c r="K264">
        <v>824082</v>
      </c>
      <c r="L264" t="s">
        <v>303</v>
      </c>
      <c r="M264" t="s">
        <v>304</v>
      </c>
      <c r="N264" t="s">
        <v>57</v>
      </c>
      <c r="O264" s="1">
        <v>45882</v>
      </c>
      <c r="Q264" s="1">
        <v>45974</v>
      </c>
      <c r="R264" s="2">
        <v>205.33</v>
      </c>
      <c r="S264">
        <v>1</v>
      </c>
      <c r="T264" t="s">
        <v>58</v>
      </c>
      <c r="U264" t="s">
        <v>180</v>
      </c>
      <c r="V264" s="4">
        <v>0.375</v>
      </c>
      <c r="W264" s="2">
        <v>0</v>
      </c>
      <c r="X264">
        <v>0</v>
      </c>
      <c r="Y264" t="s">
        <v>60</v>
      </c>
      <c r="Z264" t="s">
        <v>182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77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45943</v>
      </c>
      <c r="B265" t="s">
        <v>48</v>
      </c>
      <c r="C265">
        <v>649163</v>
      </c>
      <c r="D265">
        <v>2030455580</v>
      </c>
      <c r="E265" t="s">
        <v>326</v>
      </c>
      <c r="F265" t="s">
        <v>327</v>
      </c>
      <c r="G265" t="s">
        <v>51</v>
      </c>
      <c r="H265" t="s">
        <v>69</v>
      </c>
      <c r="I265" t="s">
        <v>92</v>
      </c>
      <c r="J265" t="s">
        <v>93</v>
      </c>
      <c r="K265">
        <v>816021</v>
      </c>
      <c r="L265" t="s">
        <v>71</v>
      </c>
      <c r="M265" t="s">
        <v>72</v>
      </c>
      <c r="N265" t="s">
        <v>57</v>
      </c>
      <c r="O265" s="1">
        <v>45882</v>
      </c>
      <c r="Q265" s="1">
        <v>45974</v>
      </c>
      <c r="R265" s="2">
        <v>160.85</v>
      </c>
      <c r="S265">
        <v>1</v>
      </c>
      <c r="T265" t="s">
        <v>58</v>
      </c>
      <c r="U265" t="s">
        <v>180</v>
      </c>
      <c r="V265" s="4">
        <v>0.375</v>
      </c>
      <c r="W265" s="2">
        <v>0</v>
      </c>
      <c r="X265">
        <v>0</v>
      </c>
      <c r="Y265" t="s">
        <v>60</v>
      </c>
      <c r="Z265" t="s">
        <v>182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60.32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45943</v>
      </c>
      <c r="B266" t="s">
        <v>48</v>
      </c>
      <c r="C266">
        <v>649163</v>
      </c>
      <c r="D266">
        <v>2030675166</v>
      </c>
      <c r="E266" t="s">
        <v>333</v>
      </c>
      <c r="F266" t="s">
        <v>334</v>
      </c>
      <c r="G266" t="s">
        <v>51</v>
      </c>
      <c r="H266" t="s">
        <v>175</v>
      </c>
      <c r="I266" t="s">
        <v>92</v>
      </c>
      <c r="J266" t="s">
        <v>93</v>
      </c>
      <c r="K266">
        <v>823350</v>
      </c>
      <c r="L266" t="s">
        <v>65</v>
      </c>
      <c r="M266" t="s">
        <v>66</v>
      </c>
      <c r="N266" t="s">
        <v>57</v>
      </c>
      <c r="O266" s="1">
        <v>45901</v>
      </c>
      <c r="Q266" s="1">
        <v>45962</v>
      </c>
      <c r="R266" s="2">
        <v>64.16</v>
      </c>
      <c r="S266">
        <v>1</v>
      </c>
      <c r="T266" t="s">
        <v>58</v>
      </c>
      <c r="U266" t="s">
        <v>180</v>
      </c>
      <c r="V266" s="4">
        <v>0.375</v>
      </c>
      <c r="W266" s="2">
        <v>0</v>
      </c>
      <c r="X266">
        <v>0</v>
      </c>
      <c r="Y266" t="s">
        <v>60</v>
      </c>
      <c r="Z266" t="s">
        <v>182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24.06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45943</v>
      </c>
      <c r="B267" t="s">
        <v>48</v>
      </c>
      <c r="C267">
        <v>649163</v>
      </c>
      <c r="D267">
        <v>2030676912</v>
      </c>
      <c r="E267" t="s">
        <v>418</v>
      </c>
      <c r="F267" t="s">
        <v>419</v>
      </c>
      <c r="G267" t="s">
        <v>51</v>
      </c>
      <c r="H267" t="s">
        <v>185</v>
      </c>
      <c r="I267" t="s">
        <v>92</v>
      </c>
      <c r="J267" t="s">
        <v>93</v>
      </c>
      <c r="K267">
        <v>856824</v>
      </c>
      <c r="L267" t="s">
        <v>156</v>
      </c>
      <c r="M267" t="s">
        <v>157</v>
      </c>
      <c r="N267" t="s">
        <v>179</v>
      </c>
      <c r="O267" s="1">
        <v>45931</v>
      </c>
      <c r="P267" s="1">
        <v>45936</v>
      </c>
      <c r="Q267" s="1">
        <v>45962</v>
      </c>
      <c r="R267" s="2">
        <v>-58.23</v>
      </c>
      <c r="S267">
        <v>1</v>
      </c>
      <c r="T267" t="s">
        <v>58</v>
      </c>
      <c r="U267" t="s">
        <v>59</v>
      </c>
      <c r="V267" s="4">
        <v>0.375</v>
      </c>
      <c r="W267" s="2">
        <v>0</v>
      </c>
      <c r="X267">
        <v>-1</v>
      </c>
      <c r="Y267" t="s">
        <v>60</v>
      </c>
      <c r="Z267" t="s">
        <v>182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-21.84</v>
      </c>
      <c r="AN267" s="2">
        <v>-21.84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45943</v>
      </c>
      <c r="B268" t="s">
        <v>48</v>
      </c>
      <c r="C268">
        <v>649163</v>
      </c>
      <c r="D268">
        <v>2030805144</v>
      </c>
      <c r="E268" t="s">
        <v>420</v>
      </c>
      <c r="F268" t="s">
        <v>421</v>
      </c>
      <c r="G268" t="s">
        <v>51</v>
      </c>
      <c r="H268" t="s">
        <v>91</v>
      </c>
      <c r="I268" t="s">
        <v>92</v>
      </c>
      <c r="J268" t="s">
        <v>93</v>
      </c>
      <c r="K268">
        <v>792847</v>
      </c>
      <c r="L268" t="s">
        <v>277</v>
      </c>
      <c r="M268" t="s">
        <v>279</v>
      </c>
      <c r="N268" t="s">
        <v>57</v>
      </c>
      <c r="O268" s="1">
        <v>45902</v>
      </c>
      <c r="Q268" s="1">
        <v>45963</v>
      </c>
      <c r="R268" s="2">
        <v>60.3</v>
      </c>
      <c r="S268">
        <v>1</v>
      </c>
      <c r="T268" t="s">
        <v>58</v>
      </c>
      <c r="U268" t="s">
        <v>180</v>
      </c>
      <c r="V268" s="4">
        <v>0.375</v>
      </c>
      <c r="W268" s="2">
        <v>0</v>
      </c>
      <c r="X268">
        <v>0</v>
      </c>
      <c r="Y268" t="s">
        <v>60</v>
      </c>
      <c r="Z268" t="s">
        <v>182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22.61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45943</v>
      </c>
      <c r="B269" t="s">
        <v>48</v>
      </c>
      <c r="C269">
        <v>649163</v>
      </c>
      <c r="D269">
        <v>2030978541</v>
      </c>
      <c r="E269" t="s">
        <v>570</v>
      </c>
      <c r="F269" t="s">
        <v>571</v>
      </c>
      <c r="G269" t="s">
        <v>51</v>
      </c>
      <c r="H269" t="s">
        <v>91</v>
      </c>
      <c r="I269" t="s">
        <v>92</v>
      </c>
      <c r="J269" t="s">
        <v>93</v>
      </c>
      <c r="K269">
        <v>822865</v>
      </c>
      <c r="L269" t="s">
        <v>266</v>
      </c>
      <c r="M269" t="s">
        <v>267</v>
      </c>
      <c r="N269" t="s">
        <v>179</v>
      </c>
      <c r="O269" s="1">
        <v>45889</v>
      </c>
      <c r="P269" s="1">
        <v>45943</v>
      </c>
      <c r="Q269" s="1">
        <v>45950</v>
      </c>
      <c r="R269" s="2">
        <v>-10.02</v>
      </c>
      <c r="S269">
        <v>1</v>
      </c>
      <c r="T269" t="s">
        <v>58</v>
      </c>
      <c r="U269" t="s">
        <v>170</v>
      </c>
      <c r="V269" s="4">
        <v>0.375</v>
      </c>
      <c r="W269" s="2">
        <v>0</v>
      </c>
      <c r="X269">
        <v>-1</v>
      </c>
      <c r="Y269" t="s">
        <v>60</v>
      </c>
      <c r="Z269" t="s">
        <v>182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-3.76</v>
      </c>
      <c r="AN269" s="2">
        <v>-3.76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45943</v>
      </c>
      <c r="B270" t="s">
        <v>48</v>
      </c>
      <c r="C270">
        <v>649163</v>
      </c>
      <c r="D270">
        <v>2030982990</v>
      </c>
      <c r="E270" t="s">
        <v>344</v>
      </c>
      <c r="F270" t="s">
        <v>345</v>
      </c>
      <c r="G270" t="s">
        <v>51</v>
      </c>
      <c r="H270" t="s">
        <v>225</v>
      </c>
      <c r="I270" t="s">
        <v>92</v>
      </c>
      <c r="J270" t="s">
        <v>93</v>
      </c>
      <c r="K270">
        <v>823350</v>
      </c>
      <c r="L270" t="s">
        <v>65</v>
      </c>
      <c r="M270" t="s">
        <v>66</v>
      </c>
      <c r="N270" t="s">
        <v>57</v>
      </c>
      <c r="O270" s="1">
        <v>45915</v>
      </c>
      <c r="Q270" s="1">
        <v>45976</v>
      </c>
      <c r="R270" s="2">
        <v>243.49</v>
      </c>
      <c r="S270">
        <v>1</v>
      </c>
      <c r="T270" t="s">
        <v>58</v>
      </c>
      <c r="U270" t="s">
        <v>59</v>
      </c>
      <c r="V270" s="4">
        <v>0.375</v>
      </c>
      <c r="W270" s="2">
        <v>0</v>
      </c>
      <c r="X270">
        <v>0</v>
      </c>
      <c r="Y270" t="s">
        <v>60</v>
      </c>
      <c r="Z270" t="s">
        <v>182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91.31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45943</v>
      </c>
      <c r="B271" t="s">
        <v>48</v>
      </c>
      <c r="C271">
        <v>649163</v>
      </c>
      <c r="D271">
        <v>2030986242</v>
      </c>
      <c r="E271" t="s">
        <v>430</v>
      </c>
      <c r="F271" t="s">
        <v>431</v>
      </c>
      <c r="G271" t="s">
        <v>51</v>
      </c>
      <c r="H271" t="s">
        <v>91</v>
      </c>
      <c r="I271" t="s">
        <v>92</v>
      </c>
      <c r="J271" t="s">
        <v>93</v>
      </c>
      <c r="K271">
        <v>673059</v>
      </c>
      <c r="L271" t="s">
        <v>55</v>
      </c>
      <c r="M271" t="s">
        <v>56</v>
      </c>
      <c r="N271" t="s">
        <v>57</v>
      </c>
      <c r="O271" s="1">
        <v>45913</v>
      </c>
      <c r="Q271" s="1">
        <v>45974</v>
      </c>
      <c r="R271" s="2">
        <v>69.3</v>
      </c>
      <c r="S271">
        <v>1</v>
      </c>
      <c r="T271" t="s">
        <v>58</v>
      </c>
      <c r="U271" t="s">
        <v>59</v>
      </c>
      <c r="V271" s="4">
        <v>0.375</v>
      </c>
      <c r="W271" s="2">
        <v>0</v>
      </c>
      <c r="X271">
        <v>0</v>
      </c>
      <c r="Y271" t="s">
        <v>60</v>
      </c>
      <c r="Z271" t="s">
        <v>182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25.99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45943</v>
      </c>
      <c r="B272" t="s">
        <v>48</v>
      </c>
      <c r="C272">
        <v>649163</v>
      </c>
      <c r="D272">
        <v>2030999705</v>
      </c>
      <c r="E272" t="s">
        <v>572</v>
      </c>
      <c r="F272" t="s">
        <v>573</v>
      </c>
      <c r="G272" t="s">
        <v>51</v>
      </c>
      <c r="H272" t="s">
        <v>185</v>
      </c>
      <c r="I272" t="s">
        <v>92</v>
      </c>
      <c r="J272" t="s">
        <v>93</v>
      </c>
      <c r="K272">
        <v>651818</v>
      </c>
      <c r="L272" t="s">
        <v>260</v>
      </c>
      <c r="M272" t="s">
        <v>261</v>
      </c>
      <c r="N272" t="s">
        <v>57</v>
      </c>
      <c r="O272" s="1">
        <v>45913</v>
      </c>
      <c r="Q272" s="1">
        <v>45974</v>
      </c>
      <c r="R272" s="2">
        <v>46.27</v>
      </c>
      <c r="S272">
        <v>1</v>
      </c>
      <c r="T272" t="s">
        <v>58</v>
      </c>
      <c r="U272" t="s">
        <v>59</v>
      </c>
      <c r="V272" s="4">
        <v>0.375</v>
      </c>
      <c r="W272" s="2">
        <v>0</v>
      </c>
      <c r="X272">
        <v>0</v>
      </c>
      <c r="Y272" t="s">
        <v>60</v>
      </c>
      <c r="Z272" t="s">
        <v>182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17.350000000000001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45943</v>
      </c>
      <c r="B273" t="s">
        <v>48</v>
      </c>
      <c r="C273">
        <v>649163</v>
      </c>
      <c r="D273">
        <v>2031017067</v>
      </c>
      <c r="E273" t="s">
        <v>346</v>
      </c>
      <c r="F273" t="s">
        <v>159</v>
      </c>
      <c r="G273" t="s">
        <v>51</v>
      </c>
      <c r="H273" t="s">
        <v>107</v>
      </c>
      <c r="I273" t="s">
        <v>92</v>
      </c>
      <c r="J273" t="s">
        <v>93</v>
      </c>
      <c r="K273">
        <v>877790</v>
      </c>
      <c r="L273" t="s">
        <v>108</v>
      </c>
      <c r="M273" t="s">
        <v>109</v>
      </c>
      <c r="N273" t="s">
        <v>57</v>
      </c>
      <c r="O273" s="1">
        <v>45913</v>
      </c>
      <c r="Q273" s="1">
        <v>45974</v>
      </c>
      <c r="R273" s="2">
        <v>58.15</v>
      </c>
      <c r="S273">
        <v>1</v>
      </c>
      <c r="T273" t="s">
        <v>58</v>
      </c>
      <c r="U273" t="s">
        <v>59</v>
      </c>
      <c r="V273" s="4">
        <v>0.375</v>
      </c>
      <c r="W273" s="2">
        <v>0</v>
      </c>
      <c r="X273">
        <v>0</v>
      </c>
      <c r="Y273" t="s">
        <v>60</v>
      </c>
      <c r="Z273" t="s">
        <v>182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21.81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45943</v>
      </c>
      <c r="B274" t="s">
        <v>48</v>
      </c>
      <c r="C274">
        <v>649163</v>
      </c>
      <c r="D274">
        <v>2031047977</v>
      </c>
      <c r="E274" t="s">
        <v>432</v>
      </c>
      <c r="F274" t="s">
        <v>433</v>
      </c>
      <c r="G274" t="s">
        <v>51</v>
      </c>
      <c r="H274" t="s">
        <v>91</v>
      </c>
      <c r="I274" t="s">
        <v>92</v>
      </c>
      <c r="J274" t="s">
        <v>93</v>
      </c>
      <c r="K274">
        <v>756418</v>
      </c>
      <c r="L274" t="s">
        <v>216</v>
      </c>
      <c r="M274" t="s">
        <v>217</v>
      </c>
      <c r="N274" t="s">
        <v>57</v>
      </c>
      <c r="O274" s="1">
        <v>45914</v>
      </c>
      <c r="Q274" s="1">
        <v>45975</v>
      </c>
      <c r="R274" s="2">
        <v>54.87</v>
      </c>
      <c r="S274">
        <v>1</v>
      </c>
      <c r="T274" t="s">
        <v>58</v>
      </c>
      <c r="U274" t="s">
        <v>59</v>
      </c>
      <c r="V274" s="4">
        <v>0.375</v>
      </c>
      <c r="W274" s="2">
        <v>0</v>
      </c>
      <c r="X274">
        <v>0</v>
      </c>
      <c r="Y274" t="s">
        <v>60</v>
      </c>
      <c r="Z274" t="s">
        <v>182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20.58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45943</v>
      </c>
      <c r="B275" t="s">
        <v>48</v>
      </c>
      <c r="C275">
        <v>649163</v>
      </c>
      <c r="D275">
        <v>2023047686</v>
      </c>
      <c r="E275" t="s">
        <v>574</v>
      </c>
      <c r="F275" t="s">
        <v>575</v>
      </c>
      <c r="G275" t="s">
        <v>51</v>
      </c>
      <c r="H275" t="s">
        <v>189</v>
      </c>
      <c r="I275" t="s">
        <v>114</v>
      </c>
      <c r="J275" t="s">
        <v>576</v>
      </c>
      <c r="K275">
        <v>751867</v>
      </c>
      <c r="L275" t="s">
        <v>186</v>
      </c>
      <c r="M275" t="s">
        <v>90</v>
      </c>
      <c r="N275" t="s">
        <v>57</v>
      </c>
      <c r="O275" s="1">
        <v>45422</v>
      </c>
      <c r="Q275" s="1">
        <v>45971</v>
      </c>
      <c r="R275" s="2">
        <v>77.55</v>
      </c>
      <c r="S275">
        <v>1</v>
      </c>
      <c r="T275" t="s">
        <v>58</v>
      </c>
      <c r="U275" t="s">
        <v>180</v>
      </c>
      <c r="V275" s="3">
        <v>0.1</v>
      </c>
      <c r="W275" s="2">
        <v>0</v>
      </c>
      <c r="X275">
        <v>0</v>
      </c>
      <c r="Y275" t="s">
        <v>181</v>
      </c>
      <c r="Z275" t="s">
        <v>182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7.76</v>
      </c>
      <c r="AN275" s="2">
        <v>7.76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45943</v>
      </c>
      <c r="B276" t="s">
        <v>48</v>
      </c>
      <c r="C276">
        <v>649163</v>
      </c>
      <c r="D276">
        <v>2023499224</v>
      </c>
      <c r="E276" t="s">
        <v>183</v>
      </c>
      <c r="F276" t="s">
        <v>184</v>
      </c>
      <c r="G276" t="s">
        <v>51</v>
      </c>
      <c r="H276" t="s">
        <v>185</v>
      </c>
      <c r="I276" t="s">
        <v>114</v>
      </c>
      <c r="J276" t="s">
        <v>576</v>
      </c>
      <c r="K276">
        <v>751867</v>
      </c>
      <c r="L276" t="s">
        <v>186</v>
      </c>
      <c r="M276" t="s">
        <v>90</v>
      </c>
      <c r="N276" t="s">
        <v>57</v>
      </c>
      <c r="O276" s="1">
        <v>45456</v>
      </c>
      <c r="Q276" s="1">
        <v>45974</v>
      </c>
      <c r="R276" s="2">
        <v>28.12</v>
      </c>
      <c r="S276">
        <v>1</v>
      </c>
      <c r="T276" t="s">
        <v>58</v>
      </c>
      <c r="U276" t="s">
        <v>180</v>
      </c>
      <c r="V276" s="3">
        <v>0.1</v>
      </c>
      <c r="W276" s="2">
        <v>0</v>
      </c>
      <c r="X276">
        <v>0</v>
      </c>
      <c r="Y276" t="s">
        <v>181</v>
      </c>
      <c r="Z276" t="s">
        <v>182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2.81</v>
      </c>
      <c r="AN276" s="2">
        <v>2.81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45943</v>
      </c>
      <c r="B277" t="s">
        <v>48</v>
      </c>
      <c r="C277">
        <v>649163</v>
      </c>
      <c r="D277">
        <v>2023509943</v>
      </c>
      <c r="E277" t="s">
        <v>187</v>
      </c>
      <c r="F277" t="s">
        <v>188</v>
      </c>
      <c r="G277" t="s">
        <v>51</v>
      </c>
      <c r="H277" t="s">
        <v>189</v>
      </c>
      <c r="I277" t="s">
        <v>114</v>
      </c>
      <c r="J277" t="s">
        <v>576</v>
      </c>
      <c r="K277">
        <v>751867</v>
      </c>
      <c r="L277" t="s">
        <v>186</v>
      </c>
      <c r="M277" t="s">
        <v>90</v>
      </c>
      <c r="N277" t="s">
        <v>57</v>
      </c>
      <c r="O277" s="1">
        <v>45457</v>
      </c>
      <c r="Q277" s="1">
        <v>45975</v>
      </c>
      <c r="R277" s="2">
        <v>55.16</v>
      </c>
      <c r="S277">
        <v>1</v>
      </c>
      <c r="T277" t="s">
        <v>58</v>
      </c>
      <c r="U277" t="s">
        <v>180</v>
      </c>
      <c r="V277" s="3">
        <v>0.1</v>
      </c>
      <c r="W277" s="2">
        <v>0</v>
      </c>
      <c r="X277">
        <v>0</v>
      </c>
      <c r="Y277" t="s">
        <v>181</v>
      </c>
      <c r="Z277" t="s">
        <v>182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5.52</v>
      </c>
      <c r="AN277" s="2">
        <v>5.52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45943</v>
      </c>
      <c r="B278" t="s">
        <v>48</v>
      </c>
      <c r="C278">
        <v>649163</v>
      </c>
      <c r="D278">
        <v>2023510923</v>
      </c>
      <c r="E278" t="s">
        <v>191</v>
      </c>
      <c r="F278" t="s">
        <v>192</v>
      </c>
      <c r="G278" t="s">
        <v>51</v>
      </c>
      <c r="H278" t="s">
        <v>189</v>
      </c>
      <c r="I278" t="s">
        <v>114</v>
      </c>
      <c r="J278" t="s">
        <v>576</v>
      </c>
      <c r="K278">
        <v>751867</v>
      </c>
      <c r="L278" t="s">
        <v>186</v>
      </c>
      <c r="M278" t="s">
        <v>90</v>
      </c>
      <c r="N278" t="s">
        <v>57</v>
      </c>
      <c r="O278" s="1">
        <v>45457</v>
      </c>
      <c r="Q278" s="1">
        <v>45975</v>
      </c>
      <c r="R278" s="2">
        <v>55.16</v>
      </c>
      <c r="S278">
        <v>1</v>
      </c>
      <c r="T278" t="s">
        <v>58</v>
      </c>
      <c r="U278" t="s">
        <v>180</v>
      </c>
      <c r="V278" s="3">
        <v>0.1</v>
      </c>
      <c r="W278" s="2">
        <v>0</v>
      </c>
      <c r="X278">
        <v>0</v>
      </c>
      <c r="Y278" t="s">
        <v>181</v>
      </c>
      <c r="Z278" t="s">
        <v>182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5.52</v>
      </c>
      <c r="AN278" s="2">
        <v>5.52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45943</v>
      </c>
      <c r="B279" t="s">
        <v>48</v>
      </c>
      <c r="C279">
        <v>649163</v>
      </c>
      <c r="D279">
        <v>2023845997</v>
      </c>
      <c r="E279" t="s">
        <v>347</v>
      </c>
      <c r="F279" t="s">
        <v>348</v>
      </c>
      <c r="G279" t="s">
        <v>51</v>
      </c>
      <c r="H279" t="s">
        <v>349</v>
      </c>
      <c r="I279" t="s">
        <v>114</v>
      </c>
      <c r="J279" t="s">
        <v>576</v>
      </c>
      <c r="K279">
        <v>751867</v>
      </c>
      <c r="L279" t="s">
        <v>186</v>
      </c>
      <c r="M279" t="s">
        <v>90</v>
      </c>
      <c r="N279" t="s">
        <v>57</v>
      </c>
      <c r="O279" s="1">
        <v>45505</v>
      </c>
      <c r="Q279" s="1">
        <v>45962</v>
      </c>
      <c r="R279" s="2">
        <v>31.64</v>
      </c>
      <c r="S279">
        <v>1</v>
      </c>
      <c r="T279" t="s">
        <v>58</v>
      </c>
      <c r="U279" t="s">
        <v>180</v>
      </c>
      <c r="V279" s="3">
        <v>0.1</v>
      </c>
      <c r="W279" s="2">
        <v>0</v>
      </c>
      <c r="X279">
        <v>0</v>
      </c>
      <c r="Y279" t="s">
        <v>181</v>
      </c>
      <c r="Z279" t="s">
        <v>182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3.16</v>
      </c>
      <c r="AN279" s="2">
        <v>3.16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45943</v>
      </c>
      <c r="B280" t="s">
        <v>48</v>
      </c>
      <c r="C280">
        <v>649163</v>
      </c>
      <c r="D280">
        <v>2023867555</v>
      </c>
      <c r="E280" t="s">
        <v>261</v>
      </c>
      <c r="F280" t="s">
        <v>351</v>
      </c>
      <c r="G280" t="s">
        <v>51</v>
      </c>
      <c r="H280" t="s">
        <v>189</v>
      </c>
      <c r="I280" t="s">
        <v>114</v>
      </c>
      <c r="J280" t="s">
        <v>576</v>
      </c>
      <c r="K280">
        <v>650218</v>
      </c>
      <c r="L280" t="s">
        <v>195</v>
      </c>
      <c r="M280" t="s">
        <v>196</v>
      </c>
      <c r="N280" t="s">
        <v>57</v>
      </c>
      <c r="O280" s="1">
        <v>45483</v>
      </c>
      <c r="Q280" s="1">
        <v>45971</v>
      </c>
      <c r="R280" s="2">
        <v>53.16</v>
      </c>
      <c r="S280">
        <v>1</v>
      </c>
      <c r="T280" t="s">
        <v>58</v>
      </c>
      <c r="U280" t="s">
        <v>180</v>
      </c>
      <c r="V280" s="3">
        <v>0.1</v>
      </c>
      <c r="W280" s="2">
        <v>0</v>
      </c>
      <c r="X280">
        <v>0</v>
      </c>
      <c r="Y280" t="s">
        <v>181</v>
      </c>
      <c r="Z280" t="s">
        <v>182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5.32</v>
      </c>
      <c r="AN280" s="2">
        <v>5.32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45943</v>
      </c>
      <c r="B281" t="s">
        <v>48</v>
      </c>
      <c r="C281">
        <v>649163</v>
      </c>
      <c r="D281">
        <v>2024382705</v>
      </c>
      <c r="E281" t="s">
        <v>193</v>
      </c>
      <c r="F281" t="s">
        <v>194</v>
      </c>
      <c r="G281" t="s">
        <v>51</v>
      </c>
      <c r="H281" t="s">
        <v>189</v>
      </c>
      <c r="I281" t="s">
        <v>114</v>
      </c>
      <c r="J281" t="s">
        <v>576</v>
      </c>
      <c r="K281">
        <v>650218</v>
      </c>
      <c r="L281" t="s">
        <v>195</v>
      </c>
      <c r="M281" t="s">
        <v>196</v>
      </c>
      <c r="N281" t="s">
        <v>57</v>
      </c>
      <c r="O281" s="1">
        <v>45519</v>
      </c>
      <c r="Q281" s="1">
        <v>45976</v>
      </c>
      <c r="R281" s="2">
        <v>27.15</v>
      </c>
      <c r="S281">
        <v>1</v>
      </c>
      <c r="T281" t="s">
        <v>58</v>
      </c>
      <c r="U281" t="s">
        <v>180</v>
      </c>
      <c r="V281" s="3">
        <v>0.1</v>
      </c>
      <c r="W281" s="2">
        <v>0</v>
      </c>
      <c r="X281">
        <v>0</v>
      </c>
      <c r="Y281" t="s">
        <v>181</v>
      </c>
      <c r="Z281" t="s">
        <v>182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2.72</v>
      </c>
      <c r="AN281" s="2">
        <v>2.72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45943</v>
      </c>
      <c r="B282" t="s">
        <v>48</v>
      </c>
      <c r="C282">
        <v>649163</v>
      </c>
      <c r="D282">
        <v>2024403625</v>
      </c>
      <c r="E282" t="s">
        <v>358</v>
      </c>
      <c r="F282" t="s">
        <v>359</v>
      </c>
      <c r="G282" t="s">
        <v>51</v>
      </c>
      <c r="H282" t="s">
        <v>185</v>
      </c>
      <c r="I282" t="s">
        <v>114</v>
      </c>
      <c r="J282" t="s">
        <v>576</v>
      </c>
      <c r="K282">
        <v>751867</v>
      </c>
      <c r="L282" t="s">
        <v>186</v>
      </c>
      <c r="M282" t="s">
        <v>90</v>
      </c>
      <c r="N282" t="s">
        <v>57</v>
      </c>
      <c r="O282" s="1">
        <v>45520</v>
      </c>
      <c r="Q282" s="1">
        <v>45977</v>
      </c>
      <c r="R282" s="2">
        <v>17.34</v>
      </c>
      <c r="S282">
        <v>1</v>
      </c>
      <c r="T282" t="s">
        <v>58</v>
      </c>
      <c r="U282" t="s">
        <v>180</v>
      </c>
      <c r="V282" s="3">
        <v>0.1</v>
      </c>
      <c r="W282" s="2">
        <v>0</v>
      </c>
      <c r="X282">
        <v>0</v>
      </c>
      <c r="Y282" t="s">
        <v>181</v>
      </c>
      <c r="Z282" t="s">
        <v>182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1.73</v>
      </c>
      <c r="AN282" s="2">
        <v>1.73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45943</v>
      </c>
      <c r="B283" t="s">
        <v>48</v>
      </c>
      <c r="C283">
        <v>649163</v>
      </c>
      <c r="D283">
        <v>2024407151</v>
      </c>
      <c r="E283" t="s">
        <v>197</v>
      </c>
      <c r="F283" t="s">
        <v>198</v>
      </c>
      <c r="G283" t="s">
        <v>51</v>
      </c>
      <c r="H283" t="s">
        <v>189</v>
      </c>
      <c r="I283" t="s">
        <v>114</v>
      </c>
      <c r="J283" t="s">
        <v>576</v>
      </c>
      <c r="K283">
        <v>650218</v>
      </c>
      <c r="L283" t="s">
        <v>195</v>
      </c>
      <c r="M283" t="s">
        <v>196</v>
      </c>
      <c r="N283" t="s">
        <v>57</v>
      </c>
      <c r="O283" s="1">
        <v>45520</v>
      </c>
      <c r="Q283" s="1">
        <v>45977</v>
      </c>
      <c r="R283" s="2">
        <v>21.97</v>
      </c>
      <c r="S283">
        <v>1</v>
      </c>
      <c r="T283" t="s">
        <v>58</v>
      </c>
      <c r="U283" t="s">
        <v>180</v>
      </c>
      <c r="V283" s="3">
        <v>0.1</v>
      </c>
      <c r="W283" s="2">
        <v>0</v>
      </c>
      <c r="X283">
        <v>0</v>
      </c>
      <c r="Y283" t="s">
        <v>181</v>
      </c>
      <c r="Z283" t="s">
        <v>182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2.2000000000000002</v>
      </c>
      <c r="AN283" s="2">
        <v>2.2000000000000002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45943</v>
      </c>
      <c r="B284" t="s">
        <v>48</v>
      </c>
      <c r="C284">
        <v>649163</v>
      </c>
      <c r="D284">
        <v>2024853074</v>
      </c>
      <c r="E284" t="s">
        <v>362</v>
      </c>
      <c r="F284" t="s">
        <v>363</v>
      </c>
      <c r="G284" t="s">
        <v>51</v>
      </c>
      <c r="H284" t="s">
        <v>225</v>
      </c>
      <c r="I284" t="s">
        <v>114</v>
      </c>
      <c r="J284" t="s">
        <v>576</v>
      </c>
      <c r="K284">
        <v>650218</v>
      </c>
      <c r="L284" t="s">
        <v>195</v>
      </c>
      <c r="M284" t="s">
        <v>196</v>
      </c>
      <c r="N284" t="s">
        <v>57</v>
      </c>
      <c r="O284" s="1">
        <v>45550</v>
      </c>
      <c r="Q284" s="1">
        <v>45976</v>
      </c>
      <c r="R284" s="2">
        <v>35.06</v>
      </c>
      <c r="S284">
        <v>1</v>
      </c>
      <c r="T284" t="s">
        <v>58</v>
      </c>
      <c r="U284" t="s">
        <v>180</v>
      </c>
      <c r="V284" s="3">
        <v>0.1</v>
      </c>
      <c r="W284" s="2">
        <v>0</v>
      </c>
      <c r="X284">
        <v>0</v>
      </c>
      <c r="Y284" t="s">
        <v>181</v>
      </c>
      <c r="Z284" t="s">
        <v>182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3.51</v>
      </c>
      <c r="AN284" s="2">
        <v>3.51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45943</v>
      </c>
      <c r="B285" t="s">
        <v>48</v>
      </c>
      <c r="C285">
        <v>649163</v>
      </c>
      <c r="D285">
        <v>2025271292</v>
      </c>
      <c r="E285" t="s">
        <v>577</v>
      </c>
      <c r="F285" t="s">
        <v>578</v>
      </c>
      <c r="G285" t="s">
        <v>51</v>
      </c>
      <c r="H285" t="s">
        <v>189</v>
      </c>
      <c r="I285" t="s">
        <v>114</v>
      </c>
      <c r="J285" t="s">
        <v>576</v>
      </c>
      <c r="K285">
        <v>650218</v>
      </c>
      <c r="L285" t="s">
        <v>195</v>
      </c>
      <c r="M285" t="s">
        <v>196</v>
      </c>
      <c r="N285" t="s">
        <v>57</v>
      </c>
      <c r="O285" s="1">
        <v>45577</v>
      </c>
      <c r="Q285" s="1">
        <v>45973</v>
      </c>
      <c r="R285" s="2">
        <v>89.62</v>
      </c>
      <c r="S285">
        <v>1</v>
      </c>
      <c r="T285" t="s">
        <v>58</v>
      </c>
      <c r="U285" t="s">
        <v>180</v>
      </c>
      <c r="V285" s="3">
        <v>0.1</v>
      </c>
      <c r="W285" s="2">
        <v>0</v>
      </c>
      <c r="X285">
        <v>0</v>
      </c>
      <c r="Y285" t="s">
        <v>181</v>
      </c>
      <c r="Z285" t="s">
        <v>182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8.9600000000000009</v>
      </c>
      <c r="AN285" s="2">
        <v>8.9600000000000009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45943</v>
      </c>
      <c r="B286" t="s">
        <v>48</v>
      </c>
      <c r="C286">
        <v>649163</v>
      </c>
      <c r="D286">
        <v>2025724075</v>
      </c>
      <c r="E286" t="s">
        <v>579</v>
      </c>
      <c r="F286" t="s">
        <v>159</v>
      </c>
      <c r="G286" t="s">
        <v>51</v>
      </c>
      <c r="H286" t="s">
        <v>189</v>
      </c>
      <c r="I286" t="s">
        <v>114</v>
      </c>
      <c r="J286" t="s">
        <v>576</v>
      </c>
      <c r="K286">
        <v>650218</v>
      </c>
      <c r="L286" t="s">
        <v>195</v>
      </c>
      <c r="M286" t="s">
        <v>196</v>
      </c>
      <c r="N286" t="s">
        <v>57</v>
      </c>
      <c r="O286" s="1">
        <v>45608</v>
      </c>
      <c r="Q286" s="1">
        <v>45973</v>
      </c>
      <c r="R286" s="2">
        <v>53.16</v>
      </c>
      <c r="S286">
        <v>1</v>
      </c>
      <c r="T286" t="s">
        <v>58</v>
      </c>
      <c r="U286" t="s">
        <v>180</v>
      </c>
      <c r="V286" s="3">
        <v>0.38</v>
      </c>
      <c r="W286" s="2">
        <v>0</v>
      </c>
      <c r="X286">
        <v>0</v>
      </c>
      <c r="Y286" t="s">
        <v>60</v>
      </c>
      <c r="Z286" t="s">
        <v>182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20.2</v>
      </c>
      <c r="AN286" s="2">
        <v>20.2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45943</v>
      </c>
      <c r="B287" t="s">
        <v>48</v>
      </c>
      <c r="C287">
        <v>649163</v>
      </c>
      <c r="D287">
        <v>2025727307</v>
      </c>
      <c r="E287" t="s">
        <v>240</v>
      </c>
      <c r="F287" t="s">
        <v>241</v>
      </c>
      <c r="G287" t="s">
        <v>51</v>
      </c>
      <c r="H287" t="s">
        <v>69</v>
      </c>
      <c r="I287" t="s">
        <v>114</v>
      </c>
      <c r="J287" t="s">
        <v>576</v>
      </c>
      <c r="K287">
        <v>796984</v>
      </c>
      <c r="L287" t="s">
        <v>234</v>
      </c>
      <c r="M287" t="s">
        <v>122</v>
      </c>
      <c r="N287" t="s">
        <v>57</v>
      </c>
      <c r="O287" s="1">
        <v>45608</v>
      </c>
      <c r="Q287" s="1">
        <v>45973</v>
      </c>
      <c r="R287" s="2">
        <v>53.62</v>
      </c>
      <c r="S287">
        <v>1</v>
      </c>
      <c r="T287" t="s">
        <v>58</v>
      </c>
      <c r="U287" t="s">
        <v>180</v>
      </c>
      <c r="V287" s="3">
        <v>0.38</v>
      </c>
      <c r="W287" s="2">
        <v>0</v>
      </c>
      <c r="X287">
        <v>0</v>
      </c>
      <c r="Y287" t="s">
        <v>60</v>
      </c>
      <c r="Z287" t="s">
        <v>182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20.38</v>
      </c>
      <c r="AN287" s="2">
        <v>20.38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45943</v>
      </c>
      <c r="B288" t="s">
        <v>48</v>
      </c>
      <c r="C288">
        <v>649163</v>
      </c>
      <c r="D288">
        <v>2025729949</v>
      </c>
      <c r="E288" t="s">
        <v>580</v>
      </c>
      <c r="F288" t="s">
        <v>122</v>
      </c>
      <c r="G288" t="s">
        <v>51</v>
      </c>
      <c r="H288" t="s">
        <v>189</v>
      </c>
      <c r="I288" t="s">
        <v>114</v>
      </c>
      <c r="J288" t="s">
        <v>576</v>
      </c>
      <c r="K288">
        <v>650218</v>
      </c>
      <c r="L288" t="s">
        <v>195</v>
      </c>
      <c r="M288" t="s">
        <v>196</v>
      </c>
      <c r="N288" t="s">
        <v>57</v>
      </c>
      <c r="O288" s="1">
        <v>45609</v>
      </c>
      <c r="Q288" s="1">
        <v>45974</v>
      </c>
      <c r="R288" s="2">
        <v>53.16</v>
      </c>
      <c r="S288">
        <v>1</v>
      </c>
      <c r="T288" t="s">
        <v>58</v>
      </c>
      <c r="U288" t="s">
        <v>180</v>
      </c>
      <c r="V288" s="3">
        <v>0.38</v>
      </c>
      <c r="W288" s="2">
        <v>0</v>
      </c>
      <c r="X288">
        <v>0</v>
      </c>
      <c r="Y288" t="s">
        <v>60</v>
      </c>
      <c r="Z288" t="s">
        <v>182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20.2</v>
      </c>
      <c r="AN288" s="2">
        <v>20.2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45943</v>
      </c>
      <c r="B289" t="s">
        <v>48</v>
      </c>
      <c r="C289">
        <v>649163</v>
      </c>
      <c r="D289">
        <v>2025737164</v>
      </c>
      <c r="E289" t="s">
        <v>364</v>
      </c>
      <c r="F289" t="s">
        <v>165</v>
      </c>
      <c r="G289" t="s">
        <v>51</v>
      </c>
      <c r="H289" t="s">
        <v>312</v>
      </c>
      <c r="I289" t="s">
        <v>114</v>
      </c>
      <c r="J289" t="s">
        <v>576</v>
      </c>
      <c r="K289">
        <v>650218</v>
      </c>
      <c r="L289" t="s">
        <v>195</v>
      </c>
      <c r="M289" t="s">
        <v>196</v>
      </c>
      <c r="N289" t="s">
        <v>57</v>
      </c>
      <c r="O289" s="1">
        <v>45609</v>
      </c>
      <c r="Q289" s="1">
        <v>45974</v>
      </c>
      <c r="R289" s="2">
        <v>26.7</v>
      </c>
      <c r="S289">
        <v>1</v>
      </c>
      <c r="T289" t="s">
        <v>58</v>
      </c>
      <c r="U289" t="s">
        <v>180</v>
      </c>
      <c r="V289" s="3">
        <v>0.38</v>
      </c>
      <c r="W289" s="2">
        <v>0</v>
      </c>
      <c r="X289">
        <v>0</v>
      </c>
      <c r="Y289" t="s">
        <v>60</v>
      </c>
      <c r="Z289" t="s">
        <v>182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10.15</v>
      </c>
      <c r="AN289" s="2">
        <v>10.15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45943</v>
      </c>
      <c r="B290" t="s">
        <v>48</v>
      </c>
      <c r="C290">
        <v>649163</v>
      </c>
      <c r="D290">
        <v>2025756062</v>
      </c>
      <c r="E290" t="s">
        <v>201</v>
      </c>
      <c r="F290" t="s">
        <v>202</v>
      </c>
      <c r="G290" t="s">
        <v>51</v>
      </c>
      <c r="H290" t="s">
        <v>189</v>
      </c>
      <c r="I290" t="s">
        <v>114</v>
      </c>
      <c r="J290" t="s">
        <v>576</v>
      </c>
      <c r="K290">
        <v>650218</v>
      </c>
      <c r="L290" t="s">
        <v>195</v>
      </c>
      <c r="M290" t="s">
        <v>196</v>
      </c>
      <c r="N290" t="s">
        <v>57</v>
      </c>
      <c r="O290" s="1">
        <v>45610</v>
      </c>
      <c r="Q290" s="1">
        <v>45975</v>
      </c>
      <c r="R290" s="2">
        <v>33.51</v>
      </c>
      <c r="S290">
        <v>1</v>
      </c>
      <c r="T290" t="s">
        <v>58</v>
      </c>
      <c r="U290" t="s">
        <v>180</v>
      </c>
      <c r="V290" s="3">
        <v>0.38</v>
      </c>
      <c r="W290" s="2">
        <v>0</v>
      </c>
      <c r="X290">
        <v>0</v>
      </c>
      <c r="Y290" t="s">
        <v>60</v>
      </c>
      <c r="Z290" t="s">
        <v>182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12.73</v>
      </c>
      <c r="AN290" s="2">
        <v>12.73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45943</v>
      </c>
      <c r="B291" t="s">
        <v>48</v>
      </c>
      <c r="C291">
        <v>649163</v>
      </c>
      <c r="D291">
        <v>2025769234</v>
      </c>
      <c r="E291" t="s">
        <v>203</v>
      </c>
      <c r="F291" t="s">
        <v>204</v>
      </c>
      <c r="G291" t="s">
        <v>51</v>
      </c>
      <c r="H291" t="s">
        <v>189</v>
      </c>
      <c r="I291" t="s">
        <v>114</v>
      </c>
      <c r="J291" t="s">
        <v>576</v>
      </c>
      <c r="K291">
        <v>650218</v>
      </c>
      <c r="L291" t="s">
        <v>195</v>
      </c>
      <c r="M291" t="s">
        <v>196</v>
      </c>
      <c r="N291" t="s">
        <v>57</v>
      </c>
      <c r="O291" s="1">
        <v>45611</v>
      </c>
      <c r="Q291" s="1">
        <v>45976</v>
      </c>
      <c r="R291" s="2">
        <v>27.15</v>
      </c>
      <c r="S291">
        <v>1</v>
      </c>
      <c r="T291" t="s">
        <v>58</v>
      </c>
      <c r="U291" t="s">
        <v>180</v>
      </c>
      <c r="V291" s="3">
        <v>0.38</v>
      </c>
      <c r="W291" s="2">
        <v>0</v>
      </c>
      <c r="X291">
        <v>0</v>
      </c>
      <c r="Y291" t="s">
        <v>60</v>
      </c>
      <c r="Z291" t="s">
        <v>182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10.32</v>
      </c>
      <c r="AN291" s="2">
        <v>10.32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45943</v>
      </c>
      <c r="B292" t="s">
        <v>48</v>
      </c>
      <c r="C292">
        <v>649163</v>
      </c>
      <c r="D292">
        <v>2026061219</v>
      </c>
      <c r="E292" t="s">
        <v>242</v>
      </c>
      <c r="F292" t="s">
        <v>209</v>
      </c>
      <c r="G292" t="s">
        <v>51</v>
      </c>
      <c r="H292" t="s">
        <v>69</v>
      </c>
      <c r="I292" t="s">
        <v>114</v>
      </c>
      <c r="J292" t="s">
        <v>576</v>
      </c>
      <c r="K292">
        <v>796984</v>
      </c>
      <c r="L292" t="s">
        <v>234</v>
      </c>
      <c r="M292" t="s">
        <v>122</v>
      </c>
      <c r="N292" t="s">
        <v>57</v>
      </c>
      <c r="O292" s="1">
        <v>45641</v>
      </c>
      <c r="Q292" s="1">
        <v>45976</v>
      </c>
      <c r="R292" s="2">
        <v>33.31</v>
      </c>
      <c r="S292">
        <v>1</v>
      </c>
      <c r="T292" t="s">
        <v>58</v>
      </c>
      <c r="U292" t="s">
        <v>180</v>
      </c>
      <c r="V292" s="3">
        <v>0.38</v>
      </c>
      <c r="W292" s="2">
        <v>0</v>
      </c>
      <c r="X292">
        <v>0</v>
      </c>
      <c r="Y292" t="s">
        <v>60</v>
      </c>
      <c r="Z292" t="s">
        <v>182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12.66</v>
      </c>
      <c r="AN292" s="2">
        <v>12.66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45943</v>
      </c>
      <c r="B293" t="s">
        <v>48</v>
      </c>
      <c r="C293">
        <v>649163</v>
      </c>
      <c r="D293">
        <v>2026586622</v>
      </c>
      <c r="E293" t="s">
        <v>365</v>
      </c>
      <c r="F293" t="s">
        <v>366</v>
      </c>
      <c r="G293" t="s">
        <v>51</v>
      </c>
      <c r="H293" t="s">
        <v>214</v>
      </c>
      <c r="I293" t="s">
        <v>114</v>
      </c>
      <c r="J293" t="s">
        <v>576</v>
      </c>
      <c r="K293">
        <v>756418</v>
      </c>
      <c r="L293" t="s">
        <v>216</v>
      </c>
      <c r="M293" t="s">
        <v>217</v>
      </c>
      <c r="N293" t="s">
        <v>57</v>
      </c>
      <c r="O293" s="1">
        <v>45672</v>
      </c>
      <c r="Q293" s="1">
        <v>45976</v>
      </c>
      <c r="R293" s="2">
        <v>13.38</v>
      </c>
      <c r="S293">
        <v>1</v>
      </c>
      <c r="T293" t="s">
        <v>58</v>
      </c>
      <c r="U293" t="s">
        <v>180</v>
      </c>
      <c r="V293" s="3">
        <v>0.38</v>
      </c>
      <c r="W293" s="2">
        <v>0</v>
      </c>
      <c r="X293">
        <v>0</v>
      </c>
      <c r="Y293" t="s">
        <v>60</v>
      </c>
      <c r="Z293" t="s">
        <v>182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5.08</v>
      </c>
      <c r="AN293" s="2">
        <v>5.08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45943</v>
      </c>
      <c r="B294" t="s">
        <v>48</v>
      </c>
      <c r="C294">
        <v>649163</v>
      </c>
      <c r="D294">
        <v>2026603199</v>
      </c>
      <c r="E294" t="s">
        <v>206</v>
      </c>
      <c r="F294" t="s">
        <v>207</v>
      </c>
      <c r="G294" t="s">
        <v>51</v>
      </c>
      <c r="H294" t="s">
        <v>189</v>
      </c>
      <c r="I294" t="s">
        <v>114</v>
      </c>
      <c r="J294" t="s">
        <v>576</v>
      </c>
      <c r="K294">
        <v>751867</v>
      </c>
      <c r="L294" t="s">
        <v>186</v>
      </c>
      <c r="M294" t="s">
        <v>90</v>
      </c>
      <c r="N294" t="s">
        <v>57</v>
      </c>
      <c r="O294" s="1">
        <v>45673</v>
      </c>
      <c r="Q294" s="1">
        <v>45977</v>
      </c>
      <c r="R294" s="2">
        <v>33.51</v>
      </c>
      <c r="S294">
        <v>1</v>
      </c>
      <c r="T294" t="s">
        <v>58</v>
      </c>
      <c r="U294" t="s">
        <v>180</v>
      </c>
      <c r="V294" s="3">
        <v>0.38</v>
      </c>
      <c r="W294" s="2">
        <v>0</v>
      </c>
      <c r="X294">
        <v>0</v>
      </c>
      <c r="Y294" t="s">
        <v>60</v>
      </c>
      <c r="Z294" t="s">
        <v>182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12.73</v>
      </c>
      <c r="AN294" s="2">
        <v>12.73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45943</v>
      </c>
      <c r="B295" t="s">
        <v>48</v>
      </c>
      <c r="C295">
        <v>649163</v>
      </c>
      <c r="D295">
        <v>2027038279</v>
      </c>
      <c r="E295" t="s">
        <v>252</v>
      </c>
      <c r="F295" t="s">
        <v>253</v>
      </c>
      <c r="G295" t="s">
        <v>51</v>
      </c>
      <c r="H295" t="s">
        <v>69</v>
      </c>
      <c r="I295" t="s">
        <v>114</v>
      </c>
      <c r="J295" t="s">
        <v>576</v>
      </c>
      <c r="K295">
        <v>816021</v>
      </c>
      <c r="L295" t="s">
        <v>71</v>
      </c>
      <c r="M295" t="s">
        <v>72</v>
      </c>
      <c r="N295" t="s">
        <v>57</v>
      </c>
      <c r="O295" s="1">
        <v>45699</v>
      </c>
      <c r="Q295" s="1">
        <v>45972</v>
      </c>
      <c r="R295" s="2">
        <v>40.270000000000003</v>
      </c>
      <c r="S295">
        <v>1</v>
      </c>
      <c r="T295" t="s">
        <v>58</v>
      </c>
      <c r="U295" t="s">
        <v>180</v>
      </c>
      <c r="V295" s="3">
        <v>0.38</v>
      </c>
      <c r="W295" s="2">
        <v>0</v>
      </c>
      <c r="X295">
        <v>0</v>
      </c>
      <c r="Y295" t="s">
        <v>60</v>
      </c>
      <c r="Z295" t="s">
        <v>182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15.3</v>
      </c>
      <c r="AN295" s="2">
        <v>15.3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45943</v>
      </c>
      <c r="B296" t="s">
        <v>48</v>
      </c>
      <c r="C296">
        <v>649163</v>
      </c>
      <c r="D296">
        <v>2027070511</v>
      </c>
      <c r="E296" t="s">
        <v>212</v>
      </c>
      <c r="F296" t="s">
        <v>213</v>
      </c>
      <c r="G296" t="s">
        <v>51</v>
      </c>
      <c r="H296" t="s">
        <v>214</v>
      </c>
      <c r="I296" t="s">
        <v>114</v>
      </c>
      <c r="J296" t="s">
        <v>576</v>
      </c>
      <c r="K296">
        <v>756418</v>
      </c>
      <c r="L296" t="s">
        <v>216</v>
      </c>
      <c r="M296" t="s">
        <v>217</v>
      </c>
      <c r="N296" t="s">
        <v>57</v>
      </c>
      <c r="O296" s="1">
        <v>45700</v>
      </c>
      <c r="Q296" s="1">
        <v>45973</v>
      </c>
      <c r="R296" s="2">
        <v>9.5500000000000007</v>
      </c>
      <c r="S296">
        <v>1</v>
      </c>
      <c r="T296" t="s">
        <v>58</v>
      </c>
      <c r="U296" t="s">
        <v>180</v>
      </c>
      <c r="V296" s="3">
        <v>0.38</v>
      </c>
      <c r="W296" s="2">
        <v>0</v>
      </c>
      <c r="X296">
        <v>0</v>
      </c>
      <c r="Y296" t="s">
        <v>60</v>
      </c>
      <c r="Z296" t="s">
        <v>182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3.63</v>
      </c>
      <c r="AN296" s="2">
        <v>3.63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45943</v>
      </c>
      <c r="B297" t="s">
        <v>48</v>
      </c>
      <c r="C297">
        <v>649163</v>
      </c>
      <c r="D297">
        <v>2027849973</v>
      </c>
      <c r="E297" t="s">
        <v>370</v>
      </c>
      <c r="F297" t="s">
        <v>371</v>
      </c>
      <c r="G297" t="s">
        <v>51</v>
      </c>
      <c r="H297" t="s">
        <v>372</v>
      </c>
      <c r="I297" t="s">
        <v>114</v>
      </c>
      <c r="J297" t="s">
        <v>576</v>
      </c>
      <c r="K297">
        <v>650218</v>
      </c>
      <c r="L297" t="s">
        <v>195</v>
      </c>
      <c r="M297" t="s">
        <v>196</v>
      </c>
      <c r="N297" t="s">
        <v>57</v>
      </c>
      <c r="O297" s="1">
        <v>45733</v>
      </c>
      <c r="Q297" s="1">
        <v>45978</v>
      </c>
      <c r="R297" s="2">
        <v>48.95</v>
      </c>
      <c r="S297">
        <v>1</v>
      </c>
      <c r="T297" t="s">
        <v>58</v>
      </c>
      <c r="U297" t="s">
        <v>180</v>
      </c>
      <c r="V297" s="3">
        <v>0.38</v>
      </c>
      <c r="W297" s="2">
        <v>0</v>
      </c>
      <c r="X297">
        <v>0</v>
      </c>
      <c r="Y297" t="s">
        <v>60</v>
      </c>
      <c r="Z297" t="s">
        <v>182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18.600000000000001</v>
      </c>
      <c r="AN297" s="2">
        <v>18.600000000000001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45943</v>
      </c>
      <c r="B298" t="s">
        <v>48</v>
      </c>
      <c r="C298">
        <v>649163</v>
      </c>
      <c r="D298">
        <v>2028367118</v>
      </c>
      <c r="E298" t="s">
        <v>262</v>
      </c>
      <c r="F298" t="s">
        <v>263</v>
      </c>
      <c r="G298" t="s">
        <v>51</v>
      </c>
      <c r="H298" t="s">
        <v>52</v>
      </c>
      <c r="I298" t="s">
        <v>114</v>
      </c>
      <c r="J298" t="s">
        <v>115</v>
      </c>
      <c r="K298">
        <v>673059</v>
      </c>
      <c r="L298" t="s">
        <v>55</v>
      </c>
      <c r="M298" t="s">
        <v>56</v>
      </c>
      <c r="N298" t="s">
        <v>57</v>
      </c>
      <c r="O298" s="1">
        <v>45759</v>
      </c>
      <c r="Q298" s="1">
        <v>45973</v>
      </c>
      <c r="R298" s="2">
        <v>181.4</v>
      </c>
      <c r="S298">
        <v>1</v>
      </c>
      <c r="T298" t="s">
        <v>58</v>
      </c>
      <c r="U298" t="s">
        <v>180</v>
      </c>
      <c r="V298" s="3">
        <v>0.38</v>
      </c>
      <c r="W298" s="2">
        <v>0</v>
      </c>
      <c r="X298">
        <v>0</v>
      </c>
      <c r="Y298" t="s">
        <v>60</v>
      </c>
      <c r="Z298" t="s">
        <v>182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68.930000000000007</v>
      </c>
      <c r="AN298" s="2">
        <v>68.930000000000007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45943</v>
      </c>
      <c r="B299" t="s">
        <v>48</v>
      </c>
      <c r="C299">
        <v>649163</v>
      </c>
      <c r="D299">
        <v>2028367119</v>
      </c>
      <c r="E299" t="s">
        <v>262</v>
      </c>
      <c r="F299" t="s">
        <v>263</v>
      </c>
      <c r="G299" t="s">
        <v>51</v>
      </c>
      <c r="H299" t="s">
        <v>52</v>
      </c>
      <c r="I299" t="s">
        <v>114</v>
      </c>
      <c r="J299" t="s">
        <v>581</v>
      </c>
      <c r="K299">
        <v>673059</v>
      </c>
      <c r="L299" t="s">
        <v>55</v>
      </c>
      <c r="M299" t="s">
        <v>56</v>
      </c>
      <c r="N299" t="s">
        <v>57</v>
      </c>
      <c r="O299" s="1">
        <v>45759</v>
      </c>
      <c r="Q299" s="1">
        <v>45973</v>
      </c>
      <c r="R299" s="2">
        <v>7.09</v>
      </c>
      <c r="S299">
        <v>1</v>
      </c>
      <c r="T299" t="s">
        <v>58</v>
      </c>
      <c r="U299" t="s">
        <v>180</v>
      </c>
      <c r="V299" s="3">
        <v>0.38</v>
      </c>
      <c r="W299" s="2">
        <v>0</v>
      </c>
      <c r="X299">
        <v>0</v>
      </c>
      <c r="Y299" t="s">
        <v>60</v>
      </c>
      <c r="Z299" t="s">
        <v>182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2.69</v>
      </c>
      <c r="AN299" s="2">
        <v>2.69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45943</v>
      </c>
      <c r="B300" t="s">
        <v>48</v>
      </c>
      <c r="C300">
        <v>649163</v>
      </c>
      <c r="D300">
        <v>2028958356</v>
      </c>
      <c r="E300" t="s">
        <v>275</v>
      </c>
      <c r="F300" t="s">
        <v>276</v>
      </c>
      <c r="G300" t="s">
        <v>51</v>
      </c>
      <c r="H300" t="s">
        <v>78</v>
      </c>
      <c r="I300" t="s">
        <v>114</v>
      </c>
      <c r="J300" t="s">
        <v>582</v>
      </c>
      <c r="K300">
        <v>673059</v>
      </c>
      <c r="L300" t="s">
        <v>55</v>
      </c>
      <c r="M300" t="s">
        <v>56</v>
      </c>
      <c r="N300" t="s">
        <v>57</v>
      </c>
      <c r="O300" s="1">
        <v>45793</v>
      </c>
      <c r="Q300" s="1">
        <v>45977</v>
      </c>
      <c r="R300" s="2">
        <v>100.48</v>
      </c>
      <c r="S300">
        <v>1</v>
      </c>
      <c r="T300" t="s">
        <v>58</v>
      </c>
      <c r="U300" t="s">
        <v>180</v>
      </c>
      <c r="V300" s="3">
        <v>0.19</v>
      </c>
      <c r="W300" s="2">
        <v>0</v>
      </c>
      <c r="X300">
        <v>0</v>
      </c>
      <c r="Y300" t="s">
        <v>60</v>
      </c>
      <c r="Z300" t="s">
        <v>182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19.09</v>
      </c>
      <c r="AN300" s="2">
        <v>19.09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45943</v>
      </c>
      <c r="B301" t="s">
        <v>48</v>
      </c>
      <c r="C301">
        <v>649163</v>
      </c>
      <c r="D301">
        <v>2029177107</v>
      </c>
      <c r="E301" t="s">
        <v>282</v>
      </c>
      <c r="F301" t="s">
        <v>283</v>
      </c>
      <c r="G301" t="s">
        <v>51</v>
      </c>
      <c r="H301" t="s">
        <v>78</v>
      </c>
      <c r="I301" t="s">
        <v>114</v>
      </c>
      <c r="J301" t="s">
        <v>576</v>
      </c>
      <c r="K301">
        <v>820873</v>
      </c>
      <c r="L301" t="s">
        <v>284</v>
      </c>
      <c r="M301" t="s">
        <v>285</v>
      </c>
      <c r="N301" t="s">
        <v>179</v>
      </c>
      <c r="O301" s="1">
        <v>45809</v>
      </c>
      <c r="P301" s="1">
        <v>45943</v>
      </c>
      <c r="Q301" s="1">
        <v>45962</v>
      </c>
      <c r="R301" s="2">
        <v>-19.510000000000002</v>
      </c>
      <c r="S301">
        <v>1</v>
      </c>
      <c r="T301" t="s">
        <v>58</v>
      </c>
      <c r="U301" t="s">
        <v>180</v>
      </c>
      <c r="V301" s="3">
        <v>0.38</v>
      </c>
      <c r="W301" s="2">
        <v>0</v>
      </c>
      <c r="X301">
        <v>-1</v>
      </c>
      <c r="Y301" t="s">
        <v>60</v>
      </c>
      <c r="Z301" t="s">
        <v>182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-7.41</v>
      </c>
      <c r="AN301" s="2">
        <v>-7.41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45943</v>
      </c>
      <c r="B302" t="s">
        <v>48</v>
      </c>
      <c r="C302">
        <v>649163</v>
      </c>
      <c r="D302">
        <v>2029177107</v>
      </c>
      <c r="E302" t="s">
        <v>282</v>
      </c>
      <c r="F302" t="s">
        <v>283</v>
      </c>
      <c r="G302" t="s">
        <v>51</v>
      </c>
      <c r="H302" t="s">
        <v>78</v>
      </c>
      <c r="I302" t="s">
        <v>114</v>
      </c>
      <c r="J302" t="s">
        <v>576</v>
      </c>
      <c r="K302">
        <v>820873</v>
      </c>
      <c r="L302" t="s">
        <v>284</v>
      </c>
      <c r="M302" t="s">
        <v>285</v>
      </c>
      <c r="N302" t="s">
        <v>179</v>
      </c>
      <c r="O302" s="1">
        <v>45809</v>
      </c>
      <c r="P302" s="1">
        <v>45943</v>
      </c>
      <c r="Q302" s="1">
        <v>45962</v>
      </c>
      <c r="R302" s="2">
        <v>-19.510000000000002</v>
      </c>
      <c r="S302">
        <v>1</v>
      </c>
      <c r="T302" t="s">
        <v>58</v>
      </c>
      <c r="U302" t="s">
        <v>180</v>
      </c>
      <c r="V302" s="3">
        <v>0.38</v>
      </c>
      <c r="W302" s="2">
        <v>0</v>
      </c>
      <c r="X302">
        <v>-1</v>
      </c>
      <c r="Y302" t="s">
        <v>60</v>
      </c>
      <c r="Z302" t="s">
        <v>182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-7.41</v>
      </c>
      <c r="AN302" s="2">
        <v>-7.41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45943</v>
      </c>
      <c r="B303" t="s">
        <v>48</v>
      </c>
      <c r="C303">
        <v>649163</v>
      </c>
      <c r="D303">
        <v>2029486075</v>
      </c>
      <c r="E303" t="s">
        <v>376</v>
      </c>
      <c r="F303" t="s">
        <v>377</v>
      </c>
      <c r="G303" t="s">
        <v>51</v>
      </c>
      <c r="H303" t="s">
        <v>78</v>
      </c>
      <c r="I303" t="s">
        <v>114</v>
      </c>
      <c r="J303" t="s">
        <v>115</v>
      </c>
      <c r="K303">
        <v>824062</v>
      </c>
      <c r="L303" t="s">
        <v>126</v>
      </c>
      <c r="M303" t="s">
        <v>127</v>
      </c>
      <c r="N303" t="s">
        <v>57</v>
      </c>
      <c r="O303" s="1">
        <v>45825</v>
      </c>
      <c r="Q303" s="1">
        <v>45978</v>
      </c>
      <c r="R303" s="2">
        <v>139</v>
      </c>
      <c r="S303">
        <v>1</v>
      </c>
      <c r="T303" t="s">
        <v>58</v>
      </c>
      <c r="U303" t="s">
        <v>180</v>
      </c>
      <c r="V303" s="3">
        <v>0.38</v>
      </c>
      <c r="W303" s="2">
        <v>0</v>
      </c>
      <c r="X303">
        <v>0</v>
      </c>
      <c r="Y303" t="s">
        <v>60</v>
      </c>
      <c r="Z303" t="s">
        <v>182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52.82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45943</v>
      </c>
      <c r="B304" t="s">
        <v>48</v>
      </c>
      <c r="C304">
        <v>649163</v>
      </c>
      <c r="D304">
        <v>2029486076</v>
      </c>
      <c r="E304" t="s">
        <v>376</v>
      </c>
      <c r="F304" t="s">
        <v>377</v>
      </c>
      <c r="G304" t="s">
        <v>51</v>
      </c>
      <c r="H304" t="s">
        <v>78</v>
      </c>
      <c r="I304" t="s">
        <v>114</v>
      </c>
      <c r="J304" t="s">
        <v>581</v>
      </c>
      <c r="K304">
        <v>824062</v>
      </c>
      <c r="L304" t="s">
        <v>126</v>
      </c>
      <c r="M304" t="s">
        <v>127</v>
      </c>
      <c r="N304" t="s">
        <v>57</v>
      </c>
      <c r="O304" s="1">
        <v>45825</v>
      </c>
      <c r="Q304" s="1">
        <v>45978</v>
      </c>
      <c r="R304" s="2">
        <v>7.09</v>
      </c>
      <c r="S304">
        <v>1</v>
      </c>
      <c r="T304" t="s">
        <v>58</v>
      </c>
      <c r="U304" t="s">
        <v>180</v>
      </c>
      <c r="V304" s="3">
        <v>0.38</v>
      </c>
      <c r="W304" s="2">
        <v>0</v>
      </c>
      <c r="X304">
        <v>0</v>
      </c>
      <c r="Y304" t="s">
        <v>60</v>
      </c>
      <c r="Z304" t="s">
        <v>182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2.69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45943</v>
      </c>
      <c r="B305" t="s">
        <v>48</v>
      </c>
      <c r="C305">
        <v>649163</v>
      </c>
      <c r="D305">
        <v>2029844784</v>
      </c>
      <c r="E305" t="s">
        <v>227</v>
      </c>
      <c r="F305" t="s">
        <v>378</v>
      </c>
      <c r="G305" t="s">
        <v>51</v>
      </c>
      <c r="H305" t="s">
        <v>78</v>
      </c>
      <c r="I305" t="s">
        <v>114</v>
      </c>
      <c r="J305" t="s">
        <v>115</v>
      </c>
      <c r="K305">
        <v>768887</v>
      </c>
      <c r="L305" t="s">
        <v>139</v>
      </c>
      <c r="M305" t="s">
        <v>140</v>
      </c>
      <c r="N305" t="s">
        <v>57</v>
      </c>
      <c r="O305" s="1">
        <v>45849</v>
      </c>
      <c r="Q305" s="1">
        <v>45972</v>
      </c>
      <c r="R305" s="2">
        <v>455.99</v>
      </c>
      <c r="S305">
        <v>1</v>
      </c>
      <c r="T305" t="s">
        <v>58</v>
      </c>
      <c r="U305" t="s">
        <v>180</v>
      </c>
      <c r="V305" s="3">
        <v>0.38</v>
      </c>
      <c r="W305" s="2">
        <v>0</v>
      </c>
      <c r="X305">
        <v>0</v>
      </c>
      <c r="Y305" t="s">
        <v>60</v>
      </c>
      <c r="Z305" t="s">
        <v>182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173.28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45943</v>
      </c>
      <c r="B306" t="s">
        <v>48</v>
      </c>
      <c r="C306">
        <v>649163</v>
      </c>
      <c r="D306">
        <v>2029844785</v>
      </c>
      <c r="E306" t="s">
        <v>227</v>
      </c>
      <c r="F306" t="s">
        <v>378</v>
      </c>
      <c r="G306" t="s">
        <v>51</v>
      </c>
      <c r="H306" t="s">
        <v>78</v>
      </c>
      <c r="I306" t="s">
        <v>114</v>
      </c>
      <c r="J306" t="s">
        <v>581</v>
      </c>
      <c r="K306">
        <v>768887</v>
      </c>
      <c r="L306" t="s">
        <v>139</v>
      </c>
      <c r="M306" t="s">
        <v>140</v>
      </c>
      <c r="N306" t="s">
        <v>57</v>
      </c>
      <c r="O306" s="1">
        <v>45849</v>
      </c>
      <c r="Q306" s="1">
        <v>45972</v>
      </c>
      <c r="R306" s="2">
        <v>7.09</v>
      </c>
      <c r="S306">
        <v>1</v>
      </c>
      <c r="T306" t="s">
        <v>58</v>
      </c>
      <c r="U306" t="s">
        <v>180</v>
      </c>
      <c r="V306" s="3">
        <v>0.38</v>
      </c>
      <c r="W306" s="2">
        <v>0</v>
      </c>
      <c r="X306">
        <v>0</v>
      </c>
      <c r="Y306" t="s">
        <v>60</v>
      </c>
      <c r="Z306" t="s">
        <v>182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2.69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45943</v>
      </c>
      <c r="B307" t="s">
        <v>48</v>
      </c>
      <c r="C307">
        <v>649163</v>
      </c>
      <c r="D307">
        <v>2029955374</v>
      </c>
      <c r="E307" t="s">
        <v>302</v>
      </c>
      <c r="F307" t="s">
        <v>278</v>
      </c>
      <c r="G307" t="s">
        <v>51</v>
      </c>
      <c r="H307" t="s">
        <v>69</v>
      </c>
      <c r="I307" t="s">
        <v>114</v>
      </c>
      <c r="J307" t="s">
        <v>576</v>
      </c>
      <c r="K307">
        <v>824082</v>
      </c>
      <c r="L307" t="s">
        <v>303</v>
      </c>
      <c r="M307" t="s">
        <v>304</v>
      </c>
      <c r="N307" t="s">
        <v>57</v>
      </c>
      <c r="O307" s="1">
        <v>45853</v>
      </c>
      <c r="Q307" s="1">
        <v>45976</v>
      </c>
      <c r="R307" s="2">
        <v>33.31</v>
      </c>
      <c r="S307">
        <v>1</v>
      </c>
      <c r="T307" t="s">
        <v>58</v>
      </c>
      <c r="U307" t="s">
        <v>180</v>
      </c>
      <c r="V307" s="3">
        <v>0.38</v>
      </c>
      <c r="W307" s="2">
        <v>0</v>
      </c>
      <c r="X307">
        <v>0</v>
      </c>
      <c r="Y307" t="s">
        <v>60</v>
      </c>
      <c r="Z307" t="s">
        <v>182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12.66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45943</v>
      </c>
      <c r="B308" t="s">
        <v>48</v>
      </c>
      <c r="C308">
        <v>649163</v>
      </c>
      <c r="D308">
        <v>2029969179</v>
      </c>
      <c r="E308" t="s">
        <v>583</v>
      </c>
      <c r="F308" t="s">
        <v>584</v>
      </c>
      <c r="G308" t="s">
        <v>51</v>
      </c>
      <c r="H308" t="s">
        <v>189</v>
      </c>
      <c r="I308" t="s">
        <v>114</v>
      </c>
      <c r="J308" t="s">
        <v>576</v>
      </c>
      <c r="K308">
        <v>650218</v>
      </c>
      <c r="L308" t="s">
        <v>195</v>
      </c>
      <c r="M308" t="s">
        <v>196</v>
      </c>
      <c r="N308" t="s">
        <v>179</v>
      </c>
      <c r="O308" s="1">
        <v>45870</v>
      </c>
      <c r="P308" s="1">
        <v>45936</v>
      </c>
      <c r="Q308" s="1">
        <v>45962</v>
      </c>
      <c r="R308" s="2">
        <v>-128.72</v>
      </c>
      <c r="S308">
        <v>1</v>
      </c>
      <c r="T308" t="s">
        <v>58</v>
      </c>
      <c r="U308" t="s">
        <v>180</v>
      </c>
      <c r="V308" s="3">
        <v>0.38</v>
      </c>
      <c r="W308" s="2">
        <v>0</v>
      </c>
      <c r="X308">
        <v>-1</v>
      </c>
      <c r="Y308" t="s">
        <v>60</v>
      </c>
      <c r="Z308" t="s">
        <v>182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-48.91</v>
      </c>
      <c r="AN308" s="2">
        <v>-48.91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45943</v>
      </c>
      <c r="B309" t="s">
        <v>48</v>
      </c>
      <c r="C309">
        <v>649163</v>
      </c>
      <c r="D309">
        <v>2030247772</v>
      </c>
      <c r="E309" t="s">
        <v>585</v>
      </c>
      <c r="F309" t="s">
        <v>567</v>
      </c>
      <c r="G309" t="s">
        <v>51</v>
      </c>
      <c r="H309" t="s">
        <v>189</v>
      </c>
      <c r="I309" t="s">
        <v>114</v>
      </c>
      <c r="J309" t="s">
        <v>576</v>
      </c>
      <c r="K309">
        <v>751867</v>
      </c>
      <c r="L309" t="s">
        <v>186</v>
      </c>
      <c r="M309" t="s">
        <v>90</v>
      </c>
      <c r="N309" t="s">
        <v>57</v>
      </c>
      <c r="O309" s="1">
        <v>45870</v>
      </c>
      <c r="Q309" s="1">
        <v>45962</v>
      </c>
      <c r="R309" s="2">
        <v>27.15</v>
      </c>
      <c r="S309">
        <v>1</v>
      </c>
      <c r="T309" t="s">
        <v>58</v>
      </c>
      <c r="U309" t="s">
        <v>180</v>
      </c>
      <c r="V309" s="3">
        <v>0.38</v>
      </c>
      <c r="W309" s="2">
        <v>0</v>
      </c>
      <c r="X309">
        <v>0</v>
      </c>
      <c r="Y309" t="s">
        <v>60</v>
      </c>
      <c r="Z309" t="s">
        <v>182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10.32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45943</v>
      </c>
      <c r="B310" t="s">
        <v>48</v>
      </c>
      <c r="C310">
        <v>649163</v>
      </c>
      <c r="D310">
        <v>2030455579</v>
      </c>
      <c r="E310" t="s">
        <v>326</v>
      </c>
      <c r="F310" t="s">
        <v>327</v>
      </c>
      <c r="G310" t="s">
        <v>51</v>
      </c>
      <c r="H310" t="s">
        <v>69</v>
      </c>
      <c r="I310" t="s">
        <v>114</v>
      </c>
      <c r="J310" t="s">
        <v>576</v>
      </c>
      <c r="K310">
        <v>816021</v>
      </c>
      <c r="L310" t="s">
        <v>71</v>
      </c>
      <c r="M310" t="s">
        <v>72</v>
      </c>
      <c r="N310" t="s">
        <v>57</v>
      </c>
      <c r="O310" s="1">
        <v>45882</v>
      </c>
      <c r="Q310" s="1">
        <v>45974</v>
      </c>
      <c r="R310" s="2">
        <v>60.5</v>
      </c>
      <c r="S310">
        <v>1</v>
      </c>
      <c r="T310" t="s">
        <v>58</v>
      </c>
      <c r="U310" t="s">
        <v>180</v>
      </c>
      <c r="V310" s="3">
        <v>0.38</v>
      </c>
      <c r="W310" s="2">
        <v>0</v>
      </c>
      <c r="X310">
        <v>0</v>
      </c>
      <c r="Y310" t="s">
        <v>60</v>
      </c>
      <c r="Z310" t="s">
        <v>182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22.99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45943</v>
      </c>
      <c r="B311" t="s">
        <v>48</v>
      </c>
      <c r="C311">
        <v>649163</v>
      </c>
      <c r="D311">
        <v>2028679376</v>
      </c>
      <c r="E311" t="s">
        <v>586</v>
      </c>
      <c r="F311" t="s">
        <v>403</v>
      </c>
      <c r="G311" t="s">
        <v>51</v>
      </c>
      <c r="H311" t="s">
        <v>78</v>
      </c>
      <c r="I311" t="s">
        <v>587</v>
      </c>
      <c r="J311" t="s">
        <v>588</v>
      </c>
      <c r="K311">
        <v>813184</v>
      </c>
      <c r="L311" t="s">
        <v>566</v>
      </c>
      <c r="M311" t="s">
        <v>567</v>
      </c>
      <c r="N311" t="s">
        <v>57</v>
      </c>
      <c r="O311" s="1">
        <v>45778</v>
      </c>
      <c r="Q311" s="1">
        <v>45809</v>
      </c>
      <c r="R311" s="2">
        <v>-129.44</v>
      </c>
      <c r="S311">
        <v>1</v>
      </c>
      <c r="T311" t="s">
        <v>58</v>
      </c>
      <c r="U311" t="s">
        <v>180</v>
      </c>
      <c r="V311" s="3">
        <v>0.26</v>
      </c>
      <c r="W311" s="2">
        <v>0</v>
      </c>
      <c r="X311">
        <v>-1</v>
      </c>
      <c r="Y311" t="s">
        <v>60</v>
      </c>
      <c r="Z311" t="s">
        <v>182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-33.65</v>
      </c>
      <c r="AN311" s="2">
        <v>-33.65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45943</v>
      </c>
      <c r="B312" t="s">
        <v>48</v>
      </c>
      <c r="C312">
        <v>649163</v>
      </c>
      <c r="D312">
        <v>2028679376</v>
      </c>
      <c r="E312" t="s">
        <v>586</v>
      </c>
      <c r="F312" t="s">
        <v>403</v>
      </c>
      <c r="G312" t="s">
        <v>51</v>
      </c>
      <c r="H312" t="s">
        <v>78</v>
      </c>
      <c r="I312" t="s">
        <v>587</v>
      </c>
      <c r="J312" t="s">
        <v>588</v>
      </c>
      <c r="K312">
        <v>813184</v>
      </c>
      <c r="L312" t="s">
        <v>566</v>
      </c>
      <c r="M312" t="s">
        <v>567</v>
      </c>
      <c r="N312" t="s">
        <v>57</v>
      </c>
      <c r="O312" s="1">
        <v>45778</v>
      </c>
      <c r="Q312" s="1">
        <v>45839</v>
      </c>
      <c r="R312" s="2">
        <v>-129.44</v>
      </c>
      <c r="S312">
        <v>1</v>
      </c>
      <c r="T312" t="s">
        <v>58</v>
      </c>
      <c r="U312" t="s">
        <v>180</v>
      </c>
      <c r="V312" s="3">
        <v>0.26</v>
      </c>
      <c r="W312" s="2">
        <v>0</v>
      </c>
      <c r="X312">
        <v>-1</v>
      </c>
      <c r="Y312" t="s">
        <v>60</v>
      </c>
      <c r="Z312" t="s">
        <v>182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-33.65</v>
      </c>
      <c r="AN312" s="2">
        <v>-33.65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45943</v>
      </c>
      <c r="B313" t="s">
        <v>48</v>
      </c>
      <c r="C313">
        <v>649163</v>
      </c>
      <c r="D313">
        <v>2028679376</v>
      </c>
      <c r="E313" t="s">
        <v>586</v>
      </c>
      <c r="F313" t="s">
        <v>403</v>
      </c>
      <c r="G313" t="s">
        <v>51</v>
      </c>
      <c r="H313" t="s">
        <v>78</v>
      </c>
      <c r="I313" t="s">
        <v>587</v>
      </c>
      <c r="J313" t="s">
        <v>588</v>
      </c>
      <c r="K313">
        <v>813184</v>
      </c>
      <c r="L313" t="s">
        <v>566</v>
      </c>
      <c r="M313" t="s">
        <v>567</v>
      </c>
      <c r="N313" t="s">
        <v>57</v>
      </c>
      <c r="O313" s="1">
        <v>45778</v>
      </c>
      <c r="Q313" s="1">
        <v>45870</v>
      </c>
      <c r="R313" s="2">
        <v>-129.44</v>
      </c>
      <c r="S313">
        <v>1</v>
      </c>
      <c r="T313" t="s">
        <v>58</v>
      </c>
      <c r="U313" t="s">
        <v>180</v>
      </c>
      <c r="V313" s="3">
        <v>0.26</v>
      </c>
      <c r="W313" s="2">
        <v>0</v>
      </c>
      <c r="X313">
        <v>-1</v>
      </c>
      <c r="Y313" t="s">
        <v>60</v>
      </c>
      <c r="Z313" t="s">
        <v>182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-33.65</v>
      </c>
      <c r="AN313" s="2">
        <v>-33.65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45943</v>
      </c>
      <c r="B314" t="s">
        <v>48</v>
      </c>
      <c r="C314">
        <v>649163</v>
      </c>
      <c r="D314">
        <v>2028679376</v>
      </c>
      <c r="E314" t="s">
        <v>586</v>
      </c>
      <c r="F314" t="s">
        <v>403</v>
      </c>
      <c r="G314" t="s">
        <v>51</v>
      </c>
      <c r="H314" t="s">
        <v>78</v>
      </c>
      <c r="I314" t="s">
        <v>587</v>
      </c>
      <c r="J314" t="s">
        <v>588</v>
      </c>
      <c r="K314">
        <v>813184</v>
      </c>
      <c r="L314" t="s">
        <v>566</v>
      </c>
      <c r="M314" t="s">
        <v>567</v>
      </c>
      <c r="N314" t="s">
        <v>57</v>
      </c>
      <c r="O314" s="1">
        <v>45778</v>
      </c>
      <c r="Q314" s="1">
        <v>45901</v>
      </c>
      <c r="R314" s="2">
        <v>-129.44</v>
      </c>
      <c r="S314">
        <v>1</v>
      </c>
      <c r="T314" t="s">
        <v>58</v>
      </c>
      <c r="U314" t="s">
        <v>180</v>
      </c>
      <c r="V314" s="3">
        <v>0.26</v>
      </c>
      <c r="W314" s="2">
        <v>0</v>
      </c>
      <c r="X314">
        <v>-1</v>
      </c>
      <c r="Y314" t="s">
        <v>60</v>
      </c>
      <c r="Z314" t="s">
        <v>182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-33.65</v>
      </c>
      <c r="AN314" s="2">
        <v>-33.65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45943</v>
      </c>
      <c r="B315" t="s">
        <v>48</v>
      </c>
      <c r="C315">
        <v>649163</v>
      </c>
      <c r="D315">
        <v>2028679376</v>
      </c>
      <c r="E315" t="s">
        <v>586</v>
      </c>
      <c r="F315" t="s">
        <v>403</v>
      </c>
      <c r="G315" t="s">
        <v>51</v>
      </c>
      <c r="H315" t="s">
        <v>78</v>
      </c>
      <c r="I315" t="s">
        <v>587</v>
      </c>
      <c r="J315" t="s">
        <v>588</v>
      </c>
      <c r="K315">
        <v>813184</v>
      </c>
      <c r="L315" t="s">
        <v>566</v>
      </c>
      <c r="M315" t="s">
        <v>567</v>
      </c>
      <c r="N315" t="s">
        <v>57</v>
      </c>
      <c r="O315" s="1">
        <v>45778</v>
      </c>
      <c r="Q315" s="1">
        <v>45931</v>
      </c>
      <c r="R315" s="2">
        <v>-129.44</v>
      </c>
      <c r="S315">
        <v>1</v>
      </c>
      <c r="T315" t="s">
        <v>58</v>
      </c>
      <c r="U315" t="s">
        <v>180</v>
      </c>
      <c r="V315" s="3">
        <v>0.26</v>
      </c>
      <c r="W315" s="2">
        <v>0</v>
      </c>
      <c r="X315">
        <v>-1</v>
      </c>
      <c r="Y315" t="s">
        <v>60</v>
      </c>
      <c r="Z315" t="s">
        <v>182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-33.65</v>
      </c>
      <c r="AN315" s="2">
        <v>-33.65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45943</v>
      </c>
      <c r="B316" t="s">
        <v>48</v>
      </c>
      <c r="C316">
        <v>649163</v>
      </c>
      <c r="D316">
        <v>2028679376</v>
      </c>
      <c r="E316" t="s">
        <v>586</v>
      </c>
      <c r="F316" t="s">
        <v>403</v>
      </c>
      <c r="G316" t="s">
        <v>51</v>
      </c>
      <c r="H316" t="s">
        <v>78</v>
      </c>
      <c r="I316" t="s">
        <v>587</v>
      </c>
      <c r="J316" t="s">
        <v>588</v>
      </c>
      <c r="K316">
        <v>813184</v>
      </c>
      <c r="L316" t="s">
        <v>566</v>
      </c>
      <c r="M316" t="s">
        <v>567</v>
      </c>
      <c r="N316" t="s">
        <v>57</v>
      </c>
      <c r="O316" s="1">
        <v>45778</v>
      </c>
      <c r="Q316" s="1">
        <v>45962</v>
      </c>
      <c r="R316" s="2">
        <v>-129.44</v>
      </c>
      <c r="S316">
        <v>1</v>
      </c>
      <c r="T316" t="s">
        <v>58</v>
      </c>
      <c r="U316" t="s">
        <v>180</v>
      </c>
      <c r="V316" s="3">
        <v>0.26</v>
      </c>
      <c r="W316" s="2">
        <v>0</v>
      </c>
      <c r="X316">
        <v>-1</v>
      </c>
      <c r="Y316" t="s">
        <v>60</v>
      </c>
      <c r="Z316" t="s">
        <v>182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-33.65</v>
      </c>
      <c r="AN316" s="2">
        <v>-33.65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45943</v>
      </c>
      <c r="B317" t="s">
        <v>48</v>
      </c>
      <c r="C317">
        <v>649163</v>
      </c>
      <c r="D317">
        <v>2028679376</v>
      </c>
      <c r="E317" t="s">
        <v>586</v>
      </c>
      <c r="F317" t="s">
        <v>403</v>
      </c>
      <c r="G317" t="s">
        <v>51</v>
      </c>
      <c r="H317" t="s">
        <v>78</v>
      </c>
      <c r="I317" t="s">
        <v>587</v>
      </c>
      <c r="J317" t="s">
        <v>588</v>
      </c>
      <c r="K317">
        <v>813184</v>
      </c>
      <c r="L317" t="s">
        <v>566</v>
      </c>
      <c r="M317" t="s">
        <v>567</v>
      </c>
      <c r="N317" t="s">
        <v>57</v>
      </c>
      <c r="O317" s="1">
        <v>45778</v>
      </c>
      <c r="Q317" s="1">
        <v>45992</v>
      </c>
      <c r="R317" s="2">
        <v>-129.44</v>
      </c>
      <c r="S317">
        <v>1</v>
      </c>
      <c r="T317" t="s">
        <v>58</v>
      </c>
      <c r="U317" t="s">
        <v>180</v>
      </c>
      <c r="V317" s="3">
        <v>0.26</v>
      </c>
      <c r="W317" s="2">
        <v>0</v>
      </c>
      <c r="X317">
        <v>-1</v>
      </c>
      <c r="Y317" t="s">
        <v>60</v>
      </c>
      <c r="Z317" t="s">
        <v>182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-33.65</v>
      </c>
      <c r="AN317" s="2">
        <v>-33.65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45943</v>
      </c>
      <c r="B318" t="s">
        <v>48</v>
      </c>
      <c r="C318">
        <v>649163</v>
      </c>
      <c r="D318">
        <v>2028679376</v>
      </c>
      <c r="E318" t="s">
        <v>586</v>
      </c>
      <c r="F318" t="s">
        <v>403</v>
      </c>
      <c r="G318" t="s">
        <v>51</v>
      </c>
      <c r="H318" t="s">
        <v>78</v>
      </c>
      <c r="I318" t="s">
        <v>587</v>
      </c>
      <c r="J318" t="s">
        <v>588</v>
      </c>
      <c r="K318">
        <v>813184</v>
      </c>
      <c r="L318" t="s">
        <v>566</v>
      </c>
      <c r="M318" t="s">
        <v>567</v>
      </c>
      <c r="N318" t="s">
        <v>57</v>
      </c>
      <c r="O318" s="1">
        <v>45778</v>
      </c>
      <c r="Q318" s="1">
        <v>46023</v>
      </c>
      <c r="R318" s="2">
        <v>-129.44</v>
      </c>
      <c r="S318">
        <v>1</v>
      </c>
      <c r="T318" t="s">
        <v>58</v>
      </c>
      <c r="U318" t="s">
        <v>180</v>
      </c>
      <c r="V318" s="3">
        <v>0.26</v>
      </c>
      <c r="W318" s="2">
        <v>0</v>
      </c>
      <c r="X318">
        <v>-1</v>
      </c>
      <c r="Y318" t="s">
        <v>60</v>
      </c>
      <c r="Z318" t="s">
        <v>182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-33.65</v>
      </c>
      <c r="AN318" s="2">
        <v>-33.65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45943</v>
      </c>
      <c r="B319" t="s">
        <v>48</v>
      </c>
      <c r="C319">
        <v>649163</v>
      </c>
      <c r="D319">
        <v>2028679376</v>
      </c>
      <c r="E319" t="s">
        <v>586</v>
      </c>
      <c r="F319" t="s">
        <v>403</v>
      </c>
      <c r="G319" t="s">
        <v>51</v>
      </c>
      <c r="H319" t="s">
        <v>78</v>
      </c>
      <c r="I319" t="s">
        <v>587</v>
      </c>
      <c r="J319" t="s">
        <v>588</v>
      </c>
      <c r="K319">
        <v>813184</v>
      </c>
      <c r="L319" t="s">
        <v>566</v>
      </c>
      <c r="M319" t="s">
        <v>567</v>
      </c>
      <c r="N319" t="s">
        <v>57</v>
      </c>
      <c r="O319" s="1">
        <v>45778</v>
      </c>
      <c r="Q319" s="1">
        <v>46054</v>
      </c>
      <c r="R319" s="2">
        <v>-129.44</v>
      </c>
      <c r="S319">
        <v>1</v>
      </c>
      <c r="T319" t="s">
        <v>58</v>
      </c>
      <c r="U319" t="s">
        <v>180</v>
      </c>
      <c r="V319" s="3">
        <v>0.26</v>
      </c>
      <c r="W319" s="2">
        <v>0</v>
      </c>
      <c r="X319">
        <v>-1</v>
      </c>
      <c r="Y319" t="s">
        <v>60</v>
      </c>
      <c r="Z319" t="s">
        <v>182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-33.65</v>
      </c>
      <c r="AN319" s="2">
        <v>-33.65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45943</v>
      </c>
      <c r="B320" t="s">
        <v>48</v>
      </c>
      <c r="C320">
        <v>649163</v>
      </c>
      <c r="D320">
        <v>2028679376</v>
      </c>
      <c r="E320" t="s">
        <v>586</v>
      </c>
      <c r="F320" t="s">
        <v>403</v>
      </c>
      <c r="G320" t="s">
        <v>51</v>
      </c>
      <c r="H320" t="s">
        <v>78</v>
      </c>
      <c r="I320" t="s">
        <v>587</v>
      </c>
      <c r="J320" t="s">
        <v>588</v>
      </c>
      <c r="K320">
        <v>813184</v>
      </c>
      <c r="L320" t="s">
        <v>566</v>
      </c>
      <c r="M320" t="s">
        <v>567</v>
      </c>
      <c r="N320" t="s">
        <v>57</v>
      </c>
      <c r="O320" s="1">
        <v>45778</v>
      </c>
      <c r="Q320" s="1">
        <v>46082</v>
      </c>
      <c r="R320" s="2">
        <v>-129.44</v>
      </c>
      <c r="S320">
        <v>1</v>
      </c>
      <c r="T320" t="s">
        <v>58</v>
      </c>
      <c r="U320" t="s">
        <v>180</v>
      </c>
      <c r="V320" s="3">
        <v>0.26</v>
      </c>
      <c r="W320" s="2">
        <v>0</v>
      </c>
      <c r="X320">
        <v>-1</v>
      </c>
      <c r="Y320" t="s">
        <v>60</v>
      </c>
      <c r="Z320" t="s">
        <v>182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-33.65</v>
      </c>
      <c r="AN320" s="2">
        <v>-33.65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45943</v>
      </c>
      <c r="B321" t="s">
        <v>48</v>
      </c>
      <c r="C321">
        <v>649163</v>
      </c>
      <c r="D321">
        <v>2028679376</v>
      </c>
      <c r="E321" t="s">
        <v>586</v>
      </c>
      <c r="F321" t="s">
        <v>403</v>
      </c>
      <c r="G321" t="s">
        <v>51</v>
      </c>
      <c r="H321" t="s">
        <v>78</v>
      </c>
      <c r="I321" t="s">
        <v>587</v>
      </c>
      <c r="J321" t="s">
        <v>588</v>
      </c>
      <c r="K321">
        <v>813184</v>
      </c>
      <c r="L321" t="s">
        <v>566</v>
      </c>
      <c r="M321" t="s">
        <v>567</v>
      </c>
      <c r="N321" t="s">
        <v>57</v>
      </c>
      <c r="O321" s="1">
        <v>45778</v>
      </c>
      <c r="Q321" s="1">
        <v>46113</v>
      </c>
      <c r="R321" s="2">
        <v>-129.44</v>
      </c>
      <c r="S321">
        <v>1</v>
      </c>
      <c r="T321" t="s">
        <v>58</v>
      </c>
      <c r="U321" t="s">
        <v>180</v>
      </c>
      <c r="V321" s="3">
        <v>0.26</v>
      </c>
      <c r="W321" s="2">
        <v>0</v>
      </c>
      <c r="X321">
        <v>-1</v>
      </c>
      <c r="Y321" t="s">
        <v>60</v>
      </c>
      <c r="Z321" t="s">
        <v>182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-33.65</v>
      </c>
      <c r="AN321" s="2">
        <v>-33.65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45943</v>
      </c>
      <c r="B322" t="s">
        <v>48</v>
      </c>
      <c r="C322">
        <v>649163</v>
      </c>
      <c r="D322">
        <v>2028679376</v>
      </c>
      <c r="E322" t="s">
        <v>586</v>
      </c>
      <c r="F322" t="s">
        <v>403</v>
      </c>
      <c r="G322" t="s">
        <v>51</v>
      </c>
      <c r="H322" t="s">
        <v>78</v>
      </c>
      <c r="I322" t="s">
        <v>587</v>
      </c>
      <c r="J322" t="s">
        <v>588</v>
      </c>
      <c r="K322">
        <v>813184</v>
      </c>
      <c r="L322" t="s">
        <v>566</v>
      </c>
      <c r="M322" t="s">
        <v>567</v>
      </c>
      <c r="N322" t="s">
        <v>57</v>
      </c>
      <c r="O322" s="1">
        <v>45778</v>
      </c>
      <c r="Q322" s="1">
        <v>46143</v>
      </c>
      <c r="R322" s="2">
        <v>-129.44</v>
      </c>
      <c r="S322">
        <v>1</v>
      </c>
      <c r="T322" t="s">
        <v>58</v>
      </c>
      <c r="U322" t="s">
        <v>180</v>
      </c>
      <c r="V322" s="3">
        <v>0.26</v>
      </c>
      <c r="W322" s="2">
        <v>0</v>
      </c>
      <c r="X322">
        <v>-1</v>
      </c>
      <c r="Y322" t="s">
        <v>60</v>
      </c>
      <c r="Z322" t="s">
        <v>182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-33.65</v>
      </c>
      <c r="AN322" s="2">
        <v>-33.65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45943</v>
      </c>
      <c r="B323" t="s">
        <v>48</v>
      </c>
      <c r="D323">
        <v>2016819082</v>
      </c>
      <c r="E323" t="s">
        <v>589</v>
      </c>
      <c r="F323" t="s">
        <v>590</v>
      </c>
      <c r="G323" t="s">
        <v>51</v>
      </c>
      <c r="H323" t="s">
        <v>52</v>
      </c>
      <c r="I323" t="s">
        <v>116</v>
      </c>
      <c r="J323" t="s">
        <v>117</v>
      </c>
      <c r="L323" t="s">
        <v>55</v>
      </c>
      <c r="M323" t="s">
        <v>178</v>
      </c>
      <c r="N323" t="s">
        <v>57</v>
      </c>
      <c r="O323" s="1">
        <v>44880</v>
      </c>
      <c r="Q323" s="1">
        <v>45976</v>
      </c>
      <c r="R323" s="2">
        <v>25.73</v>
      </c>
      <c r="S323">
        <v>1</v>
      </c>
      <c r="T323" t="s">
        <v>58</v>
      </c>
      <c r="U323" t="s">
        <v>180</v>
      </c>
      <c r="V323" s="3">
        <v>0.15</v>
      </c>
      <c r="W323" s="2">
        <v>0</v>
      </c>
      <c r="X323">
        <v>0</v>
      </c>
      <c r="Y323" t="s">
        <v>181</v>
      </c>
      <c r="Z323" t="s">
        <v>182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3.86</v>
      </c>
      <c r="AN323" s="2">
        <v>3.86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45943</v>
      </c>
      <c r="B324" t="s">
        <v>48</v>
      </c>
      <c r="C324">
        <v>649163</v>
      </c>
      <c r="D324">
        <v>2016921676</v>
      </c>
      <c r="E324" t="s">
        <v>173</v>
      </c>
      <c r="F324" t="s">
        <v>174</v>
      </c>
      <c r="G324" t="s">
        <v>51</v>
      </c>
      <c r="H324" t="s">
        <v>175</v>
      </c>
      <c r="I324" t="s">
        <v>116</v>
      </c>
      <c r="J324" t="s">
        <v>591</v>
      </c>
      <c r="K324">
        <v>649793</v>
      </c>
      <c r="L324" t="s">
        <v>55</v>
      </c>
      <c r="M324" t="s">
        <v>178</v>
      </c>
      <c r="N324" t="s">
        <v>179</v>
      </c>
      <c r="O324" s="1">
        <v>44927</v>
      </c>
      <c r="P324" s="1">
        <v>45936</v>
      </c>
      <c r="Q324" s="1">
        <v>45962</v>
      </c>
      <c r="R324" s="2">
        <v>-26.59</v>
      </c>
      <c r="S324">
        <v>1</v>
      </c>
      <c r="T324" t="s">
        <v>58</v>
      </c>
      <c r="U324" t="s">
        <v>180</v>
      </c>
      <c r="V324" s="3">
        <v>0.15</v>
      </c>
      <c r="W324" s="2">
        <v>0</v>
      </c>
      <c r="X324">
        <v>-1</v>
      </c>
      <c r="Y324" t="s">
        <v>181</v>
      </c>
      <c r="Z324" t="s">
        <v>182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-3.99</v>
      </c>
      <c r="AN324" s="2">
        <v>-3.99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45943</v>
      </c>
      <c r="B325" t="s">
        <v>48</v>
      </c>
      <c r="C325">
        <v>649163</v>
      </c>
      <c r="D325">
        <v>2017630350</v>
      </c>
      <c r="E325" t="s">
        <v>592</v>
      </c>
      <c r="F325" t="s">
        <v>492</v>
      </c>
      <c r="G325" t="s">
        <v>51</v>
      </c>
      <c r="H325" t="s">
        <v>52</v>
      </c>
      <c r="I325" t="s">
        <v>116</v>
      </c>
      <c r="J325" t="s">
        <v>125</v>
      </c>
      <c r="K325">
        <v>649793</v>
      </c>
      <c r="L325" t="s">
        <v>55</v>
      </c>
      <c r="M325" t="s">
        <v>178</v>
      </c>
      <c r="N325" t="s">
        <v>57</v>
      </c>
      <c r="O325" s="1">
        <v>45001</v>
      </c>
      <c r="Q325" s="1">
        <v>45977</v>
      </c>
      <c r="R325" s="2">
        <v>140.25</v>
      </c>
      <c r="S325">
        <v>1</v>
      </c>
      <c r="T325" t="s">
        <v>58</v>
      </c>
      <c r="U325" t="s">
        <v>180</v>
      </c>
      <c r="V325" s="3">
        <v>0.15</v>
      </c>
      <c r="W325" s="2">
        <v>0</v>
      </c>
      <c r="X325">
        <v>0</v>
      </c>
      <c r="Y325" t="s">
        <v>181</v>
      </c>
      <c r="Z325" t="s">
        <v>182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21.04</v>
      </c>
      <c r="AN325" s="2">
        <v>21.04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45943</v>
      </c>
      <c r="B326" t="s">
        <v>48</v>
      </c>
      <c r="D326">
        <v>2017683724</v>
      </c>
      <c r="E326" t="s">
        <v>397</v>
      </c>
      <c r="F326" t="s">
        <v>398</v>
      </c>
      <c r="G326" t="s">
        <v>51</v>
      </c>
      <c r="H326" t="s">
        <v>225</v>
      </c>
      <c r="I326" t="s">
        <v>116</v>
      </c>
      <c r="J326" t="s">
        <v>117</v>
      </c>
      <c r="L326" t="s">
        <v>55</v>
      </c>
      <c r="M326" t="s">
        <v>178</v>
      </c>
      <c r="N326" t="s">
        <v>57</v>
      </c>
      <c r="O326" s="1">
        <v>44974</v>
      </c>
      <c r="Q326" s="1">
        <v>45978</v>
      </c>
      <c r="R326" s="2">
        <v>25.73</v>
      </c>
      <c r="S326">
        <v>1</v>
      </c>
      <c r="T326" t="s">
        <v>58</v>
      </c>
      <c r="U326" t="s">
        <v>180</v>
      </c>
      <c r="V326" s="3">
        <v>0.15</v>
      </c>
      <c r="W326" s="2">
        <v>0</v>
      </c>
      <c r="X326">
        <v>0</v>
      </c>
      <c r="Y326" t="s">
        <v>181</v>
      </c>
      <c r="Z326" t="s">
        <v>182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3.86</v>
      </c>
      <c r="AN326" s="2">
        <v>3.86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45943</v>
      </c>
      <c r="B327" t="s">
        <v>48</v>
      </c>
      <c r="C327">
        <v>649163</v>
      </c>
      <c r="D327">
        <v>2018351025</v>
      </c>
      <c r="E327" t="s">
        <v>593</v>
      </c>
      <c r="F327" t="s">
        <v>161</v>
      </c>
      <c r="G327" t="s">
        <v>51</v>
      </c>
      <c r="H327" t="s">
        <v>185</v>
      </c>
      <c r="I327" t="s">
        <v>116</v>
      </c>
      <c r="J327" t="s">
        <v>120</v>
      </c>
      <c r="K327">
        <v>651818</v>
      </c>
      <c r="L327" t="s">
        <v>260</v>
      </c>
      <c r="M327" t="s">
        <v>261</v>
      </c>
      <c r="N327" t="s">
        <v>57</v>
      </c>
      <c r="O327" s="1">
        <v>45030</v>
      </c>
      <c r="Q327" s="1">
        <v>45975</v>
      </c>
      <c r="R327" s="2">
        <v>29.25</v>
      </c>
      <c r="S327">
        <v>1</v>
      </c>
      <c r="T327" t="s">
        <v>58</v>
      </c>
      <c r="U327" t="s">
        <v>180</v>
      </c>
      <c r="V327" s="3">
        <v>0.1</v>
      </c>
      <c r="W327" s="2">
        <v>0</v>
      </c>
      <c r="X327">
        <v>0</v>
      </c>
      <c r="Y327" t="s">
        <v>181</v>
      </c>
      <c r="Z327" t="s">
        <v>182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2.92</v>
      </c>
      <c r="AN327" s="2">
        <v>2.92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45943</v>
      </c>
      <c r="B328" t="s">
        <v>48</v>
      </c>
      <c r="C328">
        <v>649163</v>
      </c>
      <c r="D328">
        <v>2019319907</v>
      </c>
      <c r="E328" t="s">
        <v>594</v>
      </c>
      <c r="F328" t="s">
        <v>265</v>
      </c>
      <c r="G328" t="s">
        <v>51</v>
      </c>
      <c r="H328" t="s">
        <v>130</v>
      </c>
      <c r="I328" t="s">
        <v>116</v>
      </c>
      <c r="J328" t="s">
        <v>120</v>
      </c>
      <c r="K328">
        <v>651818</v>
      </c>
      <c r="L328" t="s">
        <v>260</v>
      </c>
      <c r="M328" t="s">
        <v>261</v>
      </c>
      <c r="N328" t="s">
        <v>57</v>
      </c>
      <c r="O328" s="1">
        <v>45118</v>
      </c>
      <c r="Q328" s="1">
        <v>45972</v>
      </c>
      <c r="R328" s="2">
        <v>32.58</v>
      </c>
      <c r="S328">
        <v>1</v>
      </c>
      <c r="T328" t="s">
        <v>58</v>
      </c>
      <c r="U328" t="s">
        <v>180</v>
      </c>
      <c r="V328" s="3">
        <v>0.1</v>
      </c>
      <c r="W328" s="2">
        <v>0</v>
      </c>
      <c r="X328">
        <v>0</v>
      </c>
      <c r="Y328" t="s">
        <v>181</v>
      </c>
      <c r="Z328" t="s">
        <v>182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3.26</v>
      </c>
      <c r="AN328" s="2">
        <v>3.26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45943</v>
      </c>
      <c r="B329" t="s">
        <v>48</v>
      </c>
      <c r="D329">
        <v>2020174612</v>
      </c>
      <c r="E329" t="s">
        <v>220</v>
      </c>
      <c r="F329" t="s">
        <v>221</v>
      </c>
      <c r="G329" t="s">
        <v>51</v>
      </c>
      <c r="H329" t="s">
        <v>119</v>
      </c>
      <c r="I329" t="s">
        <v>116</v>
      </c>
      <c r="J329" t="s">
        <v>117</v>
      </c>
      <c r="L329" t="s">
        <v>222</v>
      </c>
      <c r="M329" t="s">
        <v>223</v>
      </c>
      <c r="N329" t="s">
        <v>57</v>
      </c>
      <c r="O329" s="1">
        <v>45214</v>
      </c>
      <c r="Q329" s="1">
        <v>45976</v>
      </c>
      <c r="R329" s="2">
        <v>24.61</v>
      </c>
      <c r="S329">
        <v>1</v>
      </c>
      <c r="T329" t="s">
        <v>58</v>
      </c>
      <c r="U329" t="s">
        <v>180</v>
      </c>
      <c r="V329" s="3">
        <v>0.15</v>
      </c>
      <c r="W329" s="2">
        <v>0</v>
      </c>
      <c r="X329">
        <v>0</v>
      </c>
      <c r="Y329" t="s">
        <v>181</v>
      </c>
      <c r="Z329" t="s">
        <v>182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3.69</v>
      </c>
      <c r="AN329" s="2">
        <v>3.69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45943</v>
      </c>
      <c r="B330" t="s">
        <v>48</v>
      </c>
      <c r="D330">
        <v>2020780791</v>
      </c>
      <c r="E330" t="s">
        <v>595</v>
      </c>
      <c r="F330" t="s">
        <v>596</v>
      </c>
      <c r="G330" t="s">
        <v>51</v>
      </c>
      <c r="H330" t="s">
        <v>78</v>
      </c>
      <c r="I330" t="s">
        <v>116</v>
      </c>
      <c r="J330" t="s">
        <v>117</v>
      </c>
      <c r="L330" t="s">
        <v>260</v>
      </c>
      <c r="M330" t="s">
        <v>261</v>
      </c>
      <c r="N330" t="s">
        <v>57</v>
      </c>
      <c r="O330" s="1">
        <v>45245</v>
      </c>
      <c r="Q330" s="1">
        <v>45976</v>
      </c>
      <c r="R330" s="2">
        <v>25.73</v>
      </c>
      <c r="S330">
        <v>1</v>
      </c>
      <c r="T330" t="s">
        <v>58</v>
      </c>
      <c r="U330" t="s">
        <v>180</v>
      </c>
      <c r="V330" s="3">
        <v>0.15</v>
      </c>
      <c r="W330" s="2">
        <v>0</v>
      </c>
      <c r="X330">
        <v>0</v>
      </c>
      <c r="Y330" t="s">
        <v>181</v>
      </c>
      <c r="Z330" t="s">
        <v>182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3.86</v>
      </c>
      <c r="AN330" s="2">
        <v>3.86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45943</v>
      </c>
      <c r="B331" t="s">
        <v>48</v>
      </c>
      <c r="C331">
        <v>649163</v>
      </c>
      <c r="D331">
        <v>2020780792</v>
      </c>
      <c r="E331" t="s">
        <v>595</v>
      </c>
      <c r="F331" t="s">
        <v>596</v>
      </c>
      <c r="G331" t="s">
        <v>51</v>
      </c>
      <c r="H331" t="s">
        <v>78</v>
      </c>
      <c r="I331" t="s">
        <v>116</v>
      </c>
      <c r="J331" t="s">
        <v>120</v>
      </c>
      <c r="K331">
        <v>651818</v>
      </c>
      <c r="L331" t="s">
        <v>260</v>
      </c>
      <c r="M331" t="s">
        <v>261</v>
      </c>
      <c r="N331" t="s">
        <v>57</v>
      </c>
      <c r="O331" s="1">
        <v>45245</v>
      </c>
      <c r="Q331" s="1">
        <v>45976</v>
      </c>
      <c r="R331" s="2">
        <v>51.63</v>
      </c>
      <c r="S331">
        <v>1</v>
      </c>
      <c r="T331" t="s">
        <v>58</v>
      </c>
      <c r="U331" t="s">
        <v>180</v>
      </c>
      <c r="V331" s="3">
        <v>0.1</v>
      </c>
      <c r="W331" s="2">
        <v>0</v>
      </c>
      <c r="X331">
        <v>0</v>
      </c>
      <c r="Y331" t="s">
        <v>181</v>
      </c>
      <c r="Z331" t="s">
        <v>182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5.16</v>
      </c>
      <c r="AN331" s="2">
        <v>5.16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45943</v>
      </c>
      <c r="B332" t="s">
        <v>48</v>
      </c>
      <c r="C332">
        <v>649163</v>
      </c>
      <c r="D332">
        <v>2022254780</v>
      </c>
      <c r="E332" t="s">
        <v>224</v>
      </c>
      <c r="F332" t="s">
        <v>192</v>
      </c>
      <c r="G332" t="s">
        <v>51</v>
      </c>
      <c r="H332" t="s">
        <v>225</v>
      </c>
      <c r="I332" t="s">
        <v>116</v>
      </c>
      <c r="J332" t="s">
        <v>125</v>
      </c>
      <c r="K332">
        <v>673059</v>
      </c>
      <c r="L332" t="s">
        <v>55</v>
      </c>
      <c r="M332" t="s">
        <v>56</v>
      </c>
      <c r="N332" t="s">
        <v>57</v>
      </c>
      <c r="O332" s="1">
        <v>45364</v>
      </c>
      <c r="Q332" s="1">
        <v>45974</v>
      </c>
      <c r="R332" s="2">
        <v>54.66</v>
      </c>
      <c r="S332">
        <v>1</v>
      </c>
      <c r="T332" t="s">
        <v>58</v>
      </c>
      <c r="U332" t="s">
        <v>180</v>
      </c>
      <c r="V332" s="3">
        <v>0.15</v>
      </c>
      <c r="W332" s="2">
        <v>0</v>
      </c>
      <c r="X332">
        <v>0</v>
      </c>
      <c r="Y332" t="s">
        <v>181</v>
      </c>
      <c r="Z332" t="s">
        <v>182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8.1999999999999993</v>
      </c>
      <c r="AN332" s="2">
        <v>8.1999999999999993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45943</v>
      </c>
      <c r="B333" t="s">
        <v>48</v>
      </c>
      <c r="C333">
        <v>649163</v>
      </c>
      <c r="D333">
        <v>2023780744</v>
      </c>
      <c r="E333" t="s">
        <v>597</v>
      </c>
      <c r="F333" t="s">
        <v>598</v>
      </c>
      <c r="G333" t="s">
        <v>51</v>
      </c>
      <c r="H333" t="s">
        <v>78</v>
      </c>
      <c r="I333" t="s">
        <v>116</v>
      </c>
      <c r="J333" t="s">
        <v>125</v>
      </c>
      <c r="K333">
        <v>757719</v>
      </c>
      <c r="L333" t="s">
        <v>547</v>
      </c>
      <c r="M333" t="s">
        <v>165</v>
      </c>
      <c r="N333" t="s">
        <v>57</v>
      </c>
      <c r="O333" s="1">
        <v>45476</v>
      </c>
      <c r="Q333" s="1">
        <v>45964</v>
      </c>
      <c r="R333" s="2">
        <v>-13.69</v>
      </c>
      <c r="S333">
        <v>1</v>
      </c>
      <c r="T333" t="s">
        <v>58</v>
      </c>
      <c r="U333" t="s">
        <v>180</v>
      </c>
      <c r="V333" s="3">
        <v>0.15</v>
      </c>
      <c r="W333" s="2">
        <v>0</v>
      </c>
      <c r="X333">
        <v>-1</v>
      </c>
      <c r="Y333" t="s">
        <v>181</v>
      </c>
      <c r="Z333" t="s">
        <v>182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-2.0499999999999998</v>
      </c>
      <c r="AN333" s="2">
        <v>-2.0499999999999998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45943</v>
      </c>
      <c r="B334" t="s">
        <v>48</v>
      </c>
      <c r="C334">
        <v>649163</v>
      </c>
      <c r="D334">
        <v>2023911658</v>
      </c>
      <c r="E334" t="s">
        <v>599</v>
      </c>
      <c r="F334" t="s">
        <v>600</v>
      </c>
      <c r="G334" t="s">
        <v>51</v>
      </c>
      <c r="H334" t="s">
        <v>601</v>
      </c>
      <c r="I334" t="s">
        <v>116</v>
      </c>
      <c r="J334" t="s">
        <v>120</v>
      </c>
      <c r="K334">
        <v>673059</v>
      </c>
      <c r="L334" t="s">
        <v>55</v>
      </c>
      <c r="M334" t="s">
        <v>56</v>
      </c>
      <c r="N334" t="s">
        <v>57</v>
      </c>
      <c r="O334" s="1">
        <v>45486</v>
      </c>
      <c r="Q334" s="1">
        <v>45974</v>
      </c>
      <c r="R334" s="2">
        <v>150.63</v>
      </c>
      <c r="S334">
        <v>1</v>
      </c>
      <c r="T334" t="s">
        <v>58</v>
      </c>
      <c r="U334" t="s">
        <v>180</v>
      </c>
      <c r="V334" s="3">
        <v>0.1</v>
      </c>
      <c r="W334" s="2">
        <v>0</v>
      </c>
      <c r="X334">
        <v>0</v>
      </c>
      <c r="Y334" t="s">
        <v>181</v>
      </c>
      <c r="Z334" t="s">
        <v>182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15.06</v>
      </c>
      <c r="AN334" s="2">
        <v>15.06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45943</v>
      </c>
      <c r="B335" t="s">
        <v>48</v>
      </c>
      <c r="C335">
        <v>649163</v>
      </c>
      <c r="D335">
        <v>2024356429</v>
      </c>
      <c r="E335" t="s">
        <v>408</v>
      </c>
      <c r="F335" t="s">
        <v>409</v>
      </c>
      <c r="G335" t="s">
        <v>51</v>
      </c>
      <c r="H335" t="s">
        <v>78</v>
      </c>
      <c r="I335" t="s">
        <v>116</v>
      </c>
      <c r="J335" t="s">
        <v>125</v>
      </c>
      <c r="K335">
        <v>767312</v>
      </c>
      <c r="L335" t="s">
        <v>147</v>
      </c>
      <c r="M335" t="s">
        <v>148</v>
      </c>
      <c r="N335" t="s">
        <v>57</v>
      </c>
      <c r="O335" s="1">
        <v>45517</v>
      </c>
      <c r="Q335" s="1">
        <v>45974</v>
      </c>
      <c r="R335" s="2">
        <v>28.9</v>
      </c>
      <c r="S335">
        <v>1</v>
      </c>
      <c r="T335" t="s">
        <v>58</v>
      </c>
      <c r="U335" t="s">
        <v>180</v>
      </c>
      <c r="V335" s="3">
        <v>0.15</v>
      </c>
      <c r="W335" s="2">
        <v>0</v>
      </c>
      <c r="X335">
        <v>0</v>
      </c>
      <c r="Y335" t="s">
        <v>181</v>
      </c>
      <c r="Z335" t="s">
        <v>182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4.34</v>
      </c>
      <c r="AN335" s="2">
        <v>4.34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45943</v>
      </c>
      <c r="B336" t="s">
        <v>48</v>
      </c>
      <c r="C336">
        <v>649163</v>
      </c>
      <c r="D336">
        <v>2024425643</v>
      </c>
      <c r="E336" t="s">
        <v>199</v>
      </c>
      <c r="F336" t="s">
        <v>200</v>
      </c>
      <c r="G336" t="s">
        <v>51</v>
      </c>
      <c r="H336" t="s">
        <v>107</v>
      </c>
      <c r="I336" t="s">
        <v>116</v>
      </c>
      <c r="J336" t="s">
        <v>125</v>
      </c>
      <c r="K336">
        <v>673059</v>
      </c>
      <c r="L336" t="s">
        <v>55</v>
      </c>
      <c r="M336" t="s">
        <v>56</v>
      </c>
      <c r="N336" t="s">
        <v>57</v>
      </c>
      <c r="O336" s="1">
        <v>45521</v>
      </c>
      <c r="Q336" s="1">
        <v>45978</v>
      </c>
      <c r="R336" s="2">
        <v>88.88</v>
      </c>
      <c r="S336">
        <v>1</v>
      </c>
      <c r="T336" t="s">
        <v>58</v>
      </c>
      <c r="U336" t="s">
        <v>180</v>
      </c>
      <c r="V336" s="3">
        <v>0.15</v>
      </c>
      <c r="W336" s="2">
        <v>0</v>
      </c>
      <c r="X336">
        <v>0</v>
      </c>
      <c r="Y336" t="s">
        <v>181</v>
      </c>
      <c r="Z336" t="s">
        <v>182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13.33</v>
      </c>
      <c r="AN336" s="2">
        <v>13.33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45943</v>
      </c>
      <c r="B337" t="s">
        <v>48</v>
      </c>
      <c r="C337">
        <v>649163</v>
      </c>
      <c r="D337">
        <v>2024425644</v>
      </c>
      <c r="E337" t="s">
        <v>199</v>
      </c>
      <c r="F337" t="s">
        <v>200</v>
      </c>
      <c r="G337" t="s">
        <v>51</v>
      </c>
      <c r="H337" t="s">
        <v>107</v>
      </c>
      <c r="I337" t="s">
        <v>116</v>
      </c>
      <c r="J337" t="s">
        <v>117</v>
      </c>
      <c r="K337">
        <v>673059</v>
      </c>
      <c r="L337" t="s">
        <v>55</v>
      </c>
      <c r="M337" t="s">
        <v>56</v>
      </c>
      <c r="N337" t="s">
        <v>57</v>
      </c>
      <c r="O337" s="1">
        <v>45521</v>
      </c>
      <c r="Q337" s="1">
        <v>45978</v>
      </c>
      <c r="R337" s="2">
        <v>8.3699999999999992</v>
      </c>
      <c r="S337">
        <v>1</v>
      </c>
      <c r="T337" t="s">
        <v>58</v>
      </c>
      <c r="U337" t="s">
        <v>180</v>
      </c>
      <c r="V337" s="3">
        <v>0.15</v>
      </c>
      <c r="W337" s="2">
        <v>0</v>
      </c>
      <c r="X337">
        <v>0</v>
      </c>
      <c r="Y337" t="s">
        <v>181</v>
      </c>
      <c r="Z337" t="s">
        <v>182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1.26</v>
      </c>
      <c r="AN337" s="2">
        <v>1.26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45943</v>
      </c>
      <c r="B338" t="s">
        <v>48</v>
      </c>
      <c r="C338">
        <v>649163</v>
      </c>
      <c r="D338">
        <v>2024530409</v>
      </c>
      <c r="E338" t="s">
        <v>484</v>
      </c>
      <c r="F338" t="s">
        <v>485</v>
      </c>
      <c r="G338" t="s">
        <v>51</v>
      </c>
      <c r="H338" t="s">
        <v>78</v>
      </c>
      <c r="I338" t="s">
        <v>116</v>
      </c>
      <c r="J338" t="s">
        <v>125</v>
      </c>
      <c r="K338">
        <v>766747</v>
      </c>
      <c r="L338" t="s">
        <v>477</v>
      </c>
      <c r="M338" t="s">
        <v>159</v>
      </c>
      <c r="N338" t="s">
        <v>179</v>
      </c>
      <c r="O338" s="1">
        <v>45541</v>
      </c>
      <c r="P338" s="1">
        <v>45943</v>
      </c>
      <c r="Q338" s="1">
        <v>45967</v>
      </c>
      <c r="R338" s="2">
        <v>-109.45</v>
      </c>
      <c r="S338">
        <v>1</v>
      </c>
      <c r="T338" t="s">
        <v>58</v>
      </c>
      <c r="U338" t="s">
        <v>180</v>
      </c>
      <c r="V338" s="3">
        <v>0.15</v>
      </c>
      <c r="W338" s="2">
        <v>0</v>
      </c>
      <c r="X338">
        <v>-1</v>
      </c>
      <c r="Y338" t="s">
        <v>181</v>
      </c>
      <c r="Z338" t="s">
        <v>182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-16.420000000000002</v>
      </c>
      <c r="AN338" s="2">
        <v>-16.420000000000002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45943</v>
      </c>
      <c r="B339" t="s">
        <v>48</v>
      </c>
      <c r="C339">
        <v>649163</v>
      </c>
      <c r="D339">
        <v>2024573703</v>
      </c>
      <c r="E339" t="s">
        <v>226</v>
      </c>
      <c r="F339" t="s">
        <v>227</v>
      </c>
      <c r="G339" t="s">
        <v>51</v>
      </c>
      <c r="H339" t="s">
        <v>228</v>
      </c>
      <c r="I339" t="s">
        <v>116</v>
      </c>
      <c r="J339" t="s">
        <v>125</v>
      </c>
      <c r="K339">
        <v>767312</v>
      </c>
      <c r="L339" t="s">
        <v>147</v>
      </c>
      <c r="M339" t="s">
        <v>148</v>
      </c>
      <c r="N339" t="s">
        <v>179</v>
      </c>
      <c r="O339" s="1">
        <v>45536</v>
      </c>
      <c r="P339" s="1">
        <v>45936</v>
      </c>
      <c r="Q339" s="1">
        <v>45962</v>
      </c>
      <c r="R339" s="2">
        <v>-194.5</v>
      </c>
      <c r="S339">
        <v>1</v>
      </c>
      <c r="T339" t="s">
        <v>58</v>
      </c>
      <c r="U339" t="s">
        <v>180</v>
      </c>
      <c r="V339" s="3">
        <v>0.15</v>
      </c>
      <c r="W339" s="2">
        <v>0</v>
      </c>
      <c r="X339">
        <v>-1</v>
      </c>
      <c r="Y339" t="s">
        <v>181</v>
      </c>
      <c r="Z339" t="s">
        <v>182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-29.18</v>
      </c>
      <c r="AN339" s="2">
        <v>-29.18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45943</v>
      </c>
      <c r="B340" t="s">
        <v>48</v>
      </c>
      <c r="C340">
        <v>649163</v>
      </c>
      <c r="D340">
        <v>2024680807</v>
      </c>
      <c r="E340" t="s">
        <v>360</v>
      </c>
      <c r="F340" t="s">
        <v>361</v>
      </c>
      <c r="G340" t="s">
        <v>51</v>
      </c>
      <c r="H340" t="s">
        <v>91</v>
      </c>
      <c r="I340" t="s">
        <v>116</v>
      </c>
      <c r="J340" t="s">
        <v>125</v>
      </c>
      <c r="K340">
        <v>767312</v>
      </c>
      <c r="L340" t="s">
        <v>147</v>
      </c>
      <c r="M340" t="s">
        <v>148</v>
      </c>
      <c r="N340" t="s">
        <v>179</v>
      </c>
      <c r="O340" s="1">
        <v>45575</v>
      </c>
      <c r="P340" s="1">
        <v>45943</v>
      </c>
      <c r="Q340" s="1">
        <v>45971</v>
      </c>
      <c r="R340" s="2">
        <v>-89.52</v>
      </c>
      <c r="S340">
        <v>1</v>
      </c>
      <c r="T340" t="s">
        <v>58</v>
      </c>
      <c r="U340" t="s">
        <v>180</v>
      </c>
      <c r="V340" s="3">
        <v>0.15</v>
      </c>
      <c r="W340" s="2">
        <v>0</v>
      </c>
      <c r="X340">
        <v>-1</v>
      </c>
      <c r="Y340" t="s">
        <v>181</v>
      </c>
      <c r="Z340" t="s">
        <v>182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-13.43</v>
      </c>
      <c r="AN340" s="2">
        <v>-13.43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45943</v>
      </c>
      <c r="B341" t="s">
        <v>48</v>
      </c>
      <c r="C341">
        <v>649163</v>
      </c>
      <c r="D341">
        <v>2024815771</v>
      </c>
      <c r="E341" t="s">
        <v>602</v>
      </c>
      <c r="F341" t="s">
        <v>603</v>
      </c>
      <c r="G341" t="s">
        <v>51</v>
      </c>
      <c r="H341" t="s">
        <v>78</v>
      </c>
      <c r="I341" t="s">
        <v>116</v>
      </c>
      <c r="J341" t="s">
        <v>125</v>
      </c>
      <c r="K341">
        <v>673059</v>
      </c>
      <c r="L341" t="s">
        <v>55</v>
      </c>
      <c r="M341" t="s">
        <v>56</v>
      </c>
      <c r="N341" t="s">
        <v>57</v>
      </c>
      <c r="O341" s="1">
        <v>45547</v>
      </c>
      <c r="Q341" s="1">
        <v>45973</v>
      </c>
      <c r="R341" s="2">
        <v>51</v>
      </c>
      <c r="S341">
        <v>1</v>
      </c>
      <c r="T341" t="s">
        <v>58</v>
      </c>
      <c r="U341" t="s">
        <v>180</v>
      </c>
      <c r="V341" s="3">
        <v>0.15</v>
      </c>
      <c r="W341" s="2">
        <v>0</v>
      </c>
      <c r="X341">
        <v>0</v>
      </c>
      <c r="Y341" t="s">
        <v>181</v>
      </c>
      <c r="Z341" t="s">
        <v>182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7.65</v>
      </c>
      <c r="AN341" s="2">
        <v>7.65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45943</v>
      </c>
      <c r="B342" t="s">
        <v>48</v>
      </c>
      <c r="C342">
        <v>649163</v>
      </c>
      <c r="D342">
        <v>2024834572</v>
      </c>
      <c r="E342" t="s">
        <v>229</v>
      </c>
      <c r="F342" t="s">
        <v>194</v>
      </c>
      <c r="G342" t="s">
        <v>51</v>
      </c>
      <c r="H342" t="s">
        <v>102</v>
      </c>
      <c r="I342" t="s">
        <v>116</v>
      </c>
      <c r="J342" t="s">
        <v>125</v>
      </c>
      <c r="K342">
        <v>767312</v>
      </c>
      <c r="L342" t="s">
        <v>147</v>
      </c>
      <c r="M342" t="s">
        <v>148</v>
      </c>
      <c r="N342" t="s">
        <v>57</v>
      </c>
      <c r="O342" s="1">
        <v>45549</v>
      </c>
      <c r="Q342" s="1">
        <v>45975</v>
      </c>
      <c r="R342" s="2">
        <v>87.77</v>
      </c>
      <c r="S342">
        <v>1</v>
      </c>
      <c r="T342" t="s">
        <v>58</v>
      </c>
      <c r="U342" t="s">
        <v>180</v>
      </c>
      <c r="V342" s="3">
        <v>0.15</v>
      </c>
      <c r="W342" s="2">
        <v>0</v>
      </c>
      <c r="X342">
        <v>0</v>
      </c>
      <c r="Y342" t="s">
        <v>181</v>
      </c>
      <c r="Z342" t="s">
        <v>182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13.17</v>
      </c>
      <c r="AN342" s="2">
        <v>13.17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45943</v>
      </c>
      <c r="B343" t="s">
        <v>48</v>
      </c>
      <c r="C343">
        <v>649163</v>
      </c>
      <c r="D343">
        <v>2024853075</v>
      </c>
      <c r="E343" t="s">
        <v>362</v>
      </c>
      <c r="F343" t="s">
        <v>363</v>
      </c>
      <c r="G343" t="s">
        <v>51</v>
      </c>
      <c r="H343" t="s">
        <v>225</v>
      </c>
      <c r="I343" t="s">
        <v>116</v>
      </c>
      <c r="J343" t="s">
        <v>125</v>
      </c>
      <c r="K343">
        <v>650218</v>
      </c>
      <c r="L343" t="s">
        <v>195</v>
      </c>
      <c r="M343" t="s">
        <v>196</v>
      </c>
      <c r="N343" t="s">
        <v>57</v>
      </c>
      <c r="O343" s="1">
        <v>45550</v>
      </c>
      <c r="Q343" s="1">
        <v>45976</v>
      </c>
      <c r="R343" s="2">
        <v>18.920000000000002</v>
      </c>
      <c r="S343">
        <v>1</v>
      </c>
      <c r="T343" t="s">
        <v>58</v>
      </c>
      <c r="U343" t="s">
        <v>180</v>
      </c>
      <c r="V343" s="3">
        <v>0.15</v>
      </c>
      <c r="W343" s="2">
        <v>0</v>
      </c>
      <c r="X343">
        <v>0</v>
      </c>
      <c r="Y343" t="s">
        <v>181</v>
      </c>
      <c r="Z343" t="s">
        <v>182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2.84</v>
      </c>
      <c r="AN343" s="2">
        <v>2.84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45943</v>
      </c>
      <c r="B344" t="s">
        <v>48</v>
      </c>
      <c r="C344">
        <v>649163</v>
      </c>
      <c r="D344">
        <v>2024864177</v>
      </c>
      <c r="E344" t="s">
        <v>604</v>
      </c>
      <c r="F344" t="s">
        <v>605</v>
      </c>
      <c r="G344" t="s">
        <v>51</v>
      </c>
      <c r="H344" t="s">
        <v>91</v>
      </c>
      <c r="I344" t="s">
        <v>116</v>
      </c>
      <c r="J344" t="s">
        <v>120</v>
      </c>
      <c r="K344">
        <v>767312</v>
      </c>
      <c r="L344" t="s">
        <v>147</v>
      </c>
      <c r="M344" t="s">
        <v>148</v>
      </c>
      <c r="N344" t="s">
        <v>57</v>
      </c>
      <c r="O344" s="1">
        <v>45549</v>
      </c>
      <c r="Q344" s="1">
        <v>45975</v>
      </c>
      <c r="R344" s="2">
        <v>19.309999999999999</v>
      </c>
      <c r="S344">
        <v>1</v>
      </c>
      <c r="T344" t="s">
        <v>58</v>
      </c>
      <c r="U344" t="s">
        <v>180</v>
      </c>
      <c r="V344" s="3">
        <v>0.1</v>
      </c>
      <c r="W344" s="2">
        <v>0</v>
      </c>
      <c r="X344">
        <v>0</v>
      </c>
      <c r="Y344" t="s">
        <v>181</v>
      </c>
      <c r="Z344" t="s">
        <v>182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1.93</v>
      </c>
      <c r="AN344" s="2">
        <v>1.93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45943</v>
      </c>
      <c r="B345" t="s">
        <v>48</v>
      </c>
      <c r="C345">
        <v>649163</v>
      </c>
      <c r="D345">
        <v>2024895605</v>
      </c>
      <c r="E345" t="s">
        <v>606</v>
      </c>
      <c r="F345" t="s">
        <v>90</v>
      </c>
      <c r="G345" t="s">
        <v>51</v>
      </c>
      <c r="H345" t="s">
        <v>91</v>
      </c>
      <c r="I345" t="s">
        <v>116</v>
      </c>
      <c r="J345" t="s">
        <v>125</v>
      </c>
      <c r="K345">
        <v>767312</v>
      </c>
      <c r="L345" t="s">
        <v>147</v>
      </c>
      <c r="M345" t="s">
        <v>148</v>
      </c>
      <c r="N345" t="s">
        <v>57</v>
      </c>
      <c r="O345" s="1">
        <v>45552</v>
      </c>
      <c r="Q345" s="1">
        <v>45978</v>
      </c>
      <c r="R345" s="2">
        <v>60.4</v>
      </c>
      <c r="S345">
        <v>1</v>
      </c>
      <c r="T345" t="s">
        <v>58</v>
      </c>
      <c r="U345" t="s">
        <v>180</v>
      </c>
      <c r="V345" s="3">
        <v>0.15</v>
      </c>
      <c r="W345" s="2">
        <v>0</v>
      </c>
      <c r="X345">
        <v>0</v>
      </c>
      <c r="Y345" t="s">
        <v>181</v>
      </c>
      <c r="Z345" t="s">
        <v>182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9.06</v>
      </c>
      <c r="AN345" s="2">
        <v>9.06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45943</v>
      </c>
      <c r="B346" t="s">
        <v>48</v>
      </c>
      <c r="C346">
        <v>649163</v>
      </c>
      <c r="D346">
        <v>2025167144</v>
      </c>
      <c r="E346" t="s">
        <v>607</v>
      </c>
      <c r="F346" t="s">
        <v>608</v>
      </c>
      <c r="G346" t="s">
        <v>51</v>
      </c>
      <c r="H346" t="s">
        <v>91</v>
      </c>
      <c r="I346" t="s">
        <v>116</v>
      </c>
      <c r="J346" t="s">
        <v>125</v>
      </c>
      <c r="K346">
        <v>767312</v>
      </c>
      <c r="L346" t="s">
        <v>147</v>
      </c>
      <c r="M346" t="s">
        <v>148</v>
      </c>
      <c r="N346" t="s">
        <v>57</v>
      </c>
      <c r="O346" s="1">
        <v>45581</v>
      </c>
      <c r="Q346" s="1">
        <v>45977</v>
      </c>
      <c r="R346" s="2">
        <v>68.61</v>
      </c>
      <c r="S346">
        <v>1</v>
      </c>
      <c r="T346" t="s">
        <v>58</v>
      </c>
      <c r="U346" t="s">
        <v>180</v>
      </c>
      <c r="V346" s="3">
        <v>0.15</v>
      </c>
      <c r="W346" s="2">
        <v>0</v>
      </c>
      <c r="X346">
        <v>0</v>
      </c>
      <c r="Y346" t="s">
        <v>181</v>
      </c>
      <c r="Z346" t="s">
        <v>182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10.29</v>
      </c>
      <c r="AN346" s="2">
        <v>10.29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45943</v>
      </c>
      <c r="B347" t="s">
        <v>48</v>
      </c>
      <c r="C347">
        <v>649163</v>
      </c>
      <c r="D347">
        <v>2025167151</v>
      </c>
      <c r="E347" t="s">
        <v>609</v>
      </c>
      <c r="F347" t="s">
        <v>610</v>
      </c>
      <c r="G347" t="s">
        <v>51</v>
      </c>
      <c r="H347" t="s">
        <v>91</v>
      </c>
      <c r="I347" t="s">
        <v>116</v>
      </c>
      <c r="J347" t="s">
        <v>125</v>
      </c>
      <c r="K347">
        <v>767312</v>
      </c>
      <c r="L347" t="s">
        <v>147</v>
      </c>
      <c r="M347" t="s">
        <v>148</v>
      </c>
      <c r="N347" t="s">
        <v>57</v>
      </c>
      <c r="O347" s="1">
        <v>45581</v>
      </c>
      <c r="Q347" s="1">
        <v>45977</v>
      </c>
      <c r="R347" s="2">
        <v>109.36</v>
      </c>
      <c r="S347">
        <v>1</v>
      </c>
      <c r="T347" t="s">
        <v>58</v>
      </c>
      <c r="U347" t="s">
        <v>180</v>
      </c>
      <c r="V347" s="3">
        <v>0.15</v>
      </c>
      <c r="W347" s="2">
        <v>0</v>
      </c>
      <c r="X347">
        <v>0</v>
      </c>
      <c r="Y347" t="s">
        <v>181</v>
      </c>
      <c r="Z347" t="s">
        <v>182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16.399999999999999</v>
      </c>
      <c r="AN347" s="2">
        <v>16.399999999999999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45943</v>
      </c>
      <c r="B348" t="s">
        <v>48</v>
      </c>
      <c r="C348">
        <v>649163</v>
      </c>
      <c r="D348">
        <v>2025254890</v>
      </c>
      <c r="E348" t="s">
        <v>230</v>
      </c>
      <c r="F348" t="s">
        <v>231</v>
      </c>
      <c r="G348" t="s">
        <v>51</v>
      </c>
      <c r="H348" t="s">
        <v>130</v>
      </c>
      <c r="I348" t="s">
        <v>116</v>
      </c>
      <c r="J348" t="s">
        <v>125</v>
      </c>
      <c r="K348">
        <v>767312</v>
      </c>
      <c r="L348" t="s">
        <v>147</v>
      </c>
      <c r="M348" t="s">
        <v>148</v>
      </c>
      <c r="N348" t="s">
        <v>57</v>
      </c>
      <c r="O348" s="1">
        <v>45576</v>
      </c>
      <c r="Q348" s="1">
        <v>45972</v>
      </c>
      <c r="R348" s="2">
        <v>35.04</v>
      </c>
      <c r="S348">
        <v>1</v>
      </c>
      <c r="T348" t="s">
        <v>58</v>
      </c>
      <c r="U348" t="s">
        <v>180</v>
      </c>
      <c r="V348" s="3">
        <v>0.15</v>
      </c>
      <c r="W348" s="2">
        <v>0</v>
      </c>
      <c r="X348">
        <v>0</v>
      </c>
      <c r="Y348" t="s">
        <v>181</v>
      </c>
      <c r="Z348" t="s">
        <v>182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5.26</v>
      </c>
      <c r="AN348" s="2">
        <v>5.26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45943</v>
      </c>
      <c r="B349" t="s">
        <v>48</v>
      </c>
      <c r="C349">
        <v>649163</v>
      </c>
      <c r="D349">
        <v>2025254891</v>
      </c>
      <c r="E349" t="s">
        <v>230</v>
      </c>
      <c r="F349" t="s">
        <v>231</v>
      </c>
      <c r="G349" t="s">
        <v>51</v>
      </c>
      <c r="H349" t="s">
        <v>130</v>
      </c>
      <c r="I349" t="s">
        <v>116</v>
      </c>
      <c r="J349" t="s">
        <v>120</v>
      </c>
      <c r="K349">
        <v>767312</v>
      </c>
      <c r="L349" t="s">
        <v>147</v>
      </c>
      <c r="M349" t="s">
        <v>148</v>
      </c>
      <c r="N349" t="s">
        <v>57</v>
      </c>
      <c r="O349" s="1">
        <v>45576</v>
      </c>
      <c r="Q349" s="1">
        <v>45972</v>
      </c>
      <c r="R349" s="2">
        <v>19.28</v>
      </c>
      <c r="S349">
        <v>1</v>
      </c>
      <c r="T349" t="s">
        <v>58</v>
      </c>
      <c r="U349" t="s">
        <v>180</v>
      </c>
      <c r="V349" s="3">
        <v>0.1</v>
      </c>
      <c r="W349" s="2">
        <v>0</v>
      </c>
      <c r="X349">
        <v>0</v>
      </c>
      <c r="Y349" t="s">
        <v>181</v>
      </c>
      <c r="Z349" t="s">
        <v>182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1.93</v>
      </c>
      <c r="AN349" s="2">
        <v>1.93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45943</v>
      </c>
      <c r="B350" t="s">
        <v>48</v>
      </c>
      <c r="C350">
        <v>649163</v>
      </c>
      <c r="D350">
        <v>2025262310</v>
      </c>
      <c r="E350" t="s">
        <v>233</v>
      </c>
      <c r="F350" t="s">
        <v>90</v>
      </c>
      <c r="G350" t="s">
        <v>51</v>
      </c>
      <c r="H350" t="s">
        <v>69</v>
      </c>
      <c r="I350" t="s">
        <v>116</v>
      </c>
      <c r="J350" t="s">
        <v>125</v>
      </c>
      <c r="K350">
        <v>796984</v>
      </c>
      <c r="L350" t="s">
        <v>234</v>
      </c>
      <c r="M350" t="s">
        <v>122</v>
      </c>
      <c r="N350" t="s">
        <v>57</v>
      </c>
      <c r="O350" s="1">
        <v>45576</v>
      </c>
      <c r="Q350" s="1">
        <v>45972</v>
      </c>
      <c r="R350" s="2">
        <v>9.6999999999999993</v>
      </c>
      <c r="S350">
        <v>1</v>
      </c>
      <c r="T350" t="s">
        <v>58</v>
      </c>
      <c r="U350" t="s">
        <v>180</v>
      </c>
      <c r="V350" s="3">
        <v>0.15</v>
      </c>
      <c r="W350" s="2">
        <v>0</v>
      </c>
      <c r="X350">
        <v>0</v>
      </c>
      <c r="Y350" t="s">
        <v>181</v>
      </c>
      <c r="Z350" t="s">
        <v>182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1.46</v>
      </c>
      <c r="AN350" s="2">
        <v>1.46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45943</v>
      </c>
      <c r="B351" t="s">
        <v>48</v>
      </c>
      <c r="C351">
        <v>649163</v>
      </c>
      <c r="D351">
        <v>2025262311</v>
      </c>
      <c r="E351" t="s">
        <v>233</v>
      </c>
      <c r="F351" t="s">
        <v>90</v>
      </c>
      <c r="G351" t="s">
        <v>51</v>
      </c>
      <c r="H351" t="s">
        <v>69</v>
      </c>
      <c r="I351" t="s">
        <v>116</v>
      </c>
      <c r="J351" t="s">
        <v>591</v>
      </c>
      <c r="K351">
        <v>796984</v>
      </c>
      <c r="L351" t="s">
        <v>234</v>
      </c>
      <c r="M351" t="s">
        <v>122</v>
      </c>
      <c r="N351" t="s">
        <v>57</v>
      </c>
      <c r="O351" s="1">
        <v>45576</v>
      </c>
      <c r="Q351" s="1">
        <v>45972</v>
      </c>
      <c r="R351" s="2">
        <v>6.3</v>
      </c>
      <c r="S351">
        <v>1</v>
      </c>
      <c r="T351" t="s">
        <v>58</v>
      </c>
      <c r="U351" t="s">
        <v>180</v>
      </c>
      <c r="V351" s="3">
        <v>0.15</v>
      </c>
      <c r="W351" s="2">
        <v>0</v>
      </c>
      <c r="X351">
        <v>0</v>
      </c>
      <c r="Y351" t="s">
        <v>181</v>
      </c>
      <c r="Z351" t="s">
        <v>182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0.94</v>
      </c>
      <c r="AN351" s="2">
        <v>0.94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45943</v>
      </c>
      <c r="B352" t="s">
        <v>48</v>
      </c>
      <c r="C352">
        <v>649163</v>
      </c>
      <c r="D352">
        <v>2025265220</v>
      </c>
      <c r="E352" t="s">
        <v>212</v>
      </c>
      <c r="F352" t="s">
        <v>611</v>
      </c>
      <c r="G352" t="s">
        <v>51</v>
      </c>
      <c r="H352" t="s">
        <v>91</v>
      </c>
      <c r="I352" t="s">
        <v>116</v>
      </c>
      <c r="J352" t="s">
        <v>120</v>
      </c>
      <c r="K352">
        <v>767312</v>
      </c>
      <c r="L352" t="s">
        <v>147</v>
      </c>
      <c r="M352" t="s">
        <v>148</v>
      </c>
      <c r="N352" t="s">
        <v>57</v>
      </c>
      <c r="O352" s="1">
        <v>45576</v>
      </c>
      <c r="Q352" s="1">
        <v>45972</v>
      </c>
      <c r="R352" s="2">
        <v>27.81</v>
      </c>
      <c r="S352">
        <v>1</v>
      </c>
      <c r="T352" t="s">
        <v>58</v>
      </c>
      <c r="U352" t="s">
        <v>180</v>
      </c>
      <c r="V352" s="3">
        <v>0.1</v>
      </c>
      <c r="W352" s="2">
        <v>0</v>
      </c>
      <c r="X352">
        <v>0</v>
      </c>
      <c r="Y352" t="s">
        <v>181</v>
      </c>
      <c r="Z352" t="s">
        <v>182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2.78</v>
      </c>
      <c r="AN352" s="2">
        <v>2.78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45943</v>
      </c>
      <c r="B353" t="s">
        <v>48</v>
      </c>
      <c r="C353">
        <v>649163</v>
      </c>
      <c r="D353">
        <v>2025265267</v>
      </c>
      <c r="E353" t="s">
        <v>612</v>
      </c>
      <c r="F353" t="s">
        <v>613</v>
      </c>
      <c r="G353" t="s">
        <v>51</v>
      </c>
      <c r="H353" t="s">
        <v>91</v>
      </c>
      <c r="I353" t="s">
        <v>116</v>
      </c>
      <c r="J353" t="s">
        <v>120</v>
      </c>
      <c r="K353">
        <v>767312</v>
      </c>
      <c r="L353" t="s">
        <v>147</v>
      </c>
      <c r="M353" t="s">
        <v>148</v>
      </c>
      <c r="N353" t="s">
        <v>57</v>
      </c>
      <c r="O353" s="1">
        <v>45576</v>
      </c>
      <c r="Q353" s="1">
        <v>45972</v>
      </c>
      <c r="R353" s="2">
        <v>10.31</v>
      </c>
      <c r="S353">
        <v>1</v>
      </c>
      <c r="T353" t="s">
        <v>58</v>
      </c>
      <c r="U353" t="s">
        <v>180</v>
      </c>
      <c r="V353" s="3">
        <v>0.1</v>
      </c>
      <c r="W353" s="2">
        <v>0</v>
      </c>
      <c r="X353">
        <v>0</v>
      </c>
      <c r="Y353" t="s">
        <v>181</v>
      </c>
      <c r="Z353" t="s">
        <v>182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1.03</v>
      </c>
      <c r="AN353" s="2">
        <v>1.03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45943</v>
      </c>
      <c r="B354" t="s">
        <v>48</v>
      </c>
      <c r="C354">
        <v>649163</v>
      </c>
      <c r="D354">
        <v>2025286363</v>
      </c>
      <c r="E354" t="s">
        <v>614</v>
      </c>
      <c r="F354" t="s">
        <v>615</v>
      </c>
      <c r="G354" t="s">
        <v>51</v>
      </c>
      <c r="H354" t="s">
        <v>272</v>
      </c>
      <c r="I354" t="s">
        <v>116</v>
      </c>
      <c r="J354" t="s">
        <v>125</v>
      </c>
      <c r="K354">
        <v>767312</v>
      </c>
      <c r="L354" t="s">
        <v>147</v>
      </c>
      <c r="M354" t="s">
        <v>148</v>
      </c>
      <c r="N354" t="s">
        <v>57</v>
      </c>
      <c r="O354" s="1">
        <v>45577</v>
      </c>
      <c r="Q354" s="1">
        <v>45973</v>
      </c>
      <c r="R354" s="2">
        <v>31.88</v>
      </c>
      <c r="S354">
        <v>1</v>
      </c>
      <c r="T354" t="s">
        <v>58</v>
      </c>
      <c r="U354" t="s">
        <v>180</v>
      </c>
      <c r="V354" s="3">
        <v>0.15</v>
      </c>
      <c r="W354" s="2">
        <v>0</v>
      </c>
      <c r="X354">
        <v>0</v>
      </c>
      <c r="Y354" t="s">
        <v>181</v>
      </c>
      <c r="Z354" t="s">
        <v>182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4.78</v>
      </c>
      <c r="AN354" s="2">
        <v>4.78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45943</v>
      </c>
      <c r="B355" t="s">
        <v>48</v>
      </c>
      <c r="C355">
        <v>649163</v>
      </c>
      <c r="D355">
        <v>2025287066</v>
      </c>
      <c r="E355" t="s">
        <v>235</v>
      </c>
      <c r="F355" t="s">
        <v>236</v>
      </c>
      <c r="G355" t="s">
        <v>51</v>
      </c>
      <c r="H355" t="s">
        <v>52</v>
      </c>
      <c r="I355" t="s">
        <v>116</v>
      </c>
      <c r="J355" t="s">
        <v>125</v>
      </c>
      <c r="K355">
        <v>767312</v>
      </c>
      <c r="L355" t="s">
        <v>147</v>
      </c>
      <c r="M355" t="s">
        <v>148</v>
      </c>
      <c r="N355" t="s">
        <v>57</v>
      </c>
      <c r="O355" s="1">
        <v>45577</v>
      </c>
      <c r="Q355" s="1">
        <v>45973</v>
      </c>
      <c r="R355" s="2">
        <v>26.73</v>
      </c>
      <c r="S355">
        <v>1</v>
      </c>
      <c r="T355" t="s">
        <v>58</v>
      </c>
      <c r="U355" t="s">
        <v>180</v>
      </c>
      <c r="V355" s="3">
        <v>0.15</v>
      </c>
      <c r="W355" s="2">
        <v>0</v>
      </c>
      <c r="X355">
        <v>0</v>
      </c>
      <c r="Y355" t="s">
        <v>181</v>
      </c>
      <c r="Z355" t="s">
        <v>182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4.01</v>
      </c>
      <c r="AN355" s="2">
        <v>4.01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45943</v>
      </c>
      <c r="B356" t="s">
        <v>48</v>
      </c>
      <c r="C356">
        <v>649163</v>
      </c>
      <c r="D356">
        <v>2025316509</v>
      </c>
      <c r="E356" t="s">
        <v>237</v>
      </c>
      <c r="F356" t="s">
        <v>238</v>
      </c>
      <c r="G356" t="s">
        <v>51</v>
      </c>
      <c r="H356" t="s">
        <v>219</v>
      </c>
      <c r="I356" t="s">
        <v>116</v>
      </c>
      <c r="J356" t="s">
        <v>125</v>
      </c>
      <c r="K356">
        <v>767312</v>
      </c>
      <c r="L356" t="s">
        <v>147</v>
      </c>
      <c r="M356" t="s">
        <v>148</v>
      </c>
      <c r="N356" t="s">
        <v>57</v>
      </c>
      <c r="O356" s="1">
        <v>45580</v>
      </c>
      <c r="Q356" s="1">
        <v>45976</v>
      </c>
      <c r="R356" s="2">
        <v>46.36</v>
      </c>
      <c r="S356">
        <v>1</v>
      </c>
      <c r="T356" t="s">
        <v>58</v>
      </c>
      <c r="U356" t="s">
        <v>180</v>
      </c>
      <c r="V356" s="3">
        <v>0.15</v>
      </c>
      <c r="W356" s="2">
        <v>0</v>
      </c>
      <c r="X356">
        <v>0</v>
      </c>
      <c r="Y356" t="s">
        <v>181</v>
      </c>
      <c r="Z356" t="s">
        <v>182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6.95</v>
      </c>
      <c r="AN356" s="2">
        <v>6.95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45943</v>
      </c>
      <c r="B357" t="s">
        <v>48</v>
      </c>
      <c r="C357">
        <v>649163</v>
      </c>
      <c r="D357">
        <v>2025621632</v>
      </c>
      <c r="E357" t="s">
        <v>616</v>
      </c>
      <c r="F357" t="s">
        <v>617</v>
      </c>
      <c r="G357" t="s">
        <v>51</v>
      </c>
      <c r="H357" t="s">
        <v>78</v>
      </c>
      <c r="I357" t="s">
        <v>116</v>
      </c>
      <c r="J357" t="s">
        <v>125</v>
      </c>
      <c r="K357">
        <v>760902</v>
      </c>
      <c r="L357" t="s">
        <v>618</v>
      </c>
      <c r="M357" t="s">
        <v>619</v>
      </c>
      <c r="N357" t="s">
        <v>57</v>
      </c>
      <c r="O357" s="1">
        <v>45611</v>
      </c>
      <c r="Q357" s="1">
        <v>45976</v>
      </c>
      <c r="R357" s="2">
        <v>34</v>
      </c>
      <c r="S357">
        <v>1</v>
      </c>
      <c r="T357" t="s">
        <v>58</v>
      </c>
      <c r="U357" t="s">
        <v>180</v>
      </c>
      <c r="V357" s="3">
        <v>0.7</v>
      </c>
      <c r="W357" s="2">
        <v>0</v>
      </c>
      <c r="X357">
        <v>0</v>
      </c>
      <c r="Y357" t="s">
        <v>60</v>
      </c>
      <c r="Z357" t="s">
        <v>182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23.8</v>
      </c>
      <c r="AN357" s="2">
        <v>23.8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45943</v>
      </c>
      <c r="B358" t="s">
        <v>48</v>
      </c>
      <c r="C358">
        <v>649163</v>
      </c>
      <c r="D358">
        <v>2025721593</v>
      </c>
      <c r="E358" t="s">
        <v>239</v>
      </c>
      <c r="F358" t="s">
        <v>194</v>
      </c>
      <c r="G358" t="s">
        <v>51</v>
      </c>
      <c r="H358" t="s">
        <v>69</v>
      </c>
      <c r="I358" t="s">
        <v>116</v>
      </c>
      <c r="J358" t="s">
        <v>125</v>
      </c>
      <c r="K358">
        <v>796984</v>
      </c>
      <c r="L358" t="s">
        <v>234</v>
      </c>
      <c r="M358" t="s">
        <v>122</v>
      </c>
      <c r="N358" t="s">
        <v>57</v>
      </c>
      <c r="O358" s="1">
        <v>45608</v>
      </c>
      <c r="Q358" s="1">
        <v>45973</v>
      </c>
      <c r="R358" s="2">
        <v>27.38</v>
      </c>
      <c r="S358">
        <v>1</v>
      </c>
      <c r="T358" t="s">
        <v>58</v>
      </c>
      <c r="U358" t="s">
        <v>180</v>
      </c>
      <c r="V358" s="3">
        <v>0.7</v>
      </c>
      <c r="W358" s="2">
        <v>0</v>
      </c>
      <c r="X358">
        <v>0</v>
      </c>
      <c r="Y358" t="s">
        <v>60</v>
      </c>
      <c r="Z358" t="s">
        <v>182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19.170000000000002</v>
      </c>
      <c r="AN358" s="2">
        <v>19.170000000000002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45943</v>
      </c>
      <c r="B359" t="s">
        <v>48</v>
      </c>
      <c r="C359">
        <v>649163</v>
      </c>
      <c r="D359">
        <v>2025721594</v>
      </c>
      <c r="E359" t="s">
        <v>239</v>
      </c>
      <c r="F359" t="s">
        <v>194</v>
      </c>
      <c r="G359" t="s">
        <v>51</v>
      </c>
      <c r="H359" t="s">
        <v>69</v>
      </c>
      <c r="I359" t="s">
        <v>116</v>
      </c>
      <c r="J359" t="s">
        <v>591</v>
      </c>
      <c r="K359">
        <v>796984</v>
      </c>
      <c r="L359" t="s">
        <v>234</v>
      </c>
      <c r="M359" t="s">
        <v>122</v>
      </c>
      <c r="N359" t="s">
        <v>57</v>
      </c>
      <c r="O359" s="1">
        <v>45608</v>
      </c>
      <c r="Q359" s="1">
        <v>45973</v>
      </c>
      <c r="R359" s="2">
        <v>20.95</v>
      </c>
      <c r="S359">
        <v>1</v>
      </c>
      <c r="T359" t="s">
        <v>58</v>
      </c>
      <c r="U359" t="s">
        <v>180</v>
      </c>
      <c r="V359" s="3">
        <v>0.7</v>
      </c>
      <c r="W359" s="2">
        <v>0</v>
      </c>
      <c r="X359">
        <v>0</v>
      </c>
      <c r="Y359" t="s">
        <v>60</v>
      </c>
      <c r="Z359" t="s">
        <v>182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14.66</v>
      </c>
      <c r="AN359" s="2">
        <v>14.66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45943</v>
      </c>
      <c r="B360" t="s">
        <v>48</v>
      </c>
      <c r="C360">
        <v>649163</v>
      </c>
      <c r="D360">
        <v>2025724991</v>
      </c>
      <c r="E360" t="s">
        <v>412</v>
      </c>
      <c r="F360" t="s">
        <v>413</v>
      </c>
      <c r="G360" t="s">
        <v>51</v>
      </c>
      <c r="H360" t="s">
        <v>214</v>
      </c>
      <c r="I360" t="s">
        <v>116</v>
      </c>
      <c r="J360" t="s">
        <v>125</v>
      </c>
      <c r="K360">
        <v>756418</v>
      </c>
      <c r="L360" t="s">
        <v>216</v>
      </c>
      <c r="M360" t="s">
        <v>217</v>
      </c>
      <c r="N360" t="s">
        <v>57</v>
      </c>
      <c r="O360" s="1">
        <v>45608</v>
      </c>
      <c r="Q360" s="1">
        <v>45973</v>
      </c>
      <c r="R360" s="2">
        <v>46.17</v>
      </c>
      <c r="S360">
        <v>1</v>
      </c>
      <c r="T360" t="s">
        <v>58</v>
      </c>
      <c r="U360" t="s">
        <v>180</v>
      </c>
      <c r="V360" s="3">
        <v>0.7</v>
      </c>
      <c r="W360" s="2">
        <v>0</v>
      </c>
      <c r="X360">
        <v>0</v>
      </c>
      <c r="Y360" t="s">
        <v>60</v>
      </c>
      <c r="Z360" t="s">
        <v>182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32.32</v>
      </c>
      <c r="AN360" s="2">
        <v>32.32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45943</v>
      </c>
      <c r="B361" t="s">
        <v>48</v>
      </c>
      <c r="C361">
        <v>649163</v>
      </c>
      <c r="D361">
        <v>2025727308</v>
      </c>
      <c r="E361" t="s">
        <v>240</v>
      </c>
      <c r="F361" t="s">
        <v>241</v>
      </c>
      <c r="G361" t="s">
        <v>51</v>
      </c>
      <c r="H361" t="s">
        <v>69</v>
      </c>
      <c r="I361" t="s">
        <v>116</v>
      </c>
      <c r="J361" t="s">
        <v>125</v>
      </c>
      <c r="K361">
        <v>796984</v>
      </c>
      <c r="L361" t="s">
        <v>234</v>
      </c>
      <c r="M361" t="s">
        <v>122</v>
      </c>
      <c r="N361" t="s">
        <v>57</v>
      </c>
      <c r="O361" s="1">
        <v>45608</v>
      </c>
      <c r="Q361" s="1">
        <v>45973</v>
      </c>
      <c r="R361" s="2">
        <v>9.1</v>
      </c>
      <c r="S361">
        <v>1</v>
      </c>
      <c r="T361" t="s">
        <v>58</v>
      </c>
      <c r="U361" t="s">
        <v>180</v>
      </c>
      <c r="V361" s="3">
        <v>0.7</v>
      </c>
      <c r="W361" s="2">
        <v>0</v>
      </c>
      <c r="X361">
        <v>0</v>
      </c>
      <c r="Y361" t="s">
        <v>60</v>
      </c>
      <c r="Z361" t="s">
        <v>182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6.37</v>
      </c>
      <c r="AN361" s="2">
        <v>6.37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45943</v>
      </c>
      <c r="B362" t="s">
        <v>48</v>
      </c>
      <c r="C362">
        <v>649163</v>
      </c>
      <c r="D362">
        <v>2025744022</v>
      </c>
      <c r="E362" t="s">
        <v>620</v>
      </c>
      <c r="F362" t="s">
        <v>621</v>
      </c>
      <c r="G362" t="s">
        <v>51</v>
      </c>
      <c r="H362" t="s">
        <v>78</v>
      </c>
      <c r="I362" t="s">
        <v>116</v>
      </c>
      <c r="J362" t="s">
        <v>125</v>
      </c>
      <c r="K362">
        <v>806645</v>
      </c>
      <c r="L362" t="s">
        <v>525</v>
      </c>
      <c r="M362" t="s">
        <v>526</v>
      </c>
      <c r="N362" t="s">
        <v>57</v>
      </c>
      <c r="O362" s="1">
        <v>45609</v>
      </c>
      <c r="Q362" s="1">
        <v>45974</v>
      </c>
      <c r="R362" s="2">
        <v>118</v>
      </c>
      <c r="S362">
        <v>1</v>
      </c>
      <c r="T362" t="s">
        <v>58</v>
      </c>
      <c r="U362" t="s">
        <v>180</v>
      </c>
      <c r="V362" s="3">
        <v>0.7</v>
      </c>
      <c r="W362" s="2">
        <v>0</v>
      </c>
      <c r="X362">
        <v>0</v>
      </c>
      <c r="Y362" t="s">
        <v>60</v>
      </c>
      <c r="Z362" t="s">
        <v>182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82.6</v>
      </c>
      <c r="AN362" s="2">
        <v>82.6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45943</v>
      </c>
      <c r="B363" t="s">
        <v>48</v>
      </c>
      <c r="C363">
        <v>649163</v>
      </c>
      <c r="D363">
        <v>2025783063</v>
      </c>
      <c r="E363" t="s">
        <v>622</v>
      </c>
      <c r="F363" t="s">
        <v>623</v>
      </c>
      <c r="G363" t="s">
        <v>51</v>
      </c>
      <c r="H363" t="s">
        <v>130</v>
      </c>
      <c r="I363" t="s">
        <v>116</v>
      </c>
      <c r="J363" t="s">
        <v>120</v>
      </c>
      <c r="K363">
        <v>767312</v>
      </c>
      <c r="L363" t="s">
        <v>147</v>
      </c>
      <c r="M363" t="s">
        <v>148</v>
      </c>
      <c r="N363" t="s">
        <v>57</v>
      </c>
      <c r="O363" s="1">
        <v>45612</v>
      </c>
      <c r="Q363" s="1">
        <v>45977</v>
      </c>
      <c r="R363" s="2">
        <v>58.17</v>
      </c>
      <c r="S363">
        <v>1</v>
      </c>
      <c r="T363" t="s">
        <v>58</v>
      </c>
      <c r="U363" t="s">
        <v>180</v>
      </c>
      <c r="V363" s="3">
        <v>0.9</v>
      </c>
      <c r="W363" s="2">
        <v>0</v>
      </c>
      <c r="X363">
        <v>0</v>
      </c>
      <c r="Y363" t="s">
        <v>60</v>
      </c>
      <c r="Z363" t="s">
        <v>182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52.35</v>
      </c>
      <c r="AN363" s="2">
        <v>52.35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45943</v>
      </c>
      <c r="B364" t="s">
        <v>48</v>
      </c>
      <c r="C364">
        <v>649163</v>
      </c>
      <c r="D364">
        <v>2025783978</v>
      </c>
      <c r="E364" t="s">
        <v>622</v>
      </c>
      <c r="F364" t="s">
        <v>624</v>
      </c>
      <c r="G364" t="s">
        <v>51</v>
      </c>
      <c r="H364" t="s">
        <v>130</v>
      </c>
      <c r="I364" t="s">
        <v>116</v>
      </c>
      <c r="J364" t="s">
        <v>120</v>
      </c>
      <c r="K364">
        <v>767312</v>
      </c>
      <c r="L364" t="s">
        <v>147</v>
      </c>
      <c r="M364" t="s">
        <v>148</v>
      </c>
      <c r="N364" t="s">
        <v>57</v>
      </c>
      <c r="O364" s="1">
        <v>45612</v>
      </c>
      <c r="Q364" s="1">
        <v>45977</v>
      </c>
      <c r="R364" s="2">
        <v>16.63</v>
      </c>
      <c r="S364">
        <v>1</v>
      </c>
      <c r="T364" t="s">
        <v>58</v>
      </c>
      <c r="U364" t="s">
        <v>180</v>
      </c>
      <c r="V364" s="3">
        <v>0.9</v>
      </c>
      <c r="W364" s="2">
        <v>0</v>
      </c>
      <c r="X364">
        <v>0</v>
      </c>
      <c r="Y364" t="s">
        <v>60</v>
      </c>
      <c r="Z364" t="s">
        <v>182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14.97</v>
      </c>
      <c r="AN364" s="2">
        <v>14.97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45943</v>
      </c>
      <c r="B365" t="s">
        <v>48</v>
      </c>
      <c r="D365">
        <v>2025785647</v>
      </c>
      <c r="E365" t="s">
        <v>416</v>
      </c>
      <c r="F365" t="s">
        <v>417</v>
      </c>
      <c r="G365" t="s">
        <v>51</v>
      </c>
      <c r="H365" t="s">
        <v>225</v>
      </c>
      <c r="I365" t="s">
        <v>116</v>
      </c>
      <c r="J365" t="s">
        <v>117</v>
      </c>
      <c r="L365" t="s">
        <v>55</v>
      </c>
      <c r="M365" t="s">
        <v>56</v>
      </c>
      <c r="N365" t="s">
        <v>57</v>
      </c>
      <c r="O365" s="1">
        <v>45612</v>
      </c>
      <c r="Q365" s="1">
        <v>45977</v>
      </c>
      <c r="R365" s="2">
        <v>51.46</v>
      </c>
      <c r="S365">
        <v>1</v>
      </c>
      <c r="T365" t="s">
        <v>58</v>
      </c>
      <c r="U365" t="s">
        <v>180</v>
      </c>
      <c r="V365" s="3">
        <v>0.7</v>
      </c>
      <c r="W365" s="2">
        <v>0</v>
      </c>
      <c r="X365">
        <v>0</v>
      </c>
      <c r="Y365" t="s">
        <v>60</v>
      </c>
      <c r="Z365" t="s">
        <v>182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36.020000000000003</v>
      </c>
      <c r="AN365" s="2">
        <v>36.020000000000003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45943</v>
      </c>
      <c r="B366" t="s">
        <v>48</v>
      </c>
      <c r="C366">
        <v>649163</v>
      </c>
      <c r="D366">
        <v>2026054687</v>
      </c>
      <c r="E366" t="s">
        <v>476</v>
      </c>
      <c r="F366" t="s">
        <v>244</v>
      </c>
      <c r="G366" t="s">
        <v>51</v>
      </c>
      <c r="H366" t="s">
        <v>78</v>
      </c>
      <c r="I366" t="s">
        <v>116</v>
      </c>
      <c r="J366" t="s">
        <v>125</v>
      </c>
      <c r="K366">
        <v>766747</v>
      </c>
      <c r="L366" t="s">
        <v>477</v>
      </c>
      <c r="M366" t="s">
        <v>159</v>
      </c>
      <c r="N366" t="s">
        <v>57</v>
      </c>
      <c r="O366" s="1">
        <v>45638</v>
      </c>
      <c r="Q366" s="1">
        <v>45973</v>
      </c>
      <c r="R366" s="2">
        <v>11.5</v>
      </c>
      <c r="S366">
        <v>1</v>
      </c>
      <c r="T366" t="s">
        <v>58</v>
      </c>
      <c r="U366" t="s">
        <v>180</v>
      </c>
      <c r="V366" s="3">
        <v>0.7</v>
      </c>
      <c r="W366" s="2">
        <v>0</v>
      </c>
      <c r="X366">
        <v>0</v>
      </c>
      <c r="Y366" t="s">
        <v>60</v>
      </c>
      <c r="Z366" t="s">
        <v>182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8.0500000000000007</v>
      </c>
      <c r="AN366" s="2">
        <v>8.0500000000000007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45943</v>
      </c>
      <c r="B367" t="s">
        <v>48</v>
      </c>
      <c r="C367">
        <v>649163</v>
      </c>
      <c r="D367">
        <v>2026061217</v>
      </c>
      <c r="E367" t="s">
        <v>242</v>
      </c>
      <c r="F367" t="s">
        <v>209</v>
      </c>
      <c r="G367" t="s">
        <v>51</v>
      </c>
      <c r="H367" t="s">
        <v>69</v>
      </c>
      <c r="I367" t="s">
        <v>116</v>
      </c>
      <c r="J367" t="s">
        <v>125</v>
      </c>
      <c r="K367">
        <v>796984</v>
      </c>
      <c r="L367" t="s">
        <v>234</v>
      </c>
      <c r="M367" t="s">
        <v>122</v>
      </c>
      <c r="N367" t="s">
        <v>57</v>
      </c>
      <c r="O367" s="1">
        <v>45641</v>
      </c>
      <c r="Q367" s="1">
        <v>45976</v>
      </c>
      <c r="R367" s="2">
        <v>7.89</v>
      </c>
      <c r="S367">
        <v>1</v>
      </c>
      <c r="T367" t="s">
        <v>58</v>
      </c>
      <c r="U367" t="s">
        <v>180</v>
      </c>
      <c r="V367" s="3">
        <v>0.7</v>
      </c>
      <c r="W367" s="2">
        <v>0</v>
      </c>
      <c r="X367">
        <v>0</v>
      </c>
      <c r="Y367" t="s">
        <v>60</v>
      </c>
      <c r="Z367" t="s">
        <v>182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5.52</v>
      </c>
      <c r="AN367" s="2">
        <v>5.52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45943</v>
      </c>
      <c r="B368" t="s">
        <v>48</v>
      </c>
      <c r="C368">
        <v>649163</v>
      </c>
      <c r="D368">
        <v>2026111641</v>
      </c>
      <c r="E368" t="s">
        <v>243</v>
      </c>
      <c r="F368" t="s">
        <v>244</v>
      </c>
      <c r="G368" t="s">
        <v>51</v>
      </c>
      <c r="H368" t="s">
        <v>69</v>
      </c>
      <c r="I368" t="s">
        <v>116</v>
      </c>
      <c r="J368" t="s">
        <v>125</v>
      </c>
      <c r="K368">
        <v>796984</v>
      </c>
      <c r="L368" t="s">
        <v>234</v>
      </c>
      <c r="M368" t="s">
        <v>122</v>
      </c>
      <c r="N368" t="s">
        <v>57</v>
      </c>
      <c r="O368" s="1">
        <v>45641</v>
      </c>
      <c r="Q368" s="1">
        <v>45976</v>
      </c>
      <c r="R368" s="2">
        <v>27.38</v>
      </c>
      <c r="S368">
        <v>1</v>
      </c>
      <c r="T368" t="s">
        <v>58</v>
      </c>
      <c r="U368" t="s">
        <v>180</v>
      </c>
      <c r="V368" s="3">
        <v>0.7</v>
      </c>
      <c r="W368" s="2">
        <v>0</v>
      </c>
      <c r="X368">
        <v>0</v>
      </c>
      <c r="Y368" t="s">
        <v>60</v>
      </c>
      <c r="Z368" t="s">
        <v>182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19.170000000000002</v>
      </c>
      <c r="AN368" s="2">
        <v>19.170000000000002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45943</v>
      </c>
      <c r="B369" t="s">
        <v>48</v>
      </c>
      <c r="C369">
        <v>649163</v>
      </c>
      <c r="D369">
        <v>2026133998</v>
      </c>
      <c r="E369" t="s">
        <v>234</v>
      </c>
      <c r="F369" t="s">
        <v>245</v>
      </c>
      <c r="G369" t="s">
        <v>51</v>
      </c>
      <c r="H369" t="s">
        <v>69</v>
      </c>
      <c r="I369" t="s">
        <v>116</v>
      </c>
      <c r="J369" t="s">
        <v>125</v>
      </c>
      <c r="K369">
        <v>816021</v>
      </c>
      <c r="L369" t="s">
        <v>71</v>
      </c>
      <c r="M369" t="s">
        <v>72</v>
      </c>
      <c r="N369" t="s">
        <v>57</v>
      </c>
      <c r="O369" s="1">
        <v>45638</v>
      </c>
      <c r="Q369" s="1">
        <v>45973</v>
      </c>
      <c r="R369" s="2">
        <v>18.2</v>
      </c>
      <c r="S369">
        <v>1</v>
      </c>
      <c r="T369" t="s">
        <v>58</v>
      </c>
      <c r="U369" t="s">
        <v>180</v>
      </c>
      <c r="V369" s="3">
        <v>0.7</v>
      </c>
      <c r="W369" s="2">
        <v>0</v>
      </c>
      <c r="X369">
        <v>0</v>
      </c>
      <c r="Y369" t="s">
        <v>60</v>
      </c>
      <c r="Z369" t="s">
        <v>182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12.74</v>
      </c>
      <c r="AN369" s="2">
        <v>12.74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45943</v>
      </c>
      <c r="B370" t="s">
        <v>48</v>
      </c>
      <c r="C370">
        <v>649163</v>
      </c>
      <c r="D370">
        <v>2026180757</v>
      </c>
      <c r="E370" t="s">
        <v>246</v>
      </c>
      <c r="F370" t="s">
        <v>247</v>
      </c>
      <c r="G370" t="s">
        <v>51</v>
      </c>
      <c r="H370" t="s">
        <v>69</v>
      </c>
      <c r="I370" t="s">
        <v>116</v>
      </c>
      <c r="J370" t="s">
        <v>125</v>
      </c>
      <c r="K370">
        <v>816021</v>
      </c>
      <c r="L370" t="s">
        <v>71</v>
      </c>
      <c r="M370" t="s">
        <v>72</v>
      </c>
      <c r="N370" t="s">
        <v>57</v>
      </c>
      <c r="O370" s="1">
        <v>45641</v>
      </c>
      <c r="Q370" s="1">
        <v>45976</v>
      </c>
      <c r="R370" s="2">
        <v>9.1</v>
      </c>
      <c r="S370">
        <v>1</v>
      </c>
      <c r="T370" t="s">
        <v>58</v>
      </c>
      <c r="U370" t="s">
        <v>180</v>
      </c>
      <c r="V370" s="3">
        <v>0.7</v>
      </c>
      <c r="W370" s="2">
        <v>0</v>
      </c>
      <c r="X370">
        <v>0</v>
      </c>
      <c r="Y370" t="s">
        <v>60</v>
      </c>
      <c r="Z370" t="s">
        <v>182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6.37</v>
      </c>
      <c r="AN370" s="2">
        <v>6.37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45943</v>
      </c>
      <c r="B371" t="s">
        <v>48</v>
      </c>
      <c r="C371">
        <v>649163</v>
      </c>
      <c r="D371">
        <v>2026184417</v>
      </c>
      <c r="E371" t="s">
        <v>248</v>
      </c>
      <c r="F371" t="s">
        <v>249</v>
      </c>
      <c r="G371" t="s">
        <v>51</v>
      </c>
      <c r="H371" t="s">
        <v>69</v>
      </c>
      <c r="I371" t="s">
        <v>116</v>
      </c>
      <c r="J371" t="s">
        <v>125</v>
      </c>
      <c r="K371">
        <v>816021</v>
      </c>
      <c r="L371" t="s">
        <v>71</v>
      </c>
      <c r="M371" t="s">
        <v>72</v>
      </c>
      <c r="N371" t="s">
        <v>57</v>
      </c>
      <c r="O371" s="1">
        <v>45641</v>
      </c>
      <c r="Q371" s="1">
        <v>45976</v>
      </c>
      <c r="R371" s="2">
        <v>9.1</v>
      </c>
      <c r="S371">
        <v>1</v>
      </c>
      <c r="T371" t="s">
        <v>58</v>
      </c>
      <c r="U371" t="s">
        <v>180</v>
      </c>
      <c r="V371" s="3">
        <v>0.7</v>
      </c>
      <c r="W371" s="2">
        <v>0</v>
      </c>
      <c r="X371">
        <v>0</v>
      </c>
      <c r="Y371" t="s">
        <v>60</v>
      </c>
      <c r="Z371" t="s">
        <v>182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6.37</v>
      </c>
      <c r="AN371" s="2">
        <v>6.37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45943</v>
      </c>
      <c r="B372" t="s">
        <v>48</v>
      </c>
      <c r="C372">
        <v>649163</v>
      </c>
      <c r="D372">
        <v>2026186218</v>
      </c>
      <c r="E372" t="s">
        <v>482</v>
      </c>
      <c r="F372" t="s">
        <v>483</v>
      </c>
      <c r="G372" t="s">
        <v>51</v>
      </c>
      <c r="H372" t="s">
        <v>272</v>
      </c>
      <c r="I372" t="s">
        <v>116</v>
      </c>
      <c r="J372" t="s">
        <v>125</v>
      </c>
      <c r="K372">
        <v>767312</v>
      </c>
      <c r="L372" t="s">
        <v>147</v>
      </c>
      <c r="M372" t="s">
        <v>148</v>
      </c>
      <c r="N372" t="s">
        <v>57</v>
      </c>
      <c r="O372" s="1">
        <v>45641</v>
      </c>
      <c r="Q372" s="1">
        <v>45976</v>
      </c>
      <c r="R372" s="2">
        <v>94.38</v>
      </c>
      <c r="S372">
        <v>1</v>
      </c>
      <c r="T372" t="s">
        <v>58</v>
      </c>
      <c r="U372" t="s">
        <v>180</v>
      </c>
      <c r="V372" s="3">
        <v>0.7</v>
      </c>
      <c r="W372" s="2">
        <v>0</v>
      </c>
      <c r="X372">
        <v>0</v>
      </c>
      <c r="Y372" t="s">
        <v>60</v>
      </c>
      <c r="Z372" t="s">
        <v>182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66.069999999999993</v>
      </c>
      <c r="AN372" s="2">
        <v>66.069999999999993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45943</v>
      </c>
      <c r="B373" t="s">
        <v>48</v>
      </c>
      <c r="C373">
        <v>649163</v>
      </c>
      <c r="D373">
        <v>2026189547</v>
      </c>
      <c r="E373" t="s">
        <v>625</v>
      </c>
      <c r="F373" t="s">
        <v>626</v>
      </c>
      <c r="G373" t="s">
        <v>51</v>
      </c>
      <c r="H373" t="s">
        <v>78</v>
      </c>
      <c r="I373" t="s">
        <v>116</v>
      </c>
      <c r="J373" t="s">
        <v>125</v>
      </c>
      <c r="K373">
        <v>807212</v>
      </c>
      <c r="L373" t="s">
        <v>151</v>
      </c>
      <c r="M373" t="s">
        <v>152</v>
      </c>
      <c r="N373" t="s">
        <v>57</v>
      </c>
      <c r="O373" s="1">
        <v>45642</v>
      </c>
      <c r="Q373" s="1">
        <v>45977</v>
      </c>
      <c r="R373" s="2">
        <v>19</v>
      </c>
      <c r="S373">
        <v>1</v>
      </c>
      <c r="T373" t="s">
        <v>58</v>
      </c>
      <c r="U373" t="s">
        <v>180</v>
      </c>
      <c r="V373" s="3">
        <v>0.7</v>
      </c>
      <c r="W373" s="2">
        <v>0</v>
      </c>
      <c r="X373">
        <v>0</v>
      </c>
      <c r="Y373" t="s">
        <v>60</v>
      </c>
      <c r="Z373" t="s">
        <v>182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13.3</v>
      </c>
      <c r="AN373" s="2">
        <v>13.3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45943</v>
      </c>
      <c r="B374" t="s">
        <v>48</v>
      </c>
      <c r="C374">
        <v>649163</v>
      </c>
      <c r="D374">
        <v>2026539798</v>
      </c>
      <c r="E374" t="s">
        <v>627</v>
      </c>
      <c r="F374" t="s">
        <v>628</v>
      </c>
      <c r="G374" t="s">
        <v>51</v>
      </c>
      <c r="H374" t="s">
        <v>225</v>
      </c>
      <c r="I374" t="s">
        <v>116</v>
      </c>
      <c r="J374" t="s">
        <v>125</v>
      </c>
      <c r="K374">
        <v>757039</v>
      </c>
      <c r="L374" t="s">
        <v>629</v>
      </c>
      <c r="M374" t="s">
        <v>630</v>
      </c>
      <c r="N374" t="s">
        <v>57</v>
      </c>
      <c r="O374" s="1">
        <v>45668</v>
      </c>
      <c r="Q374" s="1">
        <v>45972</v>
      </c>
      <c r="R374" s="2">
        <v>25.97</v>
      </c>
      <c r="S374">
        <v>1</v>
      </c>
      <c r="T374" t="s">
        <v>58</v>
      </c>
      <c r="U374" t="s">
        <v>180</v>
      </c>
      <c r="V374" s="3">
        <v>0.7</v>
      </c>
      <c r="W374" s="2">
        <v>0</v>
      </c>
      <c r="X374">
        <v>0</v>
      </c>
      <c r="Y374" t="s">
        <v>60</v>
      </c>
      <c r="Z374" t="s">
        <v>182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18.18</v>
      </c>
      <c r="AN374" s="2">
        <v>18.18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45943</v>
      </c>
      <c r="B375" t="s">
        <v>48</v>
      </c>
      <c r="C375">
        <v>649163</v>
      </c>
      <c r="D375">
        <v>2026561983</v>
      </c>
      <c r="E375" t="s">
        <v>631</v>
      </c>
      <c r="F375" t="s">
        <v>632</v>
      </c>
      <c r="G375" t="s">
        <v>51</v>
      </c>
      <c r="H375" t="s">
        <v>78</v>
      </c>
      <c r="I375" t="s">
        <v>116</v>
      </c>
      <c r="J375" t="s">
        <v>125</v>
      </c>
      <c r="K375">
        <v>792847</v>
      </c>
      <c r="L375" t="s">
        <v>277</v>
      </c>
      <c r="M375" t="s">
        <v>279</v>
      </c>
      <c r="N375" t="s">
        <v>57</v>
      </c>
      <c r="O375" s="1">
        <v>45672</v>
      </c>
      <c r="Q375" s="1">
        <v>45976</v>
      </c>
      <c r="R375" s="2">
        <v>49.8</v>
      </c>
      <c r="S375">
        <v>1</v>
      </c>
      <c r="T375" t="s">
        <v>58</v>
      </c>
      <c r="U375" t="s">
        <v>180</v>
      </c>
      <c r="V375" s="3">
        <v>0.7</v>
      </c>
      <c r="W375" s="2">
        <v>0</v>
      </c>
      <c r="X375">
        <v>0</v>
      </c>
      <c r="Y375" t="s">
        <v>60</v>
      </c>
      <c r="Z375" t="s">
        <v>182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34.86</v>
      </c>
      <c r="AN375" s="2">
        <v>34.86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45943</v>
      </c>
      <c r="B376" t="s">
        <v>48</v>
      </c>
      <c r="C376">
        <v>649163</v>
      </c>
      <c r="D376">
        <v>2026568865</v>
      </c>
      <c r="E376" t="s">
        <v>633</v>
      </c>
      <c r="F376" t="s">
        <v>634</v>
      </c>
      <c r="G376" t="s">
        <v>51</v>
      </c>
      <c r="H376" t="s">
        <v>219</v>
      </c>
      <c r="I376" t="s">
        <v>116</v>
      </c>
      <c r="J376" t="s">
        <v>125</v>
      </c>
      <c r="K376">
        <v>756418</v>
      </c>
      <c r="L376" t="s">
        <v>216</v>
      </c>
      <c r="M376" t="s">
        <v>217</v>
      </c>
      <c r="N376" t="s">
        <v>57</v>
      </c>
      <c r="O376" s="1">
        <v>45671</v>
      </c>
      <c r="Q376" s="1">
        <v>45975</v>
      </c>
      <c r="R376" s="2">
        <v>45.97</v>
      </c>
      <c r="S376">
        <v>1</v>
      </c>
      <c r="T376" t="s">
        <v>58</v>
      </c>
      <c r="U376" t="s">
        <v>180</v>
      </c>
      <c r="V376" s="3">
        <v>0.7</v>
      </c>
      <c r="W376" s="2">
        <v>0</v>
      </c>
      <c r="X376">
        <v>0</v>
      </c>
      <c r="Y376" t="s">
        <v>60</v>
      </c>
      <c r="Z376" t="s">
        <v>182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32.18</v>
      </c>
      <c r="AN376" s="2">
        <v>32.18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45943</v>
      </c>
      <c r="B377" t="s">
        <v>48</v>
      </c>
      <c r="C377">
        <v>649163</v>
      </c>
      <c r="D377">
        <v>2026569743</v>
      </c>
      <c r="E377" t="s">
        <v>459</v>
      </c>
      <c r="F377" t="s">
        <v>258</v>
      </c>
      <c r="G377" t="s">
        <v>51</v>
      </c>
      <c r="H377" t="s">
        <v>225</v>
      </c>
      <c r="I377" t="s">
        <v>116</v>
      </c>
      <c r="J377" t="s">
        <v>125</v>
      </c>
      <c r="K377">
        <v>767312</v>
      </c>
      <c r="L377" t="s">
        <v>147</v>
      </c>
      <c r="M377" t="s">
        <v>148</v>
      </c>
      <c r="N377" t="s">
        <v>57</v>
      </c>
      <c r="O377" s="1">
        <v>45689</v>
      </c>
      <c r="Q377" s="1">
        <v>45962</v>
      </c>
      <c r="R377" s="2">
        <v>10.75</v>
      </c>
      <c r="S377">
        <v>1</v>
      </c>
      <c r="T377" t="s">
        <v>58</v>
      </c>
      <c r="U377" t="s">
        <v>180</v>
      </c>
      <c r="V377" s="3">
        <v>0.7</v>
      </c>
      <c r="W377" s="2">
        <v>0</v>
      </c>
      <c r="X377">
        <v>0</v>
      </c>
      <c r="Y377" t="s">
        <v>60</v>
      </c>
      <c r="Z377" t="s">
        <v>182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7.52</v>
      </c>
      <c r="AN377" s="2">
        <v>7.52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45943</v>
      </c>
      <c r="B378" t="s">
        <v>48</v>
      </c>
      <c r="C378">
        <v>649163</v>
      </c>
      <c r="D378">
        <v>2026581910</v>
      </c>
      <c r="E378" t="s">
        <v>250</v>
      </c>
      <c r="F378" t="s">
        <v>251</v>
      </c>
      <c r="G378" t="s">
        <v>51</v>
      </c>
      <c r="H378" t="s">
        <v>91</v>
      </c>
      <c r="I378" t="s">
        <v>116</v>
      </c>
      <c r="J378" t="s">
        <v>125</v>
      </c>
      <c r="K378">
        <v>767312</v>
      </c>
      <c r="L378" t="s">
        <v>147</v>
      </c>
      <c r="M378" t="s">
        <v>148</v>
      </c>
      <c r="N378" t="s">
        <v>57</v>
      </c>
      <c r="O378" s="1">
        <v>45672</v>
      </c>
      <c r="Q378" s="1">
        <v>45976</v>
      </c>
      <c r="R378" s="2">
        <v>198.42</v>
      </c>
      <c r="S378">
        <v>1</v>
      </c>
      <c r="T378" t="s">
        <v>58</v>
      </c>
      <c r="U378" t="s">
        <v>180</v>
      </c>
      <c r="V378" s="3">
        <v>0.7</v>
      </c>
      <c r="W378" s="2">
        <v>0</v>
      </c>
      <c r="X378">
        <v>0</v>
      </c>
      <c r="Y378" t="s">
        <v>60</v>
      </c>
      <c r="Z378" t="s">
        <v>182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138.88999999999999</v>
      </c>
      <c r="AN378" s="2">
        <v>138.88999999999999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45943</v>
      </c>
      <c r="B379" t="s">
        <v>48</v>
      </c>
      <c r="C379">
        <v>649163</v>
      </c>
      <c r="D379">
        <v>2026586620</v>
      </c>
      <c r="E379" t="s">
        <v>365</v>
      </c>
      <c r="F379" t="s">
        <v>366</v>
      </c>
      <c r="G379" t="s">
        <v>51</v>
      </c>
      <c r="H379" t="s">
        <v>214</v>
      </c>
      <c r="I379" t="s">
        <v>116</v>
      </c>
      <c r="J379" t="s">
        <v>125</v>
      </c>
      <c r="K379">
        <v>756418</v>
      </c>
      <c r="L379" t="s">
        <v>216</v>
      </c>
      <c r="M379" t="s">
        <v>217</v>
      </c>
      <c r="N379" t="s">
        <v>57</v>
      </c>
      <c r="O379" s="1">
        <v>45672</v>
      </c>
      <c r="Q379" s="1">
        <v>45976</v>
      </c>
      <c r="R379" s="2">
        <v>15.29</v>
      </c>
      <c r="S379">
        <v>1</v>
      </c>
      <c r="T379" t="s">
        <v>58</v>
      </c>
      <c r="U379" t="s">
        <v>180</v>
      </c>
      <c r="V379" s="3">
        <v>0.7</v>
      </c>
      <c r="W379" s="2">
        <v>0</v>
      </c>
      <c r="X379">
        <v>0</v>
      </c>
      <c r="Y379" t="s">
        <v>60</v>
      </c>
      <c r="Z379" t="s">
        <v>182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10.7</v>
      </c>
      <c r="AN379" s="2">
        <v>10.7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45943</v>
      </c>
      <c r="B380" t="s">
        <v>48</v>
      </c>
      <c r="D380">
        <v>2026586621</v>
      </c>
      <c r="E380" t="s">
        <v>365</v>
      </c>
      <c r="F380" t="s">
        <v>366</v>
      </c>
      <c r="G380" t="s">
        <v>51</v>
      </c>
      <c r="H380" t="s">
        <v>214</v>
      </c>
      <c r="I380" t="s">
        <v>116</v>
      </c>
      <c r="J380" t="s">
        <v>117</v>
      </c>
      <c r="L380" t="s">
        <v>216</v>
      </c>
      <c r="M380" t="s">
        <v>217</v>
      </c>
      <c r="N380" t="s">
        <v>57</v>
      </c>
      <c r="O380" s="1">
        <v>45672</v>
      </c>
      <c r="Q380" s="1">
        <v>45976</v>
      </c>
      <c r="R380" s="2">
        <v>25.73</v>
      </c>
      <c r="S380">
        <v>1</v>
      </c>
      <c r="T380" t="s">
        <v>58</v>
      </c>
      <c r="U380" t="s">
        <v>180</v>
      </c>
      <c r="V380" s="3">
        <v>0.7</v>
      </c>
      <c r="W380" s="2">
        <v>0</v>
      </c>
      <c r="X380">
        <v>0</v>
      </c>
      <c r="Y380" t="s">
        <v>60</v>
      </c>
      <c r="Z380" t="s">
        <v>182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18.010000000000002</v>
      </c>
      <c r="AN380" s="2">
        <v>18.010000000000002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45943</v>
      </c>
      <c r="B381" t="s">
        <v>48</v>
      </c>
      <c r="C381">
        <v>649163</v>
      </c>
      <c r="D381">
        <v>2026607947</v>
      </c>
      <c r="E381" t="s">
        <v>489</v>
      </c>
      <c r="F381" t="s">
        <v>169</v>
      </c>
      <c r="G381" t="s">
        <v>51</v>
      </c>
      <c r="H381" t="s">
        <v>225</v>
      </c>
      <c r="I381" t="s">
        <v>116</v>
      </c>
      <c r="J381" t="s">
        <v>125</v>
      </c>
      <c r="K381">
        <v>767312</v>
      </c>
      <c r="L381" t="s">
        <v>147</v>
      </c>
      <c r="M381" t="s">
        <v>148</v>
      </c>
      <c r="N381" t="s">
        <v>57</v>
      </c>
      <c r="O381" s="1">
        <v>45673</v>
      </c>
      <c r="Q381" s="1">
        <v>45977</v>
      </c>
      <c r="R381" s="2">
        <v>29.79</v>
      </c>
      <c r="S381">
        <v>1</v>
      </c>
      <c r="T381" t="s">
        <v>58</v>
      </c>
      <c r="U381" t="s">
        <v>180</v>
      </c>
      <c r="V381" s="3">
        <v>0.7</v>
      </c>
      <c r="W381" s="2">
        <v>0</v>
      </c>
      <c r="X381">
        <v>0</v>
      </c>
      <c r="Y381" t="s">
        <v>60</v>
      </c>
      <c r="Z381" t="s">
        <v>182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20.85</v>
      </c>
      <c r="AN381" s="2">
        <v>20.85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45943</v>
      </c>
      <c r="B382" t="s">
        <v>48</v>
      </c>
      <c r="C382">
        <v>649163</v>
      </c>
      <c r="D382">
        <v>2026608909</v>
      </c>
      <c r="E382" t="s">
        <v>635</v>
      </c>
      <c r="F382" t="s">
        <v>366</v>
      </c>
      <c r="G382" t="s">
        <v>51</v>
      </c>
      <c r="H382" t="s">
        <v>78</v>
      </c>
      <c r="I382" t="s">
        <v>116</v>
      </c>
      <c r="J382" t="s">
        <v>125</v>
      </c>
      <c r="K382">
        <v>792847</v>
      </c>
      <c r="L382" t="s">
        <v>277</v>
      </c>
      <c r="M382" t="s">
        <v>279</v>
      </c>
      <c r="N382" t="s">
        <v>57</v>
      </c>
      <c r="O382" s="1">
        <v>45673</v>
      </c>
      <c r="Q382" s="1">
        <v>45977</v>
      </c>
      <c r="R382" s="2">
        <v>58.24</v>
      </c>
      <c r="S382">
        <v>1</v>
      </c>
      <c r="T382" t="s">
        <v>58</v>
      </c>
      <c r="U382" t="s">
        <v>180</v>
      </c>
      <c r="V382" s="3">
        <v>0.7</v>
      </c>
      <c r="W382" s="2">
        <v>0</v>
      </c>
      <c r="X382">
        <v>0</v>
      </c>
      <c r="Y382" t="s">
        <v>60</v>
      </c>
      <c r="Z382" t="s">
        <v>182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40.770000000000003</v>
      </c>
      <c r="AN382" s="2">
        <v>40.770000000000003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45943</v>
      </c>
      <c r="B383" t="s">
        <v>48</v>
      </c>
      <c r="C383">
        <v>649163</v>
      </c>
      <c r="D383">
        <v>2026617755</v>
      </c>
      <c r="E383" t="s">
        <v>250</v>
      </c>
      <c r="F383" t="s">
        <v>148</v>
      </c>
      <c r="G383" t="s">
        <v>51</v>
      </c>
      <c r="H383" t="s">
        <v>91</v>
      </c>
      <c r="I383" t="s">
        <v>116</v>
      </c>
      <c r="J383" t="s">
        <v>125</v>
      </c>
      <c r="K383">
        <v>767312</v>
      </c>
      <c r="L383" t="s">
        <v>147</v>
      </c>
      <c r="M383" t="s">
        <v>148</v>
      </c>
      <c r="N383" t="s">
        <v>57</v>
      </c>
      <c r="O383" s="1">
        <v>45673</v>
      </c>
      <c r="Q383" s="1">
        <v>45977</v>
      </c>
      <c r="R383" s="2">
        <v>198.42</v>
      </c>
      <c r="S383">
        <v>1</v>
      </c>
      <c r="T383" t="s">
        <v>58</v>
      </c>
      <c r="U383" t="s">
        <v>180</v>
      </c>
      <c r="V383" s="3">
        <v>0.7</v>
      </c>
      <c r="W383" s="2">
        <v>0</v>
      </c>
      <c r="X383">
        <v>0</v>
      </c>
      <c r="Y383" t="s">
        <v>60</v>
      </c>
      <c r="Z383" t="s">
        <v>182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138.88999999999999</v>
      </c>
      <c r="AN383" s="2">
        <v>138.88999999999999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45943</v>
      </c>
      <c r="B384" t="s">
        <v>48</v>
      </c>
      <c r="C384">
        <v>649163</v>
      </c>
      <c r="D384">
        <v>2026618369</v>
      </c>
      <c r="E384" t="s">
        <v>491</v>
      </c>
      <c r="F384" t="s">
        <v>492</v>
      </c>
      <c r="G384" t="s">
        <v>51</v>
      </c>
      <c r="H384" t="s">
        <v>78</v>
      </c>
      <c r="I384" t="s">
        <v>116</v>
      </c>
      <c r="J384" t="s">
        <v>125</v>
      </c>
      <c r="K384">
        <v>792847</v>
      </c>
      <c r="L384" t="s">
        <v>277</v>
      </c>
      <c r="M384" t="s">
        <v>279</v>
      </c>
      <c r="N384" t="s">
        <v>57</v>
      </c>
      <c r="O384" s="1">
        <v>45673</v>
      </c>
      <c r="Q384" s="1">
        <v>45977</v>
      </c>
      <c r="R384" s="2">
        <v>52</v>
      </c>
      <c r="S384">
        <v>1</v>
      </c>
      <c r="T384" t="s">
        <v>58</v>
      </c>
      <c r="U384" t="s">
        <v>180</v>
      </c>
      <c r="V384" s="3">
        <v>0.7</v>
      </c>
      <c r="W384" s="2">
        <v>0</v>
      </c>
      <c r="X384">
        <v>0</v>
      </c>
      <c r="Y384" t="s">
        <v>60</v>
      </c>
      <c r="Z384" t="s">
        <v>182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36.4</v>
      </c>
      <c r="AN384" s="2">
        <v>36.4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45943</v>
      </c>
      <c r="B385" t="s">
        <v>48</v>
      </c>
      <c r="C385">
        <v>649163</v>
      </c>
      <c r="D385">
        <v>2026625854</v>
      </c>
      <c r="E385" t="s">
        <v>493</v>
      </c>
      <c r="F385" t="s">
        <v>494</v>
      </c>
      <c r="G385" t="s">
        <v>51</v>
      </c>
      <c r="H385" t="s">
        <v>102</v>
      </c>
      <c r="I385" t="s">
        <v>116</v>
      </c>
      <c r="J385" t="s">
        <v>125</v>
      </c>
      <c r="K385">
        <v>767312</v>
      </c>
      <c r="L385" t="s">
        <v>147</v>
      </c>
      <c r="M385" t="s">
        <v>148</v>
      </c>
      <c r="N385" t="s">
        <v>57</v>
      </c>
      <c r="O385" s="1">
        <v>45674</v>
      </c>
      <c r="Q385" s="1">
        <v>45978</v>
      </c>
      <c r="R385" s="2">
        <v>114</v>
      </c>
      <c r="S385">
        <v>1</v>
      </c>
      <c r="T385" t="s">
        <v>58</v>
      </c>
      <c r="U385" t="s">
        <v>180</v>
      </c>
      <c r="V385" s="3">
        <v>0.7</v>
      </c>
      <c r="W385" s="2">
        <v>0</v>
      </c>
      <c r="X385">
        <v>0</v>
      </c>
      <c r="Y385" t="s">
        <v>60</v>
      </c>
      <c r="Z385" t="s">
        <v>182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79.8</v>
      </c>
      <c r="AN385" s="2">
        <v>79.8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45943</v>
      </c>
      <c r="B386" t="s">
        <v>48</v>
      </c>
      <c r="C386">
        <v>649163</v>
      </c>
      <c r="D386">
        <v>2026877427</v>
      </c>
      <c r="E386" t="s">
        <v>636</v>
      </c>
      <c r="F386" t="s">
        <v>159</v>
      </c>
      <c r="G386" t="s">
        <v>51</v>
      </c>
      <c r="H386" t="s">
        <v>78</v>
      </c>
      <c r="I386" t="s">
        <v>116</v>
      </c>
      <c r="J386" t="s">
        <v>125</v>
      </c>
      <c r="K386">
        <v>813184</v>
      </c>
      <c r="L386" t="s">
        <v>566</v>
      </c>
      <c r="M386" t="s">
        <v>567</v>
      </c>
      <c r="N386" t="s">
        <v>179</v>
      </c>
      <c r="O386" s="1">
        <v>45689</v>
      </c>
      <c r="P386" s="1">
        <v>45936</v>
      </c>
      <c r="Q386" s="1">
        <v>45962</v>
      </c>
      <c r="R386" s="2">
        <v>-37.4</v>
      </c>
      <c r="S386">
        <v>1</v>
      </c>
      <c r="T386" t="s">
        <v>58</v>
      </c>
      <c r="U386" t="s">
        <v>180</v>
      </c>
      <c r="V386" s="3">
        <v>0.7</v>
      </c>
      <c r="W386" s="2">
        <v>0</v>
      </c>
      <c r="X386">
        <v>-1</v>
      </c>
      <c r="Y386" t="s">
        <v>60</v>
      </c>
      <c r="Z386" t="s">
        <v>182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-26.18</v>
      </c>
      <c r="AN386" s="2">
        <v>-26.18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45943</v>
      </c>
      <c r="B387" t="s">
        <v>48</v>
      </c>
      <c r="C387">
        <v>649163</v>
      </c>
      <c r="D387">
        <v>2027038280</v>
      </c>
      <c r="E387" t="s">
        <v>252</v>
      </c>
      <c r="F387" t="s">
        <v>253</v>
      </c>
      <c r="G387" t="s">
        <v>51</v>
      </c>
      <c r="H387" t="s">
        <v>69</v>
      </c>
      <c r="I387" t="s">
        <v>116</v>
      </c>
      <c r="J387" t="s">
        <v>125</v>
      </c>
      <c r="K387">
        <v>816021</v>
      </c>
      <c r="L387" t="s">
        <v>71</v>
      </c>
      <c r="M387" t="s">
        <v>72</v>
      </c>
      <c r="N387" t="s">
        <v>57</v>
      </c>
      <c r="O387" s="1">
        <v>45699</v>
      </c>
      <c r="Q387" s="1">
        <v>45972</v>
      </c>
      <c r="R387" s="2">
        <v>9.1</v>
      </c>
      <c r="S387">
        <v>1</v>
      </c>
      <c r="T387" t="s">
        <v>58</v>
      </c>
      <c r="U387" t="s">
        <v>180</v>
      </c>
      <c r="V387" s="3">
        <v>0.7</v>
      </c>
      <c r="W387" s="2">
        <v>0</v>
      </c>
      <c r="X387">
        <v>0</v>
      </c>
      <c r="Y387" t="s">
        <v>60</v>
      </c>
      <c r="Z387" t="s">
        <v>182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6.37</v>
      </c>
      <c r="AN387" s="2">
        <v>6.37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45943</v>
      </c>
      <c r="B388" t="s">
        <v>48</v>
      </c>
      <c r="C388">
        <v>649163</v>
      </c>
      <c r="D388">
        <v>2027052528</v>
      </c>
      <c r="E388" t="s">
        <v>497</v>
      </c>
      <c r="F388" t="s">
        <v>498</v>
      </c>
      <c r="G388" t="s">
        <v>51</v>
      </c>
      <c r="H388" t="s">
        <v>78</v>
      </c>
      <c r="I388" t="s">
        <v>116</v>
      </c>
      <c r="J388" t="s">
        <v>125</v>
      </c>
      <c r="K388">
        <v>766747</v>
      </c>
      <c r="L388" t="s">
        <v>477</v>
      </c>
      <c r="M388" t="s">
        <v>159</v>
      </c>
      <c r="N388" t="s">
        <v>57</v>
      </c>
      <c r="O388" s="1">
        <v>45699</v>
      </c>
      <c r="Q388" s="1">
        <v>45972</v>
      </c>
      <c r="R388" s="2">
        <v>11.5</v>
      </c>
      <c r="S388">
        <v>1</v>
      </c>
      <c r="T388" t="s">
        <v>58</v>
      </c>
      <c r="U388" t="s">
        <v>180</v>
      </c>
      <c r="V388" s="3">
        <v>0.7</v>
      </c>
      <c r="W388" s="2">
        <v>0</v>
      </c>
      <c r="X388">
        <v>0</v>
      </c>
      <c r="Y388" t="s">
        <v>60</v>
      </c>
      <c r="Z388" t="s">
        <v>182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8.0500000000000007</v>
      </c>
      <c r="AN388" s="2">
        <v>8.0500000000000007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45943</v>
      </c>
      <c r="B389" t="s">
        <v>48</v>
      </c>
      <c r="C389">
        <v>649163</v>
      </c>
      <c r="D389">
        <v>2027055700</v>
      </c>
      <c r="E389" t="s">
        <v>499</v>
      </c>
      <c r="F389" t="s">
        <v>500</v>
      </c>
      <c r="G389" t="s">
        <v>51</v>
      </c>
      <c r="H389" t="s">
        <v>69</v>
      </c>
      <c r="I389" t="s">
        <v>116</v>
      </c>
      <c r="J389" t="s">
        <v>125</v>
      </c>
      <c r="K389">
        <v>816021</v>
      </c>
      <c r="L389" t="s">
        <v>71</v>
      </c>
      <c r="M389" t="s">
        <v>72</v>
      </c>
      <c r="N389" t="s">
        <v>57</v>
      </c>
      <c r="O389" s="1">
        <v>45699</v>
      </c>
      <c r="Q389" s="1">
        <v>45972</v>
      </c>
      <c r="R389" s="2">
        <v>9.1</v>
      </c>
      <c r="S389">
        <v>1</v>
      </c>
      <c r="T389" t="s">
        <v>58</v>
      </c>
      <c r="U389" t="s">
        <v>180</v>
      </c>
      <c r="V389" s="3">
        <v>0.7</v>
      </c>
      <c r="W389" s="2">
        <v>0</v>
      </c>
      <c r="X389">
        <v>0</v>
      </c>
      <c r="Y389" t="s">
        <v>60</v>
      </c>
      <c r="Z389" t="s">
        <v>182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6.37</v>
      </c>
      <c r="AN389" s="2">
        <v>6.37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45943</v>
      </c>
      <c r="B390" t="s">
        <v>48</v>
      </c>
      <c r="C390">
        <v>649163</v>
      </c>
      <c r="D390">
        <v>2027059396</v>
      </c>
      <c r="E390" t="s">
        <v>501</v>
      </c>
      <c r="F390" t="s">
        <v>502</v>
      </c>
      <c r="G390" t="s">
        <v>51</v>
      </c>
      <c r="H390" t="s">
        <v>78</v>
      </c>
      <c r="I390" t="s">
        <v>116</v>
      </c>
      <c r="J390" t="s">
        <v>125</v>
      </c>
      <c r="K390">
        <v>824062</v>
      </c>
      <c r="L390" t="s">
        <v>126</v>
      </c>
      <c r="M390" t="s">
        <v>127</v>
      </c>
      <c r="N390" t="s">
        <v>57</v>
      </c>
      <c r="O390" s="1">
        <v>45700</v>
      </c>
      <c r="Q390" s="1">
        <v>45973</v>
      </c>
      <c r="R390" s="2">
        <v>41.5</v>
      </c>
      <c r="S390">
        <v>1</v>
      </c>
      <c r="T390" t="s">
        <v>58</v>
      </c>
      <c r="U390" t="s">
        <v>180</v>
      </c>
      <c r="V390" s="3">
        <v>0.7</v>
      </c>
      <c r="W390" s="2">
        <v>0</v>
      </c>
      <c r="X390">
        <v>0</v>
      </c>
      <c r="Y390" t="s">
        <v>60</v>
      </c>
      <c r="Z390" t="s">
        <v>182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29.05</v>
      </c>
      <c r="AN390" s="2">
        <v>29.05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45943</v>
      </c>
      <c r="B391" t="s">
        <v>48</v>
      </c>
      <c r="C391">
        <v>649163</v>
      </c>
      <c r="D391">
        <v>2027064140</v>
      </c>
      <c r="E391" t="s">
        <v>254</v>
      </c>
      <c r="F391" t="s">
        <v>56</v>
      </c>
      <c r="G391" t="s">
        <v>51</v>
      </c>
      <c r="H391" t="s">
        <v>219</v>
      </c>
      <c r="I391" t="s">
        <v>116</v>
      </c>
      <c r="J391" t="s">
        <v>591</v>
      </c>
      <c r="K391">
        <v>673059</v>
      </c>
      <c r="L391" t="s">
        <v>55</v>
      </c>
      <c r="M391" t="s">
        <v>56</v>
      </c>
      <c r="N391" t="s">
        <v>57</v>
      </c>
      <c r="O391" s="1">
        <v>45700</v>
      </c>
      <c r="Q391" s="1">
        <v>45973</v>
      </c>
      <c r="R391" s="2">
        <v>23.39</v>
      </c>
      <c r="S391">
        <v>1</v>
      </c>
      <c r="T391" t="s">
        <v>58</v>
      </c>
      <c r="U391" t="s">
        <v>180</v>
      </c>
      <c r="V391" s="3">
        <v>0.7</v>
      </c>
      <c r="W391" s="2">
        <v>0</v>
      </c>
      <c r="X391">
        <v>0</v>
      </c>
      <c r="Y391" t="s">
        <v>60</v>
      </c>
      <c r="Z391" t="s">
        <v>182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16.37</v>
      </c>
      <c r="AN391" s="2">
        <v>16.37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45943</v>
      </c>
      <c r="B392" t="s">
        <v>48</v>
      </c>
      <c r="C392">
        <v>649163</v>
      </c>
      <c r="D392">
        <v>2027064142</v>
      </c>
      <c r="E392" t="s">
        <v>254</v>
      </c>
      <c r="F392" t="s">
        <v>56</v>
      </c>
      <c r="G392" t="s">
        <v>51</v>
      </c>
      <c r="H392" t="s">
        <v>219</v>
      </c>
      <c r="I392" t="s">
        <v>116</v>
      </c>
      <c r="J392" t="s">
        <v>125</v>
      </c>
      <c r="K392">
        <v>673059</v>
      </c>
      <c r="L392" t="s">
        <v>55</v>
      </c>
      <c r="M392" t="s">
        <v>56</v>
      </c>
      <c r="N392" t="s">
        <v>57</v>
      </c>
      <c r="O392" s="1">
        <v>45700</v>
      </c>
      <c r="Q392" s="1">
        <v>45973</v>
      </c>
      <c r="R392" s="2">
        <v>115.91</v>
      </c>
      <c r="S392">
        <v>1</v>
      </c>
      <c r="T392" t="s">
        <v>58</v>
      </c>
      <c r="U392" t="s">
        <v>180</v>
      </c>
      <c r="V392" s="3">
        <v>0.7</v>
      </c>
      <c r="W392" s="2">
        <v>0</v>
      </c>
      <c r="X392">
        <v>0</v>
      </c>
      <c r="Y392" t="s">
        <v>60</v>
      </c>
      <c r="Z392" t="s">
        <v>182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81.14</v>
      </c>
      <c r="AN392" s="2">
        <v>81.14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45943</v>
      </c>
      <c r="B393" t="s">
        <v>48</v>
      </c>
      <c r="C393">
        <v>649163</v>
      </c>
      <c r="D393">
        <v>2027072202</v>
      </c>
      <c r="E393" t="s">
        <v>503</v>
      </c>
      <c r="F393" t="s">
        <v>347</v>
      </c>
      <c r="G393" t="s">
        <v>51</v>
      </c>
      <c r="H393" t="s">
        <v>69</v>
      </c>
      <c r="I393" t="s">
        <v>116</v>
      </c>
      <c r="J393" t="s">
        <v>125</v>
      </c>
      <c r="K393">
        <v>816021</v>
      </c>
      <c r="L393" t="s">
        <v>71</v>
      </c>
      <c r="M393" t="s">
        <v>72</v>
      </c>
      <c r="N393" t="s">
        <v>57</v>
      </c>
      <c r="O393" s="1">
        <v>45703</v>
      </c>
      <c r="Q393" s="1">
        <v>45976</v>
      </c>
      <c r="R393" s="2">
        <v>18.2</v>
      </c>
      <c r="S393">
        <v>1</v>
      </c>
      <c r="T393" t="s">
        <v>58</v>
      </c>
      <c r="U393" t="s">
        <v>180</v>
      </c>
      <c r="V393" s="3">
        <v>0.7</v>
      </c>
      <c r="W393" s="2">
        <v>0</v>
      </c>
      <c r="X393">
        <v>0</v>
      </c>
      <c r="Y393" t="s">
        <v>60</v>
      </c>
      <c r="Z393" t="s">
        <v>182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12.74</v>
      </c>
      <c r="AN393" s="2">
        <v>12.74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45943</v>
      </c>
      <c r="B394" t="s">
        <v>48</v>
      </c>
      <c r="C394">
        <v>649163</v>
      </c>
      <c r="D394">
        <v>2027106748</v>
      </c>
      <c r="E394" t="s">
        <v>504</v>
      </c>
      <c r="F394" t="s">
        <v>217</v>
      </c>
      <c r="G394" t="s">
        <v>51</v>
      </c>
      <c r="H394" t="s">
        <v>78</v>
      </c>
      <c r="I394" t="s">
        <v>116</v>
      </c>
      <c r="J394" t="s">
        <v>125</v>
      </c>
      <c r="K394">
        <v>792847</v>
      </c>
      <c r="L394" t="s">
        <v>277</v>
      </c>
      <c r="M394" t="s">
        <v>279</v>
      </c>
      <c r="N394" t="s">
        <v>57</v>
      </c>
      <c r="O394" s="1">
        <v>45703</v>
      </c>
      <c r="Q394" s="1">
        <v>45976</v>
      </c>
      <c r="R394" s="2">
        <v>11.5</v>
      </c>
      <c r="S394">
        <v>1</v>
      </c>
      <c r="T394" t="s">
        <v>58</v>
      </c>
      <c r="U394" t="s">
        <v>180</v>
      </c>
      <c r="V394" s="3">
        <v>0.7</v>
      </c>
      <c r="W394" s="2">
        <v>0</v>
      </c>
      <c r="X394">
        <v>0</v>
      </c>
      <c r="Y394" t="s">
        <v>60</v>
      </c>
      <c r="Z394" t="s">
        <v>182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8.0500000000000007</v>
      </c>
      <c r="AN394" s="2">
        <v>8.0500000000000007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45943</v>
      </c>
      <c r="B395" t="s">
        <v>48</v>
      </c>
      <c r="C395">
        <v>649163</v>
      </c>
      <c r="D395">
        <v>2027115501</v>
      </c>
      <c r="E395" t="s">
        <v>255</v>
      </c>
      <c r="F395" t="s">
        <v>256</v>
      </c>
      <c r="G395" t="s">
        <v>51</v>
      </c>
      <c r="H395" t="s">
        <v>78</v>
      </c>
      <c r="I395" t="s">
        <v>116</v>
      </c>
      <c r="J395" t="s">
        <v>125</v>
      </c>
      <c r="K395">
        <v>768887</v>
      </c>
      <c r="L395" t="s">
        <v>139</v>
      </c>
      <c r="M395" t="s">
        <v>140</v>
      </c>
      <c r="N395" t="s">
        <v>57</v>
      </c>
      <c r="O395" s="1">
        <v>45703</v>
      </c>
      <c r="Q395" s="1">
        <v>45976</v>
      </c>
      <c r="R395" s="2">
        <v>41.44</v>
      </c>
      <c r="S395">
        <v>1</v>
      </c>
      <c r="T395" t="s">
        <v>58</v>
      </c>
      <c r="U395" t="s">
        <v>180</v>
      </c>
      <c r="V395" s="3">
        <v>0.7</v>
      </c>
      <c r="W395" s="2">
        <v>0</v>
      </c>
      <c r="X395">
        <v>0</v>
      </c>
      <c r="Y395" t="s">
        <v>60</v>
      </c>
      <c r="Z395" t="s">
        <v>182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29.01</v>
      </c>
      <c r="AN395" s="2">
        <v>29.01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45943</v>
      </c>
      <c r="B396" t="s">
        <v>48</v>
      </c>
      <c r="C396">
        <v>649163</v>
      </c>
      <c r="D396">
        <v>2027706490</v>
      </c>
      <c r="E396" t="s">
        <v>508</v>
      </c>
      <c r="F396" t="s">
        <v>211</v>
      </c>
      <c r="G396" t="s">
        <v>51</v>
      </c>
      <c r="H396" t="s">
        <v>78</v>
      </c>
      <c r="I396" t="s">
        <v>116</v>
      </c>
      <c r="J396" t="s">
        <v>125</v>
      </c>
      <c r="K396">
        <v>768887</v>
      </c>
      <c r="L396" t="s">
        <v>139</v>
      </c>
      <c r="M396" t="s">
        <v>140</v>
      </c>
      <c r="N396" t="s">
        <v>57</v>
      </c>
      <c r="O396" s="1">
        <v>45727</v>
      </c>
      <c r="Q396" s="1">
        <v>45972</v>
      </c>
      <c r="R396" s="2">
        <v>145.41999999999999</v>
      </c>
      <c r="S396">
        <v>1</v>
      </c>
      <c r="T396" t="s">
        <v>58</v>
      </c>
      <c r="U396" t="s">
        <v>180</v>
      </c>
      <c r="V396" s="3">
        <v>0.7</v>
      </c>
      <c r="W396" s="2">
        <v>0</v>
      </c>
      <c r="X396">
        <v>0</v>
      </c>
      <c r="Y396" t="s">
        <v>60</v>
      </c>
      <c r="Z396" t="s">
        <v>182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101.79</v>
      </c>
      <c r="AN396" s="2">
        <v>101.79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45943</v>
      </c>
      <c r="B397" t="s">
        <v>48</v>
      </c>
      <c r="C397">
        <v>649163</v>
      </c>
      <c r="D397">
        <v>2027721564</v>
      </c>
      <c r="E397" t="s">
        <v>637</v>
      </c>
      <c r="F397" t="s">
        <v>638</v>
      </c>
      <c r="G397" t="s">
        <v>51</v>
      </c>
      <c r="H397" t="s">
        <v>78</v>
      </c>
      <c r="I397" t="s">
        <v>116</v>
      </c>
      <c r="J397" t="s">
        <v>125</v>
      </c>
      <c r="K397">
        <v>768887</v>
      </c>
      <c r="L397" t="s">
        <v>139</v>
      </c>
      <c r="M397" t="s">
        <v>140</v>
      </c>
      <c r="N397" t="s">
        <v>57</v>
      </c>
      <c r="O397" s="1">
        <v>45727</v>
      </c>
      <c r="Q397" s="1">
        <v>45972</v>
      </c>
      <c r="R397" s="2">
        <v>145.41999999999999</v>
      </c>
      <c r="S397">
        <v>1</v>
      </c>
      <c r="T397" t="s">
        <v>58</v>
      </c>
      <c r="U397" t="s">
        <v>180</v>
      </c>
      <c r="V397" s="3">
        <v>0.7</v>
      </c>
      <c r="W397" s="2">
        <v>0</v>
      </c>
      <c r="X397">
        <v>0</v>
      </c>
      <c r="Y397" t="s">
        <v>60</v>
      </c>
      <c r="Z397" t="s">
        <v>182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101.79</v>
      </c>
      <c r="AN397" s="2">
        <v>101.79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45943</v>
      </c>
      <c r="B398" t="s">
        <v>48</v>
      </c>
      <c r="C398">
        <v>649163</v>
      </c>
      <c r="D398">
        <v>2027729457</v>
      </c>
      <c r="E398" t="s">
        <v>509</v>
      </c>
      <c r="F398" t="s">
        <v>510</v>
      </c>
      <c r="G398" t="s">
        <v>51</v>
      </c>
      <c r="H398" t="s">
        <v>78</v>
      </c>
      <c r="I398" t="s">
        <v>116</v>
      </c>
      <c r="J398" t="s">
        <v>125</v>
      </c>
      <c r="K398">
        <v>812782</v>
      </c>
      <c r="L398" t="s">
        <v>160</v>
      </c>
      <c r="M398" t="s">
        <v>161</v>
      </c>
      <c r="N398" t="s">
        <v>57</v>
      </c>
      <c r="O398" s="1">
        <v>45728</v>
      </c>
      <c r="Q398" s="1">
        <v>45973</v>
      </c>
      <c r="R398" s="2">
        <v>15.75</v>
      </c>
      <c r="S398">
        <v>1</v>
      </c>
      <c r="T398" t="s">
        <v>58</v>
      </c>
      <c r="U398" t="s">
        <v>180</v>
      </c>
      <c r="V398" s="3">
        <v>0.7</v>
      </c>
      <c r="W398" s="2">
        <v>0</v>
      </c>
      <c r="X398">
        <v>0</v>
      </c>
      <c r="Y398" t="s">
        <v>60</v>
      </c>
      <c r="Z398" t="s">
        <v>182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11.02</v>
      </c>
      <c r="AN398" s="2">
        <v>11.02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45943</v>
      </c>
      <c r="B399" t="s">
        <v>48</v>
      </c>
      <c r="C399">
        <v>649163</v>
      </c>
      <c r="D399">
        <v>2027738119</v>
      </c>
      <c r="E399" t="s">
        <v>639</v>
      </c>
      <c r="F399" t="s">
        <v>640</v>
      </c>
      <c r="G399" t="s">
        <v>51</v>
      </c>
      <c r="H399" t="s">
        <v>78</v>
      </c>
      <c r="I399" t="s">
        <v>116</v>
      </c>
      <c r="J399" t="s">
        <v>125</v>
      </c>
      <c r="K399">
        <v>807212</v>
      </c>
      <c r="L399" t="s">
        <v>151</v>
      </c>
      <c r="M399" t="s">
        <v>152</v>
      </c>
      <c r="N399" t="s">
        <v>57</v>
      </c>
      <c r="O399" s="1">
        <v>45728</v>
      </c>
      <c r="Q399" s="1">
        <v>45973</v>
      </c>
      <c r="R399" s="2">
        <v>51</v>
      </c>
      <c r="S399">
        <v>1</v>
      </c>
      <c r="T399" t="s">
        <v>58</v>
      </c>
      <c r="U399" t="s">
        <v>180</v>
      </c>
      <c r="V399" s="3">
        <v>0.7</v>
      </c>
      <c r="W399" s="2">
        <v>0</v>
      </c>
      <c r="X399">
        <v>0</v>
      </c>
      <c r="Y399" t="s">
        <v>60</v>
      </c>
      <c r="Z399" t="s">
        <v>182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35.700000000000003</v>
      </c>
      <c r="AN399" s="2">
        <v>35.700000000000003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45943</v>
      </c>
      <c r="B400" t="s">
        <v>48</v>
      </c>
      <c r="C400">
        <v>649163</v>
      </c>
      <c r="D400">
        <v>2027738389</v>
      </c>
      <c r="E400" t="s">
        <v>641</v>
      </c>
      <c r="F400" t="s">
        <v>642</v>
      </c>
      <c r="G400" t="s">
        <v>51</v>
      </c>
      <c r="H400" t="s">
        <v>102</v>
      </c>
      <c r="I400" t="s">
        <v>116</v>
      </c>
      <c r="J400" t="s">
        <v>125</v>
      </c>
      <c r="K400">
        <v>767312</v>
      </c>
      <c r="L400" t="s">
        <v>147</v>
      </c>
      <c r="M400" t="s">
        <v>148</v>
      </c>
      <c r="N400" t="s">
        <v>57</v>
      </c>
      <c r="O400" s="1">
        <v>45728</v>
      </c>
      <c r="Q400" s="1">
        <v>45973</v>
      </c>
      <c r="R400" s="2">
        <v>77.48</v>
      </c>
      <c r="S400">
        <v>1</v>
      </c>
      <c r="T400" t="s">
        <v>58</v>
      </c>
      <c r="U400" t="s">
        <v>180</v>
      </c>
      <c r="V400" s="3">
        <v>0.7</v>
      </c>
      <c r="W400" s="2">
        <v>0</v>
      </c>
      <c r="X400">
        <v>0</v>
      </c>
      <c r="Y400" t="s">
        <v>60</v>
      </c>
      <c r="Z400" t="s">
        <v>182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54.24</v>
      </c>
      <c r="AN400" s="2">
        <v>54.24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45943</v>
      </c>
      <c r="B401" t="s">
        <v>48</v>
      </c>
      <c r="C401">
        <v>649163</v>
      </c>
      <c r="D401">
        <v>2027738390</v>
      </c>
      <c r="E401" t="s">
        <v>641</v>
      </c>
      <c r="F401" t="s">
        <v>642</v>
      </c>
      <c r="G401" t="s">
        <v>51</v>
      </c>
      <c r="H401" t="s">
        <v>102</v>
      </c>
      <c r="I401" t="s">
        <v>116</v>
      </c>
      <c r="J401" t="s">
        <v>120</v>
      </c>
      <c r="K401">
        <v>767312</v>
      </c>
      <c r="L401" t="s">
        <v>147</v>
      </c>
      <c r="M401" t="s">
        <v>148</v>
      </c>
      <c r="N401" t="s">
        <v>57</v>
      </c>
      <c r="O401" s="1">
        <v>45728</v>
      </c>
      <c r="Q401" s="1">
        <v>45973</v>
      </c>
      <c r="R401" s="2">
        <v>30.83</v>
      </c>
      <c r="S401">
        <v>1</v>
      </c>
      <c r="T401" t="s">
        <v>58</v>
      </c>
      <c r="U401" t="s">
        <v>180</v>
      </c>
      <c r="V401" s="3">
        <v>0.9</v>
      </c>
      <c r="W401" s="2">
        <v>0</v>
      </c>
      <c r="X401">
        <v>0</v>
      </c>
      <c r="Y401" t="s">
        <v>60</v>
      </c>
      <c r="Z401" t="s">
        <v>182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27.75</v>
      </c>
      <c r="AN401" s="2">
        <v>27.75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45943</v>
      </c>
      <c r="B402" t="s">
        <v>48</v>
      </c>
      <c r="C402">
        <v>649163</v>
      </c>
      <c r="D402">
        <v>2027767677</v>
      </c>
      <c r="E402" t="s">
        <v>511</v>
      </c>
      <c r="F402" t="s">
        <v>512</v>
      </c>
      <c r="G402" t="s">
        <v>51</v>
      </c>
      <c r="H402" t="s">
        <v>272</v>
      </c>
      <c r="I402" t="s">
        <v>116</v>
      </c>
      <c r="J402" t="s">
        <v>125</v>
      </c>
      <c r="K402">
        <v>764123</v>
      </c>
      <c r="L402" t="s">
        <v>471</v>
      </c>
      <c r="M402" t="s">
        <v>472</v>
      </c>
      <c r="N402" t="s">
        <v>57</v>
      </c>
      <c r="O402" s="1">
        <v>45729</v>
      </c>
      <c r="Q402" s="1">
        <v>45974</v>
      </c>
      <c r="R402" s="2">
        <v>56.55</v>
      </c>
      <c r="S402">
        <v>1</v>
      </c>
      <c r="T402" t="s">
        <v>58</v>
      </c>
      <c r="U402" t="s">
        <v>180</v>
      </c>
      <c r="V402" s="3">
        <v>0.7</v>
      </c>
      <c r="W402" s="2">
        <v>0</v>
      </c>
      <c r="X402">
        <v>0</v>
      </c>
      <c r="Y402" t="s">
        <v>60</v>
      </c>
      <c r="Z402" t="s">
        <v>182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39.58</v>
      </c>
      <c r="AN402" s="2">
        <v>39.58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45943</v>
      </c>
      <c r="B403" t="s">
        <v>48</v>
      </c>
      <c r="C403">
        <v>649163</v>
      </c>
      <c r="D403">
        <v>2027825905</v>
      </c>
      <c r="E403" t="s">
        <v>643</v>
      </c>
      <c r="F403" t="s">
        <v>644</v>
      </c>
      <c r="G403" t="s">
        <v>51</v>
      </c>
      <c r="H403" t="s">
        <v>225</v>
      </c>
      <c r="I403" t="s">
        <v>116</v>
      </c>
      <c r="J403" t="s">
        <v>125</v>
      </c>
      <c r="K403">
        <v>673059</v>
      </c>
      <c r="L403" t="s">
        <v>55</v>
      </c>
      <c r="M403" t="s">
        <v>56</v>
      </c>
      <c r="N403" t="s">
        <v>57</v>
      </c>
      <c r="O403" s="1">
        <v>45731</v>
      </c>
      <c r="Q403" s="1">
        <v>45976</v>
      </c>
      <c r="R403" s="2">
        <v>18.350000000000001</v>
      </c>
      <c r="S403">
        <v>1</v>
      </c>
      <c r="T403" t="s">
        <v>58</v>
      </c>
      <c r="U403" t="s">
        <v>180</v>
      </c>
      <c r="V403" s="3">
        <v>0.7</v>
      </c>
      <c r="W403" s="2">
        <v>0</v>
      </c>
      <c r="X403">
        <v>0</v>
      </c>
      <c r="Y403" t="s">
        <v>60</v>
      </c>
      <c r="Z403" t="s">
        <v>182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12.84</v>
      </c>
      <c r="AN403" s="2">
        <v>12.84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45943</v>
      </c>
      <c r="B404" t="s">
        <v>48</v>
      </c>
      <c r="D404">
        <v>2027825906</v>
      </c>
      <c r="E404" t="s">
        <v>643</v>
      </c>
      <c r="F404" t="s">
        <v>644</v>
      </c>
      <c r="G404" t="s">
        <v>51</v>
      </c>
      <c r="H404" t="s">
        <v>225</v>
      </c>
      <c r="I404" t="s">
        <v>116</v>
      </c>
      <c r="J404" t="s">
        <v>117</v>
      </c>
      <c r="L404" t="s">
        <v>55</v>
      </c>
      <c r="M404" t="s">
        <v>56</v>
      </c>
      <c r="N404" t="s">
        <v>57</v>
      </c>
      <c r="O404" s="1">
        <v>45731</v>
      </c>
      <c r="Q404" s="1">
        <v>45976</v>
      </c>
      <c r="R404" s="2">
        <v>25.73</v>
      </c>
      <c r="S404">
        <v>1</v>
      </c>
      <c r="T404" t="s">
        <v>58</v>
      </c>
      <c r="U404" t="s">
        <v>180</v>
      </c>
      <c r="V404" s="3">
        <v>0.7</v>
      </c>
      <c r="W404" s="2">
        <v>0</v>
      </c>
      <c r="X404">
        <v>0</v>
      </c>
      <c r="Y404" t="s">
        <v>60</v>
      </c>
      <c r="Z404" t="s">
        <v>182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18.010000000000002</v>
      </c>
      <c r="AN404" s="2">
        <v>18.010000000000002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45943</v>
      </c>
      <c r="B405" t="s">
        <v>48</v>
      </c>
      <c r="C405">
        <v>649163</v>
      </c>
      <c r="D405">
        <v>2027849974</v>
      </c>
      <c r="E405" t="s">
        <v>370</v>
      </c>
      <c r="F405" t="s">
        <v>371</v>
      </c>
      <c r="G405" t="s">
        <v>51</v>
      </c>
      <c r="H405" t="s">
        <v>372</v>
      </c>
      <c r="I405" t="s">
        <v>116</v>
      </c>
      <c r="J405" t="s">
        <v>125</v>
      </c>
      <c r="K405">
        <v>650218</v>
      </c>
      <c r="L405" t="s">
        <v>195</v>
      </c>
      <c r="M405" t="s">
        <v>196</v>
      </c>
      <c r="N405" t="s">
        <v>57</v>
      </c>
      <c r="O405" s="1">
        <v>45733</v>
      </c>
      <c r="Q405" s="1">
        <v>45978</v>
      </c>
      <c r="R405" s="2">
        <v>50.96</v>
      </c>
      <c r="S405">
        <v>1</v>
      </c>
      <c r="T405" t="s">
        <v>58</v>
      </c>
      <c r="U405" t="s">
        <v>180</v>
      </c>
      <c r="V405" s="3">
        <v>0.7</v>
      </c>
      <c r="W405" s="2">
        <v>0</v>
      </c>
      <c r="X405">
        <v>0</v>
      </c>
      <c r="Y405" t="s">
        <v>60</v>
      </c>
      <c r="Z405" t="s">
        <v>182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35.67</v>
      </c>
      <c r="AN405" s="2">
        <v>35.67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45943</v>
      </c>
      <c r="B406" t="s">
        <v>48</v>
      </c>
      <c r="C406">
        <v>649163</v>
      </c>
      <c r="D406">
        <v>2028149729</v>
      </c>
      <c r="E406" t="s">
        <v>515</v>
      </c>
      <c r="F406" t="s">
        <v>516</v>
      </c>
      <c r="G406" t="s">
        <v>51</v>
      </c>
      <c r="H406" t="s">
        <v>225</v>
      </c>
      <c r="I406" t="s">
        <v>116</v>
      </c>
      <c r="J406" t="s">
        <v>591</v>
      </c>
      <c r="K406">
        <v>650218</v>
      </c>
      <c r="L406" t="s">
        <v>195</v>
      </c>
      <c r="M406" t="s">
        <v>196</v>
      </c>
      <c r="N406" t="s">
        <v>57</v>
      </c>
      <c r="O406" s="1">
        <v>45748</v>
      </c>
      <c r="Q406" s="1">
        <v>45962</v>
      </c>
      <c r="R406" s="2">
        <v>25.73</v>
      </c>
      <c r="S406">
        <v>1</v>
      </c>
      <c r="T406" t="s">
        <v>58</v>
      </c>
      <c r="U406" t="s">
        <v>180</v>
      </c>
      <c r="V406" s="3">
        <v>0.7</v>
      </c>
      <c r="W406" s="2">
        <v>0</v>
      </c>
      <c r="X406">
        <v>0</v>
      </c>
      <c r="Y406" t="s">
        <v>60</v>
      </c>
      <c r="Z406" t="s">
        <v>182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18.010000000000002</v>
      </c>
      <c r="AN406" s="2">
        <v>18.010000000000002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45943</v>
      </c>
      <c r="B407" t="s">
        <v>48</v>
      </c>
      <c r="C407">
        <v>649163</v>
      </c>
      <c r="D407">
        <v>2028174266</v>
      </c>
      <c r="E407" t="s">
        <v>517</v>
      </c>
      <c r="F407" t="s">
        <v>518</v>
      </c>
      <c r="G407" t="s">
        <v>51</v>
      </c>
      <c r="H407" t="s">
        <v>78</v>
      </c>
      <c r="I407" t="s">
        <v>116</v>
      </c>
      <c r="J407" t="s">
        <v>125</v>
      </c>
      <c r="K407">
        <v>843573</v>
      </c>
      <c r="L407" t="s">
        <v>519</v>
      </c>
      <c r="M407" t="s">
        <v>520</v>
      </c>
      <c r="N407" t="s">
        <v>57</v>
      </c>
      <c r="O407" s="1">
        <v>45758</v>
      </c>
      <c r="Q407" s="1">
        <v>45972</v>
      </c>
      <c r="R407" s="2">
        <v>19</v>
      </c>
      <c r="S407">
        <v>1</v>
      </c>
      <c r="T407" t="s">
        <v>58</v>
      </c>
      <c r="U407" t="s">
        <v>180</v>
      </c>
      <c r="V407" s="3">
        <v>0.7</v>
      </c>
      <c r="W407" s="2">
        <v>0</v>
      </c>
      <c r="X407">
        <v>0</v>
      </c>
      <c r="Y407" t="s">
        <v>60</v>
      </c>
      <c r="Z407" t="s">
        <v>182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13.3</v>
      </c>
      <c r="AN407" s="2">
        <v>13.3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45943</v>
      </c>
      <c r="B408" t="s">
        <v>48</v>
      </c>
      <c r="C408">
        <v>649163</v>
      </c>
      <c r="D408">
        <v>2028182786</v>
      </c>
      <c r="E408" t="s">
        <v>423</v>
      </c>
      <c r="F408" t="s">
        <v>142</v>
      </c>
      <c r="G408" t="s">
        <v>51</v>
      </c>
      <c r="H408" t="s">
        <v>91</v>
      </c>
      <c r="I408" t="s">
        <v>116</v>
      </c>
      <c r="J408" t="s">
        <v>125</v>
      </c>
      <c r="K408">
        <v>822733</v>
      </c>
      <c r="L408" t="s">
        <v>645</v>
      </c>
      <c r="M408" t="s">
        <v>646</v>
      </c>
      <c r="N408" t="s">
        <v>57</v>
      </c>
      <c r="O408" s="1">
        <v>45754</v>
      </c>
      <c r="Q408" s="1">
        <v>45968</v>
      </c>
      <c r="R408" s="2">
        <v>-92.47</v>
      </c>
      <c r="S408">
        <v>1</v>
      </c>
      <c r="T408" t="s">
        <v>58</v>
      </c>
      <c r="U408" t="s">
        <v>180</v>
      </c>
      <c r="V408" s="3">
        <v>0.7</v>
      </c>
      <c r="W408" s="2">
        <v>0</v>
      </c>
      <c r="X408">
        <v>-1</v>
      </c>
      <c r="Y408" t="s">
        <v>60</v>
      </c>
      <c r="Z408" t="s">
        <v>182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-64.73</v>
      </c>
      <c r="AN408" s="2">
        <v>-64.73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45943</v>
      </c>
      <c r="B409" t="s">
        <v>48</v>
      </c>
      <c r="C409">
        <v>649163</v>
      </c>
      <c r="D409">
        <v>2028219140</v>
      </c>
      <c r="E409" t="s">
        <v>257</v>
      </c>
      <c r="F409" t="s">
        <v>258</v>
      </c>
      <c r="G409" t="s">
        <v>51</v>
      </c>
      <c r="H409" t="s">
        <v>91</v>
      </c>
      <c r="I409" t="s">
        <v>116</v>
      </c>
      <c r="J409" t="s">
        <v>125</v>
      </c>
      <c r="K409">
        <v>753748</v>
      </c>
      <c r="L409" t="s">
        <v>168</v>
      </c>
      <c r="M409" t="s">
        <v>169</v>
      </c>
      <c r="N409" t="s">
        <v>57</v>
      </c>
      <c r="O409" s="1">
        <v>45790</v>
      </c>
      <c r="Q409" s="1">
        <v>45974</v>
      </c>
      <c r="R409" s="2">
        <v>109.9</v>
      </c>
      <c r="S409">
        <v>1</v>
      </c>
      <c r="T409" t="s">
        <v>58</v>
      </c>
      <c r="U409" t="s">
        <v>180</v>
      </c>
      <c r="V409" s="3">
        <v>0.7</v>
      </c>
      <c r="W409" s="2">
        <v>0</v>
      </c>
      <c r="X409">
        <v>0</v>
      </c>
      <c r="Y409" t="s">
        <v>60</v>
      </c>
      <c r="Z409" t="s">
        <v>182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76.930000000000007</v>
      </c>
      <c r="AN409" s="2">
        <v>76.930000000000007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45943</v>
      </c>
      <c r="B410" t="s">
        <v>48</v>
      </c>
      <c r="C410">
        <v>649163</v>
      </c>
      <c r="D410">
        <v>2028329765</v>
      </c>
      <c r="E410" t="s">
        <v>521</v>
      </c>
      <c r="F410" t="s">
        <v>522</v>
      </c>
      <c r="G410" t="s">
        <v>51</v>
      </c>
      <c r="H410" t="s">
        <v>78</v>
      </c>
      <c r="I410" t="s">
        <v>116</v>
      </c>
      <c r="J410" t="s">
        <v>125</v>
      </c>
      <c r="K410">
        <v>824076</v>
      </c>
      <c r="L410" t="s">
        <v>292</v>
      </c>
      <c r="M410" t="s">
        <v>293</v>
      </c>
      <c r="N410" t="s">
        <v>57</v>
      </c>
      <c r="O410" s="1">
        <v>45762</v>
      </c>
      <c r="Q410" s="1">
        <v>45976</v>
      </c>
      <c r="R410" s="2">
        <v>11.5</v>
      </c>
      <c r="S410">
        <v>1</v>
      </c>
      <c r="T410" t="s">
        <v>58</v>
      </c>
      <c r="U410" t="s">
        <v>180</v>
      </c>
      <c r="V410" s="3">
        <v>0.7</v>
      </c>
      <c r="W410" s="2">
        <v>0</v>
      </c>
      <c r="X410">
        <v>0</v>
      </c>
      <c r="Y410" t="s">
        <v>60</v>
      </c>
      <c r="Z410" t="s">
        <v>182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8.0500000000000007</v>
      </c>
      <c r="AN410" s="2">
        <v>8.0500000000000007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45943</v>
      </c>
      <c r="B411" t="s">
        <v>48</v>
      </c>
      <c r="C411">
        <v>649163</v>
      </c>
      <c r="D411">
        <v>2028367116</v>
      </c>
      <c r="E411" t="s">
        <v>262</v>
      </c>
      <c r="F411" t="s">
        <v>263</v>
      </c>
      <c r="G411" t="s">
        <v>51</v>
      </c>
      <c r="H411" t="s">
        <v>52</v>
      </c>
      <c r="I411" t="s">
        <v>116</v>
      </c>
      <c r="J411" t="s">
        <v>125</v>
      </c>
      <c r="K411">
        <v>673059</v>
      </c>
      <c r="L411" t="s">
        <v>55</v>
      </c>
      <c r="M411" t="s">
        <v>56</v>
      </c>
      <c r="N411" t="s">
        <v>57</v>
      </c>
      <c r="O411" s="1">
        <v>45759</v>
      </c>
      <c r="Q411" s="1">
        <v>45973</v>
      </c>
      <c r="R411" s="2">
        <v>63.95</v>
      </c>
      <c r="S411">
        <v>1</v>
      </c>
      <c r="T411" t="s">
        <v>58</v>
      </c>
      <c r="U411" t="s">
        <v>180</v>
      </c>
      <c r="V411" s="3">
        <v>0.7</v>
      </c>
      <c r="W411" s="2">
        <v>0</v>
      </c>
      <c r="X411">
        <v>0</v>
      </c>
      <c r="Y411" t="s">
        <v>60</v>
      </c>
      <c r="Z411" t="s">
        <v>182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44.76</v>
      </c>
      <c r="AN411" s="2">
        <v>44.76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45943</v>
      </c>
      <c r="B412" t="s">
        <v>48</v>
      </c>
      <c r="C412">
        <v>649163</v>
      </c>
      <c r="D412">
        <v>2028379892</v>
      </c>
      <c r="E412" t="s">
        <v>264</v>
      </c>
      <c r="F412" t="s">
        <v>265</v>
      </c>
      <c r="G412" t="s">
        <v>51</v>
      </c>
      <c r="H412" t="s">
        <v>91</v>
      </c>
      <c r="I412" t="s">
        <v>116</v>
      </c>
      <c r="J412" t="s">
        <v>125</v>
      </c>
      <c r="K412">
        <v>822865</v>
      </c>
      <c r="L412" t="s">
        <v>266</v>
      </c>
      <c r="M412" t="s">
        <v>267</v>
      </c>
      <c r="N412" t="s">
        <v>57</v>
      </c>
      <c r="O412" s="1">
        <v>45760</v>
      </c>
      <c r="Q412" s="1">
        <v>45974</v>
      </c>
      <c r="R412" s="2">
        <v>129.22</v>
      </c>
      <c r="S412">
        <v>1</v>
      </c>
      <c r="T412" t="s">
        <v>58</v>
      </c>
      <c r="U412" t="s">
        <v>180</v>
      </c>
      <c r="V412" s="3">
        <v>0.7</v>
      </c>
      <c r="W412" s="2">
        <v>0</v>
      </c>
      <c r="X412">
        <v>0</v>
      </c>
      <c r="Y412" t="s">
        <v>60</v>
      </c>
      <c r="Z412" t="s">
        <v>182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90.45</v>
      </c>
      <c r="AN412" s="2">
        <v>90.45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45943</v>
      </c>
      <c r="B413" t="s">
        <v>48</v>
      </c>
      <c r="C413">
        <v>649163</v>
      </c>
      <c r="D413">
        <v>2028782159</v>
      </c>
      <c r="E413" t="s">
        <v>647</v>
      </c>
      <c r="F413" t="s">
        <v>648</v>
      </c>
      <c r="G413" t="s">
        <v>51</v>
      </c>
      <c r="H413" t="s">
        <v>91</v>
      </c>
      <c r="I413" t="s">
        <v>116</v>
      </c>
      <c r="J413" t="s">
        <v>125</v>
      </c>
      <c r="K413">
        <v>822733</v>
      </c>
      <c r="L413" t="s">
        <v>645</v>
      </c>
      <c r="M413" t="s">
        <v>646</v>
      </c>
      <c r="N413" t="s">
        <v>57</v>
      </c>
      <c r="O413" s="1">
        <v>45792</v>
      </c>
      <c r="Q413" s="1">
        <v>45976</v>
      </c>
      <c r="R413" s="2">
        <v>48.76</v>
      </c>
      <c r="S413">
        <v>1</v>
      </c>
      <c r="T413" t="s">
        <v>58</v>
      </c>
      <c r="U413" t="s">
        <v>180</v>
      </c>
      <c r="V413" s="3">
        <v>0.7</v>
      </c>
      <c r="W413" s="2">
        <v>0</v>
      </c>
      <c r="X413">
        <v>0</v>
      </c>
      <c r="Y413" t="s">
        <v>60</v>
      </c>
      <c r="Z413" t="s">
        <v>182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34.130000000000003</v>
      </c>
      <c r="AN413" s="2">
        <v>34.130000000000003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45943</v>
      </c>
      <c r="B414" t="s">
        <v>48</v>
      </c>
      <c r="C414">
        <v>649163</v>
      </c>
      <c r="D414">
        <v>2028784372</v>
      </c>
      <c r="E414" t="s">
        <v>529</v>
      </c>
      <c r="F414" t="s">
        <v>514</v>
      </c>
      <c r="G414" t="s">
        <v>51</v>
      </c>
      <c r="H414" t="s">
        <v>78</v>
      </c>
      <c r="I414" t="s">
        <v>116</v>
      </c>
      <c r="J414" t="s">
        <v>120</v>
      </c>
      <c r="K414">
        <v>840313</v>
      </c>
      <c r="L414" t="s">
        <v>506</v>
      </c>
      <c r="M414" t="s">
        <v>507</v>
      </c>
      <c r="N414" t="s">
        <v>57</v>
      </c>
      <c r="O414" s="1">
        <v>45792</v>
      </c>
      <c r="Q414" s="1">
        <v>45976</v>
      </c>
      <c r="R414" s="2">
        <v>9.5299999999999994</v>
      </c>
      <c r="S414">
        <v>1</v>
      </c>
      <c r="T414" t="s">
        <v>58</v>
      </c>
      <c r="U414" t="s">
        <v>180</v>
      </c>
      <c r="V414" s="3">
        <v>0.9</v>
      </c>
      <c r="W414" s="2">
        <v>0</v>
      </c>
      <c r="X414">
        <v>0</v>
      </c>
      <c r="Y414" t="s">
        <v>60</v>
      </c>
      <c r="Z414" t="s">
        <v>182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8.58</v>
      </c>
      <c r="AN414" s="2">
        <v>8.58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45943</v>
      </c>
      <c r="B415" t="s">
        <v>48</v>
      </c>
      <c r="C415">
        <v>649163</v>
      </c>
      <c r="D415">
        <v>2028803828</v>
      </c>
      <c r="E415" t="s">
        <v>530</v>
      </c>
      <c r="F415" t="s">
        <v>531</v>
      </c>
      <c r="G415" t="s">
        <v>51</v>
      </c>
      <c r="H415" t="s">
        <v>78</v>
      </c>
      <c r="I415" t="s">
        <v>116</v>
      </c>
      <c r="J415" t="s">
        <v>125</v>
      </c>
      <c r="K415">
        <v>669316</v>
      </c>
      <c r="L415" t="s">
        <v>98</v>
      </c>
      <c r="M415" t="s">
        <v>99</v>
      </c>
      <c r="N415" t="s">
        <v>57</v>
      </c>
      <c r="O415" s="1">
        <v>45809</v>
      </c>
      <c r="Q415" s="1">
        <v>45962</v>
      </c>
      <c r="R415" s="2">
        <v>66.510000000000005</v>
      </c>
      <c r="S415">
        <v>1</v>
      </c>
      <c r="T415" t="s">
        <v>58</v>
      </c>
      <c r="U415" t="s">
        <v>180</v>
      </c>
      <c r="V415" s="3">
        <v>0.7</v>
      </c>
      <c r="W415" s="2">
        <v>0</v>
      </c>
      <c r="X415">
        <v>0</v>
      </c>
      <c r="Y415" t="s">
        <v>60</v>
      </c>
      <c r="Z415" t="s">
        <v>182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46.56</v>
      </c>
      <c r="AN415" s="2">
        <v>46.56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45943</v>
      </c>
      <c r="B416" t="s">
        <v>48</v>
      </c>
      <c r="C416">
        <v>649163</v>
      </c>
      <c r="D416">
        <v>2028881458</v>
      </c>
      <c r="E416" t="s">
        <v>538</v>
      </c>
      <c r="F416" t="s">
        <v>649</v>
      </c>
      <c r="G416" t="s">
        <v>51</v>
      </c>
      <c r="H416" t="s">
        <v>78</v>
      </c>
      <c r="I416" t="s">
        <v>116</v>
      </c>
      <c r="J416" t="s">
        <v>125</v>
      </c>
      <c r="K416">
        <v>812656</v>
      </c>
      <c r="L416" t="s">
        <v>547</v>
      </c>
      <c r="M416" t="s">
        <v>548</v>
      </c>
      <c r="N416" t="s">
        <v>57</v>
      </c>
      <c r="O416" s="1">
        <v>45793</v>
      </c>
      <c r="Q416" s="1">
        <v>45977</v>
      </c>
      <c r="R416" s="2">
        <v>27.19</v>
      </c>
      <c r="S416">
        <v>1</v>
      </c>
      <c r="T416" t="s">
        <v>58</v>
      </c>
      <c r="U416" t="s">
        <v>180</v>
      </c>
      <c r="V416" s="3">
        <v>0.7</v>
      </c>
      <c r="W416" s="2">
        <v>0</v>
      </c>
      <c r="X416">
        <v>0</v>
      </c>
      <c r="Y416" t="s">
        <v>60</v>
      </c>
      <c r="Z416" t="s">
        <v>182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19.03</v>
      </c>
      <c r="AN416" s="2">
        <v>19.03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45943</v>
      </c>
      <c r="B417" t="s">
        <v>48</v>
      </c>
      <c r="C417">
        <v>649163</v>
      </c>
      <c r="D417">
        <v>2028890707</v>
      </c>
      <c r="E417" t="s">
        <v>650</v>
      </c>
      <c r="F417" t="s">
        <v>651</v>
      </c>
      <c r="G417" t="s">
        <v>51</v>
      </c>
      <c r="H417" t="s">
        <v>78</v>
      </c>
      <c r="I417" t="s">
        <v>116</v>
      </c>
      <c r="J417" t="s">
        <v>125</v>
      </c>
      <c r="K417">
        <v>807212</v>
      </c>
      <c r="L417" t="s">
        <v>151</v>
      </c>
      <c r="M417" t="s">
        <v>152</v>
      </c>
      <c r="N417" t="s">
        <v>57</v>
      </c>
      <c r="O417" s="1">
        <v>45790</v>
      </c>
      <c r="Q417" s="1">
        <v>45974</v>
      </c>
      <c r="R417" s="2">
        <v>95.68</v>
      </c>
      <c r="S417">
        <v>1</v>
      </c>
      <c r="T417" t="s">
        <v>58</v>
      </c>
      <c r="U417" t="s">
        <v>180</v>
      </c>
      <c r="V417" s="3">
        <v>0.7</v>
      </c>
      <c r="W417" s="2">
        <v>0</v>
      </c>
      <c r="X417">
        <v>0</v>
      </c>
      <c r="Y417" t="s">
        <v>60</v>
      </c>
      <c r="Z417" t="s">
        <v>182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66.98</v>
      </c>
      <c r="AN417" s="2">
        <v>66.98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45943</v>
      </c>
      <c r="B418" t="s">
        <v>48</v>
      </c>
      <c r="C418">
        <v>649163</v>
      </c>
      <c r="D418">
        <v>2028890708</v>
      </c>
      <c r="E418" t="s">
        <v>650</v>
      </c>
      <c r="F418" t="s">
        <v>651</v>
      </c>
      <c r="G418" t="s">
        <v>51</v>
      </c>
      <c r="H418" t="s">
        <v>78</v>
      </c>
      <c r="I418" t="s">
        <v>116</v>
      </c>
      <c r="J418" t="s">
        <v>120</v>
      </c>
      <c r="K418">
        <v>807212</v>
      </c>
      <c r="L418" t="s">
        <v>151</v>
      </c>
      <c r="M418" t="s">
        <v>152</v>
      </c>
      <c r="N418" t="s">
        <v>57</v>
      </c>
      <c r="O418" s="1">
        <v>45790</v>
      </c>
      <c r="Q418" s="1">
        <v>45974</v>
      </c>
      <c r="R418" s="2">
        <v>23.05</v>
      </c>
      <c r="S418">
        <v>1</v>
      </c>
      <c r="T418" t="s">
        <v>58</v>
      </c>
      <c r="U418" t="s">
        <v>180</v>
      </c>
      <c r="V418" s="3">
        <v>0.9</v>
      </c>
      <c r="W418" s="2">
        <v>0</v>
      </c>
      <c r="X418">
        <v>0</v>
      </c>
      <c r="Y418" t="s">
        <v>60</v>
      </c>
      <c r="Z418" t="s">
        <v>182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20.74</v>
      </c>
      <c r="AN418" s="2">
        <v>20.74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45943</v>
      </c>
      <c r="B419" t="s">
        <v>48</v>
      </c>
      <c r="C419">
        <v>649163</v>
      </c>
      <c r="D419">
        <v>2028912654</v>
      </c>
      <c r="E419" t="s">
        <v>652</v>
      </c>
      <c r="F419" t="s">
        <v>202</v>
      </c>
      <c r="G419" t="s">
        <v>51</v>
      </c>
      <c r="H419" t="s">
        <v>91</v>
      </c>
      <c r="I419" t="s">
        <v>116</v>
      </c>
      <c r="J419" t="s">
        <v>125</v>
      </c>
      <c r="K419">
        <v>823350</v>
      </c>
      <c r="L419" t="s">
        <v>65</v>
      </c>
      <c r="M419" t="s">
        <v>66</v>
      </c>
      <c r="N419" t="s">
        <v>57</v>
      </c>
      <c r="O419" s="1">
        <v>45791</v>
      </c>
      <c r="Q419" s="1">
        <v>45975</v>
      </c>
      <c r="R419" s="2">
        <v>150.66</v>
      </c>
      <c r="S419">
        <v>1</v>
      </c>
      <c r="T419" t="s">
        <v>58</v>
      </c>
      <c r="U419" t="s">
        <v>180</v>
      </c>
      <c r="V419" s="3">
        <v>0.7</v>
      </c>
      <c r="W419" s="2">
        <v>0</v>
      </c>
      <c r="X419">
        <v>0</v>
      </c>
      <c r="Y419" t="s">
        <v>60</v>
      </c>
      <c r="Z419" t="s">
        <v>182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105.46</v>
      </c>
      <c r="AN419" s="2">
        <v>105.46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45943</v>
      </c>
      <c r="B420" t="s">
        <v>48</v>
      </c>
      <c r="C420">
        <v>649163</v>
      </c>
      <c r="D420">
        <v>2028919767</v>
      </c>
      <c r="E420" t="s">
        <v>653</v>
      </c>
      <c r="F420" t="s">
        <v>654</v>
      </c>
      <c r="G420" t="s">
        <v>51</v>
      </c>
      <c r="H420" t="s">
        <v>78</v>
      </c>
      <c r="I420" t="s">
        <v>116</v>
      </c>
      <c r="J420" t="s">
        <v>125</v>
      </c>
      <c r="K420">
        <v>807212</v>
      </c>
      <c r="L420" t="s">
        <v>151</v>
      </c>
      <c r="M420" t="s">
        <v>152</v>
      </c>
      <c r="N420" t="s">
        <v>57</v>
      </c>
      <c r="O420" s="1">
        <v>45791</v>
      </c>
      <c r="Q420" s="1">
        <v>45975</v>
      </c>
      <c r="R420" s="2">
        <v>61.26</v>
      </c>
      <c r="S420">
        <v>1</v>
      </c>
      <c r="T420" t="s">
        <v>58</v>
      </c>
      <c r="U420" t="s">
        <v>180</v>
      </c>
      <c r="V420" s="3">
        <v>0.7</v>
      </c>
      <c r="W420" s="2">
        <v>0</v>
      </c>
      <c r="X420">
        <v>0</v>
      </c>
      <c r="Y420" t="s">
        <v>60</v>
      </c>
      <c r="Z420" t="s">
        <v>182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42.88</v>
      </c>
      <c r="AN420" s="2">
        <v>42.88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45943</v>
      </c>
      <c r="B421" t="s">
        <v>48</v>
      </c>
      <c r="C421">
        <v>649163</v>
      </c>
      <c r="D421">
        <v>2028919768</v>
      </c>
      <c r="E421" t="s">
        <v>653</v>
      </c>
      <c r="F421" t="s">
        <v>654</v>
      </c>
      <c r="G421" t="s">
        <v>51</v>
      </c>
      <c r="H421" t="s">
        <v>78</v>
      </c>
      <c r="I421" t="s">
        <v>116</v>
      </c>
      <c r="J421" t="s">
        <v>120</v>
      </c>
      <c r="K421">
        <v>807212</v>
      </c>
      <c r="L421" t="s">
        <v>151</v>
      </c>
      <c r="M421" t="s">
        <v>152</v>
      </c>
      <c r="N421" t="s">
        <v>57</v>
      </c>
      <c r="O421" s="1">
        <v>45791</v>
      </c>
      <c r="Q421" s="1">
        <v>45975</v>
      </c>
      <c r="R421" s="2">
        <v>17.38</v>
      </c>
      <c r="S421">
        <v>1</v>
      </c>
      <c r="T421" t="s">
        <v>58</v>
      </c>
      <c r="U421" t="s">
        <v>180</v>
      </c>
      <c r="V421" s="3">
        <v>0.9</v>
      </c>
      <c r="W421" s="2">
        <v>0</v>
      </c>
      <c r="X421">
        <v>0</v>
      </c>
      <c r="Y421" t="s">
        <v>60</v>
      </c>
      <c r="Z421" t="s">
        <v>182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15.64</v>
      </c>
      <c r="AN421" s="2">
        <v>15.64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45943</v>
      </c>
      <c r="B422" t="s">
        <v>48</v>
      </c>
      <c r="C422">
        <v>649163</v>
      </c>
      <c r="D422">
        <v>2028930864</v>
      </c>
      <c r="E422" t="s">
        <v>655</v>
      </c>
      <c r="F422" t="s">
        <v>656</v>
      </c>
      <c r="G422" t="s">
        <v>51</v>
      </c>
      <c r="H422" t="s">
        <v>272</v>
      </c>
      <c r="I422" t="s">
        <v>116</v>
      </c>
      <c r="J422" t="s">
        <v>125</v>
      </c>
      <c r="K422">
        <v>813184</v>
      </c>
      <c r="L422" t="s">
        <v>566</v>
      </c>
      <c r="M422" t="s">
        <v>567</v>
      </c>
      <c r="N422" t="s">
        <v>57</v>
      </c>
      <c r="O422" s="1">
        <v>45793</v>
      </c>
      <c r="Q422" s="1">
        <v>45977</v>
      </c>
      <c r="R422" s="2">
        <v>107.87</v>
      </c>
      <c r="S422">
        <v>1</v>
      </c>
      <c r="T422" t="s">
        <v>58</v>
      </c>
      <c r="U422" t="s">
        <v>180</v>
      </c>
      <c r="V422" s="3">
        <v>0.7</v>
      </c>
      <c r="W422" s="2">
        <v>0</v>
      </c>
      <c r="X422">
        <v>0</v>
      </c>
      <c r="Y422" t="s">
        <v>60</v>
      </c>
      <c r="Z422" t="s">
        <v>182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75.510000000000005</v>
      </c>
      <c r="AN422" s="2">
        <v>75.510000000000005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45943</v>
      </c>
      <c r="B423" t="s">
        <v>48</v>
      </c>
      <c r="C423">
        <v>649163</v>
      </c>
      <c r="D423">
        <v>2028931111</v>
      </c>
      <c r="E423" t="s">
        <v>657</v>
      </c>
      <c r="F423" t="s">
        <v>428</v>
      </c>
      <c r="G423" t="s">
        <v>51</v>
      </c>
      <c r="H423" t="s">
        <v>272</v>
      </c>
      <c r="I423" t="s">
        <v>116</v>
      </c>
      <c r="J423" t="s">
        <v>125</v>
      </c>
      <c r="K423">
        <v>813184</v>
      </c>
      <c r="L423" t="s">
        <v>566</v>
      </c>
      <c r="M423" t="s">
        <v>567</v>
      </c>
      <c r="N423" t="s">
        <v>57</v>
      </c>
      <c r="O423" s="1">
        <v>45793</v>
      </c>
      <c r="Q423" s="1">
        <v>45977</v>
      </c>
      <c r="R423" s="2">
        <v>107.87</v>
      </c>
      <c r="S423">
        <v>1</v>
      </c>
      <c r="T423" t="s">
        <v>58</v>
      </c>
      <c r="U423" t="s">
        <v>180</v>
      </c>
      <c r="V423" s="3">
        <v>0.7</v>
      </c>
      <c r="W423" s="2">
        <v>0</v>
      </c>
      <c r="X423">
        <v>0</v>
      </c>
      <c r="Y423" t="s">
        <v>60</v>
      </c>
      <c r="Z423" t="s">
        <v>182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75.510000000000005</v>
      </c>
      <c r="AN423" s="2">
        <v>75.510000000000005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45943</v>
      </c>
      <c r="B424" t="s">
        <v>48</v>
      </c>
      <c r="C424">
        <v>649163</v>
      </c>
      <c r="D424">
        <v>2028935095</v>
      </c>
      <c r="E424" t="s">
        <v>268</v>
      </c>
      <c r="F424" t="s">
        <v>269</v>
      </c>
      <c r="G424" t="s">
        <v>51</v>
      </c>
      <c r="H424" t="s">
        <v>225</v>
      </c>
      <c r="I424" t="s">
        <v>116</v>
      </c>
      <c r="J424" t="s">
        <v>125</v>
      </c>
      <c r="K424">
        <v>821015</v>
      </c>
      <c r="L424" t="s">
        <v>135</v>
      </c>
      <c r="M424" t="s">
        <v>136</v>
      </c>
      <c r="N424" t="s">
        <v>57</v>
      </c>
      <c r="O424" s="1">
        <v>45792</v>
      </c>
      <c r="Q424" s="1">
        <v>45976</v>
      </c>
      <c r="R424" s="2">
        <v>10.71</v>
      </c>
      <c r="S424">
        <v>1</v>
      </c>
      <c r="T424" t="s">
        <v>58</v>
      </c>
      <c r="U424" t="s">
        <v>180</v>
      </c>
      <c r="V424" s="3">
        <v>0.7</v>
      </c>
      <c r="W424" s="2">
        <v>0</v>
      </c>
      <c r="X424">
        <v>0</v>
      </c>
      <c r="Y424" t="s">
        <v>60</v>
      </c>
      <c r="Z424" t="s">
        <v>182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7.5</v>
      </c>
      <c r="AN424" s="2">
        <v>7.5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45943</v>
      </c>
      <c r="B425" t="s">
        <v>48</v>
      </c>
      <c r="C425">
        <v>649163</v>
      </c>
      <c r="D425">
        <v>2028937037</v>
      </c>
      <c r="E425" t="s">
        <v>658</v>
      </c>
      <c r="F425" t="s">
        <v>659</v>
      </c>
      <c r="G425" t="s">
        <v>51</v>
      </c>
      <c r="H425" t="s">
        <v>272</v>
      </c>
      <c r="I425" t="s">
        <v>116</v>
      </c>
      <c r="J425" t="s">
        <v>125</v>
      </c>
      <c r="K425">
        <v>813184</v>
      </c>
      <c r="L425" t="s">
        <v>566</v>
      </c>
      <c r="M425" t="s">
        <v>567</v>
      </c>
      <c r="N425" t="s">
        <v>57</v>
      </c>
      <c r="O425" s="1">
        <v>45793</v>
      </c>
      <c r="Q425" s="1">
        <v>45977</v>
      </c>
      <c r="R425" s="2">
        <v>107.87</v>
      </c>
      <c r="S425">
        <v>1</v>
      </c>
      <c r="T425" t="s">
        <v>58</v>
      </c>
      <c r="U425" t="s">
        <v>180</v>
      </c>
      <c r="V425" s="3">
        <v>0.7</v>
      </c>
      <c r="W425" s="2">
        <v>0</v>
      </c>
      <c r="X425">
        <v>0</v>
      </c>
      <c r="Y425" t="s">
        <v>60</v>
      </c>
      <c r="Z425" t="s">
        <v>182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75.510000000000005</v>
      </c>
      <c r="AN425" s="2">
        <v>75.510000000000005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45943</v>
      </c>
      <c r="B426" t="s">
        <v>48</v>
      </c>
      <c r="C426">
        <v>649163</v>
      </c>
      <c r="D426">
        <v>2028937325</v>
      </c>
      <c r="E426" t="s">
        <v>660</v>
      </c>
      <c r="F426" t="s">
        <v>661</v>
      </c>
      <c r="G426" t="s">
        <v>51</v>
      </c>
      <c r="H426" t="s">
        <v>91</v>
      </c>
      <c r="I426" t="s">
        <v>116</v>
      </c>
      <c r="J426" t="s">
        <v>125</v>
      </c>
      <c r="K426">
        <v>856163</v>
      </c>
      <c r="L426" t="s">
        <v>65</v>
      </c>
      <c r="M426" t="s">
        <v>81</v>
      </c>
      <c r="N426" t="s">
        <v>57</v>
      </c>
      <c r="O426" s="1">
        <v>45792</v>
      </c>
      <c r="Q426" s="1">
        <v>45976</v>
      </c>
      <c r="R426" s="2">
        <v>163.43</v>
      </c>
      <c r="S426">
        <v>1</v>
      </c>
      <c r="T426" t="s">
        <v>58</v>
      </c>
      <c r="U426" t="s">
        <v>180</v>
      </c>
      <c r="V426" s="3">
        <v>0.7</v>
      </c>
      <c r="W426" s="2">
        <v>0</v>
      </c>
      <c r="X426">
        <v>0</v>
      </c>
      <c r="Y426" t="s">
        <v>60</v>
      </c>
      <c r="Z426" t="s">
        <v>182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114.4</v>
      </c>
      <c r="AN426" s="2">
        <v>114.4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45943</v>
      </c>
      <c r="B427" t="s">
        <v>48</v>
      </c>
      <c r="C427">
        <v>649163</v>
      </c>
      <c r="D427">
        <v>2028941657</v>
      </c>
      <c r="E427" t="s">
        <v>270</v>
      </c>
      <c r="F427" t="s">
        <v>271</v>
      </c>
      <c r="G427" t="s">
        <v>51</v>
      </c>
      <c r="H427" t="s">
        <v>272</v>
      </c>
      <c r="I427" t="s">
        <v>116</v>
      </c>
      <c r="J427" t="s">
        <v>125</v>
      </c>
      <c r="K427">
        <v>822723</v>
      </c>
      <c r="L427" t="s">
        <v>273</v>
      </c>
      <c r="M427" t="s">
        <v>274</v>
      </c>
      <c r="N427" t="s">
        <v>57</v>
      </c>
      <c r="O427" s="1">
        <v>45792</v>
      </c>
      <c r="Q427" s="1">
        <v>45976</v>
      </c>
      <c r="R427" s="2">
        <v>134.86000000000001</v>
      </c>
      <c r="S427">
        <v>1</v>
      </c>
      <c r="T427" t="s">
        <v>58</v>
      </c>
      <c r="U427" t="s">
        <v>180</v>
      </c>
      <c r="V427" s="3">
        <v>0.7</v>
      </c>
      <c r="W427" s="2">
        <v>0</v>
      </c>
      <c r="X427">
        <v>0</v>
      </c>
      <c r="Y427" t="s">
        <v>60</v>
      </c>
      <c r="Z427" t="s">
        <v>182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94.4</v>
      </c>
      <c r="AN427" s="2">
        <v>94.4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45943</v>
      </c>
      <c r="B428" t="s">
        <v>48</v>
      </c>
      <c r="C428">
        <v>649163</v>
      </c>
      <c r="D428">
        <v>2028942144</v>
      </c>
      <c r="E428" t="s">
        <v>662</v>
      </c>
      <c r="F428" t="s">
        <v>663</v>
      </c>
      <c r="G428" t="s">
        <v>51</v>
      </c>
      <c r="H428" t="s">
        <v>102</v>
      </c>
      <c r="I428" t="s">
        <v>116</v>
      </c>
      <c r="J428" t="s">
        <v>125</v>
      </c>
      <c r="K428">
        <v>820140</v>
      </c>
      <c r="L428" t="s">
        <v>103</v>
      </c>
      <c r="M428" t="s">
        <v>104</v>
      </c>
      <c r="N428" t="s">
        <v>57</v>
      </c>
      <c r="O428" s="1">
        <v>45792</v>
      </c>
      <c r="Q428" s="1">
        <v>45976</v>
      </c>
      <c r="R428" s="2">
        <v>31.6</v>
      </c>
      <c r="S428">
        <v>1</v>
      </c>
      <c r="T428" t="s">
        <v>58</v>
      </c>
      <c r="U428" t="s">
        <v>180</v>
      </c>
      <c r="V428" s="3">
        <v>0.3</v>
      </c>
      <c r="W428" s="2">
        <v>0</v>
      </c>
      <c r="X428">
        <v>0</v>
      </c>
      <c r="Y428" t="s">
        <v>60</v>
      </c>
      <c r="Z428" t="s">
        <v>182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9.48</v>
      </c>
      <c r="AN428" s="2">
        <v>9.48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45943</v>
      </c>
      <c r="B429" t="s">
        <v>48</v>
      </c>
      <c r="C429">
        <v>649163</v>
      </c>
      <c r="D429">
        <v>2028946855</v>
      </c>
      <c r="E429" t="s">
        <v>664</v>
      </c>
      <c r="F429" t="s">
        <v>665</v>
      </c>
      <c r="G429" t="s">
        <v>51</v>
      </c>
      <c r="H429" t="s">
        <v>272</v>
      </c>
      <c r="I429" t="s">
        <v>116</v>
      </c>
      <c r="J429" t="s">
        <v>125</v>
      </c>
      <c r="K429">
        <v>813184</v>
      </c>
      <c r="L429" t="s">
        <v>566</v>
      </c>
      <c r="M429" t="s">
        <v>567</v>
      </c>
      <c r="N429" t="s">
        <v>57</v>
      </c>
      <c r="O429" s="1">
        <v>45793</v>
      </c>
      <c r="Q429" s="1">
        <v>45977</v>
      </c>
      <c r="R429" s="2">
        <v>19</v>
      </c>
      <c r="S429">
        <v>1</v>
      </c>
      <c r="T429" t="s">
        <v>58</v>
      </c>
      <c r="U429" t="s">
        <v>180</v>
      </c>
      <c r="V429" s="3">
        <v>0.7</v>
      </c>
      <c r="W429" s="2">
        <v>0</v>
      </c>
      <c r="X429">
        <v>0</v>
      </c>
      <c r="Y429" t="s">
        <v>60</v>
      </c>
      <c r="Z429" t="s">
        <v>182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13.3</v>
      </c>
      <c r="AN429" s="2">
        <v>13.3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45943</v>
      </c>
      <c r="B430" t="s">
        <v>48</v>
      </c>
      <c r="C430">
        <v>649163</v>
      </c>
      <c r="D430">
        <v>2028958357</v>
      </c>
      <c r="E430" t="s">
        <v>275</v>
      </c>
      <c r="F430" t="s">
        <v>276</v>
      </c>
      <c r="G430" t="s">
        <v>51</v>
      </c>
      <c r="H430" t="s">
        <v>78</v>
      </c>
      <c r="I430" t="s">
        <v>116</v>
      </c>
      <c r="J430" t="s">
        <v>125</v>
      </c>
      <c r="K430">
        <v>673059</v>
      </c>
      <c r="L430" t="s">
        <v>55</v>
      </c>
      <c r="M430" t="s">
        <v>56</v>
      </c>
      <c r="N430" t="s">
        <v>57</v>
      </c>
      <c r="O430" s="1">
        <v>45793</v>
      </c>
      <c r="Q430" s="1">
        <v>45977</v>
      </c>
      <c r="R430" s="2">
        <v>118.33</v>
      </c>
      <c r="S430">
        <v>1</v>
      </c>
      <c r="T430" t="s">
        <v>58</v>
      </c>
      <c r="U430" t="s">
        <v>180</v>
      </c>
      <c r="V430" s="3">
        <v>0.7</v>
      </c>
      <c r="W430" s="2">
        <v>0</v>
      </c>
      <c r="X430">
        <v>0</v>
      </c>
      <c r="Y430" t="s">
        <v>60</v>
      </c>
      <c r="Z430" t="s">
        <v>182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82.83</v>
      </c>
      <c r="AN430" s="2">
        <v>82.83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45943</v>
      </c>
      <c r="B431" t="s">
        <v>48</v>
      </c>
      <c r="C431">
        <v>649163</v>
      </c>
      <c r="D431">
        <v>2028962513</v>
      </c>
      <c r="E431" t="s">
        <v>666</v>
      </c>
      <c r="F431" t="s">
        <v>106</v>
      </c>
      <c r="G431" t="s">
        <v>51</v>
      </c>
      <c r="H431" t="s">
        <v>225</v>
      </c>
      <c r="I431" t="s">
        <v>116</v>
      </c>
      <c r="J431" t="s">
        <v>125</v>
      </c>
      <c r="K431">
        <v>806645</v>
      </c>
      <c r="L431" t="s">
        <v>525</v>
      </c>
      <c r="M431" t="s">
        <v>526</v>
      </c>
      <c r="N431" t="s">
        <v>57</v>
      </c>
      <c r="O431" s="1">
        <v>45793</v>
      </c>
      <c r="Q431" s="1">
        <v>45977</v>
      </c>
      <c r="R431" s="2">
        <v>21.14</v>
      </c>
      <c r="S431">
        <v>1</v>
      </c>
      <c r="T431" t="s">
        <v>58</v>
      </c>
      <c r="U431" t="s">
        <v>180</v>
      </c>
      <c r="V431" s="3">
        <v>0.7</v>
      </c>
      <c r="W431" s="2">
        <v>0</v>
      </c>
      <c r="X431">
        <v>0</v>
      </c>
      <c r="Y431" t="s">
        <v>60</v>
      </c>
      <c r="Z431" t="s">
        <v>182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14.8</v>
      </c>
      <c r="AN431" s="2">
        <v>14.8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45943</v>
      </c>
      <c r="B432" t="s">
        <v>48</v>
      </c>
      <c r="C432">
        <v>649163</v>
      </c>
      <c r="D432">
        <v>2028963797</v>
      </c>
      <c r="E432" t="s">
        <v>537</v>
      </c>
      <c r="F432" t="s">
        <v>538</v>
      </c>
      <c r="G432" t="s">
        <v>51</v>
      </c>
      <c r="H432" t="s">
        <v>78</v>
      </c>
      <c r="I432" t="s">
        <v>116</v>
      </c>
      <c r="J432" t="s">
        <v>125</v>
      </c>
      <c r="K432">
        <v>806645</v>
      </c>
      <c r="L432" t="s">
        <v>525</v>
      </c>
      <c r="M432" t="s">
        <v>526</v>
      </c>
      <c r="N432" t="s">
        <v>57</v>
      </c>
      <c r="O432" s="1">
        <v>45793</v>
      </c>
      <c r="Q432" s="1">
        <v>45977</v>
      </c>
      <c r="R432" s="2">
        <v>11.5</v>
      </c>
      <c r="S432">
        <v>1</v>
      </c>
      <c r="T432" t="s">
        <v>58</v>
      </c>
      <c r="U432" t="s">
        <v>180</v>
      </c>
      <c r="V432" s="3">
        <v>0.7</v>
      </c>
      <c r="W432" s="2">
        <v>0</v>
      </c>
      <c r="X432">
        <v>0</v>
      </c>
      <c r="Y432" t="s">
        <v>60</v>
      </c>
      <c r="Z432" t="s">
        <v>182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8.0500000000000007</v>
      </c>
      <c r="AN432" s="2">
        <v>8.0500000000000007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45943</v>
      </c>
      <c r="B433" t="s">
        <v>48</v>
      </c>
      <c r="C433">
        <v>649163</v>
      </c>
      <c r="D433">
        <v>2028965776</v>
      </c>
      <c r="E433" t="s">
        <v>277</v>
      </c>
      <c r="F433" t="s">
        <v>278</v>
      </c>
      <c r="G433" t="s">
        <v>51</v>
      </c>
      <c r="H433" t="s">
        <v>78</v>
      </c>
      <c r="I433" t="s">
        <v>116</v>
      </c>
      <c r="J433" t="s">
        <v>125</v>
      </c>
      <c r="K433">
        <v>792847</v>
      </c>
      <c r="L433" t="s">
        <v>277</v>
      </c>
      <c r="M433" t="s">
        <v>279</v>
      </c>
      <c r="N433" t="s">
        <v>57</v>
      </c>
      <c r="O433" s="1">
        <v>45793</v>
      </c>
      <c r="Q433" s="1">
        <v>45977</v>
      </c>
      <c r="R433" s="2">
        <v>58.24</v>
      </c>
      <c r="S433">
        <v>1</v>
      </c>
      <c r="T433" t="s">
        <v>58</v>
      </c>
      <c r="U433" t="s">
        <v>180</v>
      </c>
      <c r="V433" s="3">
        <v>0.7</v>
      </c>
      <c r="W433" s="2">
        <v>0</v>
      </c>
      <c r="X433">
        <v>0</v>
      </c>
      <c r="Y433" t="s">
        <v>60</v>
      </c>
      <c r="Z433" t="s">
        <v>182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40.770000000000003</v>
      </c>
      <c r="AN433" s="2">
        <v>40.770000000000003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45943</v>
      </c>
      <c r="B434" t="s">
        <v>48</v>
      </c>
      <c r="C434">
        <v>649163</v>
      </c>
      <c r="D434">
        <v>2028965822</v>
      </c>
      <c r="E434" t="s">
        <v>667</v>
      </c>
      <c r="F434" t="s">
        <v>668</v>
      </c>
      <c r="G434" t="s">
        <v>51</v>
      </c>
      <c r="H434" t="s">
        <v>281</v>
      </c>
      <c r="I434" t="s">
        <v>116</v>
      </c>
      <c r="J434" t="s">
        <v>125</v>
      </c>
      <c r="K434">
        <v>792847</v>
      </c>
      <c r="L434" t="s">
        <v>277</v>
      </c>
      <c r="M434" t="s">
        <v>279</v>
      </c>
      <c r="N434" t="s">
        <v>57</v>
      </c>
      <c r="O434" s="1">
        <v>45793</v>
      </c>
      <c r="Q434" s="1">
        <v>45977</v>
      </c>
      <c r="R434" s="2">
        <v>34</v>
      </c>
      <c r="S434">
        <v>1</v>
      </c>
      <c r="T434" t="s">
        <v>58</v>
      </c>
      <c r="U434" t="s">
        <v>180</v>
      </c>
      <c r="V434" s="3">
        <v>0.7</v>
      </c>
      <c r="W434" s="2">
        <v>0</v>
      </c>
      <c r="X434">
        <v>0</v>
      </c>
      <c r="Y434" t="s">
        <v>60</v>
      </c>
      <c r="Z434" t="s">
        <v>182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23.8</v>
      </c>
      <c r="AN434" s="2">
        <v>23.8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45943</v>
      </c>
      <c r="B435" t="s">
        <v>48</v>
      </c>
      <c r="C435">
        <v>649163</v>
      </c>
      <c r="D435">
        <v>2028977072</v>
      </c>
      <c r="E435" t="s">
        <v>539</v>
      </c>
      <c r="F435" t="s">
        <v>540</v>
      </c>
      <c r="G435" t="s">
        <v>51</v>
      </c>
      <c r="H435" t="s">
        <v>219</v>
      </c>
      <c r="I435" t="s">
        <v>116</v>
      </c>
      <c r="J435" t="s">
        <v>125</v>
      </c>
      <c r="K435">
        <v>822865</v>
      </c>
      <c r="L435" t="s">
        <v>266</v>
      </c>
      <c r="M435" t="s">
        <v>267</v>
      </c>
      <c r="N435" t="s">
        <v>57</v>
      </c>
      <c r="O435" s="1">
        <v>45794</v>
      </c>
      <c r="Q435" s="1">
        <v>45978</v>
      </c>
      <c r="R435" s="2">
        <v>50.6</v>
      </c>
      <c r="S435">
        <v>1</v>
      </c>
      <c r="T435" t="s">
        <v>58</v>
      </c>
      <c r="U435" t="s">
        <v>180</v>
      </c>
      <c r="V435" s="3">
        <v>0.7</v>
      </c>
      <c r="W435" s="2">
        <v>0</v>
      </c>
      <c r="X435">
        <v>0</v>
      </c>
      <c r="Y435" t="s">
        <v>60</v>
      </c>
      <c r="Z435" t="s">
        <v>182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35.42</v>
      </c>
      <c r="AN435" s="2">
        <v>35.42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45943</v>
      </c>
      <c r="B436" t="s">
        <v>48</v>
      </c>
      <c r="C436">
        <v>649163</v>
      </c>
      <c r="D436">
        <v>2029056123</v>
      </c>
      <c r="E436" t="s">
        <v>530</v>
      </c>
      <c r="F436" t="s">
        <v>542</v>
      </c>
      <c r="G436" t="s">
        <v>51</v>
      </c>
      <c r="H436" t="s">
        <v>91</v>
      </c>
      <c r="I436" t="s">
        <v>116</v>
      </c>
      <c r="J436" t="s">
        <v>125</v>
      </c>
      <c r="K436">
        <v>792847</v>
      </c>
      <c r="L436" t="s">
        <v>277</v>
      </c>
      <c r="M436" t="s">
        <v>279</v>
      </c>
      <c r="N436" t="s">
        <v>57</v>
      </c>
      <c r="O436" s="1">
        <v>45799</v>
      </c>
      <c r="Q436" s="1">
        <v>45952</v>
      </c>
      <c r="R436" s="2">
        <v>83</v>
      </c>
      <c r="S436">
        <v>1</v>
      </c>
      <c r="T436" t="s">
        <v>58</v>
      </c>
      <c r="U436" t="s">
        <v>180</v>
      </c>
      <c r="V436" s="3">
        <v>0.7</v>
      </c>
      <c r="W436" s="2">
        <v>0</v>
      </c>
      <c r="X436">
        <v>0</v>
      </c>
      <c r="Y436" t="s">
        <v>60</v>
      </c>
      <c r="Z436" t="s">
        <v>182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58.1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45943</v>
      </c>
      <c r="B437" t="s">
        <v>48</v>
      </c>
      <c r="C437">
        <v>649163</v>
      </c>
      <c r="D437">
        <v>2029174126</v>
      </c>
      <c r="E437" t="s">
        <v>669</v>
      </c>
      <c r="F437" t="s">
        <v>670</v>
      </c>
      <c r="G437" t="s">
        <v>51</v>
      </c>
      <c r="H437" t="s">
        <v>119</v>
      </c>
      <c r="I437" t="s">
        <v>116</v>
      </c>
      <c r="J437" t="s">
        <v>120</v>
      </c>
      <c r="K437">
        <v>652037</v>
      </c>
      <c r="L437" t="s">
        <v>222</v>
      </c>
      <c r="M437" t="s">
        <v>223</v>
      </c>
      <c r="N437" t="s">
        <v>57</v>
      </c>
      <c r="O437" s="1">
        <v>45809</v>
      </c>
      <c r="Q437" s="1">
        <v>45992</v>
      </c>
      <c r="R437" s="2">
        <v>41.88</v>
      </c>
      <c r="S437">
        <v>1</v>
      </c>
      <c r="T437" t="s">
        <v>58</v>
      </c>
      <c r="U437" t="s">
        <v>180</v>
      </c>
      <c r="V437" s="3">
        <v>0.9</v>
      </c>
      <c r="W437" s="2">
        <v>0</v>
      </c>
      <c r="X437">
        <v>0</v>
      </c>
      <c r="Y437" t="s">
        <v>60</v>
      </c>
      <c r="Z437" t="s">
        <v>182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37.69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45943</v>
      </c>
      <c r="B438" t="s">
        <v>48</v>
      </c>
      <c r="C438">
        <v>649163</v>
      </c>
      <c r="D438">
        <v>2029177108</v>
      </c>
      <c r="E438" t="s">
        <v>282</v>
      </c>
      <c r="F438" t="s">
        <v>283</v>
      </c>
      <c r="G438" t="s">
        <v>51</v>
      </c>
      <c r="H438" t="s">
        <v>78</v>
      </c>
      <c r="I438" t="s">
        <v>116</v>
      </c>
      <c r="J438" t="s">
        <v>125</v>
      </c>
      <c r="K438">
        <v>820873</v>
      </c>
      <c r="L438" t="s">
        <v>284</v>
      </c>
      <c r="M438" t="s">
        <v>285</v>
      </c>
      <c r="N438" t="s">
        <v>179</v>
      </c>
      <c r="O438" s="1">
        <v>45809</v>
      </c>
      <c r="P438" s="1">
        <v>45943</v>
      </c>
      <c r="Q438" s="1">
        <v>45962</v>
      </c>
      <c r="R438" s="2">
        <v>-34</v>
      </c>
      <c r="S438">
        <v>1</v>
      </c>
      <c r="T438" t="s">
        <v>58</v>
      </c>
      <c r="U438" t="s">
        <v>180</v>
      </c>
      <c r="V438" s="3">
        <v>0.7</v>
      </c>
      <c r="W438" s="2">
        <v>0</v>
      </c>
      <c r="X438">
        <v>-1</v>
      </c>
      <c r="Y438" t="s">
        <v>60</v>
      </c>
      <c r="Z438" t="s">
        <v>182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-23.8</v>
      </c>
      <c r="AN438" s="2">
        <v>-23.8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45943</v>
      </c>
      <c r="B439" t="s">
        <v>48</v>
      </c>
      <c r="C439">
        <v>649163</v>
      </c>
      <c r="D439">
        <v>2029177108</v>
      </c>
      <c r="E439" t="s">
        <v>282</v>
      </c>
      <c r="F439" t="s">
        <v>283</v>
      </c>
      <c r="G439" t="s">
        <v>51</v>
      </c>
      <c r="H439" t="s">
        <v>78</v>
      </c>
      <c r="I439" t="s">
        <v>116</v>
      </c>
      <c r="J439" t="s">
        <v>125</v>
      </c>
      <c r="K439">
        <v>820873</v>
      </c>
      <c r="L439" t="s">
        <v>284</v>
      </c>
      <c r="M439" t="s">
        <v>285</v>
      </c>
      <c r="N439" t="s">
        <v>179</v>
      </c>
      <c r="O439" s="1">
        <v>45809</v>
      </c>
      <c r="P439" s="1">
        <v>45943</v>
      </c>
      <c r="Q439" s="1">
        <v>45962</v>
      </c>
      <c r="R439" s="2">
        <v>-34</v>
      </c>
      <c r="S439">
        <v>1</v>
      </c>
      <c r="T439" t="s">
        <v>58</v>
      </c>
      <c r="U439" t="s">
        <v>180</v>
      </c>
      <c r="V439" s="3">
        <v>0.7</v>
      </c>
      <c r="W439" s="2">
        <v>0</v>
      </c>
      <c r="X439">
        <v>-1</v>
      </c>
      <c r="Y439" t="s">
        <v>60</v>
      </c>
      <c r="Z439" t="s">
        <v>182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-23.8</v>
      </c>
      <c r="AN439" s="2">
        <v>-23.8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45943</v>
      </c>
      <c r="B440" t="s">
        <v>48</v>
      </c>
      <c r="C440">
        <v>649163</v>
      </c>
      <c r="D440">
        <v>2029185272</v>
      </c>
      <c r="E440" t="s">
        <v>286</v>
      </c>
      <c r="F440" t="s">
        <v>287</v>
      </c>
      <c r="G440" t="s">
        <v>51</v>
      </c>
      <c r="H440" t="s">
        <v>288</v>
      </c>
      <c r="I440" t="s">
        <v>116</v>
      </c>
      <c r="J440" t="s">
        <v>125</v>
      </c>
      <c r="K440">
        <v>673059</v>
      </c>
      <c r="L440" t="s">
        <v>55</v>
      </c>
      <c r="M440" t="s">
        <v>56</v>
      </c>
      <c r="N440" t="s">
        <v>57</v>
      </c>
      <c r="O440" s="1">
        <v>45825</v>
      </c>
      <c r="Q440" s="1">
        <v>45978</v>
      </c>
      <c r="R440" s="2">
        <v>10.82</v>
      </c>
      <c r="S440">
        <v>1</v>
      </c>
      <c r="T440" t="s">
        <v>58</v>
      </c>
      <c r="U440" t="s">
        <v>180</v>
      </c>
      <c r="V440" s="3">
        <v>0.7</v>
      </c>
      <c r="W440" s="2">
        <v>0</v>
      </c>
      <c r="X440">
        <v>0</v>
      </c>
      <c r="Y440" t="s">
        <v>60</v>
      </c>
      <c r="Z440" t="s">
        <v>182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7.57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45943</v>
      </c>
      <c r="B441" t="s">
        <v>48</v>
      </c>
      <c r="C441">
        <v>649163</v>
      </c>
      <c r="D441">
        <v>2029192286</v>
      </c>
      <c r="E441" t="s">
        <v>671</v>
      </c>
      <c r="F441" t="s">
        <v>265</v>
      </c>
      <c r="G441" t="s">
        <v>51</v>
      </c>
      <c r="H441" t="s">
        <v>91</v>
      </c>
      <c r="I441" t="s">
        <v>116</v>
      </c>
      <c r="J441" t="s">
        <v>125</v>
      </c>
      <c r="K441">
        <v>792847</v>
      </c>
      <c r="L441" t="s">
        <v>277</v>
      </c>
      <c r="M441" t="s">
        <v>279</v>
      </c>
      <c r="N441" t="s">
        <v>57</v>
      </c>
      <c r="O441" s="1">
        <v>45815</v>
      </c>
      <c r="Q441" s="1">
        <v>45968</v>
      </c>
      <c r="R441" s="2">
        <v>68.61</v>
      </c>
      <c r="S441">
        <v>1</v>
      </c>
      <c r="T441" t="s">
        <v>58</v>
      </c>
      <c r="U441" t="s">
        <v>180</v>
      </c>
      <c r="V441" s="3">
        <v>0.7</v>
      </c>
      <c r="W441" s="2">
        <v>0</v>
      </c>
      <c r="X441">
        <v>0</v>
      </c>
      <c r="Y441" t="s">
        <v>60</v>
      </c>
      <c r="Z441" t="s">
        <v>182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48.03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45943</v>
      </c>
      <c r="B442" t="s">
        <v>48</v>
      </c>
      <c r="C442">
        <v>649163</v>
      </c>
      <c r="D442">
        <v>2029292996</v>
      </c>
      <c r="E442" t="s">
        <v>289</v>
      </c>
      <c r="F442" t="s">
        <v>290</v>
      </c>
      <c r="G442" t="s">
        <v>51</v>
      </c>
      <c r="H442" t="s">
        <v>91</v>
      </c>
      <c r="I442" t="s">
        <v>116</v>
      </c>
      <c r="J442" t="s">
        <v>125</v>
      </c>
      <c r="K442">
        <v>856824</v>
      </c>
      <c r="L442" t="s">
        <v>156</v>
      </c>
      <c r="M442" t="s">
        <v>157</v>
      </c>
      <c r="N442" t="s">
        <v>179</v>
      </c>
      <c r="O442" s="1">
        <v>45839</v>
      </c>
      <c r="P442" s="1">
        <v>45936</v>
      </c>
      <c r="Q442" s="1">
        <v>45962</v>
      </c>
      <c r="R442" s="2">
        <v>-83</v>
      </c>
      <c r="S442">
        <v>1</v>
      </c>
      <c r="T442" t="s">
        <v>58</v>
      </c>
      <c r="U442" t="s">
        <v>180</v>
      </c>
      <c r="V442" s="3">
        <v>0.7</v>
      </c>
      <c r="W442" s="2">
        <v>0</v>
      </c>
      <c r="X442">
        <v>-1</v>
      </c>
      <c r="Y442" t="s">
        <v>60</v>
      </c>
      <c r="Z442" t="s">
        <v>182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-58.1</v>
      </c>
      <c r="AN442" s="2">
        <v>-58.1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45943</v>
      </c>
      <c r="B443" t="s">
        <v>48</v>
      </c>
      <c r="C443">
        <v>649163</v>
      </c>
      <c r="D443">
        <v>2029378057</v>
      </c>
      <c r="E443" t="s">
        <v>328</v>
      </c>
      <c r="F443" t="s">
        <v>544</v>
      </c>
      <c r="G443" t="s">
        <v>51</v>
      </c>
      <c r="H443" t="s">
        <v>91</v>
      </c>
      <c r="I443" t="s">
        <v>116</v>
      </c>
      <c r="J443" t="s">
        <v>125</v>
      </c>
      <c r="K443">
        <v>823350</v>
      </c>
      <c r="L443" t="s">
        <v>65</v>
      </c>
      <c r="M443" t="s">
        <v>66</v>
      </c>
      <c r="N443" t="s">
        <v>57</v>
      </c>
      <c r="O443" s="1">
        <v>45820</v>
      </c>
      <c r="Q443" s="1">
        <v>45973</v>
      </c>
      <c r="R443" s="2">
        <v>261</v>
      </c>
      <c r="S443">
        <v>1</v>
      </c>
      <c r="T443" t="s">
        <v>58</v>
      </c>
      <c r="U443" t="s">
        <v>180</v>
      </c>
      <c r="V443" s="3">
        <v>0.7</v>
      </c>
      <c r="W443" s="2">
        <v>0</v>
      </c>
      <c r="X443">
        <v>0</v>
      </c>
      <c r="Y443" t="s">
        <v>60</v>
      </c>
      <c r="Z443" t="s">
        <v>182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182.7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45943</v>
      </c>
      <c r="B444" t="s">
        <v>48</v>
      </c>
      <c r="C444">
        <v>649163</v>
      </c>
      <c r="D444">
        <v>2029378058</v>
      </c>
      <c r="E444" t="s">
        <v>328</v>
      </c>
      <c r="F444" t="s">
        <v>544</v>
      </c>
      <c r="G444" t="s">
        <v>51</v>
      </c>
      <c r="H444" t="s">
        <v>91</v>
      </c>
      <c r="I444" t="s">
        <v>116</v>
      </c>
      <c r="J444" t="s">
        <v>120</v>
      </c>
      <c r="K444">
        <v>823350</v>
      </c>
      <c r="L444" t="s">
        <v>65</v>
      </c>
      <c r="M444" t="s">
        <v>66</v>
      </c>
      <c r="N444" t="s">
        <v>57</v>
      </c>
      <c r="O444" s="1">
        <v>45820</v>
      </c>
      <c r="Q444" s="1">
        <v>45973</v>
      </c>
      <c r="R444" s="2">
        <v>103.75</v>
      </c>
      <c r="S444">
        <v>1</v>
      </c>
      <c r="T444" t="s">
        <v>58</v>
      </c>
      <c r="U444" t="s">
        <v>180</v>
      </c>
      <c r="V444" s="3">
        <v>0.9</v>
      </c>
      <c r="W444" s="2">
        <v>0</v>
      </c>
      <c r="X444">
        <v>0</v>
      </c>
      <c r="Y444" t="s">
        <v>60</v>
      </c>
      <c r="Z444" t="s">
        <v>182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93.38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45943</v>
      </c>
      <c r="B445" t="s">
        <v>48</v>
      </c>
      <c r="C445">
        <v>649163</v>
      </c>
      <c r="D445">
        <v>2029398822</v>
      </c>
      <c r="E445" t="s">
        <v>672</v>
      </c>
      <c r="F445" t="s">
        <v>343</v>
      </c>
      <c r="G445" t="s">
        <v>51</v>
      </c>
      <c r="H445" t="s">
        <v>673</v>
      </c>
      <c r="I445" t="s">
        <v>116</v>
      </c>
      <c r="J445" t="s">
        <v>429</v>
      </c>
      <c r="K445">
        <v>856824</v>
      </c>
      <c r="L445" t="s">
        <v>156</v>
      </c>
      <c r="M445" t="s">
        <v>157</v>
      </c>
      <c r="N445" t="s">
        <v>57</v>
      </c>
      <c r="O445" s="1">
        <v>45819</v>
      </c>
      <c r="Q445" s="1">
        <v>45972</v>
      </c>
      <c r="R445" s="2">
        <v>12.83</v>
      </c>
      <c r="S445">
        <v>1</v>
      </c>
      <c r="T445" t="s">
        <v>58</v>
      </c>
      <c r="U445" t="s">
        <v>180</v>
      </c>
      <c r="V445" s="3">
        <v>0.42</v>
      </c>
      <c r="W445" s="2">
        <v>0</v>
      </c>
      <c r="X445">
        <v>0</v>
      </c>
      <c r="Y445" t="s">
        <v>60</v>
      </c>
      <c r="Z445" t="s">
        <v>182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5.39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45943</v>
      </c>
      <c r="B446" t="s">
        <v>48</v>
      </c>
      <c r="C446">
        <v>649163</v>
      </c>
      <c r="D446">
        <v>2029402295</v>
      </c>
      <c r="E446" t="s">
        <v>674</v>
      </c>
      <c r="F446" t="s">
        <v>675</v>
      </c>
      <c r="G446" t="s">
        <v>51</v>
      </c>
      <c r="H446" t="s">
        <v>78</v>
      </c>
      <c r="I446" t="s">
        <v>116</v>
      </c>
      <c r="J446" t="s">
        <v>125</v>
      </c>
      <c r="K446">
        <v>843573</v>
      </c>
      <c r="L446" t="s">
        <v>519</v>
      </c>
      <c r="M446" t="s">
        <v>520</v>
      </c>
      <c r="N446" t="s">
        <v>57</v>
      </c>
      <c r="O446" s="1">
        <v>45821</v>
      </c>
      <c r="Q446" s="1">
        <v>45974</v>
      </c>
      <c r="R446" s="2">
        <v>42.38</v>
      </c>
      <c r="S446">
        <v>1</v>
      </c>
      <c r="T446" t="s">
        <v>58</v>
      </c>
      <c r="U446" t="s">
        <v>180</v>
      </c>
      <c r="V446" s="3">
        <v>0.7</v>
      </c>
      <c r="W446" s="2">
        <v>0</v>
      </c>
      <c r="X446">
        <v>0</v>
      </c>
      <c r="Y446" t="s">
        <v>60</v>
      </c>
      <c r="Z446" t="s">
        <v>182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29.67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45943</v>
      </c>
      <c r="B447" t="s">
        <v>48</v>
      </c>
      <c r="C447">
        <v>649163</v>
      </c>
      <c r="D447">
        <v>2029410874</v>
      </c>
      <c r="E447" t="s">
        <v>314</v>
      </c>
      <c r="F447" t="s">
        <v>676</v>
      </c>
      <c r="G447" t="s">
        <v>51</v>
      </c>
      <c r="H447" t="s">
        <v>91</v>
      </c>
      <c r="I447" t="s">
        <v>116</v>
      </c>
      <c r="J447" t="s">
        <v>125</v>
      </c>
      <c r="K447">
        <v>822733</v>
      </c>
      <c r="L447" t="s">
        <v>645</v>
      </c>
      <c r="M447" t="s">
        <v>646</v>
      </c>
      <c r="N447" t="s">
        <v>57</v>
      </c>
      <c r="O447" s="1">
        <v>45821</v>
      </c>
      <c r="Q447" s="1">
        <v>45974</v>
      </c>
      <c r="R447" s="2">
        <v>48.76</v>
      </c>
      <c r="S447">
        <v>1</v>
      </c>
      <c r="T447" t="s">
        <v>58</v>
      </c>
      <c r="U447" t="s">
        <v>180</v>
      </c>
      <c r="V447" s="3">
        <v>0.7</v>
      </c>
      <c r="W447" s="2">
        <v>0</v>
      </c>
      <c r="X447">
        <v>0</v>
      </c>
      <c r="Y447" t="s">
        <v>60</v>
      </c>
      <c r="Z447" t="s">
        <v>182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34.130000000000003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45943</v>
      </c>
      <c r="B448" t="s">
        <v>48</v>
      </c>
      <c r="C448">
        <v>649163</v>
      </c>
      <c r="D448">
        <v>2029413864</v>
      </c>
      <c r="E448" t="s">
        <v>549</v>
      </c>
      <c r="F448" t="s">
        <v>550</v>
      </c>
      <c r="G448" t="s">
        <v>51</v>
      </c>
      <c r="H448" t="s">
        <v>91</v>
      </c>
      <c r="I448" t="s">
        <v>116</v>
      </c>
      <c r="J448" t="s">
        <v>125</v>
      </c>
      <c r="K448">
        <v>823350</v>
      </c>
      <c r="L448" t="s">
        <v>65</v>
      </c>
      <c r="M448" t="s">
        <v>66</v>
      </c>
      <c r="N448" t="s">
        <v>57</v>
      </c>
      <c r="O448" s="1">
        <v>45820</v>
      </c>
      <c r="Q448" s="1">
        <v>45973</v>
      </c>
      <c r="R448" s="2">
        <v>13</v>
      </c>
      <c r="S448">
        <v>1</v>
      </c>
      <c r="T448" t="s">
        <v>58</v>
      </c>
      <c r="U448" t="s">
        <v>180</v>
      </c>
      <c r="V448" s="3">
        <v>0.7</v>
      </c>
      <c r="W448" s="2">
        <v>0</v>
      </c>
      <c r="X448">
        <v>0</v>
      </c>
      <c r="Y448" t="s">
        <v>60</v>
      </c>
      <c r="Z448" t="s">
        <v>182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9.1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45943</v>
      </c>
      <c r="B449" t="s">
        <v>48</v>
      </c>
      <c r="C449">
        <v>649163</v>
      </c>
      <c r="D449">
        <v>2029432398</v>
      </c>
      <c r="E449" t="s">
        <v>677</v>
      </c>
      <c r="F449" t="s">
        <v>678</v>
      </c>
      <c r="G449" t="s">
        <v>51</v>
      </c>
      <c r="H449" t="s">
        <v>78</v>
      </c>
      <c r="I449" t="s">
        <v>116</v>
      </c>
      <c r="J449" t="s">
        <v>125</v>
      </c>
      <c r="K449">
        <v>807212</v>
      </c>
      <c r="L449" t="s">
        <v>151</v>
      </c>
      <c r="M449" t="s">
        <v>152</v>
      </c>
      <c r="N449" t="s">
        <v>57</v>
      </c>
      <c r="O449" s="1">
        <v>45821</v>
      </c>
      <c r="Q449" s="1">
        <v>45974</v>
      </c>
      <c r="R449" s="2">
        <v>19</v>
      </c>
      <c r="S449">
        <v>1</v>
      </c>
      <c r="T449" t="s">
        <v>58</v>
      </c>
      <c r="U449" t="s">
        <v>180</v>
      </c>
      <c r="V449" s="3">
        <v>0.7</v>
      </c>
      <c r="W449" s="2">
        <v>0</v>
      </c>
      <c r="X449">
        <v>0</v>
      </c>
      <c r="Y449" t="s">
        <v>60</v>
      </c>
      <c r="Z449" t="s">
        <v>182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13.3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45943</v>
      </c>
      <c r="B450" t="s">
        <v>48</v>
      </c>
      <c r="C450">
        <v>649163</v>
      </c>
      <c r="D450">
        <v>2029434655</v>
      </c>
      <c r="E450" t="s">
        <v>679</v>
      </c>
      <c r="F450" t="s">
        <v>680</v>
      </c>
      <c r="G450" t="s">
        <v>51</v>
      </c>
      <c r="H450" t="s">
        <v>225</v>
      </c>
      <c r="I450" t="s">
        <v>116</v>
      </c>
      <c r="J450" t="s">
        <v>125</v>
      </c>
      <c r="K450">
        <v>812782</v>
      </c>
      <c r="L450" t="s">
        <v>160</v>
      </c>
      <c r="M450" t="s">
        <v>161</v>
      </c>
      <c r="N450" t="s">
        <v>57</v>
      </c>
      <c r="O450" s="1">
        <v>45821</v>
      </c>
      <c r="Q450" s="1">
        <v>45974</v>
      </c>
      <c r="R450" s="2">
        <v>83.79</v>
      </c>
      <c r="S450">
        <v>1</v>
      </c>
      <c r="T450" t="s">
        <v>58</v>
      </c>
      <c r="U450" t="s">
        <v>180</v>
      </c>
      <c r="V450" s="3">
        <v>0.7</v>
      </c>
      <c r="W450" s="2">
        <v>0</v>
      </c>
      <c r="X450">
        <v>0</v>
      </c>
      <c r="Y450" t="s">
        <v>60</v>
      </c>
      <c r="Z450" t="s">
        <v>182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58.65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45943</v>
      </c>
      <c r="B451" t="s">
        <v>48</v>
      </c>
      <c r="C451">
        <v>649163</v>
      </c>
      <c r="D451">
        <v>2029481266</v>
      </c>
      <c r="E451" t="s">
        <v>551</v>
      </c>
      <c r="F451" t="s">
        <v>552</v>
      </c>
      <c r="G451" t="s">
        <v>51</v>
      </c>
      <c r="H451" t="s">
        <v>107</v>
      </c>
      <c r="I451" t="s">
        <v>116</v>
      </c>
      <c r="J451" t="s">
        <v>125</v>
      </c>
      <c r="K451">
        <v>877790</v>
      </c>
      <c r="L451" t="s">
        <v>108</v>
      </c>
      <c r="M451" t="s">
        <v>109</v>
      </c>
      <c r="N451" t="s">
        <v>57</v>
      </c>
      <c r="O451" s="1">
        <v>45825</v>
      </c>
      <c r="Q451" s="1">
        <v>45978</v>
      </c>
      <c r="R451" s="2">
        <v>3.52</v>
      </c>
      <c r="S451">
        <v>1</v>
      </c>
      <c r="T451" t="s">
        <v>58</v>
      </c>
      <c r="U451" t="s">
        <v>180</v>
      </c>
      <c r="V451" s="3">
        <v>0.7</v>
      </c>
      <c r="W451" s="2">
        <v>0</v>
      </c>
      <c r="X451">
        <v>0</v>
      </c>
      <c r="Y451" t="s">
        <v>60</v>
      </c>
      <c r="Z451" t="s">
        <v>182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2.46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45943</v>
      </c>
      <c r="B452" t="s">
        <v>48</v>
      </c>
      <c r="C452">
        <v>649163</v>
      </c>
      <c r="D452">
        <v>2029486074</v>
      </c>
      <c r="E452" t="s">
        <v>376</v>
      </c>
      <c r="F452" t="s">
        <v>377</v>
      </c>
      <c r="G452" t="s">
        <v>51</v>
      </c>
      <c r="H452" t="s">
        <v>78</v>
      </c>
      <c r="I452" t="s">
        <v>116</v>
      </c>
      <c r="J452" t="s">
        <v>125</v>
      </c>
      <c r="K452">
        <v>824062</v>
      </c>
      <c r="L452" t="s">
        <v>126</v>
      </c>
      <c r="M452" t="s">
        <v>127</v>
      </c>
      <c r="N452" t="s">
        <v>57</v>
      </c>
      <c r="O452" s="1">
        <v>45825</v>
      </c>
      <c r="Q452" s="1">
        <v>45978</v>
      </c>
      <c r="R452" s="2">
        <v>34.68</v>
      </c>
      <c r="S452">
        <v>1</v>
      </c>
      <c r="T452" t="s">
        <v>58</v>
      </c>
      <c r="U452" t="s">
        <v>180</v>
      </c>
      <c r="V452" s="3">
        <v>0.7</v>
      </c>
      <c r="W452" s="2">
        <v>0</v>
      </c>
      <c r="X452">
        <v>0</v>
      </c>
      <c r="Y452" t="s">
        <v>60</v>
      </c>
      <c r="Z452" t="s">
        <v>182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24.28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45943</v>
      </c>
      <c r="B453" t="s">
        <v>48</v>
      </c>
      <c r="C453">
        <v>649163</v>
      </c>
      <c r="D453">
        <v>2029488849</v>
      </c>
      <c r="E453" t="s">
        <v>639</v>
      </c>
      <c r="F453" t="s">
        <v>681</v>
      </c>
      <c r="G453" t="s">
        <v>51</v>
      </c>
      <c r="H453" t="s">
        <v>78</v>
      </c>
      <c r="I453" t="s">
        <v>116</v>
      </c>
      <c r="J453" t="s">
        <v>120</v>
      </c>
      <c r="K453">
        <v>807212</v>
      </c>
      <c r="L453" t="s">
        <v>151</v>
      </c>
      <c r="M453" t="s">
        <v>152</v>
      </c>
      <c r="N453" t="s">
        <v>57</v>
      </c>
      <c r="O453" s="1">
        <v>45825</v>
      </c>
      <c r="Q453" s="1">
        <v>45978</v>
      </c>
      <c r="R453" s="2">
        <v>21.6</v>
      </c>
      <c r="S453">
        <v>1</v>
      </c>
      <c r="T453" t="s">
        <v>58</v>
      </c>
      <c r="U453" t="s">
        <v>180</v>
      </c>
      <c r="V453" s="3">
        <v>0.9</v>
      </c>
      <c r="W453" s="2">
        <v>0</v>
      </c>
      <c r="X453">
        <v>0</v>
      </c>
      <c r="Y453" t="s">
        <v>60</v>
      </c>
      <c r="Z453" t="s">
        <v>182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19.440000000000001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45943</v>
      </c>
      <c r="B454" t="s">
        <v>48</v>
      </c>
      <c r="C454">
        <v>649163</v>
      </c>
      <c r="D454">
        <v>2029844783</v>
      </c>
      <c r="E454" t="s">
        <v>227</v>
      </c>
      <c r="F454" t="s">
        <v>378</v>
      </c>
      <c r="G454" t="s">
        <v>51</v>
      </c>
      <c r="H454" t="s">
        <v>78</v>
      </c>
      <c r="I454" t="s">
        <v>116</v>
      </c>
      <c r="J454" t="s">
        <v>125</v>
      </c>
      <c r="K454">
        <v>768887</v>
      </c>
      <c r="L454" t="s">
        <v>139</v>
      </c>
      <c r="M454" t="s">
        <v>140</v>
      </c>
      <c r="N454" t="s">
        <v>57</v>
      </c>
      <c r="O454" s="1">
        <v>45849</v>
      </c>
      <c r="Q454" s="1">
        <v>45972</v>
      </c>
      <c r="R454" s="2">
        <v>126.92</v>
      </c>
      <c r="S454">
        <v>1</v>
      </c>
      <c r="T454" t="s">
        <v>58</v>
      </c>
      <c r="U454" t="s">
        <v>180</v>
      </c>
      <c r="V454" s="3">
        <v>0.7</v>
      </c>
      <c r="W454" s="2">
        <v>0</v>
      </c>
      <c r="X454">
        <v>0</v>
      </c>
      <c r="Y454" t="s">
        <v>60</v>
      </c>
      <c r="Z454" t="s">
        <v>182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88.84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45943</v>
      </c>
      <c r="B455" t="s">
        <v>48</v>
      </c>
      <c r="C455">
        <v>649163</v>
      </c>
      <c r="D455">
        <v>2029878252</v>
      </c>
      <c r="E455" t="s">
        <v>291</v>
      </c>
      <c r="F455" t="s">
        <v>161</v>
      </c>
      <c r="G455" t="s">
        <v>51</v>
      </c>
      <c r="H455" t="s">
        <v>78</v>
      </c>
      <c r="I455" t="s">
        <v>116</v>
      </c>
      <c r="J455" t="s">
        <v>125</v>
      </c>
      <c r="K455">
        <v>824076</v>
      </c>
      <c r="L455" t="s">
        <v>292</v>
      </c>
      <c r="M455" t="s">
        <v>293</v>
      </c>
      <c r="N455" t="s">
        <v>57</v>
      </c>
      <c r="O455" s="1">
        <v>45853</v>
      </c>
      <c r="Q455" s="1">
        <v>45976</v>
      </c>
      <c r="R455" s="2">
        <v>39.25</v>
      </c>
      <c r="S455">
        <v>1</v>
      </c>
      <c r="T455" t="s">
        <v>58</v>
      </c>
      <c r="U455" t="s">
        <v>180</v>
      </c>
      <c r="V455" s="3">
        <v>0.7</v>
      </c>
      <c r="W455" s="2">
        <v>0</v>
      </c>
      <c r="X455">
        <v>0</v>
      </c>
      <c r="Y455" t="s">
        <v>60</v>
      </c>
      <c r="Z455" t="s">
        <v>182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27.48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45943</v>
      </c>
      <c r="B456" t="s">
        <v>48</v>
      </c>
      <c r="C456">
        <v>649163</v>
      </c>
      <c r="D456">
        <v>2029887595</v>
      </c>
      <c r="E456" t="s">
        <v>165</v>
      </c>
      <c r="F456" t="s">
        <v>294</v>
      </c>
      <c r="G456" t="s">
        <v>51</v>
      </c>
      <c r="H456" t="s">
        <v>91</v>
      </c>
      <c r="I456" t="s">
        <v>116</v>
      </c>
      <c r="J456" t="s">
        <v>125</v>
      </c>
      <c r="K456">
        <v>753748</v>
      </c>
      <c r="L456" t="s">
        <v>168</v>
      </c>
      <c r="M456" t="s">
        <v>169</v>
      </c>
      <c r="N456" t="s">
        <v>57</v>
      </c>
      <c r="O456" s="1">
        <v>45870</v>
      </c>
      <c r="Q456" s="1">
        <v>45962</v>
      </c>
      <c r="R456" s="2">
        <v>141.47</v>
      </c>
      <c r="S456">
        <v>1</v>
      </c>
      <c r="T456" t="s">
        <v>58</v>
      </c>
      <c r="U456" t="s">
        <v>180</v>
      </c>
      <c r="V456" s="3">
        <v>0.7</v>
      </c>
      <c r="W456" s="2">
        <v>0</v>
      </c>
      <c r="X456">
        <v>0</v>
      </c>
      <c r="Y456" t="s">
        <v>60</v>
      </c>
      <c r="Z456" t="s">
        <v>182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99.03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45943</v>
      </c>
      <c r="B457" t="s">
        <v>48</v>
      </c>
      <c r="C457">
        <v>649163</v>
      </c>
      <c r="D457">
        <v>2029894139</v>
      </c>
      <c r="E457" t="s">
        <v>218</v>
      </c>
      <c r="F457" t="s">
        <v>196</v>
      </c>
      <c r="G457" t="s">
        <v>51</v>
      </c>
      <c r="H457" t="s">
        <v>219</v>
      </c>
      <c r="I457" t="s">
        <v>116</v>
      </c>
      <c r="J457" t="s">
        <v>125</v>
      </c>
      <c r="K457">
        <v>673059</v>
      </c>
      <c r="L457" t="s">
        <v>55</v>
      </c>
      <c r="M457" t="s">
        <v>56</v>
      </c>
      <c r="N457" t="s">
        <v>57</v>
      </c>
      <c r="O457" s="1">
        <v>45852</v>
      </c>
      <c r="Q457" s="1">
        <v>45975</v>
      </c>
      <c r="R457" s="2">
        <v>198.4</v>
      </c>
      <c r="S457">
        <v>1</v>
      </c>
      <c r="T457" t="s">
        <v>58</v>
      </c>
      <c r="U457" t="s">
        <v>180</v>
      </c>
      <c r="V457" s="3">
        <v>0.7</v>
      </c>
      <c r="W457" s="2">
        <v>0</v>
      </c>
      <c r="X457">
        <v>0</v>
      </c>
      <c r="Y457" t="s">
        <v>60</v>
      </c>
      <c r="Z457" t="s">
        <v>182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138.88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45943</v>
      </c>
      <c r="B458" t="s">
        <v>48</v>
      </c>
      <c r="D458">
        <v>2029894140</v>
      </c>
      <c r="E458" t="s">
        <v>218</v>
      </c>
      <c r="F458" t="s">
        <v>196</v>
      </c>
      <c r="G458" t="s">
        <v>51</v>
      </c>
      <c r="H458" t="s">
        <v>219</v>
      </c>
      <c r="I458" t="s">
        <v>116</v>
      </c>
      <c r="J458" t="s">
        <v>117</v>
      </c>
      <c r="L458" t="s">
        <v>55</v>
      </c>
      <c r="M458" t="s">
        <v>56</v>
      </c>
      <c r="N458" t="s">
        <v>57</v>
      </c>
      <c r="O458" s="1">
        <v>45852</v>
      </c>
      <c r="Q458" s="1">
        <v>45975</v>
      </c>
      <c r="R458" s="2">
        <v>23.39</v>
      </c>
      <c r="S458">
        <v>1</v>
      </c>
      <c r="T458" t="s">
        <v>58</v>
      </c>
      <c r="U458" t="s">
        <v>180</v>
      </c>
      <c r="V458" s="3">
        <v>0.7</v>
      </c>
      <c r="W458" s="2">
        <v>0</v>
      </c>
      <c r="X458">
        <v>0</v>
      </c>
      <c r="Y458" t="s">
        <v>60</v>
      </c>
      <c r="Z458" t="s">
        <v>182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16.37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45943</v>
      </c>
      <c r="B459" t="s">
        <v>48</v>
      </c>
      <c r="C459">
        <v>649163</v>
      </c>
      <c r="D459">
        <v>2029894409</v>
      </c>
      <c r="E459" t="s">
        <v>90</v>
      </c>
      <c r="F459" t="s">
        <v>553</v>
      </c>
      <c r="G459" t="s">
        <v>51</v>
      </c>
      <c r="H459" t="s">
        <v>107</v>
      </c>
      <c r="I459" t="s">
        <v>116</v>
      </c>
      <c r="J459" t="s">
        <v>125</v>
      </c>
      <c r="K459">
        <v>877790</v>
      </c>
      <c r="L459" t="s">
        <v>108</v>
      </c>
      <c r="M459" t="s">
        <v>109</v>
      </c>
      <c r="N459" t="s">
        <v>57</v>
      </c>
      <c r="O459" s="1">
        <v>45849</v>
      </c>
      <c r="Q459" s="1">
        <v>45972</v>
      </c>
      <c r="R459" s="2">
        <v>4.7699999999999996</v>
      </c>
      <c r="S459">
        <v>1</v>
      </c>
      <c r="T459" t="s">
        <v>58</v>
      </c>
      <c r="U459" t="s">
        <v>180</v>
      </c>
      <c r="V459" s="3">
        <v>0.7</v>
      </c>
      <c r="W459" s="2">
        <v>0</v>
      </c>
      <c r="X459">
        <v>0</v>
      </c>
      <c r="Y459" t="s">
        <v>60</v>
      </c>
      <c r="Z459" t="s">
        <v>182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3.34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45943</v>
      </c>
      <c r="B460" t="s">
        <v>48</v>
      </c>
      <c r="C460">
        <v>649163</v>
      </c>
      <c r="D460">
        <v>2029904976</v>
      </c>
      <c r="E460" t="s">
        <v>554</v>
      </c>
      <c r="F460" t="s">
        <v>555</v>
      </c>
      <c r="G460" t="s">
        <v>51</v>
      </c>
      <c r="H460" t="s">
        <v>225</v>
      </c>
      <c r="I460" t="s">
        <v>116</v>
      </c>
      <c r="J460" t="s">
        <v>125</v>
      </c>
      <c r="K460">
        <v>651818</v>
      </c>
      <c r="L460" t="s">
        <v>260</v>
      </c>
      <c r="M460" t="s">
        <v>261</v>
      </c>
      <c r="N460" t="s">
        <v>57</v>
      </c>
      <c r="O460" s="1">
        <v>45850</v>
      </c>
      <c r="Q460" s="1">
        <v>45973</v>
      </c>
      <c r="R460" s="2">
        <v>10.35</v>
      </c>
      <c r="S460">
        <v>1</v>
      </c>
      <c r="T460" t="s">
        <v>58</v>
      </c>
      <c r="U460" t="s">
        <v>180</v>
      </c>
      <c r="V460" s="3">
        <v>0.7</v>
      </c>
      <c r="W460" s="2">
        <v>0</v>
      </c>
      <c r="X460">
        <v>0</v>
      </c>
      <c r="Y460" t="s">
        <v>60</v>
      </c>
      <c r="Z460" t="s">
        <v>182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7.24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45943</v>
      </c>
      <c r="B461" t="s">
        <v>48</v>
      </c>
      <c r="C461">
        <v>649163</v>
      </c>
      <c r="D461">
        <v>2029907849</v>
      </c>
      <c r="E461" t="s">
        <v>559</v>
      </c>
      <c r="F461" t="s">
        <v>558</v>
      </c>
      <c r="G461" t="s">
        <v>51</v>
      </c>
      <c r="H461" t="s">
        <v>107</v>
      </c>
      <c r="I461" t="s">
        <v>116</v>
      </c>
      <c r="J461" t="s">
        <v>120</v>
      </c>
      <c r="K461">
        <v>877790</v>
      </c>
      <c r="L461" t="s">
        <v>108</v>
      </c>
      <c r="M461" t="s">
        <v>109</v>
      </c>
      <c r="N461" t="s">
        <v>57</v>
      </c>
      <c r="O461" s="1">
        <v>45850</v>
      </c>
      <c r="Q461" s="1">
        <v>45973</v>
      </c>
      <c r="R461" s="2">
        <v>14.75</v>
      </c>
      <c r="S461">
        <v>1</v>
      </c>
      <c r="T461" t="s">
        <v>58</v>
      </c>
      <c r="U461" t="s">
        <v>180</v>
      </c>
      <c r="V461" s="3">
        <v>0.9</v>
      </c>
      <c r="W461" s="2">
        <v>0</v>
      </c>
      <c r="X461">
        <v>0</v>
      </c>
      <c r="Y461" t="s">
        <v>60</v>
      </c>
      <c r="Z461" t="s">
        <v>182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13.28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45943</v>
      </c>
      <c r="B462" t="s">
        <v>48</v>
      </c>
      <c r="C462">
        <v>649163</v>
      </c>
      <c r="D462">
        <v>2029910878</v>
      </c>
      <c r="E462" t="s">
        <v>295</v>
      </c>
      <c r="F462" t="s">
        <v>296</v>
      </c>
      <c r="G462" t="s">
        <v>51</v>
      </c>
      <c r="H462" t="s">
        <v>281</v>
      </c>
      <c r="I462" t="s">
        <v>116</v>
      </c>
      <c r="J462" t="s">
        <v>125</v>
      </c>
      <c r="K462">
        <v>792847</v>
      </c>
      <c r="L462" t="s">
        <v>277</v>
      </c>
      <c r="M462" t="s">
        <v>279</v>
      </c>
      <c r="N462" t="s">
        <v>57</v>
      </c>
      <c r="O462" s="1">
        <v>45850</v>
      </c>
      <c r="Q462" s="1">
        <v>45973</v>
      </c>
      <c r="R462" s="2">
        <v>175.37</v>
      </c>
      <c r="S462">
        <v>1</v>
      </c>
      <c r="T462" t="s">
        <v>58</v>
      </c>
      <c r="U462" t="s">
        <v>180</v>
      </c>
      <c r="V462" s="3">
        <v>0.7</v>
      </c>
      <c r="W462" s="2">
        <v>0</v>
      </c>
      <c r="X462">
        <v>0</v>
      </c>
      <c r="Y462" t="s">
        <v>60</v>
      </c>
      <c r="Z462" t="s">
        <v>182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122.76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45943</v>
      </c>
      <c r="B463" t="s">
        <v>48</v>
      </c>
      <c r="C463">
        <v>649163</v>
      </c>
      <c r="D463">
        <v>2029910891</v>
      </c>
      <c r="E463" t="s">
        <v>556</v>
      </c>
      <c r="F463" t="s">
        <v>557</v>
      </c>
      <c r="G463" t="s">
        <v>51</v>
      </c>
      <c r="H463" t="s">
        <v>91</v>
      </c>
      <c r="I463" t="s">
        <v>116</v>
      </c>
      <c r="J463" t="s">
        <v>125</v>
      </c>
      <c r="K463">
        <v>856824</v>
      </c>
      <c r="L463" t="s">
        <v>156</v>
      </c>
      <c r="M463" t="s">
        <v>157</v>
      </c>
      <c r="N463" t="s">
        <v>57</v>
      </c>
      <c r="O463" s="1">
        <v>45850</v>
      </c>
      <c r="Q463" s="1">
        <v>45973</v>
      </c>
      <c r="R463" s="2">
        <v>44.15</v>
      </c>
      <c r="S463">
        <v>1</v>
      </c>
      <c r="T463" t="s">
        <v>58</v>
      </c>
      <c r="U463" t="s">
        <v>180</v>
      </c>
      <c r="V463" s="3">
        <v>0.7</v>
      </c>
      <c r="W463" s="2">
        <v>0</v>
      </c>
      <c r="X463">
        <v>0</v>
      </c>
      <c r="Y463" t="s">
        <v>60</v>
      </c>
      <c r="Z463" t="s">
        <v>182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30.9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45943</v>
      </c>
      <c r="B464" t="s">
        <v>48</v>
      </c>
      <c r="C464">
        <v>649163</v>
      </c>
      <c r="D464">
        <v>2029935514</v>
      </c>
      <c r="E464" t="s">
        <v>682</v>
      </c>
      <c r="F464" t="s">
        <v>683</v>
      </c>
      <c r="G464" t="s">
        <v>51</v>
      </c>
      <c r="H464" t="s">
        <v>272</v>
      </c>
      <c r="I464" t="s">
        <v>116</v>
      </c>
      <c r="J464" t="s">
        <v>125</v>
      </c>
      <c r="K464">
        <v>822723</v>
      </c>
      <c r="L464" t="s">
        <v>273</v>
      </c>
      <c r="M464" t="s">
        <v>274</v>
      </c>
      <c r="N464" t="s">
        <v>57</v>
      </c>
      <c r="O464" s="1">
        <v>45853</v>
      </c>
      <c r="Q464" s="1">
        <v>45976</v>
      </c>
      <c r="R464" s="2">
        <v>155.81</v>
      </c>
      <c r="S464">
        <v>1</v>
      </c>
      <c r="T464" t="s">
        <v>58</v>
      </c>
      <c r="U464" t="s">
        <v>180</v>
      </c>
      <c r="V464" s="3">
        <v>0.7</v>
      </c>
      <c r="W464" s="2">
        <v>0</v>
      </c>
      <c r="X464">
        <v>0</v>
      </c>
      <c r="Y464" t="s">
        <v>60</v>
      </c>
      <c r="Z464" t="s">
        <v>182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109.07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45943</v>
      </c>
      <c r="B465" t="s">
        <v>48</v>
      </c>
      <c r="C465">
        <v>649163</v>
      </c>
      <c r="D465">
        <v>2029938123</v>
      </c>
      <c r="E465" t="s">
        <v>297</v>
      </c>
      <c r="F465" t="s">
        <v>298</v>
      </c>
      <c r="G465" t="s">
        <v>51</v>
      </c>
      <c r="H465" t="s">
        <v>299</v>
      </c>
      <c r="I465" t="s">
        <v>116</v>
      </c>
      <c r="J465" t="s">
        <v>125</v>
      </c>
      <c r="K465">
        <v>767312</v>
      </c>
      <c r="L465" t="s">
        <v>147</v>
      </c>
      <c r="M465" t="s">
        <v>148</v>
      </c>
      <c r="N465" t="s">
        <v>57</v>
      </c>
      <c r="O465" s="1">
        <v>45853</v>
      </c>
      <c r="Q465" s="1">
        <v>45976</v>
      </c>
      <c r="R465" s="2">
        <v>75.900000000000006</v>
      </c>
      <c r="S465">
        <v>1</v>
      </c>
      <c r="T465" t="s">
        <v>58</v>
      </c>
      <c r="U465" t="s">
        <v>180</v>
      </c>
      <c r="V465" s="3">
        <v>0.7</v>
      </c>
      <c r="W465" s="2">
        <v>0</v>
      </c>
      <c r="X465">
        <v>0</v>
      </c>
      <c r="Y465" t="s">
        <v>60</v>
      </c>
      <c r="Z465" t="s">
        <v>182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53.13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45943</v>
      </c>
      <c r="B466" t="s">
        <v>48</v>
      </c>
      <c r="C466">
        <v>649163</v>
      </c>
      <c r="D466">
        <v>2029951220</v>
      </c>
      <c r="E466" t="s">
        <v>684</v>
      </c>
      <c r="F466" t="s">
        <v>685</v>
      </c>
      <c r="G466" t="s">
        <v>51</v>
      </c>
      <c r="H466" t="s">
        <v>299</v>
      </c>
      <c r="I466" t="s">
        <v>116</v>
      </c>
      <c r="J466" t="s">
        <v>125</v>
      </c>
      <c r="K466">
        <v>673059</v>
      </c>
      <c r="L466" t="s">
        <v>55</v>
      </c>
      <c r="M466" t="s">
        <v>56</v>
      </c>
      <c r="N466" t="s">
        <v>57</v>
      </c>
      <c r="O466" s="1">
        <v>45853</v>
      </c>
      <c r="Q466" s="1">
        <v>45976</v>
      </c>
      <c r="R466" s="2">
        <v>125.48</v>
      </c>
      <c r="S466">
        <v>1</v>
      </c>
      <c r="T466" t="s">
        <v>58</v>
      </c>
      <c r="U466" t="s">
        <v>180</v>
      </c>
      <c r="V466" s="3">
        <v>0.7</v>
      </c>
      <c r="W466" s="2">
        <v>0</v>
      </c>
      <c r="X466">
        <v>0</v>
      </c>
      <c r="Y466" t="s">
        <v>60</v>
      </c>
      <c r="Z466" t="s">
        <v>182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87.84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45943</v>
      </c>
      <c r="B467" t="s">
        <v>48</v>
      </c>
      <c r="C467">
        <v>649163</v>
      </c>
      <c r="D467">
        <v>2029951924</v>
      </c>
      <c r="E467" t="s">
        <v>300</v>
      </c>
      <c r="F467" t="s">
        <v>301</v>
      </c>
      <c r="G467" t="s">
        <v>51</v>
      </c>
      <c r="H467" t="s">
        <v>78</v>
      </c>
      <c r="I467" t="s">
        <v>116</v>
      </c>
      <c r="J467" t="s">
        <v>125</v>
      </c>
      <c r="K467">
        <v>824076</v>
      </c>
      <c r="L467" t="s">
        <v>292</v>
      </c>
      <c r="M467" t="s">
        <v>293</v>
      </c>
      <c r="N467" t="s">
        <v>57</v>
      </c>
      <c r="O467" s="1">
        <v>45853</v>
      </c>
      <c r="Q467" s="1">
        <v>45976</v>
      </c>
      <c r="R467" s="2">
        <v>41.5</v>
      </c>
      <c r="S467">
        <v>1</v>
      </c>
      <c r="T467" t="s">
        <v>58</v>
      </c>
      <c r="U467" t="s">
        <v>180</v>
      </c>
      <c r="V467" s="3">
        <v>0.7</v>
      </c>
      <c r="W467" s="2">
        <v>0</v>
      </c>
      <c r="X467">
        <v>0</v>
      </c>
      <c r="Y467" t="s">
        <v>60</v>
      </c>
      <c r="Z467" t="s">
        <v>182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29.05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45943</v>
      </c>
      <c r="B468" t="s">
        <v>48</v>
      </c>
      <c r="C468">
        <v>649163</v>
      </c>
      <c r="D468">
        <v>2029955372</v>
      </c>
      <c r="E468" t="s">
        <v>302</v>
      </c>
      <c r="F468" t="s">
        <v>278</v>
      </c>
      <c r="G468" t="s">
        <v>51</v>
      </c>
      <c r="H468" t="s">
        <v>69</v>
      </c>
      <c r="I468" t="s">
        <v>116</v>
      </c>
      <c r="J468" t="s">
        <v>125</v>
      </c>
      <c r="K468">
        <v>824082</v>
      </c>
      <c r="L468" t="s">
        <v>303</v>
      </c>
      <c r="M468" t="s">
        <v>304</v>
      </c>
      <c r="N468" t="s">
        <v>57</v>
      </c>
      <c r="O468" s="1">
        <v>45853</v>
      </c>
      <c r="Q468" s="1">
        <v>45976</v>
      </c>
      <c r="R468" s="2">
        <v>9.6999999999999993</v>
      </c>
      <c r="S468">
        <v>1</v>
      </c>
      <c r="T468" t="s">
        <v>58</v>
      </c>
      <c r="U468" t="s">
        <v>180</v>
      </c>
      <c r="V468" s="3">
        <v>0.7</v>
      </c>
      <c r="W468" s="2">
        <v>0</v>
      </c>
      <c r="X468">
        <v>0</v>
      </c>
      <c r="Y468" t="s">
        <v>60</v>
      </c>
      <c r="Z468" t="s">
        <v>182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6.79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45943</v>
      </c>
      <c r="B469" t="s">
        <v>48</v>
      </c>
      <c r="C469">
        <v>649163</v>
      </c>
      <c r="D469">
        <v>2029956855</v>
      </c>
      <c r="E469" t="s">
        <v>686</v>
      </c>
      <c r="F469" t="s">
        <v>687</v>
      </c>
      <c r="G469" t="s">
        <v>51</v>
      </c>
      <c r="H469" t="s">
        <v>78</v>
      </c>
      <c r="I469" t="s">
        <v>116</v>
      </c>
      <c r="J469" t="s">
        <v>125</v>
      </c>
      <c r="K469">
        <v>839554</v>
      </c>
      <c r="L469" t="s">
        <v>688</v>
      </c>
      <c r="M469" t="s">
        <v>689</v>
      </c>
      <c r="N469" t="s">
        <v>57</v>
      </c>
      <c r="O469" s="1">
        <v>45883</v>
      </c>
      <c r="Q469" s="1">
        <v>45975</v>
      </c>
      <c r="R469" s="2">
        <v>11.5</v>
      </c>
      <c r="S469">
        <v>1</v>
      </c>
      <c r="T469" t="s">
        <v>58</v>
      </c>
      <c r="U469" t="s">
        <v>180</v>
      </c>
      <c r="V469" s="3">
        <v>0.7</v>
      </c>
      <c r="W469" s="2">
        <v>0</v>
      </c>
      <c r="X469">
        <v>0</v>
      </c>
      <c r="Y469" t="s">
        <v>60</v>
      </c>
      <c r="Z469" t="s">
        <v>182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8.0500000000000007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45943</v>
      </c>
      <c r="B470" t="s">
        <v>48</v>
      </c>
      <c r="C470">
        <v>649163</v>
      </c>
      <c r="D470">
        <v>2029957806</v>
      </c>
      <c r="E470" t="s">
        <v>558</v>
      </c>
      <c r="F470" t="s">
        <v>559</v>
      </c>
      <c r="G470" t="s">
        <v>51</v>
      </c>
      <c r="H470" t="s">
        <v>107</v>
      </c>
      <c r="I470" t="s">
        <v>116</v>
      </c>
      <c r="J470" t="s">
        <v>125</v>
      </c>
      <c r="K470">
        <v>877790</v>
      </c>
      <c r="L470" t="s">
        <v>108</v>
      </c>
      <c r="M470" t="s">
        <v>109</v>
      </c>
      <c r="N470" t="s">
        <v>57</v>
      </c>
      <c r="O470" s="1">
        <v>45854</v>
      </c>
      <c r="Q470" s="1">
        <v>45977</v>
      </c>
      <c r="R470" s="2">
        <v>12.4</v>
      </c>
      <c r="S470">
        <v>1</v>
      </c>
      <c r="T470" t="s">
        <v>58</v>
      </c>
      <c r="U470" t="s">
        <v>180</v>
      </c>
      <c r="V470" s="3">
        <v>0.7</v>
      </c>
      <c r="W470" s="2">
        <v>0</v>
      </c>
      <c r="X470">
        <v>0</v>
      </c>
      <c r="Y470" t="s">
        <v>60</v>
      </c>
      <c r="Z470" t="s">
        <v>182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8.68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45943</v>
      </c>
      <c r="B471" t="s">
        <v>48</v>
      </c>
      <c r="C471">
        <v>649163</v>
      </c>
      <c r="D471">
        <v>2029958122</v>
      </c>
      <c r="E471" t="s">
        <v>690</v>
      </c>
      <c r="F471" t="s">
        <v>691</v>
      </c>
      <c r="G471" t="s">
        <v>51</v>
      </c>
      <c r="H471" t="s">
        <v>78</v>
      </c>
      <c r="I471" t="s">
        <v>116</v>
      </c>
      <c r="J471" t="s">
        <v>125</v>
      </c>
      <c r="K471">
        <v>839554</v>
      </c>
      <c r="L471" t="s">
        <v>688</v>
      </c>
      <c r="M471" t="s">
        <v>689</v>
      </c>
      <c r="N471" t="s">
        <v>57</v>
      </c>
      <c r="O471" s="1">
        <v>45853</v>
      </c>
      <c r="Q471" s="1">
        <v>45976</v>
      </c>
      <c r="R471" s="2">
        <v>69.25</v>
      </c>
      <c r="S471">
        <v>1</v>
      </c>
      <c r="T471" t="s">
        <v>58</v>
      </c>
      <c r="U471" t="s">
        <v>180</v>
      </c>
      <c r="V471" s="3">
        <v>0.7</v>
      </c>
      <c r="W471" s="2">
        <v>0</v>
      </c>
      <c r="X471">
        <v>0</v>
      </c>
      <c r="Y471" t="s">
        <v>60</v>
      </c>
      <c r="Z471" t="s">
        <v>182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48.48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45943</v>
      </c>
      <c r="B472" t="s">
        <v>48</v>
      </c>
      <c r="C472">
        <v>649163</v>
      </c>
      <c r="D472">
        <v>2029958337</v>
      </c>
      <c r="E472" t="s">
        <v>174</v>
      </c>
      <c r="F472" t="s">
        <v>692</v>
      </c>
      <c r="G472" t="s">
        <v>51</v>
      </c>
      <c r="H472" t="s">
        <v>78</v>
      </c>
      <c r="I472" t="s">
        <v>116</v>
      </c>
      <c r="J472" t="s">
        <v>125</v>
      </c>
      <c r="K472">
        <v>839554</v>
      </c>
      <c r="L472" t="s">
        <v>688</v>
      </c>
      <c r="M472" t="s">
        <v>689</v>
      </c>
      <c r="N472" t="s">
        <v>57</v>
      </c>
      <c r="O472" s="1">
        <v>45853</v>
      </c>
      <c r="Q472" s="1">
        <v>45976</v>
      </c>
      <c r="R472" s="2">
        <v>56.5</v>
      </c>
      <c r="S472">
        <v>1</v>
      </c>
      <c r="T472" t="s">
        <v>58</v>
      </c>
      <c r="U472" t="s">
        <v>180</v>
      </c>
      <c r="V472" s="3">
        <v>0.7</v>
      </c>
      <c r="W472" s="2">
        <v>0</v>
      </c>
      <c r="X472">
        <v>0</v>
      </c>
      <c r="Y472" t="s">
        <v>60</v>
      </c>
      <c r="Z472" t="s">
        <v>182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39.549999999999997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45943</v>
      </c>
      <c r="B473" t="s">
        <v>48</v>
      </c>
      <c r="C473">
        <v>649163</v>
      </c>
      <c r="D473">
        <v>2029963379</v>
      </c>
      <c r="E473" t="s">
        <v>693</v>
      </c>
      <c r="F473" t="s">
        <v>694</v>
      </c>
      <c r="G473" t="s">
        <v>51</v>
      </c>
      <c r="H473" t="s">
        <v>78</v>
      </c>
      <c r="I473" t="s">
        <v>116</v>
      </c>
      <c r="J473" t="s">
        <v>125</v>
      </c>
      <c r="K473">
        <v>807212</v>
      </c>
      <c r="L473" t="s">
        <v>151</v>
      </c>
      <c r="M473" t="s">
        <v>152</v>
      </c>
      <c r="N473" t="s">
        <v>57</v>
      </c>
      <c r="O473" s="1">
        <v>45854</v>
      </c>
      <c r="Q473" s="1">
        <v>45977</v>
      </c>
      <c r="R473" s="2">
        <v>20.56</v>
      </c>
      <c r="S473">
        <v>1</v>
      </c>
      <c r="T473" t="s">
        <v>58</v>
      </c>
      <c r="U473" t="s">
        <v>180</v>
      </c>
      <c r="V473" s="3">
        <v>0.7</v>
      </c>
      <c r="W473" s="2">
        <v>0</v>
      </c>
      <c r="X473">
        <v>0</v>
      </c>
      <c r="Y473" t="s">
        <v>60</v>
      </c>
      <c r="Z473" t="s">
        <v>182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14.39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45943</v>
      </c>
      <c r="B474" t="s">
        <v>48</v>
      </c>
      <c r="C474">
        <v>649163</v>
      </c>
      <c r="D474">
        <v>2029967973</v>
      </c>
      <c r="E474" t="s">
        <v>305</v>
      </c>
      <c r="F474" t="s">
        <v>306</v>
      </c>
      <c r="G474" t="s">
        <v>51</v>
      </c>
      <c r="H474" t="s">
        <v>119</v>
      </c>
      <c r="I474" t="s">
        <v>116</v>
      </c>
      <c r="J474" t="s">
        <v>429</v>
      </c>
      <c r="K474">
        <v>823068</v>
      </c>
      <c r="L474" t="s">
        <v>307</v>
      </c>
      <c r="M474" t="s">
        <v>308</v>
      </c>
      <c r="N474" t="s">
        <v>57</v>
      </c>
      <c r="O474" s="1">
        <v>45854</v>
      </c>
      <c r="Q474" s="1">
        <v>45977</v>
      </c>
      <c r="R474" s="2">
        <v>32.81</v>
      </c>
      <c r="S474">
        <v>1</v>
      </c>
      <c r="T474" t="s">
        <v>58</v>
      </c>
      <c r="U474" t="s">
        <v>180</v>
      </c>
      <c r="V474" s="3">
        <v>0.42</v>
      </c>
      <c r="W474" s="2">
        <v>0</v>
      </c>
      <c r="X474">
        <v>0</v>
      </c>
      <c r="Y474" t="s">
        <v>60</v>
      </c>
      <c r="Z474" t="s">
        <v>182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13.78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45943</v>
      </c>
      <c r="B475" t="s">
        <v>48</v>
      </c>
      <c r="D475">
        <v>2029967974</v>
      </c>
      <c r="E475" t="s">
        <v>305</v>
      </c>
      <c r="F475" t="s">
        <v>306</v>
      </c>
      <c r="G475" t="s">
        <v>51</v>
      </c>
      <c r="H475" t="s">
        <v>119</v>
      </c>
      <c r="I475" t="s">
        <v>116</v>
      </c>
      <c r="J475" t="s">
        <v>117</v>
      </c>
      <c r="L475" t="s">
        <v>307</v>
      </c>
      <c r="M475" t="s">
        <v>308</v>
      </c>
      <c r="N475" t="s">
        <v>57</v>
      </c>
      <c r="O475" s="1">
        <v>45854</v>
      </c>
      <c r="Q475" s="1">
        <v>45977</v>
      </c>
      <c r="R475" s="2">
        <v>24.61</v>
      </c>
      <c r="S475">
        <v>1</v>
      </c>
      <c r="T475" t="s">
        <v>58</v>
      </c>
      <c r="U475" t="s">
        <v>180</v>
      </c>
      <c r="V475" s="3">
        <v>0.7</v>
      </c>
      <c r="W475" s="2">
        <v>0</v>
      </c>
      <c r="X475">
        <v>0</v>
      </c>
      <c r="Y475" t="s">
        <v>60</v>
      </c>
      <c r="Z475" t="s">
        <v>182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17.23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45943</v>
      </c>
      <c r="B476" t="s">
        <v>48</v>
      </c>
      <c r="C476">
        <v>649163</v>
      </c>
      <c r="D476">
        <v>2029968822</v>
      </c>
      <c r="E476" t="s">
        <v>148</v>
      </c>
      <c r="F476" t="s">
        <v>261</v>
      </c>
      <c r="G476" t="s">
        <v>51</v>
      </c>
      <c r="H476" t="s">
        <v>78</v>
      </c>
      <c r="I476" t="s">
        <v>116</v>
      </c>
      <c r="J476" t="s">
        <v>429</v>
      </c>
      <c r="K476">
        <v>814033</v>
      </c>
      <c r="L476" t="s">
        <v>695</v>
      </c>
      <c r="M476" t="s">
        <v>696</v>
      </c>
      <c r="N476" t="s">
        <v>57</v>
      </c>
      <c r="O476" s="1">
        <v>45854</v>
      </c>
      <c r="Q476" s="1">
        <v>45977</v>
      </c>
      <c r="R476" s="2">
        <v>25.08</v>
      </c>
      <c r="S476">
        <v>1</v>
      </c>
      <c r="T476" t="s">
        <v>58</v>
      </c>
      <c r="U476" t="s">
        <v>180</v>
      </c>
      <c r="V476" s="3">
        <v>0.42</v>
      </c>
      <c r="W476" s="2">
        <v>0</v>
      </c>
      <c r="X476">
        <v>0</v>
      </c>
      <c r="Y476" t="s">
        <v>60</v>
      </c>
      <c r="Z476" t="s">
        <v>182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10.53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45943</v>
      </c>
      <c r="B477" t="s">
        <v>48</v>
      </c>
      <c r="C477">
        <v>649163</v>
      </c>
      <c r="D477">
        <v>2029968823</v>
      </c>
      <c r="E477" t="s">
        <v>148</v>
      </c>
      <c r="F477" t="s">
        <v>261</v>
      </c>
      <c r="G477" t="s">
        <v>51</v>
      </c>
      <c r="H477" t="s">
        <v>78</v>
      </c>
      <c r="I477" t="s">
        <v>116</v>
      </c>
      <c r="J477" t="s">
        <v>125</v>
      </c>
      <c r="K477">
        <v>814033</v>
      </c>
      <c r="L477" t="s">
        <v>695</v>
      </c>
      <c r="M477" t="s">
        <v>696</v>
      </c>
      <c r="N477" t="s">
        <v>57</v>
      </c>
      <c r="O477" s="1">
        <v>45854</v>
      </c>
      <c r="Q477" s="1">
        <v>45977</v>
      </c>
      <c r="R477" s="2">
        <v>62.8</v>
      </c>
      <c r="S477">
        <v>1</v>
      </c>
      <c r="T477" t="s">
        <v>58</v>
      </c>
      <c r="U477" t="s">
        <v>180</v>
      </c>
      <c r="V477" s="3">
        <v>0.7</v>
      </c>
      <c r="W477" s="2">
        <v>0</v>
      </c>
      <c r="X477">
        <v>0</v>
      </c>
      <c r="Y477" t="s">
        <v>60</v>
      </c>
      <c r="Z477" t="s">
        <v>182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43.96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45943</v>
      </c>
      <c r="B478" t="s">
        <v>48</v>
      </c>
      <c r="C478">
        <v>649163</v>
      </c>
      <c r="D478">
        <v>2029969604</v>
      </c>
      <c r="E478" t="s">
        <v>309</v>
      </c>
      <c r="F478" t="s">
        <v>310</v>
      </c>
      <c r="G478" t="s">
        <v>51</v>
      </c>
      <c r="H478" t="s">
        <v>69</v>
      </c>
      <c r="I478" t="s">
        <v>116</v>
      </c>
      <c r="J478" t="s">
        <v>125</v>
      </c>
      <c r="K478">
        <v>816021</v>
      </c>
      <c r="L478" t="s">
        <v>71</v>
      </c>
      <c r="M478" t="s">
        <v>72</v>
      </c>
      <c r="N478" t="s">
        <v>57</v>
      </c>
      <c r="O478" s="1">
        <v>45854</v>
      </c>
      <c r="Q478" s="1">
        <v>45977</v>
      </c>
      <c r="R478" s="2">
        <v>9.1</v>
      </c>
      <c r="S478">
        <v>1</v>
      </c>
      <c r="T478" t="s">
        <v>58</v>
      </c>
      <c r="U478" t="s">
        <v>180</v>
      </c>
      <c r="V478" s="3">
        <v>0.7</v>
      </c>
      <c r="W478" s="2">
        <v>0</v>
      </c>
      <c r="X478">
        <v>0</v>
      </c>
      <c r="Y478" t="s">
        <v>60</v>
      </c>
      <c r="Z478" t="s">
        <v>182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6.37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45943</v>
      </c>
      <c r="B479" t="s">
        <v>48</v>
      </c>
      <c r="C479">
        <v>649163</v>
      </c>
      <c r="D479">
        <v>2029971479</v>
      </c>
      <c r="E479" t="s">
        <v>560</v>
      </c>
      <c r="F479" t="s">
        <v>211</v>
      </c>
      <c r="G479" t="s">
        <v>51</v>
      </c>
      <c r="H479" t="s">
        <v>272</v>
      </c>
      <c r="I479" t="s">
        <v>116</v>
      </c>
      <c r="J479" t="s">
        <v>125</v>
      </c>
      <c r="K479">
        <v>822723</v>
      </c>
      <c r="L479" t="s">
        <v>273</v>
      </c>
      <c r="M479" t="s">
        <v>274</v>
      </c>
      <c r="N479" t="s">
        <v>57</v>
      </c>
      <c r="O479" s="1">
        <v>45854</v>
      </c>
      <c r="Q479" s="1">
        <v>45977</v>
      </c>
      <c r="R479" s="2">
        <v>15.75</v>
      </c>
      <c r="S479">
        <v>1</v>
      </c>
      <c r="T479" t="s">
        <v>58</v>
      </c>
      <c r="U479" t="s">
        <v>180</v>
      </c>
      <c r="V479" s="3">
        <v>0.7</v>
      </c>
      <c r="W479" s="2">
        <v>0</v>
      </c>
      <c r="X479">
        <v>0</v>
      </c>
      <c r="Y479" t="s">
        <v>60</v>
      </c>
      <c r="Z479" t="s">
        <v>182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11.02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45943</v>
      </c>
      <c r="B480" t="s">
        <v>48</v>
      </c>
      <c r="C480">
        <v>649163</v>
      </c>
      <c r="D480">
        <v>2029973108</v>
      </c>
      <c r="E480" t="s">
        <v>561</v>
      </c>
      <c r="F480" t="s">
        <v>223</v>
      </c>
      <c r="G480" t="s">
        <v>51</v>
      </c>
      <c r="H480" t="s">
        <v>102</v>
      </c>
      <c r="I480" t="s">
        <v>116</v>
      </c>
      <c r="J480" t="s">
        <v>125</v>
      </c>
      <c r="K480">
        <v>820140</v>
      </c>
      <c r="L480" t="s">
        <v>103</v>
      </c>
      <c r="M480" t="s">
        <v>104</v>
      </c>
      <c r="N480" t="s">
        <v>57</v>
      </c>
      <c r="O480" s="1">
        <v>45854</v>
      </c>
      <c r="Q480" s="1">
        <v>45977</v>
      </c>
      <c r="R480" s="2">
        <v>19</v>
      </c>
      <c r="S480">
        <v>1</v>
      </c>
      <c r="T480" t="s">
        <v>58</v>
      </c>
      <c r="U480" t="s">
        <v>180</v>
      </c>
      <c r="V480" s="3">
        <v>0.3</v>
      </c>
      <c r="W480" s="2">
        <v>0</v>
      </c>
      <c r="X480">
        <v>0</v>
      </c>
      <c r="Y480" t="s">
        <v>60</v>
      </c>
      <c r="Z480" t="s">
        <v>182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5.7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45943</v>
      </c>
      <c r="B481" t="s">
        <v>48</v>
      </c>
      <c r="C481">
        <v>649163</v>
      </c>
      <c r="D481">
        <v>2029973759</v>
      </c>
      <c r="E481" t="s">
        <v>697</v>
      </c>
      <c r="F481" t="s">
        <v>698</v>
      </c>
      <c r="G481" t="s">
        <v>51</v>
      </c>
      <c r="H481" t="s">
        <v>272</v>
      </c>
      <c r="I481" t="s">
        <v>116</v>
      </c>
      <c r="J481" t="s">
        <v>125</v>
      </c>
      <c r="K481">
        <v>812994</v>
      </c>
      <c r="L481" t="s">
        <v>699</v>
      </c>
      <c r="M481" t="s">
        <v>700</v>
      </c>
      <c r="N481" t="s">
        <v>57</v>
      </c>
      <c r="O481" s="1">
        <v>45854</v>
      </c>
      <c r="Q481" s="1">
        <v>45977</v>
      </c>
      <c r="R481" s="2">
        <v>115.98</v>
      </c>
      <c r="S481">
        <v>1</v>
      </c>
      <c r="T481" t="s">
        <v>58</v>
      </c>
      <c r="U481" t="s">
        <v>180</v>
      </c>
      <c r="V481" s="3">
        <v>0.7</v>
      </c>
      <c r="W481" s="2">
        <v>0</v>
      </c>
      <c r="X481">
        <v>0</v>
      </c>
      <c r="Y481" t="s">
        <v>60</v>
      </c>
      <c r="Z481" t="s">
        <v>182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81.19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45943</v>
      </c>
      <c r="B482" t="s">
        <v>48</v>
      </c>
      <c r="C482">
        <v>649163</v>
      </c>
      <c r="D482">
        <v>2029980505</v>
      </c>
      <c r="E482" t="s">
        <v>184</v>
      </c>
      <c r="F482" t="s">
        <v>311</v>
      </c>
      <c r="G482" t="s">
        <v>51</v>
      </c>
      <c r="H482" t="s">
        <v>312</v>
      </c>
      <c r="I482" t="s">
        <v>116</v>
      </c>
      <c r="J482" t="s">
        <v>125</v>
      </c>
      <c r="K482">
        <v>673059</v>
      </c>
      <c r="L482" t="s">
        <v>55</v>
      </c>
      <c r="M482" t="s">
        <v>56</v>
      </c>
      <c r="N482" t="s">
        <v>57</v>
      </c>
      <c r="O482" s="1">
        <v>45884</v>
      </c>
      <c r="Q482" s="1">
        <v>45976</v>
      </c>
      <c r="R482" s="2">
        <v>24</v>
      </c>
      <c r="S482">
        <v>1</v>
      </c>
      <c r="T482" t="s">
        <v>58</v>
      </c>
      <c r="U482" t="s">
        <v>180</v>
      </c>
      <c r="V482" s="3">
        <v>0.7</v>
      </c>
      <c r="W482" s="2">
        <v>0</v>
      </c>
      <c r="X482">
        <v>0</v>
      </c>
      <c r="Y482" t="s">
        <v>60</v>
      </c>
      <c r="Z482" t="s">
        <v>182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16.8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45943</v>
      </c>
      <c r="B483" t="s">
        <v>48</v>
      </c>
      <c r="C483">
        <v>649163</v>
      </c>
      <c r="D483">
        <v>2029980506</v>
      </c>
      <c r="E483" t="s">
        <v>184</v>
      </c>
      <c r="F483" t="s">
        <v>311</v>
      </c>
      <c r="G483" t="s">
        <v>51</v>
      </c>
      <c r="H483" t="s">
        <v>312</v>
      </c>
      <c r="I483" t="s">
        <v>116</v>
      </c>
      <c r="J483" t="s">
        <v>591</v>
      </c>
      <c r="K483">
        <v>673059</v>
      </c>
      <c r="L483" t="s">
        <v>55</v>
      </c>
      <c r="M483" t="s">
        <v>56</v>
      </c>
      <c r="N483" t="s">
        <v>57</v>
      </c>
      <c r="O483" s="1">
        <v>45884</v>
      </c>
      <c r="Q483" s="1">
        <v>45976</v>
      </c>
      <c r="R483" s="2">
        <v>21.44</v>
      </c>
      <c r="S483">
        <v>1</v>
      </c>
      <c r="T483" t="s">
        <v>58</v>
      </c>
      <c r="U483" t="s">
        <v>180</v>
      </c>
      <c r="V483" s="3">
        <v>0.7</v>
      </c>
      <c r="W483" s="2">
        <v>0</v>
      </c>
      <c r="X483">
        <v>0</v>
      </c>
      <c r="Y483" t="s">
        <v>60</v>
      </c>
      <c r="Z483" t="s">
        <v>182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15.01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45943</v>
      </c>
      <c r="B484" t="s">
        <v>48</v>
      </c>
      <c r="C484">
        <v>649163</v>
      </c>
      <c r="D484">
        <v>2029985852</v>
      </c>
      <c r="E484" t="s">
        <v>562</v>
      </c>
      <c r="F484" t="s">
        <v>140</v>
      </c>
      <c r="G484" t="s">
        <v>51</v>
      </c>
      <c r="H484" t="s">
        <v>78</v>
      </c>
      <c r="I484" t="s">
        <v>116</v>
      </c>
      <c r="J484" t="s">
        <v>125</v>
      </c>
      <c r="K484">
        <v>823350</v>
      </c>
      <c r="L484" t="s">
        <v>65</v>
      </c>
      <c r="M484" t="s">
        <v>66</v>
      </c>
      <c r="N484" t="s">
        <v>57</v>
      </c>
      <c r="O484" s="1">
        <v>45855</v>
      </c>
      <c r="Q484" s="1">
        <v>45978</v>
      </c>
      <c r="R484" s="2">
        <v>15.75</v>
      </c>
      <c r="S484">
        <v>1</v>
      </c>
      <c r="T484" t="s">
        <v>58</v>
      </c>
      <c r="U484" t="s">
        <v>180</v>
      </c>
      <c r="V484" s="3">
        <v>0.7</v>
      </c>
      <c r="W484" s="2">
        <v>0</v>
      </c>
      <c r="X484">
        <v>0</v>
      </c>
      <c r="Y484" t="s">
        <v>60</v>
      </c>
      <c r="Z484" t="s">
        <v>182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11.02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45943</v>
      </c>
      <c r="B485" t="s">
        <v>48</v>
      </c>
      <c r="C485">
        <v>649163</v>
      </c>
      <c r="D485">
        <v>2029989667</v>
      </c>
      <c r="E485" t="s">
        <v>563</v>
      </c>
      <c r="F485" t="s">
        <v>485</v>
      </c>
      <c r="G485" t="s">
        <v>51</v>
      </c>
      <c r="H485" t="s">
        <v>91</v>
      </c>
      <c r="I485" t="s">
        <v>116</v>
      </c>
      <c r="J485" t="s">
        <v>125</v>
      </c>
      <c r="K485">
        <v>812656</v>
      </c>
      <c r="L485" t="s">
        <v>547</v>
      </c>
      <c r="M485" t="s">
        <v>548</v>
      </c>
      <c r="N485" t="s">
        <v>57</v>
      </c>
      <c r="O485" s="1">
        <v>45855</v>
      </c>
      <c r="Q485" s="1">
        <v>45978</v>
      </c>
      <c r="R485" s="2">
        <v>13</v>
      </c>
      <c r="S485">
        <v>1</v>
      </c>
      <c r="T485" t="s">
        <v>58</v>
      </c>
      <c r="U485" t="s">
        <v>180</v>
      </c>
      <c r="V485" s="3">
        <v>0.7</v>
      </c>
      <c r="W485" s="2">
        <v>0</v>
      </c>
      <c r="X485">
        <v>0</v>
      </c>
      <c r="Y485" t="s">
        <v>60</v>
      </c>
      <c r="Z485" t="s">
        <v>182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9.1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45943</v>
      </c>
      <c r="B486" t="s">
        <v>48</v>
      </c>
      <c r="C486">
        <v>649163</v>
      </c>
      <c r="D486">
        <v>2029994615</v>
      </c>
      <c r="E486" t="s">
        <v>701</v>
      </c>
      <c r="F486" t="s">
        <v>702</v>
      </c>
      <c r="G486" t="s">
        <v>51</v>
      </c>
      <c r="H486" t="s">
        <v>219</v>
      </c>
      <c r="I486" t="s">
        <v>116</v>
      </c>
      <c r="J486" t="s">
        <v>125</v>
      </c>
      <c r="K486">
        <v>813184</v>
      </c>
      <c r="L486" t="s">
        <v>566</v>
      </c>
      <c r="M486" t="s">
        <v>567</v>
      </c>
      <c r="N486" t="s">
        <v>57</v>
      </c>
      <c r="O486" s="1">
        <v>45855</v>
      </c>
      <c r="Q486" s="1">
        <v>45978</v>
      </c>
      <c r="R486" s="2">
        <v>28.45</v>
      </c>
      <c r="S486">
        <v>1</v>
      </c>
      <c r="T486" t="s">
        <v>58</v>
      </c>
      <c r="U486" t="s">
        <v>180</v>
      </c>
      <c r="V486" s="3">
        <v>0.7</v>
      </c>
      <c r="W486" s="2">
        <v>0</v>
      </c>
      <c r="X486">
        <v>0</v>
      </c>
      <c r="Y486" t="s">
        <v>60</v>
      </c>
      <c r="Z486" t="s">
        <v>182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19.920000000000002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45943</v>
      </c>
      <c r="B487" t="s">
        <v>48</v>
      </c>
      <c r="D487">
        <v>2029995394</v>
      </c>
      <c r="E487" t="s">
        <v>379</v>
      </c>
      <c r="F487" t="s">
        <v>211</v>
      </c>
      <c r="G487" t="s">
        <v>51</v>
      </c>
      <c r="H487" t="s">
        <v>225</v>
      </c>
      <c r="I487" t="s">
        <v>116</v>
      </c>
      <c r="J487" t="s">
        <v>117</v>
      </c>
      <c r="L487" t="s">
        <v>380</v>
      </c>
      <c r="M487" t="s">
        <v>381</v>
      </c>
      <c r="N487" t="s">
        <v>57</v>
      </c>
      <c r="O487" s="1">
        <v>45855</v>
      </c>
      <c r="Q487" s="1">
        <v>45978</v>
      </c>
      <c r="R487" s="2">
        <v>25.73</v>
      </c>
      <c r="S487">
        <v>1</v>
      </c>
      <c r="T487" t="s">
        <v>58</v>
      </c>
      <c r="U487" t="s">
        <v>180</v>
      </c>
      <c r="V487" s="3">
        <v>0.7</v>
      </c>
      <c r="W487" s="2">
        <v>0</v>
      </c>
      <c r="X487">
        <v>0</v>
      </c>
      <c r="Y487" t="s">
        <v>60</v>
      </c>
      <c r="Z487" t="s">
        <v>182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18.010000000000002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45943</v>
      </c>
      <c r="B488" t="s">
        <v>48</v>
      </c>
      <c r="C488">
        <v>649163</v>
      </c>
      <c r="D488">
        <v>2030198367</v>
      </c>
      <c r="E488" t="s">
        <v>313</v>
      </c>
      <c r="F488" t="s">
        <v>314</v>
      </c>
      <c r="G488" t="s">
        <v>51</v>
      </c>
      <c r="H488" t="s">
        <v>119</v>
      </c>
      <c r="I488" t="s">
        <v>116</v>
      </c>
      <c r="J488" t="s">
        <v>429</v>
      </c>
      <c r="K488">
        <v>823068</v>
      </c>
      <c r="L488" t="s">
        <v>307</v>
      </c>
      <c r="M488" t="s">
        <v>308</v>
      </c>
      <c r="N488" t="s">
        <v>57</v>
      </c>
      <c r="O488" s="1">
        <v>45870</v>
      </c>
      <c r="Q488" s="1">
        <v>45962</v>
      </c>
      <c r="R488" s="2">
        <v>33.36</v>
      </c>
      <c r="S488">
        <v>1</v>
      </c>
      <c r="T488" t="s">
        <v>58</v>
      </c>
      <c r="U488" t="s">
        <v>180</v>
      </c>
      <c r="V488" s="3">
        <v>0.42</v>
      </c>
      <c r="W488" s="2">
        <v>0</v>
      </c>
      <c r="X488">
        <v>0</v>
      </c>
      <c r="Y488" t="s">
        <v>60</v>
      </c>
      <c r="Z488" t="s">
        <v>182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14.01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45943</v>
      </c>
      <c r="B489" t="s">
        <v>48</v>
      </c>
      <c r="C489">
        <v>649163</v>
      </c>
      <c r="D489">
        <v>2030198369</v>
      </c>
      <c r="E489" t="s">
        <v>313</v>
      </c>
      <c r="F489" t="s">
        <v>314</v>
      </c>
      <c r="G489" t="s">
        <v>51</v>
      </c>
      <c r="H489" t="s">
        <v>119</v>
      </c>
      <c r="I489" t="s">
        <v>116</v>
      </c>
      <c r="J489" t="s">
        <v>591</v>
      </c>
      <c r="K489">
        <v>823068</v>
      </c>
      <c r="L489" t="s">
        <v>307</v>
      </c>
      <c r="M489" t="s">
        <v>308</v>
      </c>
      <c r="N489" t="s">
        <v>57</v>
      </c>
      <c r="O489" s="1">
        <v>45870</v>
      </c>
      <c r="Q489" s="1">
        <v>45962</v>
      </c>
      <c r="R489" s="2">
        <v>48</v>
      </c>
      <c r="S489">
        <v>1</v>
      </c>
      <c r="T489" t="s">
        <v>58</v>
      </c>
      <c r="U489" t="s">
        <v>180</v>
      </c>
      <c r="V489" s="3">
        <v>0.7</v>
      </c>
      <c r="W489" s="2">
        <v>0</v>
      </c>
      <c r="X489">
        <v>0</v>
      </c>
      <c r="Y489" t="s">
        <v>60</v>
      </c>
      <c r="Z489" t="s">
        <v>182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33.6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45943</v>
      </c>
      <c r="B490" t="s">
        <v>48</v>
      </c>
      <c r="C490">
        <v>649163</v>
      </c>
      <c r="D490">
        <v>2030232005</v>
      </c>
      <c r="E490" t="s">
        <v>703</v>
      </c>
      <c r="F490" t="s">
        <v>704</v>
      </c>
      <c r="G490" t="s">
        <v>51</v>
      </c>
      <c r="H490" t="s">
        <v>52</v>
      </c>
      <c r="I490" t="s">
        <v>116</v>
      </c>
      <c r="J490" t="s">
        <v>125</v>
      </c>
      <c r="K490">
        <v>812656</v>
      </c>
      <c r="L490" t="s">
        <v>547</v>
      </c>
      <c r="M490" t="s">
        <v>548</v>
      </c>
      <c r="N490" t="s">
        <v>57</v>
      </c>
      <c r="O490" s="1">
        <v>45880</v>
      </c>
      <c r="Q490" s="1">
        <v>45972</v>
      </c>
      <c r="R490" s="2">
        <v>54.83</v>
      </c>
      <c r="S490">
        <v>1</v>
      </c>
      <c r="T490" t="s">
        <v>58</v>
      </c>
      <c r="U490" t="s">
        <v>180</v>
      </c>
      <c r="V490" s="3">
        <v>0.7</v>
      </c>
      <c r="W490" s="2">
        <v>0</v>
      </c>
      <c r="X490">
        <v>0</v>
      </c>
      <c r="Y490" t="s">
        <v>60</v>
      </c>
      <c r="Z490" t="s">
        <v>182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38.380000000000003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45943</v>
      </c>
      <c r="B491" t="s">
        <v>48</v>
      </c>
      <c r="C491">
        <v>649163</v>
      </c>
      <c r="D491">
        <v>2030244511</v>
      </c>
      <c r="E491" t="s">
        <v>705</v>
      </c>
      <c r="F491" t="s">
        <v>358</v>
      </c>
      <c r="G491" t="s">
        <v>51</v>
      </c>
      <c r="H491" t="s">
        <v>78</v>
      </c>
      <c r="I491" t="s">
        <v>116</v>
      </c>
      <c r="J491" t="s">
        <v>429</v>
      </c>
      <c r="K491">
        <v>789909</v>
      </c>
      <c r="L491" t="s">
        <v>706</v>
      </c>
      <c r="M491" t="s">
        <v>707</v>
      </c>
      <c r="N491" t="s">
        <v>57</v>
      </c>
      <c r="O491" s="1">
        <v>45884</v>
      </c>
      <c r="Q491" s="1">
        <v>45976</v>
      </c>
      <c r="R491" s="2">
        <v>42.5</v>
      </c>
      <c r="S491">
        <v>1</v>
      </c>
      <c r="T491" t="s">
        <v>58</v>
      </c>
      <c r="U491" t="s">
        <v>180</v>
      </c>
      <c r="V491" s="3">
        <v>0.42</v>
      </c>
      <c r="W491" s="2">
        <v>0</v>
      </c>
      <c r="X491">
        <v>0</v>
      </c>
      <c r="Y491" t="s">
        <v>60</v>
      </c>
      <c r="Z491" t="s">
        <v>182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17.850000000000001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45943</v>
      </c>
      <c r="B492" t="s">
        <v>48</v>
      </c>
      <c r="C492">
        <v>649163</v>
      </c>
      <c r="D492">
        <v>2030313517</v>
      </c>
      <c r="E492" t="s">
        <v>315</v>
      </c>
      <c r="F492" t="s">
        <v>316</v>
      </c>
      <c r="G492" t="s">
        <v>51</v>
      </c>
      <c r="H492" t="s">
        <v>119</v>
      </c>
      <c r="I492" t="s">
        <v>116</v>
      </c>
      <c r="J492" t="s">
        <v>429</v>
      </c>
      <c r="K492">
        <v>823068</v>
      </c>
      <c r="L492" t="s">
        <v>307</v>
      </c>
      <c r="M492" t="s">
        <v>308</v>
      </c>
      <c r="N492" t="s">
        <v>57</v>
      </c>
      <c r="O492" s="1">
        <v>45884</v>
      </c>
      <c r="Q492" s="1">
        <v>45976</v>
      </c>
      <c r="R492" s="2">
        <v>27.8</v>
      </c>
      <c r="S492">
        <v>1</v>
      </c>
      <c r="T492" t="s">
        <v>58</v>
      </c>
      <c r="U492" t="s">
        <v>180</v>
      </c>
      <c r="V492" s="3">
        <v>0.42</v>
      </c>
      <c r="W492" s="2">
        <v>0</v>
      </c>
      <c r="X492">
        <v>0</v>
      </c>
      <c r="Y492" t="s">
        <v>60</v>
      </c>
      <c r="Z492" t="s">
        <v>182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11.68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45943</v>
      </c>
      <c r="B493" t="s">
        <v>48</v>
      </c>
      <c r="C493">
        <v>649163</v>
      </c>
      <c r="D493">
        <v>2030329697</v>
      </c>
      <c r="E493" t="s">
        <v>708</v>
      </c>
      <c r="F493" t="s">
        <v>709</v>
      </c>
      <c r="G493" t="s">
        <v>51</v>
      </c>
      <c r="H493" t="s">
        <v>52</v>
      </c>
      <c r="I493" t="s">
        <v>116</v>
      </c>
      <c r="J493" t="s">
        <v>125</v>
      </c>
      <c r="K493">
        <v>767312</v>
      </c>
      <c r="L493" t="s">
        <v>147</v>
      </c>
      <c r="M493" t="s">
        <v>148</v>
      </c>
      <c r="N493" t="s">
        <v>57</v>
      </c>
      <c r="O493" s="1">
        <v>45882</v>
      </c>
      <c r="Q493" s="1">
        <v>45974</v>
      </c>
      <c r="R493" s="2">
        <v>174.5</v>
      </c>
      <c r="S493">
        <v>1</v>
      </c>
      <c r="T493" t="s">
        <v>58</v>
      </c>
      <c r="U493" t="s">
        <v>180</v>
      </c>
      <c r="V493" s="3">
        <v>0.7</v>
      </c>
      <c r="W493" s="2">
        <v>0</v>
      </c>
      <c r="X493">
        <v>0</v>
      </c>
      <c r="Y493" t="s">
        <v>60</v>
      </c>
      <c r="Z493" t="s">
        <v>182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122.15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45943</v>
      </c>
      <c r="B494" t="s">
        <v>48</v>
      </c>
      <c r="C494">
        <v>649163</v>
      </c>
      <c r="D494">
        <v>2030333350</v>
      </c>
      <c r="E494" t="s">
        <v>564</v>
      </c>
      <c r="F494" t="s">
        <v>565</v>
      </c>
      <c r="G494" t="s">
        <v>51</v>
      </c>
      <c r="H494" t="s">
        <v>219</v>
      </c>
      <c r="I494" t="s">
        <v>116</v>
      </c>
      <c r="J494" t="s">
        <v>125</v>
      </c>
      <c r="K494">
        <v>813184</v>
      </c>
      <c r="L494" t="s">
        <v>566</v>
      </c>
      <c r="M494" t="s">
        <v>567</v>
      </c>
      <c r="N494" t="s">
        <v>57</v>
      </c>
      <c r="O494" s="1">
        <v>45879</v>
      </c>
      <c r="Q494" s="1">
        <v>45971</v>
      </c>
      <c r="R494" s="2">
        <v>19.579999999999998</v>
      </c>
      <c r="S494">
        <v>1</v>
      </c>
      <c r="T494" t="s">
        <v>58</v>
      </c>
      <c r="U494" t="s">
        <v>180</v>
      </c>
      <c r="V494" s="3">
        <v>0.7</v>
      </c>
      <c r="W494" s="2">
        <v>0</v>
      </c>
      <c r="X494">
        <v>0</v>
      </c>
      <c r="Y494" t="s">
        <v>60</v>
      </c>
      <c r="Z494" t="s">
        <v>182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13.71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45943</v>
      </c>
      <c r="B495" t="s">
        <v>48</v>
      </c>
      <c r="C495">
        <v>649163</v>
      </c>
      <c r="D495">
        <v>2030334039</v>
      </c>
      <c r="E495" t="s">
        <v>710</v>
      </c>
      <c r="F495" t="s">
        <v>711</v>
      </c>
      <c r="G495" t="s">
        <v>51</v>
      </c>
      <c r="H495" t="s">
        <v>712</v>
      </c>
      <c r="I495" t="s">
        <v>116</v>
      </c>
      <c r="J495" t="s">
        <v>120</v>
      </c>
      <c r="K495">
        <v>651818</v>
      </c>
      <c r="L495" t="s">
        <v>260</v>
      </c>
      <c r="M495" t="s">
        <v>261</v>
      </c>
      <c r="N495" t="s">
        <v>57</v>
      </c>
      <c r="O495" s="1">
        <v>45906</v>
      </c>
      <c r="Q495" s="1">
        <v>45967</v>
      </c>
      <c r="R495" s="2">
        <v>-47.08</v>
      </c>
      <c r="S495">
        <v>1</v>
      </c>
      <c r="T495" t="s">
        <v>58</v>
      </c>
      <c r="U495" t="s">
        <v>180</v>
      </c>
      <c r="V495" s="3">
        <v>0.9</v>
      </c>
      <c r="W495" s="2">
        <v>0</v>
      </c>
      <c r="X495">
        <v>-1</v>
      </c>
      <c r="Y495" t="s">
        <v>60</v>
      </c>
      <c r="Z495" t="s">
        <v>182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-42.37</v>
      </c>
      <c r="AN495" s="2">
        <v>-42.37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45943</v>
      </c>
      <c r="B496" t="s">
        <v>48</v>
      </c>
      <c r="C496">
        <v>649163</v>
      </c>
      <c r="D496">
        <v>2030334040</v>
      </c>
      <c r="E496" t="s">
        <v>710</v>
      </c>
      <c r="F496" t="s">
        <v>711</v>
      </c>
      <c r="G496" t="s">
        <v>51</v>
      </c>
      <c r="H496" t="s">
        <v>712</v>
      </c>
      <c r="I496" t="s">
        <v>116</v>
      </c>
      <c r="J496" t="s">
        <v>125</v>
      </c>
      <c r="K496">
        <v>651818</v>
      </c>
      <c r="L496" t="s">
        <v>260</v>
      </c>
      <c r="M496" t="s">
        <v>261</v>
      </c>
      <c r="N496" t="s">
        <v>57</v>
      </c>
      <c r="O496" s="1">
        <v>45906</v>
      </c>
      <c r="Q496" s="1">
        <v>45967</v>
      </c>
      <c r="R496" s="2">
        <v>-47.89</v>
      </c>
      <c r="S496">
        <v>1</v>
      </c>
      <c r="T496" t="s">
        <v>58</v>
      </c>
      <c r="U496" t="s">
        <v>180</v>
      </c>
      <c r="V496" s="3">
        <v>0.7</v>
      </c>
      <c r="W496" s="2">
        <v>0</v>
      </c>
      <c r="X496">
        <v>-1</v>
      </c>
      <c r="Y496" t="s">
        <v>60</v>
      </c>
      <c r="Z496" t="s">
        <v>182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-33.520000000000003</v>
      </c>
      <c r="AN496" s="2">
        <v>-33.520000000000003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45943</v>
      </c>
      <c r="B497" t="s">
        <v>48</v>
      </c>
      <c r="C497">
        <v>649163</v>
      </c>
      <c r="D497">
        <v>2030337261</v>
      </c>
      <c r="E497" t="s">
        <v>713</v>
      </c>
      <c r="F497" t="s">
        <v>714</v>
      </c>
      <c r="G497" t="s">
        <v>51</v>
      </c>
      <c r="H497" t="s">
        <v>78</v>
      </c>
      <c r="I497" t="s">
        <v>116</v>
      </c>
      <c r="J497" t="s">
        <v>429</v>
      </c>
      <c r="K497">
        <v>789909</v>
      </c>
      <c r="L497" t="s">
        <v>706</v>
      </c>
      <c r="M497" t="s">
        <v>707</v>
      </c>
      <c r="N497" t="s">
        <v>57</v>
      </c>
      <c r="O497" s="1">
        <v>45884</v>
      </c>
      <c r="Q497" s="1">
        <v>45976</v>
      </c>
      <c r="R497" s="2">
        <v>35.4</v>
      </c>
      <c r="S497">
        <v>1</v>
      </c>
      <c r="T497" t="s">
        <v>58</v>
      </c>
      <c r="U497" t="s">
        <v>180</v>
      </c>
      <c r="V497" s="3">
        <v>0.42</v>
      </c>
      <c r="W497" s="2">
        <v>0</v>
      </c>
      <c r="X497">
        <v>0</v>
      </c>
      <c r="Y497" t="s">
        <v>60</v>
      </c>
      <c r="Z497" t="s">
        <v>182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14.87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45943</v>
      </c>
      <c r="B498" t="s">
        <v>48</v>
      </c>
      <c r="C498">
        <v>649163</v>
      </c>
      <c r="D498">
        <v>2030341225</v>
      </c>
      <c r="E498" t="s">
        <v>317</v>
      </c>
      <c r="F498" t="s">
        <v>318</v>
      </c>
      <c r="G498" t="s">
        <v>51</v>
      </c>
      <c r="H498" t="s">
        <v>155</v>
      </c>
      <c r="I498" t="s">
        <v>116</v>
      </c>
      <c r="J498" t="s">
        <v>429</v>
      </c>
      <c r="K498">
        <v>767312</v>
      </c>
      <c r="L498" t="s">
        <v>147</v>
      </c>
      <c r="M498" t="s">
        <v>148</v>
      </c>
      <c r="N498" t="s">
        <v>57</v>
      </c>
      <c r="O498" s="1">
        <v>45879</v>
      </c>
      <c r="Q498" s="1">
        <v>45971</v>
      </c>
      <c r="R498" s="2">
        <v>24.4</v>
      </c>
      <c r="S498">
        <v>1</v>
      </c>
      <c r="T498" t="s">
        <v>58</v>
      </c>
      <c r="U498" t="s">
        <v>180</v>
      </c>
      <c r="V498" s="3">
        <v>0.42</v>
      </c>
      <c r="W498" s="2">
        <v>0</v>
      </c>
      <c r="X498">
        <v>0</v>
      </c>
      <c r="Y498" t="s">
        <v>60</v>
      </c>
      <c r="Z498" t="s">
        <v>182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10.25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45943</v>
      </c>
      <c r="B499" t="s">
        <v>48</v>
      </c>
      <c r="C499">
        <v>649163</v>
      </c>
      <c r="D499">
        <v>2030349978</v>
      </c>
      <c r="E499" t="s">
        <v>319</v>
      </c>
      <c r="F499" t="s">
        <v>320</v>
      </c>
      <c r="G499" t="s">
        <v>51</v>
      </c>
      <c r="H499" t="s">
        <v>155</v>
      </c>
      <c r="I499" t="s">
        <v>116</v>
      </c>
      <c r="J499" t="s">
        <v>429</v>
      </c>
      <c r="K499">
        <v>767312</v>
      </c>
      <c r="L499" t="s">
        <v>147</v>
      </c>
      <c r="M499" t="s">
        <v>148</v>
      </c>
      <c r="N499" t="s">
        <v>57</v>
      </c>
      <c r="O499" s="1">
        <v>45879</v>
      </c>
      <c r="Q499" s="1">
        <v>45971</v>
      </c>
      <c r="R499" s="2">
        <v>70.81</v>
      </c>
      <c r="S499">
        <v>1</v>
      </c>
      <c r="T499" t="s">
        <v>58</v>
      </c>
      <c r="U499" t="s">
        <v>180</v>
      </c>
      <c r="V499" s="3">
        <v>0.42</v>
      </c>
      <c r="W499" s="2">
        <v>0</v>
      </c>
      <c r="X499">
        <v>0</v>
      </c>
      <c r="Y499" t="s">
        <v>60</v>
      </c>
      <c r="Z499" t="s">
        <v>182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29.74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45943</v>
      </c>
      <c r="B500" t="s">
        <v>48</v>
      </c>
      <c r="C500">
        <v>649163</v>
      </c>
      <c r="D500">
        <v>2030380188</v>
      </c>
      <c r="E500" t="s">
        <v>715</v>
      </c>
      <c r="F500" t="s">
        <v>716</v>
      </c>
      <c r="G500" t="s">
        <v>51</v>
      </c>
      <c r="H500" t="s">
        <v>102</v>
      </c>
      <c r="I500" t="s">
        <v>116</v>
      </c>
      <c r="J500" t="s">
        <v>120</v>
      </c>
      <c r="K500">
        <v>767312</v>
      </c>
      <c r="L500" t="s">
        <v>147</v>
      </c>
      <c r="M500" t="s">
        <v>148</v>
      </c>
      <c r="N500" t="s">
        <v>57</v>
      </c>
      <c r="O500" s="1">
        <v>45884</v>
      </c>
      <c r="Q500" s="1">
        <v>45976</v>
      </c>
      <c r="R500" s="2">
        <v>35.85</v>
      </c>
      <c r="S500">
        <v>1</v>
      </c>
      <c r="T500" t="s">
        <v>58</v>
      </c>
      <c r="U500" t="s">
        <v>180</v>
      </c>
      <c r="V500" s="3">
        <v>0.9</v>
      </c>
      <c r="W500" s="2">
        <v>0</v>
      </c>
      <c r="X500">
        <v>0</v>
      </c>
      <c r="Y500" t="s">
        <v>60</v>
      </c>
      <c r="Z500" t="s">
        <v>182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32.26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45943</v>
      </c>
      <c r="B501" t="s">
        <v>48</v>
      </c>
      <c r="C501">
        <v>649163</v>
      </c>
      <c r="D501">
        <v>2030427171</v>
      </c>
      <c r="E501" t="s">
        <v>717</v>
      </c>
      <c r="F501" t="s">
        <v>212</v>
      </c>
      <c r="G501" t="s">
        <v>51</v>
      </c>
      <c r="H501" t="s">
        <v>219</v>
      </c>
      <c r="I501" t="s">
        <v>116</v>
      </c>
      <c r="J501" t="s">
        <v>120</v>
      </c>
      <c r="K501">
        <v>813184</v>
      </c>
      <c r="L501" t="s">
        <v>566</v>
      </c>
      <c r="M501" t="s">
        <v>567</v>
      </c>
      <c r="N501" t="s">
        <v>57</v>
      </c>
      <c r="O501" s="1">
        <v>45881</v>
      </c>
      <c r="Q501" s="1">
        <v>45973</v>
      </c>
      <c r="R501" s="2">
        <v>159.31</v>
      </c>
      <c r="S501">
        <v>1</v>
      </c>
      <c r="T501" t="s">
        <v>58</v>
      </c>
      <c r="U501" t="s">
        <v>180</v>
      </c>
      <c r="V501" s="3">
        <v>0.9</v>
      </c>
      <c r="W501" s="2">
        <v>0</v>
      </c>
      <c r="X501">
        <v>0</v>
      </c>
      <c r="Y501" t="s">
        <v>60</v>
      </c>
      <c r="Z501" t="s">
        <v>182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143.38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45943</v>
      </c>
      <c r="B502" t="s">
        <v>48</v>
      </c>
      <c r="C502">
        <v>649163</v>
      </c>
      <c r="D502">
        <v>2030427172</v>
      </c>
      <c r="E502" t="s">
        <v>717</v>
      </c>
      <c r="F502" t="s">
        <v>212</v>
      </c>
      <c r="G502" t="s">
        <v>51</v>
      </c>
      <c r="H502" t="s">
        <v>219</v>
      </c>
      <c r="I502" t="s">
        <v>116</v>
      </c>
      <c r="J502" t="s">
        <v>125</v>
      </c>
      <c r="K502">
        <v>813184</v>
      </c>
      <c r="L502" t="s">
        <v>566</v>
      </c>
      <c r="M502" t="s">
        <v>567</v>
      </c>
      <c r="N502" t="s">
        <v>57</v>
      </c>
      <c r="O502" s="1">
        <v>45881</v>
      </c>
      <c r="Q502" s="1">
        <v>45973</v>
      </c>
      <c r="R502" s="2">
        <v>69.06</v>
      </c>
      <c r="S502">
        <v>1</v>
      </c>
      <c r="T502" t="s">
        <v>58</v>
      </c>
      <c r="U502" t="s">
        <v>180</v>
      </c>
      <c r="V502" s="3">
        <v>0.7</v>
      </c>
      <c r="W502" s="2">
        <v>0</v>
      </c>
      <c r="X502">
        <v>0</v>
      </c>
      <c r="Y502" t="s">
        <v>60</v>
      </c>
      <c r="Z502" t="s">
        <v>182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48.34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45943</v>
      </c>
      <c r="B503" t="s">
        <v>48</v>
      </c>
      <c r="C503">
        <v>649163</v>
      </c>
      <c r="D503">
        <v>2030431357</v>
      </c>
      <c r="E503" t="s">
        <v>323</v>
      </c>
      <c r="F503" t="s">
        <v>324</v>
      </c>
      <c r="G503" t="s">
        <v>51</v>
      </c>
      <c r="H503" t="s">
        <v>69</v>
      </c>
      <c r="I503" t="s">
        <v>116</v>
      </c>
      <c r="J503" t="s">
        <v>125</v>
      </c>
      <c r="K503">
        <v>824082</v>
      </c>
      <c r="L503" t="s">
        <v>303</v>
      </c>
      <c r="M503" t="s">
        <v>304</v>
      </c>
      <c r="N503" t="s">
        <v>57</v>
      </c>
      <c r="O503" s="1">
        <v>45881</v>
      </c>
      <c r="Q503" s="1">
        <v>45973</v>
      </c>
      <c r="R503" s="2">
        <v>9.6999999999999993</v>
      </c>
      <c r="S503">
        <v>1</v>
      </c>
      <c r="T503" t="s">
        <v>58</v>
      </c>
      <c r="U503" t="s">
        <v>180</v>
      </c>
      <c r="V503" s="3">
        <v>0.7</v>
      </c>
      <c r="W503" s="2">
        <v>0</v>
      </c>
      <c r="X503">
        <v>0</v>
      </c>
      <c r="Y503" t="s">
        <v>60</v>
      </c>
      <c r="Z503" t="s">
        <v>182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6.79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45943</v>
      </c>
      <c r="B504" t="s">
        <v>48</v>
      </c>
      <c r="C504">
        <v>649163</v>
      </c>
      <c r="D504">
        <v>2030447483</v>
      </c>
      <c r="E504" t="s">
        <v>568</v>
      </c>
      <c r="F504" t="s">
        <v>280</v>
      </c>
      <c r="G504" t="s">
        <v>51</v>
      </c>
      <c r="H504" t="s">
        <v>225</v>
      </c>
      <c r="I504" t="s">
        <v>116</v>
      </c>
      <c r="J504" t="s">
        <v>125</v>
      </c>
      <c r="K504">
        <v>753748</v>
      </c>
      <c r="L504" t="s">
        <v>168</v>
      </c>
      <c r="M504" t="s">
        <v>169</v>
      </c>
      <c r="N504" t="s">
        <v>57</v>
      </c>
      <c r="O504" s="1">
        <v>45882</v>
      </c>
      <c r="Q504" s="1">
        <v>45974</v>
      </c>
      <c r="R504" s="2">
        <v>10.53</v>
      </c>
      <c r="S504">
        <v>1</v>
      </c>
      <c r="T504" t="s">
        <v>58</v>
      </c>
      <c r="U504" t="s">
        <v>180</v>
      </c>
      <c r="V504" s="3">
        <v>0.7</v>
      </c>
      <c r="W504" s="2">
        <v>0</v>
      </c>
      <c r="X504">
        <v>0</v>
      </c>
      <c r="Y504" t="s">
        <v>60</v>
      </c>
      <c r="Z504" t="s">
        <v>182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7.37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45943</v>
      </c>
      <c r="B505" t="s">
        <v>48</v>
      </c>
      <c r="C505">
        <v>649163</v>
      </c>
      <c r="D505">
        <v>2030452962</v>
      </c>
      <c r="E505" t="s">
        <v>569</v>
      </c>
      <c r="F505" t="s">
        <v>90</v>
      </c>
      <c r="G505" t="s">
        <v>51</v>
      </c>
      <c r="H505" t="s">
        <v>69</v>
      </c>
      <c r="I505" t="s">
        <v>116</v>
      </c>
      <c r="J505" t="s">
        <v>125</v>
      </c>
      <c r="K505">
        <v>824082</v>
      </c>
      <c r="L505" t="s">
        <v>303</v>
      </c>
      <c r="M505" t="s">
        <v>304</v>
      </c>
      <c r="N505" t="s">
        <v>57</v>
      </c>
      <c r="O505" s="1">
        <v>45882</v>
      </c>
      <c r="Q505" s="1">
        <v>45974</v>
      </c>
      <c r="R505" s="2">
        <v>29.2</v>
      </c>
      <c r="S505">
        <v>1</v>
      </c>
      <c r="T505" t="s">
        <v>58</v>
      </c>
      <c r="U505" t="s">
        <v>180</v>
      </c>
      <c r="V505" s="3">
        <v>0.7</v>
      </c>
      <c r="W505" s="2">
        <v>0</v>
      </c>
      <c r="X505">
        <v>0</v>
      </c>
      <c r="Y505" t="s">
        <v>60</v>
      </c>
      <c r="Z505" t="s">
        <v>182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20.440000000000001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45943</v>
      </c>
      <c r="B506" t="s">
        <v>48</v>
      </c>
      <c r="D506">
        <v>2030454170</v>
      </c>
      <c r="E506" t="s">
        <v>325</v>
      </c>
      <c r="F506" t="s">
        <v>148</v>
      </c>
      <c r="G506" t="s">
        <v>51</v>
      </c>
      <c r="H506" t="s">
        <v>119</v>
      </c>
      <c r="I506" t="s">
        <v>116</v>
      </c>
      <c r="J506" t="s">
        <v>117</v>
      </c>
      <c r="L506" t="s">
        <v>307</v>
      </c>
      <c r="M506" t="s">
        <v>308</v>
      </c>
      <c r="N506" t="s">
        <v>57</v>
      </c>
      <c r="O506" s="1">
        <v>45883</v>
      </c>
      <c r="Q506" s="1">
        <v>45975</v>
      </c>
      <c r="R506" s="2">
        <v>24.61</v>
      </c>
      <c r="S506">
        <v>1</v>
      </c>
      <c r="T506" t="s">
        <v>58</v>
      </c>
      <c r="U506" t="s">
        <v>180</v>
      </c>
      <c r="V506" s="3">
        <v>0.7</v>
      </c>
      <c r="W506" s="2">
        <v>0</v>
      </c>
      <c r="X506">
        <v>0</v>
      </c>
      <c r="Y506" t="s">
        <v>60</v>
      </c>
      <c r="Z506" t="s">
        <v>182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17.23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45943</v>
      </c>
      <c r="B507" t="s">
        <v>48</v>
      </c>
      <c r="C507">
        <v>649163</v>
      </c>
      <c r="D507">
        <v>2030455581</v>
      </c>
      <c r="E507" t="s">
        <v>326</v>
      </c>
      <c r="F507" t="s">
        <v>327</v>
      </c>
      <c r="G507" t="s">
        <v>51</v>
      </c>
      <c r="H507" t="s">
        <v>69</v>
      </c>
      <c r="I507" t="s">
        <v>116</v>
      </c>
      <c r="J507" t="s">
        <v>125</v>
      </c>
      <c r="K507">
        <v>816021</v>
      </c>
      <c r="L507" t="s">
        <v>71</v>
      </c>
      <c r="M507" t="s">
        <v>72</v>
      </c>
      <c r="N507" t="s">
        <v>57</v>
      </c>
      <c r="O507" s="1">
        <v>45882</v>
      </c>
      <c r="Q507" s="1">
        <v>45974</v>
      </c>
      <c r="R507" s="2">
        <v>27.38</v>
      </c>
      <c r="S507">
        <v>1</v>
      </c>
      <c r="T507" t="s">
        <v>58</v>
      </c>
      <c r="U507" t="s">
        <v>180</v>
      </c>
      <c r="V507" s="3">
        <v>0.7</v>
      </c>
      <c r="W507" s="2">
        <v>0</v>
      </c>
      <c r="X507">
        <v>0</v>
      </c>
      <c r="Y507" t="s">
        <v>60</v>
      </c>
      <c r="Z507" t="s">
        <v>182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19.170000000000002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45943</v>
      </c>
      <c r="B508" t="s">
        <v>48</v>
      </c>
      <c r="C508">
        <v>649163</v>
      </c>
      <c r="D508">
        <v>2030455583</v>
      </c>
      <c r="E508" t="s">
        <v>326</v>
      </c>
      <c r="F508" t="s">
        <v>327</v>
      </c>
      <c r="G508" t="s">
        <v>51</v>
      </c>
      <c r="H508" t="s">
        <v>69</v>
      </c>
      <c r="I508" t="s">
        <v>116</v>
      </c>
      <c r="J508" t="s">
        <v>120</v>
      </c>
      <c r="K508">
        <v>816021</v>
      </c>
      <c r="L508" t="s">
        <v>71</v>
      </c>
      <c r="M508" t="s">
        <v>72</v>
      </c>
      <c r="N508" t="s">
        <v>57</v>
      </c>
      <c r="O508" s="1">
        <v>45882</v>
      </c>
      <c r="Q508" s="1">
        <v>45974</v>
      </c>
      <c r="R508" s="2">
        <v>52.92</v>
      </c>
      <c r="S508">
        <v>1</v>
      </c>
      <c r="T508" t="s">
        <v>58</v>
      </c>
      <c r="U508" t="s">
        <v>180</v>
      </c>
      <c r="V508" s="3">
        <v>0.9</v>
      </c>
      <c r="W508" s="2">
        <v>0</v>
      </c>
      <c r="X508">
        <v>0</v>
      </c>
      <c r="Y508" t="s">
        <v>60</v>
      </c>
      <c r="Z508" t="s">
        <v>182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47.63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45943</v>
      </c>
      <c r="B509" t="s">
        <v>48</v>
      </c>
      <c r="C509">
        <v>649163</v>
      </c>
      <c r="D509">
        <v>2030474678</v>
      </c>
      <c r="E509" t="s">
        <v>718</v>
      </c>
      <c r="F509" t="s">
        <v>719</v>
      </c>
      <c r="G509" t="s">
        <v>51</v>
      </c>
      <c r="H509" t="s">
        <v>225</v>
      </c>
      <c r="I509" t="s">
        <v>116</v>
      </c>
      <c r="J509" t="s">
        <v>125</v>
      </c>
      <c r="K509">
        <v>878036</v>
      </c>
      <c r="L509" t="s">
        <v>720</v>
      </c>
      <c r="M509" t="s">
        <v>721</v>
      </c>
      <c r="N509" t="s">
        <v>57</v>
      </c>
      <c r="O509" s="1">
        <v>45884</v>
      </c>
      <c r="Q509" s="1">
        <v>45976</v>
      </c>
      <c r="R509" s="2">
        <v>55.61</v>
      </c>
      <c r="S509">
        <v>1</v>
      </c>
      <c r="T509" t="s">
        <v>58</v>
      </c>
      <c r="U509" t="s">
        <v>180</v>
      </c>
      <c r="V509" s="3">
        <v>0.7</v>
      </c>
      <c r="W509" s="2">
        <v>0</v>
      </c>
      <c r="X509">
        <v>0</v>
      </c>
      <c r="Y509" t="s">
        <v>60</v>
      </c>
      <c r="Z509" t="s">
        <v>182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38.93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45943</v>
      </c>
      <c r="B510" t="s">
        <v>48</v>
      </c>
      <c r="C510">
        <v>649163</v>
      </c>
      <c r="D510">
        <v>2030474774</v>
      </c>
      <c r="E510" t="s">
        <v>722</v>
      </c>
      <c r="F510" t="s">
        <v>723</v>
      </c>
      <c r="G510" t="s">
        <v>51</v>
      </c>
      <c r="H510" t="s">
        <v>312</v>
      </c>
      <c r="I510" t="s">
        <v>116</v>
      </c>
      <c r="J510" t="s">
        <v>125</v>
      </c>
      <c r="K510">
        <v>673059</v>
      </c>
      <c r="L510" t="s">
        <v>55</v>
      </c>
      <c r="M510" t="s">
        <v>56</v>
      </c>
      <c r="N510" t="s">
        <v>57</v>
      </c>
      <c r="O510" s="1">
        <v>45883</v>
      </c>
      <c r="Q510" s="1">
        <v>45975</v>
      </c>
      <c r="R510" s="2">
        <v>122.88</v>
      </c>
      <c r="S510">
        <v>1</v>
      </c>
      <c r="T510" t="s">
        <v>58</v>
      </c>
      <c r="U510" t="s">
        <v>180</v>
      </c>
      <c r="V510" s="3">
        <v>0.7</v>
      </c>
      <c r="W510" s="2">
        <v>0</v>
      </c>
      <c r="X510">
        <v>0</v>
      </c>
      <c r="Y510" t="s">
        <v>60</v>
      </c>
      <c r="Z510" t="s">
        <v>182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86.02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45943</v>
      </c>
      <c r="B511" t="s">
        <v>48</v>
      </c>
      <c r="C511">
        <v>649163</v>
      </c>
      <c r="D511">
        <v>2030485607</v>
      </c>
      <c r="E511" t="s">
        <v>382</v>
      </c>
      <c r="F511" t="s">
        <v>383</v>
      </c>
      <c r="G511" t="s">
        <v>51</v>
      </c>
      <c r="H511" t="s">
        <v>219</v>
      </c>
      <c r="I511" t="s">
        <v>116</v>
      </c>
      <c r="J511" t="s">
        <v>125</v>
      </c>
      <c r="K511">
        <v>839913</v>
      </c>
      <c r="L511" t="s">
        <v>384</v>
      </c>
      <c r="M511" t="s">
        <v>385</v>
      </c>
      <c r="N511" t="s">
        <v>57</v>
      </c>
      <c r="O511" s="1">
        <v>45883</v>
      </c>
      <c r="Q511" s="1">
        <v>45975</v>
      </c>
      <c r="R511" s="2">
        <v>46.72</v>
      </c>
      <c r="S511">
        <v>1</v>
      </c>
      <c r="T511" t="s">
        <v>58</v>
      </c>
      <c r="U511" t="s">
        <v>180</v>
      </c>
      <c r="V511" s="3">
        <v>0.7</v>
      </c>
      <c r="W511" s="2">
        <v>0</v>
      </c>
      <c r="X511">
        <v>0</v>
      </c>
      <c r="Y511" t="s">
        <v>60</v>
      </c>
      <c r="Z511" t="s">
        <v>182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32.700000000000003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45943</v>
      </c>
      <c r="B512" t="s">
        <v>48</v>
      </c>
      <c r="D512">
        <v>2030488870</v>
      </c>
      <c r="E512" t="s">
        <v>330</v>
      </c>
      <c r="F512" t="s">
        <v>331</v>
      </c>
      <c r="G512" t="s">
        <v>51</v>
      </c>
      <c r="H512" t="s">
        <v>119</v>
      </c>
      <c r="I512" t="s">
        <v>116</v>
      </c>
      <c r="J512" t="s">
        <v>117</v>
      </c>
      <c r="L512" t="s">
        <v>307</v>
      </c>
      <c r="M512" t="s">
        <v>308</v>
      </c>
      <c r="N512" t="s">
        <v>57</v>
      </c>
      <c r="O512" s="1">
        <v>45884</v>
      </c>
      <c r="Q512" s="1">
        <v>45976</v>
      </c>
      <c r="R512" s="2">
        <v>24.61</v>
      </c>
      <c r="S512">
        <v>1</v>
      </c>
      <c r="T512" t="s">
        <v>58</v>
      </c>
      <c r="U512" t="s">
        <v>180</v>
      </c>
      <c r="V512" s="3">
        <v>0.7</v>
      </c>
      <c r="W512" s="2">
        <v>0</v>
      </c>
      <c r="X512">
        <v>0</v>
      </c>
      <c r="Y512" t="s">
        <v>60</v>
      </c>
      <c r="Z512" t="s">
        <v>182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17.23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4" x14ac:dyDescent="0.25">
      <c r="A513" s="1">
        <v>45943</v>
      </c>
      <c r="B513" t="s">
        <v>48</v>
      </c>
      <c r="C513">
        <v>649163</v>
      </c>
      <c r="D513">
        <v>2030488871</v>
      </c>
      <c r="E513" t="s">
        <v>330</v>
      </c>
      <c r="F513" t="s">
        <v>331</v>
      </c>
      <c r="G513" t="s">
        <v>51</v>
      </c>
      <c r="H513" t="s">
        <v>119</v>
      </c>
      <c r="I513" t="s">
        <v>116</v>
      </c>
      <c r="J513" t="s">
        <v>429</v>
      </c>
      <c r="K513">
        <v>823068</v>
      </c>
      <c r="L513" t="s">
        <v>307</v>
      </c>
      <c r="M513" t="s">
        <v>308</v>
      </c>
      <c r="N513" t="s">
        <v>57</v>
      </c>
      <c r="O513" s="1">
        <v>45884</v>
      </c>
      <c r="Q513" s="1">
        <v>45976</v>
      </c>
      <c r="R513" s="2">
        <v>27.8</v>
      </c>
      <c r="S513">
        <v>1</v>
      </c>
      <c r="T513" t="s">
        <v>58</v>
      </c>
      <c r="U513" t="s">
        <v>180</v>
      </c>
      <c r="V513" s="3">
        <v>0.42</v>
      </c>
      <c r="W513" s="2">
        <v>0</v>
      </c>
      <c r="X513">
        <v>0</v>
      </c>
      <c r="Y513" t="s">
        <v>60</v>
      </c>
      <c r="Z513" t="s">
        <v>182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11.68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4" x14ac:dyDescent="0.25">
      <c r="A514" s="1">
        <v>45943</v>
      </c>
      <c r="B514" t="s">
        <v>48</v>
      </c>
      <c r="D514">
        <v>2030501935</v>
      </c>
      <c r="E514" t="s">
        <v>332</v>
      </c>
      <c r="F514" t="s">
        <v>258</v>
      </c>
      <c r="G514" t="s">
        <v>51</v>
      </c>
      <c r="H514" t="s">
        <v>119</v>
      </c>
      <c r="I514" t="s">
        <v>116</v>
      </c>
      <c r="J514" t="s">
        <v>117</v>
      </c>
      <c r="L514" t="s">
        <v>222</v>
      </c>
      <c r="M514" t="s">
        <v>223</v>
      </c>
      <c r="N514" t="s">
        <v>57</v>
      </c>
      <c r="O514" s="1">
        <v>45884</v>
      </c>
      <c r="Q514" s="1">
        <v>45976</v>
      </c>
      <c r="R514" s="2">
        <v>24.61</v>
      </c>
      <c r="S514">
        <v>1</v>
      </c>
      <c r="T514" t="s">
        <v>58</v>
      </c>
      <c r="U514" t="s">
        <v>180</v>
      </c>
      <c r="V514" s="3">
        <v>0.7</v>
      </c>
      <c r="W514" s="2">
        <v>0</v>
      </c>
      <c r="X514">
        <v>0</v>
      </c>
      <c r="Y514" t="s">
        <v>60</v>
      </c>
      <c r="Z514" t="s">
        <v>182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17.23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4" x14ac:dyDescent="0.25">
      <c r="A515" s="1">
        <v>45943</v>
      </c>
      <c r="B515" t="s">
        <v>48</v>
      </c>
      <c r="C515">
        <v>649163</v>
      </c>
      <c r="D515">
        <v>2030503342</v>
      </c>
      <c r="E515" t="s">
        <v>724</v>
      </c>
      <c r="F515" t="s">
        <v>725</v>
      </c>
      <c r="G515" t="s">
        <v>51</v>
      </c>
      <c r="H515" t="s">
        <v>78</v>
      </c>
      <c r="I515" t="s">
        <v>116</v>
      </c>
      <c r="J515" t="s">
        <v>125</v>
      </c>
      <c r="K515">
        <v>839554</v>
      </c>
      <c r="L515" t="s">
        <v>688</v>
      </c>
      <c r="M515" t="s">
        <v>689</v>
      </c>
      <c r="N515" t="s">
        <v>57</v>
      </c>
      <c r="O515" s="1">
        <v>45884</v>
      </c>
      <c r="Q515" s="1">
        <v>45976</v>
      </c>
      <c r="R515" s="2">
        <v>56.5</v>
      </c>
      <c r="S515">
        <v>1</v>
      </c>
      <c r="T515" t="s">
        <v>58</v>
      </c>
      <c r="U515" t="s">
        <v>180</v>
      </c>
      <c r="V515" s="3">
        <v>0.7</v>
      </c>
      <c r="W515" s="2">
        <v>0</v>
      </c>
      <c r="X515">
        <v>0</v>
      </c>
      <c r="Y515" t="s">
        <v>60</v>
      </c>
      <c r="Z515" t="s">
        <v>182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39.549999999999997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4" x14ac:dyDescent="0.25">
      <c r="A516" s="1">
        <v>45943</v>
      </c>
      <c r="B516" t="s">
        <v>48</v>
      </c>
      <c r="C516">
        <v>649163</v>
      </c>
      <c r="D516">
        <v>2030503343</v>
      </c>
      <c r="E516" t="s">
        <v>724</v>
      </c>
      <c r="F516" t="s">
        <v>725</v>
      </c>
      <c r="G516" t="s">
        <v>51</v>
      </c>
      <c r="H516" t="s">
        <v>78</v>
      </c>
      <c r="I516" t="s">
        <v>116</v>
      </c>
      <c r="J516" t="s">
        <v>120</v>
      </c>
      <c r="K516">
        <v>839554</v>
      </c>
      <c r="L516" t="s">
        <v>688</v>
      </c>
      <c r="M516" t="s">
        <v>689</v>
      </c>
      <c r="N516" t="s">
        <v>57</v>
      </c>
      <c r="O516" s="1">
        <v>45884</v>
      </c>
      <c r="Q516" s="1">
        <v>45976</v>
      </c>
      <c r="R516" s="2">
        <v>41.88</v>
      </c>
      <c r="S516">
        <v>1</v>
      </c>
      <c r="T516" t="s">
        <v>58</v>
      </c>
      <c r="U516" t="s">
        <v>180</v>
      </c>
      <c r="V516" s="3">
        <v>0.9</v>
      </c>
      <c r="W516" s="2">
        <v>0</v>
      </c>
      <c r="X516">
        <v>0</v>
      </c>
      <c r="Y516" t="s">
        <v>60</v>
      </c>
      <c r="Z516" t="s">
        <v>182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37.69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4" x14ac:dyDescent="0.25">
      <c r="A517" s="1">
        <v>45943</v>
      </c>
      <c r="B517" t="s">
        <v>48</v>
      </c>
      <c r="C517">
        <v>649163</v>
      </c>
      <c r="D517">
        <v>2030519283</v>
      </c>
      <c r="E517" t="s">
        <v>726</v>
      </c>
      <c r="F517" t="s">
        <v>261</v>
      </c>
      <c r="G517" t="s">
        <v>51</v>
      </c>
      <c r="H517" t="s">
        <v>78</v>
      </c>
      <c r="I517" t="s">
        <v>116</v>
      </c>
      <c r="J517" t="s">
        <v>120</v>
      </c>
      <c r="K517">
        <v>824062</v>
      </c>
      <c r="L517" t="s">
        <v>126</v>
      </c>
      <c r="M517" t="s">
        <v>127</v>
      </c>
      <c r="N517" t="s">
        <v>57</v>
      </c>
      <c r="O517" s="1">
        <v>45885</v>
      </c>
      <c r="Q517" s="1">
        <v>45977</v>
      </c>
      <c r="R517" s="2">
        <v>242.88</v>
      </c>
      <c r="S517">
        <v>1</v>
      </c>
      <c r="T517" t="s">
        <v>58</v>
      </c>
      <c r="U517" t="s">
        <v>180</v>
      </c>
      <c r="V517" s="3">
        <v>0.9</v>
      </c>
      <c r="W517" s="2">
        <v>0</v>
      </c>
      <c r="X517">
        <v>0</v>
      </c>
      <c r="Y517" t="s">
        <v>60</v>
      </c>
      <c r="Z517" t="s">
        <v>182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218.59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4" x14ac:dyDescent="0.25">
      <c r="A518" s="1">
        <v>45943</v>
      </c>
      <c r="B518" t="s">
        <v>48</v>
      </c>
      <c r="C518">
        <v>649163</v>
      </c>
      <c r="D518">
        <v>2030675165</v>
      </c>
      <c r="E518" t="s">
        <v>333</v>
      </c>
      <c r="F518" t="s">
        <v>334</v>
      </c>
      <c r="G518" t="s">
        <v>51</v>
      </c>
      <c r="H518" t="s">
        <v>175</v>
      </c>
      <c r="I518" t="s">
        <v>116</v>
      </c>
      <c r="J518" t="s">
        <v>125</v>
      </c>
      <c r="K518">
        <v>823350</v>
      </c>
      <c r="L518" t="s">
        <v>65</v>
      </c>
      <c r="M518" t="s">
        <v>66</v>
      </c>
      <c r="N518" t="s">
        <v>57</v>
      </c>
      <c r="O518" s="1">
        <v>45901</v>
      </c>
      <c r="Q518" s="1">
        <v>45962</v>
      </c>
      <c r="R518" s="2">
        <v>24.15</v>
      </c>
      <c r="S518">
        <v>1</v>
      </c>
      <c r="T518" t="s">
        <v>58</v>
      </c>
      <c r="U518" t="s">
        <v>180</v>
      </c>
      <c r="V518" s="3">
        <v>0.7</v>
      </c>
      <c r="W518" s="2">
        <v>0</v>
      </c>
      <c r="X518">
        <v>0</v>
      </c>
      <c r="Y518" t="s">
        <v>60</v>
      </c>
      <c r="Z518" t="s">
        <v>182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16.899999999999999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4" x14ac:dyDescent="0.25">
      <c r="A519" s="1">
        <v>45943</v>
      </c>
      <c r="B519" t="s">
        <v>727</v>
      </c>
      <c r="C519">
        <v>649163</v>
      </c>
      <c r="D519">
        <v>2023013394</v>
      </c>
      <c r="E519" t="s">
        <v>453</v>
      </c>
      <c r="F519" t="s">
        <v>454</v>
      </c>
      <c r="G519" t="s">
        <v>51</v>
      </c>
      <c r="I519" t="s">
        <v>443</v>
      </c>
      <c r="J519" t="s">
        <v>444</v>
      </c>
      <c r="K519">
        <v>649163</v>
      </c>
      <c r="L519" t="s">
        <v>455</v>
      </c>
      <c r="M519" t="s">
        <v>456</v>
      </c>
      <c r="N519" t="s">
        <v>179</v>
      </c>
      <c r="O519" s="1">
        <v>45444</v>
      </c>
      <c r="P519" s="1">
        <v>45943</v>
      </c>
      <c r="R519" s="2">
        <v>0</v>
      </c>
      <c r="AB519" s="2">
        <v>0</v>
      </c>
      <c r="AC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t="s">
        <v>728</v>
      </c>
    </row>
    <row r="520" spans="1:44" x14ac:dyDescent="0.25">
      <c r="A520" s="1">
        <v>45943</v>
      </c>
      <c r="B520" t="s">
        <v>727</v>
      </c>
      <c r="C520">
        <v>649163</v>
      </c>
      <c r="D520">
        <v>2029177110</v>
      </c>
      <c r="E520" t="s">
        <v>282</v>
      </c>
      <c r="F520" t="s">
        <v>283</v>
      </c>
      <c r="G520" t="s">
        <v>51</v>
      </c>
      <c r="I520" t="s">
        <v>79</v>
      </c>
      <c r="J520" t="s">
        <v>350</v>
      </c>
      <c r="K520">
        <v>649163</v>
      </c>
      <c r="L520" t="s">
        <v>284</v>
      </c>
      <c r="M520" t="s">
        <v>285</v>
      </c>
      <c r="N520" t="s">
        <v>179</v>
      </c>
      <c r="O520" s="1">
        <v>45809</v>
      </c>
      <c r="P520" s="1">
        <v>45943</v>
      </c>
      <c r="R520" s="2">
        <v>0</v>
      </c>
      <c r="AB520" s="2">
        <v>34.200000000000003</v>
      </c>
      <c r="AC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28.5</v>
      </c>
      <c r="AN520" s="2">
        <v>-5.7</v>
      </c>
      <c r="AO520" s="2">
        <v>-5.7</v>
      </c>
      <c r="AP520" s="2">
        <v>0</v>
      </c>
      <c r="AQ520" s="2">
        <v>0</v>
      </c>
      <c r="AR520" t="s">
        <v>728</v>
      </c>
    </row>
    <row r="521" spans="1:44" x14ac:dyDescent="0.25">
      <c r="A521" s="1">
        <v>45943</v>
      </c>
      <c r="B521" t="s">
        <v>727</v>
      </c>
      <c r="C521">
        <v>18781057</v>
      </c>
      <c r="D521">
        <v>2030474635</v>
      </c>
      <c r="E521" t="s">
        <v>729</v>
      </c>
      <c r="F521" t="s">
        <v>730</v>
      </c>
      <c r="G521" t="s">
        <v>51</v>
      </c>
      <c r="I521" t="s">
        <v>176</v>
      </c>
      <c r="J521" t="s">
        <v>177</v>
      </c>
      <c r="K521">
        <v>18781057</v>
      </c>
      <c r="L521" t="s">
        <v>186</v>
      </c>
      <c r="M521" t="s">
        <v>90</v>
      </c>
      <c r="N521" t="s">
        <v>179</v>
      </c>
      <c r="O521" s="1">
        <v>45883</v>
      </c>
      <c r="P521" s="1">
        <v>45943</v>
      </c>
      <c r="R521" s="2">
        <v>0</v>
      </c>
      <c r="AB521" s="2">
        <v>167.22</v>
      </c>
      <c r="AC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27.87</v>
      </c>
      <c r="AN521" s="2">
        <v>-139.35</v>
      </c>
      <c r="AO521" s="2">
        <v>-139.35</v>
      </c>
      <c r="AP521" s="2">
        <v>0</v>
      </c>
      <c r="AQ521" s="2">
        <v>0</v>
      </c>
      <c r="AR521" t="s">
        <v>728</v>
      </c>
    </row>
    <row r="522" spans="1:44" x14ac:dyDescent="0.25">
      <c r="A522" s="1">
        <v>45943</v>
      </c>
      <c r="B522" t="s">
        <v>727</v>
      </c>
      <c r="C522">
        <v>649163</v>
      </c>
      <c r="D522">
        <v>2026529011</v>
      </c>
      <c r="E522" t="s">
        <v>484</v>
      </c>
      <c r="F522" t="s">
        <v>485</v>
      </c>
      <c r="G522" t="s">
        <v>51</v>
      </c>
      <c r="I522" t="s">
        <v>92</v>
      </c>
      <c r="J522" t="s">
        <v>93</v>
      </c>
      <c r="K522">
        <v>649163</v>
      </c>
      <c r="L522" t="s">
        <v>477</v>
      </c>
      <c r="M522" t="s">
        <v>159</v>
      </c>
      <c r="N522" t="s">
        <v>179</v>
      </c>
      <c r="O522" s="1">
        <v>45689</v>
      </c>
      <c r="P522" s="1">
        <v>45943</v>
      </c>
      <c r="R522" s="2">
        <v>0</v>
      </c>
      <c r="AB522" s="2">
        <v>0</v>
      </c>
      <c r="AC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t="s">
        <v>728</v>
      </c>
    </row>
    <row r="523" spans="1:44" x14ac:dyDescent="0.25">
      <c r="A523" s="1">
        <v>45943</v>
      </c>
      <c r="B523" t="s">
        <v>727</v>
      </c>
      <c r="C523">
        <v>20220688</v>
      </c>
      <c r="D523">
        <v>2028917636</v>
      </c>
      <c r="E523" t="s">
        <v>731</v>
      </c>
      <c r="F523" t="s">
        <v>732</v>
      </c>
      <c r="G523" t="s">
        <v>51</v>
      </c>
      <c r="I523" t="s">
        <v>116</v>
      </c>
      <c r="J523" t="s">
        <v>125</v>
      </c>
      <c r="K523">
        <v>20220688</v>
      </c>
      <c r="L523" t="s">
        <v>151</v>
      </c>
      <c r="M523" t="s">
        <v>152</v>
      </c>
      <c r="N523" t="s">
        <v>179</v>
      </c>
      <c r="O523" s="1">
        <v>45791</v>
      </c>
      <c r="P523" s="1">
        <v>45943</v>
      </c>
      <c r="R523" s="2">
        <v>0</v>
      </c>
      <c r="AB523" s="2">
        <v>0</v>
      </c>
      <c r="AC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t="s">
        <v>728</v>
      </c>
    </row>
    <row r="524" spans="1:44" x14ac:dyDescent="0.25">
      <c r="A524" s="1">
        <v>45943</v>
      </c>
      <c r="B524" t="s">
        <v>727</v>
      </c>
      <c r="C524">
        <v>649163</v>
      </c>
      <c r="D524">
        <v>2029177107</v>
      </c>
      <c r="E524" t="s">
        <v>282</v>
      </c>
      <c r="F524" t="s">
        <v>283</v>
      </c>
      <c r="G524" t="s">
        <v>51</v>
      </c>
      <c r="I524" t="s">
        <v>114</v>
      </c>
      <c r="J524" t="s">
        <v>576</v>
      </c>
      <c r="K524">
        <v>649163</v>
      </c>
      <c r="L524" t="s">
        <v>284</v>
      </c>
      <c r="M524" t="s">
        <v>285</v>
      </c>
      <c r="N524" t="s">
        <v>179</v>
      </c>
      <c r="O524" s="1">
        <v>45809</v>
      </c>
      <c r="P524" s="1">
        <v>45943</v>
      </c>
      <c r="R524" s="2">
        <v>0</v>
      </c>
      <c r="AB524" s="2">
        <v>44.48</v>
      </c>
      <c r="AC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37.07</v>
      </c>
      <c r="AN524" s="2">
        <v>-7.41</v>
      </c>
      <c r="AO524" s="2">
        <v>-7.41</v>
      </c>
      <c r="AP524" s="2">
        <v>0</v>
      </c>
      <c r="AQ524" s="2">
        <v>0</v>
      </c>
      <c r="AR524" t="s">
        <v>728</v>
      </c>
    </row>
    <row r="525" spans="1:44" x14ac:dyDescent="0.25">
      <c r="A525" s="1">
        <v>45943</v>
      </c>
      <c r="B525" t="s">
        <v>727</v>
      </c>
      <c r="C525">
        <v>18781057</v>
      </c>
      <c r="D525">
        <v>2030474634</v>
      </c>
      <c r="E525" t="s">
        <v>729</v>
      </c>
      <c r="F525" t="s">
        <v>730</v>
      </c>
      <c r="G525" t="s">
        <v>51</v>
      </c>
      <c r="I525" t="s">
        <v>114</v>
      </c>
      <c r="J525" t="s">
        <v>576</v>
      </c>
      <c r="K525">
        <v>18781057</v>
      </c>
      <c r="L525" t="s">
        <v>186</v>
      </c>
      <c r="M525" t="s">
        <v>90</v>
      </c>
      <c r="N525" t="s">
        <v>179</v>
      </c>
      <c r="O525" s="1">
        <v>45883</v>
      </c>
      <c r="P525" s="1">
        <v>45943</v>
      </c>
      <c r="R525" s="2">
        <v>0</v>
      </c>
      <c r="AB525" s="2">
        <v>61.9</v>
      </c>
      <c r="AC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10.32</v>
      </c>
      <c r="AN525" s="2">
        <v>-51.58</v>
      </c>
      <c r="AO525" s="2">
        <v>-51.58</v>
      </c>
      <c r="AP525" s="2">
        <v>0</v>
      </c>
      <c r="AQ525" s="2">
        <v>0</v>
      </c>
      <c r="AR525" t="s">
        <v>728</v>
      </c>
    </row>
    <row r="526" spans="1:44" x14ac:dyDescent="0.25">
      <c r="A526" s="1">
        <v>45943</v>
      </c>
      <c r="B526" t="s">
        <v>727</v>
      </c>
      <c r="C526">
        <v>649163</v>
      </c>
      <c r="D526">
        <v>2030772792</v>
      </c>
      <c r="E526" t="s">
        <v>192</v>
      </c>
      <c r="F526" t="s">
        <v>336</v>
      </c>
      <c r="G526" t="s">
        <v>51</v>
      </c>
      <c r="I526" t="s">
        <v>116</v>
      </c>
      <c r="J526" t="s">
        <v>125</v>
      </c>
      <c r="K526">
        <v>649163</v>
      </c>
      <c r="L526" t="s">
        <v>65</v>
      </c>
      <c r="M526" t="s">
        <v>81</v>
      </c>
      <c r="N526" t="s">
        <v>179</v>
      </c>
      <c r="O526" s="1">
        <v>45901</v>
      </c>
      <c r="P526" s="1">
        <v>45943</v>
      </c>
      <c r="R526" s="2">
        <v>0</v>
      </c>
      <c r="AB526" s="2">
        <v>251.37</v>
      </c>
      <c r="AC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83.8</v>
      </c>
      <c r="AN526" s="2">
        <v>-167.57</v>
      </c>
      <c r="AO526" s="2">
        <v>-167.57</v>
      </c>
      <c r="AP526" s="2">
        <v>0</v>
      </c>
      <c r="AQ526" s="2">
        <v>0</v>
      </c>
      <c r="AR526" t="s">
        <v>728</v>
      </c>
    </row>
    <row r="527" spans="1:44" x14ac:dyDescent="0.25">
      <c r="A527" s="1">
        <v>45943</v>
      </c>
      <c r="B527" t="s">
        <v>727</v>
      </c>
      <c r="C527">
        <v>649163</v>
      </c>
      <c r="D527">
        <v>2030978541</v>
      </c>
      <c r="E527" t="s">
        <v>570</v>
      </c>
      <c r="F527" t="s">
        <v>571</v>
      </c>
      <c r="G527" t="s">
        <v>51</v>
      </c>
      <c r="I527" t="s">
        <v>92</v>
      </c>
      <c r="J527" t="s">
        <v>93</v>
      </c>
      <c r="K527">
        <v>649163</v>
      </c>
      <c r="L527" t="s">
        <v>266</v>
      </c>
      <c r="M527" t="s">
        <v>267</v>
      </c>
      <c r="N527" t="s">
        <v>179</v>
      </c>
      <c r="O527" s="1">
        <v>45889</v>
      </c>
      <c r="P527" s="1">
        <v>45943</v>
      </c>
      <c r="R527" s="2">
        <v>0</v>
      </c>
      <c r="AB527" s="2">
        <v>0</v>
      </c>
      <c r="AC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t="s">
        <v>728</v>
      </c>
    </row>
    <row r="528" spans="1:44" x14ac:dyDescent="0.25">
      <c r="A528" s="1">
        <v>45943</v>
      </c>
      <c r="B528" t="s">
        <v>727</v>
      </c>
      <c r="C528">
        <v>9079571</v>
      </c>
      <c r="D528">
        <v>2016855835</v>
      </c>
      <c r="E528" t="s">
        <v>733</v>
      </c>
      <c r="F528" t="s">
        <v>498</v>
      </c>
      <c r="G528" t="s">
        <v>51</v>
      </c>
      <c r="I528" t="s">
        <v>79</v>
      </c>
      <c r="J528" t="s">
        <v>734</v>
      </c>
      <c r="K528">
        <v>9079571</v>
      </c>
      <c r="L528" t="s">
        <v>222</v>
      </c>
      <c r="M528" t="s">
        <v>223</v>
      </c>
      <c r="N528" t="s">
        <v>179</v>
      </c>
      <c r="O528" s="1">
        <v>44896</v>
      </c>
      <c r="P528" s="1">
        <v>45943</v>
      </c>
      <c r="R528" s="2">
        <v>0</v>
      </c>
      <c r="AB528" s="2">
        <v>0</v>
      </c>
      <c r="AC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t="s">
        <v>728</v>
      </c>
    </row>
    <row r="529" spans="1:44" x14ac:dyDescent="0.25">
      <c r="A529" s="1">
        <v>45943</v>
      </c>
      <c r="B529" t="s">
        <v>727</v>
      </c>
      <c r="C529">
        <v>649163</v>
      </c>
      <c r="D529">
        <v>2024680809</v>
      </c>
      <c r="E529" t="s">
        <v>360</v>
      </c>
      <c r="F529" t="s">
        <v>361</v>
      </c>
      <c r="G529" t="s">
        <v>51</v>
      </c>
      <c r="I529" t="s">
        <v>79</v>
      </c>
      <c r="J529" t="s">
        <v>85</v>
      </c>
      <c r="K529">
        <v>649163</v>
      </c>
      <c r="L529" t="s">
        <v>147</v>
      </c>
      <c r="M529" t="s">
        <v>148</v>
      </c>
      <c r="N529" t="s">
        <v>179</v>
      </c>
      <c r="O529" s="1">
        <v>45575</v>
      </c>
      <c r="P529" s="1">
        <v>45943</v>
      </c>
      <c r="R529" s="2">
        <v>0</v>
      </c>
      <c r="AB529" s="2">
        <v>0</v>
      </c>
      <c r="AC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t="s">
        <v>728</v>
      </c>
    </row>
    <row r="530" spans="1:44" x14ac:dyDescent="0.25">
      <c r="A530" s="1">
        <v>45943</v>
      </c>
      <c r="B530" t="s">
        <v>727</v>
      </c>
      <c r="C530">
        <v>649163</v>
      </c>
      <c r="D530">
        <v>2024530409</v>
      </c>
      <c r="E530" t="s">
        <v>484</v>
      </c>
      <c r="F530" t="s">
        <v>485</v>
      </c>
      <c r="G530" t="s">
        <v>51</v>
      </c>
      <c r="I530" t="s">
        <v>116</v>
      </c>
      <c r="J530" t="s">
        <v>125</v>
      </c>
      <c r="K530">
        <v>649163</v>
      </c>
      <c r="L530" t="s">
        <v>477</v>
      </c>
      <c r="M530" t="s">
        <v>159</v>
      </c>
      <c r="N530" t="s">
        <v>179</v>
      </c>
      <c r="O530" s="1">
        <v>45541</v>
      </c>
      <c r="P530" s="1">
        <v>45943</v>
      </c>
      <c r="R530" s="2">
        <v>0</v>
      </c>
      <c r="AB530" s="2">
        <v>0</v>
      </c>
      <c r="AC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t="s">
        <v>728</v>
      </c>
    </row>
    <row r="531" spans="1:44" x14ac:dyDescent="0.25">
      <c r="A531" s="1">
        <v>45943</v>
      </c>
      <c r="B531" t="s">
        <v>727</v>
      </c>
      <c r="C531">
        <v>649163</v>
      </c>
      <c r="D531">
        <v>2024680807</v>
      </c>
      <c r="E531" t="s">
        <v>360</v>
      </c>
      <c r="F531" t="s">
        <v>361</v>
      </c>
      <c r="G531" t="s">
        <v>51</v>
      </c>
      <c r="I531" t="s">
        <v>116</v>
      </c>
      <c r="J531" t="s">
        <v>125</v>
      </c>
      <c r="K531">
        <v>649163</v>
      </c>
      <c r="L531" t="s">
        <v>147</v>
      </c>
      <c r="M531" t="s">
        <v>148</v>
      </c>
      <c r="N531" t="s">
        <v>179</v>
      </c>
      <c r="O531" s="1">
        <v>45575</v>
      </c>
      <c r="P531" s="1">
        <v>45943</v>
      </c>
      <c r="R531" s="2">
        <v>0</v>
      </c>
      <c r="AB531" s="2">
        <v>0</v>
      </c>
      <c r="AC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t="s">
        <v>728</v>
      </c>
    </row>
    <row r="532" spans="1:44" x14ac:dyDescent="0.25">
      <c r="A532" s="1">
        <v>45943</v>
      </c>
      <c r="B532" t="s">
        <v>727</v>
      </c>
      <c r="C532">
        <v>16912722</v>
      </c>
      <c r="D532">
        <v>2028402355</v>
      </c>
      <c r="E532" t="s">
        <v>735</v>
      </c>
      <c r="F532" t="s">
        <v>736</v>
      </c>
      <c r="G532" t="s">
        <v>51</v>
      </c>
      <c r="I532" t="s">
        <v>116</v>
      </c>
      <c r="J532" t="s">
        <v>125</v>
      </c>
      <c r="K532">
        <v>16912722</v>
      </c>
      <c r="L532" t="s">
        <v>139</v>
      </c>
      <c r="M532" t="s">
        <v>140</v>
      </c>
      <c r="N532" t="s">
        <v>179</v>
      </c>
      <c r="O532" s="1">
        <v>45762</v>
      </c>
      <c r="P532" s="1">
        <v>45943</v>
      </c>
      <c r="R532" s="2">
        <v>0</v>
      </c>
      <c r="AB532" s="2">
        <v>0</v>
      </c>
      <c r="AC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t="s">
        <v>728</v>
      </c>
    </row>
    <row r="533" spans="1:44" x14ac:dyDescent="0.25">
      <c r="A533" s="1">
        <v>45943</v>
      </c>
      <c r="B533" t="s">
        <v>727</v>
      </c>
      <c r="C533">
        <v>649163</v>
      </c>
      <c r="D533">
        <v>2029177108</v>
      </c>
      <c r="E533" t="s">
        <v>282</v>
      </c>
      <c r="F533" t="s">
        <v>283</v>
      </c>
      <c r="G533" t="s">
        <v>51</v>
      </c>
      <c r="I533" t="s">
        <v>116</v>
      </c>
      <c r="J533" t="s">
        <v>125</v>
      </c>
      <c r="K533">
        <v>649163</v>
      </c>
      <c r="L533" t="s">
        <v>284</v>
      </c>
      <c r="M533" t="s">
        <v>285</v>
      </c>
      <c r="N533" t="s">
        <v>179</v>
      </c>
      <c r="O533" s="1">
        <v>45809</v>
      </c>
      <c r="P533" s="1">
        <v>45943</v>
      </c>
      <c r="R533" s="2">
        <v>0</v>
      </c>
      <c r="AB533" s="2">
        <v>142.80000000000001</v>
      </c>
      <c r="AC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119</v>
      </c>
      <c r="AN533" s="2">
        <v>-23.8</v>
      </c>
      <c r="AO533" s="2">
        <v>-23.8</v>
      </c>
      <c r="AP533" s="2">
        <v>0</v>
      </c>
      <c r="AQ533" s="2">
        <v>0</v>
      </c>
      <c r="AR533" t="s">
        <v>728</v>
      </c>
    </row>
    <row r="534" spans="1:44" x14ac:dyDescent="0.25">
      <c r="A534" s="1">
        <v>45943</v>
      </c>
      <c r="B534" t="s">
        <v>727</v>
      </c>
      <c r="C534">
        <v>17425766</v>
      </c>
      <c r="D534">
        <v>2029671453</v>
      </c>
      <c r="E534" t="s">
        <v>737</v>
      </c>
      <c r="F534" t="s">
        <v>738</v>
      </c>
      <c r="G534" t="s">
        <v>51</v>
      </c>
      <c r="I534" t="s">
        <v>79</v>
      </c>
      <c r="J534" t="s">
        <v>350</v>
      </c>
      <c r="K534">
        <v>17425766</v>
      </c>
      <c r="L534" t="s">
        <v>195</v>
      </c>
      <c r="M534" t="s">
        <v>196</v>
      </c>
      <c r="N534" t="s">
        <v>179</v>
      </c>
      <c r="O534" s="1">
        <v>45836</v>
      </c>
      <c r="P534" s="1">
        <v>45943</v>
      </c>
      <c r="R534" s="2">
        <v>0</v>
      </c>
      <c r="AB534" s="2">
        <v>34.200000000000003</v>
      </c>
      <c r="AC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5.7</v>
      </c>
      <c r="AN534" s="2">
        <v>-28.5</v>
      </c>
      <c r="AO534" s="2">
        <v>-28.5</v>
      </c>
      <c r="AP534" s="2">
        <v>0</v>
      </c>
      <c r="AQ534" s="2">
        <v>0</v>
      </c>
      <c r="AR534" t="s">
        <v>728</v>
      </c>
    </row>
    <row r="535" spans="1:44" x14ac:dyDescent="0.25">
      <c r="A535" s="1">
        <v>45943</v>
      </c>
      <c r="B535" t="s">
        <v>727</v>
      </c>
      <c r="C535">
        <v>649163</v>
      </c>
      <c r="D535">
        <v>2029177109</v>
      </c>
      <c r="E535" t="s">
        <v>282</v>
      </c>
      <c r="F535" t="s">
        <v>283</v>
      </c>
      <c r="G535" t="s">
        <v>51</v>
      </c>
      <c r="I535" t="s">
        <v>53</v>
      </c>
      <c r="J535" t="s">
        <v>54</v>
      </c>
      <c r="K535">
        <v>649163</v>
      </c>
      <c r="L535" t="s">
        <v>284</v>
      </c>
      <c r="M535" t="s">
        <v>285</v>
      </c>
      <c r="N535" t="s">
        <v>179</v>
      </c>
      <c r="O535" s="1">
        <v>45809</v>
      </c>
      <c r="P535" s="1">
        <v>45943</v>
      </c>
      <c r="R535" s="2">
        <v>0</v>
      </c>
      <c r="AB535" s="2">
        <v>327.29000000000002</v>
      </c>
      <c r="AC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272.74</v>
      </c>
      <c r="AN535" s="2">
        <v>-54.55</v>
      </c>
      <c r="AO535" s="2">
        <v>-54.55</v>
      </c>
      <c r="AP535" s="2">
        <v>0</v>
      </c>
      <c r="AQ535" s="2">
        <v>0</v>
      </c>
      <c r="AR535" t="s">
        <v>728</v>
      </c>
    </row>
    <row r="536" spans="1:44" x14ac:dyDescent="0.25">
      <c r="A536" s="1">
        <v>45943</v>
      </c>
      <c r="B536" t="s">
        <v>727</v>
      </c>
      <c r="C536">
        <v>17425766</v>
      </c>
      <c r="D536">
        <v>2029671452</v>
      </c>
      <c r="E536" t="s">
        <v>737</v>
      </c>
      <c r="F536" t="s">
        <v>738</v>
      </c>
      <c r="G536" t="s">
        <v>51</v>
      </c>
      <c r="I536" t="s">
        <v>92</v>
      </c>
      <c r="J536" t="s">
        <v>93</v>
      </c>
      <c r="K536">
        <v>17425766</v>
      </c>
      <c r="L536" t="s">
        <v>195</v>
      </c>
      <c r="M536" t="s">
        <v>196</v>
      </c>
      <c r="N536" t="s">
        <v>179</v>
      </c>
      <c r="O536" s="1">
        <v>45836</v>
      </c>
      <c r="P536" s="1">
        <v>45943</v>
      </c>
      <c r="R536" s="2">
        <v>0</v>
      </c>
      <c r="AB536" s="2">
        <v>96.53</v>
      </c>
      <c r="AC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16.09</v>
      </c>
      <c r="AN536" s="2">
        <v>-80.44</v>
      </c>
      <c r="AO536" s="2">
        <v>-80.44</v>
      </c>
      <c r="AP536" s="2">
        <v>0</v>
      </c>
      <c r="AQ536" s="2">
        <v>0</v>
      </c>
      <c r="AR536" t="s">
        <v>728</v>
      </c>
    </row>
    <row r="537" spans="1:44" x14ac:dyDescent="0.25">
      <c r="A537" s="1">
        <v>45943</v>
      </c>
      <c r="B537" t="s">
        <v>727</v>
      </c>
      <c r="C537">
        <v>17425766</v>
      </c>
      <c r="D537">
        <v>2029671451</v>
      </c>
      <c r="E537" t="s">
        <v>737</v>
      </c>
      <c r="F537" t="s">
        <v>738</v>
      </c>
      <c r="G537" t="s">
        <v>51</v>
      </c>
      <c r="I537" t="s">
        <v>114</v>
      </c>
      <c r="J537" t="s">
        <v>576</v>
      </c>
      <c r="K537">
        <v>17425766</v>
      </c>
      <c r="L537" t="s">
        <v>195</v>
      </c>
      <c r="M537" t="s">
        <v>196</v>
      </c>
      <c r="N537" t="s">
        <v>179</v>
      </c>
      <c r="O537" s="1">
        <v>45836</v>
      </c>
      <c r="P537" s="1">
        <v>45943</v>
      </c>
      <c r="R537" s="2">
        <v>0</v>
      </c>
      <c r="AB537" s="2">
        <v>34.340000000000003</v>
      </c>
      <c r="AC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5.72</v>
      </c>
      <c r="AN537" s="2">
        <v>-28.62</v>
      </c>
      <c r="AO537" s="2">
        <v>-28.62</v>
      </c>
      <c r="AP537" s="2">
        <v>0</v>
      </c>
      <c r="AQ537" s="2">
        <v>0</v>
      </c>
      <c r="AR537" t="s">
        <v>728</v>
      </c>
    </row>
    <row r="538" spans="1:44" x14ac:dyDescent="0.25">
      <c r="A538" s="1">
        <v>45943</v>
      </c>
      <c r="B538" t="s">
        <v>727</v>
      </c>
      <c r="C538">
        <v>649163</v>
      </c>
      <c r="D538">
        <v>2030772793</v>
      </c>
      <c r="E538" t="s">
        <v>192</v>
      </c>
      <c r="F538" t="s">
        <v>336</v>
      </c>
      <c r="G538" t="s">
        <v>51</v>
      </c>
      <c r="I538" t="s">
        <v>53</v>
      </c>
      <c r="J538" t="s">
        <v>54</v>
      </c>
      <c r="K538">
        <v>649163</v>
      </c>
      <c r="L538" t="s">
        <v>65</v>
      </c>
      <c r="M538" t="s">
        <v>81</v>
      </c>
      <c r="N538" t="s">
        <v>179</v>
      </c>
      <c r="O538" s="1">
        <v>45901</v>
      </c>
      <c r="P538" s="1">
        <v>45943</v>
      </c>
      <c r="R538" s="2">
        <v>0</v>
      </c>
      <c r="AB538" s="2">
        <v>594.45000000000005</v>
      </c>
      <c r="AC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198.16</v>
      </c>
      <c r="AN538" s="2">
        <v>-396.29</v>
      </c>
      <c r="AO538" s="2">
        <v>-396.29</v>
      </c>
      <c r="AP538" s="2">
        <v>0</v>
      </c>
      <c r="AQ538" s="2">
        <v>0</v>
      </c>
      <c r="AR538" t="s">
        <v>728</v>
      </c>
    </row>
    <row r="539" spans="1:44" x14ac:dyDescent="0.25">
      <c r="A539" s="1">
        <v>45943</v>
      </c>
      <c r="B539" t="s">
        <v>727</v>
      </c>
      <c r="C539">
        <v>649163</v>
      </c>
      <c r="D539">
        <v>2031337038</v>
      </c>
      <c r="E539" t="s">
        <v>133</v>
      </c>
      <c r="F539" t="s">
        <v>134</v>
      </c>
      <c r="G539" t="s">
        <v>51</v>
      </c>
      <c r="I539" t="s">
        <v>116</v>
      </c>
      <c r="J539" t="s">
        <v>125</v>
      </c>
      <c r="K539">
        <v>649163</v>
      </c>
      <c r="L539" t="s">
        <v>135</v>
      </c>
      <c r="M539" t="s">
        <v>136</v>
      </c>
      <c r="N539" t="s">
        <v>179</v>
      </c>
      <c r="O539" s="1">
        <v>45932</v>
      </c>
      <c r="P539" s="1">
        <v>45943</v>
      </c>
      <c r="R539" s="2">
        <v>0</v>
      </c>
      <c r="AB539" s="2">
        <v>610.74</v>
      </c>
      <c r="AC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101.79</v>
      </c>
      <c r="AN539" s="2">
        <v>-508.95</v>
      </c>
      <c r="AO539" s="2">
        <v>-508.95</v>
      </c>
      <c r="AP539" s="2">
        <v>0</v>
      </c>
      <c r="AQ539" s="2">
        <v>0</v>
      </c>
      <c r="AR539" t="s">
        <v>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10FF-E09A-43EC-8892-33F139DF2CFD}">
  <dimension ref="A1:AV539"/>
  <sheetViews>
    <sheetView topLeftCell="J1" workbookViewId="0">
      <selection activeCell="J1" sqref="A1:XFD38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710937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33.1406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45943</v>
      </c>
      <c r="B2" t="s">
        <v>48</v>
      </c>
      <c r="C2">
        <v>649163</v>
      </c>
      <c r="D2">
        <v>2031471083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673059</v>
      </c>
      <c r="L2" t="s">
        <v>55</v>
      </c>
      <c r="M2" t="s">
        <v>56</v>
      </c>
      <c r="N2" t="s">
        <v>57</v>
      </c>
      <c r="O2" s="1">
        <v>45962</v>
      </c>
      <c r="Q2" s="1">
        <v>45992</v>
      </c>
      <c r="R2" s="2">
        <v>97.45</v>
      </c>
      <c r="S2">
        <v>1</v>
      </c>
      <c r="T2" t="s">
        <v>58</v>
      </c>
      <c r="U2" t="s">
        <v>59</v>
      </c>
      <c r="V2" s="3">
        <v>0.75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438.54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73.09</v>
      </c>
      <c r="AM2" s="2">
        <v>0</v>
      </c>
      <c r="AN2" s="2">
        <v>438.54</v>
      </c>
      <c r="AO2" s="2">
        <v>0</v>
      </c>
      <c r="AP2" s="2">
        <v>0</v>
      </c>
      <c r="AQ2" s="2">
        <v>0</v>
      </c>
    </row>
    <row r="3" spans="1:48" x14ac:dyDescent="0.25">
      <c r="A3" s="1">
        <v>45943</v>
      </c>
      <c r="B3" t="s">
        <v>48</v>
      </c>
      <c r="C3">
        <v>649163</v>
      </c>
      <c r="D3">
        <v>2031492464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823350</v>
      </c>
      <c r="L3" t="s">
        <v>65</v>
      </c>
      <c r="M3" t="s">
        <v>66</v>
      </c>
      <c r="N3" t="s">
        <v>57</v>
      </c>
      <c r="O3" s="1">
        <v>45938</v>
      </c>
      <c r="Q3" s="1">
        <v>45969</v>
      </c>
      <c r="R3" s="2">
        <v>71.63</v>
      </c>
      <c r="S3">
        <v>1</v>
      </c>
      <c r="T3" t="s">
        <v>58</v>
      </c>
      <c r="U3" t="s">
        <v>59</v>
      </c>
      <c r="V3" s="3">
        <v>0.75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322.32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53.72</v>
      </c>
      <c r="AM3" s="2">
        <v>0</v>
      </c>
      <c r="AN3" s="2">
        <v>322.32</v>
      </c>
      <c r="AO3" s="2">
        <v>0</v>
      </c>
      <c r="AP3" s="2">
        <v>0</v>
      </c>
      <c r="AQ3" s="2">
        <v>0</v>
      </c>
    </row>
    <row r="4" spans="1:48" x14ac:dyDescent="0.25">
      <c r="A4" s="1">
        <v>45943</v>
      </c>
      <c r="B4" t="s">
        <v>48</v>
      </c>
      <c r="C4">
        <v>649163</v>
      </c>
      <c r="D4">
        <v>2031494985</v>
      </c>
      <c r="E4" t="s">
        <v>67</v>
      </c>
      <c r="F4" t="s">
        <v>68</v>
      </c>
      <c r="G4" t="s">
        <v>51</v>
      </c>
      <c r="H4" t="s">
        <v>69</v>
      </c>
      <c r="I4" t="s">
        <v>53</v>
      </c>
      <c r="J4" t="s">
        <v>70</v>
      </c>
      <c r="K4">
        <v>816021</v>
      </c>
      <c r="L4" t="s">
        <v>71</v>
      </c>
      <c r="M4" t="s">
        <v>72</v>
      </c>
      <c r="N4" t="s">
        <v>57</v>
      </c>
      <c r="O4" s="1">
        <v>45938</v>
      </c>
      <c r="Q4" s="1">
        <v>45969</v>
      </c>
      <c r="R4" s="2">
        <v>16.579999999999998</v>
      </c>
      <c r="S4">
        <v>1</v>
      </c>
      <c r="T4" t="s">
        <v>58</v>
      </c>
      <c r="U4" t="s">
        <v>59</v>
      </c>
      <c r="V4" s="3">
        <v>0.9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89.52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14.92</v>
      </c>
      <c r="AM4" s="2">
        <v>0</v>
      </c>
      <c r="AN4" s="2">
        <v>89.52</v>
      </c>
      <c r="AO4" s="2">
        <v>0</v>
      </c>
      <c r="AP4" s="2">
        <v>0</v>
      </c>
      <c r="AQ4" s="2">
        <v>0</v>
      </c>
    </row>
    <row r="5" spans="1:48" x14ac:dyDescent="0.25">
      <c r="A5" s="1">
        <v>45943</v>
      </c>
      <c r="B5" t="s">
        <v>48</v>
      </c>
      <c r="C5">
        <v>649163</v>
      </c>
      <c r="D5">
        <v>2031523387</v>
      </c>
      <c r="E5" t="s">
        <v>73</v>
      </c>
      <c r="F5" t="s">
        <v>74</v>
      </c>
      <c r="G5" t="s">
        <v>51</v>
      </c>
      <c r="H5" t="s">
        <v>69</v>
      </c>
      <c r="I5" t="s">
        <v>53</v>
      </c>
      <c r="J5" t="s">
        <v>75</v>
      </c>
      <c r="K5">
        <v>816021</v>
      </c>
      <c r="L5" t="s">
        <v>71</v>
      </c>
      <c r="M5" t="s">
        <v>72</v>
      </c>
      <c r="N5" t="s">
        <v>57</v>
      </c>
      <c r="O5" s="1">
        <v>45939</v>
      </c>
      <c r="Q5" s="1">
        <v>45970</v>
      </c>
      <c r="R5" s="2">
        <v>63.48</v>
      </c>
      <c r="S5">
        <v>1</v>
      </c>
      <c r="T5" t="s">
        <v>58</v>
      </c>
      <c r="U5" t="s">
        <v>59</v>
      </c>
      <c r="V5" s="3">
        <v>0.65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247.56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41.26</v>
      </c>
      <c r="AM5" s="2">
        <v>0</v>
      </c>
      <c r="AN5" s="2">
        <v>247.56</v>
      </c>
      <c r="AO5" s="2">
        <v>0</v>
      </c>
      <c r="AP5" s="2">
        <v>0</v>
      </c>
      <c r="AQ5" s="2">
        <v>0</v>
      </c>
    </row>
    <row r="6" spans="1:48" x14ac:dyDescent="0.25">
      <c r="A6" s="1">
        <v>45943</v>
      </c>
      <c r="B6" t="s">
        <v>48</v>
      </c>
      <c r="C6">
        <v>649163</v>
      </c>
      <c r="D6">
        <v>2031523246</v>
      </c>
      <c r="E6" t="s">
        <v>76</v>
      </c>
      <c r="F6" t="s">
        <v>77</v>
      </c>
      <c r="G6" t="s">
        <v>51</v>
      </c>
      <c r="H6" t="s">
        <v>78</v>
      </c>
      <c r="I6" t="s">
        <v>79</v>
      </c>
      <c r="J6" t="s">
        <v>80</v>
      </c>
      <c r="K6">
        <v>856163</v>
      </c>
      <c r="L6" t="s">
        <v>65</v>
      </c>
      <c r="M6" t="s">
        <v>81</v>
      </c>
      <c r="N6" t="s">
        <v>57</v>
      </c>
      <c r="O6" s="1">
        <v>45939</v>
      </c>
      <c r="Q6" s="1">
        <v>45970</v>
      </c>
      <c r="R6" s="2">
        <v>15</v>
      </c>
      <c r="S6">
        <v>1</v>
      </c>
      <c r="T6" t="s">
        <v>58</v>
      </c>
      <c r="U6" t="s">
        <v>82</v>
      </c>
      <c r="V6" s="3">
        <v>0.38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34.200000000000003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5.7</v>
      </c>
      <c r="AM6" s="2">
        <v>0</v>
      </c>
      <c r="AN6" s="2">
        <v>34.200000000000003</v>
      </c>
      <c r="AO6" s="2">
        <v>0</v>
      </c>
      <c r="AP6" s="2">
        <v>0</v>
      </c>
      <c r="AQ6" s="2">
        <v>0</v>
      </c>
    </row>
    <row r="7" spans="1:48" x14ac:dyDescent="0.25">
      <c r="A7" s="1">
        <v>45943</v>
      </c>
      <c r="B7" t="s">
        <v>48</v>
      </c>
      <c r="C7">
        <v>649163</v>
      </c>
      <c r="D7">
        <v>2031581265</v>
      </c>
      <c r="E7" t="s">
        <v>83</v>
      </c>
      <c r="F7" t="s">
        <v>84</v>
      </c>
      <c r="G7" t="s">
        <v>51</v>
      </c>
      <c r="H7" t="s">
        <v>52</v>
      </c>
      <c r="I7" t="s">
        <v>79</v>
      </c>
      <c r="J7" t="s">
        <v>85</v>
      </c>
      <c r="K7">
        <v>897073</v>
      </c>
      <c r="L7" t="s">
        <v>86</v>
      </c>
      <c r="M7" t="s">
        <v>87</v>
      </c>
      <c r="N7" t="s">
        <v>57</v>
      </c>
      <c r="O7" s="1">
        <v>45942</v>
      </c>
      <c r="Q7" s="1">
        <v>45973</v>
      </c>
      <c r="R7" s="2">
        <v>15</v>
      </c>
      <c r="S7">
        <v>1</v>
      </c>
      <c r="T7" t="s">
        <v>58</v>
      </c>
      <c r="U7" t="s">
        <v>88</v>
      </c>
      <c r="V7" s="3">
        <v>0.28999999999999998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26.1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4.3499999999999996</v>
      </c>
      <c r="AM7" s="2">
        <v>0</v>
      </c>
      <c r="AN7" s="2">
        <v>26.1</v>
      </c>
      <c r="AO7" s="2">
        <v>0</v>
      </c>
      <c r="AP7" s="2">
        <v>0</v>
      </c>
      <c r="AQ7" s="2">
        <v>0</v>
      </c>
    </row>
    <row r="8" spans="1:48" x14ac:dyDescent="0.25">
      <c r="A8" s="1">
        <v>45943</v>
      </c>
      <c r="B8" t="s">
        <v>48</v>
      </c>
      <c r="C8">
        <v>649163</v>
      </c>
      <c r="D8">
        <v>2031195330</v>
      </c>
      <c r="E8" t="s">
        <v>89</v>
      </c>
      <c r="F8" t="s">
        <v>90</v>
      </c>
      <c r="G8" t="s">
        <v>51</v>
      </c>
      <c r="H8" t="s">
        <v>91</v>
      </c>
      <c r="I8" t="s">
        <v>92</v>
      </c>
      <c r="J8" t="s">
        <v>93</v>
      </c>
      <c r="K8">
        <v>884595</v>
      </c>
      <c r="L8" t="s">
        <v>94</v>
      </c>
      <c r="M8" t="s">
        <v>95</v>
      </c>
      <c r="N8" t="s">
        <v>57</v>
      </c>
      <c r="O8" s="1">
        <v>45939</v>
      </c>
      <c r="Q8" s="1">
        <v>45970</v>
      </c>
      <c r="R8" s="2">
        <v>28.38</v>
      </c>
      <c r="S8">
        <v>1</v>
      </c>
      <c r="T8" t="s">
        <v>58</v>
      </c>
      <c r="U8" t="s">
        <v>59</v>
      </c>
      <c r="V8" s="4">
        <v>0.375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63.84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10.64</v>
      </c>
      <c r="AM8" s="2">
        <v>0</v>
      </c>
      <c r="AN8" s="2">
        <v>63.84</v>
      </c>
      <c r="AO8" s="2">
        <v>0</v>
      </c>
      <c r="AP8" s="2">
        <v>0</v>
      </c>
      <c r="AQ8" s="2">
        <v>0</v>
      </c>
    </row>
    <row r="9" spans="1:48" x14ac:dyDescent="0.25">
      <c r="A9" s="1">
        <v>45943</v>
      </c>
      <c r="B9" t="s">
        <v>48</v>
      </c>
      <c r="C9">
        <v>649163</v>
      </c>
      <c r="D9">
        <v>2031492462</v>
      </c>
      <c r="E9" t="s">
        <v>62</v>
      </c>
      <c r="F9" t="s">
        <v>63</v>
      </c>
      <c r="G9" t="s">
        <v>51</v>
      </c>
      <c r="H9" t="s">
        <v>64</v>
      </c>
      <c r="I9" t="s">
        <v>92</v>
      </c>
      <c r="J9" t="s">
        <v>93</v>
      </c>
      <c r="K9">
        <v>823350</v>
      </c>
      <c r="L9" t="s">
        <v>65</v>
      </c>
      <c r="M9" t="s">
        <v>66</v>
      </c>
      <c r="N9" t="s">
        <v>57</v>
      </c>
      <c r="O9" s="1">
        <v>45938</v>
      </c>
      <c r="Q9" s="1">
        <v>45969</v>
      </c>
      <c r="R9" s="2">
        <v>88.69</v>
      </c>
      <c r="S9">
        <v>1</v>
      </c>
      <c r="T9" t="s">
        <v>58</v>
      </c>
      <c r="U9" t="s">
        <v>59</v>
      </c>
      <c r="V9" s="4">
        <v>0.375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199.56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33.26</v>
      </c>
      <c r="AM9" s="2">
        <v>0</v>
      </c>
      <c r="AN9" s="2">
        <v>199.56</v>
      </c>
      <c r="AO9" s="2">
        <v>0</v>
      </c>
      <c r="AP9" s="2">
        <v>0</v>
      </c>
      <c r="AQ9" s="2">
        <v>0</v>
      </c>
    </row>
    <row r="10" spans="1:48" x14ac:dyDescent="0.25">
      <c r="A10" s="1">
        <v>45943</v>
      </c>
      <c r="B10" t="s">
        <v>48</v>
      </c>
      <c r="C10">
        <v>649163</v>
      </c>
      <c r="D10">
        <v>2031494983</v>
      </c>
      <c r="E10" t="s">
        <v>67</v>
      </c>
      <c r="F10" t="s">
        <v>68</v>
      </c>
      <c r="G10" t="s">
        <v>51</v>
      </c>
      <c r="H10" t="s">
        <v>69</v>
      </c>
      <c r="I10" t="s">
        <v>92</v>
      </c>
      <c r="J10" t="s">
        <v>93</v>
      </c>
      <c r="K10">
        <v>816021</v>
      </c>
      <c r="L10" t="s">
        <v>71</v>
      </c>
      <c r="M10" t="s">
        <v>72</v>
      </c>
      <c r="N10" t="s">
        <v>57</v>
      </c>
      <c r="O10" s="1">
        <v>45938</v>
      </c>
      <c r="Q10" s="1">
        <v>45969</v>
      </c>
      <c r="R10" s="2">
        <v>54.57</v>
      </c>
      <c r="S10">
        <v>1</v>
      </c>
      <c r="T10" t="s">
        <v>58</v>
      </c>
      <c r="U10" t="s">
        <v>59</v>
      </c>
      <c r="V10" s="4">
        <v>0.375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122.76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20.46</v>
      </c>
      <c r="AM10" s="2">
        <v>0</v>
      </c>
      <c r="AN10" s="2">
        <v>122.76</v>
      </c>
      <c r="AO10" s="2">
        <v>0</v>
      </c>
      <c r="AP10" s="2">
        <v>0</v>
      </c>
      <c r="AQ10" s="2">
        <v>0</v>
      </c>
    </row>
    <row r="11" spans="1:48" x14ac:dyDescent="0.25">
      <c r="A11" s="1">
        <v>45943</v>
      </c>
      <c r="B11" t="s">
        <v>48</v>
      </c>
      <c r="C11">
        <v>649163</v>
      </c>
      <c r="D11">
        <v>2031497533</v>
      </c>
      <c r="E11" t="s">
        <v>96</v>
      </c>
      <c r="F11" t="s">
        <v>97</v>
      </c>
      <c r="G11" t="s">
        <v>51</v>
      </c>
      <c r="H11" t="s">
        <v>78</v>
      </c>
      <c r="I11" t="s">
        <v>92</v>
      </c>
      <c r="J11" t="s">
        <v>93</v>
      </c>
      <c r="K11">
        <v>669316</v>
      </c>
      <c r="L11" t="s">
        <v>98</v>
      </c>
      <c r="M11" t="s">
        <v>99</v>
      </c>
      <c r="N11" t="s">
        <v>57</v>
      </c>
      <c r="O11" s="1">
        <v>45938</v>
      </c>
      <c r="Q11" s="1">
        <v>45969</v>
      </c>
      <c r="R11" s="2">
        <v>53.87</v>
      </c>
      <c r="S11">
        <v>1</v>
      </c>
      <c r="T11" t="s">
        <v>58</v>
      </c>
      <c r="U11" t="s">
        <v>59</v>
      </c>
      <c r="V11" s="4">
        <v>0.375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121.2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20.2</v>
      </c>
      <c r="AM11" s="2">
        <v>0</v>
      </c>
      <c r="AN11" s="2">
        <v>121.2</v>
      </c>
      <c r="AO11" s="2">
        <v>0</v>
      </c>
      <c r="AP11" s="2">
        <v>0</v>
      </c>
      <c r="AQ11" s="2">
        <v>0</v>
      </c>
    </row>
    <row r="12" spans="1:48" x14ac:dyDescent="0.25">
      <c r="A12" s="1">
        <v>45943</v>
      </c>
      <c r="B12" t="s">
        <v>48</v>
      </c>
      <c r="C12">
        <v>649163</v>
      </c>
      <c r="D12">
        <v>2031514064</v>
      </c>
      <c r="E12" t="s">
        <v>100</v>
      </c>
      <c r="F12" t="s">
        <v>101</v>
      </c>
      <c r="G12" t="s">
        <v>51</v>
      </c>
      <c r="H12" t="s">
        <v>102</v>
      </c>
      <c r="I12" t="s">
        <v>92</v>
      </c>
      <c r="J12" t="s">
        <v>93</v>
      </c>
      <c r="K12">
        <v>820140</v>
      </c>
      <c r="L12" t="s">
        <v>103</v>
      </c>
      <c r="M12" t="s">
        <v>104</v>
      </c>
      <c r="N12" t="s">
        <v>57</v>
      </c>
      <c r="O12" s="1">
        <v>45939</v>
      </c>
      <c r="Q12" s="1">
        <v>45970</v>
      </c>
      <c r="R12" s="2">
        <v>33.159999999999997</v>
      </c>
      <c r="S12">
        <v>1</v>
      </c>
      <c r="T12" t="s">
        <v>58</v>
      </c>
      <c r="U12" t="s">
        <v>59</v>
      </c>
      <c r="V12" s="4">
        <v>9.5000000000000001E-2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18.899999999999999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3.15</v>
      </c>
      <c r="AM12" s="2">
        <v>0</v>
      </c>
      <c r="AN12" s="2">
        <v>18.899999999999999</v>
      </c>
      <c r="AO12" s="2">
        <v>0</v>
      </c>
      <c r="AP12" s="2">
        <v>0</v>
      </c>
      <c r="AQ12" s="2">
        <v>0</v>
      </c>
    </row>
    <row r="13" spans="1:48" x14ac:dyDescent="0.25">
      <c r="A13" s="1">
        <v>45943</v>
      </c>
      <c r="B13" t="s">
        <v>48</v>
      </c>
      <c r="C13">
        <v>649163</v>
      </c>
      <c r="D13">
        <v>2031526095</v>
      </c>
      <c r="E13" t="s">
        <v>105</v>
      </c>
      <c r="F13" t="s">
        <v>106</v>
      </c>
      <c r="G13" t="s">
        <v>51</v>
      </c>
      <c r="H13" t="s">
        <v>107</v>
      </c>
      <c r="I13" t="s">
        <v>92</v>
      </c>
      <c r="J13" t="s">
        <v>93</v>
      </c>
      <c r="K13">
        <v>877790</v>
      </c>
      <c r="L13" t="s">
        <v>108</v>
      </c>
      <c r="M13" t="s">
        <v>109</v>
      </c>
      <c r="N13" t="s">
        <v>57</v>
      </c>
      <c r="O13" s="1">
        <v>45939</v>
      </c>
      <c r="Q13" s="1">
        <v>45970</v>
      </c>
      <c r="R13" s="2">
        <v>48.15</v>
      </c>
      <c r="S13">
        <v>1</v>
      </c>
      <c r="T13" t="s">
        <v>58</v>
      </c>
      <c r="U13" t="s">
        <v>59</v>
      </c>
      <c r="V13" s="4">
        <v>0.375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108.36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18.059999999999999</v>
      </c>
      <c r="AM13" s="2">
        <v>0</v>
      </c>
      <c r="AN13" s="2">
        <v>108.36</v>
      </c>
      <c r="AO13" s="2">
        <v>0</v>
      </c>
      <c r="AP13" s="2">
        <v>0</v>
      </c>
      <c r="AQ13" s="2">
        <v>0</v>
      </c>
    </row>
    <row r="14" spans="1:48" x14ac:dyDescent="0.25">
      <c r="A14" s="1">
        <v>45943</v>
      </c>
      <c r="B14" t="s">
        <v>48</v>
      </c>
      <c r="C14">
        <v>649163</v>
      </c>
      <c r="D14">
        <v>2031577416</v>
      </c>
      <c r="E14" t="s">
        <v>110</v>
      </c>
      <c r="F14" t="s">
        <v>111</v>
      </c>
      <c r="G14" t="s">
        <v>51</v>
      </c>
      <c r="H14" t="s">
        <v>78</v>
      </c>
      <c r="I14" t="s">
        <v>92</v>
      </c>
      <c r="J14" t="s">
        <v>93</v>
      </c>
      <c r="K14">
        <v>884943</v>
      </c>
      <c r="L14" t="s">
        <v>112</v>
      </c>
      <c r="M14" t="s">
        <v>113</v>
      </c>
      <c r="N14" t="s">
        <v>57</v>
      </c>
      <c r="O14" s="1">
        <v>45941</v>
      </c>
      <c r="Q14" s="1">
        <v>45972</v>
      </c>
      <c r="R14" s="2">
        <v>72.52</v>
      </c>
      <c r="S14">
        <v>1</v>
      </c>
      <c r="T14" t="s">
        <v>58</v>
      </c>
      <c r="U14" t="s">
        <v>59</v>
      </c>
      <c r="V14" s="4">
        <v>0.375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163.19999999999999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27.2</v>
      </c>
      <c r="AM14" s="2">
        <v>0</v>
      </c>
      <c r="AN14" s="2">
        <v>163.19999999999999</v>
      </c>
      <c r="AO14" s="2">
        <v>0</v>
      </c>
      <c r="AP14" s="2">
        <v>0</v>
      </c>
      <c r="AQ14" s="2">
        <v>0</v>
      </c>
    </row>
    <row r="15" spans="1:48" x14ac:dyDescent="0.25">
      <c r="A15" s="1">
        <v>45943</v>
      </c>
      <c r="B15" t="s">
        <v>48</v>
      </c>
      <c r="C15">
        <v>649163</v>
      </c>
      <c r="D15">
        <v>2031523245</v>
      </c>
      <c r="E15" t="s">
        <v>76</v>
      </c>
      <c r="F15" t="s">
        <v>77</v>
      </c>
      <c r="G15" t="s">
        <v>51</v>
      </c>
      <c r="H15" t="s">
        <v>78</v>
      </c>
      <c r="I15" t="s">
        <v>114</v>
      </c>
      <c r="J15" t="s">
        <v>115</v>
      </c>
      <c r="K15">
        <v>856163</v>
      </c>
      <c r="L15" t="s">
        <v>65</v>
      </c>
      <c r="M15" t="s">
        <v>81</v>
      </c>
      <c r="N15" t="s">
        <v>57</v>
      </c>
      <c r="O15" s="1">
        <v>45939</v>
      </c>
      <c r="Q15" s="1">
        <v>45970</v>
      </c>
      <c r="R15" s="2">
        <v>131.32</v>
      </c>
      <c r="S15">
        <v>1</v>
      </c>
      <c r="T15" t="s">
        <v>58</v>
      </c>
      <c r="U15" t="s">
        <v>59</v>
      </c>
      <c r="V15" s="3">
        <v>0.38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299.39999999999998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49.9</v>
      </c>
      <c r="AM15" s="2">
        <v>0</v>
      </c>
      <c r="AN15" s="2">
        <v>299.39999999999998</v>
      </c>
      <c r="AO15" s="2">
        <v>0</v>
      </c>
      <c r="AP15" s="2">
        <v>0</v>
      </c>
      <c r="AQ15" s="2">
        <v>0</v>
      </c>
    </row>
    <row r="16" spans="1:48" x14ac:dyDescent="0.25">
      <c r="A16" s="1">
        <v>45943</v>
      </c>
      <c r="B16" t="s">
        <v>48</v>
      </c>
      <c r="C16">
        <v>649163</v>
      </c>
      <c r="D16">
        <v>2031523388</v>
      </c>
      <c r="E16" t="s">
        <v>73</v>
      </c>
      <c r="F16" t="s">
        <v>74</v>
      </c>
      <c r="G16" t="s">
        <v>51</v>
      </c>
      <c r="H16" t="s">
        <v>69</v>
      </c>
      <c r="I16" t="s">
        <v>114</v>
      </c>
      <c r="J16" t="s">
        <v>115</v>
      </c>
      <c r="K16">
        <v>816021</v>
      </c>
      <c r="L16" t="s">
        <v>71</v>
      </c>
      <c r="M16" t="s">
        <v>72</v>
      </c>
      <c r="N16" t="s">
        <v>57</v>
      </c>
      <c r="O16" s="1">
        <v>45939</v>
      </c>
      <c r="Q16" s="1">
        <v>45970</v>
      </c>
      <c r="R16" s="2">
        <v>432.86</v>
      </c>
      <c r="S16">
        <v>1</v>
      </c>
      <c r="T16" t="s">
        <v>58</v>
      </c>
      <c r="U16" t="s">
        <v>59</v>
      </c>
      <c r="V16" s="3">
        <v>0.38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986.94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164.49</v>
      </c>
      <c r="AM16" s="2">
        <v>0</v>
      </c>
      <c r="AN16" s="2">
        <v>986.94</v>
      </c>
      <c r="AO16" s="2">
        <v>0</v>
      </c>
      <c r="AP16" s="2">
        <v>0</v>
      </c>
      <c r="AQ16" s="2">
        <v>0</v>
      </c>
    </row>
    <row r="17" spans="1:43" x14ac:dyDescent="0.25">
      <c r="A17" s="1">
        <v>45943</v>
      </c>
      <c r="B17" t="s">
        <v>48</v>
      </c>
      <c r="C17">
        <v>649163</v>
      </c>
      <c r="D17">
        <v>2031195331</v>
      </c>
      <c r="E17" t="s">
        <v>89</v>
      </c>
      <c r="F17" t="s">
        <v>90</v>
      </c>
      <c r="G17" t="s">
        <v>51</v>
      </c>
      <c r="H17" t="s">
        <v>91</v>
      </c>
      <c r="I17" t="s">
        <v>116</v>
      </c>
      <c r="J17" t="s">
        <v>117</v>
      </c>
      <c r="K17">
        <v>884595</v>
      </c>
      <c r="L17" t="s">
        <v>94</v>
      </c>
      <c r="M17" t="s">
        <v>95</v>
      </c>
      <c r="N17" t="s">
        <v>57</v>
      </c>
      <c r="O17" s="1">
        <v>45939</v>
      </c>
      <c r="Q17" s="1">
        <v>45970</v>
      </c>
      <c r="R17" s="2">
        <v>25.73</v>
      </c>
      <c r="S17">
        <v>1</v>
      </c>
      <c r="T17" t="s">
        <v>58</v>
      </c>
      <c r="U17" t="s">
        <v>59</v>
      </c>
      <c r="V17" s="3">
        <v>0.7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108.06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18.010000000000002</v>
      </c>
      <c r="AM17" s="2">
        <v>0</v>
      </c>
      <c r="AN17" s="2">
        <v>108.06</v>
      </c>
      <c r="AO17" s="2">
        <v>0</v>
      </c>
      <c r="AP17" s="2">
        <v>0</v>
      </c>
      <c r="AQ17" s="2">
        <v>0</v>
      </c>
    </row>
    <row r="18" spans="1:43" x14ac:dyDescent="0.25">
      <c r="A18" s="1">
        <v>45943</v>
      </c>
      <c r="B18" t="s">
        <v>48</v>
      </c>
      <c r="C18">
        <v>649163</v>
      </c>
      <c r="D18">
        <v>2031264376</v>
      </c>
      <c r="E18" t="s">
        <v>110</v>
      </c>
      <c r="F18" t="s">
        <v>118</v>
      </c>
      <c r="G18" t="s">
        <v>51</v>
      </c>
      <c r="H18" t="s">
        <v>119</v>
      </c>
      <c r="I18" t="s">
        <v>116</v>
      </c>
      <c r="J18" t="s">
        <v>120</v>
      </c>
      <c r="K18">
        <v>780434</v>
      </c>
      <c r="L18" t="s">
        <v>121</v>
      </c>
      <c r="M18" t="s">
        <v>122</v>
      </c>
      <c r="N18" t="s">
        <v>57</v>
      </c>
      <c r="O18" s="1">
        <v>45931</v>
      </c>
      <c r="Q18" s="1">
        <v>45962</v>
      </c>
      <c r="R18" s="2">
        <v>29.25</v>
      </c>
      <c r="S18">
        <v>1</v>
      </c>
      <c r="T18" t="s">
        <v>58</v>
      </c>
      <c r="U18" t="s">
        <v>59</v>
      </c>
      <c r="V18" s="3">
        <v>0.2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35.1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5.85</v>
      </c>
      <c r="AM18" s="2">
        <v>0</v>
      </c>
      <c r="AN18" s="2">
        <v>35.1</v>
      </c>
      <c r="AO18" s="2">
        <v>0</v>
      </c>
      <c r="AP18" s="2">
        <v>0</v>
      </c>
      <c r="AQ18" s="2">
        <v>0</v>
      </c>
    </row>
    <row r="19" spans="1:43" x14ac:dyDescent="0.25">
      <c r="A19" s="1">
        <v>45943</v>
      </c>
      <c r="B19" t="s">
        <v>48</v>
      </c>
      <c r="C19">
        <v>649163</v>
      </c>
      <c r="D19">
        <v>2031453112</v>
      </c>
      <c r="E19" t="s">
        <v>123</v>
      </c>
      <c r="F19" t="s">
        <v>124</v>
      </c>
      <c r="G19" t="s">
        <v>51</v>
      </c>
      <c r="H19" t="s">
        <v>78</v>
      </c>
      <c r="I19" t="s">
        <v>116</v>
      </c>
      <c r="J19" t="s">
        <v>125</v>
      </c>
      <c r="K19">
        <v>824062</v>
      </c>
      <c r="L19" t="s">
        <v>126</v>
      </c>
      <c r="M19" t="s">
        <v>127</v>
      </c>
      <c r="N19" t="s">
        <v>57</v>
      </c>
      <c r="O19" s="1">
        <v>45941</v>
      </c>
      <c r="Q19" s="1">
        <v>45972</v>
      </c>
      <c r="R19" s="2">
        <v>212.26</v>
      </c>
      <c r="S19">
        <v>1</v>
      </c>
      <c r="T19" t="s">
        <v>58</v>
      </c>
      <c r="U19" t="s">
        <v>59</v>
      </c>
      <c r="V19" s="3">
        <v>0.7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891.48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148.58000000000001</v>
      </c>
      <c r="AM19" s="2">
        <v>0</v>
      </c>
      <c r="AN19" s="2">
        <v>891.48</v>
      </c>
      <c r="AO19" s="2">
        <v>0</v>
      </c>
      <c r="AP19" s="2">
        <v>0</v>
      </c>
      <c r="AQ19" s="2">
        <v>0</v>
      </c>
    </row>
    <row r="20" spans="1:43" s="5" customFormat="1" x14ac:dyDescent="0.25">
      <c r="A20" s="6">
        <v>45943</v>
      </c>
      <c r="B20" s="5" t="s">
        <v>48</v>
      </c>
      <c r="C20" s="5">
        <v>649163</v>
      </c>
      <c r="D20" s="5">
        <v>2031463660</v>
      </c>
      <c r="E20" s="5" t="s">
        <v>128</v>
      </c>
      <c r="F20" s="5" t="s">
        <v>129</v>
      </c>
      <c r="G20" s="5" t="s">
        <v>51</v>
      </c>
      <c r="H20" s="5" t="s">
        <v>130</v>
      </c>
      <c r="I20" s="5" t="s">
        <v>116</v>
      </c>
      <c r="J20" s="5" t="s">
        <v>120</v>
      </c>
      <c r="K20" s="5">
        <v>882034</v>
      </c>
      <c r="L20" s="5" t="s">
        <v>131</v>
      </c>
      <c r="M20" s="5" t="s">
        <v>132</v>
      </c>
      <c r="N20" s="5" t="s">
        <v>57</v>
      </c>
      <c r="O20" s="6">
        <v>45940</v>
      </c>
      <c r="Q20" s="6">
        <v>45971</v>
      </c>
      <c r="R20" s="7">
        <v>51.63</v>
      </c>
      <c r="S20" s="5">
        <v>1</v>
      </c>
      <c r="T20" s="5" t="s">
        <v>58</v>
      </c>
      <c r="U20" s="5" t="s">
        <v>59</v>
      </c>
      <c r="V20" s="8">
        <v>0.9</v>
      </c>
      <c r="W20" s="7">
        <v>0</v>
      </c>
      <c r="X20" s="5">
        <v>0</v>
      </c>
      <c r="Y20" s="5" t="s">
        <v>60</v>
      </c>
      <c r="Z20" s="5" t="s">
        <v>61</v>
      </c>
      <c r="AA20" s="5">
        <v>6</v>
      </c>
      <c r="AB20" s="7">
        <v>278.82</v>
      </c>
      <c r="AC20" s="7">
        <v>0</v>
      </c>
      <c r="AD20" s="8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46.47</v>
      </c>
      <c r="AM20" s="7">
        <v>0</v>
      </c>
      <c r="AN20" s="7">
        <v>278.82</v>
      </c>
      <c r="AO20" s="7">
        <v>0</v>
      </c>
      <c r="AP20" s="7">
        <v>0</v>
      </c>
      <c r="AQ20" s="7">
        <v>0</v>
      </c>
    </row>
    <row r="21" spans="1:43" x14ac:dyDescent="0.25">
      <c r="A21" s="1">
        <v>45943</v>
      </c>
      <c r="B21" t="s">
        <v>48</v>
      </c>
      <c r="C21">
        <v>649163</v>
      </c>
      <c r="D21">
        <v>2031471084</v>
      </c>
      <c r="E21" t="s">
        <v>49</v>
      </c>
      <c r="F21" t="s">
        <v>50</v>
      </c>
      <c r="G21" t="s">
        <v>51</v>
      </c>
      <c r="H21" t="s">
        <v>52</v>
      </c>
      <c r="I21" t="s">
        <v>116</v>
      </c>
      <c r="J21" t="s">
        <v>125</v>
      </c>
      <c r="K21">
        <v>673059</v>
      </c>
      <c r="L21" t="s">
        <v>55</v>
      </c>
      <c r="M21" t="s">
        <v>56</v>
      </c>
      <c r="N21" t="s">
        <v>57</v>
      </c>
      <c r="O21" s="1">
        <v>45962</v>
      </c>
      <c r="Q21" s="1">
        <v>45992</v>
      </c>
      <c r="R21" s="2">
        <v>25.82</v>
      </c>
      <c r="S21">
        <v>1</v>
      </c>
      <c r="T21" t="s">
        <v>58</v>
      </c>
      <c r="U21" t="s">
        <v>59</v>
      </c>
      <c r="V21" s="3">
        <v>0.7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108.42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18.07</v>
      </c>
      <c r="AM21" s="2">
        <v>0</v>
      </c>
      <c r="AN21" s="2">
        <v>108.42</v>
      </c>
      <c r="AO21" s="2">
        <v>0</v>
      </c>
      <c r="AP21" s="2">
        <v>0</v>
      </c>
      <c r="AQ21" s="2">
        <v>0</v>
      </c>
    </row>
    <row r="22" spans="1:43" x14ac:dyDescent="0.25">
      <c r="A22" s="1">
        <v>45943</v>
      </c>
      <c r="B22" t="s">
        <v>48</v>
      </c>
      <c r="C22">
        <v>649163</v>
      </c>
      <c r="D22">
        <v>2031474832</v>
      </c>
      <c r="E22" t="s">
        <v>133</v>
      </c>
      <c r="F22" t="s">
        <v>134</v>
      </c>
      <c r="G22" t="s">
        <v>51</v>
      </c>
      <c r="H22" t="s">
        <v>78</v>
      </c>
      <c r="I22" t="s">
        <v>116</v>
      </c>
      <c r="J22" t="s">
        <v>125</v>
      </c>
      <c r="K22">
        <v>821015</v>
      </c>
      <c r="L22" t="s">
        <v>135</v>
      </c>
      <c r="M22" t="s">
        <v>136</v>
      </c>
      <c r="N22" t="s">
        <v>57</v>
      </c>
      <c r="O22" s="1">
        <v>45937</v>
      </c>
      <c r="Q22" s="1">
        <v>45968</v>
      </c>
      <c r="R22" s="2">
        <v>42.36</v>
      </c>
      <c r="S22">
        <v>1</v>
      </c>
      <c r="T22" t="s">
        <v>58</v>
      </c>
      <c r="U22" t="s">
        <v>59</v>
      </c>
      <c r="V22" s="3">
        <v>0.7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177.9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29.65</v>
      </c>
      <c r="AM22" s="2">
        <v>0</v>
      </c>
      <c r="AN22" s="2">
        <v>177.9</v>
      </c>
      <c r="AO22" s="2">
        <v>0</v>
      </c>
      <c r="AP22" s="2">
        <v>0</v>
      </c>
      <c r="AQ22" s="2">
        <v>0</v>
      </c>
    </row>
    <row r="23" spans="1:43" x14ac:dyDescent="0.25">
      <c r="A23" s="1">
        <v>45943</v>
      </c>
      <c r="B23" t="s">
        <v>48</v>
      </c>
      <c r="C23">
        <v>649163</v>
      </c>
      <c r="D23">
        <v>2031492463</v>
      </c>
      <c r="E23" t="s">
        <v>62</v>
      </c>
      <c r="F23" t="s">
        <v>63</v>
      </c>
      <c r="G23" t="s">
        <v>51</v>
      </c>
      <c r="H23" t="s">
        <v>64</v>
      </c>
      <c r="I23" t="s">
        <v>116</v>
      </c>
      <c r="J23" t="s">
        <v>125</v>
      </c>
      <c r="K23">
        <v>823350</v>
      </c>
      <c r="L23" t="s">
        <v>65</v>
      </c>
      <c r="M23" t="s">
        <v>66</v>
      </c>
      <c r="N23" t="s">
        <v>57</v>
      </c>
      <c r="O23" s="1">
        <v>45938</v>
      </c>
      <c r="Q23" s="1">
        <v>45969</v>
      </c>
      <c r="R23" s="2">
        <v>101.99</v>
      </c>
      <c r="S23">
        <v>1</v>
      </c>
      <c r="T23" t="s">
        <v>58</v>
      </c>
      <c r="U23" t="s">
        <v>59</v>
      </c>
      <c r="V23" s="3">
        <v>0.7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428.34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71.39</v>
      </c>
      <c r="AM23" s="2">
        <v>0</v>
      </c>
      <c r="AN23" s="2">
        <v>428.34</v>
      </c>
      <c r="AO23" s="2">
        <v>0</v>
      </c>
      <c r="AP23" s="2">
        <v>0</v>
      </c>
      <c r="AQ23" s="2">
        <v>0</v>
      </c>
    </row>
    <row r="24" spans="1:43" x14ac:dyDescent="0.25">
      <c r="A24" s="1">
        <v>45943</v>
      </c>
      <c r="B24" t="s">
        <v>48</v>
      </c>
      <c r="C24">
        <v>649163</v>
      </c>
      <c r="D24">
        <v>2031494984</v>
      </c>
      <c r="E24" t="s">
        <v>67</v>
      </c>
      <c r="F24" t="s">
        <v>68</v>
      </c>
      <c r="G24" t="s">
        <v>51</v>
      </c>
      <c r="H24" t="s">
        <v>69</v>
      </c>
      <c r="I24" t="s">
        <v>116</v>
      </c>
      <c r="J24" t="s">
        <v>125</v>
      </c>
      <c r="K24">
        <v>816021</v>
      </c>
      <c r="L24" t="s">
        <v>71</v>
      </c>
      <c r="M24" t="s">
        <v>72</v>
      </c>
      <c r="N24" t="s">
        <v>57</v>
      </c>
      <c r="O24" s="1">
        <v>45938</v>
      </c>
      <c r="Q24" s="1">
        <v>45969</v>
      </c>
      <c r="R24" s="2">
        <v>7.11</v>
      </c>
      <c r="S24">
        <v>1</v>
      </c>
      <c r="T24" t="s">
        <v>58</v>
      </c>
      <c r="U24" t="s">
        <v>59</v>
      </c>
      <c r="V24" s="3">
        <v>0.7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29.88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4.9800000000000004</v>
      </c>
      <c r="AM24" s="2">
        <v>0</v>
      </c>
      <c r="AN24" s="2">
        <v>29.88</v>
      </c>
      <c r="AO24" s="2">
        <v>0</v>
      </c>
      <c r="AP24" s="2">
        <v>0</v>
      </c>
      <c r="AQ24" s="2">
        <v>0</v>
      </c>
    </row>
    <row r="25" spans="1:43" x14ac:dyDescent="0.25">
      <c r="A25" s="1">
        <v>45943</v>
      </c>
      <c r="B25" t="s">
        <v>48</v>
      </c>
      <c r="C25">
        <v>649163</v>
      </c>
      <c r="D25">
        <v>2031497534</v>
      </c>
      <c r="E25" t="s">
        <v>96</v>
      </c>
      <c r="F25" t="s">
        <v>97</v>
      </c>
      <c r="G25" t="s">
        <v>51</v>
      </c>
      <c r="H25" t="s">
        <v>78</v>
      </c>
      <c r="I25" t="s">
        <v>116</v>
      </c>
      <c r="J25" t="s">
        <v>125</v>
      </c>
      <c r="K25">
        <v>669316</v>
      </c>
      <c r="L25" t="s">
        <v>98</v>
      </c>
      <c r="M25" t="s">
        <v>99</v>
      </c>
      <c r="N25" t="s">
        <v>57</v>
      </c>
      <c r="O25" s="1">
        <v>45938</v>
      </c>
      <c r="Q25" s="1">
        <v>45969</v>
      </c>
      <c r="R25" s="2">
        <v>28.9</v>
      </c>
      <c r="S25">
        <v>1</v>
      </c>
      <c r="T25" t="s">
        <v>58</v>
      </c>
      <c r="U25" t="s">
        <v>59</v>
      </c>
      <c r="V25" s="3">
        <v>0.7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121.38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20.23</v>
      </c>
      <c r="AM25" s="2">
        <v>0</v>
      </c>
      <c r="AN25" s="2">
        <v>121.38</v>
      </c>
      <c r="AO25" s="2">
        <v>0</v>
      </c>
      <c r="AP25" s="2">
        <v>0</v>
      </c>
      <c r="AQ25" s="2">
        <v>0</v>
      </c>
    </row>
    <row r="26" spans="1:43" x14ac:dyDescent="0.25">
      <c r="A26" s="1">
        <v>45943</v>
      </c>
      <c r="B26" t="s">
        <v>48</v>
      </c>
      <c r="C26">
        <v>649163</v>
      </c>
      <c r="D26">
        <v>2031501468</v>
      </c>
      <c r="E26" t="s">
        <v>137</v>
      </c>
      <c r="F26" t="s">
        <v>138</v>
      </c>
      <c r="G26" t="s">
        <v>51</v>
      </c>
      <c r="H26" t="s">
        <v>78</v>
      </c>
      <c r="I26" t="s">
        <v>116</v>
      </c>
      <c r="J26" t="s">
        <v>125</v>
      </c>
      <c r="K26">
        <v>768887</v>
      </c>
      <c r="L26" t="s">
        <v>139</v>
      </c>
      <c r="M26" t="s">
        <v>140</v>
      </c>
      <c r="N26" t="s">
        <v>57</v>
      </c>
      <c r="O26" s="1">
        <v>45938</v>
      </c>
      <c r="Q26" s="1">
        <v>45969</v>
      </c>
      <c r="R26" s="2">
        <v>96</v>
      </c>
      <c r="S26">
        <v>1</v>
      </c>
      <c r="T26" t="s">
        <v>58</v>
      </c>
      <c r="U26" t="s">
        <v>59</v>
      </c>
      <c r="V26" s="3">
        <v>0.7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403.2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67.2</v>
      </c>
      <c r="AM26" s="2">
        <v>0</v>
      </c>
      <c r="AN26" s="2">
        <v>403.2</v>
      </c>
      <c r="AO26" s="2">
        <v>0</v>
      </c>
      <c r="AP26" s="2">
        <v>0</v>
      </c>
      <c r="AQ26" s="2">
        <v>0</v>
      </c>
    </row>
    <row r="27" spans="1:43" x14ac:dyDescent="0.25">
      <c r="A27" s="1">
        <v>45943</v>
      </c>
      <c r="B27" t="s">
        <v>48</v>
      </c>
      <c r="C27">
        <v>649163</v>
      </c>
      <c r="D27">
        <v>2031523386</v>
      </c>
      <c r="E27" t="s">
        <v>73</v>
      </c>
      <c r="F27" t="s">
        <v>74</v>
      </c>
      <c r="G27" t="s">
        <v>51</v>
      </c>
      <c r="H27" t="s">
        <v>69</v>
      </c>
      <c r="I27" t="s">
        <v>116</v>
      </c>
      <c r="J27" t="s">
        <v>117</v>
      </c>
      <c r="K27">
        <v>816021</v>
      </c>
      <c r="L27" t="s">
        <v>71</v>
      </c>
      <c r="M27" t="s">
        <v>72</v>
      </c>
      <c r="N27" t="s">
        <v>57</v>
      </c>
      <c r="O27" s="1">
        <v>45939</v>
      </c>
      <c r="Q27" s="1">
        <v>45970</v>
      </c>
      <c r="R27" s="2">
        <v>6.3</v>
      </c>
      <c r="S27">
        <v>1</v>
      </c>
      <c r="T27" t="s">
        <v>58</v>
      </c>
      <c r="U27" t="s">
        <v>59</v>
      </c>
      <c r="V27" s="3">
        <v>0.7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26.46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4.41</v>
      </c>
      <c r="AM27" s="2">
        <v>0</v>
      </c>
      <c r="AN27" s="2">
        <v>26.46</v>
      </c>
      <c r="AO27" s="2">
        <v>0</v>
      </c>
      <c r="AP27" s="2">
        <v>0</v>
      </c>
      <c r="AQ27" s="2">
        <v>0</v>
      </c>
    </row>
    <row r="28" spans="1:43" x14ac:dyDescent="0.25">
      <c r="A28" s="1">
        <v>45943</v>
      </c>
      <c r="B28" t="s">
        <v>48</v>
      </c>
      <c r="C28">
        <v>649163</v>
      </c>
      <c r="D28">
        <v>2031523389</v>
      </c>
      <c r="E28" t="s">
        <v>73</v>
      </c>
      <c r="F28" t="s">
        <v>74</v>
      </c>
      <c r="G28" t="s">
        <v>51</v>
      </c>
      <c r="H28" t="s">
        <v>69</v>
      </c>
      <c r="I28" t="s">
        <v>116</v>
      </c>
      <c r="J28" t="s">
        <v>125</v>
      </c>
      <c r="K28">
        <v>816021</v>
      </c>
      <c r="L28" t="s">
        <v>71</v>
      </c>
      <c r="M28" t="s">
        <v>72</v>
      </c>
      <c r="N28" t="s">
        <v>57</v>
      </c>
      <c r="O28" s="1">
        <v>45939</v>
      </c>
      <c r="Q28" s="1">
        <v>45970</v>
      </c>
      <c r="R28" s="2">
        <v>9.1</v>
      </c>
      <c r="S28">
        <v>1</v>
      </c>
      <c r="T28" t="s">
        <v>58</v>
      </c>
      <c r="U28" t="s">
        <v>59</v>
      </c>
      <c r="V28" s="3">
        <v>0.7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38.22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6.37</v>
      </c>
      <c r="AM28" s="2">
        <v>0</v>
      </c>
      <c r="AN28" s="2">
        <v>38.22</v>
      </c>
      <c r="AO28" s="2">
        <v>0</v>
      </c>
      <c r="AP28" s="2">
        <v>0</v>
      </c>
      <c r="AQ28" s="2">
        <v>0</v>
      </c>
    </row>
    <row r="29" spans="1:43" x14ac:dyDescent="0.25">
      <c r="A29" s="1">
        <v>45943</v>
      </c>
      <c r="B29" t="s">
        <v>48</v>
      </c>
      <c r="C29">
        <v>649163</v>
      </c>
      <c r="D29">
        <v>2031525706</v>
      </c>
      <c r="E29" t="s">
        <v>141</v>
      </c>
      <c r="F29" t="s">
        <v>142</v>
      </c>
      <c r="G29" t="s">
        <v>51</v>
      </c>
      <c r="H29" t="s">
        <v>91</v>
      </c>
      <c r="I29" t="s">
        <v>116</v>
      </c>
      <c r="J29" t="s">
        <v>125</v>
      </c>
      <c r="K29">
        <v>884312</v>
      </c>
      <c r="L29" t="s">
        <v>143</v>
      </c>
      <c r="M29" t="s">
        <v>144</v>
      </c>
      <c r="N29" t="s">
        <v>57</v>
      </c>
      <c r="O29" s="1">
        <v>45939</v>
      </c>
      <c r="Q29" s="1">
        <v>45970</v>
      </c>
      <c r="R29" s="2">
        <v>99</v>
      </c>
      <c r="S29">
        <v>1</v>
      </c>
      <c r="T29" t="s">
        <v>58</v>
      </c>
      <c r="U29" t="s">
        <v>59</v>
      </c>
      <c r="V29" s="3">
        <v>0.7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415.8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69.3</v>
      </c>
      <c r="AM29" s="2">
        <v>0</v>
      </c>
      <c r="AN29" s="2">
        <v>415.8</v>
      </c>
      <c r="AO29" s="2">
        <v>0</v>
      </c>
      <c r="AP29" s="2">
        <v>0</v>
      </c>
      <c r="AQ29" s="2">
        <v>0</v>
      </c>
    </row>
    <row r="30" spans="1:43" x14ac:dyDescent="0.25">
      <c r="A30" s="1">
        <v>45943</v>
      </c>
      <c r="B30" t="s">
        <v>48</v>
      </c>
      <c r="C30">
        <v>649163</v>
      </c>
      <c r="D30">
        <v>2031526094</v>
      </c>
      <c r="E30" t="s">
        <v>105</v>
      </c>
      <c r="F30" t="s">
        <v>106</v>
      </c>
      <c r="G30" t="s">
        <v>51</v>
      </c>
      <c r="H30" t="s">
        <v>107</v>
      </c>
      <c r="I30" t="s">
        <v>116</v>
      </c>
      <c r="J30" t="s">
        <v>125</v>
      </c>
      <c r="K30">
        <v>877790</v>
      </c>
      <c r="L30" t="s">
        <v>108</v>
      </c>
      <c r="M30" t="s">
        <v>109</v>
      </c>
      <c r="N30" t="s">
        <v>57</v>
      </c>
      <c r="O30" s="1">
        <v>45939</v>
      </c>
      <c r="Q30" s="1">
        <v>45970</v>
      </c>
      <c r="R30" s="2">
        <v>3.52</v>
      </c>
      <c r="S30">
        <v>1</v>
      </c>
      <c r="T30" t="s">
        <v>58</v>
      </c>
      <c r="U30" t="s">
        <v>59</v>
      </c>
      <c r="V30" s="3">
        <v>0.7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14.76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2.46</v>
      </c>
      <c r="AM30" s="2">
        <v>0</v>
      </c>
      <c r="AN30" s="2">
        <v>14.76</v>
      </c>
      <c r="AO30" s="2">
        <v>0</v>
      </c>
      <c r="AP30" s="2">
        <v>0</v>
      </c>
      <c r="AQ30" s="2">
        <v>0</v>
      </c>
    </row>
    <row r="31" spans="1:43" x14ac:dyDescent="0.25">
      <c r="A31" s="1">
        <v>45943</v>
      </c>
      <c r="B31" t="s">
        <v>48</v>
      </c>
      <c r="C31">
        <v>649163</v>
      </c>
      <c r="D31">
        <v>2031534330</v>
      </c>
      <c r="E31" t="s">
        <v>145</v>
      </c>
      <c r="F31" t="s">
        <v>146</v>
      </c>
      <c r="G31" t="s">
        <v>51</v>
      </c>
      <c r="H31" t="s">
        <v>91</v>
      </c>
      <c r="I31" t="s">
        <v>116</v>
      </c>
      <c r="J31" t="s">
        <v>125</v>
      </c>
      <c r="K31">
        <v>767312</v>
      </c>
      <c r="L31" t="s">
        <v>147</v>
      </c>
      <c r="M31" t="s">
        <v>148</v>
      </c>
      <c r="N31" t="s">
        <v>57</v>
      </c>
      <c r="O31" s="1">
        <v>45940</v>
      </c>
      <c r="Q31" s="1">
        <v>45971</v>
      </c>
      <c r="R31" s="2">
        <v>79.03</v>
      </c>
      <c r="S31">
        <v>1</v>
      </c>
      <c r="T31" t="s">
        <v>58</v>
      </c>
      <c r="U31" t="s">
        <v>59</v>
      </c>
      <c r="V31" s="3">
        <v>0.7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331.92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55.32</v>
      </c>
      <c r="AM31" s="2">
        <v>0</v>
      </c>
      <c r="AN31" s="2">
        <v>331.92</v>
      </c>
      <c r="AO31" s="2">
        <v>0</v>
      </c>
      <c r="AP31" s="2">
        <v>0</v>
      </c>
      <c r="AQ31" s="2">
        <v>0</v>
      </c>
    </row>
    <row r="32" spans="1:43" x14ac:dyDescent="0.25">
      <c r="A32" s="1">
        <v>45943</v>
      </c>
      <c r="B32" t="s">
        <v>48</v>
      </c>
      <c r="C32">
        <v>649163</v>
      </c>
      <c r="D32">
        <v>2031568599</v>
      </c>
      <c r="E32" t="s">
        <v>149</v>
      </c>
      <c r="F32" t="s">
        <v>150</v>
      </c>
      <c r="G32" t="s">
        <v>51</v>
      </c>
      <c r="H32" t="s">
        <v>78</v>
      </c>
      <c r="I32" t="s">
        <v>116</v>
      </c>
      <c r="J32" t="s">
        <v>125</v>
      </c>
      <c r="K32">
        <v>807212</v>
      </c>
      <c r="L32" t="s">
        <v>151</v>
      </c>
      <c r="M32" t="s">
        <v>152</v>
      </c>
      <c r="N32" t="s">
        <v>57</v>
      </c>
      <c r="O32" s="1">
        <v>45941</v>
      </c>
      <c r="Q32" s="1">
        <v>45972</v>
      </c>
      <c r="R32" s="2">
        <v>95.92</v>
      </c>
      <c r="S32">
        <v>1</v>
      </c>
      <c r="T32" t="s">
        <v>58</v>
      </c>
      <c r="U32" t="s">
        <v>59</v>
      </c>
      <c r="V32" s="3">
        <v>0.7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402.84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67.14</v>
      </c>
      <c r="AM32" s="2">
        <v>0</v>
      </c>
      <c r="AN32" s="2">
        <v>402.84</v>
      </c>
      <c r="AO32" s="2">
        <v>0</v>
      </c>
      <c r="AP32" s="2">
        <v>0</v>
      </c>
      <c r="AQ32" s="2">
        <v>0</v>
      </c>
    </row>
    <row r="33" spans="1:43" x14ac:dyDescent="0.25">
      <c r="A33" s="1">
        <v>45943</v>
      </c>
      <c r="B33" t="s">
        <v>48</v>
      </c>
      <c r="C33">
        <v>649163</v>
      </c>
      <c r="D33">
        <v>2031569265</v>
      </c>
      <c r="E33" t="s">
        <v>153</v>
      </c>
      <c r="F33" t="s">
        <v>154</v>
      </c>
      <c r="G33" t="s">
        <v>51</v>
      </c>
      <c r="H33" t="s">
        <v>155</v>
      </c>
      <c r="I33" t="s">
        <v>116</v>
      </c>
      <c r="J33" t="s">
        <v>125</v>
      </c>
      <c r="K33">
        <v>856824</v>
      </c>
      <c r="L33" t="s">
        <v>156</v>
      </c>
      <c r="M33" t="s">
        <v>157</v>
      </c>
      <c r="N33" t="s">
        <v>57</v>
      </c>
      <c r="O33" s="1">
        <v>45941</v>
      </c>
      <c r="Q33" s="1">
        <v>45972</v>
      </c>
      <c r="R33" s="2">
        <v>56.5</v>
      </c>
      <c r="S33">
        <v>1</v>
      </c>
      <c r="T33" t="s">
        <v>58</v>
      </c>
      <c r="U33" t="s">
        <v>59</v>
      </c>
      <c r="V33" s="3">
        <v>0.7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237.3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39.549999999999997</v>
      </c>
      <c r="AM33" s="2">
        <v>0</v>
      </c>
      <c r="AN33" s="2">
        <v>237.3</v>
      </c>
      <c r="AO33" s="2">
        <v>0</v>
      </c>
      <c r="AP33" s="2">
        <v>0</v>
      </c>
      <c r="AQ33" s="2">
        <v>0</v>
      </c>
    </row>
    <row r="34" spans="1:43" x14ac:dyDescent="0.25">
      <c r="A34" s="1">
        <v>45943</v>
      </c>
      <c r="B34" t="s">
        <v>48</v>
      </c>
      <c r="C34">
        <v>649163</v>
      </c>
      <c r="D34">
        <v>2031574170</v>
      </c>
      <c r="E34" t="s">
        <v>158</v>
      </c>
      <c r="F34" t="s">
        <v>159</v>
      </c>
      <c r="G34" t="s">
        <v>51</v>
      </c>
      <c r="H34" t="s">
        <v>52</v>
      </c>
      <c r="I34" t="s">
        <v>116</v>
      </c>
      <c r="J34" t="s">
        <v>125</v>
      </c>
      <c r="K34">
        <v>812782</v>
      </c>
      <c r="L34" t="s">
        <v>160</v>
      </c>
      <c r="M34" t="s">
        <v>161</v>
      </c>
      <c r="N34" t="s">
        <v>57</v>
      </c>
      <c r="O34" s="1">
        <v>45962</v>
      </c>
      <c r="Q34" s="1">
        <v>45992</v>
      </c>
      <c r="R34" s="2">
        <v>101.78</v>
      </c>
      <c r="S34">
        <v>1</v>
      </c>
      <c r="T34" t="s">
        <v>58</v>
      </c>
      <c r="U34" t="s">
        <v>59</v>
      </c>
      <c r="V34" s="3">
        <v>0.7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427.5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71.25</v>
      </c>
      <c r="AM34" s="2">
        <v>0</v>
      </c>
      <c r="AN34" s="2">
        <v>427.5</v>
      </c>
      <c r="AO34" s="2">
        <v>0</v>
      </c>
      <c r="AP34" s="2">
        <v>0</v>
      </c>
      <c r="AQ34" s="2">
        <v>0</v>
      </c>
    </row>
    <row r="35" spans="1:43" x14ac:dyDescent="0.25">
      <c r="A35" s="1">
        <v>45943</v>
      </c>
      <c r="B35" t="s">
        <v>48</v>
      </c>
      <c r="C35">
        <v>649163</v>
      </c>
      <c r="D35">
        <v>2031574197</v>
      </c>
      <c r="E35" t="s">
        <v>162</v>
      </c>
      <c r="F35" t="s">
        <v>163</v>
      </c>
      <c r="G35" t="s">
        <v>51</v>
      </c>
      <c r="H35" t="s">
        <v>78</v>
      </c>
      <c r="I35" t="s">
        <v>116</v>
      </c>
      <c r="J35" t="s">
        <v>125</v>
      </c>
      <c r="K35">
        <v>807212</v>
      </c>
      <c r="L35" t="s">
        <v>151</v>
      </c>
      <c r="M35" t="s">
        <v>152</v>
      </c>
      <c r="N35" t="s">
        <v>57</v>
      </c>
      <c r="O35" s="1">
        <v>45941</v>
      </c>
      <c r="Q35" s="1">
        <v>45972</v>
      </c>
      <c r="R35" s="2">
        <v>42.36</v>
      </c>
      <c r="S35">
        <v>1</v>
      </c>
      <c r="T35" t="s">
        <v>58</v>
      </c>
      <c r="U35" t="s">
        <v>59</v>
      </c>
      <c r="V35" s="3">
        <v>0.7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177.9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29.65</v>
      </c>
      <c r="AM35" s="2">
        <v>0</v>
      </c>
      <c r="AN35" s="2">
        <v>177.9</v>
      </c>
      <c r="AO35" s="2">
        <v>0</v>
      </c>
      <c r="AP35" s="2">
        <v>0</v>
      </c>
      <c r="AQ35" s="2">
        <v>0</v>
      </c>
    </row>
    <row r="36" spans="1:43" x14ac:dyDescent="0.25">
      <c r="A36" s="1">
        <v>45943</v>
      </c>
      <c r="B36" t="s">
        <v>48</v>
      </c>
      <c r="C36">
        <v>649163</v>
      </c>
      <c r="D36">
        <v>2031468649</v>
      </c>
      <c r="E36" t="s">
        <v>164</v>
      </c>
      <c r="F36" t="s">
        <v>165</v>
      </c>
      <c r="G36" t="s">
        <v>51</v>
      </c>
      <c r="H36" t="s">
        <v>64</v>
      </c>
      <c r="I36" t="s">
        <v>166</v>
      </c>
      <c r="J36" t="s">
        <v>167</v>
      </c>
      <c r="K36">
        <v>753748</v>
      </c>
      <c r="L36" t="s">
        <v>168</v>
      </c>
      <c r="M36" t="s">
        <v>169</v>
      </c>
      <c r="N36" t="s">
        <v>57</v>
      </c>
      <c r="O36" s="1">
        <v>45937</v>
      </c>
      <c r="Q36" s="1">
        <v>45968</v>
      </c>
      <c r="R36" s="2">
        <v>311.39999999999998</v>
      </c>
      <c r="S36">
        <v>1</v>
      </c>
      <c r="T36" t="s">
        <v>58</v>
      </c>
      <c r="U36" t="s">
        <v>170</v>
      </c>
      <c r="V36" s="3">
        <v>0.27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84.08</v>
      </c>
      <c r="AN36" s="2">
        <v>84.08</v>
      </c>
      <c r="AO36" s="2">
        <v>0</v>
      </c>
      <c r="AP36" s="2">
        <v>0</v>
      </c>
      <c r="AQ36" s="2">
        <v>0</v>
      </c>
    </row>
    <row r="37" spans="1:43" x14ac:dyDescent="0.25">
      <c r="A37" s="1">
        <v>45943</v>
      </c>
      <c r="B37" t="s">
        <v>48</v>
      </c>
      <c r="C37">
        <v>649163</v>
      </c>
      <c r="D37">
        <v>2031581263</v>
      </c>
      <c r="E37" t="s">
        <v>83</v>
      </c>
      <c r="F37" t="s">
        <v>84</v>
      </c>
      <c r="G37" t="s">
        <v>51</v>
      </c>
      <c r="H37" t="s">
        <v>52</v>
      </c>
      <c r="I37" t="s">
        <v>166</v>
      </c>
      <c r="J37" t="s">
        <v>171</v>
      </c>
      <c r="K37">
        <v>897073</v>
      </c>
      <c r="L37" t="s">
        <v>86</v>
      </c>
      <c r="M37" t="s">
        <v>87</v>
      </c>
      <c r="N37" t="s">
        <v>57</v>
      </c>
      <c r="O37" s="1">
        <v>45942</v>
      </c>
      <c r="Q37" s="1">
        <v>45973</v>
      </c>
      <c r="R37" s="2">
        <v>285.18</v>
      </c>
      <c r="S37">
        <v>1</v>
      </c>
      <c r="T37" t="s">
        <v>58</v>
      </c>
      <c r="U37" t="s">
        <v>88</v>
      </c>
      <c r="V37" s="3">
        <v>0.28999999999999998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496.2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82.7</v>
      </c>
      <c r="AM37" s="2">
        <v>0</v>
      </c>
      <c r="AN37" s="2">
        <v>496.2</v>
      </c>
      <c r="AO37" s="2">
        <v>0</v>
      </c>
      <c r="AP37" s="2">
        <v>0</v>
      </c>
      <c r="AQ37" s="2">
        <v>0</v>
      </c>
    </row>
    <row r="38" spans="1:43" x14ac:dyDescent="0.25">
      <c r="A38" s="1">
        <v>45943</v>
      </c>
      <c r="B38" t="s">
        <v>48</v>
      </c>
      <c r="C38">
        <v>649163</v>
      </c>
      <c r="D38">
        <v>2031581264</v>
      </c>
      <c r="E38" t="s">
        <v>83</v>
      </c>
      <c r="F38" t="s">
        <v>84</v>
      </c>
      <c r="G38" t="s">
        <v>51</v>
      </c>
      <c r="H38" t="s">
        <v>52</v>
      </c>
      <c r="I38" t="s">
        <v>166</v>
      </c>
      <c r="J38" t="s">
        <v>172</v>
      </c>
      <c r="K38">
        <v>897073</v>
      </c>
      <c r="L38" t="s">
        <v>86</v>
      </c>
      <c r="M38" t="s">
        <v>87</v>
      </c>
      <c r="N38" t="s">
        <v>57</v>
      </c>
      <c r="O38" s="1">
        <v>45942</v>
      </c>
      <c r="Q38" s="1">
        <v>45973</v>
      </c>
      <c r="R38" s="2">
        <v>9.9499999999999993</v>
      </c>
      <c r="S38">
        <v>1</v>
      </c>
      <c r="T38" t="s">
        <v>58</v>
      </c>
      <c r="U38" t="s">
        <v>88</v>
      </c>
      <c r="V38" s="3">
        <v>0.28999999999999998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17.34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2.89</v>
      </c>
      <c r="AM38" s="2">
        <v>0</v>
      </c>
      <c r="AN38" s="2">
        <v>17.34</v>
      </c>
      <c r="AO38" s="2">
        <v>0</v>
      </c>
      <c r="AP38" s="2">
        <v>0</v>
      </c>
      <c r="AQ38" s="2">
        <v>0</v>
      </c>
    </row>
    <row r="39" spans="1:43" x14ac:dyDescent="0.25">
      <c r="A39" s="1">
        <v>45943</v>
      </c>
      <c r="B39" t="s">
        <v>48</v>
      </c>
      <c r="C39">
        <v>649163</v>
      </c>
      <c r="D39">
        <v>2016921674</v>
      </c>
      <c r="E39" t="s">
        <v>173</v>
      </c>
      <c r="F39" t="s">
        <v>174</v>
      </c>
      <c r="G39" t="s">
        <v>51</v>
      </c>
      <c r="H39" t="s">
        <v>175</v>
      </c>
      <c r="I39" t="s">
        <v>176</v>
      </c>
      <c r="J39" t="s">
        <v>177</v>
      </c>
      <c r="K39">
        <v>649793</v>
      </c>
      <c r="L39" t="s">
        <v>55</v>
      </c>
      <c r="M39" t="s">
        <v>178</v>
      </c>
      <c r="N39" t="s">
        <v>179</v>
      </c>
      <c r="O39" s="1">
        <v>44927</v>
      </c>
      <c r="P39" s="1">
        <v>45936</v>
      </c>
      <c r="Q39" s="1">
        <v>45962</v>
      </c>
      <c r="R39" s="2">
        <v>-52.69</v>
      </c>
      <c r="S39">
        <v>1</v>
      </c>
      <c r="T39" t="s">
        <v>58</v>
      </c>
      <c r="U39" t="s">
        <v>180</v>
      </c>
      <c r="V39" s="4">
        <v>6.5000000000000002E-2</v>
      </c>
      <c r="W39" s="2">
        <v>0</v>
      </c>
      <c r="X39">
        <v>-1</v>
      </c>
      <c r="Y39" t="s">
        <v>181</v>
      </c>
      <c r="Z39" t="s">
        <v>182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-3.42</v>
      </c>
      <c r="AN39" s="2">
        <v>-3.42</v>
      </c>
      <c r="AO39" s="2">
        <v>0</v>
      </c>
      <c r="AP39" s="2">
        <v>0</v>
      </c>
      <c r="AQ39" s="2">
        <v>0</v>
      </c>
    </row>
    <row r="40" spans="1:43" x14ac:dyDescent="0.25">
      <c r="A40" s="1">
        <v>45943</v>
      </c>
      <c r="B40" t="s">
        <v>48</v>
      </c>
      <c r="C40">
        <v>649163</v>
      </c>
      <c r="D40">
        <v>2023499225</v>
      </c>
      <c r="E40" t="s">
        <v>183</v>
      </c>
      <c r="F40" t="s">
        <v>184</v>
      </c>
      <c r="G40" t="s">
        <v>51</v>
      </c>
      <c r="H40" t="s">
        <v>185</v>
      </c>
      <c r="I40" t="s">
        <v>176</v>
      </c>
      <c r="J40" t="s">
        <v>177</v>
      </c>
      <c r="K40">
        <v>751867</v>
      </c>
      <c r="L40" t="s">
        <v>186</v>
      </c>
      <c r="M40" t="s">
        <v>90</v>
      </c>
      <c r="N40" t="s">
        <v>57</v>
      </c>
      <c r="O40" s="1">
        <v>45456</v>
      </c>
      <c r="Q40" s="1">
        <v>45974</v>
      </c>
      <c r="R40" s="2">
        <v>56.69</v>
      </c>
      <c r="S40">
        <v>1</v>
      </c>
      <c r="T40" t="s">
        <v>58</v>
      </c>
      <c r="U40" t="s">
        <v>180</v>
      </c>
      <c r="V40" s="4">
        <v>6.5000000000000002E-2</v>
      </c>
      <c r="W40" s="2">
        <v>0</v>
      </c>
      <c r="X40">
        <v>0</v>
      </c>
      <c r="Y40" t="s">
        <v>181</v>
      </c>
      <c r="Z40" t="s">
        <v>182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3.68</v>
      </c>
      <c r="AN40" s="2">
        <v>3.68</v>
      </c>
      <c r="AO40" s="2">
        <v>0</v>
      </c>
      <c r="AP40" s="2">
        <v>0</v>
      </c>
      <c r="AQ40" s="2">
        <v>0</v>
      </c>
    </row>
    <row r="41" spans="1:43" x14ac:dyDescent="0.25">
      <c r="A41" s="1">
        <v>45943</v>
      </c>
      <c r="B41" t="s">
        <v>48</v>
      </c>
      <c r="C41">
        <v>649163</v>
      </c>
      <c r="D41">
        <v>2023509944</v>
      </c>
      <c r="E41" t="s">
        <v>187</v>
      </c>
      <c r="F41" t="s">
        <v>188</v>
      </c>
      <c r="G41" t="s">
        <v>51</v>
      </c>
      <c r="H41" t="s">
        <v>189</v>
      </c>
      <c r="I41" t="s">
        <v>176</v>
      </c>
      <c r="J41" t="s">
        <v>190</v>
      </c>
      <c r="K41">
        <v>751867</v>
      </c>
      <c r="L41" t="s">
        <v>186</v>
      </c>
      <c r="M41" t="s">
        <v>90</v>
      </c>
      <c r="N41" t="s">
        <v>57</v>
      </c>
      <c r="O41" s="1">
        <v>45457</v>
      </c>
      <c r="Q41" s="1">
        <v>45975</v>
      </c>
      <c r="R41" s="2">
        <v>109.84</v>
      </c>
      <c r="S41">
        <v>1</v>
      </c>
      <c r="T41" t="s">
        <v>58</v>
      </c>
      <c r="U41" t="s">
        <v>180</v>
      </c>
      <c r="V41" s="4">
        <v>6.5000000000000002E-2</v>
      </c>
      <c r="W41" s="2">
        <v>0</v>
      </c>
      <c r="X41">
        <v>0</v>
      </c>
      <c r="Y41" t="s">
        <v>181</v>
      </c>
      <c r="Z41" t="s">
        <v>182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7.14</v>
      </c>
      <c r="AN41" s="2">
        <v>7.14</v>
      </c>
      <c r="AO41" s="2">
        <v>0</v>
      </c>
      <c r="AP41" s="2">
        <v>0</v>
      </c>
      <c r="AQ41" s="2">
        <v>0</v>
      </c>
    </row>
    <row r="42" spans="1:43" x14ac:dyDescent="0.25">
      <c r="A42" s="1">
        <v>45943</v>
      </c>
      <c r="B42" t="s">
        <v>48</v>
      </c>
      <c r="C42">
        <v>649163</v>
      </c>
      <c r="D42">
        <v>2023510924</v>
      </c>
      <c r="E42" t="s">
        <v>191</v>
      </c>
      <c r="F42" t="s">
        <v>192</v>
      </c>
      <c r="G42" t="s">
        <v>51</v>
      </c>
      <c r="H42" t="s">
        <v>189</v>
      </c>
      <c r="I42" t="s">
        <v>176</v>
      </c>
      <c r="J42" t="s">
        <v>177</v>
      </c>
      <c r="K42">
        <v>751867</v>
      </c>
      <c r="L42" t="s">
        <v>186</v>
      </c>
      <c r="M42" t="s">
        <v>90</v>
      </c>
      <c r="N42" t="s">
        <v>57</v>
      </c>
      <c r="O42" s="1">
        <v>45457</v>
      </c>
      <c r="Q42" s="1">
        <v>45975</v>
      </c>
      <c r="R42" s="2">
        <v>56.69</v>
      </c>
      <c r="S42">
        <v>1</v>
      </c>
      <c r="T42" t="s">
        <v>58</v>
      </c>
      <c r="U42" t="s">
        <v>180</v>
      </c>
      <c r="V42" s="4">
        <v>6.5000000000000002E-2</v>
      </c>
      <c r="W42" s="2">
        <v>0</v>
      </c>
      <c r="X42">
        <v>0</v>
      </c>
      <c r="Y42" t="s">
        <v>181</v>
      </c>
      <c r="Z42" t="s">
        <v>182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3.68</v>
      </c>
      <c r="AN42" s="2">
        <v>3.68</v>
      </c>
      <c r="AO42" s="2">
        <v>0</v>
      </c>
      <c r="AP42" s="2">
        <v>0</v>
      </c>
      <c r="AQ42" s="2">
        <v>0</v>
      </c>
    </row>
    <row r="43" spans="1:43" x14ac:dyDescent="0.25">
      <c r="A43" s="1">
        <v>45943</v>
      </c>
      <c r="B43" t="s">
        <v>48</v>
      </c>
      <c r="C43">
        <v>649163</v>
      </c>
      <c r="D43">
        <v>2024382706</v>
      </c>
      <c r="E43" t="s">
        <v>193</v>
      </c>
      <c r="F43" t="s">
        <v>194</v>
      </c>
      <c r="G43" t="s">
        <v>51</v>
      </c>
      <c r="H43" t="s">
        <v>189</v>
      </c>
      <c r="I43" t="s">
        <v>176</v>
      </c>
      <c r="J43" t="s">
        <v>177</v>
      </c>
      <c r="K43">
        <v>650218</v>
      </c>
      <c r="L43" t="s">
        <v>195</v>
      </c>
      <c r="M43" t="s">
        <v>196</v>
      </c>
      <c r="N43" t="s">
        <v>57</v>
      </c>
      <c r="O43" s="1">
        <v>45519</v>
      </c>
      <c r="Q43" s="1">
        <v>45976</v>
      </c>
      <c r="R43" s="2">
        <v>40.159999999999997</v>
      </c>
      <c r="S43">
        <v>1</v>
      </c>
      <c r="T43" t="s">
        <v>58</v>
      </c>
      <c r="U43" t="s">
        <v>180</v>
      </c>
      <c r="V43" s="4">
        <v>6.5000000000000002E-2</v>
      </c>
      <c r="W43" s="2">
        <v>0</v>
      </c>
      <c r="X43">
        <v>0</v>
      </c>
      <c r="Y43" t="s">
        <v>181</v>
      </c>
      <c r="Z43" t="s">
        <v>182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2.61</v>
      </c>
      <c r="AN43" s="2">
        <v>2.61</v>
      </c>
      <c r="AO43" s="2">
        <v>0</v>
      </c>
      <c r="AP43" s="2">
        <v>0</v>
      </c>
      <c r="AQ43" s="2">
        <v>0</v>
      </c>
    </row>
    <row r="44" spans="1:43" x14ac:dyDescent="0.25">
      <c r="A44" s="1">
        <v>45943</v>
      </c>
      <c r="B44" t="s">
        <v>48</v>
      </c>
      <c r="C44">
        <v>649163</v>
      </c>
      <c r="D44">
        <v>2024407150</v>
      </c>
      <c r="E44" t="s">
        <v>197</v>
      </c>
      <c r="F44" t="s">
        <v>198</v>
      </c>
      <c r="G44" t="s">
        <v>51</v>
      </c>
      <c r="H44" t="s">
        <v>189</v>
      </c>
      <c r="I44" t="s">
        <v>176</v>
      </c>
      <c r="J44" t="s">
        <v>177</v>
      </c>
      <c r="K44">
        <v>650218</v>
      </c>
      <c r="L44" t="s">
        <v>195</v>
      </c>
      <c r="M44" t="s">
        <v>196</v>
      </c>
      <c r="N44" t="s">
        <v>57</v>
      </c>
      <c r="O44" s="1">
        <v>45520</v>
      </c>
      <c r="Q44" s="1">
        <v>45977</v>
      </c>
      <c r="R44" s="2">
        <v>56.69</v>
      </c>
      <c r="S44">
        <v>1</v>
      </c>
      <c r="T44" t="s">
        <v>58</v>
      </c>
      <c r="U44" t="s">
        <v>180</v>
      </c>
      <c r="V44" s="4">
        <v>6.5000000000000002E-2</v>
      </c>
      <c r="W44" s="2">
        <v>0</v>
      </c>
      <c r="X44">
        <v>0</v>
      </c>
      <c r="Y44" t="s">
        <v>181</v>
      </c>
      <c r="Z44" t="s">
        <v>182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3.68</v>
      </c>
      <c r="AN44" s="2">
        <v>3.68</v>
      </c>
      <c r="AO44" s="2">
        <v>0</v>
      </c>
      <c r="AP44" s="2">
        <v>0</v>
      </c>
      <c r="AQ44" s="2">
        <v>0</v>
      </c>
    </row>
    <row r="45" spans="1:43" x14ac:dyDescent="0.25">
      <c r="A45" s="1">
        <v>45943</v>
      </c>
      <c r="B45" t="s">
        <v>48</v>
      </c>
      <c r="C45">
        <v>649163</v>
      </c>
      <c r="D45">
        <v>2024425645</v>
      </c>
      <c r="E45" t="s">
        <v>199</v>
      </c>
      <c r="F45" t="s">
        <v>200</v>
      </c>
      <c r="G45" t="s">
        <v>51</v>
      </c>
      <c r="H45" t="s">
        <v>107</v>
      </c>
      <c r="I45" t="s">
        <v>176</v>
      </c>
      <c r="J45" t="s">
        <v>177</v>
      </c>
      <c r="K45">
        <v>673059</v>
      </c>
      <c r="L45" t="s">
        <v>55</v>
      </c>
      <c r="M45" t="s">
        <v>56</v>
      </c>
      <c r="N45" t="s">
        <v>57</v>
      </c>
      <c r="O45" s="1">
        <v>45521</v>
      </c>
      <c r="Q45" s="1">
        <v>45978</v>
      </c>
      <c r="R45" s="2">
        <v>34.01</v>
      </c>
      <c r="S45">
        <v>1</v>
      </c>
      <c r="T45" t="s">
        <v>58</v>
      </c>
      <c r="U45" t="s">
        <v>180</v>
      </c>
      <c r="V45" s="4">
        <v>6.5000000000000002E-2</v>
      </c>
      <c r="W45" s="2">
        <v>0</v>
      </c>
      <c r="X45">
        <v>0</v>
      </c>
      <c r="Y45" t="s">
        <v>181</v>
      </c>
      <c r="Z45" t="s">
        <v>182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2.21</v>
      </c>
      <c r="AN45" s="2">
        <v>2.21</v>
      </c>
      <c r="AO45" s="2">
        <v>0</v>
      </c>
      <c r="AP45" s="2">
        <v>0</v>
      </c>
      <c r="AQ45" s="2">
        <v>0</v>
      </c>
    </row>
    <row r="46" spans="1:43" x14ac:dyDescent="0.25">
      <c r="A46" s="1">
        <v>45943</v>
      </c>
      <c r="B46" t="s">
        <v>48</v>
      </c>
      <c r="C46">
        <v>649163</v>
      </c>
      <c r="D46">
        <v>2025756063</v>
      </c>
      <c r="E46" t="s">
        <v>201</v>
      </c>
      <c r="F46" t="s">
        <v>202</v>
      </c>
      <c r="G46" t="s">
        <v>51</v>
      </c>
      <c r="H46" t="s">
        <v>189</v>
      </c>
      <c r="I46" t="s">
        <v>176</v>
      </c>
      <c r="J46" t="s">
        <v>177</v>
      </c>
      <c r="K46">
        <v>650218</v>
      </c>
      <c r="L46" t="s">
        <v>195</v>
      </c>
      <c r="M46" t="s">
        <v>196</v>
      </c>
      <c r="N46" t="s">
        <v>57</v>
      </c>
      <c r="O46" s="1">
        <v>45610</v>
      </c>
      <c r="Q46" s="1">
        <v>45975</v>
      </c>
      <c r="R46" s="2">
        <v>46.45</v>
      </c>
      <c r="S46">
        <v>1</v>
      </c>
      <c r="T46" t="s">
        <v>58</v>
      </c>
      <c r="U46" t="s">
        <v>180</v>
      </c>
      <c r="V46" s="3">
        <v>0.6</v>
      </c>
      <c r="W46" s="2">
        <v>0</v>
      </c>
      <c r="X46">
        <v>0</v>
      </c>
      <c r="Y46" t="s">
        <v>60</v>
      </c>
      <c r="Z46" t="s">
        <v>182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27.87</v>
      </c>
      <c r="AN46" s="2">
        <v>27.87</v>
      </c>
      <c r="AO46" s="2">
        <v>0</v>
      </c>
      <c r="AP46" s="2">
        <v>0</v>
      </c>
      <c r="AQ46" s="2">
        <v>0</v>
      </c>
    </row>
    <row r="47" spans="1:43" x14ac:dyDescent="0.25">
      <c r="A47" s="1">
        <v>45943</v>
      </c>
      <c r="B47" t="s">
        <v>48</v>
      </c>
      <c r="C47">
        <v>649163</v>
      </c>
      <c r="D47">
        <v>2025769233</v>
      </c>
      <c r="E47" t="s">
        <v>203</v>
      </c>
      <c r="F47" t="s">
        <v>204</v>
      </c>
      <c r="G47" t="s">
        <v>51</v>
      </c>
      <c r="H47" t="s">
        <v>189</v>
      </c>
      <c r="I47" t="s">
        <v>176</v>
      </c>
      <c r="J47" t="s">
        <v>190</v>
      </c>
      <c r="K47">
        <v>650218</v>
      </c>
      <c r="L47" t="s">
        <v>195</v>
      </c>
      <c r="M47" t="s">
        <v>196</v>
      </c>
      <c r="N47" t="s">
        <v>57</v>
      </c>
      <c r="O47" s="1">
        <v>45611</v>
      </c>
      <c r="Q47" s="1">
        <v>45976</v>
      </c>
      <c r="R47" s="2">
        <v>56.46</v>
      </c>
      <c r="S47">
        <v>1</v>
      </c>
      <c r="T47" t="s">
        <v>58</v>
      </c>
      <c r="U47" t="s">
        <v>180</v>
      </c>
      <c r="V47" s="3">
        <v>0.6</v>
      </c>
      <c r="W47" s="2">
        <v>0</v>
      </c>
      <c r="X47">
        <v>0</v>
      </c>
      <c r="Y47" t="s">
        <v>60</v>
      </c>
      <c r="Z47" t="s">
        <v>182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33.880000000000003</v>
      </c>
      <c r="AN47" s="2">
        <v>33.880000000000003</v>
      </c>
      <c r="AO47" s="2">
        <v>0</v>
      </c>
      <c r="AP47" s="2">
        <v>0</v>
      </c>
      <c r="AQ47" s="2">
        <v>0</v>
      </c>
    </row>
    <row r="48" spans="1:43" x14ac:dyDescent="0.25">
      <c r="A48" s="1">
        <v>45943</v>
      </c>
      <c r="B48" t="s">
        <v>48</v>
      </c>
      <c r="C48">
        <v>649163</v>
      </c>
      <c r="D48">
        <v>2025771713</v>
      </c>
      <c r="E48" t="s">
        <v>205</v>
      </c>
      <c r="F48" t="s">
        <v>169</v>
      </c>
      <c r="G48" t="s">
        <v>51</v>
      </c>
      <c r="H48" t="s">
        <v>189</v>
      </c>
      <c r="I48" t="s">
        <v>176</v>
      </c>
      <c r="J48" t="s">
        <v>177</v>
      </c>
      <c r="K48">
        <v>650218</v>
      </c>
      <c r="L48" t="s">
        <v>195</v>
      </c>
      <c r="M48" t="s">
        <v>196</v>
      </c>
      <c r="N48" t="s">
        <v>57</v>
      </c>
      <c r="O48" s="1">
        <v>45611</v>
      </c>
      <c r="Q48" s="1">
        <v>45976</v>
      </c>
      <c r="R48" s="2">
        <v>52.69</v>
      </c>
      <c r="S48">
        <v>1</v>
      </c>
      <c r="T48" t="s">
        <v>58</v>
      </c>
      <c r="U48" t="s">
        <v>180</v>
      </c>
      <c r="V48" s="3">
        <v>0.6</v>
      </c>
      <c r="W48" s="2">
        <v>0</v>
      </c>
      <c r="X48">
        <v>0</v>
      </c>
      <c r="Y48" t="s">
        <v>60</v>
      </c>
      <c r="Z48" t="s">
        <v>182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31.61</v>
      </c>
      <c r="AN48" s="2">
        <v>31.61</v>
      </c>
      <c r="AO48" s="2">
        <v>0</v>
      </c>
      <c r="AP48" s="2">
        <v>0</v>
      </c>
      <c r="AQ48" s="2">
        <v>0</v>
      </c>
    </row>
    <row r="49" spans="1:43" x14ac:dyDescent="0.25">
      <c r="A49" s="1">
        <v>45943</v>
      </c>
      <c r="B49" t="s">
        <v>48</v>
      </c>
      <c r="C49">
        <v>649163</v>
      </c>
      <c r="D49">
        <v>2026603200</v>
      </c>
      <c r="E49" t="s">
        <v>206</v>
      </c>
      <c r="F49" t="s">
        <v>207</v>
      </c>
      <c r="G49" t="s">
        <v>51</v>
      </c>
      <c r="H49" t="s">
        <v>189</v>
      </c>
      <c r="I49" t="s">
        <v>176</v>
      </c>
      <c r="J49" t="s">
        <v>177</v>
      </c>
      <c r="K49">
        <v>751867</v>
      </c>
      <c r="L49" t="s">
        <v>186</v>
      </c>
      <c r="M49" t="s">
        <v>90</v>
      </c>
      <c r="N49" t="s">
        <v>57</v>
      </c>
      <c r="O49" s="1">
        <v>45673</v>
      </c>
      <c r="Q49" s="1">
        <v>45977</v>
      </c>
      <c r="R49" s="2">
        <v>56.69</v>
      </c>
      <c r="S49">
        <v>1</v>
      </c>
      <c r="T49" t="s">
        <v>58</v>
      </c>
      <c r="U49" t="s">
        <v>180</v>
      </c>
      <c r="V49" s="3">
        <v>0.6</v>
      </c>
      <c r="W49" s="2">
        <v>0</v>
      </c>
      <c r="X49">
        <v>0</v>
      </c>
      <c r="Y49" t="s">
        <v>60</v>
      </c>
      <c r="Z49" t="s">
        <v>182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34.01</v>
      </c>
      <c r="AN49" s="2">
        <v>34.01</v>
      </c>
      <c r="AO49" s="2">
        <v>0</v>
      </c>
      <c r="AP49" s="2">
        <v>0</v>
      </c>
      <c r="AQ49" s="2">
        <v>0</v>
      </c>
    </row>
    <row r="50" spans="1:43" x14ac:dyDescent="0.25">
      <c r="A50" s="1">
        <v>45943</v>
      </c>
      <c r="B50" t="s">
        <v>48</v>
      </c>
      <c r="C50">
        <v>649163</v>
      </c>
      <c r="D50">
        <v>2026958695</v>
      </c>
      <c r="E50" t="s">
        <v>208</v>
      </c>
      <c r="F50" t="s">
        <v>209</v>
      </c>
      <c r="G50" t="s">
        <v>51</v>
      </c>
      <c r="H50" t="s">
        <v>189</v>
      </c>
      <c r="I50" t="s">
        <v>176</v>
      </c>
      <c r="J50" t="s">
        <v>177</v>
      </c>
      <c r="K50">
        <v>677095</v>
      </c>
      <c r="L50" t="s">
        <v>210</v>
      </c>
      <c r="M50" t="s">
        <v>211</v>
      </c>
      <c r="N50" t="s">
        <v>57</v>
      </c>
      <c r="O50" s="1">
        <v>45702</v>
      </c>
      <c r="Q50" s="1">
        <v>45975</v>
      </c>
      <c r="R50" s="2">
        <v>52.69</v>
      </c>
      <c r="S50">
        <v>1</v>
      </c>
      <c r="T50" t="s">
        <v>58</v>
      </c>
      <c r="U50" t="s">
        <v>180</v>
      </c>
      <c r="V50" s="3">
        <v>0.2</v>
      </c>
      <c r="W50" s="2">
        <v>0</v>
      </c>
      <c r="X50">
        <v>0</v>
      </c>
      <c r="Y50" t="s">
        <v>60</v>
      </c>
      <c r="Z50" t="s">
        <v>182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10.54</v>
      </c>
      <c r="AN50" s="2">
        <v>10.54</v>
      </c>
      <c r="AO50" s="2">
        <v>0</v>
      </c>
      <c r="AP50" s="2">
        <v>0</v>
      </c>
      <c r="AQ50" s="2">
        <v>0</v>
      </c>
    </row>
    <row r="51" spans="1:43" x14ac:dyDescent="0.25">
      <c r="A51" s="1">
        <v>45943</v>
      </c>
      <c r="B51" t="s">
        <v>48</v>
      </c>
      <c r="C51">
        <v>649163</v>
      </c>
      <c r="D51">
        <v>2027070510</v>
      </c>
      <c r="E51" t="s">
        <v>212</v>
      </c>
      <c r="F51" t="s">
        <v>213</v>
      </c>
      <c r="G51" t="s">
        <v>51</v>
      </c>
      <c r="H51" t="s">
        <v>214</v>
      </c>
      <c r="I51" t="s">
        <v>176</v>
      </c>
      <c r="J51" t="s">
        <v>215</v>
      </c>
      <c r="K51">
        <v>756418</v>
      </c>
      <c r="L51" t="s">
        <v>216</v>
      </c>
      <c r="M51" t="s">
        <v>217</v>
      </c>
      <c r="N51" t="s">
        <v>57</v>
      </c>
      <c r="O51" s="1">
        <v>45700</v>
      </c>
      <c r="Q51" s="1">
        <v>45973</v>
      </c>
      <c r="R51" s="2">
        <v>46.56</v>
      </c>
      <c r="S51">
        <v>1</v>
      </c>
      <c r="T51" t="s">
        <v>58</v>
      </c>
      <c r="U51" t="s">
        <v>180</v>
      </c>
      <c r="V51" s="3">
        <v>0.6</v>
      </c>
      <c r="W51" s="2">
        <v>0</v>
      </c>
      <c r="X51">
        <v>0</v>
      </c>
      <c r="Y51" t="s">
        <v>60</v>
      </c>
      <c r="Z51" t="s">
        <v>182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27.94</v>
      </c>
      <c r="AN51" s="2">
        <v>27.94</v>
      </c>
      <c r="AO51" s="2">
        <v>0</v>
      </c>
      <c r="AP51" s="2">
        <v>0</v>
      </c>
      <c r="AQ51" s="2">
        <v>0</v>
      </c>
    </row>
    <row r="52" spans="1:43" x14ac:dyDescent="0.25">
      <c r="A52" s="1">
        <v>45943</v>
      </c>
      <c r="B52" t="s">
        <v>48</v>
      </c>
      <c r="C52">
        <v>649163</v>
      </c>
      <c r="D52">
        <v>2029894141</v>
      </c>
      <c r="E52" t="s">
        <v>218</v>
      </c>
      <c r="F52" t="s">
        <v>196</v>
      </c>
      <c r="G52" t="s">
        <v>51</v>
      </c>
      <c r="H52" t="s">
        <v>219</v>
      </c>
      <c r="I52" t="s">
        <v>176</v>
      </c>
      <c r="J52" t="s">
        <v>177</v>
      </c>
      <c r="K52">
        <v>673059</v>
      </c>
      <c r="L52" t="s">
        <v>55</v>
      </c>
      <c r="M52" t="s">
        <v>56</v>
      </c>
      <c r="N52" t="s">
        <v>57</v>
      </c>
      <c r="O52" s="1">
        <v>45852</v>
      </c>
      <c r="Q52" s="1">
        <v>45975</v>
      </c>
      <c r="R52" s="2">
        <v>42.45</v>
      </c>
      <c r="S52">
        <v>1</v>
      </c>
      <c r="T52" t="s">
        <v>58</v>
      </c>
      <c r="U52" t="s">
        <v>180</v>
      </c>
      <c r="V52" s="3">
        <v>0.6</v>
      </c>
      <c r="W52" s="2">
        <v>0</v>
      </c>
      <c r="X52">
        <v>0</v>
      </c>
      <c r="Y52" t="s">
        <v>60</v>
      </c>
      <c r="Z52" t="s">
        <v>182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25.47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45943</v>
      </c>
      <c r="B53" t="s">
        <v>48</v>
      </c>
      <c r="C53">
        <v>649163</v>
      </c>
      <c r="D53">
        <v>2020174611</v>
      </c>
      <c r="E53" t="s">
        <v>220</v>
      </c>
      <c r="F53" t="s">
        <v>221</v>
      </c>
      <c r="G53" t="s">
        <v>51</v>
      </c>
      <c r="H53" t="s">
        <v>119</v>
      </c>
      <c r="I53" t="s">
        <v>53</v>
      </c>
      <c r="J53" t="s">
        <v>70</v>
      </c>
      <c r="K53">
        <v>652037</v>
      </c>
      <c r="L53" t="s">
        <v>222</v>
      </c>
      <c r="M53" t="s">
        <v>223</v>
      </c>
      <c r="N53" t="s">
        <v>57</v>
      </c>
      <c r="O53" s="1">
        <v>45214</v>
      </c>
      <c r="Q53" s="1">
        <v>45976</v>
      </c>
      <c r="R53" s="2">
        <v>246.44</v>
      </c>
      <c r="S53">
        <v>1</v>
      </c>
      <c r="T53" t="s">
        <v>58</v>
      </c>
      <c r="U53" t="s">
        <v>180</v>
      </c>
      <c r="V53" s="3">
        <v>0.1</v>
      </c>
      <c r="W53" s="2">
        <v>0</v>
      </c>
      <c r="X53">
        <v>0</v>
      </c>
      <c r="Y53" t="s">
        <v>181</v>
      </c>
      <c r="Z53" t="s">
        <v>182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24.64</v>
      </c>
      <c r="AN53" s="2">
        <v>24.64</v>
      </c>
      <c r="AO53" s="2">
        <v>0</v>
      </c>
      <c r="AP53" s="2">
        <v>0</v>
      </c>
      <c r="AQ53" s="2">
        <v>0</v>
      </c>
    </row>
    <row r="54" spans="1:43" x14ac:dyDescent="0.25">
      <c r="A54" s="1">
        <v>45943</v>
      </c>
      <c r="B54" t="s">
        <v>48</v>
      </c>
      <c r="C54">
        <v>649163</v>
      </c>
      <c r="D54">
        <v>2022254779</v>
      </c>
      <c r="E54" t="s">
        <v>224</v>
      </c>
      <c r="F54" t="s">
        <v>192</v>
      </c>
      <c r="G54" t="s">
        <v>51</v>
      </c>
      <c r="H54" t="s">
        <v>225</v>
      </c>
      <c r="I54" t="s">
        <v>53</v>
      </c>
      <c r="J54" t="s">
        <v>75</v>
      </c>
      <c r="K54">
        <v>673059</v>
      </c>
      <c r="L54" t="s">
        <v>55</v>
      </c>
      <c r="M54" t="s">
        <v>56</v>
      </c>
      <c r="N54" t="s">
        <v>57</v>
      </c>
      <c r="O54" s="1">
        <v>45364</v>
      </c>
      <c r="Q54" s="1">
        <v>45974</v>
      </c>
      <c r="R54" s="2">
        <v>150.51</v>
      </c>
      <c r="S54">
        <v>1</v>
      </c>
      <c r="T54" t="s">
        <v>58</v>
      </c>
      <c r="U54" t="s">
        <v>180</v>
      </c>
      <c r="V54" s="3">
        <v>0.1</v>
      </c>
      <c r="W54" s="2">
        <v>0</v>
      </c>
      <c r="X54">
        <v>0</v>
      </c>
      <c r="Y54" t="s">
        <v>181</v>
      </c>
      <c r="Z54" t="s">
        <v>182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15.05</v>
      </c>
      <c r="AN54" s="2">
        <v>15.05</v>
      </c>
      <c r="AO54" s="2">
        <v>0</v>
      </c>
      <c r="AP54" s="2">
        <v>0</v>
      </c>
      <c r="AQ54" s="2">
        <v>0</v>
      </c>
    </row>
    <row r="55" spans="1:43" x14ac:dyDescent="0.25">
      <c r="A55" s="1">
        <v>45943</v>
      </c>
      <c r="B55" t="s">
        <v>48</v>
      </c>
      <c r="C55">
        <v>649163</v>
      </c>
      <c r="D55">
        <v>2024573704</v>
      </c>
      <c r="E55" t="s">
        <v>226</v>
      </c>
      <c r="F55" t="s">
        <v>227</v>
      </c>
      <c r="G55" t="s">
        <v>51</v>
      </c>
      <c r="H55" t="s">
        <v>228</v>
      </c>
      <c r="I55" t="s">
        <v>53</v>
      </c>
      <c r="J55" t="s">
        <v>70</v>
      </c>
      <c r="K55">
        <v>767312</v>
      </c>
      <c r="L55" t="s">
        <v>147</v>
      </c>
      <c r="M55" t="s">
        <v>148</v>
      </c>
      <c r="N55" t="s">
        <v>179</v>
      </c>
      <c r="O55" s="1">
        <v>45536</v>
      </c>
      <c r="P55" s="1">
        <v>45936</v>
      </c>
      <c r="Q55" s="1">
        <v>45962</v>
      </c>
      <c r="R55" s="2">
        <v>-97.58</v>
      </c>
      <c r="S55">
        <v>1</v>
      </c>
      <c r="T55" t="s">
        <v>58</v>
      </c>
      <c r="U55" t="s">
        <v>180</v>
      </c>
      <c r="V55" s="3">
        <v>0.1</v>
      </c>
      <c r="W55" s="2">
        <v>0</v>
      </c>
      <c r="X55">
        <v>-1</v>
      </c>
      <c r="Y55" t="s">
        <v>181</v>
      </c>
      <c r="Z55" t="s">
        <v>182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-9.76</v>
      </c>
      <c r="AN55" s="2">
        <v>-9.76</v>
      </c>
      <c r="AO55" s="2">
        <v>0</v>
      </c>
      <c r="AP55" s="2">
        <v>0</v>
      </c>
      <c r="AQ55" s="2">
        <v>0</v>
      </c>
    </row>
    <row r="56" spans="1:43" x14ac:dyDescent="0.25">
      <c r="A56" s="1">
        <v>45943</v>
      </c>
      <c r="B56" t="s">
        <v>48</v>
      </c>
      <c r="C56">
        <v>649163</v>
      </c>
      <c r="D56">
        <v>2024834573</v>
      </c>
      <c r="E56" t="s">
        <v>229</v>
      </c>
      <c r="F56" t="s">
        <v>194</v>
      </c>
      <c r="G56" t="s">
        <v>51</v>
      </c>
      <c r="H56" t="s">
        <v>102</v>
      </c>
      <c r="I56" t="s">
        <v>53</v>
      </c>
      <c r="J56" t="s">
        <v>70</v>
      </c>
      <c r="K56">
        <v>767312</v>
      </c>
      <c r="L56" t="s">
        <v>147</v>
      </c>
      <c r="M56" t="s">
        <v>148</v>
      </c>
      <c r="N56" t="s">
        <v>57</v>
      </c>
      <c r="O56" s="1">
        <v>45549</v>
      </c>
      <c r="Q56" s="1">
        <v>45975</v>
      </c>
      <c r="R56" s="2">
        <v>41.42</v>
      </c>
      <c r="S56">
        <v>1</v>
      </c>
      <c r="T56" t="s">
        <v>58</v>
      </c>
      <c r="U56" t="s">
        <v>180</v>
      </c>
      <c r="V56" s="3">
        <v>0.1</v>
      </c>
      <c r="W56" s="2">
        <v>0</v>
      </c>
      <c r="X56">
        <v>0</v>
      </c>
      <c r="Y56" t="s">
        <v>181</v>
      </c>
      <c r="Z56" t="s">
        <v>182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4.1399999999999997</v>
      </c>
      <c r="AN56" s="2">
        <v>4.1399999999999997</v>
      </c>
      <c r="AO56" s="2">
        <v>0</v>
      </c>
      <c r="AP56" s="2">
        <v>0</v>
      </c>
      <c r="AQ56" s="2">
        <v>0</v>
      </c>
    </row>
    <row r="57" spans="1:43" x14ac:dyDescent="0.25">
      <c r="A57" s="1">
        <v>45943</v>
      </c>
      <c r="B57" t="s">
        <v>48</v>
      </c>
      <c r="C57">
        <v>649163</v>
      </c>
      <c r="D57">
        <v>2025254892</v>
      </c>
      <c r="E57" t="s">
        <v>230</v>
      </c>
      <c r="F57" t="s">
        <v>231</v>
      </c>
      <c r="G57" t="s">
        <v>51</v>
      </c>
      <c r="H57" t="s">
        <v>130</v>
      </c>
      <c r="I57" t="s">
        <v>53</v>
      </c>
      <c r="J57" t="s">
        <v>232</v>
      </c>
      <c r="K57">
        <v>767312</v>
      </c>
      <c r="L57" t="s">
        <v>147</v>
      </c>
      <c r="M57" t="s">
        <v>148</v>
      </c>
      <c r="N57" t="s">
        <v>57</v>
      </c>
      <c r="O57" s="1">
        <v>45576</v>
      </c>
      <c r="Q57" s="1">
        <v>45972</v>
      </c>
      <c r="R57" s="2">
        <v>48.79</v>
      </c>
      <c r="S57">
        <v>1</v>
      </c>
      <c r="T57" t="s">
        <v>58</v>
      </c>
      <c r="U57" t="s">
        <v>180</v>
      </c>
      <c r="V57" s="3">
        <v>0.1</v>
      </c>
      <c r="W57" s="2">
        <v>0</v>
      </c>
      <c r="X57">
        <v>0</v>
      </c>
      <c r="Y57" t="s">
        <v>181</v>
      </c>
      <c r="Z57" t="s">
        <v>182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4.88</v>
      </c>
      <c r="AN57" s="2">
        <v>4.88</v>
      </c>
      <c r="AO57" s="2">
        <v>0</v>
      </c>
      <c r="AP57" s="2">
        <v>0</v>
      </c>
      <c r="AQ57" s="2">
        <v>0</v>
      </c>
    </row>
    <row r="58" spans="1:43" x14ac:dyDescent="0.25">
      <c r="A58" s="1">
        <v>45943</v>
      </c>
      <c r="B58" t="s">
        <v>48</v>
      </c>
      <c r="C58">
        <v>649163</v>
      </c>
      <c r="D58">
        <v>2025262312</v>
      </c>
      <c r="E58" t="s">
        <v>233</v>
      </c>
      <c r="F58" t="s">
        <v>90</v>
      </c>
      <c r="G58" t="s">
        <v>51</v>
      </c>
      <c r="H58" t="s">
        <v>69</v>
      </c>
      <c r="I58" t="s">
        <v>53</v>
      </c>
      <c r="J58" t="s">
        <v>75</v>
      </c>
      <c r="K58">
        <v>796984</v>
      </c>
      <c r="L58" t="s">
        <v>234</v>
      </c>
      <c r="M58" t="s">
        <v>122</v>
      </c>
      <c r="N58" t="s">
        <v>57</v>
      </c>
      <c r="O58" s="1">
        <v>45576</v>
      </c>
      <c r="Q58" s="1">
        <v>45972</v>
      </c>
      <c r="R58" s="2">
        <v>22.71</v>
      </c>
      <c r="S58">
        <v>1</v>
      </c>
      <c r="T58" t="s">
        <v>58</v>
      </c>
      <c r="U58" t="s">
        <v>180</v>
      </c>
      <c r="V58" s="3">
        <v>0.1</v>
      </c>
      <c r="W58" s="2">
        <v>0</v>
      </c>
      <c r="X58">
        <v>0</v>
      </c>
      <c r="Y58" t="s">
        <v>181</v>
      </c>
      <c r="Z58" t="s">
        <v>182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2.27</v>
      </c>
      <c r="AN58" s="2">
        <v>2.27</v>
      </c>
      <c r="AO58" s="2">
        <v>0</v>
      </c>
      <c r="AP58" s="2">
        <v>0</v>
      </c>
      <c r="AQ58" s="2">
        <v>0</v>
      </c>
    </row>
    <row r="59" spans="1:43" x14ac:dyDescent="0.25">
      <c r="A59" s="1">
        <v>45943</v>
      </c>
      <c r="B59" t="s">
        <v>48</v>
      </c>
      <c r="C59">
        <v>649163</v>
      </c>
      <c r="D59">
        <v>2025287065</v>
      </c>
      <c r="E59" t="s">
        <v>235</v>
      </c>
      <c r="F59" t="s">
        <v>236</v>
      </c>
      <c r="G59" t="s">
        <v>51</v>
      </c>
      <c r="H59" t="s">
        <v>52</v>
      </c>
      <c r="I59" t="s">
        <v>53</v>
      </c>
      <c r="J59" t="s">
        <v>70</v>
      </c>
      <c r="K59">
        <v>767312</v>
      </c>
      <c r="L59" t="s">
        <v>147</v>
      </c>
      <c r="M59" t="s">
        <v>148</v>
      </c>
      <c r="N59" t="s">
        <v>57</v>
      </c>
      <c r="O59" s="1">
        <v>45577</v>
      </c>
      <c r="Q59" s="1">
        <v>45973</v>
      </c>
      <c r="R59" s="2">
        <v>13.92</v>
      </c>
      <c r="S59">
        <v>1</v>
      </c>
      <c r="T59" t="s">
        <v>58</v>
      </c>
      <c r="U59" t="s">
        <v>180</v>
      </c>
      <c r="V59" s="3">
        <v>0.1</v>
      </c>
      <c r="W59" s="2">
        <v>0</v>
      </c>
      <c r="X59">
        <v>0</v>
      </c>
      <c r="Y59" t="s">
        <v>181</v>
      </c>
      <c r="Z59" t="s">
        <v>182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1.39</v>
      </c>
      <c r="AN59" s="2">
        <v>1.39</v>
      </c>
      <c r="AO59" s="2">
        <v>0</v>
      </c>
      <c r="AP59" s="2">
        <v>0</v>
      </c>
      <c r="AQ59" s="2">
        <v>0</v>
      </c>
    </row>
    <row r="60" spans="1:43" x14ac:dyDescent="0.25">
      <c r="A60" s="1">
        <v>45943</v>
      </c>
      <c r="B60" t="s">
        <v>48</v>
      </c>
      <c r="C60">
        <v>649163</v>
      </c>
      <c r="D60">
        <v>2025316510</v>
      </c>
      <c r="E60" t="s">
        <v>237</v>
      </c>
      <c r="F60" t="s">
        <v>238</v>
      </c>
      <c r="G60" t="s">
        <v>51</v>
      </c>
      <c r="H60" t="s">
        <v>219</v>
      </c>
      <c r="I60" t="s">
        <v>53</v>
      </c>
      <c r="J60" t="s">
        <v>70</v>
      </c>
      <c r="K60">
        <v>767312</v>
      </c>
      <c r="L60" t="s">
        <v>147</v>
      </c>
      <c r="M60" t="s">
        <v>148</v>
      </c>
      <c r="N60" t="s">
        <v>57</v>
      </c>
      <c r="O60" s="1">
        <v>45580</v>
      </c>
      <c r="Q60" s="1">
        <v>45976</v>
      </c>
      <c r="R60" s="2">
        <v>19.309999999999999</v>
      </c>
      <c r="S60">
        <v>1</v>
      </c>
      <c r="T60" t="s">
        <v>58</v>
      </c>
      <c r="U60" t="s">
        <v>180</v>
      </c>
      <c r="V60" s="3">
        <v>0.1</v>
      </c>
      <c r="W60" s="2">
        <v>0</v>
      </c>
      <c r="X60">
        <v>0</v>
      </c>
      <c r="Y60" t="s">
        <v>181</v>
      </c>
      <c r="Z60" t="s">
        <v>182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1.93</v>
      </c>
      <c r="AN60" s="2">
        <v>1.93</v>
      </c>
      <c r="AO60" s="2">
        <v>0</v>
      </c>
      <c r="AP60" s="2">
        <v>0</v>
      </c>
      <c r="AQ60" s="2">
        <v>0</v>
      </c>
    </row>
    <row r="61" spans="1:43" x14ac:dyDescent="0.25">
      <c r="A61" s="1">
        <v>45943</v>
      </c>
      <c r="B61" t="s">
        <v>48</v>
      </c>
      <c r="C61">
        <v>649163</v>
      </c>
      <c r="D61">
        <v>2025721592</v>
      </c>
      <c r="E61" t="s">
        <v>239</v>
      </c>
      <c r="F61" t="s">
        <v>194</v>
      </c>
      <c r="G61" t="s">
        <v>51</v>
      </c>
      <c r="H61" t="s">
        <v>69</v>
      </c>
      <c r="I61" t="s">
        <v>53</v>
      </c>
      <c r="J61" t="s">
        <v>75</v>
      </c>
      <c r="K61">
        <v>796984</v>
      </c>
      <c r="L61" t="s">
        <v>234</v>
      </c>
      <c r="M61" t="s">
        <v>122</v>
      </c>
      <c r="N61" t="s">
        <v>57</v>
      </c>
      <c r="O61" s="1">
        <v>45608</v>
      </c>
      <c r="Q61" s="1">
        <v>45973</v>
      </c>
      <c r="R61" s="2">
        <v>56.03</v>
      </c>
      <c r="S61">
        <v>1</v>
      </c>
      <c r="T61" t="s">
        <v>58</v>
      </c>
      <c r="U61" t="s">
        <v>180</v>
      </c>
      <c r="V61" s="3">
        <v>0.65</v>
      </c>
      <c r="W61" s="2">
        <v>0</v>
      </c>
      <c r="X61">
        <v>0</v>
      </c>
      <c r="Y61" t="s">
        <v>60</v>
      </c>
      <c r="Z61" t="s">
        <v>182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36.42</v>
      </c>
      <c r="AN61" s="2">
        <v>36.42</v>
      </c>
      <c r="AO61" s="2">
        <v>0</v>
      </c>
      <c r="AP61" s="2">
        <v>0</v>
      </c>
      <c r="AQ61" s="2">
        <v>0</v>
      </c>
    </row>
    <row r="62" spans="1:43" x14ac:dyDescent="0.25">
      <c r="A62" s="1">
        <v>45943</v>
      </c>
      <c r="B62" t="s">
        <v>48</v>
      </c>
      <c r="C62">
        <v>649163</v>
      </c>
      <c r="D62">
        <v>2025727309</v>
      </c>
      <c r="E62" t="s">
        <v>240</v>
      </c>
      <c r="F62" t="s">
        <v>241</v>
      </c>
      <c r="G62" t="s">
        <v>51</v>
      </c>
      <c r="H62" t="s">
        <v>69</v>
      </c>
      <c r="I62" t="s">
        <v>53</v>
      </c>
      <c r="J62" t="s">
        <v>75</v>
      </c>
      <c r="K62">
        <v>796984</v>
      </c>
      <c r="L62" t="s">
        <v>234</v>
      </c>
      <c r="M62" t="s">
        <v>122</v>
      </c>
      <c r="N62" t="s">
        <v>57</v>
      </c>
      <c r="O62" s="1">
        <v>45608</v>
      </c>
      <c r="Q62" s="1">
        <v>45973</v>
      </c>
      <c r="R62" s="2">
        <v>42.13</v>
      </c>
      <c r="S62">
        <v>1</v>
      </c>
      <c r="T62" t="s">
        <v>58</v>
      </c>
      <c r="U62" t="s">
        <v>180</v>
      </c>
      <c r="V62" s="3">
        <v>0.65</v>
      </c>
      <c r="W62" s="2">
        <v>0</v>
      </c>
      <c r="X62">
        <v>0</v>
      </c>
      <c r="Y62" t="s">
        <v>60</v>
      </c>
      <c r="Z62" t="s">
        <v>182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27.38</v>
      </c>
      <c r="AN62" s="2">
        <v>27.38</v>
      </c>
      <c r="AO62" s="2">
        <v>0</v>
      </c>
      <c r="AP62" s="2">
        <v>0</v>
      </c>
      <c r="AQ62" s="2">
        <v>0</v>
      </c>
    </row>
    <row r="63" spans="1:43" x14ac:dyDescent="0.25">
      <c r="A63" s="1">
        <v>45943</v>
      </c>
      <c r="B63" t="s">
        <v>48</v>
      </c>
      <c r="C63">
        <v>649163</v>
      </c>
      <c r="D63">
        <v>2026061218</v>
      </c>
      <c r="E63" t="s">
        <v>242</v>
      </c>
      <c r="F63" t="s">
        <v>209</v>
      </c>
      <c r="G63" t="s">
        <v>51</v>
      </c>
      <c r="H63" t="s">
        <v>69</v>
      </c>
      <c r="I63" t="s">
        <v>53</v>
      </c>
      <c r="J63" t="s">
        <v>75</v>
      </c>
      <c r="K63">
        <v>796984</v>
      </c>
      <c r="L63" t="s">
        <v>234</v>
      </c>
      <c r="M63" t="s">
        <v>122</v>
      </c>
      <c r="N63" t="s">
        <v>57</v>
      </c>
      <c r="O63" s="1">
        <v>45641</v>
      </c>
      <c r="Q63" s="1">
        <v>45976</v>
      </c>
      <c r="R63" s="2">
        <v>37.130000000000003</v>
      </c>
      <c r="S63">
        <v>1</v>
      </c>
      <c r="T63" t="s">
        <v>58</v>
      </c>
      <c r="U63" t="s">
        <v>180</v>
      </c>
      <c r="V63" s="3">
        <v>0.65</v>
      </c>
      <c r="W63" s="2">
        <v>0</v>
      </c>
      <c r="X63">
        <v>0</v>
      </c>
      <c r="Y63" t="s">
        <v>60</v>
      </c>
      <c r="Z63" t="s">
        <v>182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24.13</v>
      </c>
      <c r="AN63" s="2">
        <v>24.13</v>
      </c>
      <c r="AO63" s="2">
        <v>0</v>
      </c>
      <c r="AP63" s="2">
        <v>0</v>
      </c>
      <c r="AQ63" s="2">
        <v>0</v>
      </c>
    </row>
    <row r="64" spans="1:43" x14ac:dyDescent="0.25">
      <c r="A64" s="1">
        <v>45943</v>
      </c>
      <c r="B64" t="s">
        <v>48</v>
      </c>
      <c r="C64">
        <v>649163</v>
      </c>
      <c r="D64">
        <v>2026111642</v>
      </c>
      <c r="E64" t="s">
        <v>243</v>
      </c>
      <c r="F64" t="s">
        <v>244</v>
      </c>
      <c r="G64" t="s">
        <v>51</v>
      </c>
      <c r="H64" t="s">
        <v>69</v>
      </c>
      <c r="I64" t="s">
        <v>53</v>
      </c>
      <c r="J64" t="s">
        <v>75</v>
      </c>
      <c r="K64">
        <v>796984</v>
      </c>
      <c r="L64" t="s">
        <v>234</v>
      </c>
      <c r="M64" t="s">
        <v>122</v>
      </c>
      <c r="N64" t="s">
        <v>57</v>
      </c>
      <c r="O64" s="1">
        <v>45641</v>
      </c>
      <c r="Q64" s="1">
        <v>45976</v>
      </c>
      <c r="R64" s="2">
        <v>58.48</v>
      </c>
      <c r="S64">
        <v>1</v>
      </c>
      <c r="T64" t="s">
        <v>58</v>
      </c>
      <c r="U64" t="s">
        <v>180</v>
      </c>
      <c r="V64" s="3">
        <v>0.65</v>
      </c>
      <c r="W64" s="2">
        <v>0</v>
      </c>
      <c r="X64">
        <v>0</v>
      </c>
      <c r="Y64" t="s">
        <v>60</v>
      </c>
      <c r="Z64" t="s">
        <v>182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38.01</v>
      </c>
      <c r="AN64" s="2">
        <v>38.01</v>
      </c>
      <c r="AO64" s="2">
        <v>0</v>
      </c>
      <c r="AP64" s="2">
        <v>0</v>
      </c>
      <c r="AQ64" s="2">
        <v>0</v>
      </c>
    </row>
    <row r="65" spans="1:43" x14ac:dyDescent="0.25">
      <c r="A65" s="1">
        <v>45943</v>
      </c>
      <c r="B65" t="s">
        <v>48</v>
      </c>
      <c r="C65">
        <v>649163</v>
      </c>
      <c r="D65">
        <v>2026133999</v>
      </c>
      <c r="E65" t="s">
        <v>234</v>
      </c>
      <c r="F65" t="s">
        <v>245</v>
      </c>
      <c r="G65" t="s">
        <v>51</v>
      </c>
      <c r="H65" t="s">
        <v>69</v>
      </c>
      <c r="I65" t="s">
        <v>53</v>
      </c>
      <c r="J65" t="s">
        <v>75</v>
      </c>
      <c r="K65">
        <v>816021</v>
      </c>
      <c r="L65" t="s">
        <v>71</v>
      </c>
      <c r="M65" t="s">
        <v>72</v>
      </c>
      <c r="N65" t="s">
        <v>57</v>
      </c>
      <c r="O65" s="1">
        <v>45638</v>
      </c>
      <c r="Q65" s="1">
        <v>45973</v>
      </c>
      <c r="R65" s="2">
        <v>100.33</v>
      </c>
      <c r="S65">
        <v>1</v>
      </c>
      <c r="T65" t="s">
        <v>58</v>
      </c>
      <c r="U65" t="s">
        <v>180</v>
      </c>
      <c r="V65" s="3">
        <v>0.65</v>
      </c>
      <c r="W65" s="2">
        <v>0</v>
      </c>
      <c r="X65">
        <v>0</v>
      </c>
      <c r="Y65" t="s">
        <v>60</v>
      </c>
      <c r="Z65" t="s">
        <v>182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65.209999999999994</v>
      </c>
      <c r="AN65" s="2">
        <v>65.209999999999994</v>
      </c>
      <c r="AO65" s="2">
        <v>0</v>
      </c>
      <c r="AP65" s="2">
        <v>0</v>
      </c>
      <c r="AQ65" s="2">
        <v>0</v>
      </c>
    </row>
    <row r="66" spans="1:43" x14ac:dyDescent="0.25">
      <c r="A66" s="1">
        <v>45943</v>
      </c>
      <c r="B66" t="s">
        <v>48</v>
      </c>
      <c r="C66">
        <v>649163</v>
      </c>
      <c r="D66">
        <v>2026180758</v>
      </c>
      <c r="E66" t="s">
        <v>246</v>
      </c>
      <c r="F66" t="s">
        <v>247</v>
      </c>
      <c r="G66" t="s">
        <v>51</v>
      </c>
      <c r="H66" t="s">
        <v>69</v>
      </c>
      <c r="I66" t="s">
        <v>53</v>
      </c>
      <c r="J66" t="s">
        <v>75</v>
      </c>
      <c r="K66">
        <v>816021</v>
      </c>
      <c r="L66" t="s">
        <v>71</v>
      </c>
      <c r="M66" t="s">
        <v>72</v>
      </c>
      <c r="N66" t="s">
        <v>57</v>
      </c>
      <c r="O66" s="1">
        <v>45641</v>
      </c>
      <c r="Q66" s="1">
        <v>45976</v>
      </c>
      <c r="R66" s="2">
        <v>18.7</v>
      </c>
      <c r="S66">
        <v>1</v>
      </c>
      <c r="T66" t="s">
        <v>58</v>
      </c>
      <c r="U66" t="s">
        <v>180</v>
      </c>
      <c r="V66" s="3">
        <v>0.65</v>
      </c>
      <c r="W66" s="2">
        <v>0</v>
      </c>
      <c r="X66">
        <v>0</v>
      </c>
      <c r="Y66" t="s">
        <v>60</v>
      </c>
      <c r="Z66" t="s">
        <v>182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12.16</v>
      </c>
      <c r="AN66" s="2">
        <v>12.16</v>
      </c>
      <c r="AO66" s="2">
        <v>0</v>
      </c>
      <c r="AP66" s="2">
        <v>0</v>
      </c>
      <c r="AQ66" s="2">
        <v>0</v>
      </c>
    </row>
    <row r="67" spans="1:43" x14ac:dyDescent="0.25">
      <c r="A67" s="1">
        <v>45943</v>
      </c>
      <c r="B67" t="s">
        <v>48</v>
      </c>
      <c r="C67">
        <v>649163</v>
      </c>
      <c r="D67">
        <v>2026184418</v>
      </c>
      <c r="E67" t="s">
        <v>248</v>
      </c>
      <c r="F67" t="s">
        <v>249</v>
      </c>
      <c r="G67" t="s">
        <v>51</v>
      </c>
      <c r="H67" t="s">
        <v>69</v>
      </c>
      <c r="I67" t="s">
        <v>53</v>
      </c>
      <c r="J67" t="s">
        <v>75</v>
      </c>
      <c r="K67">
        <v>816021</v>
      </c>
      <c r="L67" t="s">
        <v>71</v>
      </c>
      <c r="M67" t="s">
        <v>72</v>
      </c>
      <c r="N67" t="s">
        <v>57</v>
      </c>
      <c r="O67" s="1">
        <v>45641</v>
      </c>
      <c r="Q67" s="1">
        <v>45976</v>
      </c>
      <c r="R67" s="2">
        <v>45.51</v>
      </c>
      <c r="S67">
        <v>1</v>
      </c>
      <c r="T67" t="s">
        <v>58</v>
      </c>
      <c r="U67" t="s">
        <v>180</v>
      </c>
      <c r="V67" s="3">
        <v>0.65</v>
      </c>
      <c r="W67" s="2">
        <v>0</v>
      </c>
      <c r="X67">
        <v>0</v>
      </c>
      <c r="Y67" t="s">
        <v>60</v>
      </c>
      <c r="Z67" t="s">
        <v>182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29.58</v>
      </c>
      <c r="AN67" s="2">
        <v>29.58</v>
      </c>
      <c r="AO67" s="2">
        <v>0</v>
      </c>
      <c r="AP67" s="2">
        <v>0</v>
      </c>
      <c r="AQ67" s="2">
        <v>0</v>
      </c>
    </row>
    <row r="68" spans="1:43" x14ac:dyDescent="0.25">
      <c r="A68" s="1">
        <v>45943</v>
      </c>
      <c r="B68" t="s">
        <v>48</v>
      </c>
      <c r="C68">
        <v>649163</v>
      </c>
      <c r="D68">
        <v>2026581911</v>
      </c>
      <c r="E68" t="s">
        <v>250</v>
      </c>
      <c r="F68" t="s">
        <v>251</v>
      </c>
      <c r="G68" t="s">
        <v>51</v>
      </c>
      <c r="H68" t="s">
        <v>91</v>
      </c>
      <c r="I68" t="s">
        <v>53</v>
      </c>
      <c r="J68" t="s">
        <v>70</v>
      </c>
      <c r="K68">
        <v>767312</v>
      </c>
      <c r="L68" t="s">
        <v>147</v>
      </c>
      <c r="M68" t="s">
        <v>148</v>
      </c>
      <c r="N68" t="s">
        <v>57</v>
      </c>
      <c r="O68" s="1">
        <v>45672</v>
      </c>
      <c r="Q68" s="1">
        <v>45976</v>
      </c>
      <c r="R68" s="2">
        <v>76.959999999999994</v>
      </c>
      <c r="S68">
        <v>1</v>
      </c>
      <c r="T68" t="s">
        <v>58</v>
      </c>
      <c r="U68" t="s">
        <v>180</v>
      </c>
      <c r="V68" s="3">
        <v>0.9</v>
      </c>
      <c r="W68" s="2">
        <v>0</v>
      </c>
      <c r="X68">
        <v>0</v>
      </c>
      <c r="Y68" t="s">
        <v>60</v>
      </c>
      <c r="Z68" t="s">
        <v>182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69.260000000000005</v>
      </c>
      <c r="AN68" s="2">
        <v>69.260000000000005</v>
      </c>
      <c r="AO68" s="2">
        <v>0</v>
      </c>
      <c r="AP68" s="2">
        <v>0</v>
      </c>
      <c r="AQ68" s="2">
        <v>0</v>
      </c>
    </row>
    <row r="69" spans="1:43" x14ac:dyDescent="0.25">
      <c r="A69" s="1">
        <v>45943</v>
      </c>
      <c r="B69" t="s">
        <v>48</v>
      </c>
      <c r="C69">
        <v>649163</v>
      </c>
      <c r="D69">
        <v>2026617754</v>
      </c>
      <c r="E69" t="s">
        <v>250</v>
      </c>
      <c r="F69" t="s">
        <v>148</v>
      </c>
      <c r="G69" t="s">
        <v>51</v>
      </c>
      <c r="H69" t="s">
        <v>91</v>
      </c>
      <c r="I69" t="s">
        <v>53</v>
      </c>
      <c r="J69" t="s">
        <v>70</v>
      </c>
      <c r="K69">
        <v>767312</v>
      </c>
      <c r="L69" t="s">
        <v>147</v>
      </c>
      <c r="M69" t="s">
        <v>148</v>
      </c>
      <c r="N69" t="s">
        <v>57</v>
      </c>
      <c r="O69" s="1">
        <v>45673</v>
      </c>
      <c r="Q69" s="1">
        <v>45977</v>
      </c>
      <c r="R69" s="2">
        <v>72.290000000000006</v>
      </c>
      <c r="S69">
        <v>1</v>
      </c>
      <c r="T69" t="s">
        <v>58</v>
      </c>
      <c r="U69" t="s">
        <v>180</v>
      </c>
      <c r="V69" s="3">
        <v>0.9</v>
      </c>
      <c r="W69" s="2">
        <v>0</v>
      </c>
      <c r="X69">
        <v>0</v>
      </c>
      <c r="Y69" t="s">
        <v>60</v>
      </c>
      <c r="Z69" t="s">
        <v>182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65.06</v>
      </c>
      <c r="AN69" s="2">
        <v>65.06</v>
      </c>
      <c r="AO69" s="2">
        <v>0</v>
      </c>
      <c r="AP69" s="2">
        <v>0</v>
      </c>
      <c r="AQ69" s="2">
        <v>0</v>
      </c>
    </row>
    <row r="70" spans="1:43" x14ac:dyDescent="0.25">
      <c r="A70" s="1">
        <v>45943</v>
      </c>
      <c r="B70" t="s">
        <v>48</v>
      </c>
      <c r="C70">
        <v>649163</v>
      </c>
      <c r="D70">
        <v>2027038281</v>
      </c>
      <c r="E70" t="s">
        <v>252</v>
      </c>
      <c r="F70" t="s">
        <v>253</v>
      </c>
      <c r="G70" t="s">
        <v>51</v>
      </c>
      <c r="H70" t="s">
        <v>69</v>
      </c>
      <c r="I70" t="s">
        <v>53</v>
      </c>
      <c r="J70" t="s">
        <v>75</v>
      </c>
      <c r="K70">
        <v>816021</v>
      </c>
      <c r="L70" t="s">
        <v>71</v>
      </c>
      <c r="M70" t="s">
        <v>72</v>
      </c>
      <c r="N70" t="s">
        <v>57</v>
      </c>
      <c r="O70" s="1">
        <v>45699</v>
      </c>
      <c r="Q70" s="1">
        <v>45972</v>
      </c>
      <c r="R70" s="2">
        <v>48.33</v>
      </c>
      <c r="S70">
        <v>1</v>
      </c>
      <c r="T70" t="s">
        <v>58</v>
      </c>
      <c r="U70" t="s">
        <v>180</v>
      </c>
      <c r="V70" s="3">
        <v>0.65</v>
      </c>
      <c r="W70" s="2">
        <v>0</v>
      </c>
      <c r="X70">
        <v>0</v>
      </c>
      <c r="Y70" t="s">
        <v>60</v>
      </c>
      <c r="Z70" t="s">
        <v>182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31.41</v>
      </c>
      <c r="AN70" s="2">
        <v>31.41</v>
      </c>
      <c r="AO70" s="2">
        <v>0</v>
      </c>
      <c r="AP70" s="2">
        <v>0</v>
      </c>
      <c r="AQ70" s="2">
        <v>0</v>
      </c>
    </row>
    <row r="71" spans="1:43" x14ac:dyDescent="0.25">
      <c r="A71" s="1">
        <v>45943</v>
      </c>
      <c r="B71" t="s">
        <v>48</v>
      </c>
      <c r="C71">
        <v>649163</v>
      </c>
      <c r="D71">
        <v>2027064141</v>
      </c>
      <c r="E71" t="s">
        <v>254</v>
      </c>
      <c r="F71" t="s">
        <v>56</v>
      </c>
      <c r="G71" t="s">
        <v>51</v>
      </c>
      <c r="H71" t="s">
        <v>219</v>
      </c>
      <c r="I71" t="s">
        <v>53</v>
      </c>
      <c r="J71" t="s">
        <v>232</v>
      </c>
      <c r="K71">
        <v>673059</v>
      </c>
      <c r="L71" t="s">
        <v>55</v>
      </c>
      <c r="M71" t="s">
        <v>56</v>
      </c>
      <c r="N71" t="s">
        <v>57</v>
      </c>
      <c r="O71" s="1">
        <v>45700</v>
      </c>
      <c r="Q71" s="1">
        <v>45973</v>
      </c>
      <c r="R71" s="2">
        <v>94.38</v>
      </c>
      <c r="S71">
        <v>1</v>
      </c>
      <c r="T71" t="s">
        <v>58</v>
      </c>
      <c r="U71" t="s">
        <v>180</v>
      </c>
      <c r="V71" s="3">
        <v>0.75</v>
      </c>
      <c r="W71" s="2">
        <v>0</v>
      </c>
      <c r="X71">
        <v>0</v>
      </c>
      <c r="Y71" t="s">
        <v>60</v>
      </c>
      <c r="Z71" t="s">
        <v>182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70.78</v>
      </c>
      <c r="AN71" s="2">
        <v>70.78</v>
      </c>
      <c r="AO71" s="2">
        <v>0</v>
      </c>
      <c r="AP71" s="2">
        <v>0</v>
      </c>
      <c r="AQ71" s="2">
        <v>0</v>
      </c>
    </row>
    <row r="72" spans="1:43" x14ac:dyDescent="0.25">
      <c r="A72" s="1">
        <v>45943</v>
      </c>
      <c r="B72" t="s">
        <v>48</v>
      </c>
      <c r="C72">
        <v>649163</v>
      </c>
      <c r="D72">
        <v>2027115500</v>
      </c>
      <c r="E72" t="s">
        <v>255</v>
      </c>
      <c r="F72" t="s">
        <v>256</v>
      </c>
      <c r="G72" t="s">
        <v>51</v>
      </c>
      <c r="H72" t="s">
        <v>78</v>
      </c>
      <c r="I72" t="s">
        <v>53</v>
      </c>
      <c r="J72" t="s">
        <v>70</v>
      </c>
      <c r="K72">
        <v>768887</v>
      </c>
      <c r="L72" t="s">
        <v>139</v>
      </c>
      <c r="M72" t="s">
        <v>140</v>
      </c>
      <c r="N72" t="s">
        <v>57</v>
      </c>
      <c r="O72" s="1">
        <v>45703</v>
      </c>
      <c r="Q72" s="1">
        <v>45976</v>
      </c>
      <c r="R72" s="2">
        <v>13.92</v>
      </c>
      <c r="S72">
        <v>1</v>
      </c>
      <c r="T72" t="s">
        <v>58</v>
      </c>
      <c r="U72" t="s">
        <v>180</v>
      </c>
      <c r="V72" s="3">
        <v>0.9</v>
      </c>
      <c r="W72" s="2">
        <v>0</v>
      </c>
      <c r="X72">
        <v>0</v>
      </c>
      <c r="Y72" t="s">
        <v>60</v>
      </c>
      <c r="Z72" t="s">
        <v>182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12.53</v>
      </c>
      <c r="AN72" s="2">
        <v>12.53</v>
      </c>
      <c r="AO72" s="2">
        <v>0</v>
      </c>
      <c r="AP72" s="2">
        <v>0</v>
      </c>
      <c r="AQ72" s="2">
        <v>0</v>
      </c>
    </row>
    <row r="73" spans="1:43" x14ac:dyDescent="0.25">
      <c r="A73" s="1">
        <v>45943</v>
      </c>
      <c r="B73" t="s">
        <v>48</v>
      </c>
      <c r="C73">
        <v>649163</v>
      </c>
      <c r="D73">
        <v>2028219139</v>
      </c>
      <c r="E73" t="s">
        <v>257</v>
      </c>
      <c r="F73" t="s">
        <v>258</v>
      </c>
      <c r="G73" t="s">
        <v>51</v>
      </c>
      <c r="H73" t="s">
        <v>91</v>
      </c>
      <c r="I73" t="s">
        <v>53</v>
      </c>
      <c r="J73" t="s">
        <v>70</v>
      </c>
      <c r="K73">
        <v>753748</v>
      </c>
      <c r="L73" t="s">
        <v>168</v>
      </c>
      <c r="M73" t="s">
        <v>169</v>
      </c>
      <c r="N73" t="s">
        <v>57</v>
      </c>
      <c r="O73" s="1">
        <v>45790</v>
      </c>
      <c r="Q73" s="1">
        <v>45974</v>
      </c>
      <c r="R73" s="2">
        <v>234.5</v>
      </c>
      <c r="S73">
        <v>1</v>
      </c>
      <c r="T73" t="s">
        <v>58</v>
      </c>
      <c r="U73" t="s">
        <v>180</v>
      </c>
      <c r="V73" s="3">
        <v>0.9</v>
      </c>
      <c r="W73" s="2">
        <v>0</v>
      </c>
      <c r="X73">
        <v>0</v>
      </c>
      <c r="Y73" t="s">
        <v>60</v>
      </c>
      <c r="Z73" t="s">
        <v>182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211.05</v>
      </c>
      <c r="AN73" s="2">
        <v>211.05</v>
      </c>
      <c r="AO73" s="2">
        <v>0</v>
      </c>
      <c r="AP73" s="2">
        <v>0</v>
      </c>
      <c r="AQ73" s="2">
        <v>0</v>
      </c>
    </row>
    <row r="74" spans="1:43" x14ac:dyDescent="0.25">
      <c r="A74" s="1">
        <v>45943</v>
      </c>
      <c r="B74" t="s">
        <v>48</v>
      </c>
      <c r="C74">
        <v>649163</v>
      </c>
      <c r="D74">
        <v>2028303459</v>
      </c>
      <c r="E74" t="s">
        <v>212</v>
      </c>
      <c r="F74" t="s">
        <v>259</v>
      </c>
      <c r="G74" t="s">
        <v>51</v>
      </c>
      <c r="H74" t="s">
        <v>185</v>
      </c>
      <c r="I74" t="s">
        <v>53</v>
      </c>
      <c r="J74" t="s">
        <v>232</v>
      </c>
      <c r="K74">
        <v>651818</v>
      </c>
      <c r="L74" t="s">
        <v>260</v>
      </c>
      <c r="M74" t="s">
        <v>261</v>
      </c>
      <c r="N74" t="s">
        <v>57</v>
      </c>
      <c r="O74" s="1">
        <v>45762</v>
      </c>
      <c r="Q74" s="1">
        <v>45976</v>
      </c>
      <c r="R74" s="2">
        <v>132.5</v>
      </c>
      <c r="S74">
        <v>1</v>
      </c>
      <c r="T74" t="s">
        <v>58</v>
      </c>
      <c r="U74" t="s">
        <v>180</v>
      </c>
      <c r="V74" s="3">
        <v>0.75</v>
      </c>
      <c r="W74" s="2">
        <v>0</v>
      </c>
      <c r="X74">
        <v>0</v>
      </c>
      <c r="Y74" t="s">
        <v>60</v>
      </c>
      <c r="Z74" t="s">
        <v>182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99.38</v>
      </c>
      <c r="AN74" s="2">
        <v>99.38</v>
      </c>
      <c r="AO74" s="2">
        <v>0</v>
      </c>
      <c r="AP74" s="2">
        <v>0</v>
      </c>
      <c r="AQ74" s="2">
        <v>0</v>
      </c>
    </row>
    <row r="75" spans="1:43" x14ac:dyDescent="0.25">
      <c r="A75" s="1">
        <v>45943</v>
      </c>
      <c r="B75" t="s">
        <v>48</v>
      </c>
      <c r="C75">
        <v>649163</v>
      </c>
      <c r="D75">
        <v>2028367117</v>
      </c>
      <c r="E75" t="s">
        <v>262</v>
      </c>
      <c r="F75" t="s">
        <v>263</v>
      </c>
      <c r="G75" t="s">
        <v>51</v>
      </c>
      <c r="H75" t="s">
        <v>52</v>
      </c>
      <c r="I75" t="s">
        <v>53</v>
      </c>
      <c r="J75" t="s">
        <v>70</v>
      </c>
      <c r="K75">
        <v>673059</v>
      </c>
      <c r="L75" t="s">
        <v>55</v>
      </c>
      <c r="M75" t="s">
        <v>56</v>
      </c>
      <c r="N75" t="s">
        <v>57</v>
      </c>
      <c r="O75" s="1">
        <v>45759</v>
      </c>
      <c r="Q75" s="1">
        <v>45973</v>
      </c>
      <c r="R75" s="2">
        <v>27.71</v>
      </c>
      <c r="S75">
        <v>1</v>
      </c>
      <c r="T75" t="s">
        <v>58</v>
      </c>
      <c r="U75" t="s">
        <v>180</v>
      </c>
      <c r="V75" s="3">
        <v>0.9</v>
      </c>
      <c r="W75" s="2">
        <v>0</v>
      </c>
      <c r="X75">
        <v>0</v>
      </c>
      <c r="Y75" t="s">
        <v>60</v>
      </c>
      <c r="Z75" t="s">
        <v>182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24.94</v>
      </c>
      <c r="AN75" s="2">
        <v>24.94</v>
      </c>
      <c r="AO75" s="2">
        <v>0</v>
      </c>
      <c r="AP75" s="2">
        <v>0</v>
      </c>
      <c r="AQ75" s="2">
        <v>0</v>
      </c>
    </row>
    <row r="76" spans="1:43" x14ac:dyDescent="0.25">
      <c r="A76" s="1">
        <v>45943</v>
      </c>
      <c r="B76" t="s">
        <v>48</v>
      </c>
      <c r="C76">
        <v>649163</v>
      </c>
      <c r="D76">
        <v>2028379894</v>
      </c>
      <c r="E76" t="s">
        <v>264</v>
      </c>
      <c r="F76" t="s">
        <v>265</v>
      </c>
      <c r="G76" t="s">
        <v>51</v>
      </c>
      <c r="H76" t="s">
        <v>91</v>
      </c>
      <c r="I76" t="s">
        <v>53</v>
      </c>
      <c r="J76" t="s">
        <v>232</v>
      </c>
      <c r="K76">
        <v>822865</v>
      </c>
      <c r="L76" t="s">
        <v>266</v>
      </c>
      <c r="M76" t="s">
        <v>267</v>
      </c>
      <c r="N76" t="s">
        <v>57</v>
      </c>
      <c r="O76" s="1">
        <v>45760</v>
      </c>
      <c r="Q76" s="1">
        <v>45974</v>
      </c>
      <c r="R76" s="2">
        <v>81.099999999999994</v>
      </c>
      <c r="S76">
        <v>1</v>
      </c>
      <c r="T76" t="s">
        <v>58</v>
      </c>
      <c r="U76" t="s">
        <v>180</v>
      </c>
      <c r="V76" s="3">
        <v>0.75</v>
      </c>
      <c r="W76" s="2">
        <v>0</v>
      </c>
      <c r="X76">
        <v>0</v>
      </c>
      <c r="Y76" t="s">
        <v>60</v>
      </c>
      <c r="Z76" t="s">
        <v>182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60.82</v>
      </c>
      <c r="AN76" s="2">
        <v>60.82</v>
      </c>
      <c r="AO76" s="2">
        <v>0</v>
      </c>
      <c r="AP76" s="2">
        <v>0</v>
      </c>
      <c r="AQ76" s="2">
        <v>0</v>
      </c>
    </row>
    <row r="77" spans="1:43" x14ac:dyDescent="0.25">
      <c r="A77" s="1">
        <v>45943</v>
      </c>
      <c r="B77" t="s">
        <v>48</v>
      </c>
      <c r="C77">
        <v>649163</v>
      </c>
      <c r="D77">
        <v>2028935096</v>
      </c>
      <c r="E77" t="s">
        <v>268</v>
      </c>
      <c r="F77" t="s">
        <v>269</v>
      </c>
      <c r="G77" t="s">
        <v>51</v>
      </c>
      <c r="H77" t="s">
        <v>225</v>
      </c>
      <c r="I77" t="s">
        <v>53</v>
      </c>
      <c r="J77" t="s">
        <v>54</v>
      </c>
      <c r="K77">
        <v>821015</v>
      </c>
      <c r="L77" t="s">
        <v>135</v>
      </c>
      <c r="M77" t="s">
        <v>136</v>
      </c>
      <c r="N77" t="s">
        <v>57</v>
      </c>
      <c r="O77" s="1">
        <v>45792</v>
      </c>
      <c r="Q77" s="1">
        <v>45976</v>
      </c>
      <c r="R77" s="2">
        <v>50.98</v>
      </c>
      <c r="S77">
        <v>1</v>
      </c>
      <c r="T77" t="s">
        <v>58</v>
      </c>
      <c r="U77" t="s">
        <v>180</v>
      </c>
      <c r="V77" s="3">
        <v>0.75</v>
      </c>
      <c r="W77" s="2">
        <v>0</v>
      </c>
      <c r="X77">
        <v>0</v>
      </c>
      <c r="Y77" t="s">
        <v>60</v>
      </c>
      <c r="Z77" t="s">
        <v>182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38.24</v>
      </c>
      <c r="AN77" s="2">
        <v>38.24</v>
      </c>
      <c r="AO77" s="2">
        <v>0</v>
      </c>
      <c r="AP77" s="2">
        <v>0</v>
      </c>
      <c r="AQ77" s="2">
        <v>0</v>
      </c>
    </row>
    <row r="78" spans="1:43" x14ac:dyDescent="0.25">
      <c r="A78" s="1">
        <v>45943</v>
      </c>
      <c r="B78" t="s">
        <v>48</v>
      </c>
      <c r="C78">
        <v>649163</v>
      </c>
      <c r="D78">
        <v>2028941656</v>
      </c>
      <c r="E78" t="s">
        <v>270</v>
      </c>
      <c r="F78" t="s">
        <v>271</v>
      </c>
      <c r="G78" t="s">
        <v>51</v>
      </c>
      <c r="H78" t="s">
        <v>272</v>
      </c>
      <c r="I78" t="s">
        <v>53</v>
      </c>
      <c r="J78" t="s">
        <v>70</v>
      </c>
      <c r="K78">
        <v>822723</v>
      </c>
      <c r="L78" t="s">
        <v>273</v>
      </c>
      <c r="M78" t="s">
        <v>274</v>
      </c>
      <c r="N78" t="s">
        <v>57</v>
      </c>
      <c r="O78" s="1">
        <v>45792</v>
      </c>
      <c r="Q78" s="1">
        <v>45976</v>
      </c>
      <c r="R78" s="2">
        <v>143.63</v>
      </c>
      <c r="S78">
        <v>1</v>
      </c>
      <c r="T78" t="s">
        <v>58</v>
      </c>
      <c r="U78" t="s">
        <v>180</v>
      </c>
      <c r="V78" s="3">
        <v>0.9</v>
      </c>
      <c r="W78" s="2">
        <v>0</v>
      </c>
      <c r="X78">
        <v>0</v>
      </c>
      <c r="Y78" t="s">
        <v>60</v>
      </c>
      <c r="Z78" t="s">
        <v>182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129.27000000000001</v>
      </c>
      <c r="AN78" s="2">
        <v>129.27000000000001</v>
      </c>
      <c r="AO78" s="2">
        <v>0</v>
      </c>
      <c r="AP78" s="2">
        <v>0</v>
      </c>
      <c r="AQ78" s="2">
        <v>0</v>
      </c>
    </row>
    <row r="79" spans="1:43" x14ac:dyDescent="0.25">
      <c r="A79" s="1">
        <v>45943</v>
      </c>
      <c r="B79" t="s">
        <v>48</v>
      </c>
      <c r="C79">
        <v>649163</v>
      </c>
      <c r="D79">
        <v>2028958358</v>
      </c>
      <c r="E79" t="s">
        <v>275</v>
      </c>
      <c r="F79" t="s">
        <v>276</v>
      </c>
      <c r="G79" t="s">
        <v>51</v>
      </c>
      <c r="H79" t="s">
        <v>78</v>
      </c>
      <c r="I79" t="s">
        <v>53</v>
      </c>
      <c r="J79" t="s">
        <v>70</v>
      </c>
      <c r="K79">
        <v>673059</v>
      </c>
      <c r="L79" t="s">
        <v>55</v>
      </c>
      <c r="M79" t="s">
        <v>56</v>
      </c>
      <c r="N79" t="s">
        <v>57</v>
      </c>
      <c r="O79" s="1">
        <v>45793</v>
      </c>
      <c r="Q79" s="1">
        <v>45977</v>
      </c>
      <c r="R79" s="2">
        <v>50.96</v>
      </c>
      <c r="S79">
        <v>1</v>
      </c>
      <c r="T79" t="s">
        <v>58</v>
      </c>
      <c r="U79" t="s">
        <v>180</v>
      </c>
      <c r="V79" s="3">
        <v>0.9</v>
      </c>
      <c r="W79" s="2">
        <v>0</v>
      </c>
      <c r="X79">
        <v>0</v>
      </c>
      <c r="Y79" t="s">
        <v>60</v>
      </c>
      <c r="Z79" t="s">
        <v>182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45.86</v>
      </c>
      <c r="AN79" s="2">
        <v>45.86</v>
      </c>
      <c r="AO79" s="2">
        <v>0</v>
      </c>
      <c r="AP79" s="2">
        <v>0</v>
      </c>
      <c r="AQ79" s="2">
        <v>0</v>
      </c>
    </row>
    <row r="80" spans="1:43" x14ac:dyDescent="0.25">
      <c r="A80" s="1">
        <v>45943</v>
      </c>
      <c r="B80" t="s">
        <v>48</v>
      </c>
      <c r="C80">
        <v>649163</v>
      </c>
      <c r="D80">
        <v>2028965775</v>
      </c>
      <c r="E80" t="s">
        <v>277</v>
      </c>
      <c r="F80" t="s">
        <v>278</v>
      </c>
      <c r="G80" t="s">
        <v>51</v>
      </c>
      <c r="H80" t="s">
        <v>78</v>
      </c>
      <c r="I80" t="s">
        <v>53</v>
      </c>
      <c r="J80" t="s">
        <v>54</v>
      </c>
      <c r="K80">
        <v>792847</v>
      </c>
      <c r="L80" t="s">
        <v>277</v>
      </c>
      <c r="M80" t="s">
        <v>279</v>
      </c>
      <c r="N80" t="s">
        <v>57</v>
      </c>
      <c r="O80" s="1">
        <v>45793</v>
      </c>
      <c r="Q80" s="1">
        <v>45977</v>
      </c>
      <c r="R80" s="2">
        <v>19.3</v>
      </c>
      <c r="S80">
        <v>1</v>
      </c>
      <c r="T80" t="s">
        <v>58</v>
      </c>
      <c r="U80" t="s">
        <v>180</v>
      </c>
      <c r="V80" s="3">
        <v>0.75</v>
      </c>
      <c r="W80" s="2">
        <v>0</v>
      </c>
      <c r="X80">
        <v>0</v>
      </c>
      <c r="Y80" t="s">
        <v>60</v>
      </c>
      <c r="Z80" t="s">
        <v>182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14.48</v>
      </c>
      <c r="AN80" s="2">
        <v>14.48</v>
      </c>
      <c r="AO80" s="2">
        <v>0</v>
      </c>
      <c r="AP80" s="2">
        <v>0</v>
      </c>
      <c r="AQ80" s="2">
        <v>0</v>
      </c>
    </row>
    <row r="81" spans="1:43" x14ac:dyDescent="0.25">
      <c r="A81" s="1">
        <v>45943</v>
      </c>
      <c r="B81" t="s">
        <v>48</v>
      </c>
      <c r="C81">
        <v>649163</v>
      </c>
      <c r="D81">
        <v>2028965806</v>
      </c>
      <c r="E81" t="s">
        <v>277</v>
      </c>
      <c r="F81" t="s">
        <v>280</v>
      </c>
      <c r="G81" t="s">
        <v>51</v>
      </c>
      <c r="H81" t="s">
        <v>281</v>
      </c>
      <c r="I81" t="s">
        <v>53</v>
      </c>
      <c r="J81" t="s">
        <v>54</v>
      </c>
      <c r="K81">
        <v>792847</v>
      </c>
      <c r="L81" t="s">
        <v>277</v>
      </c>
      <c r="M81" t="s">
        <v>279</v>
      </c>
      <c r="N81" t="s">
        <v>57</v>
      </c>
      <c r="O81" s="1">
        <v>45793</v>
      </c>
      <c r="Q81" s="1">
        <v>45977</v>
      </c>
      <c r="R81" s="2">
        <v>73.42</v>
      </c>
      <c r="S81">
        <v>1</v>
      </c>
      <c r="T81" t="s">
        <v>58</v>
      </c>
      <c r="U81" t="s">
        <v>180</v>
      </c>
      <c r="V81" s="3">
        <v>0.75</v>
      </c>
      <c r="W81" s="2">
        <v>0</v>
      </c>
      <c r="X81">
        <v>0</v>
      </c>
      <c r="Y81" t="s">
        <v>60</v>
      </c>
      <c r="Z81" t="s">
        <v>182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55.06</v>
      </c>
      <c r="AN81" s="2">
        <v>55.06</v>
      </c>
      <c r="AO81" s="2">
        <v>0</v>
      </c>
      <c r="AP81" s="2">
        <v>0</v>
      </c>
      <c r="AQ81" s="2">
        <v>0</v>
      </c>
    </row>
    <row r="82" spans="1:43" x14ac:dyDescent="0.25">
      <c r="A82" s="1">
        <v>45943</v>
      </c>
      <c r="B82" t="s">
        <v>48</v>
      </c>
      <c r="C82">
        <v>649163</v>
      </c>
      <c r="D82">
        <v>2029177109</v>
      </c>
      <c r="E82" t="s">
        <v>282</v>
      </c>
      <c r="F82" t="s">
        <v>283</v>
      </c>
      <c r="G82" t="s">
        <v>51</v>
      </c>
      <c r="H82" t="s">
        <v>78</v>
      </c>
      <c r="I82" t="s">
        <v>53</v>
      </c>
      <c r="J82" t="s">
        <v>54</v>
      </c>
      <c r="K82">
        <v>820873</v>
      </c>
      <c r="L82" t="s">
        <v>284</v>
      </c>
      <c r="M82" t="s">
        <v>285</v>
      </c>
      <c r="N82" t="s">
        <v>179</v>
      </c>
      <c r="O82" s="1">
        <v>45809</v>
      </c>
      <c r="P82" s="1">
        <v>45943</v>
      </c>
      <c r="Q82" s="1">
        <v>45962</v>
      </c>
      <c r="R82" s="2">
        <v>-72.73</v>
      </c>
      <c r="S82">
        <v>1</v>
      </c>
      <c r="T82" t="s">
        <v>58</v>
      </c>
      <c r="U82" t="s">
        <v>180</v>
      </c>
      <c r="V82" s="3">
        <v>0.75</v>
      </c>
      <c r="W82" s="2">
        <v>0</v>
      </c>
      <c r="X82">
        <v>-1</v>
      </c>
      <c r="Y82" t="s">
        <v>60</v>
      </c>
      <c r="Z82" t="s">
        <v>182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-54.55</v>
      </c>
      <c r="AN82" s="2">
        <v>-54.55</v>
      </c>
      <c r="AO82" s="2">
        <v>0</v>
      </c>
      <c r="AP82" s="2">
        <v>0</v>
      </c>
      <c r="AQ82" s="2">
        <v>0</v>
      </c>
    </row>
    <row r="83" spans="1:43" x14ac:dyDescent="0.25">
      <c r="A83" s="1">
        <v>45943</v>
      </c>
      <c r="B83" t="s">
        <v>48</v>
      </c>
      <c r="C83">
        <v>649163</v>
      </c>
      <c r="D83">
        <v>2029177109</v>
      </c>
      <c r="E83" t="s">
        <v>282</v>
      </c>
      <c r="F83" t="s">
        <v>283</v>
      </c>
      <c r="G83" t="s">
        <v>51</v>
      </c>
      <c r="H83" t="s">
        <v>78</v>
      </c>
      <c r="I83" t="s">
        <v>53</v>
      </c>
      <c r="J83" t="s">
        <v>54</v>
      </c>
      <c r="K83">
        <v>820873</v>
      </c>
      <c r="L83" t="s">
        <v>284</v>
      </c>
      <c r="M83" t="s">
        <v>285</v>
      </c>
      <c r="N83" t="s">
        <v>179</v>
      </c>
      <c r="O83" s="1">
        <v>45809</v>
      </c>
      <c r="P83" s="1">
        <v>45943</v>
      </c>
      <c r="Q83" s="1">
        <v>45962</v>
      </c>
      <c r="R83" s="2">
        <v>-72.73</v>
      </c>
      <c r="S83">
        <v>1</v>
      </c>
      <c r="T83" t="s">
        <v>58</v>
      </c>
      <c r="U83" t="s">
        <v>180</v>
      </c>
      <c r="V83" s="3">
        <v>0.75</v>
      </c>
      <c r="W83" s="2">
        <v>0</v>
      </c>
      <c r="X83">
        <v>-1</v>
      </c>
      <c r="Y83" t="s">
        <v>60</v>
      </c>
      <c r="Z83" t="s">
        <v>182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-54.55</v>
      </c>
      <c r="AN83" s="2">
        <v>-54.55</v>
      </c>
      <c r="AO83" s="2">
        <v>0</v>
      </c>
      <c r="AP83" s="2">
        <v>0</v>
      </c>
      <c r="AQ83" s="2">
        <v>0</v>
      </c>
    </row>
    <row r="84" spans="1:43" x14ac:dyDescent="0.25">
      <c r="A84" s="1">
        <v>45943</v>
      </c>
      <c r="B84" t="s">
        <v>48</v>
      </c>
      <c r="C84">
        <v>649163</v>
      </c>
      <c r="D84">
        <v>2029185271</v>
      </c>
      <c r="E84" t="s">
        <v>286</v>
      </c>
      <c r="F84" t="s">
        <v>287</v>
      </c>
      <c r="G84" t="s">
        <v>51</v>
      </c>
      <c r="H84" t="s">
        <v>288</v>
      </c>
      <c r="I84" t="s">
        <v>53</v>
      </c>
      <c r="J84" t="s">
        <v>54</v>
      </c>
      <c r="K84">
        <v>673059</v>
      </c>
      <c r="L84" t="s">
        <v>55</v>
      </c>
      <c r="M84" t="s">
        <v>56</v>
      </c>
      <c r="N84" t="s">
        <v>57</v>
      </c>
      <c r="O84" s="1">
        <v>45825</v>
      </c>
      <c r="Q84" s="1">
        <v>45978</v>
      </c>
      <c r="R84" s="2">
        <v>66.03</v>
      </c>
      <c r="S84">
        <v>1</v>
      </c>
      <c r="T84" t="s">
        <v>58</v>
      </c>
      <c r="U84" t="s">
        <v>180</v>
      </c>
      <c r="V84" s="3">
        <v>0.75</v>
      </c>
      <c r="W84" s="2">
        <v>0</v>
      </c>
      <c r="X84">
        <v>0</v>
      </c>
      <c r="Y84" t="s">
        <v>60</v>
      </c>
      <c r="Z84" t="s">
        <v>182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49.52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45943</v>
      </c>
      <c r="B85" t="s">
        <v>48</v>
      </c>
      <c r="C85">
        <v>649163</v>
      </c>
      <c r="D85">
        <v>2029292997</v>
      </c>
      <c r="E85" t="s">
        <v>289</v>
      </c>
      <c r="F85" t="s">
        <v>290</v>
      </c>
      <c r="G85" t="s">
        <v>51</v>
      </c>
      <c r="H85" t="s">
        <v>91</v>
      </c>
      <c r="I85" t="s">
        <v>53</v>
      </c>
      <c r="J85" t="s">
        <v>54</v>
      </c>
      <c r="K85">
        <v>856824</v>
      </c>
      <c r="L85" t="s">
        <v>156</v>
      </c>
      <c r="M85" t="s">
        <v>157</v>
      </c>
      <c r="N85" t="s">
        <v>179</v>
      </c>
      <c r="O85" s="1">
        <v>45839</v>
      </c>
      <c r="P85" s="1">
        <v>45936</v>
      </c>
      <c r="Q85" s="1">
        <v>45962</v>
      </c>
      <c r="R85" s="2">
        <v>-56.1</v>
      </c>
      <c r="S85">
        <v>1</v>
      </c>
      <c r="T85" t="s">
        <v>58</v>
      </c>
      <c r="U85" t="s">
        <v>180</v>
      </c>
      <c r="V85" s="3">
        <v>0.75</v>
      </c>
      <c r="W85" s="2">
        <v>0</v>
      </c>
      <c r="X85">
        <v>-1</v>
      </c>
      <c r="Y85" t="s">
        <v>60</v>
      </c>
      <c r="Z85" t="s">
        <v>182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-42.08</v>
      </c>
      <c r="AN85" s="2">
        <v>-42.08</v>
      </c>
      <c r="AO85" s="2">
        <v>0</v>
      </c>
      <c r="AP85" s="2">
        <v>0</v>
      </c>
      <c r="AQ85" s="2">
        <v>0</v>
      </c>
    </row>
    <row r="86" spans="1:43" x14ac:dyDescent="0.25">
      <c r="A86" s="1">
        <v>45943</v>
      </c>
      <c r="B86" t="s">
        <v>48</v>
      </c>
      <c r="C86">
        <v>649163</v>
      </c>
      <c r="D86">
        <v>2029878253</v>
      </c>
      <c r="E86" t="s">
        <v>291</v>
      </c>
      <c r="F86" t="s">
        <v>161</v>
      </c>
      <c r="G86" t="s">
        <v>51</v>
      </c>
      <c r="H86" t="s">
        <v>78</v>
      </c>
      <c r="I86" t="s">
        <v>53</v>
      </c>
      <c r="J86" t="s">
        <v>54</v>
      </c>
      <c r="K86">
        <v>824076</v>
      </c>
      <c r="L86" t="s">
        <v>292</v>
      </c>
      <c r="M86" t="s">
        <v>293</v>
      </c>
      <c r="N86" t="s">
        <v>57</v>
      </c>
      <c r="O86" s="1">
        <v>45853</v>
      </c>
      <c r="Q86" s="1">
        <v>45976</v>
      </c>
      <c r="R86" s="2">
        <v>15.97</v>
      </c>
      <c r="S86">
        <v>1</v>
      </c>
      <c r="T86" t="s">
        <v>58</v>
      </c>
      <c r="U86" t="s">
        <v>180</v>
      </c>
      <c r="V86" s="3">
        <v>0.75</v>
      </c>
      <c r="W86" s="2">
        <v>0</v>
      </c>
      <c r="X86">
        <v>0</v>
      </c>
      <c r="Y86" t="s">
        <v>60</v>
      </c>
      <c r="Z86" t="s">
        <v>182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11.98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45943</v>
      </c>
      <c r="B87" t="s">
        <v>48</v>
      </c>
      <c r="C87">
        <v>649163</v>
      </c>
      <c r="D87">
        <v>2029887594</v>
      </c>
      <c r="E87" t="s">
        <v>165</v>
      </c>
      <c r="F87" t="s">
        <v>294</v>
      </c>
      <c r="G87" t="s">
        <v>51</v>
      </c>
      <c r="H87" t="s">
        <v>91</v>
      </c>
      <c r="I87" t="s">
        <v>53</v>
      </c>
      <c r="J87" t="s">
        <v>70</v>
      </c>
      <c r="K87">
        <v>753748</v>
      </c>
      <c r="L87" t="s">
        <v>168</v>
      </c>
      <c r="M87" t="s">
        <v>169</v>
      </c>
      <c r="N87" t="s">
        <v>57</v>
      </c>
      <c r="O87" s="1">
        <v>45870</v>
      </c>
      <c r="Q87" s="1">
        <v>45962</v>
      </c>
      <c r="R87" s="2">
        <v>305.58</v>
      </c>
      <c r="S87">
        <v>1</v>
      </c>
      <c r="T87" t="s">
        <v>58</v>
      </c>
      <c r="U87" t="s">
        <v>180</v>
      </c>
      <c r="V87" s="3">
        <v>0.9</v>
      </c>
      <c r="W87" s="2">
        <v>0</v>
      </c>
      <c r="X87">
        <v>0</v>
      </c>
      <c r="Y87" t="s">
        <v>60</v>
      </c>
      <c r="Z87" t="s">
        <v>182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275.02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1">
        <v>45943</v>
      </c>
      <c r="B88" t="s">
        <v>48</v>
      </c>
      <c r="C88">
        <v>649163</v>
      </c>
      <c r="D88">
        <v>2029894138</v>
      </c>
      <c r="E88" t="s">
        <v>218</v>
      </c>
      <c r="F88" t="s">
        <v>196</v>
      </c>
      <c r="G88" t="s">
        <v>51</v>
      </c>
      <c r="H88" t="s">
        <v>219</v>
      </c>
      <c r="I88" t="s">
        <v>53</v>
      </c>
      <c r="J88" t="s">
        <v>54</v>
      </c>
      <c r="K88">
        <v>673059</v>
      </c>
      <c r="L88" t="s">
        <v>55</v>
      </c>
      <c r="M88" t="s">
        <v>56</v>
      </c>
      <c r="N88" t="s">
        <v>57</v>
      </c>
      <c r="O88" s="1">
        <v>45852</v>
      </c>
      <c r="Q88" s="1">
        <v>45975</v>
      </c>
      <c r="R88" s="2">
        <v>80.8</v>
      </c>
      <c r="S88">
        <v>1</v>
      </c>
      <c r="T88" t="s">
        <v>58</v>
      </c>
      <c r="U88" t="s">
        <v>180</v>
      </c>
      <c r="V88" s="3">
        <v>0.75</v>
      </c>
      <c r="W88" s="2">
        <v>0</v>
      </c>
      <c r="X88">
        <v>0</v>
      </c>
      <c r="Y88" t="s">
        <v>60</v>
      </c>
      <c r="Z88" t="s">
        <v>182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60.6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</row>
    <row r="89" spans="1:43" x14ac:dyDescent="0.25">
      <c r="A89" s="1">
        <v>45943</v>
      </c>
      <c r="B89" t="s">
        <v>48</v>
      </c>
      <c r="C89">
        <v>649163</v>
      </c>
      <c r="D89">
        <v>2029910877</v>
      </c>
      <c r="E89" t="s">
        <v>295</v>
      </c>
      <c r="F89" t="s">
        <v>296</v>
      </c>
      <c r="G89" t="s">
        <v>51</v>
      </c>
      <c r="H89" t="s">
        <v>281</v>
      </c>
      <c r="I89" t="s">
        <v>53</v>
      </c>
      <c r="J89" t="s">
        <v>232</v>
      </c>
      <c r="K89">
        <v>792847</v>
      </c>
      <c r="L89" t="s">
        <v>277</v>
      </c>
      <c r="M89" t="s">
        <v>279</v>
      </c>
      <c r="N89" t="s">
        <v>57</v>
      </c>
      <c r="O89" s="1">
        <v>45850</v>
      </c>
      <c r="Q89" s="1">
        <v>45973</v>
      </c>
      <c r="R89" s="2">
        <v>150.47999999999999</v>
      </c>
      <c r="S89">
        <v>1</v>
      </c>
      <c r="T89" t="s">
        <v>58</v>
      </c>
      <c r="U89" t="s">
        <v>180</v>
      </c>
      <c r="V89" s="3">
        <v>0.75</v>
      </c>
      <c r="W89" s="2">
        <v>0</v>
      </c>
      <c r="X89">
        <v>0</v>
      </c>
      <c r="Y89" t="s">
        <v>60</v>
      </c>
      <c r="Z89" t="s">
        <v>182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112.86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</row>
    <row r="90" spans="1:43" x14ac:dyDescent="0.25">
      <c r="A90" s="1">
        <v>45943</v>
      </c>
      <c r="B90" t="s">
        <v>48</v>
      </c>
      <c r="C90">
        <v>649163</v>
      </c>
      <c r="D90">
        <v>2029938124</v>
      </c>
      <c r="E90" t="s">
        <v>297</v>
      </c>
      <c r="F90" t="s">
        <v>298</v>
      </c>
      <c r="G90" t="s">
        <v>51</v>
      </c>
      <c r="H90" t="s">
        <v>299</v>
      </c>
      <c r="I90" t="s">
        <v>53</v>
      </c>
      <c r="J90" t="s">
        <v>70</v>
      </c>
      <c r="K90">
        <v>767312</v>
      </c>
      <c r="L90" t="s">
        <v>147</v>
      </c>
      <c r="M90" t="s">
        <v>148</v>
      </c>
      <c r="N90" t="s">
        <v>57</v>
      </c>
      <c r="O90" s="1">
        <v>45853</v>
      </c>
      <c r="Q90" s="1">
        <v>45976</v>
      </c>
      <c r="R90" s="2">
        <v>50.87</v>
      </c>
      <c r="S90">
        <v>1</v>
      </c>
      <c r="T90" t="s">
        <v>58</v>
      </c>
      <c r="U90" t="s">
        <v>180</v>
      </c>
      <c r="V90" s="3">
        <v>0.9</v>
      </c>
      <c r="W90" s="2">
        <v>0</v>
      </c>
      <c r="X90">
        <v>0</v>
      </c>
      <c r="Y90" t="s">
        <v>60</v>
      </c>
      <c r="Z90" t="s">
        <v>182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45.78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</row>
    <row r="91" spans="1:43" x14ac:dyDescent="0.25">
      <c r="A91" s="1">
        <v>45943</v>
      </c>
      <c r="B91" t="s">
        <v>48</v>
      </c>
      <c r="C91">
        <v>649163</v>
      </c>
      <c r="D91">
        <v>2029951925</v>
      </c>
      <c r="E91" t="s">
        <v>300</v>
      </c>
      <c r="F91" t="s">
        <v>301</v>
      </c>
      <c r="G91" t="s">
        <v>51</v>
      </c>
      <c r="H91" t="s">
        <v>78</v>
      </c>
      <c r="I91" t="s">
        <v>53</v>
      </c>
      <c r="J91" t="s">
        <v>232</v>
      </c>
      <c r="K91">
        <v>824076</v>
      </c>
      <c r="L91" t="s">
        <v>292</v>
      </c>
      <c r="M91" t="s">
        <v>293</v>
      </c>
      <c r="N91" t="s">
        <v>57</v>
      </c>
      <c r="O91" s="1">
        <v>45853</v>
      </c>
      <c r="Q91" s="1">
        <v>45976</v>
      </c>
      <c r="R91" s="2">
        <v>19.25</v>
      </c>
      <c r="S91">
        <v>1</v>
      </c>
      <c r="T91" t="s">
        <v>58</v>
      </c>
      <c r="U91" t="s">
        <v>180</v>
      </c>
      <c r="V91" s="3">
        <v>0.75</v>
      </c>
      <c r="W91" s="2">
        <v>0</v>
      </c>
      <c r="X91">
        <v>0</v>
      </c>
      <c r="Y91" t="s">
        <v>60</v>
      </c>
      <c r="Z91" t="s">
        <v>182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14.44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</row>
    <row r="92" spans="1:43" x14ac:dyDescent="0.25">
      <c r="A92" s="1">
        <v>45943</v>
      </c>
      <c r="B92" t="s">
        <v>48</v>
      </c>
      <c r="C92">
        <v>649163</v>
      </c>
      <c r="D92">
        <v>2029955373</v>
      </c>
      <c r="E92" t="s">
        <v>302</v>
      </c>
      <c r="F92" t="s">
        <v>278</v>
      </c>
      <c r="G92" t="s">
        <v>51</v>
      </c>
      <c r="H92" t="s">
        <v>69</v>
      </c>
      <c r="I92" t="s">
        <v>53</v>
      </c>
      <c r="J92" t="s">
        <v>75</v>
      </c>
      <c r="K92">
        <v>824082</v>
      </c>
      <c r="L92" t="s">
        <v>303</v>
      </c>
      <c r="M92" t="s">
        <v>304</v>
      </c>
      <c r="N92" t="s">
        <v>57</v>
      </c>
      <c r="O92" s="1">
        <v>45853</v>
      </c>
      <c r="Q92" s="1">
        <v>45976</v>
      </c>
      <c r="R92" s="2">
        <v>29.98</v>
      </c>
      <c r="S92">
        <v>1</v>
      </c>
      <c r="T92" t="s">
        <v>58</v>
      </c>
      <c r="U92" t="s">
        <v>180</v>
      </c>
      <c r="V92" s="3">
        <v>0.65</v>
      </c>
      <c r="W92" s="2">
        <v>0</v>
      </c>
      <c r="X92">
        <v>0</v>
      </c>
      <c r="Y92" t="s">
        <v>60</v>
      </c>
      <c r="Z92" t="s">
        <v>182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19.489999999999998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45943</v>
      </c>
      <c r="B93" t="s">
        <v>48</v>
      </c>
      <c r="C93">
        <v>649163</v>
      </c>
      <c r="D93">
        <v>2029967975</v>
      </c>
      <c r="E93" t="s">
        <v>305</v>
      </c>
      <c r="F93" t="s">
        <v>306</v>
      </c>
      <c r="G93" t="s">
        <v>51</v>
      </c>
      <c r="H93" t="s">
        <v>119</v>
      </c>
      <c r="I93" t="s">
        <v>53</v>
      </c>
      <c r="J93" t="s">
        <v>70</v>
      </c>
      <c r="K93">
        <v>823068</v>
      </c>
      <c r="L93" t="s">
        <v>307</v>
      </c>
      <c r="M93" t="s">
        <v>308</v>
      </c>
      <c r="N93" t="s">
        <v>57</v>
      </c>
      <c r="O93" s="1">
        <v>45854</v>
      </c>
      <c r="Q93" s="1">
        <v>45977</v>
      </c>
      <c r="R93" s="2">
        <v>107.63</v>
      </c>
      <c r="S93">
        <v>1</v>
      </c>
      <c r="T93" t="s">
        <v>58</v>
      </c>
      <c r="U93" t="s">
        <v>180</v>
      </c>
      <c r="V93" s="3">
        <v>0.9</v>
      </c>
      <c r="W93" s="2">
        <v>0</v>
      </c>
      <c r="X93">
        <v>0</v>
      </c>
      <c r="Y93" t="s">
        <v>60</v>
      </c>
      <c r="Z93" t="s">
        <v>182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96.87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45943</v>
      </c>
      <c r="B94" t="s">
        <v>48</v>
      </c>
      <c r="C94">
        <v>649163</v>
      </c>
      <c r="D94">
        <v>2029969605</v>
      </c>
      <c r="E94" t="s">
        <v>309</v>
      </c>
      <c r="F94" t="s">
        <v>310</v>
      </c>
      <c r="G94" t="s">
        <v>51</v>
      </c>
      <c r="H94" t="s">
        <v>69</v>
      </c>
      <c r="I94" t="s">
        <v>53</v>
      </c>
      <c r="J94" t="s">
        <v>54</v>
      </c>
      <c r="K94">
        <v>816021</v>
      </c>
      <c r="L94" t="s">
        <v>71</v>
      </c>
      <c r="M94" t="s">
        <v>72</v>
      </c>
      <c r="N94" t="s">
        <v>57</v>
      </c>
      <c r="O94" s="1">
        <v>45854</v>
      </c>
      <c r="Q94" s="1">
        <v>45977</v>
      </c>
      <c r="R94" s="2">
        <v>52.84</v>
      </c>
      <c r="S94">
        <v>1</v>
      </c>
      <c r="T94" t="s">
        <v>58</v>
      </c>
      <c r="U94" t="s">
        <v>180</v>
      </c>
      <c r="V94" s="3">
        <v>0.75</v>
      </c>
      <c r="W94" s="2">
        <v>0</v>
      </c>
      <c r="X94">
        <v>0</v>
      </c>
      <c r="Y94" t="s">
        <v>60</v>
      </c>
      <c r="Z94" t="s">
        <v>182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39.630000000000003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45943</v>
      </c>
      <c r="B95" t="s">
        <v>48</v>
      </c>
      <c r="C95">
        <v>649163</v>
      </c>
      <c r="D95">
        <v>2029980504</v>
      </c>
      <c r="E95" t="s">
        <v>184</v>
      </c>
      <c r="F95" t="s">
        <v>311</v>
      </c>
      <c r="G95" t="s">
        <v>51</v>
      </c>
      <c r="H95" t="s">
        <v>312</v>
      </c>
      <c r="I95" t="s">
        <v>53</v>
      </c>
      <c r="J95" t="s">
        <v>54</v>
      </c>
      <c r="K95">
        <v>673059</v>
      </c>
      <c r="L95" t="s">
        <v>55</v>
      </c>
      <c r="M95" t="s">
        <v>56</v>
      </c>
      <c r="N95" t="s">
        <v>57</v>
      </c>
      <c r="O95" s="1">
        <v>45884</v>
      </c>
      <c r="Q95" s="1">
        <v>45976</v>
      </c>
      <c r="R95" s="2">
        <v>85.81</v>
      </c>
      <c r="S95">
        <v>1</v>
      </c>
      <c r="T95" t="s">
        <v>58</v>
      </c>
      <c r="U95" t="s">
        <v>180</v>
      </c>
      <c r="V95" s="3">
        <v>0.75</v>
      </c>
      <c r="W95" s="2">
        <v>0</v>
      </c>
      <c r="X95">
        <v>0</v>
      </c>
      <c r="Y95" t="s">
        <v>60</v>
      </c>
      <c r="Z95" t="s">
        <v>182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64.36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45943</v>
      </c>
      <c r="B96" t="s">
        <v>48</v>
      </c>
      <c r="C96">
        <v>649163</v>
      </c>
      <c r="D96">
        <v>2030198368</v>
      </c>
      <c r="E96" t="s">
        <v>313</v>
      </c>
      <c r="F96" t="s">
        <v>314</v>
      </c>
      <c r="G96" t="s">
        <v>51</v>
      </c>
      <c r="H96" t="s">
        <v>119</v>
      </c>
      <c r="I96" t="s">
        <v>53</v>
      </c>
      <c r="J96" t="s">
        <v>70</v>
      </c>
      <c r="K96">
        <v>823068</v>
      </c>
      <c r="L96" t="s">
        <v>307</v>
      </c>
      <c r="M96" t="s">
        <v>308</v>
      </c>
      <c r="N96" t="s">
        <v>57</v>
      </c>
      <c r="O96" s="1">
        <v>45870</v>
      </c>
      <c r="Q96" s="1">
        <v>45962</v>
      </c>
      <c r="R96" s="2">
        <v>85.5</v>
      </c>
      <c r="S96">
        <v>1</v>
      </c>
      <c r="T96" t="s">
        <v>58</v>
      </c>
      <c r="U96" t="s">
        <v>180</v>
      </c>
      <c r="V96" s="3">
        <v>0.9</v>
      </c>
      <c r="W96" s="2">
        <v>0</v>
      </c>
      <c r="X96">
        <v>0</v>
      </c>
      <c r="Y96" t="s">
        <v>60</v>
      </c>
      <c r="Z96" t="s">
        <v>182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76.95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</row>
    <row r="97" spans="1:43" x14ac:dyDescent="0.25">
      <c r="A97" s="1">
        <v>45943</v>
      </c>
      <c r="B97" t="s">
        <v>48</v>
      </c>
      <c r="C97">
        <v>649163</v>
      </c>
      <c r="D97">
        <v>2030313518</v>
      </c>
      <c r="E97" t="s">
        <v>315</v>
      </c>
      <c r="F97" t="s">
        <v>316</v>
      </c>
      <c r="G97" t="s">
        <v>51</v>
      </c>
      <c r="H97" t="s">
        <v>119</v>
      </c>
      <c r="I97" t="s">
        <v>53</v>
      </c>
      <c r="J97" t="s">
        <v>70</v>
      </c>
      <c r="K97">
        <v>823068</v>
      </c>
      <c r="L97" t="s">
        <v>307</v>
      </c>
      <c r="M97" t="s">
        <v>308</v>
      </c>
      <c r="N97" t="s">
        <v>57</v>
      </c>
      <c r="O97" s="1">
        <v>45884</v>
      </c>
      <c r="Q97" s="1">
        <v>45976</v>
      </c>
      <c r="R97" s="2">
        <v>20.059999999999999</v>
      </c>
      <c r="S97">
        <v>1</v>
      </c>
      <c r="T97" t="s">
        <v>58</v>
      </c>
      <c r="U97" t="s">
        <v>180</v>
      </c>
      <c r="V97" s="3">
        <v>0.9</v>
      </c>
      <c r="W97" s="2">
        <v>0</v>
      </c>
      <c r="X97">
        <v>0</v>
      </c>
      <c r="Y97" t="s">
        <v>60</v>
      </c>
      <c r="Z97" t="s">
        <v>182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18.05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</row>
    <row r="98" spans="1:43" x14ac:dyDescent="0.25">
      <c r="A98" s="1">
        <v>45943</v>
      </c>
      <c r="B98" t="s">
        <v>48</v>
      </c>
      <c r="C98">
        <v>649163</v>
      </c>
      <c r="D98">
        <v>2030341226</v>
      </c>
      <c r="E98" t="s">
        <v>317</v>
      </c>
      <c r="F98" t="s">
        <v>318</v>
      </c>
      <c r="G98" t="s">
        <v>51</v>
      </c>
      <c r="H98" t="s">
        <v>155</v>
      </c>
      <c r="I98" t="s">
        <v>53</v>
      </c>
      <c r="J98" t="s">
        <v>70</v>
      </c>
      <c r="K98">
        <v>767312</v>
      </c>
      <c r="L98" t="s">
        <v>147</v>
      </c>
      <c r="M98" t="s">
        <v>148</v>
      </c>
      <c r="N98" t="s">
        <v>57</v>
      </c>
      <c r="O98" s="1">
        <v>45879</v>
      </c>
      <c r="Q98" s="1">
        <v>45971</v>
      </c>
      <c r="R98" s="2">
        <v>26.88</v>
      </c>
      <c r="S98">
        <v>1</v>
      </c>
      <c r="T98" t="s">
        <v>58</v>
      </c>
      <c r="U98" t="s">
        <v>180</v>
      </c>
      <c r="V98" s="3">
        <v>0.9</v>
      </c>
      <c r="W98" s="2">
        <v>0</v>
      </c>
      <c r="X98">
        <v>0</v>
      </c>
      <c r="Y98" t="s">
        <v>60</v>
      </c>
      <c r="Z98" t="s">
        <v>182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24.19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</row>
    <row r="99" spans="1:43" x14ac:dyDescent="0.25">
      <c r="A99" s="1">
        <v>45943</v>
      </c>
      <c r="B99" t="s">
        <v>48</v>
      </c>
      <c r="C99">
        <v>649163</v>
      </c>
      <c r="D99">
        <v>2030349979</v>
      </c>
      <c r="E99" t="s">
        <v>319</v>
      </c>
      <c r="F99" t="s">
        <v>320</v>
      </c>
      <c r="G99" t="s">
        <v>51</v>
      </c>
      <c r="H99" t="s">
        <v>155</v>
      </c>
      <c r="I99" t="s">
        <v>53</v>
      </c>
      <c r="J99" t="s">
        <v>70</v>
      </c>
      <c r="K99">
        <v>767312</v>
      </c>
      <c r="L99" t="s">
        <v>147</v>
      </c>
      <c r="M99" t="s">
        <v>148</v>
      </c>
      <c r="N99" t="s">
        <v>57</v>
      </c>
      <c r="O99" s="1">
        <v>45879</v>
      </c>
      <c r="Q99" s="1">
        <v>45971</v>
      </c>
      <c r="R99" s="2">
        <v>29.01</v>
      </c>
      <c r="S99">
        <v>1</v>
      </c>
      <c r="T99" t="s">
        <v>58</v>
      </c>
      <c r="U99" t="s">
        <v>180</v>
      </c>
      <c r="V99" s="3">
        <v>0.9</v>
      </c>
      <c r="W99" s="2">
        <v>0</v>
      </c>
      <c r="X99">
        <v>0</v>
      </c>
      <c r="Y99" t="s">
        <v>60</v>
      </c>
      <c r="Z99" t="s">
        <v>182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26.11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</row>
    <row r="100" spans="1:43" x14ac:dyDescent="0.25">
      <c r="A100" s="1">
        <v>45943</v>
      </c>
      <c r="B100" t="s">
        <v>48</v>
      </c>
      <c r="C100">
        <v>649163</v>
      </c>
      <c r="D100">
        <v>2030413755</v>
      </c>
      <c r="E100" t="s">
        <v>321</v>
      </c>
      <c r="F100" t="s">
        <v>322</v>
      </c>
      <c r="G100" t="s">
        <v>51</v>
      </c>
      <c r="H100" t="s">
        <v>64</v>
      </c>
      <c r="I100" t="s">
        <v>53</v>
      </c>
      <c r="J100" t="s">
        <v>70</v>
      </c>
      <c r="K100">
        <v>753748</v>
      </c>
      <c r="L100" t="s">
        <v>168</v>
      </c>
      <c r="M100" t="s">
        <v>169</v>
      </c>
      <c r="N100" t="s">
        <v>179</v>
      </c>
      <c r="O100" s="1">
        <v>45901</v>
      </c>
      <c r="P100" s="1">
        <v>45936</v>
      </c>
      <c r="Q100" s="1">
        <v>45962</v>
      </c>
      <c r="R100" s="2">
        <v>-136.16</v>
      </c>
      <c r="S100">
        <v>1</v>
      </c>
      <c r="T100" t="s">
        <v>58</v>
      </c>
      <c r="U100" t="s">
        <v>180</v>
      </c>
      <c r="V100" s="3">
        <v>0.9</v>
      </c>
      <c r="W100" s="2">
        <v>0</v>
      </c>
      <c r="X100">
        <v>-1</v>
      </c>
      <c r="Y100" t="s">
        <v>60</v>
      </c>
      <c r="Z100" t="s">
        <v>182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-122.54</v>
      </c>
      <c r="AN100" s="2">
        <v>-122.54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45943</v>
      </c>
      <c r="B101" t="s">
        <v>48</v>
      </c>
      <c r="C101">
        <v>649163</v>
      </c>
      <c r="D101">
        <v>2030431358</v>
      </c>
      <c r="E101" t="s">
        <v>323</v>
      </c>
      <c r="F101" t="s">
        <v>324</v>
      </c>
      <c r="G101" t="s">
        <v>51</v>
      </c>
      <c r="H101" t="s">
        <v>69</v>
      </c>
      <c r="I101" t="s">
        <v>53</v>
      </c>
      <c r="J101" t="s">
        <v>54</v>
      </c>
      <c r="K101">
        <v>824082</v>
      </c>
      <c r="L101" t="s">
        <v>303</v>
      </c>
      <c r="M101" t="s">
        <v>304</v>
      </c>
      <c r="N101" t="s">
        <v>57</v>
      </c>
      <c r="O101" s="1">
        <v>45881</v>
      </c>
      <c r="Q101" s="1">
        <v>45973</v>
      </c>
      <c r="R101" s="2">
        <v>30.34</v>
      </c>
      <c r="S101">
        <v>1</v>
      </c>
      <c r="T101" t="s">
        <v>58</v>
      </c>
      <c r="U101" t="s">
        <v>180</v>
      </c>
      <c r="V101" s="3">
        <v>0.75</v>
      </c>
      <c r="W101" s="2">
        <v>0</v>
      </c>
      <c r="X101">
        <v>0</v>
      </c>
      <c r="Y101" t="s">
        <v>60</v>
      </c>
      <c r="Z101" t="s">
        <v>182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22.76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45943</v>
      </c>
      <c r="B102" t="s">
        <v>48</v>
      </c>
      <c r="C102">
        <v>649163</v>
      </c>
      <c r="D102">
        <v>2030454169</v>
      </c>
      <c r="E102" t="s">
        <v>325</v>
      </c>
      <c r="F102" t="s">
        <v>148</v>
      </c>
      <c r="G102" t="s">
        <v>51</v>
      </c>
      <c r="H102" t="s">
        <v>119</v>
      </c>
      <c r="I102" t="s">
        <v>53</v>
      </c>
      <c r="J102" t="s">
        <v>70</v>
      </c>
      <c r="K102">
        <v>823068</v>
      </c>
      <c r="L102" t="s">
        <v>307</v>
      </c>
      <c r="M102" t="s">
        <v>308</v>
      </c>
      <c r="N102" t="s">
        <v>57</v>
      </c>
      <c r="O102" s="1">
        <v>45883</v>
      </c>
      <c r="Q102" s="1">
        <v>45975</v>
      </c>
      <c r="R102" s="2">
        <v>92.5</v>
      </c>
      <c r="S102">
        <v>1</v>
      </c>
      <c r="T102" t="s">
        <v>58</v>
      </c>
      <c r="U102" t="s">
        <v>180</v>
      </c>
      <c r="V102" s="3">
        <v>0.9</v>
      </c>
      <c r="W102" s="2">
        <v>0</v>
      </c>
      <c r="X102">
        <v>0</v>
      </c>
      <c r="Y102" t="s">
        <v>60</v>
      </c>
      <c r="Z102" t="s">
        <v>182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83.25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45943</v>
      </c>
      <c r="B103" t="s">
        <v>48</v>
      </c>
      <c r="C103">
        <v>649163</v>
      </c>
      <c r="D103">
        <v>2030455582</v>
      </c>
      <c r="E103" t="s">
        <v>326</v>
      </c>
      <c r="F103" t="s">
        <v>327</v>
      </c>
      <c r="G103" t="s">
        <v>51</v>
      </c>
      <c r="H103" t="s">
        <v>69</v>
      </c>
      <c r="I103" t="s">
        <v>53</v>
      </c>
      <c r="J103" t="s">
        <v>75</v>
      </c>
      <c r="K103">
        <v>816021</v>
      </c>
      <c r="L103" t="s">
        <v>71</v>
      </c>
      <c r="M103" t="s">
        <v>72</v>
      </c>
      <c r="N103" t="s">
        <v>57</v>
      </c>
      <c r="O103" s="1">
        <v>45882</v>
      </c>
      <c r="Q103" s="1">
        <v>45974</v>
      </c>
      <c r="R103" s="2">
        <v>29.88</v>
      </c>
      <c r="S103">
        <v>1</v>
      </c>
      <c r="T103" t="s">
        <v>58</v>
      </c>
      <c r="U103" t="s">
        <v>180</v>
      </c>
      <c r="V103" s="3">
        <v>0.65</v>
      </c>
      <c r="W103" s="2">
        <v>0</v>
      </c>
      <c r="X103">
        <v>0</v>
      </c>
      <c r="Y103" t="s">
        <v>60</v>
      </c>
      <c r="Z103" t="s">
        <v>182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19.420000000000002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45943</v>
      </c>
      <c r="B104" t="s">
        <v>48</v>
      </c>
      <c r="C104">
        <v>649163</v>
      </c>
      <c r="D104">
        <v>2030474901</v>
      </c>
      <c r="E104" t="s">
        <v>328</v>
      </c>
      <c r="F104" t="s">
        <v>329</v>
      </c>
      <c r="G104" t="s">
        <v>51</v>
      </c>
      <c r="H104" t="s">
        <v>91</v>
      </c>
      <c r="I104" t="s">
        <v>53</v>
      </c>
      <c r="J104" t="s">
        <v>70</v>
      </c>
      <c r="K104">
        <v>767312</v>
      </c>
      <c r="L104" t="s">
        <v>147</v>
      </c>
      <c r="M104" t="s">
        <v>148</v>
      </c>
      <c r="N104" t="s">
        <v>57</v>
      </c>
      <c r="O104" s="1">
        <v>45883</v>
      </c>
      <c r="Q104" s="1">
        <v>45975</v>
      </c>
      <c r="R104" s="2">
        <v>104.71</v>
      </c>
      <c r="S104">
        <v>1</v>
      </c>
      <c r="T104" t="s">
        <v>58</v>
      </c>
      <c r="U104" t="s">
        <v>180</v>
      </c>
      <c r="V104" s="3">
        <v>0.9</v>
      </c>
      <c r="W104" s="2">
        <v>0</v>
      </c>
      <c r="X104">
        <v>0</v>
      </c>
      <c r="Y104" t="s">
        <v>60</v>
      </c>
      <c r="Z104" t="s">
        <v>182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94.24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45943</v>
      </c>
      <c r="B105" t="s">
        <v>48</v>
      </c>
      <c r="C105">
        <v>649163</v>
      </c>
      <c r="D105">
        <v>2030488872</v>
      </c>
      <c r="E105" t="s">
        <v>330</v>
      </c>
      <c r="F105" t="s">
        <v>331</v>
      </c>
      <c r="G105" t="s">
        <v>51</v>
      </c>
      <c r="H105" t="s">
        <v>119</v>
      </c>
      <c r="I105" t="s">
        <v>53</v>
      </c>
      <c r="J105" t="s">
        <v>70</v>
      </c>
      <c r="K105">
        <v>823068</v>
      </c>
      <c r="L105" t="s">
        <v>307</v>
      </c>
      <c r="M105" t="s">
        <v>308</v>
      </c>
      <c r="N105" t="s">
        <v>57</v>
      </c>
      <c r="O105" s="1">
        <v>45884</v>
      </c>
      <c r="Q105" s="1">
        <v>45976</v>
      </c>
      <c r="R105" s="2">
        <v>46.94</v>
      </c>
      <c r="S105">
        <v>1</v>
      </c>
      <c r="T105" t="s">
        <v>58</v>
      </c>
      <c r="U105" t="s">
        <v>180</v>
      </c>
      <c r="V105" s="3">
        <v>0.9</v>
      </c>
      <c r="W105" s="2">
        <v>0</v>
      </c>
      <c r="X105">
        <v>0</v>
      </c>
      <c r="Y105" t="s">
        <v>60</v>
      </c>
      <c r="Z105" t="s">
        <v>182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42.25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45943</v>
      </c>
      <c r="B106" t="s">
        <v>48</v>
      </c>
      <c r="C106">
        <v>649163</v>
      </c>
      <c r="D106">
        <v>2030501934</v>
      </c>
      <c r="E106" t="s">
        <v>332</v>
      </c>
      <c r="F106" t="s">
        <v>258</v>
      </c>
      <c r="G106" t="s">
        <v>51</v>
      </c>
      <c r="H106" t="s">
        <v>119</v>
      </c>
      <c r="I106" t="s">
        <v>53</v>
      </c>
      <c r="J106" t="s">
        <v>70</v>
      </c>
      <c r="K106">
        <v>652037</v>
      </c>
      <c r="L106" t="s">
        <v>222</v>
      </c>
      <c r="M106" t="s">
        <v>223</v>
      </c>
      <c r="N106" t="s">
        <v>57</v>
      </c>
      <c r="O106" s="1">
        <v>45884</v>
      </c>
      <c r="Q106" s="1">
        <v>45976</v>
      </c>
      <c r="R106" s="2">
        <v>77.959999999999994</v>
      </c>
      <c r="S106">
        <v>1</v>
      </c>
      <c r="T106" t="s">
        <v>58</v>
      </c>
      <c r="U106" t="s">
        <v>180</v>
      </c>
      <c r="V106" s="3">
        <v>0.9</v>
      </c>
      <c r="W106" s="2">
        <v>0</v>
      </c>
      <c r="X106">
        <v>0</v>
      </c>
      <c r="Y106" t="s">
        <v>60</v>
      </c>
      <c r="Z106" t="s">
        <v>182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70.16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45943</v>
      </c>
      <c r="B107" t="s">
        <v>48</v>
      </c>
      <c r="C107">
        <v>649163</v>
      </c>
      <c r="D107">
        <v>2030675167</v>
      </c>
      <c r="E107" t="s">
        <v>333</v>
      </c>
      <c r="F107" t="s">
        <v>334</v>
      </c>
      <c r="G107" t="s">
        <v>51</v>
      </c>
      <c r="H107" t="s">
        <v>175</v>
      </c>
      <c r="I107" t="s">
        <v>53</v>
      </c>
      <c r="J107" t="s">
        <v>335</v>
      </c>
      <c r="K107">
        <v>823350</v>
      </c>
      <c r="L107" t="s">
        <v>65</v>
      </c>
      <c r="M107" t="s">
        <v>66</v>
      </c>
      <c r="N107" t="s">
        <v>57</v>
      </c>
      <c r="O107" s="1">
        <v>45901</v>
      </c>
      <c r="Q107" s="1">
        <v>45962</v>
      </c>
      <c r="R107" s="2">
        <v>25.65</v>
      </c>
      <c r="S107">
        <v>1</v>
      </c>
      <c r="T107" t="s">
        <v>58</v>
      </c>
      <c r="U107" t="s">
        <v>180</v>
      </c>
      <c r="V107" s="3">
        <v>0.75</v>
      </c>
      <c r="W107" s="2">
        <v>0</v>
      </c>
      <c r="X107">
        <v>0</v>
      </c>
      <c r="Y107" t="s">
        <v>60</v>
      </c>
      <c r="Z107" t="s">
        <v>182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19.239999999999998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45943</v>
      </c>
      <c r="B108" t="s">
        <v>48</v>
      </c>
      <c r="C108">
        <v>649163</v>
      </c>
      <c r="D108">
        <v>2030772793</v>
      </c>
      <c r="E108" t="s">
        <v>192</v>
      </c>
      <c r="F108" t="s">
        <v>336</v>
      </c>
      <c r="G108" t="s">
        <v>51</v>
      </c>
      <c r="H108" t="s">
        <v>337</v>
      </c>
      <c r="I108" t="s">
        <v>53</v>
      </c>
      <c r="J108" t="s">
        <v>54</v>
      </c>
      <c r="K108">
        <v>856163</v>
      </c>
      <c r="L108" t="s">
        <v>65</v>
      </c>
      <c r="M108" t="s">
        <v>81</v>
      </c>
      <c r="N108" t="s">
        <v>179</v>
      </c>
      <c r="O108" s="1">
        <v>45901</v>
      </c>
      <c r="P108" s="1">
        <v>45943</v>
      </c>
      <c r="Q108" s="1">
        <v>45962</v>
      </c>
      <c r="R108" s="2">
        <v>-106.53</v>
      </c>
      <c r="S108">
        <v>1</v>
      </c>
      <c r="T108" t="s">
        <v>58</v>
      </c>
      <c r="U108" t="s">
        <v>180</v>
      </c>
      <c r="V108" s="3">
        <v>0.75</v>
      </c>
      <c r="W108" s="2">
        <v>0</v>
      </c>
      <c r="X108">
        <v>-1</v>
      </c>
      <c r="Y108" t="s">
        <v>60</v>
      </c>
      <c r="Z108" t="s">
        <v>182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-79.900000000000006</v>
      </c>
      <c r="AN108" s="2">
        <v>-79.900000000000006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45943</v>
      </c>
      <c r="B109" t="s">
        <v>48</v>
      </c>
      <c r="C109">
        <v>649163</v>
      </c>
      <c r="D109">
        <v>2030924642</v>
      </c>
      <c r="E109" t="s">
        <v>338</v>
      </c>
      <c r="F109" t="s">
        <v>339</v>
      </c>
      <c r="G109" t="s">
        <v>51</v>
      </c>
      <c r="H109" t="s">
        <v>312</v>
      </c>
      <c r="I109" t="s">
        <v>53</v>
      </c>
      <c r="J109" t="s">
        <v>54</v>
      </c>
      <c r="K109">
        <v>874230</v>
      </c>
      <c r="L109" t="s">
        <v>340</v>
      </c>
      <c r="M109" t="s">
        <v>341</v>
      </c>
      <c r="N109" t="s">
        <v>57</v>
      </c>
      <c r="O109" s="1">
        <v>45911</v>
      </c>
      <c r="Q109" s="1">
        <v>45972</v>
      </c>
      <c r="R109" s="2">
        <v>17.77</v>
      </c>
      <c r="S109">
        <v>1</v>
      </c>
      <c r="T109" t="s">
        <v>58</v>
      </c>
      <c r="U109" t="s">
        <v>59</v>
      </c>
      <c r="V109" s="3">
        <v>0.75</v>
      </c>
      <c r="W109" s="2">
        <v>0</v>
      </c>
      <c r="X109">
        <v>0</v>
      </c>
      <c r="Y109" t="s">
        <v>60</v>
      </c>
      <c r="Z109" t="s">
        <v>182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13.33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45943</v>
      </c>
      <c r="B110" t="s">
        <v>48</v>
      </c>
      <c r="C110">
        <v>649163</v>
      </c>
      <c r="D110">
        <v>2030932601</v>
      </c>
      <c r="E110" t="s">
        <v>342</v>
      </c>
      <c r="F110" t="s">
        <v>343</v>
      </c>
      <c r="G110" t="s">
        <v>51</v>
      </c>
      <c r="H110" t="s">
        <v>312</v>
      </c>
      <c r="I110" t="s">
        <v>53</v>
      </c>
      <c r="J110" t="s">
        <v>54</v>
      </c>
      <c r="K110">
        <v>874230</v>
      </c>
      <c r="L110" t="s">
        <v>340</v>
      </c>
      <c r="M110" t="s">
        <v>341</v>
      </c>
      <c r="N110" t="s">
        <v>57</v>
      </c>
      <c r="O110" s="1">
        <v>45911</v>
      </c>
      <c r="Q110" s="1">
        <v>45972</v>
      </c>
      <c r="R110" s="2">
        <v>18.489999999999998</v>
      </c>
      <c r="S110">
        <v>1</v>
      </c>
      <c r="T110" t="s">
        <v>58</v>
      </c>
      <c r="U110" t="s">
        <v>59</v>
      </c>
      <c r="V110" s="3">
        <v>0.75</v>
      </c>
      <c r="W110" s="2">
        <v>0</v>
      </c>
      <c r="X110">
        <v>0</v>
      </c>
      <c r="Y110" t="s">
        <v>60</v>
      </c>
      <c r="Z110" t="s">
        <v>182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13.87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45943</v>
      </c>
      <c r="B111" t="s">
        <v>48</v>
      </c>
      <c r="C111">
        <v>649163</v>
      </c>
      <c r="D111">
        <v>2030982989</v>
      </c>
      <c r="E111" t="s">
        <v>344</v>
      </c>
      <c r="F111" t="s">
        <v>345</v>
      </c>
      <c r="G111" t="s">
        <v>51</v>
      </c>
      <c r="H111" t="s">
        <v>225</v>
      </c>
      <c r="I111" t="s">
        <v>53</v>
      </c>
      <c r="J111" t="s">
        <v>54</v>
      </c>
      <c r="K111">
        <v>823350</v>
      </c>
      <c r="L111" t="s">
        <v>65</v>
      </c>
      <c r="M111" t="s">
        <v>66</v>
      </c>
      <c r="N111" t="s">
        <v>57</v>
      </c>
      <c r="O111" s="1">
        <v>45915</v>
      </c>
      <c r="Q111" s="1">
        <v>45976</v>
      </c>
      <c r="R111" s="2">
        <v>62.71</v>
      </c>
      <c r="S111">
        <v>1</v>
      </c>
      <c r="T111" t="s">
        <v>58</v>
      </c>
      <c r="U111" t="s">
        <v>59</v>
      </c>
      <c r="V111" s="3">
        <v>0.75</v>
      </c>
      <c r="W111" s="2">
        <v>0</v>
      </c>
      <c r="X111">
        <v>0</v>
      </c>
      <c r="Y111" t="s">
        <v>60</v>
      </c>
      <c r="Z111" t="s">
        <v>182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47.03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45943</v>
      </c>
      <c r="B112" t="s">
        <v>48</v>
      </c>
      <c r="C112">
        <v>649163</v>
      </c>
      <c r="D112">
        <v>2031017069</v>
      </c>
      <c r="E112" t="s">
        <v>346</v>
      </c>
      <c r="F112" t="s">
        <v>159</v>
      </c>
      <c r="G112" t="s">
        <v>51</v>
      </c>
      <c r="H112" t="s">
        <v>107</v>
      </c>
      <c r="I112" t="s">
        <v>53</v>
      </c>
      <c r="J112" t="s">
        <v>70</v>
      </c>
      <c r="K112">
        <v>877790</v>
      </c>
      <c r="L112" t="s">
        <v>108</v>
      </c>
      <c r="M112" t="s">
        <v>109</v>
      </c>
      <c r="N112" t="s">
        <v>57</v>
      </c>
      <c r="O112" s="1">
        <v>45913</v>
      </c>
      <c r="Q112" s="1">
        <v>45974</v>
      </c>
      <c r="R112" s="2">
        <v>55</v>
      </c>
      <c r="S112">
        <v>1</v>
      </c>
      <c r="T112" t="s">
        <v>58</v>
      </c>
      <c r="U112" t="s">
        <v>59</v>
      </c>
      <c r="V112" s="3">
        <v>0.9</v>
      </c>
      <c r="W112" s="2">
        <v>0</v>
      </c>
      <c r="X112">
        <v>0</v>
      </c>
      <c r="Y112" t="s">
        <v>60</v>
      </c>
      <c r="Z112" t="s">
        <v>182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49.5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45943</v>
      </c>
      <c r="B113" t="s">
        <v>48</v>
      </c>
      <c r="C113">
        <v>649163</v>
      </c>
      <c r="D113">
        <v>2023845998</v>
      </c>
      <c r="E113" t="s">
        <v>347</v>
      </c>
      <c r="F113" t="s">
        <v>348</v>
      </c>
      <c r="G113" t="s">
        <v>51</v>
      </c>
      <c r="H113" t="s">
        <v>349</v>
      </c>
      <c r="I113" t="s">
        <v>79</v>
      </c>
      <c r="J113" t="s">
        <v>350</v>
      </c>
      <c r="K113">
        <v>751867</v>
      </c>
      <c r="L113" t="s">
        <v>186</v>
      </c>
      <c r="M113" t="s">
        <v>90</v>
      </c>
      <c r="N113" t="s">
        <v>57</v>
      </c>
      <c r="O113" s="1">
        <v>45505</v>
      </c>
      <c r="Q113" s="1">
        <v>45962</v>
      </c>
      <c r="R113" s="2">
        <v>15</v>
      </c>
      <c r="S113">
        <v>1</v>
      </c>
      <c r="T113" t="s">
        <v>58</v>
      </c>
      <c r="U113" t="s">
        <v>180</v>
      </c>
      <c r="V113" s="3">
        <v>0.1</v>
      </c>
      <c r="W113" s="2">
        <v>0</v>
      </c>
      <c r="X113">
        <v>0</v>
      </c>
      <c r="Y113" t="s">
        <v>181</v>
      </c>
      <c r="Z113" t="s">
        <v>182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1.5</v>
      </c>
      <c r="AN113" s="2">
        <v>1.5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45943</v>
      </c>
      <c r="B114" t="s">
        <v>48</v>
      </c>
      <c r="C114">
        <v>649163</v>
      </c>
      <c r="D114">
        <v>2023867556</v>
      </c>
      <c r="E114" t="s">
        <v>261</v>
      </c>
      <c r="F114" t="s">
        <v>351</v>
      </c>
      <c r="G114" t="s">
        <v>51</v>
      </c>
      <c r="H114" t="s">
        <v>189</v>
      </c>
      <c r="I114" t="s">
        <v>79</v>
      </c>
      <c r="J114" t="s">
        <v>350</v>
      </c>
      <c r="K114">
        <v>650218</v>
      </c>
      <c r="L114" t="s">
        <v>195</v>
      </c>
      <c r="M114" t="s">
        <v>196</v>
      </c>
      <c r="N114" t="s">
        <v>57</v>
      </c>
      <c r="O114" s="1">
        <v>45483</v>
      </c>
      <c r="Q114" s="1">
        <v>45971</v>
      </c>
      <c r="R114" s="2">
        <v>15</v>
      </c>
      <c r="S114">
        <v>1</v>
      </c>
      <c r="T114" t="s">
        <v>58</v>
      </c>
      <c r="U114" t="s">
        <v>180</v>
      </c>
      <c r="V114" s="3">
        <v>0.1</v>
      </c>
      <c r="W114" s="2">
        <v>0</v>
      </c>
      <c r="X114">
        <v>0</v>
      </c>
      <c r="Y114" t="s">
        <v>181</v>
      </c>
      <c r="Z114" t="s">
        <v>182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1.5</v>
      </c>
      <c r="AN114" s="2">
        <v>1.5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45943</v>
      </c>
      <c r="B115" t="s">
        <v>48</v>
      </c>
      <c r="C115">
        <v>649163</v>
      </c>
      <c r="D115">
        <v>2023913074</v>
      </c>
      <c r="E115" t="s">
        <v>352</v>
      </c>
      <c r="F115" t="s">
        <v>353</v>
      </c>
      <c r="G115" t="s">
        <v>51</v>
      </c>
      <c r="H115" t="s">
        <v>312</v>
      </c>
      <c r="I115" t="s">
        <v>79</v>
      </c>
      <c r="J115" t="s">
        <v>354</v>
      </c>
      <c r="K115">
        <v>673059</v>
      </c>
      <c r="L115" t="s">
        <v>55</v>
      </c>
      <c r="M115" t="s">
        <v>56</v>
      </c>
      <c r="N115" t="s">
        <v>57</v>
      </c>
      <c r="O115" s="1">
        <v>45643</v>
      </c>
      <c r="Q115" s="1">
        <v>45978</v>
      </c>
      <c r="R115" s="2">
        <v>15</v>
      </c>
      <c r="S115">
        <v>1</v>
      </c>
      <c r="T115" t="s">
        <v>58</v>
      </c>
      <c r="U115" t="s">
        <v>180</v>
      </c>
      <c r="V115" s="3">
        <v>0.19</v>
      </c>
      <c r="W115" s="2">
        <v>0</v>
      </c>
      <c r="X115">
        <v>0</v>
      </c>
      <c r="Y115" t="s">
        <v>60</v>
      </c>
      <c r="Z115" t="s">
        <v>182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2.85</v>
      </c>
      <c r="AN115" s="2">
        <v>2.85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45943</v>
      </c>
      <c r="B116" t="s">
        <v>48</v>
      </c>
      <c r="C116">
        <v>649163</v>
      </c>
      <c r="D116">
        <v>2024372430</v>
      </c>
      <c r="E116" t="s">
        <v>355</v>
      </c>
      <c r="F116" t="s">
        <v>356</v>
      </c>
      <c r="G116" t="s">
        <v>51</v>
      </c>
      <c r="H116" t="s">
        <v>357</v>
      </c>
      <c r="I116" t="s">
        <v>79</v>
      </c>
      <c r="J116" t="s">
        <v>85</v>
      </c>
      <c r="K116">
        <v>669316</v>
      </c>
      <c r="L116" t="s">
        <v>98</v>
      </c>
      <c r="M116" t="s">
        <v>99</v>
      </c>
      <c r="N116" t="s">
        <v>57</v>
      </c>
      <c r="O116" s="1">
        <v>45518</v>
      </c>
      <c r="Q116" s="1">
        <v>45975</v>
      </c>
      <c r="R116" s="2">
        <v>15</v>
      </c>
      <c r="S116">
        <v>1</v>
      </c>
      <c r="T116" t="s">
        <v>58</v>
      </c>
      <c r="U116" t="s">
        <v>180</v>
      </c>
      <c r="V116" s="3">
        <v>0.28999999999999998</v>
      </c>
      <c r="W116" s="2">
        <v>0</v>
      </c>
      <c r="X116">
        <v>0</v>
      </c>
      <c r="Y116" t="s">
        <v>181</v>
      </c>
      <c r="Z116" t="s">
        <v>182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4.3499999999999996</v>
      </c>
      <c r="AN116" s="2">
        <v>4.3499999999999996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45943</v>
      </c>
      <c r="B117" t="s">
        <v>48</v>
      </c>
      <c r="C117">
        <v>649163</v>
      </c>
      <c r="D117">
        <v>2024403626</v>
      </c>
      <c r="E117" t="s">
        <v>358</v>
      </c>
      <c r="F117" t="s">
        <v>359</v>
      </c>
      <c r="G117" t="s">
        <v>51</v>
      </c>
      <c r="H117" t="s">
        <v>185</v>
      </c>
      <c r="I117" t="s">
        <v>79</v>
      </c>
      <c r="J117" t="s">
        <v>350</v>
      </c>
      <c r="K117">
        <v>751867</v>
      </c>
      <c r="L117" t="s">
        <v>186</v>
      </c>
      <c r="M117" t="s">
        <v>90</v>
      </c>
      <c r="N117" t="s">
        <v>57</v>
      </c>
      <c r="O117" s="1">
        <v>45520</v>
      </c>
      <c r="Q117" s="1">
        <v>45977</v>
      </c>
      <c r="R117" s="2">
        <v>15</v>
      </c>
      <c r="S117">
        <v>1</v>
      </c>
      <c r="T117" t="s">
        <v>58</v>
      </c>
      <c r="U117" t="s">
        <v>180</v>
      </c>
      <c r="V117" s="3">
        <v>0.1</v>
      </c>
      <c r="W117" s="2">
        <v>0</v>
      </c>
      <c r="X117">
        <v>0</v>
      </c>
      <c r="Y117" t="s">
        <v>181</v>
      </c>
      <c r="Z117" t="s">
        <v>182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1.5</v>
      </c>
      <c r="AN117" s="2">
        <v>1.5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45943</v>
      </c>
      <c r="B118" t="s">
        <v>48</v>
      </c>
      <c r="C118">
        <v>649163</v>
      </c>
      <c r="D118">
        <v>2024680809</v>
      </c>
      <c r="E118" t="s">
        <v>360</v>
      </c>
      <c r="F118" t="s">
        <v>361</v>
      </c>
      <c r="G118" t="s">
        <v>51</v>
      </c>
      <c r="H118" t="s">
        <v>91</v>
      </c>
      <c r="I118" t="s">
        <v>79</v>
      </c>
      <c r="J118" t="s">
        <v>85</v>
      </c>
      <c r="K118">
        <v>767312</v>
      </c>
      <c r="L118" t="s">
        <v>147</v>
      </c>
      <c r="M118" t="s">
        <v>148</v>
      </c>
      <c r="N118" t="s">
        <v>179</v>
      </c>
      <c r="O118" s="1">
        <v>45575</v>
      </c>
      <c r="P118" s="1">
        <v>45943</v>
      </c>
      <c r="Q118" s="1">
        <v>45971</v>
      </c>
      <c r="R118" s="2">
        <v>-15</v>
      </c>
      <c r="S118">
        <v>1</v>
      </c>
      <c r="T118" t="s">
        <v>58</v>
      </c>
      <c r="U118" t="s">
        <v>180</v>
      </c>
      <c r="V118" s="3">
        <v>0.28999999999999998</v>
      </c>
      <c r="W118" s="2">
        <v>0</v>
      </c>
      <c r="X118">
        <v>-1</v>
      </c>
      <c r="Y118" t="s">
        <v>181</v>
      </c>
      <c r="Z118" t="s">
        <v>182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-4.3499999999999996</v>
      </c>
      <c r="AN118" s="2">
        <v>-4.3499999999999996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45943</v>
      </c>
      <c r="B119" t="s">
        <v>48</v>
      </c>
      <c r="C119">
        <v>649163</v>
      </c>
      <c r="D119">
        <v>2024853076</v>
      </c>
      <c r="E119" t="s">
        <v>362</v>
      </c>
      <c r="F119" t="s">
        <v>363</v>
      </c>
      <c r="G119" t="s">
        <v>51</v>
      </c>
      <c r="H119" t="s">
        <v>225</v>
      </c>
      <c r="I119" t="s">
        <v>79</v>
      </c>
      <c r="J119" t="s">
        <v>350</v>
      </c>
      <c r="K119">
        <v>650218</v>
      </c>
      <c r="L119" t="s">
        <v>195</v>
      </c>
      <c r="M119" t="s">
        <v>196</v>
      </c>
      <c r="N119" t="s">
        <v>57</v>
      </c>
      <c r="O119" s="1">
        <v>45550</v>
      </c>
      <c r="Q119" s="1">
        <v>45976</v>
      </c>
      <c r="R119" s="2">
        <v>15</v>
      </c>
      <c r="S119">
        <v>1</v>
      </c>
      <c r="T119" t="s">
        <v>58</v>
      </c>
      <c r="U119" t="s">
        <v>180</v>
      </c>
      <c r="V119" s="3">
        <v>0.1</v>
      </c>
      <c r="W119" s="2">
        <v>0</v>
      </c>
      <c r="X119">
        <v>0</v>
      </c>
      <c r="Y119" t="s">
        <v>181</v>
      </c>
      <c r="Z119" t="s">
        <v>182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1.5</v>
      </c>
      <c r="AN119" s="2">
        <v>1.5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45943</v>
      </c>
      <c r="B120" t="s">
        <v>48</v>
      </c>
      <c r="C120">
        <v>649163</v>
      </c>
      <c r="D120">
        <v>2025737165</v>
      </c>
      <c r="E120" t="s">
        <v>364</v>
      </c>
      <c r="F120" t="s">
        <v>165</v>
      </c>
      <c r="G120" t="s">
        <v>51</v>
      </c>
      <c r="H120" t="s">
        <v>312</v>
      </c>
      <c r="I120" t="s">
        <v>79</v>
      </c>
      <c r="J120" t="s">
        <v>350</v>
      </c>
      <c r="K120">
        <v>650218</v>
      </c>
      <c r="L120" t="s">
        <v>195</v>
      </c>
      <c r="M120" t="s">
        <v>196</v>
      </c>
      <c r="N120" t="s">
        <v>57</v>
      </c>
      <c r="O120" s="1">
        <v>45609</v>
      </c>
      <c r="Q120" s="1">
        <v>45974</v>
      </c>
      <c r="R120" s="2">
        <v>15</v>
      </c>
      <c r="S120">
        <v>1</v>
      </c>
      <c r="T120" t="s">
        <v>58</v>
      </c>
      <c r="U120" t="s">
        <v>180</v>
      </c>
      <c r="V120" s="3">
        <v>0.38</v>
      </c>
      <c r="W120" s="2">
        <v>0</v>
      </c>
      <c r="X120">
        <v>0</v>
      </c>
      <c r="Y120" t="s">
        <v>60</v>
      </c>
      <c r="Z120" t="s">
        <v>182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5.7</v>
      </c>
      <c r="AN120" s="2">
        <v>5.7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45943</v>
      </c>
      <c r="B121" t="s">
        <v>48</v>
      </c>
      <c r="C121">
        <v>649163</v>
      </c>
      <c r="D121">
        <v>2026586623</v>
      </c>
      <c r="E121" t="s">
        <v>365</v>
      </c>
      <c r="F121" t="s">
        <v>366</v>
      </c>
      <c r="G121" t="s">
        <v>51</v>
      </c>
      <c r="H121" t="s">
        <v>214</v>
      </c>
      <c r="I121" t="s">
        <v>79</v>
      </c>
      <c r="J121" t="s">
        <v>350</v>
      </c>
      <c r="K121">
        <v>756418</v>
      </c>
      <c r="L121" t="s">
        <v>216</v>
      </c>
      <c r="M121" t="s">
        <v>217</v>
      </c>
      <c r="N121" t="s">
        <v>57</v>
      </c>
      <c r="O121" s="1">
        <v>45672</v>
      </c>
      <c r="Q121" s="1">
        <v>45976</v>
      </c>
      <c r="R121" s="2">
        <v>15</v>
      </c>
      <c r="S121">
        <v>1</v>
      </c>
      <c r="T121" t="s">
        <v>58</v>
      </c>
      <c r="U121" t="s">
        <v>180</v>
      </c>
      <c r="V121" s="3">
        <v>0.38</v>
      </c>
      <c r="W121" s="2">
        <v>0</v>
      </c>
      <c r="X121">
        <v>0</v>
      </c>
      <c r="Y121" t="s">
        <v>60</v>
      </c>
      <c r="Z121" t="s">
        <v>182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5.7</v>
      </c>
      <c r="AN121" s="2">
        <v>5.7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45943</v>
      </c>
      <c r="B122" t="s">
        <v>48</v>
      </c>
      <c r="C122">
        <v>649163</v>
      </c>
      <c r="D122">
        <v>2027080634</v>
      </c>
      <c r="E122" t="s">
        <v>367</v>
      </c>
      <c r="F122" t="s">
        <v>368</v>
      </c>
      <c r="G122" t="s">
        <v>51</v>
      </c>
      <c r="H122" t="s">
        <v>369</v>
      </c>
      <c r="I122" t="s">
        <v>79</v>
      </c>
      <c r="J122" t="s">
        <v>85</v>
      </c>
      <c r="K122">
        <v>824062</v>
      </c>
      <c r="L122" t="s">
        <v>126</v>
      </c>
      <c r="M122" t="s">
        <v>127</v>
      </c>
      <c r="N122" t="s">
        <v>57</v>
      </c>
      <c r="O122" s="1">
        <v>45701</v>
      </c>
      <c r="Q122" s="1">
        <v>45974</v>
      </c>
      <c r="R122" s="2">
        <v>15</v>
      </c>
      <c r="S122">
        <v>1</v>
      </c>
      <c r="T122" t="s">
        <v>58</v>
      </c>
      <c r="U122" t="s">
        <v>180</v>
      </c>
      <c r="V122" s="3">
        <v>0.28999999999999998</v>
      </c>
      <c r="W122" s="2">
        <v>0</v>
      </c>
      <c r="X122">
        <v>0</v>
      </c>
      <c r="Y122" t="s">
        <v>60</v>
      </c>
      <c r="Z122" t="s">
        <v>182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4.3499999999999996</v>
      </c>
      <c r="AN122" s="2">
        <v>4.3499999999999996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45943</v>
      </c>
      <c r="B123" t="s">
        <v>48</v>
      </c>
      <c r="C123">
        <v>649163</v>
      </c>
      <c r="D123">
        <v>2027849976</v>
      </c>
      <c r="E123" t="s">
        <v>370</v>
      </c>
      <c r="F123" t="s">
        <v>371</v>
      </c>
      <c r="G123" t="s">
        <v>51</v>
      </c>
      <c r="H123" t="s">
        <v>372</v>
      </c>
      <c r="I123" t="s">
        <v>79</v>
      </c>
      <c r="J123" t="s">
        <v>350</v>
      </c>
      <c r="K123">
        <v>650218</v>
      </c>
      <c r="L123" t="s">
        <v>195</v>
      </c>
      <c r="M123" t="s">
        <v>196</v>
      </c>
      <c r="N123" t="s">
        <v>57</v>
      </c>
      <c r="O123" s="1">
        <v>45733</v>
      </c>
      <c r="Q123" s="1">
        <v>45978</v>
      </c>
      <c r="R123" s="2">
        <v>15</v>
      </c>
      <c r="S123">
        <v>1</v>
      </c>
      <c r="T123" t="s">
        <v>58</v>
      </c>
      <c r="U123" t="s">
        <v>180</v>
      </c>
      <c r="V123" s="3">
        <v>0.38</v>
      </c>
      <c r="W123" s="2">
        <v>0</v>
      </c>
      <c r="X123">
        <v>0</v>
      </c>
      <c r="Y123" t="s">
        <v>60</v>
      </c>
      <c r="Z123" t="s">
        <v>182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5.7</v>
      </c>
      <c r="AN123" s="2">
        <v>5.7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45943</v>
      </c>
      <c r="B124" t="s">
        <v>48</v>
      </c>
      <c r="C124">
        <v>649163</v>
      </c>
      <c r="D124">
        <v>2028367121</v>
      </c>
      <c r="E124" t="s">
        <v>262</v>
      </c>
      <c r="F124" t="s">
        <v>263</v>
      </c>
      <c r="G124" t="s">
        <v>51</v>
      </c>
      <c r="H124" t="s">
        <v>52</v>
      </c>
      <c r="I124" t="s">
        <v>79</v>
      </c>
      <c r="J124" t="s">
        <v>80</v>
      </c>
      <c r="K124">
        <v>673059</v>
      </c>
      <c r="L124" t="s">
        <v>55</v>
      </c>
      <c r="M124" t="s">
        <v>56</v>
      </c>
      <c r="N124" t="s">
        <v>57</v>
      </c>
      <c r="O124" s="1">
        <v>45759</v>
      </c>
      <c r="Q124" s="1">
        <v>45973</v>
      </c>
      <c r="R124" s="2">
        <v>15</v>
      </c>
      <c r="S124">
        <v>1</v>
      </c>
      <c r="T124" t="s">
        <v>58</v>
      </c>
      <c r="U124" t="s">
        <v>180</v>
      </c>
      <c r="V124" s="3">
        <v>0.38</v>
      </c>
      <c r="W124" s="2">
        <v>0</v>
      </c>
      <c r="X124">
        <v>0</v>
      </c>
      <c r="Y124" t="s">
        <v>60</v>
      </c>
      <c r="Z124" t="s">
        <v>182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5.7</v>
      </c>
      <c r="AN124" s="2">
        <v>5.7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45943</v>
      </c>
      <c r="B125" t="s">
        <v>48</v>
      </c>
      <c r="C125">
        <v>649163</v>
      </c>
      <c r="D125">
        <v>2028437289</v>
      </c>
      <c r="E125" t="s">
        <v>373</v>
      </c>
      <c r="F125" t="s">
        <v>374</v>
      </c>
      <c r="G125" t="s">
        <v>51</v>
      </c>
      <c r="H125" t="s">
        <v>52</v>
      </c>
      <c r="I125" t="s">
        <v>79</v>
      </c>
      <c r="J125" t="s">
        <v>85</v>
      </c>
      <c r="K125">
        <v>673059</v>
      </c>
      <c r="L125" t="s">
        <v>55</v>
      </c>
      <c r="M125" t="s">
        <v>56</v>
      </c>
      <c r="N125" t="s">
        <v>57</v>
      </c>
      <c r="O125" s="1">
        <v>45764</v>
      </c>
      <c r="Q125" s="1">
        <v>45978</v>
      </c>
      <c r="R125" s="2">
        <v>15</v>
      </c>
      <c r="S125">
        <v>1</v>
      </c>
      <c r="T125" t="s">
        <v>58</v>
      </c>
      <c r="U125" t="s">
        <v>180</v>
      </c>
      <c r="V125" s="3">
        <v>0.28999999999999998</v>
      </c>
      <c r="W125" s="2">
        <v>0</v>
      </c>
      <c r="X125">
        <v>0</v>
      </c>
      <c r="Y125" t="s">
        <v>60</v>
      </c>
      <c r="Z125" t="s">
        <v>182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4.3499999999999996</v>
      </c>
      <c r="AN125" s="2">
        <v>4.3499999999999996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45943</v>
      </c>
      <c r="B126" t="s">
        <v>48</v>
      </c>
      <c r="C126">
        <v>649163</v>
      </c>
      <c r="D126">
        <v>2028958359</v>
      </c>
      <c r="E126" t="s">
        <v>275</v>
      </c>
      <c r="F126" t="s">
        <v>276</v>
      </c>
      <c r="G126" t="s">
        <v>51</v>
      </c>
      <c r="H126" t="s">
        <v>78</v>
      </c>
      <c r="I126" t="s">
        <v>79</v>
      </c>
      <c r="J126" t="s">
        <v>375</v>
      </c>
      <c r="K126">
        <v>673059</v>
      </c>
      <c r="L126" t="s">
        <v>55</v>
      </c>
      <c r="M126" t="s">
        <v>56</v>
      </c>
      <c r="N126" t="s">
        <v>57</v>
      </c>
      <c r="O126" s="1">
        <v>45793</v>
      </c>
      <c r="Q126" s="1">
        <v>45977</v>
      </c>
      <c r="R126" s="2">
        <v>15</v>
      </c>
      <c r="S126">
        <v>1</v>
      </c>
      <c r="T126" t="s">
        <v>58</v>
      </c>
      <c r="U126" t="s">
        <v>180</v>
      </c>
      <c r="V126" s="3">
        <v>0.19</v>
      </c>
      <c r="W126" s="2">
        <v>0</v>
      </c>
      <c r="X126">
        <v>0</v>
      </c>
      <c r="Y126" t="s">
        <v>60</v>
      </c>
      <c r="Z126" t="s">
        <v>182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2.85</v>
      </c>
      <c r="AN126" s="2">
        <v>2.85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45943</v>
      </c>
      <c r="B127" t="s">
        <v>48</v>
      </c>
      <c r="C127">
        <v>649163</v>
      </c>
      <c r="D127">
        <v>2029177110</v>
      </c>
      <c r="E127" t="s">
        <v>282</v>
      </c>
      <c r="F127" t="s">
        <v>283</v>
      </c>
      <c r="G127" t="s">
        <v>51</v>
      </c>
      <c r="H127" t="s">
        <v>78</v>
      </c>
      <c r="I127" t="s">
        <v>79</v>
      </c>
      <c r="J127" t="s">
        <v>350</v>
      </c>
      <c r="K127">
        <v>820873</v>
      </c>
      <c r="L127" t="s">
        <v>284</v>
      </c>
      <c r="M127" t="s">
        <v>285</v>
      </c>
      <c r="N127" t="s">
        <v>179</v>
      </c>
      <c r="O127" s="1">
        <v>45809</v>
      </c>
      <c r="P127" s="1">
        <v>45943</v>
      </c>
      <c r="Q127" s="1">
        <v>45962</v>
      </c>
      <c r="R127" s="2">
        <v>-15</v>
      </c>
      <c r="S127">
        <v>1</v>
      </c>
      <c r="T127" t="s">
        <v>58</v>
      </c>
      <c r="U127" t="s">
        <v>180</v>
      </c>
      <c r="V127" s="3">
        <v>0.38</v>
      </c>
      <c r="W127" s="2">
        <v>0</v>
      </c>
      <c r="X127">
        <v>-1</v>
      </c>
      <c r="Y127" t="s">
        <v>60</v>
      </c>
      <c r="Z127" t="s">
        <v>182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-5.7</v>
      </c>
      <c r="AN127" s="2">
        <v>-5.7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45943</v>
      </c>
      <c r="B128" t="s">
        <v>48</v>
      </c>
      <c r="C128">
        <v>649163</v>
      </c>
      <c r="D128">
        <v>2029177110</v>
      </c>
      <c r="E128" t="s">
        <v>282</v>
      </c>
      <c r="F128" t="s">
        <v>283</v>
      </c>
      <c r="G128" t="s">
        <v>51</v>
      </c>
      <c r="H128" t="s">
        <v>78</v>
      </c>
      <c r="I128" t="s">
        <v>79</v>
      </c>
      <c r="J128" t="s">
        <v>350</v>
      </c>
      <c r="K128">
        <v>820873</v>
      </c>
      <c r="L128" t="s">
        <v>284</v>
      </c>
      <c r="M128" t="s">
        <v>285</v>
      </c>
      <c r="N128" t="s">
        <v>179</v>
      </c>
      <c r="O128" s="1">
        <v>45809</v>
      </c>
      <c r="P128" s="1">
        <v>45943</v>
      </c>
      <c r="Q128" s="1">
        <v>45962</v>
      </c>
      <c r="R128" s="2">
        <v>-15</v>
      </c>
      <c r="S128">
        <v>1</v>
      </c>
      <c r="T128" t="s">
        <v>58</v>
      </c>
      <c r="U128" t="s">
        <v>180</v>
      </c>
      <c r="V128" s="3">
        <v>0.38</v>
      </c>
      <c r="W128" s="2">
        <v>0</v>
      </c>
      <c r="X128">
        <v>-1</v>
      </c>
      <c r="Y128" t="s">
        <v>60</v>
      </c>
      <c r="Z128" t="s">
        <v>182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-5.7</v>
      </c>
      <c r="AN128" s="2">
        <v>-5.7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45943</v>
      </c>
      <c r="B129" t="s">
        <v>48</v>
      </c>
      <c r="C129">
        <v>649163</v>
      </c>
      <c r="D129">
        <v>2029486077</v>
      </c>
      <c r="E129" t="s">
        <v>376</v>
      </c>
      <c r="F129" t="s">
        <v>377</v>
      </c>
      <c r="G129" t="s">
        <v>51</v>
      </c>
      <c r="H129" t="s">
        <v>78</v>
      </c>
      <c r="I129" t="s">
        <v>79</v>
      </c>
      <c r="J129" t="s">
        <v>80</v>
      </c>
      <c r="K129">
        <v>824062</v>
      </c>
      <c r="L129" t="s">
        <v>126</v>
      </c>
      <c r="M129" t="s">
        <v>127</v>
      </c>
      <c r="N129" t="s">
        <v>57</v>
      </c>
      <c r="O129" s="1">
        <v>45825</v>
      </c>
      <c r="Q129" s="1">
        <v>45978</v>
      </c>
      <c r="R129" s="2">
        <v>15</v>
      </c>
      <c r="S129">
        <v>1</v>
      </c>
      <c r="T129" t="s">
        <v>58</v>
      </c>
      <c r="U129" t="s">
        <v>180</v>
      </c>
      <c r="V129" s="3">
        <v>0.38</v>
      </c>
      <c r="W129" s="2">
        <v>0</v>
      </c>
      <c r="X129">
        <v>0</v>
      </c>
      <c r="Y129" t="s">
        <v>60</v>
      </c>
      <c r="Z129" t="s">
        <v>182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5.7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45943</v>
      </c>
      <c r="B130" t="s">
        <v>48</v>
      </c>
      <c r="C130">
        <v>649163</v>
      </c>
      <c r="D130">
        <v>2029844786</v>
      </c>
      <c r="E130" t="s">
        <v>227</v>
      </c>
      <c r="F130" t="s">
        <v>378</v>
      </c>
      <c r="G130" t="s">
        <v>51</v>
      </c>
      <c r="H130" t="s">
        <v>78</v>
      </c>
      <c r="I130" t="s">
        <v>79</v>
      </c>
      <c r="J130" t="s">
        <v>80</v>
      </c>
      <c r="K130">
        <v>768887</v>
      </c>
      <c r="L130" t="s">
        <v>139</v>
      </c>
      <c r="M130" t="s">
        <v>140</v>
      </c>
      <c r="N130" t="s">
        <v>57</v>
      </c>
      <c r="O130" s="1">
        <v>45849</v>
      </c>
      <c r="Q130" s="1">
        <v>45972</v>
      </c>
      <c r="R130" s="2">
        <v>15</v>
      </c>
      <c r="S130">
        <v>1</v>
      </c>
      <c r="T130" t="s">
        <v>58</v>
      </c>
      <c r="U130" t="s">
        <v>180</v>
      </c>
      <c r="V130" s="3">
        <v>0.38</v>
      </c>
      <c r="W130" s="2">
        <v>0</v>
      </c>
      <c r="X130">
        <v>0</v>
      </c>
      <c r="Y130" t="s">
        <v>60</v>
      </c>
      <c r="Z130" t="s">
        <v>182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5.7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45943</v>
      </c>
      <c r="B131" t="s">
        <v>48</v>
      </c>
      <c r="C131">
        <v>649163</v>
      </c>
      <c r="D131">
        <v>2029995395</v>
      </c>
      <c r="E131" t="s">
        <v>379</v>
      </c>
      <c r="F131" t="s">
        <v>211</v>
      </c>
      <c r="G131" t="s">
        <v>51</v>
      </c>
      <c r="H131" t="s">
        <v>225</v>
      </c>
      <c r="I131" t="s">
        <v>79</v>
      </c>
      <c r="J131" t="s">
        <v>85</v>
      </c>
      <c r="K131">
        <v>877182</v>
      </c>
      <c r="L131" t="s">
        <v>380</v>
      </c>
      <c r="M131" t="s">
        <v>381</v>
      </c>
      <c r="N131" t="s">
        <v>57</v>
      </c>
      <c r="O131" s="1">
        <v>45855</v>
      </c>
      <c r="Q131" s="1">
        <v>45978</v>
      </c>
      <c r="R131" s="2">
        <v>15</v>
      </c>
      <c r="S131">
        <v>1</v>
      </c>
      <c r="T131" t="s">
        <v>58</v>
      </c>
      <c r="U131" t="s">
        <v>180</v>
      </c>
      <c r="V131" s="3">
        <v>0.28999999999999998</v>
      </c>
      <c r="W131" s="2">
        <v>0</v>
      </c>
      <c r="X131">
        <v>0</v>
      </c>
      <c r="Y131" t="s">
        <v>60</v>
      </c>
      <c r="Z131" t="s">
        <v>182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4.3499999999999996</v>
      </c>
      <c r="AN131" s="2">
        <v>4.3499999999999996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45943</v>
      </c>
      <c r="B132" t="s">
        <v>48</v>
      </c>
      <c r="C132">
        <v>649163</v>
      </c>
      <c r="D132">
        <v>2030485608</v>
      </c>
      <c r="E132" t="s">
        <v>382</v>
      </c>
      <c r="F132" t="s">
        <v>383</v>
      </c>
      <c r="G132" t="s">
        <v>51</v>
      </c>
      <c r="H132" t="s">
        <v>219</v>
      </c>
      <c r="I132" t="s">
        <v>79</v>
      </c>
      <c r="J132" t="s">
        <v>85</v>
      </c>
      <c r="K132">
        <v>839913</v>
      </c>
      <c r="L132" t="s">
        <v>384</v>
      </c>
      <c r="M132" t="s">
        <v>385</v>
      </c>
      <c r="N132" t="s">
        <v>57</v>
      </c>
      <c r="O132" s="1">
        <v>45883</v>
      </c>
      <c r="Q132" s="1">
        <v>45975</v>
      </c>
      <c r="R132" s="2">
        <v>15</v>
      </c>
      <c r="S132">
        <v>1</v>
      </c>
      <c r="T132" t="s">
        <v>58</v>
      </c>
      <c r="U132" t="s">
        <v>180</v>
      </c>
      <c r="V132" s="3">
        <v>0.28999999999999998</v>
      </c>
      <c r="W132" s="2">
        <v>0</v>
      </c>
      <c r="X132">
        <v>0</v>
      </c>
      <c r="Y132" t="s">
        <v>60</v>
      </c>
      <c r="Z132" t="s">
        <v>182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4.3499999999999996</v>
      </c>
      <c r="AN132" s="2">
        <v>4.3499999999999996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45943</v>
      </c>
      <c r="B133" t="s">
        <v>48</v>
      </c>
      <c r="C133">
        <v>649163</v>
      </c>
      <c r="D133">
        <v>2030924643</v>
      </c>
      <c r="E133" t="s">
        <v>338</v>
      </c>
      <c r="F133" t="s">
        <v>339</v>
      </c>
      <c r="G133" t="s">
        <v>51</v>
      </c>
      <c r="H133" t="s">
        <v>312</v>
      </c>
      <c r="I133" t="s">
        <v>79</v>
      </c>
      <c r="J133" t="s">
        <v>354</v>
      </c>
      <c r="K133">
        <v>874230</v>
      </c>
      <c r="L133" t="s">
        <v>340</v>
      </c>
      <c r="M133" t="s">
        <v>341</v>
      </c>
      <c r="N133" t="s">
        <v>57</v>
      </c>
      <c r="O133" s="1">
        <v>45911</v>
      </c>
      <c r="Q133" s="1">
        <v>45972</v>
      </c>
      <c r="R133" s="2">
        <v>15</v>
      </c>
      <c r="S133">
        <v>1</v>
      </c>
      <c r="T133" t="s">
        <v>58</v>
      </c>
      <c r="U133" t="s">
        <v>82</v>
      </c>
      <c r="V133" s="3">
        <v>0.19</v>
      </c>
      <c r="W133" s="2">
        <v>0</v>
      </c>
      <c r="X133">
        <v>0</v>
      </c>
      <c r="Y133" t="s">
        <v>60</v>
      </c>
      <c r="Z133" t="s">
        <v>182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2.85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45943</v>
      </c>
      <c r="B134" t="s">
        <v>48</v>
      </c>
      <c r="C134">
        <v>649163</v>
      </c>
      <c r="D134">
        <v>2030932602</v>
      </c>
      <c r="E134" t="s">
        <v>342</v>
      </c>
      <c r="F134" t="s">
        <v>343</v>
      </c>
      <c r="G134" t="s">
        <v>51</v>
      </c>
      <c r="H134" t="s">
        <v>312</v>
      </c>
      <c r="I134" t="s">
        <v>79</v>
      </c>
      <c r="J134" t="s">
        <v>354</v>
      </c>
      <c r="K134">
        <v>874230</v>
      </c>
      <c r="L134" t="s">
        <v>340</v>
      </c>
      <c r="M134" t="s">
        <v>341</v>
      </c>
      <c r="N134" t="s">
        <v>57</v>
      </c>
      <c r="O134" s="1">
        <v>45911</v>
      </c>
      <c r="Q134" s="1">
        <v>45972</v>
      </c>
      <c r="R134" s="2">
        <v>15</v>
      </c>
      <c r="S134">
        <v>1</v>
      </c>
      <c r="T134" t="s">
        <v>58</v>
      </c>
      <c r="U134" t="s">
        <v>82</v>
      </c>
      <c r="V134" s="3">
        <v>0.19</v>
      </c>
      <c r="W134" s="2">
        <v>0</v>
      </c>
      <c r="X134">
        <v>0</v>
      </c>
      <c r="Y134" t="s">
        <v>60</v>
      </c>
      <c r="Z134" t="s">
        <v>182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2.85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45943</v>
      </c>
      <c r="B135" t="s">
        <v>48</v>
      </c>
      <c r="C135">
        <v>649163</v>
      </c>
      <c r="D135">
        <v>2031017071</v>
      </c>
      <c r="E135" t="s">
        <v>346</v>
      </c>
      <c r="F135" t="s">
        <v>159</v>
      </c>
      <c r="G135" t="s">
        <v>51</v>
      </c>
      <c r="H135" t="s">
        <v>107</v>
      </c>
      <c r="I135" t="s">
        <v>79</v>
      </c>
      <c r="J135" t="s">
        <v>386</v>
      </c>
      <c r="K135">
        <v>877790</v>
      </c>
      <c r="L135" t="s">
        <v>108</v>
      </c>
      <c r="M135" t="s">
        <v>109</v>
      </c>
      <c r="N135" t="s">
        <v>57</v>
      </c>
      <c r="O135" s="1">
        <v>45913</v>
      </c>
      <c r="Q135" s="1">
        <v>45974</v>
      </c>
      <c r="R135" s="2">
        <v>15</v>
      </c>
      <c r="S135">
        <v>1</v>
      </c>
      <c r="T135" t="s">
        <v>58</v>
      </c>
      <c r="U135" t="s">
        <v>88</v>
      </c>
      <c r="V135" s="3">
        <v>0.19</v>
      </c>
      <c r="W135" s="2">
        <v>0</v>
      </c>
      <c r="X135">
        <v>0</v>
      </c>
      <c r="Y135" t="s">
        <v>60</v>
      </c>
      <c r="Z135" t="s">
        <v>182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2.85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45943</v>
      </c>
      <c r="B136" t="s">
        <v>48</v>
      </c>
      <c r="C136">
        <v>649163</v>
      </c>
      <c r="D136">
        <v>2031057793</v>
      </c>
      <c r="E136" t="s">
        <v>387</v>
      </c>
      <c r="F136" t="s">
        <v>90</v>
      </c>
      <c r="G136" t="s">
        <v>51</v>
      </c>
      <c r="H136" t="s">
        <v>337</v>
      </c>
      <c r="I136" t="s">
        <v>79</v>
      </c>
      <c r="J136" t="s">
        <v>388</v>
      </c>
      <c r="K136">
        <v>856163</v>
      </c>
      <c r="L136" t="s">
        <v>65</v>
      </c>
      <c r="M136" t="s">
        <v>81</v>
      </c>
      <c r="N136" t="s">
        <v>57</v>
      </c>
      <c r="O136" s="1">
        <v>45915</v>
      </c>
      <c r="Q136" s="1">
        <v>45976</v>
      </c>
      <c r="R136" s="2">
        <v>15</v>
      </c>
      <c r="S136">
        <v>1</v>
      </c>
      <c r="T136" t="s">
        <v>58</v>
      </c>
      <c r="U136" t="s">
        <v>389</v>
      </c>
      <c r="V136" s="3">
        <v>0.27</v>
      </c>
      <c r="W136" s="2">
        <v>0</v>
      </c>
      <c r="X136">
        <v>0</v>
      </c>
      <c r="Y136" t="s">
        <v>60</v>
      </c>
      <c r="Z136" t="s">
        <v>182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4.05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45943</v>
      </c>
      <c r="B137" t="s">
        <v>48</v>
      </c>
      <c r="C137">
        <v>649163</v>
      </c>
      <c r="D137">
        <v>2016549422</v>
      </c>
      <c r="E137" t="s">
        <v>390</v>
      </c>
      <c r="F137" t="s">
        <v>327</v>
      </c>
      <c r="G137" t="s">
        <v>51</v>
      </c>
      <c r="H137" t="s">
        <v>189</v>
      </c>
      <c r="I137" t="s">
        <v>92</v>
      </c>
      <c r="J137" t="s">
        <v>93</v>
      </c>
      <c r="K137">
        <v>650794</v>
      </c>
      <c r="L137" t="s">
        <v>222</v>
      </c>
      <c r="M137" t="s">
        <v>391</v>
      </c>
      <c r="N137" t="s">
        <v>57</v>
      </c>
      <c r="O137" s="1">
        <v>44849</v>
      </c>
      <c r="Q137" s="1">
        <v>45976</v>
      </c>
      <c r="R137" s="2">
        <v>149.46</v>
      </c>
      <c r="S137">
        <v>1</v>
      </c>
      <c r="T137" t="s">
        <v>58</v>
      </c>
      <c r="U137" t="s">
        <v>180</v>
      </c>
      <c r="V137" s="3">
        <v>0.06</v>
      </c>
      <c r="W137" s="2">
        <v>0</v>
      </c>
      <c r="X137">
        <v>0</v>
      </c>
      <c r="Y137" t="s">
        <v>181</v>
      </c>
      <c r="Z137" t="s">
        <v>182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8.9700000000000006</v>
      </c>
      <c r="AN137" s="2">
        <v>8.9700000000000006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45943</v>
      </c>
      <c r="B138" t="s">
        <v>48</v>
      </c>
      <c r="C138">
        <v>649163</v>
      </c>
      <c r="D138">
        <v>2017069747</v>
      </c>
      <c r="E138" t="s">
        <v>392</v>
      </c>
      <c r="F138" t="s">
        <v>159</v>
      </c>
      <c r="G138" t="s">
        <v>51</v>
      </c>
      <c r="H138" t="s">
        <v>189</v>
      </c>
      <c r="I138" t="s">
        <v>92</v>
      </c>
      <c r="J138" t="s">
        <v>93</v>
      </c>
      <c r="K138">
        <v>650794</v>
      </c>
      <c r="L138" t="s">
        <v>222</v>
      </c>
      <c r="M138" t="s">
        <v>391</v>
      </c>
      <c r="N138" t="s">
        <v>57</v>
      </c>
      <c r="O138" s="1">
        <v>44909</v>
      </c>
      <c r="Q138" s="1">
        <v>45975</v>
      </c>
      <c r="R138" s="2">
        <v>36.65</v>
      </c>
      <c r="S138">
        <v>1</v>
      </c>
      <c r="T138" t="s">
        <v>58</v>
      </c>
      <c r="U138" t="s">
        <v>180</v>
      </c>
      <c r="V138" s="3">
        <v>0.06</v>
      </c>
      <c r="W138" s="2">
        <v>0</v>
      </c>
      <c r="X138">
        <v>0</v>
      </c>
      <c r="Y138" t="s">
        <v>181</v>
      </c>
      <c r="Z138" t="s">
        <v>182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2.2000000000000002</v>
      </c>
      <c r="AN138" s="2">
        <v>2.2000000000000002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45943</v>
      </c>
      <c r="B139" t="s">
        <v>48</v>
      </c>
      <c r="C139">
        <v>649163</v>
      </c>
      <c r="D139">
        <v>2017105567</v>
      </c>
      <c r="E139" t="s">
        <v>393</v>
      </c>
      <c r="F139" t="s">
        <v>394</v>
      </c>
      <c r="G139" t="s">
        <v>51</v>
      </c>
      <c r="H139" t="s">
        <v>189</v>
      </c>
      <c r="I139" t="s">
        <v>92</v>
      </c>
      <c r="J139" t="s">
        <v>93</v>
      </c>
      <c r="K139">
        <v>649247</v>
      </c>
      <c r="L139" t="s">
        <v>395</v>
      </c>
      <c r="M139" t="s">
        <v>396</v>
      </c>
      <c r="N139" t="s">
        <v>57</v>
      </c>
      <c r="O139" s="1">
        <v>44911</v>
      </c>
      <c r="Q139" s="1">
        <v>45977</v>
      </c>
      <c r="R139" s="2">
        <v>101.58</v>
      </c>
      <c r="S139">
        <v>1</v>
      </c>
      <c r="T139" t="s">
        <v>58</v>
      </c>
      <c r="U139" t="s">
        <v>180</v>
      </c>
      <c r="V139" s="3">
        <v>0.06</v>
      </c>
      <c r="W139" s="2">
        <v>0</v>
      </c>
      <c r="X139">
        <v>0</v>
      </c>
      <c r="Y139" t="s">
        <v>181</v>
      </c>
      <c r="Z139" t="s">
        <v>182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6.09</v>
      </c>
      <c r="AN139" s="2">
        <v>6.09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45943</v>
      </c>
      <c r="B140" t="s">
        <v>48</v>
      </c>
      <c r="C140">
        <v>649163</v>
      </c>
      <c r="D140">
        <v>2017683726</v>
      </c>
      <c r="E140" t="s">
        <v>397</v>
      </c>
      <c r="F140" t="s">
        <v>398</v>
      </c>
      <c r="G140" t="s">
        <v>51</v>
      </c>
      <c r="H140" t="s">
        <v>225</v>
      </c>
      <c r="I140" t="s">
        <v>92</v>
      </c>
      <c r="J140" t="s">
        <v>93</v>
      </c>
      <c r="K140">
        <v>649793</v>
      </c>
      <c r="L140" t="s">
        <v>55</v>
      </c>
      <c r="M140" t="s">
        <v>178</v>
      </c>
      <c r="N140" t="s">
        <v>57</v>
      </c>
      <c r="O140" s="1">
        <v>44974</v>
      </c>
      <c r="Q140" s="1">
        <v>45978</v>
      </c>
      <c r="R140" s="2">
        <v>31.88</v>
      </c>
      <c r="S140">
        <v>1</v>
      </c>
      <c r="T140" t="s">
        <v>58</v>
      </c>
      <c r="U140" t="s">
        <v>180</v>
      </c>
      <c r="V140" s="3">
        <v>0.06</v>
      </c>
      <c r="W140" s="2">
        <v>0</v>
      </c>
      <c r="X140">
        <v>0</v>
      </c>
      <c r="Y140" t="s">
        <v>181</v>
      </c>
      <c r="Z140" t="s">
        <v>182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1.91</v>
      </c>
      <c r="AN140" s="2">
        <v>1.91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45943</v>
      </c>
      <c r="B141" t="s">
        <v>48</v>
      </c>
      <c r="C141">
        <v>649163</v>
      </c>
      <c r="D141">
        <v>2019352254</v>
      </c>
      <c r="E141" t="s">
        <v>399</v>
      </c>
      <c r="F141" t="s">
        <v>400</v>
      </c>
      <c r="G141" t="s">
        <v>51</v>
      </c>
      <c r="H141" t="s">
        <v>189</v>
      </c>
      <c r="I141" t="s">
        <v>92</v>
      </c>
      <c r="J141" t="s">
        <v>93</v>
      </c>
      <c r="K141">
        <v>649247</v>
      </c>
      <c r="L141" t="s">
        <v>395</v>
      </c>
      <c r="M141" t="s">
        <v>396</v>
      </c>
      <c r="N141" t="s">
        <v>57</v>
      </c>
      <c r="O141" s="1">
        <v>45120</v>
      </c>
      <c r="Q141" s="1">
        <v>45974</v>
      </c>
      <c r="R141" s="2">
        <v>49.98</v>
      </c>
      <c r="S141">
        <v>1</v>
      </c>
      <c r="T141" t="s">
        <v>58</v>
      </c>
      <c r="U141" t="s">
        <v>180</v>
      </c>
      <c r="V141" s="3">
        <v>0.06</v>
      </c>
      <c r="W141" s="2">
        <v>0</v>
      </c>
      <c r="X141">
        <v>0</v>
      </c>
      <c r="Y141" t="s">
        <v>181</v>
      </c>
      <c r="Z141" t="s">
        <v>182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3</v>
      </c>
      <c r="AN141" s="2">
        <v>3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45943</v>
      </c>
      <c r="B142" t="s">
        <v>48</v>
      </c>
      <c r="C142">
        <v>649163</v>
      </c>
      <c r="D142">
        <v>2020037859</v>
      </c>
      <c r="E142" t="s">
        <v>401</v>
      </c>
      <c r="F142" t="s">
        <v>159</v>
      </c>
      <c r="G142" t="s">
        <v>51</v>
      </c>
      <c r="H142" t="s">
        <v>189</v>
      </c>
      <c r="I142" t="s">
        <v>92</v>
      </c>
      <c r="J142" t="s">
        <v>93</v>
      </c>
      <c r="K142">
        <v>702406</v>
      </c>
      <c r="L142" t="s">
        <v>402</v>
      </c>
      <c r="M142" t="s">
        <v>403</v>
      </c>
      <c r="N142" t="s">
        <v>57</v>
      </c>
      <c r="O142" s="1">
        <v>45182</v>
      </c>
      <c r="Q142" s="1">
        <v>45974</v>
      </c>
      <c r="R142" s="2">
        <v>151.88</v>
      </c>
      <c r="S142">
        <v>1</v>
      </c>
      <c r="T142" t="s">
        <v>58</v>
      </c>
      <c r="U142" t="s">
        <v>180</v>
      </c>
      <c r="V142" s="3">
        <v>0.06</v>
      </c>
      <c r="W142" s="2">
        <v>0</v>
      </c>
      <c r="X142">
        <v>0</v>
      </c>
      <c r="Y142" t="s">
        <v>181</v>
      </c>
      <c r="Z142" t="s">
        <v>182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9.11</v>
      </c>
      <c r="AN142" s="2">
        <v>9.11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45943</v>
      </c>
      <c r="B143" t="s">
        <v>48</v>
      </c>
      <c r="C143">
        <v>649163</v>
      </c>
      <c r="D143">
        <v>2020039861</v>
      </c>
      <c r="E143" t="s">
        <v>404</v>
      </c>
      <c r="F143" t="s">
        <v>405</v>
      </c>
      <c r="G143" t="s">
        <v>51</v>
      </c>
      <c r="H143" t="s">
        <v>78</v>
      </c>
      <c r="I143" t="s">
        <v>92</v>
      </c>
      <c r="J143" t="s">
        <v>93</v>
      </c>
      <c r="K143">
        <v>673059</v>
      </c>
      <c r="L143" t="s">
        <v>55</v>
      </c>
      <c r="M143" t="s">
        <v>56</v>
      </c>
      <c r="N143" t="s">
        <v>57</v>
      </c>
      <c r="O143" s="1">
        <v>45182</v>
      </c>
      <c r="Q143" s="1">
        <v>45974</v>
      </c>
      <c r="R143" s="2">
        <v>53.57</v>
      </c>
      <c r="S143">
        <v>1</v>
      </c>
      <c r="T143" t="s">
        <v>58</v>
      </c>
      <c r="U143" t="s">
        <v>180</v>
      </c>
      <c r="V143" s="3">
        <v>0.06</v>
      </c>
      <c r="W143" s="2">
        <v>0</v>
      </c>
      <c r="X143">
        <v>0</v>
      </c>
      <c r="Y143" t="s">
        <v>181</v>
      </c>
      <c r="Z143" t="s">
        <v>182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3.21</v>
      </c>
      <c r="AN143" s="2">
        <v>3.21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45943</v>
      </c>
      <c r="B144" t="s">
        <v>48</v>
      </c>
      <c r="C144">
        <v>649163</v>
      </c>
      <c r="D144">
        <v>2020776384</v>
      </c>
      <c r="E144" t="s">
        <v>406</v>
      </c>
      <c r="F144" t="s">
        <v>407</v>
      </c>
      <c r="G144" t="s">
        <v>51</v>
      </c>
      <c r="H144" t="s">
        <v>189</v>
      </c>
      <c r="I144" t="s">
        <v>92</v>
      </c>
      <c r="J144" t="s">
        <v>93</v>
      </c>
      <c r="K144">
        <v>702406</v>
      </c>
      <c r="L144" t="s">
        <v>402</v>
      </c>
      <c r="M144" t="s">
        <v>403</v>
      </c>
      <c r="N144" t="s">
        <v>57</v>
      </c>
      <c r="O144" s="1">
        <v>45244</v>
      </c>
      <c r="Q144" s="1">
        <v>45975</v>
      </c>
      <c r="R144" s="2">
        <v>119.58</v>
      </c>
      <c r="S144">
        <v>1</v>
      </c>
      <c r="T144" t="s">
        <v>58</v>
      </c>
      <c r="U144" t="s">
        <v>180</v>
      </c>
      <c r="V144" s="3">
        <v>0.06</v>
      </c>
      <c r="W144" s="2">
        <v>0</v>
      </c>
      <c r="X144">
        <v>0</v>
      </c>
      <c r="Y144" t="s">
        <v>181</v>
      </c>
      <c r="Z144" t="s">
        <v>182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7.17</v>
      </c>
      <c r="AN144" s="2">
        <v>7.17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45943</v>
      </c>
      <c r="B145" t="s">
        <v>48</v>
      </c>
      <c r="C145">
        <v>649163</v>
      </c>
      <c r="D145">
        <v>2022254781</v>
      </c>
      <c r="E145" t="s">
        <v>224</v>
      </c>
      <c r="F145" t="s">
        <v>192</v>
      </c>
      <c r="G145" t="s">
        <v>51</v>
      </c>
      <c r="H145" t="s">
        <v>225</v>
      </c>
      <c r="I145" t="s">
        <v>92</v>
      </c>
      <c r="J145" t="s">
        <v>93</v>
      </c>
      <c r="K145">
        <v>673059</v>
      </c>
      <c r="L145" t="s">
        <v>55</v>
      </c>
      <c r="M145" t="s">
        <v>56</v>
      </c>
      <c r="N145" t="s">
        <v>57</v>
      </c>
      <c r="O145" s="1">
        <v>45364</v>
      </c>
      <c r="Q145" s="1">
        <v>45974</v>
      </c>
      <c r="R145" s="2">
        <v>136.49</v>
      </c>
      <c r="S145">
        <v>1</v>
      </c>
      <c r="T145" t="s">
        <v>58</v>
      </c>
      <c r="U145" t="s">
        <v>180</v>
      </c>
      <c r="V145" s="3">
        <v>0.06</v>
      </c>
      <c r="W145" s="2">
        <v>0</v>
      </c>
      <c r="X145">
        <v>0</v>
      </c>
      <c r="Y145" t="s">
        <v>181</v>
      </c>
      <c r="Z145" t="s">
        <v>182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8.19</v>
      </c>
      <c r="AN145" s="2">
        <v>8.19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45943</v>
      </c>
      <c r="B146" t="s">
        <v>48</v>
      </c>
      <c r="C146">
        <v>649163</v>
      </c>
      <c r="D146">
        <v>2023499226</v>
      </c>
      <c r="E146" t="s">
        <v>183</v>
      </c>
      <c r="F146" t="s">
        <v>184</v>
      </c>
      <c r="G146" t="s">
        <v>51</v>
      </c>
      <c r="H146" t="s">
        <v>185</v>
      </c>
      <c r="I146" t="s">
        <v>92</v>
      </c>
      <c r="J146" t="s">
        <v>93</v>
      </c>
      <c r="K146">
        <v>751867</v>
      </c>
      <c r="L146" t="s">
        <v>186</v>
      </c>
      <c r="M146" t="s">
        <v>90</v>
      </c>
      <c r="N146" t="s">
        <v>57</v>
      </c>
      <c r="O146" s="1">
        <v>45456</v>
      </c>
      <c r="Q146" s="1">
        <v>45974</v>
      </c>
      <c r="R146" s="2">
        <v>33.479999999999997</v>
      </c>
      <c r="S146">
        <v>1</v>
      </c>
      <c r="T146" t="s">
        <v>58</v>
      </c>
      <c r="U146" t="s">
        <v>180</v>
      </c>
      <c r="V146" s="3">
        <v>0.06</v>
      </c>
      <c r="W146" s="2">
        <v>0</v>
      </c>
      <c r="X146">
        <v>0</v>
      </c>
      <c r="Y146" t="s">
        <v>181</v>
      </c>
      <c r="Z146" t="s">
        <v>182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2.0099999999999998</v>
      </c>
      <c r="AN146" s="2">
        <v>2.0099999999999998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45943</v>
      </c>
      <c r="B147" t="s">
        <v>48</v>
      </c>
      <c r="C147">
        <v>649163</v>
      </c>
      <c r="D147">
        <v>2023845996</v>
      </c>
      <c r="E147" t="s">
        <v>347</v>
      </c>
      <c r="F147" t="s">
        <v>348</v>
      </c>
      <c r="G147" t="s">
        <v>51</v>
      </c>
      <c r="H147" t="s">
        <v>349</v>
      </c>
      <c r="I147" t="s">
        <v>92</v>
      </c>
      <c r="J147" t="s">
        <v>93</v>
      </c>
      <c r="K147">
        <v>751867</v>
      </c>
      <c r="L147" t="s">
        <v>186</v>
      </c>
      <c r="M147" t="s">
        <v>90</v>
      </c>
      <c r="N147" t="s">
        <v>57</v>
      </c>
      <c r="O147" s="1">
        <v>45505</v>
      </c>
      <c r="Q147" s="1">
        <v>45962</v>
      </c>
      <c r="R147" s="2">
        <v>27.06</v>
      </c>
      <c r="S147">
        <v>1</v>
      </c>
      <c r="T147" t="s">
        <v>58</v>
      </c>
      <c r="U147" t="s">
        <v>180</v>
      </c>
      <c r="V147" s="3">
        <v>0.06</v>
      </c>
      <c r="W147" s="2">
        <v>0</v>
      </c>
      <c r="X147">
        <v>0</v>
      </c>
      <c r="Y147" t="s">
        <v>181</v>
      </c>
      <c r="Z147" t="s">
        <v>182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1.62</v>
      </c>
      <c r="AN147" s="2">
        <v>1.62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45943</v>
      </c>
      <c r="B148" t="s">
        <v>48</v>
      </c>
      <c r="C148">
        <v>649163</v>
      </c>
      <c r="D148">
        <v>2024356430</v>
      </c>
      <c r="E148" t="s">
        <v>408</v>
      </c>
      <c r="F148" t="s">
        <v>409</v>
      </c>
      <c r="G148" t="s">
        <v>51</v>
      </c>
      <c r="H148" t="s">
        <v>78</v>
      </c>
      <c r="I148" t="s">
        <v>92</v>
      </c>
      <c r="J148" t="s">
        <v>93</v>
      </c>
      <c r="K148">
        <v>767312</v>
      </c>
      <c r="L148" t="s">
        <v>147</v>
      </c>
      <c r="M148" t="s">
        <v>148</v>
      </c>
      <c r="N148" t="s">
        <v>57</v>
      </c>
      <c r="O148" s="1">
        <v>45517</v>
      </c>
      <c r="Q148" s="1">
        <v>45974</v>
      </c>
      <c r="R148" s="2">
        <v>27.22</v>
      </c>
      <c r="S148">
        <v>1</v>
      </c>
      <c r="T148" t="s">
        <v>58</v>
      </c>
      <c r="U148" t="s">
        <v>180</v>
      </c>
      <c r="V148" s="3">
        <v>0.06</v>
      </c>
      <c r="W148" s="2">
        <v>0</v>
      </c>
      <c r="X148">
        <v>0</v>
      </c>
      <c r="Y148" t="s">
        <v>181</v>
      </c>
      <c r="Z148" t="s">
        <v>182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1.63</v>
      </c>
      <c r="AN148" s="2">
        <v>1.63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45943</v>
      </c>
      <c r="B149" t="s">
        <v>48</v>
      </c>
      <c r="C149">
        <v>649163</v>
      </c>
      <c r="D149">
        <v>2024834571</v>
      </c>
      <c r="E149" t="s">
        <v>229</v>
      </c>
      <c r="F149" t="s">
        <v>194</v>
      </c>
      <c r="G149" t="s">
        <v>51</v>
      </c>
      <c r="H149" t="s">
        <v>102</v>
      </c>
      <c r="I149" t="s">
        <v>92</v>
      </c>
      <c r="J149" t="s">
        <v>93</v>
      </c>
      <c r="K149">
        <v>767312</v>
      </c>
      <c r="L149" t="s">
        <v>147</v>
      </c>
      <c r="M149" t="s">
        <v>148</v>
      </c>
      <c r="N149" t="s">
        <v>57</v>
      </c>
      <c r="O149" s="1">
        <v>45549</v>
      </c>
      <c r="Q149" s="1">
        <v>45975</v>
      </c>
      <c r="R149" s="2">
        <v>75.599999999999994</v>
      </c>
      <c r="S149">
        <v>1</v>
      </c>
      <c r="T149" t="s">
        <v>58</v>
      </c>
      <c r="U149" t="s">
        <v>180</v>
      </c>
      <c r="V149" s="3">
        <v>0.06</v>
      </c>
      <c r="W149" s="2">
        <v>0</v>
      </c>
      <c r="X149">
        <v>0</v>
      </c>
      <c r="Y149" t="s">
        <v>181</v>
      </c>
      <c r="Z149" t="s">
        <v>182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4.54</v>
      </c>
      <c r="AN149" s="2">
        <v>4.54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45943</v>
      </c>
      <c r="B150" t="s">
        <v>48</v>
      </c>
      <c r="C150">
        <v>649163</v>
      </c>
      <c r="D150">
        <v>2024853073</v>
      </c>
      <c r="E150" t="s">
        <v>362</v>
      </c>
      <c r="F150" t="s">
        <v>363</v>
      </c>
      <c r="G150" t="s">
        <v>51</v>
      </c>
      <c r="H150" t="s">
        <v>225</v>
      </c>
      <c r="I150" t="s">
        <v>92</v>
      </c>
      <c r="J150" t="s">
        <v>93</v>
      </c>
      <c r="K150">
        <v>650218</v>
      </c>
      <c r="L150" t="s">
        <v>195</v>
      </c>
      <c r="M150" t="s">
        <v>196</v>
      </c>
      <c r="N150" t="s">
        <v>57</v>
      </c>
      <c r="O150" s="1">
        <v>45550</v>
      </c>
      <c r="Q150" s="1">
        <v>45976</v>
      </c>
      <c r="R150" s="2">
        <v>56.53</v>
      </c>
      <c r="S150">
        <v>1</v>
      </c>
      <c r="T150" t="s">
        <v>58</v>
      </c>
      <c r="U150" t="s">
        <v>180</v>
      </c>
      <c r="V150" s="3">
        <v>0.06</v>
      </c>
      <c r="W150" s="2">
        <v>0</v>
      </c>
      <c r="X150">
        <v>0</v>
      </c>
      <c r="Y150" t="s">
        <v>181</v>
      </c>
      <c r="Z150" t="s">
        <v>182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3.39</v>
      </c>
      <c r="AN150" s="2">
        <v>3.39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45943</v>
      </c>
      <c r="B151" t="s">
        <v>48</v>
      </c>
      <c r="C151">
        <v>649163</v>
      </c>
      <c r="D151">
        <v>2024865456</v>
      </c>
      <c r="E151" t="s">
        <v>410</v>
      </c>
      <c r="F151" t="s">
        <v>258</v>
      </c>
      <c r="G151" t="s">
        <v>51</v>
      </c>
      <c r="H151" t="s">
        <v>411</v>
      </c>
      <c r="I151" t="s">
        <v>92</v>
      </c>
      <c r="J151" t="s">
        <v>93</v>
      </c>
      <c r="K151">
        <v>767312</v>
      </c>
      <c r="L151" t="s">
        <v>147</v>
      </c>
      <c r="M151" t="s">
        <v>148</v>
      </c>
      <c r="N151" t="s">
        <v>57</v>
      </c>
      <c r="O151" s="1">
        <v>45549</v>
      </c>
      <c r="Q151" s="1">
        <v>45975</v>
      </c>
      <c r="R151" s="2">
        <v>27.67</v>
      </c>
      <c r="S151">
        <v>1</v>
      </c>
      <c r="T151" t="s">
        <v>58</v>
      </c>
      <c r="U151" t="s">
        <v>180</v>
      </c>
      <c r="V151" s="3">
        <v>0.06</v>
      </c>
      <c r="W151" s="2">
        <v>0</v>
      </c>
      <c r="X151">
        <v>0</v>
      </c>
      <c r="Y151" t="s">
        <v>181</v>
      </c>
      <c r="Z151" t="s">
        <v>182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1.66</v>
      </c>
      <c r="AN151" s="2">
        <v>1.66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45943</v>
      </c>
      <c r="B152" t="s">
        <v>48</v>
      </c>
      <c r="C152">
        <v>649163</v>
      </c>
      <c r="D152">
        <v>2025254889</v>
      </c>
      <c r="E152" t="s">
        <v>230</v>
      </c>
      <c r="F152" t="s">
        <v>231</v>
      </c>
      <c r="G152" t="s">
        <v>51</v>
      </c>
      <c r="H152" t="s">
        <v>130</v>
      </c>
      <c r="I152" t="s">
        <v>92</v>
      </c>
      <c r="J152" t="s">
        <v>93</v>
      </c>
      <c r="K152">
        <v>767312</v>
      </c>
      <c r="L152" t="s">
        <v>147</v>
      </c>
      <c r="M152" t="s">
        <v>148</v>
      </c>
      <c r="N152" t="s">
        <v>57</v>
      </c>
      <c r="O152" s="1">
        <v>45576</v>
      </c>
      <c r="Q152" s="1">
        <v>45972</v>
      </c>
      <c r="R152" s="2">
        <v>23.54</v>
      </c>
      <c r="S152">
        <v>1</v>
      </c>
      <c r="T152" t="s">
        <v>58</v>
      </c>
      <c r="U152" t="s">
        <v>180</v>
      </c>
      <c r="V152" s="3">
        <v>0.06</v>
      </c>
      <c r="W152" s="2">
        <v>0</v>
      </c>
      <c r="X152">
        <v>0</v>
      </c>
      <c r="Y152" t="s">
        <v>181</v>
      </c>
      <c r="Z152" t="s">
        <v>182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1.41</v>
      </c>
      <c r="AN152" s="2">
        <v>1.41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45943</v>
      </c>
      <c r="B153" t="s">
        <v>48</v>
      </c>
      <c r="C153">
        <v>649163</v>
      </c>
      <c r="D153">
        <v>2025287064</v>
      </c>
      <c r="E153" t="s">
        <v>235</v>
      </c>
      <c r="F153" t="s">
        <v>236</v>
      </c>
      <c r="G153" t="s">
        <v>51</v>
      </c>
      <c r="H153" t="s">
        <v>52</v>
      </c>
      <c r="I153" t="s">
        <v>92</v>
      </c>
      <c r="J153" t="s">
        <v>93</v>
      </c>
      <c r="K153">
        <v>767312</v>
      </c>
      <c r="L153" t="s">
        <v>147</v>
      </c>
      <c r="M153" t="s">
        <v>148</v>
      </c>
      <c r="N153" t="s">
        <v>57</v>
      </c>
      <c r="O153" s="1">
        <v>45577</v>
      </c>
      <c r="Q153" s="1">
        <v>45973</v>
      </c>
      <c r="R153" s="2">
        <v>18.25</v>
      </c>
      <c r="S153">
        <v>1</v>
      </c>
      <c r="T153" t="s">
        <v>58</v>
      </c>
      <c r="U153" t="s">
        <v>180</v>
      </c>
      <c r="V153" s="3">
        <v>0.06</v>
      </c>
      <c r="W153" s="2">
        <v>0</v>
      </c>
      <c r="X153">
        <v>0</v>
      </c>
      <c r="Y153" t="s">
        <v>181</v>
      </c>
      <c r="Z153" t="s">
        <v>182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1.1000000000000001</v>
      </c>
      <c r="AN153" s="2">
        <v>1.1000000000000001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45943</v>
      </c>
      <c r="B154" t="s">
        <v>48</v>
      </c>
      <c r="C154">
        <v>649163</v>
      </c>
      <c r="D154">
        <v>2025316508</v>
      </c>
      <c r="E154" t="s">
        <v>237</v>
      </c>
      <c r="F154" t="s">
        <v>238</v>
      </c>
      <c r="G154" t="s">
        <v>51</v>
      </c>
      <c r="H154" t="s">
        <v>219</v>
      </c>
      <c r="I154" t="s">
        <v>92</v>
      </c>
      <c r="J154" t="s">
        <v>93</v>
      </c>
      <c r="K154">
        <v>767312</v>
      </c>
      <c r="L154" t="s">
        <v>147</v>
      </c>
      <c r="M154" t="s">
        <v>148</v>
      </c>
      <c r="N154" t="s">
        <v>57</v>
      </c>
      <c r="O154" s="1">
        <v>45580</v>
      </c>
      <c r="Q154" s="1">
        <v>45976</v>
      </c>
      <c r="R154" s="2">
        <v>14.84</v>
      </c>
      <c r="S154">
        <v>1</v>
      </c>
      <c r="T154" t="s">
        <v>58</v>
      </c>
      <c r="U154" t="s">
        <v>180</v>
      </c>
      <c r="V154" s="3">
        <v>0.06</v>
      </c>
      <c r="W154" s="2">
        <v>0</v>
      </c>
      <c r="X154">
        <v>0</v>
      </c>
      <c r="Y154" t="s">
        <v>181</v>
      </c>
      <c r="Z154" t="s">
        <v>182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0.89</v>
      </c>
      <c r="AN154" s="2">
        <v>0.89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45943</v>
      </c>
      <c r="B155" t="s">
        <v>48</v>
      </c>
      <c r="C155">
        <v>649163</v>
      </c>
      <c r="D155">
        <v>2025724990</v>
      </c>
      <c r="E155" t="s">
        <v>412</v>
      </c>
      <c r="F155" t="s">
        <v>413</v>
      </c>
      <c r="G155" t="s">
        <v>51</v>
      </c>
      <c r="H155" t="s">
        <v>214</v>
      </c>
      <c r="I155" t="s">
        <v>92</v>
      </c>
      <c r="J155" t="s">
        <v>93</v>
      </c>
      <c r="K155">
        <v>756418</v>
      </c>
      <c r="L155" t="s">
        <v>216</v>
      </c>
      <c r="M155" t="s">
        <v>217</v>
      </c>
      <c r="N155" t="s">
        <v>57</v>
      </c>
      <c r="O155" s="1">
        <v>45608</v>
      </c>
      <c r="Q155" s="1">
        <v>45973</v>
      </c>
      <c r="R155" s="2">
        <v>94.25</v>
      </c>
      <c r="S155">
        <v>1</v>
      </c>
      <c r="T155" t="s">
        <v>58</v>
      </c>
      <c r="U155" t="s">
        <v>180</v>
      </c>
      <c r="V155" s="4">
        <v>0.375</v>
      </c>
      <c r="W155" s="2">
        <v>0</v>
      </c>
      <c r="X155">
        <v>0</v>
      </c>
      <c r="Y155" t="s">
        <v>60</v>
      </c>
      <c r="Z155" t="s">
        <v>182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35.340000000000003</v>
      </c>
      <c r="AN155" s="2">
        <v>35.340000000000003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45943</v>
      </c>
      <c r="B156" t="s">
        <v>48</v>
      </c>
      <c r="C156">
        <v>649163</v>
      </c>
      <c r="D156">
        <v>2025738648</v>
      </c>
      <c r="E156" t="s">
        <v>414</v>
      </c>
      <c r="F156" t="s">
        <v>415</v>
      </c>
      <c r="G156" t="s">
        <v>51</v>
      </c>
      <c r="H156" t="s">
        <v>102</v>
      </c>
      <c r="I156" t="s">
        <v>92</v>
      </c>
      <c r="J156" t="s">
        <v>93</v>
      </c>
      <c r="K156">
        <v>767312</v>
      </c>
      <c r="L156" t="s">
        <v>147</v>
      </c>
      <c r="M156" t="s">
        <v>148</v>
      </c>
      <c r="N156" t="s">
        <v>57</v>
      </c>
      <c r="O156" s="1">
        <v>45609</v>
      </c>
      <c r="Q156" s="1">
        <v>45974</v>
      </c>
      <c r="R156" s="2">
        <v>18.66</v>
      </c>
      <c r="S156">
        <v>1</v>
      </c>
      <c r="T156" t="s">
        <v>58</v>
      </c>
      <c r="U156" t="s">
        <v>180</v>
      </c>
      <c r="V156" s="4">
        <v>0.375</v>
      </c>
      <c r="W156" s="2">
        <v>0</v>
      </c>
      <c r="X156">
        <v>0</v>
      </c>
      <c r="Y156" t="s">
        <v>60</v>
      </c>
      <c r="Z156" t="s">
        <v>182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7</v>
      </c>
      <c r="AN156" s="2">
        <v>7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45943</v>
      </c>
      <c r="B157" t="s">
        <v>48</v>
      </c>
      <c r="C157">
        <v>649163</v>
      </c>
      <c r="D157">
        <v>2025785646</v>
      </c>
      <c r="E157" t="s">
        <v>416</v>
      </c>
      <c r="F157" t="s">
        <v>417</v>
      </c>
      <c r="G157" t="s">
        <v>51</v>
      </c>
      <c r="H157" t="s">
        <v>225</v>
      </c>
      <c r="I157" t="s">
        <v>92</v>
      </c>
      <c r="J157" t="s">
        <v>93</v>
      </c>
      <c r="K157">
        <v>673059</v>
      </c>
      <c r="L157" t="s">
        <v>55</v>
      </c>
      <c r="M157" t="s">
        <v>56</v>
      </c>
      <c r="N157" t="s">
        <v>57</v>
      </c>
      <c r="O157" s="1">
        <v>45612</v>
      </c>
      <c r="Q157" s="1">
        <v>45977</v>
      </c>
      <c r="R157" s="2">
        <v>89.37</v>
      </c>
      <c r="S157">
        <v>1</v>
      </c>
      <c r="T157" t="s">
        <v>58</v>
      </c>
      <c r="U157" t="s">
        <v>180</v>
      </c>
      <c r="V157" s="4">
        <v>0.375</v>
      </c>
      <c r="W157" s="2">
        <v>0</v>
      </c>
      <c r="X157">
        <v>0</v>
      </c>
      <c r="Y157" t="s">
        <v>60</v>
      </c>
      <c r="Z157" t="s">
        <v>182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33.51</v>
      </c>
      <c r="AN157" s="2">
        <v>33.51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45943</v>
      </c>
      <c r="B158" t="s">
        <v>48</v>
      </c>
      <c r="C158">
        <v>649163</v>
      </c>
      <c r="D158">
        <v>2030676913</v>
      </c>
      <c r="E158" t="s">
        <v>418</v>
      </c>
      <c r="F158" t="s">
        <v>419</v>
      </c>
      <c r="G158" t="s">
        <v>51</v>
      </c>
      <c r="H158" t="s">
        <v>185</v>
      </c>
      <c r="I158" t="s">
        <v>116</v>
      </c>
      <c r="J158" t="s">
        <v>125</v>
      </c>
      <c r="K158">
        <v>856824</v>
      </c>
      <c r="L158" t="s">
        <v>156</v>
      </c>
      <c r="M158" t="s">
        <v>157</v>
      </c>
      <c r="N158" t="s">
        <v>179</v>
      </c>
      <c r="O158" s="1">
        <v>45931</v>
      </c>
      <c r="P158" s="1">
        <v>45936</v>
      </c>
      <c r="Q158" s="1">
        <v>45962</v>
      </c>
      <c r="R158" s="2">
        <v>-159.80000000000001</v>
      </c>
      <c r="S158">
        <v>1</v>
      </c>
      <c r="T158" t="s">
        <v>58</v>
      </c>
      <c r="U158" t="s">
        <v>59</v>
      </c>
      <c r="V158" s="3">
        <v>0.7</v>
      </c>
      <c r="W158" s="2">
        <v>0</v>
      </c>
      <c r="X158">
        <v>-1</v>
      </c>
      <c r="Y158" t="s">
        <v>60</v>
      </c>
      <c r="Z158" t="s">
        <v>182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-111.86</v>
      </c>
      <c r="AN158" s="2">
        <v>-111.86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45943</v>
      </c>
      <c r="B159" t="s">
        <v>48</v>
      </c>
      <c r="C159">
        <v>649163</v>
      </c>
      <c r="D159">
        <v>2030676914</v>
      </c>
      <c r="E159" t="s">
        <v>418</v>
      </c>
      <c r="F159" t="s">
        <v>419</v>
      </c>
      <c r="G159" t="s">
        <v>51</v>
      </c>
      <c r="H159" t="s">
        <v>185</v>
      </c>
      <c r="I159" t="s">
        <v>116</v>
      </c>
      <c r="J159" t="s">
        <v>120</v>
      </c>
      <c r="K159">
        <v>856824</v>
      </c>
      <c r="L159" t="s">
        <v>156</v>
      </c>
      <c r="M159" t="s">
        <v>157</v>
      </c>
      <c r="N159" t="s">
        <v>179</v>
      </c>
      <c r="O159" s="1">
        <v>45931</v>
      </c>
      <c r="P159" s="1">
        <v>45936</v>
      </c>
      <c r="Q159" s="1">
        <v>45962</v>
      </c>
      <c r="R159" s="2">
        <v>-77.099999999999994</v>
      </c>
      <c r="S159">
        <v>1</v>
      </c>
      <c r="T159" t="s">
        <v>58</v>
      </c>
      <c r="U159" t="s">
        <v>59</v>
      </c>
      <c r="V159" s="3">
        <v>0.9</v>
      </c>
      <c r="W159" s="2">
        <v>0</v>
      </c>
      <c r="X159">
        <v>-1</v>
      </c>
      <c r="Y159" t="s">
        <v>60</v>
      </c>
      <c r="Z159" t="s">
        <v>182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-69.39</v>
      </c>
      <c r="AN159" s="2">
        <v>-69.39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45943</v>
      </c>
      <c r="B160" t="s">
        <v>48</v>
      </c>
      <c r="C160">
        <v>649163</v>
      </c>
      <c r="D160">
        <v>2030772792</v>
      </c>
      <c r="E160" t="s">
        <v>192</v>
      </c>
      <c r="F160" t="s">
        <v>336</v>
      </c>
      <c r="G160" t="s">
        <v>51</v>
      </c>
      <c r="H160" t="s">
        <v>337</v>
      </c>
      <c r="I160" t="s">
        <v>116</v>
      </c>
      <c r="J160" t="s">
        <v>125</v>
      </c>
      <c r="K160">
        <v>856163</v>
      </c>
      <c r="L160" t="s">
        <v>65</v>
      </c>
      <c r="M160" t="s">
        <v>81</v>
      </c>
      <c r="N160" t="s">
        <v>179</v>
      </c>
      <c r="O160" s="1">
        <v>45901</v>
      </c>
      <c r="P160" s="1">
        <v>45943</v>
      </c>
      <c r="Q160" s="1">
        <v>45962</v>
      </c>
      <c r="R160" s="2">
        <v>-48.27</v>
      </c>
      <c r="S160">
        <v>1</v>
      </c>
      <c r="T160" t="s">
        <v>58</v>
      </c>
      <c r="U160" t="s">
        <v>180</v>
      </c>
      <c r="V160" s="3">
        <v>0.7</v>
      </c>
      <c r="W160" s="2">
        <v>0</v>
      </c>
      <c r="X160">
        <v>-1</v>
      </c>
      <c r="Y160" t="s">
        <v>60</v>
      </c>
      <c r="Z160" t="s">
        <v>182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-33.79</v>
      </c>
      <c r="AN160" s="2">
        <v>-33.79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45943</v>
      </c>
      <c r="B161" t="s">
        <v>48</v>
      </c>
      <c r="C161">
        <v>649163</v>
      </c>
      <c r="D161">
        <v>2030805142</v>
      </c>
      <c r="E161" t="s">
        <v>420</v>
      </c>
      <c r="F161" t="s">
        <v>421</v>
      </c>
      <c r="G161" t="s">
        <v>51</v>
      </c>
      <c r="H161" t="s">
        <v>91</v>
      </c>
      <c r="I161" t="s">
        <v>116</v>
      </c>
      <c r="J161" t="s">
        <v>120</v>
      </c>
      <c r="K161">
        <v>792847</v>
      </c>
      <c r="L161" t="s">
        <v>277</v>
      </c>
      <c r="M161" t="s">
        <v>279</v>
      </c>
      <c r="N161" t="s">
        <v>57</v>
      </c>
      <c r="O161" s="1">
        <v>45902</v>
      </c>
      <c r="Q161" s="1">
        <v>45963</v>
      </c>
      <c r="R161" s="2">
        <v>9.25</v>
      </c>
      <c r="S161">
        <v>1</v>
      </c>
      <c r="T161" t="s">
        <v>58</v>
      </c>
      <c r="U161" t="s">
        <v>180</v>
      </c>
      <c r="V161" s="3">
        <v>0.9</v>
      </c>
      <c r="W161" s="2">
        <v>0</v>
      </c>
      <c r="X161">
        <v>0</v>
      </c>
      <c r="Y161" t="s">
        <v>60</v>
      </c>
      <c r="Z161" t="s">
        <v>182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8.32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45943</v>
      </c>
      <c r="B162" t="s">
        <v>48</v>
      </c>
      <c r="C162">
        <v>649163</v>
      </c>
      <c r="D162">
        <v>2030805143</v>
      </c>
      <c r="E162" t="s">
        <v>420</v>
      </c>
      <c r="F162" t="s">
        <v>421</v>
      </c>
      <c r="G162" t="s">
        <v>51</v>
      </c>
      <c r="H162" t="s">
        <v>91</v>
      </c>
      <c r="I162" t="s">
        <v>116</v>
      </c>
      <c r="J162" t="s">
        <v>125</v>
      </c>
      <c r="K162">
        <v>792847</v>
      </c>
      <c r="L162" t="s">
        <v>277</v>
      </c>
      <c r="M162" t="s">
        <v>279</v>
      </c>
      <c r="N162" t="s">
        <v>57</v>
      </c>
      <c r="O162" s="1">
        <v>45902</v>
      </c>
      <c r="Q162" s="1">
        <v>45963</v>
      </c>
      <c r="R162" s="2">
        <v>34.950000000000003</v>
      </c>
      <c r="S162">
        <v>1</v>
      </c>
      <c r="T162" t="s">
        <v>58</v>
      </c>
      <c r="U162" t="s">
        <v>180</v>
      </c>
      <c r="V162" s="3">
        <v>0.7</v>
      </c>
      <c r="W162" s="2">
        <v>0</v>
      </c>
      <c r="X162">
        <v>0</v>
      </c>
      <c r="Y162" t="s">
        <v>60</v>
      </c>
      <c r="Z162" t="s">
        <v>182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24.46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45943</v>
      </c>
      <c r="B163" t="s">
        <v>48</v>
      </c>
      <c r="C163">
        <v>649163</v>
      </c>
      <c r="D163">
        <v>2030924641</v>
      </c>
      <c r="E163" t="s">
        <v>338</v>
      </c>
      <c r="F163" t="s">
        <v>339</v>
      </c>
      <c r="G163" t="s">
        <v>51</v>
      </c>
      <c r="H163" t="s">
        <v>312</v>
      </c>
      <c r="I163" t="s">
        <v>116</v>
      </c>
      <c r="J163" t="s">
        <v>125</v>
      </c>
      <c r="K163">
        <v>874230</v>
      </c>
      <c r="L163" t="s">
        <v>340</v>
      </c>
      <c r="M163" t="s">
        <v>341</v>
      </c>
      <c r="N163" t="s">
        <v>57</v>
      </c>
      <c r="O163" s="1">
        <v>45911</v>
      </c>
      <c r="Q163" s="1">
        <v>45972</v>
      </c>
      <c r="R163" s="2">
        <v>65.48</v>
      </c>
      <c r="S163">
        <v>1</v>
      </c>
      <c r="T163" t="s">
        <v>58</v>
      </c>
      <c r="U163" t="s">
        <v>59</v>
      </c>
      <c r="V163" s="3">
        <v>0.7</v>
      </c>
      <c r="W163" s="2">
        <v>0</v>
      </c>
      <c r="X163">
        <v>0</v>
      </c>
      <c r="Y163" t="s">
        <v>60</v>
      </c>
      <c r="Z163" t="s">
        <v>182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45.84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45943</v>
      </c>
      <c r="B164" t="s">
        <v>48</v>
      </c>
      <c r="C164">
        <v>649163</v>
      </c>
      <c r="D164">
        <v>2030932600</v>
      </c>
      <c r="E164" t="s">
        <v>342</v>
      </c>
      <c r="F164" t="s">
        <v>343</v>
      </c>
      <c r="G164" t="s">
        <v>51</v>
      </c>
      <c r="H164" t="s">
        <v>312</v>
      </c>
      <c r="I164" t="s">
        <v>116</v>
      </c>
      <c r="J164" t="s">
        <v>125</v>
      </c>
      <c r="K164">
        <v>874230</v>
      </c>
      <c r="L164" t="s">
        <v>340</v>
      </c>
      <c r="M164" t="s">
        <v>341</v>
      </c>
      <c r="N164" t="s">
        <v>57</v>
      </c>
      <c r="O164" s="1">
        <v>45911</v>
      </c>
      <c r="Q164" s="1">
        <v>45972</v>
      </c>
      <c r="R164" s="2">
        <v>65.48</v>
      </c>
      <c r="S164">
        <v>1</v>
      </c>
      <c r="T164" t="s">
        <v>58</v>
      </c>
      <c r="U164" t="s">
        <v>59</v>
      </c>
      <c r="V164" s="3">
        <v>0.7</v>
      </c>
      <c r="W164" s="2">
        <v>0</v>
      </c>
      <c r="X164">
        <v>0</v>
      </c>
      <c r="Y164" t="s">
        <v>60</v>
      </c>
      <c r="Z164" t="s">
        <v>182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45.84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45943</v>
      </c>
      <c r="B165" t="s">
        <v>48</v>
      </c>
      <c r="C165">
        <v>649163</v>
      </c>
      <c r="D165">
        <v>2030945328</v>
      </c>
      <c r="E165" t="s">
        <v>422</v>
      </c>
      <c r="F165" t="s">
        <v>159</v>
      </c>
      <c r="G165" t="s">
        <v>51</v>
      </c>
      <c r="H165" t="s">
        <v>78</v>
      </c>
      <c r="I165" t="s">
        <v>116</v>
      </c>
      <c r="J165" t="s">
        <v>125</v>
      </c>
      <c r="K165">
        <v>756803</v>
      </c>
      <c r="L165" t="s">
        <v>423</v>
      </c>
      <c r="M165" t="s">
        <v>424</v>
      </c>
      <c r="N165" t="s">
        <v>57</v>
      </c>
      <c r="O165" s="1">
        <v>45915</v>
      </c>
      <c r="Q165" s="1">
        <v>45976</v>
      </c>
      <c r="R165" s="2">
        <v>27.5</v>
      </c>
      <c r="S165">
        <v>1</v>
      </c>
      <c r="T165" t="s">
        <v>58</v>
      </c>
      <c r="U165" t="s">
        <v>59</v>
      </c>
      <c r="V165" s="3">
        <v>0.7</v>
      </c>
      <c r="W165" s="2">
        <v>0</v>
      </c>
      <c r="X165">
        <v>0</v>
      </c>
      <c r="Y165" t="s">
        <v>60</v>
      </c>
      <c r="Z165" t="s">
        <v>182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19.25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45943</v>
      </c>
      <c r="B166" t="s">
        <v>48</v>
      </c>
      <c r="C166">
        <v>649163</v>
      </c>
      <c r="D166">
        <v>2030954164</v>
      </c>
      <c r="E166" t="s">
        <v>425</v>
      </c>
      <c r="F166" t="s">
        <v>426</v>
      </c>
      <c r="G166" t="s">
        <v>51</v>
      </c>
      <c r="H166" t="s">
        <v>91</v>
      </c>
      <c r="I166" t="s">
        <v>116</v>
      </c>
      <c r="J166" t="s">
        <v>125</v>
      </c>
      <c r="K166">
        <v>822865</v>
      </c>
      <c r="L166" t="s">
        <v>266</v>
      </c>
      <c r="M166" t="s">
        <v>267</v>
      </c>
      <c r="N166" t="s">
        <v>57</v>
      </c>
      <c r="O166" s="1">
        <v>45911</v>
      </c>
      <c r="Q166" s="1">
        <v>45972</v>
      </c>
      <c r="R166" s="2">
        <v>28.38</v>
      </c>
      <c r="S166">
        <v>1</v>
      </c>
      <c r="T166" t="s">
        <v>58</v>
      </c>
      <c r="U166" t="s">
        <v>59</v>
      </c>
      <c r="V166" s="3">
        <v>0.7</v>
      </c>
      <c r="W166" s="2">
        <v>0</v>
      </c>
      <c r="X166">
        <v>0</v>
      </c>
      <c r="Y166" t="s">
        <v>60</v>
      </c>
      <c r="Z166" t="s">
        <v>182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19.87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45943</v>
      </c>
      <c r="B167" t="s">
        <v>48</v>
      </c>
      <c r="C167">
        <v>649163</v>
      </c>
      <c r="D167">
        <v>2030962019</v>
      </c>
      <c r="E167" t="s">
        <v>427</v>
      </c>
      <c r="F167" t="s">
        <v>428</v>
      </c>
      <c r="G167" t="s">
        <v>51</v>
      </c>
      <c r="H167" t="s">
        <v>107</v>
      </c>
      <c r="I167" t="s">
        <v>116</v>
      </c>
      <c r="J167" t="s">
        <v>429</v>
      </c>
      <c r="K167">
        <v>877790</v>
      </c>
      <c r="L167" t="s">
        <v>108</v>
      </c>
      <c r="M167" t="s">
        <v>109</v>
      </c>
      <c r="N167" t="s">
        <v>57</v>
      </c>
      <c r="O167" s="1">
        <v>45911</v>
      </c>
      <c r="Q167" s="1">
        <v>45972</v>
      </c>
      <c r="R167" s="2">
        <v>62.3</v>
      </c>
      <c r="S167">
        <v>1</v>
      </c>
      <c r="T167" t="s">
        <v>58</v>
      </c>
      <c r="U167" t="s">
        <v>59</v>
      </c>
      <c r="V167" s="3">
        <v>0.42</v>
      </c>
      <c r="W167" s="2">
        <v>0</v>
      </c>
      <c r="X167">
        <v>0</v>
      </c>
      <c r="Y167" t="s">
        <v>60</v>
      </c>
      <c r="Z167" t="s">
        <v>182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26.17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45943</v>
      </c>
      <c r="B168" t="s">
        <v>48</v>
      </c>
      <c r="C168">
        <v>649163</v>
      </c>
      <c r="D168">
        <v>2030982991</v>
      </c>
      <c r="E168" t="s">
        <v>344</v>
      </c>
      <c r="F168" t="s">
        <v>345</v>
      </c>
      <c r="G168" t="s">
        <v>51</v>
      </c>
      <c r="H168" t="s">
        <v>225</v>
      </c>
      <c r="I168" t="s">
        <v>116</v>
      </c>
      <c r="J168" t="s">
        <v>125</v>
      </c>
      <c r="K168">
        <v>823350</v>
      </c>
      <c r="L168" t="s">
        <v>65</v>
      </c>
      <c r="M168" t="s">
        <v>66</v>
      </c>
      <c r="N168" t="s">
        <v>57</v>
      </c>
      <c r="O168" s="1">
        <v>45915</v>
      </c>
      <c r="Q168" s="1">
        <v>45976</v>
      </c>
      <c r="R168" s="2">
        <v>94.01</v>
      </c>
      <c r="S168">
        <v>1</v>
      </c>
      <c r="T168" t="s">
        <v>58</v>
      </c>
      <c r="U168" t="s">
        <v>59</v>
      </c>
      <c r="V168" s="3">
        <v>0.7</v>
      </c>
      <c r="W168" s="2">
        <v>0</v>
      </c>
      <c r="X168">
        <v>0</v>
      </c>
      <c r="Y168" t="s">
        <v>60</v>
      </c>
      <c r="Z168" t="s">
        <v>182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65.81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45943</v>
      </c>
      <c r="B169" t="s">
        <v>48</v>
      </c>
      <c r="C169">
        <v>649163</v>
      </c>
      <c r="D169">
        <v>2030986241</v>
      </c>
      <c r="E169" t="s">
        <v>430</v>
      </c>
      <c r="F169" t="s">
        <v>431</v>
      </c>
      <c r="G169" t="s">
        <v>51</v>
      </c>
      <c r="H169" t="s">
        <v>91</v>
      </c>
      <c r="I169" t="s">
        <v>116</v>
      </c>
      <c r="J169" t="s">
        <v>125</v>
      </c>
      <c r="K169">
        <v>673059</v>
      </c>
      <c r="L169" t="s">
        <v>55</v>
      </c>
      <c r="M169" t="s">
        <v>56</v>
      </c>
      <c r="N169" t="s">
        <v>57</v>
      </c>
      <c r="O169" s="1">
        <v>45913</v>
      </c>
      <c r="Q169" s="1">
        <v>45974</v>
      </c>
      <c r="R169" s="2">
        <v>13</v>
      </c>
      <c r="S169">
        <v>1</v>
      </c>
      <c r="T169" t="s">
        <v>58</v>
      </c>
      <c r="U169" t="s">
        <v>59</v>
      </c>
      <c r="V169" s="3">
        <v>0.7</v>
      </c>
      <c r="W169" s="2">
        <v>0</v>
      </c>
      <c r="X169">
        <v>0</v>
      </c>
      <c r="Y169" t="s">
        <v>60</v>
      </c>
      <c r="Z169" t="s">
        <v>182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9.1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45943</v>
      </c>
      <c r="B170" t="s">
        <v>48</v>
      </c>
      <c r="C170">
        <v>649163</v>
      </c>
      <c r="D170">
        <v>2031017068</v>
      </c>
      <c r="E170" t="s">
        <v>346</v>
      </c>
      <c r="F170" t="s">
        <v>159</v>
      </c>
      <c r="G170" t="s">
        <v>51</v>
      </c>
      <c r="H170" t="s">
        <v>107</v>
      </c>
      <c r="I170" t="s">
        <v>116</v>
      </c>
      <c r="J170" t="s">
        <v>125</v>
      </c>
      <c r="K170">
        <v>877790</v>
      </c>
      <c r="L170" t="s">
        <v>108</v>
      </c>
      <c r="M170" t="s">
        <v>109</v>
      </c>
      <c r="N170" t="s">
        <v>57</v>
      </c>
      <c r="O170" s="1">
        <v>45913</v>
      </c>
      <c r="Q170" s="1">
        <v>45974</v>
      </c>
      <c r="R170" s="2">
        <v>14.92</v>
      </c>
      <c r="S170">
        <v>1</v>
      </c>
      <c r="T170" t="s">
        <v>58</v>
      </c>
      <c r="U170" t="s">
        <v>59</v>
      </c>
      <c r="V170" s="3">
        <v>0.7</v>
      </c>
      <c r="W170" s="2">
        <v>0</v>
      </c>
      <c r="X170">
        <v>0</v>
      </c>
      <c r="Y170" t="s">
        <v>60</v>
      </c>
      <c r="Z170" t="s">
        <v>182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10.44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45943</v>
      </c>
      <c r="B171" t="s">
        <v>48</v>
      </c>
      <c r="C171">
        <v>649163</v>
      </c>
      <c r="D171">
        <v>2031047975</v>
      </c>
      <c r="E171" t="s">
        <v>432</v>
      </c>
      <c r="F171" t="s">
        <v>433</v>
      </c>
      <c r="G171" t="s">
        <v>51</v>
      </c>
      <c r="H171" t="s">
        <v>91</v>
      </c>
      <c r="I171" t="s">
        <v>116</v>
      </c>
      <c r="J171" t="s">
        <v>125</v>
      </c>
      <c r="K171">
        <v>756418</v>
      </c>
      <c r="L171" t="s">
        <v>216</v>
      </c>
      <c r="M171" t="s">
        <v>217</v>
      </c>
      <c r="N171" t="s">
        <v>57</v>
      </c>
      <c r="O171" s="1">
        <v>45914</v>
      </c>
      <c r="Q171" s="1">
        <v>45975</v>
      </c>
      <c r="R171" s="2">
        <v>84.43</v>
      </c>
      <c r="S171">
        <v>1</v>
      </c>
      <c r="T171" t="s">
        <v>58</v>
      </c>
      <c r="U171" t="s">
        <v>59</v>
      </c>
      <c r="V171" s="3">
        <v>0.7</v>
      </c>
      <c r="W171" s="2">
        <v>0</v>
      </c>
      <c r="X171">
        <v>0</v>
      </c>
      <c r="Y171" t="s">
        <v>60</v>
      </c>
      <c r="Z171" t="s">
        <v>182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59.1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45943</v>
      </c>
      <c r="B172" t="s">
        <v>48</v>
      </c>
      <c r="C172">
        <v>649163</v>
      </c>
      <c r="D172">
        <v>2031047976</v>
      </c>
      <c r="E172" t="s">
        <v>432</v>
      </c>
      <c r="F172" t="s">
        <v>433</v>
      </c>
      <c r="G172" t="s">
        <v>51</v>
      </c>
      <c r="H172" t="s">
        <v>91</v>
      </c>
      <c r="I172" t="s">
        <v>116</v>
      </c>
      <c r="J172" t="s">
        <v>120</v>
      </c>
      <c r="K172">
        <v>756418</v>
      </c>
      <c r="L172" t="s">
        <v>216</v>
      </c>
      <c r="M172" t="s">
        <v>217</v>
      </c>
      <c r="N172" t="s">
        <v>57</v>
      </c>
      <c r="O172" s="1">
        <v>45914</v>
      </c>
      <c r="Q172" s="1">
        <v>45975</v>
      </c>
      <c r="R172" s="2">
        <v>22.38</v>
      </c>
      <c r="S172">
        <v>1</v>
      </c>
      <c r="T172" t="s">
        <v>58</v>
      </c>
      <c r="U172" t="s">
        <v>59</v>
      </c>
      <c r="V172" s="3">
        <v>0.9</v>
      </c>
      <c r="W172" s="2">
        <v>0</v>
      </c>
      <c r="X172">
        <v>0</v>
      </c>
      <c r="Y172" t="s">
        <v>60</v>
      </c>
      <c r="Z172" t="s">
        <v>182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20.14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45943</v>
      </c>
      <c r="B173" t="s">
        <v>48</v>
      </c>
      <c r="C173">
        <v>649163</v>
      </c>
      <c r="D173">
        <v>2031048164</v>
      </c>
      <c r="E173" t="s">
        <v>434</v>
      </c>
      <c r="F173" t="s">
        <v>435</v>
      </c>
      <c r="G173" t="s">
        <v>51</v>
      </c>
      <c r="H173" t="s">
        <v>78</v>
      </c>
      <c r="I173" t="s">
        <v>116</v>
      </c>
      <c r="J173" t="s">
        <v>125</v>
      </c>
      <c r="K173">
        <v>807212</v>
      </c>
      <c r="L173" t="s">
        <v>151</v>
      </c>
      <c r="M173" t="s">
        <v>152</v>
      </c>
      <c r="N173" t="s">
        <v>57</v>
      </c>
      <c r="O173" s="1">
        <v>45914</v>
      </c>
      <c r="Q173" s="1">
        <v>45975</v>
      </c>
      <c r="R173" s="2">
        <v>160.29</v>
      </c>
      <c r="S173">
        <v>1</v>
      </c>
      <c r="T173" t="s">
        <v>58</v>
      </c>
      <c r="U173" t="s">
        <v>59</v>
      </c>
      <c r="V173" s="3">
        <v>0.7</v>
      </c>
      <c r="W173" s="2">
        <v>0</v>
      </c>
      <c r="X173">
        <v>0</v>
      </c>
      <c r="Y173" t="s">
        <v>60</v>
      </c>
      <c r="Z173" t="s">
        <v>182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112.2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45943</v>
      </c>
      <c r="B174" t="s">
        <v>48</v>
      </c>
      <c r="C174">
        <v>649163</v>
      </c>
      <c r="D174">
        <v>2031057792</v>
      </c>
      <c r="E174" t="s">
        <v>387</v>
      </c>
      <c r="F174" t="s">
        <v>90</v>
      </c>
      <c r="G174" t="s">
        <v>51</v>
      </c>
      <c r="H174" t="s">
        <v>337</v>
      </c>
      <c r="I174" t="s">
        <v>116</v>
      </c>
      <c r="J174" t="s">
        <v>125</v>
      </c>
      <c r="K174">
        <v>856163</v>
      </c>
      <c r="L174" t="s">
        <v>65</v>
      </c>
      <c r="M174" t="s">
        <v>81</v>
      </c>
      <c r="N174" t="s">
        <v>57</v>
      </c>
      <c r="O174" s="1">
        <v>45915</v>
      </c>
      <c r="Q174" s="1">
        <v>45976</v>
      </c>
      <c r="R174" s="2">
        <v>30.68</v>
      </c>
      <c r="S174">
        <v>1</v>
      </c>
      <c r="T174" t="s">
        <v>58</v>
      </c>
      <c r="U174" t="s">
        <v>59</v>
      </c>
      <c r="V174" s="3">
        <v>0.7</v>
      </c>
      <c r="W174" s="2">
        <v>0</v>
      </c>
      <c r="X174">
        <v>0</v>
      </c>
      <c r="Y174" t="s">
        <v>60</v>
      </c>
      <c r="Z174" t="s">
        <v>182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21.48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45943</v>
      </c>
      <c r="B175" t="s">
        <v>48</v>
      </c>
      <c r="C175">
        <v>649163</v>
      </c>
      <c r="D175">
        <v>2031073871</v>
      </c>
      <c r="E175" t="s">
        <v>436</v>
      </c>
      <c r="F175" t="s">
        <v>437</v>
      </c>
      <c r="G175" t="s">
        <v>51</v>
      </c>
      <c r="H175" t="s">
        <v>78</v>
      </c>
      <c r="I175" t="s">
        <v>116</v>
      </c>
      <c r="J175" t="s">
        <v>125</v>
      </c>
      <c r="K175">
        <v>807212</v>
      </c>
      <c r="L175" t="s">
        <v>151</v>
      </c>
      <c r="M175" t="s">
        <v>152</v>
      </c>
      <c r="N175" t="s">
        <v>57</v>
      </c>
      <c r="O175" s="1">
        <v>45916</v>
      </c>
      <c r="Q175" s="1">
        <v>45977</v>
      </c>
      <c r="R175" s="2">
        <v>96</v>
      </c>
      <c r="S175">
        <v>1</v>
      </c>
      <c r="T175" t="s">
        <v>58</v>
      </c>
      <c r="U175" t="s">
        <v>59</v>
      </c>
      <c r="V175" s="3">
        <v>0.7</v>
      </c>
      <c r="W175" s="2">
        <v>0</v>
      </c>
      <c r="X175">
        <v>0</v>
      </c>
      <c r="Y175" t="s">
        <v>60</v>
      </c>
      <c r="Z175" t="s">
        <v>182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67.2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45943</v>
      </c>
      <c r="B176" t="s">
        <v>48</v>
      </c>
      <c r="C176">
        <v>649163</v>
      </c>
      <c r="D176">
        <v>2031337038</v>
      </c>
      <c r="E176" t="s">
        <v>133</v>
      </c>
      <c r="F176" t="s">
        <v>134</v>
      </c>
      <c r="G176" t="s">
        <v>51</v>
      </c>
      <c r="H176" t="s">
        <v>78</v>
      </c>
      <c r="I176" t="s">
        <v>116</v>
      </c>
      <c r="J176" t="s">
        <v>125</v>
      </c>
      <c r="K176">
        <v>821015</v>
      </c>
      <c r="L176" t="s">
        <v>135</v>
      </c>
      <c r="M176" t="s">
        <v>136</v>
      </c>
      <c r="N176" t="s">
        <v>179</v>
      </c>
      <c r="O176" s="1">
        <v>45932</v>
      </c>
      <c r="P176" s="1">
        <v>45943</v>
      </c>
      <c r="Q176" s="1">
        <v>45963</v>
      </c>
      <c r="R176" s="2">
        <v>-145.41999999999999</v>
      </c>
      <c r="S176">
        <v>1</v>
      </c>
      <c r="T176" t="s">
        <v>58</v>
      </c>
      <c r="U176" t="s">
        <v>59</v>
      </c>
      <c r="V176" s="3">
        <v>0.7</v>
      </c>
      <c r="W176" s="2">
        <v>0</v>
      </c>
      <c r="X176">
        <v>-1</v>
      </c>
      <c r="Y176" t="s">
        <v>60</v>
      </c>
      <c r="Z176" t="s">
        <v>182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-101.79</v>
      </c>
      <c r="AN176" s="2">
        <v>-101.79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45943</v>
      </c>
      <c r="B177" t="s">
        <v>48</v>
      </c>
      <c r="C177">
        <v>649163</v>
      </c>
      <c r="D177">
        <v>2023913072</v>
      </c>
      <c r="E177" t="s">
        <v>352</v>
      </c>
      <c r="F177" t="s">
        <v>353</v>
      </c>
      <c r="G177" t="s">
        <v>51</v>
      </c>
      <c r="H177" t="s">
        <v>312</v>
      </c>
      <c r="I177" t="s">
        <v>166</v>
      </c>
      <c r="J177" t="s">
        <v>438</v>
      </c>
      <c r="K177">
        <v>673059</v>
      </c>
      <c r="L177" t="s">
        <v>55</v>
      </c>
      <c r="M177" t="s">
        <v>56</v>
      </c>
      <c r="N177" t="s">
        <v>57</v>
      </c>
      <c r="O177" s="1">
        <v>45643</v>
      </c>
      <c r="Q177" s="1">
        <v>45978</v>
      </c>
      <c r="R177" s="2">
        <v>306.95</v>
      </c>
      <c r="S177">
        <v>1</v>
      </c>
      <c r="T177" t="s">
        <v>58</v>
      </c>
      <c r="U177" t="s">
        <v>180</v>
      </c>
      <c r="V177" s="3">
        <v>0.19</v>
      </c>
      <c r="W177" s="2">
        <v>0</v>
      </c>
      <c r="X177">
        <v>0</v>
      </c>
      <c r="Y177" t="s">
        <v>60</v>
      </c>
      <c r="Z177" t="s">
        <v>182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58.32</v>
      </c>
      <c r="AN177" s="2">
        <v>58.32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45943</v>
      </c>
      <c r="B178" t="s">
        <v>48</v>
      </c>
      <c r="C178">
        <v>649163</v>
      </c>
      <c r="D178">
        <v>2024372431</v>
      </c>
      <c r="E178" t="s">
        <v>355</v>
      </c>
      <c r="F178" t="s">
        <v>356</v>
      </c>
      <c r="G178" t="s">
        <v>51</v>
      </c>
      <c r="H178" t="s">
        <v>357</v>
      </c>
      <c r="I178" t="s">
        <v>166</v>
      </c>
      <c r="J178" t="s">
        <v>171</v>
      </c>
      <c r="K178">
        <v>669316</v>
      </c>
      <c r="L178" t="s">
        <v>98</v>
      </c>
      <c r="M178" t="s">
        <v>99</v>
      </c>
      <c r="N178" t="s">
        <v>57</v>
      </c>
      <c r="O178" s="1">
        <v>45882</v>
      </c>
      <c r="Q178" s="1">
        <v>45974</v>
      </c>
      <c r="R178" s="2">
        <v>315.83999999999997</v>
      </c>
      <c r="S178">
        <v>1</v>
      </c>
      <c r="T178" t="s">
        <v>58</v>
      </c>
      <c r="U178" t="s">
        <v>180</v>
      </c>
      <c r="V178" s="3">
        <v>0.28999999999999998</v>
      </c>
      <c r="W178" s="2">
        <v>0</v>
      </c>
      <c r="X178">
        <v>0</v>
      </c>
      <c r="Y178" t="s">
        <v>60</v>
      </c>
      <c r="Z178" t="s">
        <v>182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91.59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45943</v>
      </c>
      <c r="B179" t="s">
        <v>48</v>
      </c>
      <c r="C179">
        <v>649163</v>
      </c>
      <c r="D179">
        <v>2029995393</v>
      </c>
      <c r="E179" t="s">
        <v>379</v>
      </c>
      <c r="F179" t="s">
        <v>211</v>
      </c>
      <c r="G179" t="s">
        <v>51</v>
      </c>
      <c r="H179" t="s">
        <v>225</v>
      </c>
      <c r="I179" t="s">
        <v>166</v>
      </c>
      <c r="J179" t="s">
        <v>171</v>
      </c>
      <c r="K179">
        <v>877182</v>
      </c>
      <c r="L179" t="s">
        <v>380</v>
      </c>
      <c r="M179" t="s">
        <v>381</v>
      </c>
      <c r="N179" t="s">
        <v>57</v>
      </c>
      <c r="O179" s="1">
        <v>45855</v>
      </c>
      <c r="Q179" s="1">
        <v>45978</v>
      </c>
      <c r="R179" s="2">
        <v>154.38</v>
      </c>
      <c r="S179">
        <v>1</v>
      </c>
      <c r="T179" t="s">
        <v>58</v>
      </c>
      <c r="U179" t="s">
        <v>180</v>
      </c>
      <c r="V179" s="3">
        <v>0.28999999999999998</v>
      </c>
      <c r="W179" s="2">
        <v>0</v>
      </c>
      <c r="X179">
        <v>0</v>
      </c>
      <c r="Y179" t="s">
        <v>60</v>
      </c>
      <c r="Z179" t="s">
        <v>182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44.77</v>
      </c>
      <c r="AN179" s="2">
        <v>44.77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45943</v>
      </c>
      <c r="B180" t="s">
        <v>48</v>
      </c>
      <c r="C180">
        <v>649163</v>
      </c>
      <c r="D180">
        <v>2030924640</v>
      </c>
      <c r="E180" t="s">
        <v>338</v>
      </c>
      <c r="F180" t="s">
        <v>339</v>
      </c>
      <c r="G180" t="s">
        <v>51</v>
      </c>
      <c r="H180" t="s">
        <v>312</v>
      </c>
      <c r="I180" t="s">
        <v>166</v>
      </c>
      <c r="J180" t="s">
        <v>438</v>
      </c>
      <c r="K180">
        <v>874230</v>
      </c>
      <c r="L180" t="s">
        <v>340</v>
      </c>
      <c r="M180" t="s">
        <v>341</v>
      </c>
      <c r="N180" t="s">
        <v>57</v>
      </c>
      <c r="O180" s="1">
        <v>45911</v>
      </c>
      <c r="Q180" s="1">
        <v>45972</v>
      </c>
      <c r="R180" s="2">
        <v>163.94</v>
      </c>
      <c r="S180">
        <v>1</v>
      </c>
      <c r="T180" t="s">
        <v>58</v>
      </c>
      <c r="U180" t="s">
        <v>82</v>
      </c>
      <c r="V180" s="3">
        <v>0.19</v>
      </c>
      <c r="W180" s="2">
        <v>0</v>
      </c>
      <c r="X180">
        <v>0</v>
      </c>
      <c r="Y180" t="s">
        <v>60</v>
      </c>
      <c r="Z180" t="s">
        <v>182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31.15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45943</v>
      </c>
      <c r="B181" t="s">
        <v>48</v>
      </c>
      <c r="C181">
        <v>649163</v>
      </c>
      <c r="D181">
        <v>2030932599</v>
      </c>
      <c r="E181" t="s">
        <v>342</v>
      </c>
      <c r="F181" t="s">
        <v>343</v>
      </c>
      <c r="G181" t="s">
        <v>51</v>
      </c>
      <c r="H181" t="s">
        <v>312</v>
      </c>
      <c r="I181" t="s">
        <v>166</v>
      </c>
      <c r="J181" t="s">
        <v>438</v>
      </c>
      <c r="K181">
        <v>874230</v>
      </c>
      <c r="L181" t="s">
        <v>340</v>
      </c>
      <c r="M181" t="s">
        <v>341</v>
      </c>
      <c r="N181" t="s">
        <v>57</v>
      </c>
      <c r="O181" s="1">
        <v>45911</v>
      </c>
      <c r="Q181" s="1">
        <v>45972</v>
      </c>
      <c r="R181" s="2">
        <v>196.19</v>
      </c>
      <c r="S181">
        <v>1</v>
      </c>
      <c r="T181" t="s">
        <v>58</v>
      </c>
      <c r="U181" t="s">
        <v>82</v>
      </c>
      <c r="V181" s="3">
        <v>0.19</v>
      </c>
      <c r="W181" s="2">
        <v>0</v>
      </c>
      <c r="X181">
        <v>0</v>
      </c>
      <c r="Y181" t="s">
        <v>60</v>
      </c>
      <c r="Z181" t="s">
        <v>182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37.28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45943</v>
      </c>
      <c r="B182" t="s">
        <v>48</v>
      </c>
      <c r="C182">
        <v>649163</v>
      </c>
      <c r="D182">
        <v>2031017070</v>
      </c>
      <c r="E182" t="s">
        <v>346</v>
      </c>
      <c r="F182" t="s">
        <v>159</v>
      </c>
      <c r="G182" t="s">
        <v>51</v>
      </c>
      <c r="H182" t="s">
        <v>107</v>
      </c>
      <c r="I182" t="s">
        <v>166</v>
      </c>
      <c r="J182" t="s">
        <v>439</v>
      </c>
      <c r="K182">
        <v>877790</v>
      </c>
      <c r="L182" t="s">
        <v>108</v>
      </c>
      <c r="M182" t="s">
        <v>109</v>
      </c>
      <c r="N182" t="s">
        <v>57</v>
      </c>
      <c r="O182" s="1">
        <v>45913</v>
      </c>
      <c r="Q182" s="1">
        <v>45974</v>
      </c>
      <c r="R182" s="2">
        <v>262.94</v>
      </c>
      <c r="S182">
        <v>1</v>
      </c>
      <c r="T182" t="s">
        <v>58</v>
      </c>
      <c r="U182" t="s">
        <v>88</v>
      </c>
      <c r="V182" s="3">
        <v>0.19</v>
      </c>
      <c r="W182" s="2">
        <v>0</v>
      </c>
      <c r="X182">
        <v>0</v>
      </c>
      <c r="Y182" t="s">
        <v>60</v>
      </c>
      <c r="Z182" t="s">
        <v>182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49.96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45943</v>
      </c>
      <c r="B183" t="s">
        <v>48</v>
      </c>
      <c r="C183">
        <v>649163</v>
      </c>
      <c r="D183">
        <v>2031057791</v>
      </c>
      <c r="E183" t="s">
        <v>387</v>
      </c>
      <c r="F183" t="s">
        <v>90</v>
      </c>
      <c r="G183" t="s">
        <v>51</v>
      </c>
      <c r="H183" t="s">
        <v>337</v>
      </c>
      <c r="I183" t="s">
        <v>166</v>
      </c>
      <c r="J183" t="s">
        <v>440</v>
      </c>
      <c r="K183">
        <v>856163</v>
      </c>
      <c r="L183" t="s">
        <v>65</v>
      </c>
      <c r="M183" t="s">
        <v>81</v>
      </c>
      <c r="N183" t="s">
        <v>57</v>
      </c>
      <c r="O183" s="1">
        <v>45915</v>
      </c>
      <c r="Q183" s="1">
        <v>45976</v>
      </c>
      <c r="R183" s="2">
        <v>165.77</v>
      </c>
      <c r="S183">
        <v>1</v>
      </c>
      <c r="T183" t="s">
        <v>58</v>
      </c>
      <c r="U183" t="s">
        <v>389</v>
      </c>
      <c r="V183" s="3">
        <v>0.27</v>
      </c>
      <c r="W183" s="2">
        <v>0</v>
      </c>
      <c r="X183">
        <v>0</v>
      </c>
      <c r="Y183" t="s">
        <v>60</v>
      </c>
      <c r="Z183" t="s">
        <v>182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44.76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45943</v>
      </c>
      <c r="B184" t="s">
        <v>48</v>
      </c>
      <c r="C184">
        <v>649163</v>
      </c>
      <c r="D184">
        <v>2017242798</v>
      </c>
      <c r="E184" t="s">
        <v>441</v>
      </c>
      <c r="F184" t="s">
        <v>442</v>
      </c>
      <c r="G184" t="s">
        <v>51</v>
      </c>
      <c r="H184" t="s">
        <v>225</v>
      </c>
      <c r="I184" t="s">
        <v>443</v>
      </c>
      <c r="J184" t="s">
        <v>444</v>
      </c>
      <c r="K184">
        <v>652037</v>
      </c>
      <c r="L184" t="s">
        <v>222</v>
      </c>
      <c r="M184" t="s">
        <v>223</v>
      </c>
      <c r="N184" t="s">
        <v>57</v>
      </c>
      <c r="O184" s="1">
        <v>44930</v>
      </c>
      <c r="Q184" s="1">
        <v>45965</v>
      </c>
      <c r="R184" s="2">
        <v>0.78</v>
      </c>
      <c r="S184">
        <v>1</v>
      </c>
      <c r="T184" t="s">
        <v>58</v>
      </c>
      <c r="U184" t="s">
        <v>180</v>
      </c>
      <c r="V184" s="4">
        <v>5.2499999999999998E-2</v>
      </c>
      <c r="W184" s="2">
        <v>0</v>
      </c>
      <c r="X184">
        <v>0</v>
      </c>
      <c r="Y184" t="s">
        <v>181</v>
      </c>
      <c r="Z184" t="s">
        <v>182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0.04</v>
      </c>
      <c r="AN184" s="2">
        <v>0.04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45943</v>
      </c>
      <c r="B185" t="s">
        <v>48</v>
      </c>
      <c r="C185">
        <v>649163</v>
      </c>
      <c r="D185">
        <v>2017278501</v>
      </c>
      <c r="E185" t="s">
        <v>240</v>
      </c>
      <c r="F185" t="s">
        <v>445</v>
      </c>
      <c r="G185" t="s">
        <v>51</v>
      </c>
      <c r="H185" t="s">
        <v>189</v>
      </c>
      <c r="I185" t="s">
        <v>443</v>
      </c>
      <c r="J185" t="s">
        <v>444</v>
      </c>
      <c r="K185">
        <v>649164</v>
      </c>
      <c r="L185" t="s">
        <v>446</v>
      </c>
      <c r="M185" t="s">
        <v>327</v>
      </c>
      <c r="N185" t="s">
        <v>57</v>
      </c>
      <c r="O185" s="1">
        <v>44932</v>
      </c>
      <c r="Q185" s="1">
        <v>45967</v>
      </c>
      <c r="R185" s="2">
        <v>48.22</v>
      </c>
      <c r="S185">
        <v>1</v>
      </c>
      <c r="T185" t="s">
        <v>58</v>
      </c>
      <c r="U185" t="s">
        <v>180</v>
      </c>
      <c r="V185" s="4">
        <v>5.2499999999999998E-2</v>
      </c>
      <c r="W185" s="2">
        <v>0</v>
      </c>
      <c r="X185">
        <v>0</v>
      </c>
      <c r="Y185" t="s">
        <v>181</v>
      </c>
      <c r="Z185" t="s">
        <v>182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2.5299999999999998</v>
      </c>
      <c r="AN185" s="2">
        <v>2.5299999999999998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45943</v>
      </c>
      <c r="B186" t="s">
        <v>48</v>
      </c>
      <c r="C186">
        <v>649163</v>
      </c>
      <c r="D186">
        <v>2018582686</v>
      </c>
      <c r="E186" t="s">
        <v>447</v>
      </c>
      <c r="F186" t="s">
        <v>211</v>
      </c>
      <c r="G186" t="s">
        <v>51</v>
      </c>
      <c r="H186" t="s">
        <v>225</v>
      </c>
      <c r="I186" t="s">
        <v>443</v>
      </c>
      <c r="J186" t="s">
        <v>444</v>
      </c>
      <c r="K186">
        <v>673059</v>
      </c>
      <c r="L186" t="s">
        <v>55</v>
      </c>
      <c r="M186" t="s">
        <v>56</v>
      </c>
      <c r="N186" t="s">
        <v>57</v>
      </c>
      <c r="O186" s="1">
        <v>45096</v>
      </c>
      <c r="Q186" s="1">
        <v>45949</v>
      </c>
      <c r="R186" s="2">
        <v>0.14000000000000001</v>
      </c>
      <c r="S186">
        <v>1</v>
      </c>
      <c r="T186" t="s">
        <v>58</v>
      </c>
      <c r="U186" t="s">
        <v>180</v>
      </c>
      <c r="V186" s="4">
        <v>5.2499999999999998E-2</v>
      </c>
      <c r="W186" s="2">
        <v>0</v>
      </c>
      <c r="X186">
        <v>0</v>
      </c>
      <c r="Y186" t="s">
        <v>181</v>
      </c>
      <c r="Z186" t="s">
        <v>182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0.01</v>
      </c>
      <c r="AN186" s="2">
        <v>0.01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45943</v>
      </c>
      <c r="B187" t="s">
        <v>48</v>
      </c>
      <c r="C187">
        <v>649163</v>
      </c>
      <c r="D187">
        <v>2019324243</v>
      </c>
      <c r="E187" t="s">
        <v>448</v>
      </c>
      <c r="F187" t="s">
        <v>90</v>
      </c>
      <c r="G187" t="s">
        <v>51</v>
      </c>
      <c r="H187" t="s">
        <v>225</v>
      </c>
      <c r="I187" t="s">
        <v>443</v>
      </c>
      <c r="J187" t="s">
        <v>444</v>
      </c>
      <c r="K187">
        <v>673059</v>
      </c>
      <c r="L187" t="s">
        <v>55</v>
      </c>
      <c r="M187" t="s">
        <v>56</v>
      </c>
      <c r="N187" t="s">
        <v>57</v>
      </c>
      <c r="O187" s="1">
        <v>45139</v>
      </c>
      <c r="Q187" s="1">
        <v>45962</v>
      </c>
      <c r="R187" s="2">
        <v>0.26</v>
      </c>
      <c r="S187">
        <v>1</v>
      </c>
      <c r="T187" t="s">
        <v>58</v>
      </c>
      <c r="U187" t="s">
        <v>180</v>
      </c>
      <c r="V187" s="4">
        <v>5.2499999999999998E-2</v>
      </c>
      <c r="W187" s="2">
        <v>0</v>
      </c>
      <c r="X187">
        <v>0</v>
      </c>
      <c r="Y187" t="s">
        <v>181</v>
      </c>
      <c r="Z187" t="s">
        <v>182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0.01</v>
      </c>
      <c r="AN187" s="2">
        <v>0.01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45943</v>
      </c>
      <c r="B188" t="s">
        <v>48</v>
      </c>
      <c r="C188">
        <v>649163</v>
      </c>
      <c r="D188">
        <v>2019687400</v>
      </c>
      <c r="E188" t="s">
        <v>449</v>
      </c>
      <c r="F188" t="s">
        <v>450</v>
      </c>
      <c r="G188" t="s">
        <v>51</v>
      </c>
      <c r="H188" t="s">
        <v>189</v>
      </c>
      <c r="I188" t="s">
        <v>443</v>
      </c>
      <c r="J188" t="s">
        <v>444</v>
      </c>
      <c r="K188">
        <v>678320</v>
      </c>
      <c r="L188" t="s">
        <v>451</v>
      </c>
      <c r="M188" t="s">
        <v>452</v>
      </c>
      <c r="N188" t="s">
        <v>57</v>
      </c>
      <c r="O188" s="1">
        <v>45150</v>
      </c>
      <c r="Q188" s="1">
        <v>45973</v>
      </c>
      <c r="R188" s="2">
        <v>64.540000000000006</v>
      </c>
      <c r="S188">
        <v>1</v>
      </c>
      <c r="T188" t="s">
        <v>58</v>
      </c>
      <c r="U188" t="s">
        <v>180</v>
      </c>
      <c r="V188" s="4">
        <v>5.2499999999999998E-2</v>
      </c>
      <c r="W188" s="2">
        <v>0</v>
      </c>
      <c r="X188">
        <v>0</v>
      </c>
      <c r="Y188" t="s">
        <v>181</v>
      </c>
      <c r="Z188" t="s">
        <v>182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3.39</v>
      </c>
      <c r="AN188" s="2">
        <v>3.39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45943</v>
      </c>
      <c r="B189" t="s">
        <v>48</v>
      </c>
      <c r="C189">
        <v>649163</v>
      </c>
      <c r="D189">
        <v>2023013394</v>
      </c>
      <c r="E189" t="s">
        <v>453</v>
      </c>
      <c r="F189" t="s">
        <v>454</v>
      </c>
      <c r="G189" t="s">
        <v>51</v>
      </c>
      <c r="H189" t="s">
        <v>189</v>
      </c>
      <c r="I189" t="s">
        <v>443</v>
      </c>
      <c r="J189" t="s">
        <v>444</v>
      </c>
      <c r="K189">
        <v>728134</v>
      </c>
      <c r="L189" t="s">
        <v>455</v>
      </c>
      <c r="M189" t="s">
        <v>456</v>
      </c>
      <c r="N189" t="s">
        <v>179</v>
      </c>
      <c r="O189" s="1">
        <v>45444</v>
      </c>
      <c r="P189" s="1">
        <v>45943</v>
      </c>
      <c r="Q189" s="1">
        <v>45962</v>
      </c>
      <c r="R189" s="2">
        <v>-28.17</v>
      </c>
      <c r="S189">
        <v>1</v>
      </c>
      <c r="T189" t="s">
        <v>58</v>
      </c>
      <c r="U189" t="s">
        <v>180</v>
      </c>
      <c r="V189" s="4">
        <v>5.2499999999999998E-2</v>
      </c>
      <c r="W189" s="2">
        <v>0</v>
      </c>
      <c r="X189">
        <v>-1</v>
      </c>
      <c r="Y189" t="s">
        <v>181</v>
      </c>
      <c r="Z189" t="s">
        <v>182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-1.48</v>
      </c>
      <c r="AN189" s="2">
        <v>-1.48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45943</v>
      </c>
      <c r="B190" t="s">
        <v>48</v>
      </c>
      <c r="C190">
        <v>649163</v>
      </c>
      <c r="D190">
        <v>2024254141</v>
      </c>
      <c r="E190" t="s">
        <v>457</v>
      </c>
      <c r="F190" t="s">
        <v>458</v>
      </c>
      <c r="G190" t="s">
        <v>51</v>
      </c>
      <c r="H190" t="s">
        <v>189</v>
      </c>
      <c r="I190" t="s">
        <v>443</v>
      </c>
      <c r="J190" t="s">
        <v>444</v>
      </c>
      <c r="K190">
        <v>649247</v>
      </c>
      <c r="L190" t="s">
        <v>395</v>
      </c>
      <c r="M190" t="s">
        <v>396</v>
      </c>
      <c r="N190" t="s">
        <v>57</v>
      </c>
      <c r="O190" s="1">
        <v>45510</v>
      </c>
      <c r="Q190" s="1">
        <v>45967</v>
      </c>
      <c r="R190" s="2">
        <v>45.54</v>
      </c>
      <c r="S190">
        <v>1</v>
      </c>
      <c r="T190" t="s">
        <v>58</v>
      </c>
      <c r="U190" t="s">
        <v>180</v>
      </c>
      <c r="V190" s="4">
        <v>5.2499999999999998E-2</v>
      </c>
      <c r="W190" s="2">
        <v>0</v>
      </c>
      <c r="X190">
        <v>0</v>
      </c>
      <c r="Y190" t="s">
        <v>181</v>
      </c>
      <c r="Z190" t="s">
        <v>182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2.39</v>
      </c>
      <c r="AN190" s="2">
        <v>2.39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45943</v>
      </c>
      <c r="B191" t="s">
        <v>48</v>
      </c>
      <c r="C191">
        <v>649163</v>
      </c>
      <c r="D191">
        <v>2026569744</v>
      </c>
      <c r="E191" t="s">
        <v>459</v>
      </c>
      <c r="F191" t="s">
        <v>258</v>
      </c>
      <c r="G191" t="s">
        <v>51</v>
      </c>
      <c r="H191" t="s">
        <v>225</v>
      </c>
      <c r="I191" t="s">
        <v>443</v>
      </c>
      <c r="J191" t="s">
        <v>444</v>
      </c>
      <c r="K191">
        <v>767312</v>
      </c>
      <c r="L191" t="s">
        <v>147</v>
      </c>
      <c r="M191" t="s">
        <v>148</v>
      </c>
      <c r="N191" t="s">
        <v>57</v>
      </c>
      <c r="O191" s="1">
        <v>45689</v>
      </c>
      <c r="Q191" s="1">
        <v>45962</v>
      </c>
      <c r="R191" s="2">
        <v>47.6</v>
      </c>
      <c r="S191">
        <v>1</v>
      </c>
      <c r="T191" t="s">
        <v>58</v>
      </c>
      <c r="U191" t="s">
        <v>180</v>
      </c>
      <c r="V191" s="3">
        <v>0.47</v>
      </c>
      <c r="W191" s="2">
        <v>0</v>
      </c>
      <c r="X191">
        <v>0</v>
      </c>
      <c r="Y191" t="s">
        <v>60</v>
      </c>
      <c r="Z191" t="s">
        <v>182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22.37</v>
      </c>
      <c r="AN191" s="2">
        <v>22.37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45943</v>
      </c>
      <c r="B192" t="s">
        <v>48</v>
      </c>
      <c r="C192">
        <v>649163</v>
      </c>
      <c r="D192">
        <v>2026694436</v>
      </c>
      <c r="E192" t="s">
        <v>460</v>
      </c>
      <c r="F192" t="s">
        <v>461</v>
      </c>
      <c r="G192" t="s">
        <v>51</v>
      </c>
      <c r="H192" t="s">
        <v>78</v>
      </c>
      <c r="I192" t="s">
        <v>443</v>
      </c>
      <c r="J192" t="s">
        <v>462</v>
      </c>
      <c r="K192">
        <v>651818</v>
      </c>
      <c r="L192" t="s">
        <v>260</v>
      </c>
      <c r="M192" t="s">
        <v>261</v>
      </c>
      <c r="N192" t="s">
        <v>57</v>
      </c>
      <c r="O192" s="1">
        <v>45695</v>
      </c>
      <c r="Q192" s="1">
        <v>45968</v>
      </c>
      <c r="R192" s="2">
        <v>172.98</v>
      </c>
      <c r="S192">
        <v>1</v>
      </c>
      <c r="T192" t="s">
        <v>58</v>
      </c>
      <c r="U192" t="s">
        <v>180</v>
      </c>
      <c r="V192" s="3">
        <v>0.51</v>
      </c>
      <c r="W192" s="2">
        <v>0</v>
      </c>
      <c r="X192">
        <v>0</v>
      </c>
      <c r="Y192" t="s">
        <v>60</v>
      </c>
      <c r="Z192" t="s">
        <v>182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88.22</v>
      </c>
      <c r="AN192" s="2">
        <v>88.22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45943</v>
      </c>
      <c r="B193" t="s">
        <v>48</v>
      </c>
      <c r="C193">
        <v>649163</v>
      </c>
      <c r="D193">
        <v>2026694437</v>
      </c>
      <c r="E193" t="s">
        <v>460</v>
      </c>
      <c r="F193" t="s">
        <v>461</v>
      </c>
      <c r="G193" t="s">
        <v>51</v>
      </c>
      <c r="H193" t="s">
        <v>78</v>
      </c>
      <c r="I193" t="s">
        <v>443</v>
      </c>
      <c r="J193" t="s">
        <v>463</v>
      </c>
      <c r="K193">
        <v>651818</v>
      </c>
      <c r="L193" t="s">
        <v>260</v>
      </c>
      <c r="M193" t="s">
        <v>261</v>
      </c>
      <c r="N193" t="s">
        <v>57</v>
      </c>
      <c r="O193" s="1">
        <v>45695</v>
      </c>
      <c r="Q193" s="1">
        <v>45968</v>
      </c>
      <c r="R193" s="2">
        <v>14.95</v>
      </c>
      <c r="S193">
        <v>1</v>
      </c>
      <c r="T193" t="s">
        <v>58</v>
      </c>
      <c r="U193" t="s">
        <v>180</v>
      </c>
      <c r="V193" s="3">
        <v>0.51</v>
      </c>
      <c r="W193" s="2">
        <v>0</v>
      </c>
      <c r="X193">
        <v>0</v>
      </c>
      <c r="Y193" t="s">
        <v>60</v>
      </c>
      <c r="Z193" t="s">
        <v>182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7.62</v>
      </c>
      <c r="AN193" s="2">
        <v>7.62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45943</v>
      </c>
      <c r="B194" t="s">
        <v>48</v>
      </c>
      <c r="C194">
        <v>649163</v>
      </c>
      <c r="D194">
        <v>2027175182</v>
      </c>
      <c r="E194" t="s">
        <v>464</v>
      </c>
      <c r="F194" t="s">
        <v>465</v>
      </c>
      <c r="G194" t="s">
        <v>51</v>
      </c>
      <c r="H194" t="s">
        <v>189</v>
      </c>
      <c r="I194" t="s">
        <v>443</v>
      </c>
      <c r="J194" t="s">
        <v>444</v>
      </c>
      <c r="K194">
        <v>728134</v>
      </c>
      <c r="L194" t="s">
        <v>455</v>
      </c>
      <c r="M194" t="s">
        <v>456</v>
      </c>
      <c r="N194" t="s">
        <v>57</v>
      </c>
      <c r="O194" s="1">
        <v>45717</v>
      </c>
      <c r="Q194" s="1">
        <v>45962</v>
      </c>
      <c r="R194" s="2">
        <v>-43.59</v>
      </c>
      <c r="S194">
        <v>1</v>
      </c>
      <c r="T194" t="s">
        <v>58</v>
      </c>
      <c r="U194" t="s">
        <v>180</v>
      </c>
      <c r="V194" s="3">
        <v>0.47</v>
      </c>
      <c r="W194" s="2">
        <v>0</v>
      </c>
      <c r="X194">
        <v>-1</v>
      </c>
      <c r="Y194" t="s">
        <v>60</v>
      </c>
      <c r="Z194" t="s">
        <v>182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-20.49</v>
      </c>
      <c r="AN194" s="2">
        <v>-20.49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45943</v>
      </c>
      <c r="B195" t="s">
        <v>48</v>
      </c>
      <c r="C195">
        <v>649163</v>
      </c>
      <c r="D195">
        <v>2027604739</v>
      </c>
      <c r="E195" t="s">
        <v>466</v>
      </c>
      <c r="F195" t="s">
        <v>467</v>
      </c>
      <c r="G195" t="s">
        <v>51</v>
      </c>
      <c r="H195" t="s">
        <v>228</v>
      </c>
      <c r="I195" t="s">
        <v>443</v>
      </c>
      <c r="J195" t="s">
        <v>444</v>
      </c>
      <c r="K195">
        <v>766422</v>
      </c>
      <c r="L195" t="s">
        <v>468</v>
      </c>
      <c r="M195" t="s">
        <v>261</v>
      </c>
      <c r="N195" t="s">
        <v>57</v>
      </c>
      <c r="O195" s="1">
        <v>45723</v>
      </c>
      <c r="Q195" s="1">
        <v>45968</v>
      </c>
      <c r="R195" s="2">
        <v>51.04</v>
      </c>
      <c r="S195">
        <v>1</v>
      </c>
      <c r="T195" t="s">
        <v>58</v>
      </c>
      <c r="U195" t="s">
        <v>180</v>
      </c>
      <c r="V195" s="3">
        <v>0.47</v>
      </c>
      <c r="W195" s="2">
        <v>0</v>
      </c>
      <c r="X195">
        <v>0</v>
      </c>
      <c r="Y195" t="s">
        <v>60</v>
      </c>
      <c r="Z195" t="s">
        <v>182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23.99</v>
      </c>
      <c r="AN195" s="2">
        <v>23.99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45943</v>
      </c>
      <c r="B196" t="s">
        <v>48</v>
      </c>
      <c r="C196">
        <v>649163</v>
      </c>
      <c r="D196">
        <v>2027605652</v>
      </c>
      <c r="E196" t="s">
        <v>469</v>
      </c>
      <c r="F196" t="s">
        <v>470</v>
      </c>
      <c r="G196" t="s">
        <v>51</v>
      </c>
      <c r="H196" t="s">
        <v>78</v>
      </c>
      <c r="I196" t="s">
        <v>443</v>
      </c>
      <c r="J196" t="s">
        <v>444</v>
      </c>
      <c r="K196">
        <v>764123</v>
      </c>
      <c r="L196" t="s">
        <v>471</v>
      </c>
      <c r="M196" t="s">
        <v>472</v>
      </c>
      <c r="N196" t="s">
        <v>57</v>
      </c>
      <c r="O196" s="1">
        <v>45722</v>
      </c>
      <c r="Q196" s="1">
        <v>45967</v>
      </c>
      <c r="R196" s="2">
        <v>83.39</v>
      </c>
      <c r="S196">
        <v>1</v>
      </c>
      <c r="T196" t="s">
        <v>58</v>
      </c>
      <c r="U196" t="s">
        <v>180</v>
      </c>
      <c r="V196" s="3">
        <v>0.47</v>
      </c>
      <c r="W196" s="2">
        <v>0</v>
      </c>
      <c r="X196">
        <v>0</v>
      </c>
      <c r="Y196" t="s">
        <v>60</v>
      </c>
      <c r="Z196" t="s">
        <v>182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39.19</v>
      </c>
      <c r="AN196" s="2">
        <v>39.19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45943</v>
      </c>
      <c r="B197" t="s">
        <v>48</v>
      </c>
      <c r="C197">
        <v>649163</v>
      </c>
      <c r="D197">
        <v>2029358060</v>
      </c>
      <c r="E197" t="s">
        <v>473</v>
      </c>
      <c r="F197" t="s">
        <v>474</v>
      </c>
      <c r="G197" t="s">
        <v>51</v>
      </c>
      <c r="H197" t="s">
        <v>189</v>
      </c>
      <c r="I197" t="s">
        <v>443</v>
      </c>
      <c r="J197" t="s">
        <v>444</v>
      </c>
      <c r="K197">
        <v>649247</v>
      </c>
      <c r="L197" t="s">
        <v>395</v>
      </c>
      <c r="M197" t="s">
        <v>396</v>
      </c>
      <c r="N197" t="s">
        <v>57</v>
      </c>
      <c r="O197" s="1">
        <v>45817</v>
      </c>
      <c r="Q197" s="1">
        <v>45970</v>
      </c>
      <c r="R197" s="2">
        <v>60.6</v>
      </c>
      <c r="S197">
        <v>1</v>
      </c>
      <c r="T197" t="s">
        <v>58</v>
      </c>
      <c r="U197" t="s">
        <v>180</v>
      </c>
      <c r="V197" s="3">
        <v>0.47</v>
      </c>
      <c r="W197" s="2">
        <v>0</v>
      </c>
      <c r="X197">
        <v>0</v>
      </c>
      <c r="Y197" t="s">
        <v>60</v>
      </c>
      <c r="Z197" t="s">
        <v>182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28.48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45943</v>
      </c>
      <c r="B198" t="s">
        <v>48</v>
      </c>
      <c r="C198">
        <v>649163</v>
      </c>
      <c r="D198">
        <v>2030739940</v>
      </c>
      <c r="E198" t="s">
        <v>148</v>
      </c>
      <c r="F198" t="s">
        <v>475</v>
      </c>
      <c r="G198" t="s">
        <v>51</v>
      </c>
      <c r="H198" t="s">
        <v>91</v>
      </c>
      <c r="I198" t="s">
        <v>443</v>
      </c>
      <c r="J198" t="s">
        <v>462</v>
      </c>
      <c r="K198">
        <v>651818</v>
      </c>
      <c r="L198" t="s">
        <v>260</v>
      </c>
      <c r="M198" t="s">
        <v>261</v>
      </c>
      <c r="N198" t="s">
        <v>57</v>
      </c>
      <c r="O198" s="1">
        <v>45906</v>
      </c>
      <c r="Q198" s="1">
        <v>45967</v>
      </c>
      <c r="R198" s="2">
        <v>176.78</v>
      </c>
      <c r="S198">
        <v>1</v>
      </c>
      <c r="T198" t="s">
        <v>58</v>
      </c>
      <c r="U198" t="s">
        <v>180</v>
      </c>
      <c r="V198" s="3">
        <v>0.51</v>
      </c>
      <c r="W198" s="2">
        <v>0</v>
      </c>
      <c r="X198">
        <v>0</v>
      </c>
      <c r="Y198" t="s">
        <v>60</v>
      </c>
      <c r="Z198" t="s">
        <v>182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90.16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45943</v>
      </c>
      <c r="B199" t="s">
        <v>48</v>
      </c>
      <c r="C199">
        <v>649163</v>
      </c>
      <c r="D199">
        <v>2030739941</v>
      </c>
      <c r="E199" t="s">
        <v>148</v>
      </c>
      <c r="F199" t="s">
        <v>475</v>
      </c>
      <c r="G199" t="s">
        <v>51</v>
      </c>
      <c r="H199" t="s">
        <v>91</v>
      </c>
      <c r="I199" t="s">
        <v>443</v>
      </c>
      <c r="J199" t="s">
        <v>463</v>
      </c>
      <c r="K199">
        <v>651818</v>
      </c>
      <c r="L199" t="s">
        <v>260</v>
      </c>
      <c r="M199" t="s">
        <v>261</v>
      </c>
      <c r="N199" t="s">
        <v>57</v>
      </c>
      <c r="O199" s="1">
        <v>45906</v>
      </c>
      <c r="Q199" s="1">
        <v>45967</v>
      </c>
      <c r="R199" s="2">
        <v>14.95</v>
      </c>
      <c r="S199">
        <v>1</v>
      </c>
      <c r="T199" t="s">
        <v>58</v>
      </c>
      <c r="U199" t="s">
        <v>180</v>
      </c>
      <c r="V199" s="3">
        <v>0.51</v>
      </c>
      <c r="W199" s="2">
        <v>0</v>
      </c>
      <c r="X199">
        <v>0</v>
      </c>
      <c r="Y199" t="s">
        <v>60</v>
      </c>
      <c r="Z199" t="s">
        <v>182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7.62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45943</v>
      </c>
      <c r="B200" t="s">
        <v>48</v>
      </c>
      <c r="C200">
        <v>649163</v>
      </c>
      <c r="D200">
        <v>2026054686</v>
      </c>
      <c r="E200" t="s">
        <v>476</v>
      </c>
      <c r="F200" t="s">
        <v>244</v>
      </c>
      <c r="G200" t="s">
        <v>51</v>
      </c>
      <c r="H200" t="s">
        <v>78</v>
      </c>
      <c r="I200" t="s">
        <v>92</v>
      </c>
      <c r="J200" t="s">
        <v>93</v>
      </c>
      <c r="K200">
        <v>766747</v>
      </c>
      <c r="L200" t="s">
        <v>477</v>
      </c>
      <c r="M200" t="s">
        <v>159</v>
      </c>
      <c r="N200" t="s">
        <v>57</v>
      </c>
      <c r="O200" s="1">
        <v>45638</v>
      </c>
      <c r="Q200" s="1">
        <v>45973</v>
      </c>
      <c r="R200" s="2">
        <v>47.56</v>
      </c>
      <c r="S200">
        <v>1</v>
      </c>
      <c r="T200" t="s">
        <v>58</v>
      </c>
      <c r="U200" t="s">
        <v>180</v>
      </c>
      <c r="V200" s="4">
        <v>0.375</v>
      </c>
      <c r="W200" s="2">
        <v>0</v>
      </c>
      <c r="X200">
        <v>0</v>
      </c>
      <c r="Y200" t="s">
        <v>60</v>
      </c>
      <c r="Z200" t="s">
        <v>182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17.84</v>
      </c>
      <c r="AN200" s="2">
        <v>17.84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45943</v>
      </c>
      <c r="B201" t="s">
        <v>48</v>
      </c>
      <c r="C201">
        <v>649163</v>
      </c>
      <c r="D201">
        <v>2026111643</v>
      </c>
      <c r="E201" t="s">
        <v>243</v>
      </c>
      <c r="F201" t="s">
        <v>244</v>
      </c>
      <c r="G201" t="s">
        <v>51</v>
      </c>
      <c r="H201" t="s">
        <v>69</v>
      </c>
      <c r="I201" t="s">
        <v>92</v>
      </c>
      <c r="J201" t="s">
        <v>93</v>
      </c>
      <c r="K201">
        <v>796984</v>
      </c>
      <c r="L201" t="s">
        <v>234</v>
      </c>
      <c r="M201" t="s">
        <v>122</v>
      </c>
      <c r="N201" t="s">
        <v>57</v>
      </c>
      <c r="O201" s="1">
        <v>45641</v>
      </c>
      <c r="Q201" s="1">
        <v>45976</v>
      </c>
      <c r="R201" s="2">
        <v>105.78</v>
      </c>
      <c r="S201">
        <v>1</v>
      </c>
      <c r="T201" t="s">
        <v>58</v>
      </c>
      <c r="U201" t="s">
        <v>180</v>
      </c>
      <c r="V201" s="4">
        <v>0.375</v>
      </c>
      <c r="W201" s="2">
        <v>0</v>
      </c>
      <c r="X201">
        <v>0</v>
      </c>
      <c r="Y201" t="s">
        <v>60</v>
      </c>
      <c r="Z201" t="s">
        <v>182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39.67</v>
      </c>
      <c r="AN201" s="2">
        <v>39.67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45943</v>
      </c>
      <c r="B202" t="s">
        <v>48</v>
      </c>
      <c r="C202">
        <v>649163</v>
      </c>
      <c r="D202">
        <v>2026141665</v>
      </c>
      <c r="E202" t="s">
        <v>478</v>
      </c>
      <c r="F202" t="s">
        <v>479</v>
      </c>
      <c r="G202" t="s">
        <v>51</v>
      </c>
      <c r="H202" t="s">
        <v>78</v>
      </c>
      <c r="I202" t="s">
        <v>92</v>
      </c>
      <c r="J202" t="s">
        <v>93</v>
      </c>
      <c r="K202">
        <v>651818</v>
      </c>
      <c r="L202" t="s">
        <v>260</v>
      </c>
      <c r="M202" t="s">
        <v>261</v>
      </c>
      <c r="N202" t="s">
        <v>57</v>
      </c>
      <c r="O202" s="1">
        <v>45641</v>
      </c>
      <c r="Q202" s="1">
        <v>45976</v>
      </c>
      <c r="R202" s="2">
        <v>101.87</v>
      </c>
      <c r="S202">
        <v>1</v>
      </c>
      <c r="T202" t="s">
        <v>58</v>
      </c>
      <c r="U202" t="s">
        <v>180</v>
      </c>
      <c r="V202" s="4">
        <v>0.375</v>
      </c>
      <c r="W202" s="2">
        <v>0</v>
      </c>
      <c r="X202">
        <v>0</v>
      </c>
      <c r="Y202" t="s">
        <v>60</v>
      </c>
      <c r="Z202" t="s">
        <v>182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38.200000000000003</v>
      </c>
      <c r="AN202" s="2">
        <v>38.200000000000003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45943</v>
      </c>
      <c r="B203" t="s">
        <v>48</v>
      </c>
      <c r="C203">
        <v>649163</v>
      </c>
      <c r="D203">
        <v>2026146921</v>
      </c>
      <c r="E203" t="s">
        <v>480</v>
      </c>
      <c r="F203" t="s">
        <v>481</v>
      </c>
      <c r="G203" t="s">
        <v>51</v>
      </c>
      <c r="H203" t="s">
        <v>189</v>
      </c>
      <c r="I203" t="s">
        <v>92</v>
      </c>
      <c r="J203" t="s">
        <v>93</v>
      </c>
      <c r="K203">
        <v>728134</v>
      </c>
      <c r="L203" t="s">
        <v>455</v>
      </c>
      <c r="M203" t="s">
        <v>456</v>
      </c>
      <c r="N203" t="s">
        <v>57</v>
      </c>
      <c r="O203" s="1">
        <v>45639</v>
      </c>
      <c r="Q203" s="1">
        <v>45974</v>
      </c>
      <c r="R203" s="2">
        <v>39.979999999999997</v>
      </c>
      <c r="S203">
        <v>1</v>
      </c>
      <c r="T203" t="s">
        <v>58</v>
      </c>
      <c r="U203" t="s">
        <v>180</v>
      </c>
      <c r="V203" s="4">
        <v>0.375</v>
      </c>
      <c r="W203" s="2">
        <v>0</v>
      </c>
      <c r="X203">
        <v>0</v>
      </c>
      <c r="Y203" t="s">
        <v>60</v>
      </c>
      <c r="Z203" t="s">
        <v>182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14.99</v>
      </c>
      <c r="AN203" s="2">
        <v>14.99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45943</v>
      </c>
      <c r="B204" t="s">
        <v>48</v>
      </c>
      <c r="C204">
        <v>649163</v>
      </c>
      <c r="D204">
        <v>2026186217</v>
      </c>
      <c r="E204" t="s">
        <v>482</v>
      </c>
      <c r="F204" t="s">
        <v>483</v>
      </c>
      <c r="G204" t="s">
        <v>51</v>
      </c>
      <c r="H204" t="s">
        <v>272</v>
      </c>
      <c r="I204" t="s">
        <v>92</v>
      </c>
      <c r="J204" t="s">
        <v>93</v>
      </c>
      <c r="K204">
        <v>767312</v>
      </c>
      <c r="L204" t="s">
        <v>147</v>
      </c>
      <c r="M204" t="s">
        <v>148</v>
      </c>
      <c r="N204" t="s">
        <v>57</v>
      </c>
      <c r="O204" s="1">
        <v>45641</v>
      </c>
      <c r="Q204" s="1">
        <v>45976</v>
      </c>
      <c r="R204" s="2">
        <v>26.74</v>
      </c>
      <c r="S204">
        <v>1</v>
      </c>
      <c r="T204" t="s">
        <v>58</v>
      </c>
      <c r="U204" t="s">
        <v>180</v>
      </c>
      <c r="V204" s="4">
        <v>0.375</v>
      </c>
      <c r="W204" s="2">
        <v>0</v>
      </c>
      <c r="X204">
        <v>0</v>
      </c>
      <c r="Y204" t="s">
        <v>60</v>
      </c>
      <c r="Z204" t="s">
        <v>182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10.029999999999999</v>
      </c>
      <c r="AN204" s="2">
        <v>10.029999999999999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45943</v>
      </c>
      <c r="B205" t="s">
        <v>48</v>
      </c>
      <c r="C205">
        <v>649163</v>
      </c>
      <c r="D205">
        <v>2026529011</v>
      </c>
      <c r="E205" t="s">
        <v>484</v>
      </c>
      <c r="F205" t="s">
        <v>485</v>
      </c>
      <c r="G205" t="s">
        <v>51</v>
      </c>
      <c r="H205" t="s">
        <v>78</v>
      </c>
      <c r="I205" t="s">
        <v>92</v>
      </c>
      <c r="J205" t="s">
        <v>93</v>
      </c>
      <c r="K205">
        <v>766747</v>
      </c>
      <c r="L205" t="s">
        <v>477</v>
      </c>
      <c r="M205" t="s">
        <v>159</v>
      </c>
      <c r="N205" t="s">
        <v>179</v>
      </c>
      <c r="O205" s="1">
        <v>45689</v>
      </c>
      <c r="P205" s="1">
        <v>45943</v>
      </c>
      <c r="Q205" s="1">
        <v>45962</v>
      </c>
      <c r="R205" s="2">
        <v>-79.63</v>
      </c>
      <c r="S205">
        <v>1</v>
      </c>
      <c r="T205" t="s">
        <v>58</v>
      </c>
      <c r="U205" t="s">
        <v>180</v>
      </c>
      <c r="V205" s="4">
        <v>0.375</v>
      </c>
      <c r="W205" s="2">
        <v>0</v>
      </c>
      <c r="X205">
        <v>-1</v>
      </c>
      <c r="Y205" t="s">
        <v>60</v>
      </c>
      <c r="Z205" t="s">
        <v>182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-29.86</v>
      </c>
      <c r="AN205" s="2">
        <v>-29.86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45943</v>
      </c>
      <c r="B206" t="s">
        <v>48</v>
      </c>
      <c r="C206">
        <v>649163</v>
      </c>
      <c r="D206">
        <v>2026581909</v>
      </c>
      <c r="E206" t="s">
        <v>250</v>
      </c>
      <c r="F206" t="s">
        <v>251</v>
      </c>
      <c r="G206" t="s">
        <v>51</v>
      </c>
      <c r="H206" t="s">
        <v>91</v>
      </c>
      <c r="I206" t="s">
        <v>92</v>
      </c>
      <c r="J206" t="s">
        <v>93</v>
      </c>
      <c r="K206">
        <v>767312</v>
      </c>
      <c r="L206" t="s">
        <v>147</v>
      </c>
      <c r="M206" t="s">
        <v>148</v>
      </c>
      <c r="N206" t="s">
        <v>57</v>
      </c>
      <c r="O206" s="1">
        <v>45672</v>
      </c>
      <c r="Q206" s="1">
        <v>45976</v>
      </c>
      <c r="R206" s="2">
        <v>126.89</v>
      </c>
      <c r="S206">
        <v>1</v>
      </c>
      <c r="T206" t="s">
        <v>58</v>
      </c>
      <c r="U206" t="s">
        <v>180</v>
      </c>
      <c r="V206" s="4">
        <v>0.375</v>
      </c>
      <c r="W206" s="2">
        <v>0</v>
      </c>
      <c r="X206">
        <v>0</v>
      </c>
      <c r="Y206" t="s">
        <v>60</v>
      </c>
      <c r="Z206" t="s">
        <v>182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47.58</v>
      </c>
      <c r="AN206" s="2">
        <v>47.58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45943</v>
      </c>
      <c r="B207" t="s">
        <v>48</v>
      </c>
      <c r="C207">
        <v>649163</v>
      </c>
      <c r="D207">
        <v>2026585511</v>
      </c>
      <c r="E207" t="s">
        <v>486</v>
      </c>
      <c r="F207" t="s">
        <v>487</v>
      </c>
      <c r="G207" t="s">
        <v>51</v>
      </c>
      <c r="H207" t="s">
        <v>189</v>
      </c>
      <c r="I207" t="s">
        <v>92</v>
      </c>
      <c r="J207" t="s">
        <v>93</v>
      </c>
      <c r="K207">
        <v>728134</v>
      </c>
      <c r="L207" t="s">
        <v>455</v>
      </c>
      <c r="M207" t="s">
        <v>456</v>
      </c>
      <c r="N207" t="s">
        <v>57</v>
      </c>
      <c r="O207" s="1">
        <v>45672</v>
      </c>
      <c r="Q207" s="1">
        <v>45976</v>
      </c>
      <c r="R207" s="2">
        <v>149.46</v>
      </c>
      <c r="S207">
        <v>1</v>
      </c>
      <c r="T207" t="s">
        <v>58</v>
      </c>
      <c r="U207" t="s">
        <v>180</v>
      </c>
      <c r="V207" s="4">
        <v>0.375</v>
      </c>
      <c r="W207" s="2">
        <v>0</v>
      </c>
      <c r="X207">
        <v>0</v>
      </c>
      <c r="Y207" t="s">
        <v>60</v>
      </c>
      <c r="Z207" t="s">
        <v>182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56.05</v>
      </c>
      <c r="AN207" s="2">
        <v>56.05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45943</v>
      </c>
      <c r="B208" t="s">
        <v>48</v>
      </c>
      <c r="C208">
        <v>649163</v>
      </c>
      <c r="D208">
        <v>2026603256</v>
      </c>
      <c r="E208" t="s">
        <v>488</v>
      </c>
      <c r="F208" t="s">
        <v>192</v>
      </c>
      <c r="G208" t="s">
        <v>51</v>
      </c>
      <c r="H208" t="s">
        <v>189</v>
      </c>
      <c r="I208" t="s">
        <v>92</v>
      </c>
      <c r="J208" t="s">
        <v>93</v>
      </c>
      <c r="K208">
        <v>728134</v>
      </c>
      <c r="L208" t="s">
        <v>455</v>
      </c>
      <c r="M208" t="s">
        <v>456</v>
      </c>
      <c r="N208" t="s">
        <v>57</v>
      </c>
      <c r="O208" s="1">
        <v>45673</v>
      </c>
      <c r="Q208" s="1">
        <v>45977</v>
      </c>
      <c r="R208" s="2">
        <v>49.98</v>
      </c>
      <c r="S208">
        <v>1</v>
      </c>
      <c r="T208" t="s">
        <v>58</v>
      </c>
      <c r="U208" t="s">
        <v>180</v>
      </c>
      <c r="V208" s="4">
        <v>0.375</v>
      </c>
      <c r="W208" s="2">
        <v>0</v>
      </c>
      <c r="X208">
        <v>0</v>
      </c>
      <c r="Y208" t="s">
        <v>60</v>
      </c>
      <c r="Z208" t="s">
        <v>182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18.739999999999998</v>
      </c>
      <c r="AN208" s="2">
        <v>18.739999999999998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45943</v>
      </c>
      <c r="B209" t="s">
        <v>48</v>
      </c>
      <c r="C209">
        <v>649163</v>
      </c>
      <c r="D209">
        <v>2026607948</v>
      </c>
      <c r="E209" t="s">
        <v>489</v>
      </c>
      <c r="F209" t="s">
        <v>169</v>
      </c>
      <c r="G209" t="s">
        <v>51</v>
      </c>
      <c r="H209" t="s">
        <v>225</v>
      </c>
      <c r="I209" t="s">
        <v>92</v>
      </c>
      <c r="J209" t="s">
        <v>93</v>
      </c>
      <c r="K209">
        <v>767312</v>
      </c>
      <c r="L209" t="s">
        <v>147</v>
      </c>
      <c r="M209" t="s">
        <v>148</v>
      </c>
      <c r="N209" t="s">
        <v>57</v>
      </c>
      <c r="O209" s="1">
        <v>45673</v>
      </c>
      <c r="Q209" s="1">
        <v>45977</v>
      </c>
      <c r="R209" s="2">
        <v>27.97</v>
      </c>
      <c r="S209">
        <v>1</v>
      </c>
      <c r="T209" t="s">
        <v>58</v>
      </c>
      <c r="U209" t="s">
        <v>180</v>
      </c>
      <c r="V209" s="4">
        <v>0.375</v>
      </c>
      <c r="W209" s="2">
        <v>0</v>
      </c>
      <c r="X209">
        <v>0</v>
      </c>
      <c r="Y209" t="s">
        <v>60</v>
      </c>
      <c r="Z209" t="s">
        <v>182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10.49</v>
      </c>
      <c r="AN209" s="2">
        <v>10.49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45943</v>
      </c>
      <c r="B210" t="s">
        <v>48</v>
      </c>
      <c r="C210">
        <v>649163</v>
      </c>
      <c r="D210">
        <v>2026615682</v>
      </c>
      <c r="E210" t="s">
        <v>490</v>
      </c>
      <c r="F210" t="s">
        <v>56</v>
      </c>
      <c r="G210" t="s">
        <v>51</v>
      </c>
      <c r="H210" t="s">
        <v>102</v>
      </c>
      <c r="I210" t="s">
        <v>92</v>
      </c>
      <c r="J210" t="s">
        <v>93</v>
      </c>
      <c r="K210">
        <v>767312</v>
      </c>
      <c r="L210" t="s">
        <v>147</v>
      </c>
      <c r="M210" t="s">
        <v>148</v>
      </c>
      <c r="N210" t="s">
        <v>57</v>
      </c>
      <c r="O210" s="1">
        <v>45673</v>
      </c>
      <c r="Q210" s="1">
        <v>45977</v>
      </c>
      <c r="R210" s="2">
        <v>29.08</v>
      </c>
      <c r="S210">
        <v>1</v>
      </c>
      <c r="T210" t="s">
        <v>58</v>
      </c>
      <c r="U210" t="s">
        <v>180</v>
      </c>
      <c r="V210" s="4">
        <v>0.375</v>
      </c>
      <c r="W210" s="2">
        <v>0</v>
      </c>
      <c r="X210">
        <v>0</v>
      </c>
      <c r="Y210" t="s">
        <v>60</v>
      </c>
      <c r="Z210" t="s">
        <v>182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10.9</v>
      </c>
      <c r="AN210" s="2">
        <v>10.9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45943</v>
      </c>
      <c r="B211" t="s">
        <v>48</v>
      </c>
      <c r="C211">
        <v>649163</v>
      </c>
      <c r="D211">
        <v>2026618368</v>
      </c>
      <c r="E211" t="s">
        <v>491</v>
      </c>
      <c r="F211" t="s">
        <v>492</v>
      </c>
      <c r="G211" t="s">
        <v>51</v>
      </c>
      <c r="H211" t="s">
        <v>78</v>
      </c>
      <c r="I211" t="s">
        <v>92</v>
      </c>
      <c r="J211" t="s">
        <v>93</v>
      </c>
      <c r="K211">
        <v>792847</v>
      </c>
      <c r="L211" t="s">
        <v>277</v>
      </c>
      <c r="M211" t="s">
        <v>279</v>
      </c>
      <c r="N211" t="s">
        <v>57</v>
      </c>
      <c r="O211" s="1">
        <v>45673</v>
      </c>
      <c r="Q211" s="1">
        <v>45977</v>
      </c>
      <c r="R211" s="2">
        <v>35.29</v>
      </c>
      <c r="S211">
        <v>1</v>
      </c>
      <c r="T211" t="s">
        <v>58</v>
      </c>
      <c r="U211" t="s">
        <v>180</v>
      </c>
      <c r="V211" s="4">
        <v>0.375</v>
      </c>
      <c r="W211" s="2">
        <v>0</v>
      </c>
      <c r="X211">
        <v>0</v>
      </c>
      <c r="Y211" t="s">
        <v>60</v>
      </c>
      <c r="Z211" t="s">
        <v>182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13.23</v>
      </c>
      <c r="AN211" s="2">
        <v>13.23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45943</v>
      </c>
      <c r="B212" t="s">
        <v>48</v>
      </c>
      <c r="C212">
        <v>649163</v>
      </c>
      <c r="D212">
        <v>2026625853</v>
      </c>
      <c r="E212" t="s">
        <v>493</v>
      </c>
      <c r="F212" t="s">
        <v>494</v>
      </c>
      <c r="G212" t="s">
        <v>51</v>
      </c>
      <c r="H212" t="s">
        <v>102</v>
      </c>
      <c r="I212" t="s">
        <v>92</v>
      </c>
      <c r="J212" t="s">
        <v>93</v>
      </c>
      <c r="K212">
        <v>767312</v>
      </c>
      <c r="L212" t="s">
        <v>147</v>
      </c>
      <c r="M212" t="s">
        <v>148</v>
      </c>
      <c r="N212" t="s">
        <v>57</v>
      </c>
      <c r="O212" s="1">
        <v>45674</v>
      </c>
      <c r="Q212" s="1">
        <v>45978</v>
      </c>
      <c r="R212" s="2">
        <v>24.71</v>
      </c>
      <c r="S212">
        <v>1</v>
      </c>
      <c r="T212" t="s">
        <v>58</v>
      </c>
      <c r="U212" t="s">
        <v>180</v>
      </c>
      <c r="V212" s="4">
        <v>0.375</v>
      </c>
      <c r="W212" s="2">
        <v>0</v>
      </c>
      <c r="X212">
        <v>0</v>
      </c>
      <c r="Y212" t="s">
        <v>60</v>
      </c>
      <c r="Z212" t="s">
        <v>182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9.27</v>
      </c>
      <c r="AN212" s="2">
        <v>9.27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45943</v>
      </c>
      <c r="B213" t="s">
        <v>48</v>
      </c>
      <c r="C213">
        <v>649163</v>
      </c>
      <c r="D213">
        <v>2026652335</v>
      </c>
      <c r="E213" t="s">
        <v>495</v>
      </c>
      <c r="F213" t="s">
        <v>496</v>
      </c>
      <c r="G213" t="s">
        <v>51</v>
      </c>
      <c r="H213" t="s">
        <v>78</v>
      </c>
      <c r="I213" t="s">
        <v>92</v>
      </c>
      <c r="J213" t="s">
        <v>93</v>
      </c>
      <c r="K213">
        <v>812782</v>
      </c>
      <c r="L213" t="s">
        <v>160</v>
      </c>
      <c r="M213" t="s">
        <v>161</v>
      </c>
      <c r="N213" t="s">
        <v>179</v>
      </c>
      <c r="O213" s="1">
        <v>45689</v>
      </c>
      <c r="P213" s="1">
        <v>45936</v>
      </c>
      <c r="Q213" s="1">
        <v>45962</v>
      </c>
      <c r="R213" s="2">
        <v>-142.13</v>
      </c>
      <c r="S213">
        <v>1</v>
      </c>
      <c r="T213" t="s">
        <v>58</v>
      </c>
      <c r="U213" t="s">
        <v>180</v>
      </c>
      <c r="V213" s="4">
        <v>0.375</v>
      </c>
      <c r="W213" s="2">
        <v>0</v>
      </c>
      <c r="X213">
        <v>-1</v>
      </c>
      <c r="Y213" t="s">
        <v>60</v>
      </c>
      <c r="Z213" t="s">
        <v>182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-53.3</v>
      </c>
      <c r="AN213" s="2">
        <v>-53.3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45943</v>
      </c>
      <c r="B214" t="s">
        <v>48</v>
      </c>
      <c r="C214">
        <v>649163</v>
      </c>
      <c r="D214">
        <v>2027038282</v>
      </c>
      <c r="E214" t="s">
        <v>252</v>
      </c>
      <c r="F214" t="s">
        <v>253</v>
      </c>
      <c r="G214" t="s">
        <v>51</v>
      </c>
      <c r="H214" t="s">
        <v>69</v>
      </c>
      <c r="I214" t="s">
        <v>92</v>
      </c>
      <c r="J214" t="s">
        <v>93</v>
      </c>
      <c r="K214">
        <v>816021</v>
      </c>
      <c r="L214" t="s">
        <v>71</v>
      </c>
      <c r="M214" t="s">
        <v>72</v>
      </c>
      <c r="N214" t="s">
        <v>57</v>
      </c>
      <c r="O214" s="1">
        <v>45699</v>
      </c>
      <c r="Q214" s="1">
        <v>45972</v>
      </c>
      <c r="R214" s="2">
        <v>45.39</v>
      </c>
      <c r="S214">
        <v>1</v>
      </c>
      <c r="T214" t="s">
        <v>58</v>
      </c>
      <c r="U214" t="s">
        <v>180</v>
      </c>
      <c r="V214" s="4">
        <v>0.375</v>
      </c>
      <c r="W214" s="2">
        <v>0</v>
      </c>
      <c r="X214">
        <v>0</v>
      </c>
      <c r="Y214" t="s">
        <v>60</v>
      </c>
      <c r="Z214" t="s">
        <v>182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17.02</v>
      </c>
      <c r="AN214" s="2">
        <v>17.02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45943</v>
      </c>
      <c r="B215" t="s">
        <v>48</v>
      </c>
      <c r="C215">
        <v>649163</v>
      </c>
      <c r="D215">
        <v>2027052527</v>
      </c>
      <c r="E215" t="s">
        <v>497</v>
      </c>
      <c r="F215" t="s">
        <v>498</v>
      </c>
      <c r="G215" t="s">
        <v>51</v>
      </c>
      <c r="H215" t="s">
        <v>78</v>
      </c>
      <c r="I215" t="s">
        <v>92</v>
      </c>
      <c r="J215" t="s">
        <v>93</v>
      </c>
      <c r="K215">
        <v>766747</v>
      </c>
      <c r="L215" t="s">
        <v>477</v>
      </c>
      <c r="M215" t="s">
        <v>159</v>
      </c>
      <c r="N215" t="s">
        <v>57</v>
      </c>
      <c r="O215" s="1">
        <v>45699</v>
      </c>
      <c r="Q215" s="1">
        <v>45972</v>
      </c>
      <c r="R215" s="2">
        <v>48.61</v>
      </c>
      <c r="S215">
        <v>1</v>
      </c>
      <c r="T215" t="s">
        <v>58</v>
      </c>
      <c r="U215" t="s">
        <v>180</v>
      </c>
      <c r="V215" s="4">
        <v>0.375</v>
      </c>
      <c r="W215" s="2">
        <v>0</v>
      </c>
      <c r="X215">
        <v>0</v>
      </c>
      <c r="Y215" t="s">
        <v>60</v>
      </c>
      <c r="Z215" t="s">
        <v>182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18.23</v>
      </c>
      <c r="AN215" s="2">
        <v>18.23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45943</v>
      </c>
      <c r="B216" t="s">
        <v>48</v>
      </c>
      <c r="C216">
        <v>649163</v>
      </c>
      <c r="D216">
        <v>2027055699</v>
      </c>
      <c r="E216" t="s">
        <v>499</v>
      </c>
      <c r="F216" t="s">
        <v>500</v>
      </c>
      <c r="G216" t="s">
        <v>51</v>
      </c>
      <c r="H216" t="s">
        <v>69</v>
      </c>
      <c r="I216" t="s">
        <v>92</v>
      </c>
      <c r="J216" t="s">
        <v>93</v>
      </c>
      <c r="K216">
        <v>816021</v>
      </c>
      <c r="L216" t="s">
        <v>71</v>
      </c>
      <c r="M216" t="s">
        <v>72</v>
      </c>
      <c r="N216" t="s">
        <v>57</v>
      </c>
      <c r="O216" s="1">
        <v>45699</v>
      </c>
      <c r="Q216" s="1">
        <v>45972</v>
      </c>
      <c r="R216" s="2">
        <v>53.08</v>
      </c>
      <c r="S216">
        <v>1</v>
      </c>
      <c r="T216" t="s">
        <v>58</v>
      </c>
      <c r="U216" t="s">
        <v>180</v>
      </c>
      <c r="V216" s="4">
        <v>0.375</v>
      </c>
      <c r="W216" s="2">
        <v>0</v>
      </c>
      <c r="X216">
        <v>0</v>
      </c>
      <c r="Y216" t="s">
        <v>60</v>
      </c>
      <c r="Z216" t="s">
        <v>182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19.899999999999999</v>
      </c>
      <c r="AN216" s="2">
        <v>19.899999999999999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45943</v>
      </c>
      <c r="B217" t="s">
        <v>48</v>
      </c>
      <c r="C217">
        <v>649163</v>
      </c>
      <c r="D217">
        <v>2027059395</v>
      </c>
      <c r="E217" t="s">
        <v>501</v>
      </c>
      <c r="F217" t="s">
        <v>502</v>
      </c>
      <c r="G217" t="s">
        <v>51</v>
      </c>
      <c r="H217" t="s">
        <v>78</v>
      </c>
      <c r="I217" t="s">
        <v>92</v>
      </c>
      <c r="J217" t="s">
        <v>93</v>
      </c>
      <c r="K217">
        <v>824062</v>
      </c>
      <c r="L217" t="s">
        <v>126</v>
      </c>
      <c r="M217" t="s">
        <v>127</v>
      </c>
      <c r="N217" t="s">
        <v>57</v>
      </c>
      <c r="O217" s="1">
        <v>45700</v>
      </c>
      <c r="Q217" s="1">
        <v>45973</v>
      </c>
      <c r="R217" s="2">
        <v>64.760000000000005</v>
      </c>
      <c r="S217">
        <v>1</v>
      </c>
      <c r="T217" t="s">
        <v>58</v>
      </c>
      <c r="U217" t="s">
        <v>180</v>
      </c>
      <c r="V217" s="4">
        <v>0.375</v>
      </c>
      <c r="W217" s="2">
        <v>0</v>
      </c>
      <c r="X217">
        <v>0</v>
      </c>
      <c r="Y217" t="s">
        <v>60</v>
      </c>
      <c r="Z217" t="s">
        <v>182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24.28</v>
      </c>
      <c r="AN217" s="2">
        <v>24.28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45943</v>
      </c>
      <c r="B218" t="s">
        <v>48</v>
      </c>
      <c r="C218">
        <v>649163</v>
      </c>
      <c r="D218">
        <v>2027070509</v>
      </c>
      <c r="E218" t="s">
        <v>212</v>
      </c>
      <c r="F218" t="s">
        <v>213</v>
      </c>
      <c r="G218" t="s">
        <v>51</v>
      </c>
      <c r="H218" t="s">
        <v>214</v>
      </c>
      <c r="I218" t="s">
        <v>92</v>
      </c>
      <c r="J218" t="s">
        <v>93</v>
      </c>
      <c r="K218">
        <v>756418</v>
      </c>
      <c r="L218" t="s">
        <v>216</v>
      </c>
      <c r="M218" t="s">
        <v>217</v>
      </c>
      <c r="N218" t="s">
        <v>57</v>
      </c>
      <c r="O218" s="1">
        <v>45700</v>
      </c>
      <c r="Q218" s="1">
        <v>45973</v>
      </c>
      <c r="R218" s="2">
        <v>31.14</v>
      </c>
      <c r="S218">
        <v>1</v>
      </c>
      <c r="T218" t="s">
        <v>58</v>
      </c>
      <c r="U218" t="s">
        <v>180</v>
      </c>
      <c r="V218" s="4">
        <v>0.375</v>
      </c>
      <c r="W218" s="2">
        <v>0</v>
      </c>
      <c r="X218">
        <v>0</v>
      </c>
      <c r="Y218" t="s">
        <v>60</v>
      </c>
      <c r="Z218" t="s">
        <v>182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11.68</v>
      </c>
      <c r="AN218" s="2">
        <v>11.68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45943</v>
      </c>
      <c r="B219" t="s">
        <v>48</v>
      </c>
      <c r="C219">
        <v>649163</v>
      </c>
      <c r="D219">
        <v>2027072201</v>
      </c>
      <c r="E219" t="s">
        <v>503</v>
      </c>
      <c r="F219" t="s">
        <v>347</v>
      </c>
      <c r="G219" t="s">
        <v>51</v>
      </c>
      <c r="H219" t="s">
        <v>69</v>
      </c>
      <c r="I219" t="s">
        <v>92</v>
      </c>
      <c r="J219" t="s">
        <v>93</v>
      </c>
      <c r="K219">
        <v>816021</v>
      </c>
      <c r="L219" t="s">
        <v>71</v>
      </c>
      <c r="M219" t="s">
        <v>72</v>
      </c>
      <c r="N219" t="s">
        <v>57</v>
      </c>
      <c r="O219" s="1">
        <v>45703</v>
      </c>
      <c r="Q219" s="1">
        <v>45976</v>
      </c>
      <c r="R219" s="2">
        <v>102.21</v>
      </c>
      <c r="S219">
        <v>1</v>
      </c>
      <c r="T219" t="s">
        <v>58</v>
      </c>
      <c r="U219" t="s">
        <v>180</v>
      </c>
      <c r="V219" s="4">
        <v>0.375</v>
      </c>
      <c r="W219" s="2">
        <v>0</v>
      </c>
      <c r="X219">
        <v>0</v>
      </c>
      <c r="Y219" t="s">
        <v>60</v>
      </c>
      <c r="Z219" t="s">
        <v>182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38.33</v>
      </c>
      <c r="AN219" s="2">
        <v>38.33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45943</v>
      </c>
      <c r="B220" t="s">
        <v>48</v>
      </c>
      <c r="C220">
        <v>649163</v>
      </c>
      <c r="D220">
        <v>2027106747</v>
      </c>
      <c r="E220" t="s">
        <v>504</v>
      </c>
      <c r="F220" t="s">
        <v>217</v>
      </c>
      <c r="G220" t="s">
        <v>51</v>
      </c>
      <c r="H220" t="s">
        <v>78</v>
      </c>
      <c r="I220" t="s">
        <v>92</v>
      </c>
      <c r="J220" t="s">
        <v>93</v>
      </c>
      <c r="K220">
        <v>792847</v>
      </c>
      <c r="L220" t="s">
        <v>277</v>
      </c>
      <c r="M220" t="s">
        <v>279</v>
      </c>
      <c r="N220" t="s">
        <v>57</v>
      </c>
      <c r="O220" s="1">
        <v>45703</v>
      </c>
      <c r="Q220" s="1">
        <v>45976</v>
      </c>
      <c r="R220" s="2">
        <v>48.61</v>
      </c>
      <c r="S220">
        <v>1</v>
      </c>
      <c r="T220" t="s">
        <v>58</v>
      </c>
      <c r="U220" t="s">
        <v>180</v>
      </c>
      <c r="V220" s="4">
        <v>0.375</v>
      </c>
      <c r="W220" s="2">
        <v>0</v>
      </c>
      <c r="X220">
        <v>0</v>
      </c>
      <c r="Y220" t="s">
        <v>60</v>
      </c>
      <c r="Z220" t="s">
        <v>182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18.23</v>
      </c>
      <c r="AN220" s="2">
        <v>18.23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45943</v>
      </c>
      <c r="B221" t="s">
        <v>48</v>
      </c>
      <c r="C221">
        <v>649163</v>
      </c>
      <c r="D221">
        <v>2027111487</v>
      </c>
      <c r="E221" t="s">
        <v>505</v>
      </c>
      <c r="F221" t="s">
        <v>276</v>
      </c>
      <c r="G221" t="s">
        <v>51</v>
      </c>
      <c r="H221" t="s">
        <v>78</v>
      </c>
      <c r="I221" t="s">
        <v>92</v>
      </c>
      <c r="J221" t="s">
        <v>93</v>
      </c>
      <c r="K221">
        <v>840313</v>
      </c>
      <c r="L221" t="s">
        <v>506</v>
      </c>
      <c r="M221" t="s">
        <v>507</v>
      </c>
      <c r="N221" t="s">
        <v>57</v>
      </c>
      <c r="O221" s="1">
        <v>45703</v>
      </c>
      <c r="Q221" s="1">
        <v>45976</v>
      </c>
      <c r="R221" s="2">
        <v>60.94</v>
      </c>
      <c r="S221">
        <v>1</v>
      </c>
      <c r="T221" t="s">
        <v>58</v>
      </c>
      <c r="U221" t="s">
        <v>180</v>
      </c>
      <c r="V221" s="4">
        <v>0.375</v>
      </c>
      <c r="W221" s="2">
        <v>0</v>
      </c>
      <c r="X221">
        <v>0</v>
      </c>
      <c r="Y221" t="s">
        <v>60</v>
      </c>
      <c r="Z221" t="s">
        <v>182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22.85</v>
      </c>
      <c r="AN221" s="2">
        <v>22.85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45943</v>
      </c>
      <c r="B222" t="s">
        <v>48</v>
      </c>
      <c r="C222">
        <v>649163</v>
      </c>
      <c r="D222">
        <v>2027706491</v>
      </c>
      <c r="E222" t="s">
        <v>508</v>
      </c>
      <c r="F222" t="s">
        <v>211</v>
      </c>
      <c r="G222" t="s">
        <v>51</v>
      </c>
      <c r="H222" t="s">
        <v>78</v>
      </c>
      <c r="I222" t="s">
        <v>92</v>
      </c>
      <c r="J222" t="s">
        <v>93</v>
      </c>
      <c r="K222">
        <v>768887</v>
      </c>
      <c r="L222" t="s">
        <v>139</v>
      </c>
      <c r="M222" t="s">
        <v>140</v>
      </c>
      <c r="N222" t="s">
        <v>57</v>
      </c>
      <c r="O222" s="1">
        <v>45727</v>
      </c>
      <c r="Q222" s="1">
        <v>45972</v>
      </c>
      <c r="R222" s="2">
        <v>103.42</v>
      </c>
      <c r="S222">
        <v>1</v>
      </c>
      <c r="T222" t="s">
        <v>58</v>
      </c>
      <c r="U222" t="s">
        <v>180</v>
      </c>
      <c r="V222" s="4">
        <v>0.375</v>
      </c>
      <c r="W222" s="2">
        <v>0</v>
      </c>
      <c r="X222">
        <v>0</v>
      </c>
      <c r="Y222" t="s">
        <v>60</v>
      </c>
      <c r="Z222" t="s">
        <v>182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38.78</v>
      </c>
      <c r="AN222" s="2">
        <v>38.78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45943</v>
      </c>
      <c r="B223" t="s">
        <v>48</v>
      </c>
      <c r="C223">
        <v>649163</v>
      </c>
      <c r="D223">
        <v>2027729456</v>
      </c>
      <c r="E223" t="s">
        <v>509</v>
      </c>
      <c r="F223" t="s">
        <v>510</v>
      </c>
      <c r="G223" t="s">
        <v>51</v>
      </c>
      <c r="H223" t="s">
        <v>78</v>
      </c>
      <c r="I223" t="s">
        <v>92</v>
      </c>
      <c r="J223" t="s">
        <v>93</v>
      </c>
      <c r="K223">
        <v>812782</v>
      </c>
      <c r="L223" t="s">
        <v>160</v>
      </c>
      <c r="M223" t="s">
        <v>161</v>
      </c>
      <c r="N223" t="s">
        <v>57</v>
      </c>
      <c r="O223" s="1">
        <v>45728</v>
      </c>
      <c r="Q223" s="1">
        <v>45973</v>
      </c>
      <c r="R223" s="2">
        <v>150.44999999999999</v>
      </c>
      <c r="S223">
        <v>1</v>
      </c>
      <c r="T223" t="s">
        <v>58</v>
      </c>
      <c r="U223" t="s">
        <v>180</v>
      </c>
      <c r="V223" s="4">
        <v>0.375</v>
      </c>
      <c r="W223" s="2">
        <v>0</v>
      </c>
      <c r="X223">
        <v>0</v>
      </c>
      <c r="Y223" t="s">
        <v>60</v>
      </c>
      <c r="Z223" t="s">
        <v>182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56.42</v>
      </c>
      <c r="AN223" s="2">
        <v>56.42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45943</v>
      </c>
      <c r="B224" t="s">
        <v>48</v>
      </c>
      <c r="C224">
        <v>649163</v>
      </c>
      <c r="D224">
        <v>2027767676</v>
      </c>
      <c r="E224" t="s">
        <v>511</v>
      </c>
      <c r="F224" t="s">
        <v>512</v>
      </c>
      <c r="G224" t="s">
        <v>51</v>
      </c>
      <c r="H224" t="s">
        <v>272</v>
      </c>
      <c r="I224" t="s">
        <v>92</v>
      </c>
      <c r="J224" t="s">
        <v>93</v>
      </c>
      <c r="K224">
        <v>764123</v>
      </c>
      <c r="L224" t="s">
        <v>471</v>
      </c>
      <c r="M224" t="s">
        <v>472</v>
      </c>
      <c r="N224" t="s">
        <v>57</v>
      </c>
      <c r="O224" s="1">
        <v>45729</v>
      </c>
      <c r="Q224" s="1">
        <v>45974</v>
      </c>
      <c r="R224" s="2">
        <v>66.650000000000006</v>
      </c>
      <c r="S224">
        <v>1</v>
      </c>
      <c r="T224" t="s">
        <v>58</v>
      </c>
      <c r="U224" t="s">
        <v>180</v>
      </c>
      <c r="V224" s="4">
        <v>0.375</v>
      </c>
      <c r="W224" s="2">
        <v>0</v>
      </c>
      <c r="X224">
        <v>0</v>
      </c>
      <c r="Y224" t="s">
        <v>60</v>
      </c>
      <c r="Z224" t="s">
        <v>182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24.99</v>
      </c>
      <c r="AN224" s="2">
        <v>24.99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45943</v>
      </c>
      <c r="B225" t="s">
        <v>48</v>
      </c>
      <c r="C225">
        <v>649163</v>
      </c>
      <c r="D225">
        <v>2027849004</v>
      </c>
      <c r="E225" t="s">
        <v>513</v>
      </c>
      <c r="F225" t="s">
        <v>514</v>
      </c>
      <c r="G225" t="s">
        <v>51</v>
      </c>
      <c r="H225" t="s">
        <v>78</v>
      </c>
      <c r="I225" t="s">
        <v>92</v>
      </c>
      <c r="J225" t="s">
        <v>93</v>
      </c>
      <c r="K225">
        <v>856163</v>
      </c>
      <c r="L225" t="s">
        <v>65</v>
      </c>
      <c r="M225" t="s">
        <v>81</v>
      </c>
      <c r="N225" t="s">
        <v>57</v>
      </c>
      <c r="O225" s="1">
        <v>45733</v>
      </c>
      <c r="Q225" s="1">
        <v>45978</v>
      </c>
      <c r="R225" s="2">
        <v>182.73</v>
      </c>
      <c r="S225">
        <v>1</v>
      </c>
      <c r="T225" t="s">
        <v>58</v>
      </c>
      <c r="U225" t="s">
        <v>180</v>
      </c>
      <c r="V225" s="4">
        <v>0.375</v>
      </c>
      <c r="W225" s="2">
        <v>0</v>
      </c>
      <c r="X225">
        <v>0</v>
      </c>
      <c r="Y225" t="s">
        <v>60</v>
      </c>
      <c r="Z225" t="s">
        <v>182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68.52</v>
      </c>
      <c r="AN225" s="2">
        <v>68.52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45943</v>
      </c>
      <c r="B226" t="s">
        <v>48</v>
      </c>
      <c r="C226">
        <v>649163</v>
      </c>
      <c r="D226">
        <v>2027849975</v>
      </c>
      <c r="E226" t="s">
        <v>370</v>
      </c>
      <c r="F226" t="s">
        <v>371</v>
      </c>
      <c r="G226" t="s">
        <v>51</v>
      </c>
      <c r="H226" t="s">
        <v>372</v>
      </c>
      <c r="I226" t="s">
        <v>92</v>
      </c>
      <c r="J226" t="s">
        <v>93</v>
      </c>
      <c r="K226">
        <v>650218</v>
      </c>
      <c r="L226" t="s">
        <v>195</v>
      </c>
      <c r="M226" t="s">
        <v>196</v>
      </c>
      <c r="N226" t="s">
        <v>57</v>
      </c>
      <c r="O226" s="1">
        <v>45733</v>
      </c>
      <c r="Q226" s="1">
        <v>45978</v>
      </c>
      <c r="R226" s="2">
        <v>102.55</v>
      </c>
      <c r="S226">
        <v>1</v>
      </c>
      <c r="T226" t="s">
        <v>58</v>
      </c>
      <c r="U226" t="s">
        <v>180</v>
      </c>
      <c r="V226" s="4">
        <v>0.375</v>
      </c>
      <c r="W226" s="2">
        <v>0</v>
      </c>
      <c r="X226">
        <v>0</v>
      </c>
      <c r="Y226" t="s">
        <v>60</v>
      </c>
      <c r="Z226" t="s">
        <v>182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38.46</v>
      </c>
      <c r="AN226" s="2">
        <v>38.46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45943</v>
      </c>
      <c r="B227" t="s">
        <v>48</v>
      </c>
      <c r="C227">
        <v>649163</v>
      </c>
      <c r="D227">
        <v>2028149728</v>
      </c>
      <c r="E227" t="s">
        <v>515</v>
      </c>
      <c r="F227" t="s">
        <v>516</v>
      </c>
      <c r="G227" t="s">
        <v>51</v>
      </c>
      <c r="H227" t="s">
        <v>225</v>
      </c>
      <c r="I227" t="s">
        <v>92</v>
      </c>
      <c r="J227" t="s">
        <v>93</v>
      </c>
      <c r="K227">
        <v>650218</v>
      </c>
      <c r="L227" t="s">
        <v>195</v>
      </c>
      <c r="M227" t="s">
        <v>196</v>
      </c>
      <c r="N227" t="s">
        <v>57</v>
      </c>
      <c r="O227" s="1">
        <v>45748</v>
      </c>
      <c r="Q227" s="1">
        <v>45962</v>
      </c>
      <c r="R227" s="2">
        <v>16.39</v>
      </c>
      <c r="S227">
        <v>1</v>
      </c>
      <c r="T227" t="s">
        <v>58</v>
      </c>
      <c r="U227" t="s">
        <v>180</v>
      </c>
      <c r="V227" s="4">
        <v>0.375</v>
      </c>
      <c r="W227" s="2">
        <v>0</v>
      </c>
      <c r="X227">
        <v>0</v>
      </c>
      <c r="Y227" t="s">
        <v>60</v>
      </c>
      <c r="Z227" t="s">
        <v>182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6.15</v>
      </c>
      <c r="AN227" s="2">
        <v>6.15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45943</v>
      </c>
      <c r="B228" t="s">
        <v>48</v>
      </c>
      <c r="C228">
        <v>649163</v>
      </c>
      <c r="D228">
        <v>2028174265</v>
      </c>
      <c r="E228" t="s">
        <v>517</v>
      </c>
      <c r="F228" t="s">
        <v>518</v>
      </c>
      <c r="G228" t="s">
        <v>51</v>
      </c>
      <c r="H228" t="s">
        <v>78</v>
      </c>
      <c r="I228" t="s">
        <v>92</v>
      </c>
      <c r="J228" t="s">
        <v>93</v>
      </c>
      <c r="K228">
        <v>843573</v>
      </c>
      <c r="L228" t="s">
        <v>519</v>
      </c>
      <c r="M228" t="s">
        <v>520</v>
      </c>
      <c r="N228" t="s">
        <v>57</v>
      </c>
      <c r="O228" s="1">
        <v>45758</v>
      </c>
      <c r="Q228" s="1">
        <v>45972</v>
      </c>
      <c r="R228" s="2">
        <v>32.67</v>
      </c>
      <c r="S228">
        <v>1</v>
      </c>
      <c r="T228" t="s">
        <v>58</v>
      </c>
      <c r="U228" t="s">
        <v>180</v>
      </c>
      <c r="V228" s="4">
        <v>0.375</v>
      </c>
      <c r="W228" s="2">
        <v>0</v>
      </c>
      <c r="X228">
        <v>0</v>
      </c>
      <c r="Y228" t="s">
        <v>60</v>
      </c>
      <c r="Z228" t="s">
        <v>182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12.25</v>
      </c>
      <c r="AN228" s="2">
        <v>12.25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45943</v>
      </c>
      <c r="B229" t="s">
        <v>48</v>
      </c>
      <c r="C229">
        <v>649163</v>
      </c>
      <c r="D229">
        <v>2028329764</v>
      </c>
      <c r="E229" t="s">
        <v>521</v>
      </c>
      <c r="F229" t="s">
        <v>522</v>
      </c>
      <c r="G229" t="s">
        <v>51</v>
      </c>
      <c r="H229" t="s">
        <v>78</v>
      </c>
      <c r="I229" t="s">
        <v>92</v>
      </c>
      <c r="J229" t="s">
        <v>93</v>
      </c>
      <c r="K229">
        <v>824076</v>
      </c>
      <c r="L229" t="s">
        <v>292</v>
      </c>
      <c r="M229" t="s">
        <v>293</v>
      </c>
      <c r="N229" t="s">
        <v>57</v>
      </c>
      <c r="O229" s="1">
        <v>45762</v>
      </c>
      <c r="Q229" s="1">
        <v>45976</v>
      </c>
      <c r="R229" s="2">
        <v>57.19</v>
      </c>
      <c r="S229">
        <v>1</v>
      </c>
      <c r="T229" t="s">
        <v>58</v>
      </c>
      <c r="U229" t="s">
        <v>180</v>
      </c>
      <c r="V229" s="4">
        <v>0.375</v>
      </c>
      <c r="W229" s="2">
        <v>0</v>
      </c>
      <c r="X229">
        <v>0</v>
      </c>
      <c r="Y229" t="s">
        <v>60</v>
      </c>
      <c r="Z229" t="s">
        <v>182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21.45</v>
      </c>
      <c r="AN229" s="2">
        <v>21.45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45943</v>
      </c>
      <c r="B230" t="s">
        <v>48</v>
      </c>
      <c r="C230">
        <v>649163</v>
      </c>
      <c r="D230">
        <v>2028367120</v>
      </c>
      <c r="E230" t="s">
        <v>262</v>
      </c>
      <c r="F230" t="s">
        <v>263</v>
      </c>
      <c r="G230" t="s">
        <v>51</v>
      </c>
      <c r="H230" t="s">
        <v>52</v>
      </c>
      <c r="I230" t="s">
        <v>92</v>
      </c>
      <c r="J230" t="s">
        <v>93</v>
      </c>
      <c r="K230">
        <v>673059</v>
      </c>
      <c r="L230" t="s">
        <v>55</v>
      </c>
      <c r="M230" t="s">
        <v>56</v>
      </c>
      <c r="N230" t="s">
        <v>57</v>
      </c>
      <c r="O230" s="1">
        <v>45759</v>
      </c>
      <c r="Q230" s="1">
        <v>45973</v>
      </c>
      <c r="R230" s="2">
        <v>18.62</v>
      </c>
      <c r="S230">
        <v>1</v>
      </c>
      <c r="T230" t="s">
        <v>58</v>
      </c>
      <c r="U230" t="s">
        <v>180</v>
      </c>
      <c r="V230" s="4">
        <v>0.375</v>
      </c>
      <c r="W230" s="2">
        <v>0</v>
      </c>
      <c r="X230">
        <v>0</v>
      </c>
      <c r="Y230" t="s">
        <v>60</v>
      </c>
      <c r="Z230" t="s">
        <v>182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6.98</v>
      </c>
      <c r="AN230" s="2">
        <v>6.98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45943</v>
      </c>
      <c r="B231" t="s">
        <v>48</v>
      </c>
      <c r="C231">
        <v>649163</v>
      </c>
      <c r="D231">
        <v>2028379893</v>
      </c>
      <c r="E231" t="s">
        <v>264</v>
      </c>
      <c r="F231" t="s">
        <v>265</v>
      </c>
      <c r="G231" t="s">
        <v>51</v>
      </c>
      <c r="H231" t="s">
        <v>91</v>
      </c>
      <c r="I231" t="s">
        <v>92</v>
      </c>
      <c r="J231" t="s">
        <v>93</v>
      </c>
      <c r="K231">
        <v>822865</v>
      </c>
      <c r="L231" t="s">
        <v>266</v>
      </c>
      <c r="M231" t="s">
        <v>267</v>
      </c>
      <c r="N231" t="s">
        <v>57</v>
      </c>
      <c r="O231" s="1">
        <v>45760</v>
      </c>
      <c r="Q231" s="1">
        <v>45974</v>
      </c>
      <c r="R231" s="2">
        <v>27.95</v>
      </c>
      <c r="S231">
        <v>1</v>
      </c>
      <c r="T231" t="s">
        <v>58</v>
      </c>
      <c r="U231" t="s">
        <v>180</v>
      </c>
      <c r="V231" s="4">
        <v>0.375</v>
      </c>
      <c r="W231" s="2">
        <v>0</v>
      </c>
      <c r="X231">
        <v>0</v>
      </c>
      <c r="Y231" t="s">
        <v>60</v>
      </c>
      <c r="Z231" t="s">
        <v>182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10.48</v>
      </c>
      <c r="AN231" s="2">
        <v>10.48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45943</v>
      </c>
      <c r="B232" t="s">
        <v>48</v>
      </c>
      <c r="C232">
        <v>649163</v>
      </c>
      <c r="D232">
        <v>2028445565</v>
      </c>
      <c r="E232" t="s">
        <v>523</v>
      </c>
      <c r="F232" t="s">
        <v>524</v>
      </c>
      <c r="G232" t="s">
        <v>51</v>
      </c>
      <c r="H232" t="s">
        <v>78</v>
      </c>
      <c r="I232" t="s">
        <v>92</v>
      </c>
      <c r="J232" t="s">
        <v>93</v>
      </c>
      <c r="K232">
        <v>806645</v>
      </c>
      <c r="L232" t="s">
        <v>525</v>
      </c>
      <c r="M232" t="s">
        <v>526</v>
      </c>
      <c r="N232" t="s">
        <v>57</v>
      </c>
      <c r="O232" s="1">
        <v>45764</v>
      </c>
      <c r="Q232" s="1">
        <v>45978</v>
      </c>
      <c r="R232" s="2">
        <v>32.520000000000003</v>
      </c>
      <c r="S232">
        <v>1</v>
      </c>
      <c r="T232" t="s">
        <v>58</v>
      </c>
      <c r="U232" t="s">
        <v>180</v>
      </c>
      <c r="V232" s="4">
        <v>0.375</v>
      </c>
      <c r="W232" s="2">
        <v>0</v>
      </c>
      <c r="X232">
        <v>0</v>
      </c>
      <c r="Y232" t="s">
        <v>60</v>
      </c>
      <c r="Z232" t="s">
        <v>182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12.2</v>
      </c>
      <c r="AN232" s="2">
        <v>12.2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45943</v>
      </c>
      <c r="B233" t="s">
        <v>48</v>
      </c>
      <c r="C233">
        <v>649163</v>
      </c>
      <c r="D233">
        <v>2028450758</v>
      </c>
      <c r="E233" t="s">
        <v>527</v>
      </c>
      <c r="F233" t="s">
        <v>528</v>
      </c>
      <c r="G233" t="s">
        <v>51</v>
      </c>
      <c r="H233" t="s">
        <v>78</v>
      </c>
      <c r="I233" t="s">
        <v>92</v>
      </c>
      <c r="J233" t="s">
        <v>93</v>
      </c>
      <c r="K233">
        <v>812782</v>
      </c>
      <c r="L233" t="s">
        <v>160</v>
      </c>
      <c r="M233" t="s">
        <v>161</v>
      </c>
      <c r="N233" t="s">
        <v>57</v>
      </c>
      <c r="O233" s="1">
        <v>45764</v>
      </c>
      <c r="Q233" s="1">
        <v>45978</v>
      </c>
      <c r="R233" s="2">
        <v>51.01</v>
      </c>
      <c r="S233">
        <v>1</v>
      </c>
      <c r="T233" t="s">
        <v>58</v>
      </c>
      <c r="U233" t="s">
        <v>180</v>
      </c>
      <c r="V233" s="4">
        <v>0.375</v>
      </c>
      <c r="W233" s="2">
        <v>0</v>
      </c>
      <c r="X233">
        <v>0</v>
      </c>
      <c r="Y233" t="s">
        <v>60</v>
      </c>
      <c r="Z233" t="s">
        <v>182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19.13</v>
      </c>
      <c r="AN233" s="2">
        <v>19.13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45943</v>
      </c>
      <c r="B234" t="s">
        <v>48</v>
      </c>
      <c r="C234">
        <v>649163</v>
      </c>
      <c r="D234">
        <v>2028784373</v>
      </c>
      <c r="E234" t="s">
        <v>529</v>
      </c>
      <c r="F234" t="s">
        <v>514</v>
      </c>
      <c r="G234" t="s">
        <v>51</v>
      </c>
      <c r="H234" t="s">
        <v>78</v>
      </c>
      <c r="I234" t="s">
        <v>92</v>
      </c>
      <c r="J234" t="s">
        <v>93</v>
      </c>
      <c r="K234">
        <v>840313</v>
      </c>
      <c r="L234" t="s">
        <v>506</v>
      </c>
      <c r="M234" t="s">
        <v>507</v>
      </c>
      <c r="N234" t="s">
        <v>57</v>
      </c>
      <c r="O234" s="1">
        <v>45792</v>
      </c>
      <c r="Q234" s="1">
        <v>45976</v>
      </c>
      <c r="R234" s="2">
        <v>57.19</v>
      </c>
      <c r="S234">
        <v>1</v>
      </c>
      <c r="T234" t="s">
        <v>58</v>
      </c>
      <c r="U234" t="s">
        <v>180</v>
      </c>
      <c r="V234" s="4">
        <v>0.375</v>
      </c>
      <c r="W234" s="2">
        <v>0</v>
      </c>
      <c r="X234">
        <v>0</v>
      </c>
      <c r="Y234" t="s">
        <v>60</v>
      </c>
      <c r="Z234" t="s">
        <v>182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21.45</v>
      </c>
      <c r="AN234" s="2">
        <v>21.45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45943</v>
      </c>
      <c r="B235" t="s">
        <v>48</v>
      </c>
      <c r="C235">
        <v>649163</v>
      </c>
      <c r="D235">
        <v>2028803827</v>
      </c>
      <c r="E235" t="s">
        <v>530</v>
      </c>
      <c r="F235" t="s">
        <v>531</v>
      </c>
      <c r="G235" t="s">
        <v>51</v>
      </c>
      <c r="H235" t="s">
        <v>78</v>
      </c>
      <c r="I235" t="s">
        <v>92</v>
      </c>
      <c r="J235" t="s">
        <v>93</v>
      </c>
      <c r="K235">
        <v>669316</v>
      </c>
      <c r="L235" t="s">
        <v>98</v>
      </c>
      <c r="M235" t="s">
        <v>99</v>
      </c>
      <c r="N235" t="s">
        <v>57</v>
      </c>
      <c r="O235" s="1">
        <v>45809</v>
      </c>
      <c r="Q235" s="1">
        <v>45962</v>
      </c>
      <c r="R235" s="2">
        <v>51.86</v>
      </c>
      <c r="S235">
        <v>1</v>
      </c>
      <c r="T235" t="s">
        <v>58</v>
      </c>
      <c r="U235" t="s">
        <v>180</v>
      </c>
      <c r="V235" s="4">
        <v>0.375</v>
      </c>
      <c r="W235" s="2">
        <v>0</v>
      </c>
      <c r="X235">
        <v>0</v>
      </c>
      <c r="Y235" t="s">
        <v>60</v>
      </c>
      <c r="Z235" t="s">
        <v>182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19.45</v>
      </c>
      <c r="AN235" s="2">
        <v>19.45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45943</v>
      </c>
      <c r="B236" t="s">
        <v>48</v>
      </c>
      <c r="C236">
        <v>649163</v>
      </c>
      <c r="D236">
        <v>2028878699</v>
      </c>
      <c r="E236" t="s">
        <v>532</v>
      </c>
      <c r="F236" t="s">
        <v>533</v>
      </c>
      <c r="G236" t="s">
        <v>51</v>
      </c>
      <c r="H236" t="s">
        <v>225</v>
      </c>
      <c r="I236" t="s">
        <v>92</v>
      </c>
      <c r="J236" t="s">
        <v>93</v>
      </c>
      <c r="K236">
        <v>806645</v>
      </c>
      <c r="L236" t="s">
        <v>525</v>
      </c>
      <c r="M236" t="s">
        <v>526</v>
      </c>
      <c r="N236" t="s">
        <v>57</v>
      </c>
      <c r="O236" s="1">
        <v>45788</v>
      </c>
      <c r="Q236" s="1">
        <v>45972</v>
      </c>
      <c r="R236" s="2">
        <v>37.5</v>
      </c>
      <c r="S236">
        <v>1</v>
      </c>
      <c r="T236" t="s">
        <v>58</v>
      </c>
      <c r="U236" t="s">
        <v>180</v>
      </c>
      <c r="V236" s="4">
        <v>0.375</v>
      </c>
      <c r="W236" s="2">
        <v>0</v>
      </c>
      <c r="X236">
        <v>0</v>
      </c>
      <c r="Y236" t="s">
        <v>60</v>
      </c>
      <c r="Z236" t="s">
        <v>182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14.06</v>
      </c>
      <c r="AN236" s="2">
        <v>14.06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45943</v>
      </c>
      <c r="B237" t="s">
        <v>48</v>
      </c>
      <c r="C237">
        <v>649163</v>
      </c>
      <c r="D237">
        <v>2028941655</v>
      </c>
      <c r="E237" t="s">
        <v>270</v>
      </c>
      <c r="F237" t="s">
        <v>271</v>
      </c>
      <c r="G237" t="s">
        <v>51</v>
      </c>
      <c r="H237" t="s">
        <v>272</v>
      </c>
      <c r="I237" t="s">
        <v>92</v>
      </c>
      <c r="J237" t="s">
        <v>93</v>
      </c>
      <c r="K237">
        <v>822723</v>
      </c>
      <c r="L237" t="s">
        <v>273</v>
      </c>
      <c r="M237" t="s">
        <v>274</v>
      </c>
      <c r="N237" t="s">
        <v>57</v>
      </c>
      <c r="O237" s="1">
        <v>45792</v>
      </c>
      <c r="Q237" s="1">
        <v>45976</v>
      </c>
      <c r="R237" s="2">
        <v>69.41</v>
      </c>
      <c r="S237">
        <v>1</v>
      </c>
      <c r="T237" t="s">
        <v>58</v>
      </c>
      <c r="U237" t="s">
        <v>180</v>
      </c>
      <c r="V237" s="4">
        <v>0.375</v>
      </c>
      <c r="W237" s="2">
        <v>0</v>
      </c>
      <c r="X237">
        <v>0</v>
      </c>
      <c r="Y237" t="s">
        <v>60</v>
      </c>
      <c r="Z237" t="s">
        <v>182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26.03</v>
      </c>
      <c r="AN237" s="2">
        <v>26.03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45943</v>
      </c>
      <c r="B238" t="s">
        <v>48</v>
      </c>
      <c r="C238">
        <v>649163</v>
      </c>
      <c r="D238">
        <v>2028942059</v>
      </c>
      <c r="E238" t="s">
        <v>534</v>
      </c>
      <c r="F238" t="s">
        <v>535</v>
      </c>
      <c r="G238" t="s">
        <v>51</v>
      </c>
      <c r="H238" t="s">
        <v>78</v>
      </c>
      <c r="I238" t="s">
        <v>92</v>
      </c>
      <c r="J238" t="s">
        <v>93</v>
      </c>
      <c r="K238">
        <v>807212</v>
      </c>
      <c r="L238" t="s">
        <v>151</v>
      </c>
      <c r="M238" t="s">
        <v>152</v>
      </c>
      <c r="N238" t="s">
        <v>57</v>
      </c>
      <c r="O238" s="1">
        <v>45792</v>
      </c>
      <c r="Q238" s="1">
        <v>45976</v>
      </c>
      <c r="R238" s="2">
        <v>22.52</v>
      </c>
      <c r="S238">
        <v>1</v>
      </c>
      <c r="T238" t="s">
        <v>58</v>
      </c>
      <c r="U238" t="s">
        <v>180</v>
      </c>
      <c r="V238" s="4">
        <v>0.375</v>
      </c>
      <c r="W238" s="2">
        <v>0</v>
      </c>
      <c r="X238">
        <v>0</v>
      </c>
      <c r="Y238" t="s">
        <v>60</v>
      </c>
      <c r="Z238" t="s">
        <v>182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8.44</v>
      </c>
      <c r="AN238" s="2">
        <v>8.44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45943</v>
      </c>
      <c r="B239" t="s">
        <v>48</v>
      </c>
      <c r="C239">
        <v>649163</v>
      </c>
      <c r="D239">
        <v>2028948018</v>
      </c>
      <c r="E239" t="s">
        <v>536</v>
      </c>
      <c r="F239" t="s">
        <v>258</v>
      </c>
      <c r="G239" t="s">
        <v>51</v>
      </c>
      <c r="H239" t="s">
        <v>78</v>
      </c>
      <c r="I239" t="s">
        <v>92</v>
      </c>
      <c r="J239" t="s">
        <v>93</v>
      </c>
      <c r="K239">
        <v>669316</v>
      </c>
      <c r="L239" t="s">
        <v>98</v>
      </c>
      <c r="M239" t="s">
        <v>99</v>
      </c>
      <c r="N239" t="s">
        <v>57</v>
      </c>
      <c r="O239" s="1">
        <v>45793</v>
      </c>
      <c r="Q239" s="1">
        <v>45977</v>
      </c>
      <c r="R239" s="2">
        <v>182.73</v>
      </c>
      <c r="S239">
        <v>1</v>
      </c>
      <c r="T239" t="s">
        <v>58</v>
      </c>
      <c r="U239" t="s">
        <v>180</v>
      </c>
      <c r="V239" s="4">
        <v>0.375</v>
      </c>
      <c r="W239" s="2">
        <v>0</v>
      </c>
      <c r="X239">
        <v>0</v>
      </c>
      <c r="Y239" t="s">
        <v>60</v>
      </c>
      <c r="Z239" t="s">
        <v>182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68.52</v>
      </c>
      <c r="AN239" s="2">
        <v>68.52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45943</v>
      </c>
      <c r="B240" t="s">
        <v>48</v>
      </c>
      <c r="C240">
        <v>649163</v>
      </c>
      <c r="D240">
        <v>2028963798</v>
      </c>
      <c r="E240" t="s">
        <v>537</v>
      </c>
      <c r="F240" t="s">
        <v>538</v>
      </c>
      <c r="G240" t="s">
        <v>51</v>
      </c>
      <c r="H240" t="s">
        <v>78</v>
      </c>
      <c r="I240" t="s">
        <v>92</v>
      </c>
      <c r="J240" t="s">
        <v>93</v>
      </c>
      <c r="K240">
        <v>806645</v>
      </c>
      <c r="L240" t="s">
        <v>525</v>
      </c>
      <c r="M240" t="s">
        <v>526</v>
      </c>
      <c r="N240" t="s">
        <v>57</v>
      </c>
      <c r="O240" s="1">
        <v>45793</v>
      </c>
      <c r="Q240" s="1">
        <v>45977</v>
      </c>
      <c r="R240" s="2">
        <v>57.19</v>
      </c>
      <c r="S240">
        <v>1</v>
      </c>
      <c r="T240" t="s">
        <v>58</v>
      </c>
      <c r="U240" t="s">
        <v>180</v>
      </c>
      <c r="V240" s="4">
        <v>0.375</v>
      </c>
      <c r="W240" s="2">
        <v>0</v>
      </c>
      <c r="X240">
        <v>0</v>
      </c>
      <c r="Y240" t="s">
        <v>60</v>
      </c>
      <c r="Z240" t="s">
        <v>182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21.45</v>
      </c>
      <c r="AN240" s="2">
        <v>21.45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45943</v>
      </c>
      <c r="B241" t="s">
        <v>48</v>
      </c>
      <c r="C241">
        <v>649163</v>
      </c>
      <c r="D241">
        <v>2028977071</v>
      </c>
      <c r="E241" t="s">
        <v>539</v>
      </c>
      <c r="F241" t="s">
        <v>540</v>
      </c>
      <c r="G241" t="s">
        <v>51</v>
      </c>
      <c r="H241" t="s">
        <v>219</v>
      </c>
      <c r="I241" t="s">
        <v>92</v>
      </c>
      <c r="J241" t="s">
        <v>93</v>
      </c>
      <c r="K241">
        <v>822865</v>
      </c>
      <c r="L241" t="s">
        <v>266</v>
      </c>
      <c r="M241" t="s">
        <v>267</v>
      </c>
      <c r="N241" t="s">
        <v>57</v>
      </c>
      <c r="O241" s="1">
        <v>45794</v>
      </c>
      <c r="Q241" s="1">
        <v>45978</v>
      </c>
      <c r="R241" s="2">
        <v>23.34</v>
      </c>
      <c r="S241">
        <v>1</v>
      </c>
      <c r="T241" t="s">
        <v>58</v>
      </c>
      <c r="U241" t="s">
        <v>180</v>
      </c>
      <c r="V241" s="4">
        <v>0.375</v>
      </c>
      <c r="W241" s="2">
        <v>0</v>
      </c>
      <c r="X241">
        <v>0</v>
      </c>
      <c r="Y241" t="s">
        <v>60</v>
      </c>
      <c r="Z241" t="s">
        <v>182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8.75</v>
      </c>
      <c r="AN241" s="2">
        <v>8.75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45943</v>
      </c>
      <c r="B242" t="s">
        <v>48</v>
      </c>
      <c r="C242">
        <v>649163</v>
      </c>
      <c r="D242">
        <v>2028985824</v>
      </c>
      <c r="E242" t="s">
        <v>530</v>
      </c>
      <c r="F242" t="s">
        <v>541</v>
      </c>
      <c r="G242" t="s">
        <v>51</v>
      </c>
      <c r="H242" t="s">
        <v>219</v>
      </c>
      <c r="I242" t="s">
        <v>92</v>
      </c>
      <c r="J242" t="s">
        <v>93</v>
      </c>
      <c r="K242">
        <v>822865</v>
      </c>
      <c r="L242" t="s">
        <v>266</v>
      </c>
      <c r="M242" t="s">
        <v>267</v>
      </c>
      <c r="N242" t="s">
        <v>57</v>
      </c>
      <c r="O242" s="1">
        <v>45794</v>
      </c>
      <c r="Q242" s="1">
        <v>45978</v>
      </c>
      <c r="R242" s="2">
        <v>72.86</v>
      </c>
      <c r="S242">
        <v>1</v>
      </c>
      <c r="T242" t="s">
        <v>58</v>
      </c>
      <c r="U242" t="s">
        <v>180</v>
      </c>
      <c r="V242" s="4">
        <v>0.375</v>
      </c>
      <c r="W242" s="2">
        <v>0</v>
      </c>
      <c r="X242">
        <v>0</v>
      </c>
      <c r="Y242" t="s">
        <v>60</v>
      </c>
      <c r="Z242" t="s">
        <v>182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27.32</v>
      </c>
      <c r="AN242" s="2">
        <v>27.32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45943</v>
      </c>
      <c r="B243" t="s">
        <v>48</v>
      </c>
      <c r="C243">
        <v>649163</v>
      </c>
      <c r="D243">
        <v>2029056124</v>
      </c>
      <c r="E243" t="s">
        <v>530</v>
      </c>
      <c r="F243" t="s">
        <v>542</v>
      </c>
      <c r="G243" t="s">
        <v>51</v>
      </c>
      <c r="H243" t="s">
        <v>91</v>
      </c>
      <c r="I243" t="s">
        <v>92</v>
      </c>
      <c r="J243" t="s">
        <v>93</v>
      </c>
      <c r="K243">
        <v>792847</v>
      </c>
      <c r="L243" t="s">
        <v>277</v>
      </c>
      <c r="M243" t="s">
        <v>279</v>
      </c>
      <c r="N243" t="s">
        <v>57</v>
      </c>
      <c r="O243" s="1">
        <v>45799</v>
      </c>
      <c r="Q243" s="1">
        <v>45952</v>
      </c>
      <c r="R243" s="2">
        <v>68.19</v>
      </c>
      <c r="S243">
        <v>1</v>
      </c>
      <c r="T243" t="s">
        <v>58</v>
      </c>
      <c r="U243" t="s">
        <v>180</v>
      </c>
      <c r="V243" s="4">
        <v>0.375</v>
      </c>
      <c r="W243" s="2">
        <v>0</v>
      </c>
      <c r="X243">
        <v>0</v>
      </c>
      <c r="Y243" t="s">
        <v>60</v>
      </c>
      <c r="Z243" t="s">
        <v>182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25.57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45943</v>
      </c>
      <c r="B244" t="s">
        <v>48</v>
      </c>
      <c r="C244">
        <v>649163</v>
      </c>
      <c r="D244">
        <v>2029341342</v>
      </c>
      <c r="E244" t="s">
        <v>90</v>
      </c>
      <c r="F244" t="s">
        <v>543</v>
      </c>
      <c r="G244" t="s">
        <v>51</v>
      </c>
      <c r="H244" t="s">
        <v>52</v>
      </c>
      <c r="I244" t="s">
        <v>92</v>
      </c>
      <c r="J244" t="s">
        <v>93</v>
      </c>
      <c r="K244">
        <v>767312</v>
      </c>
      <c r="L244" t="s">
        <v>147</v>
      </c>
      <c r="M244" t="s">
        <v>148</v>
      </c>
      <c r="N244" t="s">
        <v>57</v>
      </c>
      <c r="O244" s="1">
        <v>45821</v>
      </c>
      <c r="Q244" s="1">
        <v>45974</v>
      </c>
      <c r="R244" s="2">
        <v>49.62</v>
      </c>
      <c r="S244">
        <v>1</v>
      </c>
      <c r="T244" t="s">
        <v>58</v>
      </c>
      <c r="U244" t="s">
        <v>180</v>
      </c>
      <c r="V244" s="4">
        <v>0.375</v>
      </c>
      <c r="W244" s="2">
        <v>0</v>
      </c>
      <c r="X244">
        <v>0</v>
      </c>
      <c r="Y244" t="s">
        <v>60</v>
      </c>
      <c r="Z244" t="s">
        <v>182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18.61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45943</v>
      </c>
      <c r="B245" t="s">
        <v>48</v>
      </c>
      <c r="C245">
        <v>649163</v>
      </c>
      <c r="D245">
        <v>2029378056</v>
      </c>
      <c r="E245" t="s">
        <v>328</v>
      </c>
      <c r="F245" t="s">
        <v>544</v>
      </c>
      <c r="G245" t="s">
        <v>51</v>
      </c>
      <c r="H245" t="s">
        <v>91</v>
      </c>
      <c r="I245" t="s">
        <v>92</v>
      </c>
      <c r="J245" t="s">
        <v>93</v>
      </c>
      <c r="K245">
        <v>823350</v>
      </c>
      <c r="L245" t="s">
        <v>65</v>
      </c>
      <c r="M245" t="s">
        <v>66</v>
      </c>
      <c r="N245" t="s">
        <v>57</v>
      </c>
      <c r="O245" s="1">
        <v>45820</v>
      </c>
      <c r="Q245" s="1">
        <v>45973</v>
      </c>
      <c r="R245" s="2">
        <v>117.83</v>
      </c>
      <c r="S245">
        <v>1</v>
      </c>
      <c r="T245" t="s">
        <v>58</v>
      </c>
      <c r="U245" t="s">
        <v>180</v>
      </c>
      <c r="V245" s="4">
        <v>0.375</v>
      </c>
      <c r="W245" s="2">
        <v>0</v>
      </c>
      <c r="X245">
        <v>0</v>
      </c>
      <c r="Y245" t="s">
        <v>60</v>
      </c>
      <c r="Z245" t="s">
        <v>182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44.19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45943</v>
      </c>
      <c r="B246" t="s">
        <v>48</v>
      </c>
      <c r="C246">
        <v>649163</v>
      </c>
      <c r="D246">
        <v>2029405218</v>
      </c>
      <c r="E246" t="s">
        <v>545</v>
      </c>
      <c r="F246" t="s">
        <v>546</v>
      </c>
      <c r="G246" t="s">
        <v>51</v>
      </c>
      <c r="H246" t="s">
        <v>175</v>
      </c>
      <c r="I246" t="s">
        <v>92</v>
      </c>
      <c r="J246" t="s">
        <v>93</v>
      </c>
      <c r="K246">
        <v>812656</v>
      </c>
      <c r="L246" t="s">
        <v>547</v>
      </c>
      <c r="M246" t="s">
        <v>548</v>
      </c>
      <c r="N246" t="s">
        <v>57</v>
      </c>
      <c r="O246" s="1">
        <v>45820</v>
      </c>
      <c r="Q246" s="1">
        <v>45973</v>
      </c>
      <c r="R246" s="2">
        <v>38.4</v>
      </c>
      <c r="S246">
        <v>1</v>
      </c>
      <c r="T246" t="s">
        <v>58</v>
      </c>
      <c r="U246" t="s">
        <v>180</v>
      </c>
      <c r="V246" s="4">
        <v>0.375</v>
      </c>
      <c r="W246" s="2">
        <v>0</v>
      </c>
      <c r="X246">
        <v>0</v>
      </c>
      <c r="Y246" t="s">
        <v>60</v>
      </c>
      <c r="Z246" t="s">
        <v>182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14.4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45943</v>
      </c>
      <c r="B247" t="s">
        <v>48</v>
      </c>
      <c r="C247">
        <v>649163</v>
      </c>
      <c r="D247">
        <v>2029413863</v>
      </c>
      <c r="E247" t="s">
        <v>549</v>
      </c>
      <c r="F247" t="s">
        <v>550</v>
      </c>
      <c r="G247" t="s">
        <v>51</v>
      </c>
      <c r="H247" t="s">
        <v>91</v>
      </c>
      <c r="I247" t="s">
        <v>92</v>
      </c>
      <c r="J247" t="s">
        <v>93</v>
      </c>
      <c r="K247">
        <v>823350</v>
      </c>
      <c r="L247" t="s">
        <v>65</v>
      </c>
      <c r="M247" t="s">
        <v>66</v>
      </c>
      <c r="N247" t="s">
        <v>57</v>
      </c>
      <c r="O247" s="1">
        <v>45820</v>
      </c>
      <c r="Q247" s="1">
        <v>45973</v>
      </c>
      <c r="R247" s="2">
        <v>68.19</v>
      </c>
      <c r="S247">
        <v>1</v>
      </c>
      <c r="T247" t="s">
        <v>58</v>
      </c>
      <c r="U247" t="s">
        <v>180</v>
      </c>
      <c r="V247" s="4">
        <v>0.375</v>
      </c>
      <c r="W247" s="2">
        <v>0</v>
      </c>
      <c r="X247">
        <v>0</v>
      </c>
      <c r="Y247" t="s">
        <v>60</v>
      </c>
      <c r="Z247" t="s">
        <v>182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25.57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45943</v>
      </c>
      <c r="B248" t="s">
        <v>48</v>
      </c>
      <c r="C248">
        <v>649163</v>
      </c>
      <c r="D248">
        <v>2029481265</v>
      </c>
      <c r="E248" t="s">
        <v>551</v>
      </c>
      <c r="F248" t="s">
        <v>552</v>
      </c>
      <c r="G248" t="s">
        <v>51</v>
      </c>
      <c r="H248" t="s">
        <v>107</v>
      </c>
      <c r="I248" t="s">
        <v>92</v>
      </c>
      <c r="J248" t="s">
        <v>93</v>
      </c>
      <c r="K248">
        <v>877790</v>
      </c>
      <c r="L248" t="s">
        <v>108</v>
      </c>
      <c r="M248" t="s">
        <v>109</v>
      </c>
      <c r="N248" t="s">
        <v>57</v>
      </c>
      <c r="O248" s="1">
        <v>45825</v>
      </c>
      <c r="Q248" s="1">
        <v>45978</v>
      </c>
      <c r="R248" s="2">
        <v>58.15</v>
      </c>
      <c r="S248">
        <v>1</v>
      </c>
      <c r="T248" t="s">
        <v>58</v>
      </c>
      <c r="U248" t="s">
        <v>180</v>
      </c>
      <c r="V248" s="4">
        <v>0.375</v>
      </c>
      <c r="W248" s="2">
        <v>0</v>
      </c>
      <c r="X248">
        <v>0</v>
      </c>
      <c r="Y248" t="s">
        <v>60</v>
      </c>
      <c r="Z248" t="s">
        <v>182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21.81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45943</v>
      </c>
      <c r="B249" t="s">
        <v>48</v>
      </c>
      <c r="C249">
        <v>649163</v>
      </c>
      <c r="D249">
        <v>2029894410</v>
      </c>
      <c r="E249" t="s">
        <v>90</v>
      </c>
      <c r="F249" t="s">
        <v>553</v>
      </c>
      <c r="G249" t="s">
        <v>51</v>
      </c>
      <c r="H249" t="s">
        <v>107</v>
      </c>
      <c r="I249" t="s">
        <v>92</v>
      </c>
      <c r="J249" t="s">
        <v>93</v>
      </c>
      <c r="K249">
        <v>877790</v>
      </c>
      <c r="L249" t="s">
        <v>108</v>
      </c>
      <c r="M249" t="s">
        <v>109</v>
      </c>
      <c r="N249" t="s">
        <v>57</v>
      </c>
      <c r="O249" s="1">
        <v>45849</v>
      </c>
      <c r="Q249" s="1">
        <v>45972</v>
      </c>
      <c r="R249" s="2">
        <v>189.28</v>
      </c>
      <c r="S249">
        <v>1</v>
      </c>
      <c r="T249" t="s">
        <v>58</v>
      </c>
      <c r="U249" t="s">
        <v>180</v>
      </c>
      <c r="V249" s="4">
        <v>0.375</v>
      </c>
      <c r="W249" s="2">
        <v>0</v>
      </c>
      <c r="X249">
        <v>0</v>
      </c>
      <c r="Y249" t="s">
        <v>60</v>
      </c>
      <c r="Z249" t="s">
        <v>182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70.98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45943</v>
      </c>
      <c r="B250" t="s">
        <v>48</v>
      </c>
      <c r="C250">
        <v>649163</v>
      </c>
      <c r="D250">
        <v>2029904975</v>
      </c>
      <c r="E250" t="s">
        <v>554</v>
      </c>
      <c r="F250" t="s">
        <v>555</v>
      </c>
      <c r="G250" t="s">
        <v>51</v>
      </c>
      <c r="H250" t="s">
        <v>225</v>
      </c>
      <c r="I250" t="s">
        <v>92</v>
      </c>
      <c r="J250" t="s">
        <v>93</v>
      </c>
      <c r="K250">
        <v>651818</v>
      </c>
      <c r="L250" t="s">
        <v>260</v>
      </c>
      <c r="M250" t="s">
        <v>261</v>
      </c>
      <c r="N250" t="s">
        <v>57</v>
      </c>
      <c r="O250" s="1">
        <v>45850</v>
      </c>
      <c r="Q250" s="1">
        <v>45973</v>
      </c>
      <c r="R250" s="2">
        <v>102.62</v>
      </c>
      <c r="S250">
        <v>1</v>
      </c>
      <c r="T250" t="s">
        <v>58</v>
      </c>
      <c r="U250" t="s">
        <v>180</v>
      </c>
      <c r="V250" s="4">
        <v>0.375</v>
      </c>
      <c r="W250" s="2">
        <v>0</v>
      </c>
      <c r="X250">
        <v>0</v>
      </c>
      <c r="Y250" t="s">
        <v>60</v>
      </c>
      <c r="Z250" t="s">
        <v>182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38.479999999999997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45943</v>
      </c>
      <c r="B251" t="s">
        <v>48</v>
      </c>
      <c r="C251">
        <v>649163</v>
      </c>
      <c r="D251">
        <v>2029910892</v>
      </c>
      <c r="E251" t="s">
        <v>556</v>
      </c>
      <c r="F251" t="s">
        <v>557</v>
      </c>
      <c r="G251" t="s">
        <v>51</v>
      </c>
      <c r="H251" t="s">
        <v>91</v>
      </c>
      <c r="I251" t="s">
        <v>92</v>
      </c>
      <c r="J251" t="s">
        <v>93</v>
      </c>
      <c r="K251">
        <v>856824</v>
      </c>
      <c r="L251" t="s">
        <v>156</v>
      </c>
      <c r="M251" t="s">
        <v>157</v>
      </c>
      <c r="N251" t="s">
        <v>57</v>
      </c>
      <c r="O251" s="1">
        <v>45850</v>
      </c>
      <c r="Q251" s="1">
        <v>45973</v>
      </c>
      <c r="R251" s="2">
        <v>28.38</v>
      </c>
      <c r="S251">
        <v>1</v>
      </c>
      <c r="T251" t="s">
        <v>58</v>
      </c>
      <c r="U251" t="s">
        <v>180</v>
      </c>
      <c r="V251" s="4">
        <v>0.375</v>
      </c>
      <c r="W251" s="2">
        <v>0</v>
      </c>
      <c r="X251">
        <v>0</v>
      </c>
      <c r="Y251" t="s">
        <v>60</v>
      </c>
      <c r="Z251" t="s">
        <v>182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10.64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45943</v>
      </c>
      <c r="B252" t="s">
        <v>48</v>
      </c>
      <c r="C252">
        <v>649163</v>
      </c>
      <c r="D252">
        <v>2029938125</v>
      </c>
      <c r="E252" t="s">
        <v>297</v>
      </c>
      <c r="F252" t="s">
        <v>298</v>
      </c>
      <c r="G252" t="s">
        <v>51</v>
      </c>
      <c r="H252" t="s">
        <v>299</v>
      </c>
      <c r="I252" t="s">
        <v>92</v>
      </c>
      <c r="J252" t="s">
        <v>93</v>
      </c>
      <c r="K252">
        <v>767312</v>
      </c>
      <c r="L252" t="s">
        <v>147</v>
      </c>
      <c r="M252" t="s">
        <v>148</v>
      </c>
      <c r="N252" t="s">
        <v>57</v>
      </c>
      <c r="O252" s="1">
        <v>45853</v>
      </c>
      <c r="Q252" s="1">
        <v>45976</v>
      </c>
      <c r="R252" s="2">
        <v>110.61</v>
      </c>
      <c r="S252">
        <v>1</v>
      </c>
      <c r="T252" t="s">
        <v>58</v>
      </c>
      <c r="U252" t="s">
        <v>180</v>
      </c>
      <c r="V252" s="4">
        <v>0.375</v>
      </c>
      <c r="W252" s="2">
        <v>0</v>
      </c>
      <c r="X252">
        <v>0</v>
      </c>
      <c r="Y252" t="s">
        <v>60</v>
      </c>
      <c r="Z252" t="s">
        <v>182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41.48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45943</v>
      </c>
      <c r="B253" t="s">
        <v>48</v>
      </c>
      <c r="C253">
        <v>649163</v>
      </c>
      <c r="D253">
        <v>2029951923</v>
      </c>
      <c r="E253" t="s">
        <v>300</v>
      </c>
      <c r="F253" t="s">
        <v>301</v>
      </c>
      <c r="G253" t="s">
        <v>51</v>
      </c>
      <c r="H253" t="s">
        <v>78</v>
      </c>
      <c r="I253" t="s">
        <v>92</v>
      </c>
      <c r="J253" t="s">
        <v>93</v>
      </c>
      <c r="K253">
        <v>824076</v>
      </c>
      <c r="L253" t="s">
        <v>292</v>
      </c>
      <c r="M253" t="s">
        <v>293</v>
      </c>
      <c r="N253" t="s">
        <v>57</v>
      </c>
      <c r="O253" s="1">
        <v>45853</v>
      </c>
      <c r="Q253" s="1">
        <v>45976</v>
      </c>
      <c r="R253" s="2">
        <v>77.48</v>
      </c>
      <c r="S253">
        <v>1</v>
      </c>
      <c r="T253" t="s">
        <v>58</v>
      </c>
      <c r="U253" t="s">
        <v>180</v>
      </c>
      <c r="V253" s="4">
        <v>0.375</v>
      </c>
      <c r="W253" s="2">
        <v>0</v>
      </c>
      <c r="X253">
        <v>0</v>
      </c>
      <c r="Y253" t="s">
        <v>60</v>
      </c>
      <c r="Z253" t="s">
        <v>182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29.06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45943</v>
      </c>
      <c r="B254" t="s">
        <v>48</v>
      </c>
      <c r="C254">
        <v>649163</v>
      </c>
      <c r="D254">
        <v>2029955371</v>
      </c>
      <c r="E254" t="s">
        <v>302</v>
      </c>
      <c r="F254" t="s">
        <v>278</v>
      </c>
      <c r="G254" t="s">
        <v>51</v>
      </c>
      <c r="H254" t="s">
        <v>69</v>
      </c>
      <c r="I254" t="s">
        <v>92</v>
      </c>
      <c r="J254" t="s">
        <v>93</v>
      </c>
      <c r="K254">
        <v>824082</v>
      </c>
      <c r="L254" t="s">
        <v>303</v>
      </c>
      <c r="M254" t="s">
        <v>304</v>
      </c>
      <c r="N254" t="s">
        <v>57</v>
      </c>
      <c r="O254" s="1">
        <v>45853</v>
      </c>
      <c r="Q254" s="1">
        <v>45976</v>
      </c>
      <c r="R254" s="2">
        <v>63.62</v>
      </c>
      <c r="S254">
        <v>1</v>
      </c>
      <c r="T254" t="s">
        <v>58</v>
      </c>
      <c r="U254" t="s">
        <v>180</v>
      </c>
      <c r="V254" s="4">
        <v>0.375</v>
      </c>
      <c r="W254" s="2">
        <v>0</v>
      </c>
      <c r="X254">
        <v>0</v>
      </c>
      <c r="Y254" t="s">
        <v>60</v>
      </c>
      <c r="Z254" t="s">
        <v>182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23.86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45943</v>
      </c>
      <c r="B255" t="s">
        <v>48</v>
      </c>
      <c r="C255">
        <v>649163</v>
      </c>
      <c r="D255">
        <v>2029957805</v>
      </c>
      <c r="E255" t="s">
        <v>558</v>
      </c>
      <c r="F255" t="s">
        <v>559</v>
      </c>
      <c r="G255" t="s">
        <v>51</v>
      </c>
      <c r="H255" t="s">
        <v>107</v>
      </c>
      <c r="I255" t="s">
        <v>92</v>
      </c>
      <c r="J255" t="s">
        <v>93</v>
      </c>
      <c r="K255">
        <v>877790</v>
      </c>
      <c r="L255" t="s">
        <v>108</v>
      </c>
      <c r="M255" t="s">
        <v>109</v>
      </c>
      <c r="N255" t="s">
        <v>57</v>
      </c>
      <c r="O255" s="1">
        <v>45854</v>
      </c>
      <c r="Q255" s="1">
        <v>45977</v>
      </c>
      <c r="R255" s="2">
        <v>58.15</v>
      </c>
      <c r="S255">
        <v>1</v>
      </c>
      <c r="T255" t="s">
        <v>58</v>
      </c>
      <c r="U255" t="s">
        <v>180</v>
      </c>
      <c r="V255" s="4">
        <v>0.375</v>
      </c>
      <c r="W255" s="2">
        <v>0</v>
      </c>
      <c r="X255">
        <v>0</v>
      </c>
      <c r="Y255" t="s">
        <v>60</v>
      </c>
      <c r="Z255" t="s">
        <v>182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21.81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45943</v>
      </c>
      <c r="B256" t="s">
        <v>48</v>
      </c>
      <c r="C256">
        <v>649163</v>
      </c>
      <c r="D256">
        <v>2029969606</v>
      </c>
      <c r="E256" t="s">
        <v>309</v>
      </c>
      <c r="F256" t="s">
        <v>310</v>
      </c>
      <c r="G256" t="s">
        <v>51</v>
      </c>
      <c r="H256" t="s">
        <v>69</v>
      </c>
      <c r="I256" t="s">
        <v>92</v>
      </c>
      <c r="J256" t="s">
        <v>93</v>
      </c>
      <c r="K256">
        <v>816021</v>
      </c>
      <c r="L256" t="s">
        <v>71</v>
      </c>
      <c r="M256" t="s">
        <v>72</v>
      </c>
      <c r="N256" t="s">
        <v>57</v>
      </c>
      <c r="O256" s="1">
        <v>45854</v>
      </c>
      <c r="Q256" s="1">
        <v>45977</v>
      </c>
      <c r="R256" s="2">
        <v>63.62</v>
      </c>
      <c r="S256">
        <v>1</v>
      </c>
      <c r="T256" t="s">
        <v>58</v>
      </c>
      <c r="U256" t="s">
        <v>180</v>
      </c>
      <c r="V256" s="4">
        <v>0.375</v>
      </c>
      <c r="W256" s="2">
        <v>0</v>
      </c>
      <c r="X256">
        <v>0</v>
      </c>
      <c r="Y256" t="s">
        <v>60</v>
      </c>
      <c r="Z256" t="s">
        <v>182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23.86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45943</v>
      </c>
      <c r="B257" t="s">
        <v>48</v>
      </c>
      <c r="C257">
        <v>649163</v>
      </c>
      <c r="D257">
        <v>2029971480</v>
      </c>
      <c r="E257" t="s">
        <v>560</v>
      </c>
      <c r="F257" t="s">
        <v>211</v>
      </c>
      <c r="G257" t="s">
        <v>51</v>
      </c>
      <c r="H257" t="s">
        <v>272</v>
      </c>
      <c r="I257" t="s">
        <v>92</v>
      </c>
      <c r="J257" t="s">
        <v>93</v>
      </c>
      <c r="K257">
        <v>822723</v>
      </c>
      <c r="L257" t="s">
        <v>273</v>
      </c>
      <c r="M257" t="s">
        <v>274</v>
      </c>
      <c r="N257" t="s">
        <v>57</v>
      </c>
      <c r="O257" s="1">
        <v>45854</v>
      </c>
      <c r="Q257" s="1">
        <v>45977</v>
      </c>
      <c r="R257" s="2">
        <v>188.04</v>
      </c>
      <c r="S257">
        <v>1</v>
      </c>
      <c r="T257" t="s">
        <v>58</v>
      </c>
      <c r="U257" t="s">
        <v>180</v>
      </c>
      <c r="V257" s="4">
        <v>0.375</v>
      </c>
      <c r="W257" s="2">
        <v>0</v>
      </c>
      <c r="X257">
        <v>0</v>
      </c>
      <c r="Y257" t="s">
        <v>60</v>
      </c>
      <c r="Z257" t="s">
        <v>182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70.52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45943</v>
      </c>
      <c r="B258" t="s">
        <v>48</v>
      </c>
      <c r="C258">
        <v>649163</v>
      </c>
      <c r="D258">
        <v>2029973107</v>
      </c>
      <c r="E258" t="s">
        <v>561</v>
      </c>
      <c r="F258" t="s">
        <v>223</v>
      </c>
      <c r="G258" t="s">
        <v>51</v>
      </c>
      <c r="H258" t="s">
        <v>102</v>
      </c>
      <c r="I258" t="s">
        <v>92</v>
      </c>
      <c r="J258" t="s">
        <v>93</v>
      </c>
      <c r="K258">
        <v>820140</v>
      </c>
      <c r="L258" t="s">
        <v>103</v>
      </c>
      <c r="M258" t="s">
        <v>104</v>
      </c>
      <c r="N258" t="s">
        <v>57</v>
      </c>
      <c r="O258" s="1">
        <v>45854</v>
      </c>
      <c r="Q258" s="1">
        <v>45977</v>
      </c>
      <c r="R258" s="2">
        <v>44.56</v>
      </c>
      <c r="S258">
        <v>1</v>
      </c>
      <c r="T258" t="s">
        <v>58</v>
      </c>
      <c r="U258" t="s">
        <v>180</v>
      </c>
      <c r="V258" s="4">
        <v>9.5000000000000001E-2</v>
      </c>
      <c r="W258" s="2">
        <v>0</v>
      </c>
      <c r="X258">
        <v>0</v>
      </c>
      <c r="Y258" t="s">
        <v>60</v>
      </c>
      <c r="Z258" t="s">
        <v>182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4.2300000000000004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45943</v>
      </c>
      <c r="B259" t="s">
        <v>48</v>
      </c>
      <c r="C259">
        <v>649163</v>
      </c>
      <c r="D259">
        <v>2029985851</v>
      </c>
      <c r="E259" t="s">
        <v>562</v>
      </c>
      <c r="F259" t="s">
        <v>140</v>
      </c>
      <c r="G259" t="s">
        <v>51</v>
      </c>
      <c r="H259" t="s">
        <v>78</v>
      </c>
      <c r="I259" t="s">
        <v>92</v>
      </c>
      <c r="J259" t="s">
        <v>93</v>
      </c>
      <c r="K259">
        <v>823350</v>
      </c>
      <c r="L259" t="s">
        <v>65</v>
      </c>
      <c r="M259" t="s">
        <v>66</v>
      </c>
      <c r="N259" t="s">
        <v>57</v>
      </c>
      <c r="O259" s="1">
        <v>45855</v>
      </c>
      <c r="Q259" s="1">
        <v>45978</v>
      </c>
      <c r="R259" s="2">
        <v>149.87</v>
      </c>
      <c r="S259">
        <v>1</v>
      </c>
      <c r="T259" t="s">
        <v>58</v>
      </c>
      <c r="U259" t="s">
        <v>180</v>
      </c>
      <c r="V259" s="4">
        <v>0.375</v>
      </c>
      <c r="W259" s="2">
        <v>0</v>
      </c>
      <c r="X259">
        <v>0</v>
      </c>
      <c r="Y259" t="s">
        <v>60</v>
      </c>
      <c r="Z259" t="s">
        <v>182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56.2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45943</v>
      </c>
      <c r="B260" t="s">
        <v>48</v>
      </c>
      <c r="C260">
        <v>649163</v>
      </c>
      <c r="D260">
        <v>2029989666</v>
      </c>
      <c r="E260" t="s">
        <v>563</v>
      </c>
      <c r="F260" t="s">
        <v>485</v>
      </c>
      <c r="G260" t="s">
        <v>51</v>
      </c>
      <c r="H260" t="s">
        <v>91</v>
      </c>
      <c r="I260" t="s">
        <v>92</v>
      </c>
      <c r="J260" t="s">
        <v>93</v>
      </c>
      <c r="K260">
        <v>812656</v>
      </c>
      <c r="L260" t="s">
        <v>547</v>
      </c>
      <c r="M260" t="s">
        <v>548</v>
      </c>
      <c r="N260" t="s">
        <v>57</v>
      </c>
      <c r="O260" s="1">
        <v>45855</v>
      </c>
      <c r="Q260" s="1">
        <v>45978</v>
      </c>
      <c r="R260" s="2">
        <v>50.3</v>
      </c>
      <c r="S260">
        <v>1</v>
      </c>
      <c r="T260" t="s">
        <v>58</v>
      </c>
      <c r="U260" t="s">
        <v>180</v>
      </c>
      <c r="V260" s="4">
        <v>0.375</v>
      </c>
      <c r="W260" s="2">
        <v>0</v>
      </c>
      <c r="X260">
        <v>0</v>
      </c>
      <c r="Y260" t="s">
        <v>60</v>
      </c>
      <c r="Z260" t="s">
        <v>182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18.86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45943</v>
      </c>
      <c r="B261" t="s">
        <v>48</v>
      </c>
      <c r="C261">
        <v>649163</v>
      </c>
      <c r="D261">
        <v>2030333349</v>
      </c>
      <c r="E261" t="s">
        <v>564</v>
      </c>
      <c r="F261" t="s">
        <v>565</v>
      </c>
      <c r="G261" t="s">
        <v>51</v>
      </c>
      <c r="H261" t="s">
        <v>219</v>
      </c>
      <c r="I261" t="s">
        <v>92</v>
      </c>
      <c r="J261" t="s">
        <v>93</v>
      </c>
      <c r="K261">
        <v>813184</v>
      </c>
      <c r="L261" t="s">
        <v>566</v>
      </c>
      <c r="M261" t="s">
        <v>567</v>
      </c>
      <c r="N261" t="s">
        <v>57</v>
      </c>
      <c r="O261" s="1">
        <v>45879</v>
      </c>
      <c r="Q261" s="1">
        <v>45971</v>
      </c>
      <c r="R261" s="2">
        <v>33.61</v>
      </c>
      <c r="S261">
        <v>1</v>
      </c>
      <c r="T261" t="s">
        <v>58</v>
      </c>
      <c r="U261" t="s">
        <v>180</v>
      </c>
      <c r="V261" s="4">
        <v>0.375</v>
      </c>
      <c r="W261" s="2">
        <v>0</v>
      </c>
      <c r="X261">
        <v>0</v>
      </c>
      <c r="Y261" t="s">
        <v>60</v>
      </c>
      <c r="Z261" t="s">
        <v>182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12.6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45943</v>
      </c>
      <c r="B262" t="s">
        <v>48</v>
      </c>
      <c r="C262">
        <v>649163</v>
      </c>
      <c r="D262">
        <v>2030413756</v>
      </c>
      <c r="E262" t="s">
        <v>321</v>
      </c>
      <c r="F262" t="s">
        <v>322</v>
      </c>
      <c r="G262" t="s">
        <v>51</v>
      </c>
      <c r="H262" t="s">
        <v>64</v>
      </c>
      <c r="I262" t="s">
        <v>92</v>
      </c>
      <c r="J262" t="s">
        <v>93</v>
      </c>
      <c r="K262">
        <v>753748</v>
      </c>
      <c r="L262" t="s">
        <v>168</v>
      </c>
      <c r="M262" t="s">
        <v>169</v>
      </c>
      <c r="N262" t="s">
        <v>179</v>
      </c>
      <c r="O262" s="1">
        <v>45901</v>
      </c>
      <c r="P262" s="1">
        <v>45936</v>
      </c>
      <c r="Q262" s="1">
        <v>45962</v>
      </c>
      <c r="R262" s="2">
        <v>-59.62</v>
      </c>
      <c r="S262">
        <v>1</v>
      </c>
      <c r="T262" t="s">
        <v>58</v>
      </c>
      <c r="U262" t="s">
        <v>180</v>
      </c>
      <c r="V262" s="4">
        <v>0.375</v>
      </c>
      <c r="W262" s="2">
        <v>0</v>
      </c>
      <c r="X262">
        <v>-1</v>
      </c>
      <c r="Y262" t="s">
        <v>60</v>
      </c>
      <c r="Z262" t="s">
        <v>182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-22.36</v>
      </c>
      <c r="AN262" s="2">
        <v>-22.36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45943</v>
      </c>
      <c r="B263" t="s">
        <v>48</v>
      </c>
      <c r="C263">
        <v>649163</v>
      </c>
      <c r="D263">
        <v>2030447484</v>
      </c>
      <c r="E263" t="s">
        <v>568</v>
      </c>
      <c r="F263" t="s">
        <v>280</v>
      </c>
      <c r="G263" t="s">
        <v>51</v>
      </c>
      <c r="H263" t="s">
        <v>225</v>
      </c>
      <c r="I263" t="s">
        <v>92</v>
      </c>
      <c r="J263" t="s">
        <v>93</v>
      </c>
      <c r="K263">
        <v>753748</v>
      </c>
      <c r="L263" t="s">
        <v>168</v>
      </c>
      <c r="M263" t="s">
        <v>169</v>
      </c>
      <c r="N263" t="s">
        <v>57</v>
      </c>
      <c r="O263" s="1">
        <v>45882</v>
      </c>
      <c r="Q263" s="1">
        <v>45974</v>
      </c>
      <c r="R263" s="2">
        <v>73.17</v>
      </c>
      <c r="S263">
        <v>1</v>
      </c>
      <c r="T263" t="s">
        <v>58</v>
      </c>
      <c r="U263" t="s">
        <v>180</v>
      </c>
      <c r="V263" s="4">
        <v>0.375</v>
      </c>
      <c r="W263" s="2">
        <v>0</v>
      </c>
      <c r="X263">
        <v>0</v>
      </c>
      <c r="Y263" t="s">
        <v>60</v>
      </c>
      <c r="Z263" t="s">
        <v>182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27.44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45943</v>
      </c>
      <c r="B264" t="s">
        <v>48</v>
      </c>
      <c r="C264">
        <v>649163</v>
      </c>
      <c r="D264">
        <v>2030452963</v>
      </c>
      <c r="E264" t="s">
        <v>569</v>
      </c>
      <c r="F264" t="s">
        <v>90</v>
      </c>
      <c r="G264" t="s">
        <v>51</v>
      </c>
      <c r="H264" t="s">
        <v>69</v>
      </c>
      <c r="I264" t="s">
        <v>92</v>
      </c>
      <c r="J264" t="s">
        <v>93</v>
      </c>
      <c r="K264">
        <v>824082</v>
      </c>
      <c r="L264" t="s">
        <v>303</v>
      </c>
      <c r="M264" t="s">
        <v>304</v>
      </c>
      <c r="N264" t="s">
        <v>57</v>
      </c>
      <c r="O264" s="1">
        <v>45882</v>
      </c>
      <c r="Q264" s="1">
        <v>45974</v>
      </c>
      <c r="R264" s="2">
        <v>205.33</v>
      </c>
      <c r="S264">
        <v>1</v>
      </c>
      <c r="T264" t="s">
        <v>58</v>
      </c>
      <c r="U264" t="s">
        <v>180</v>
      </c>
      <c r="V264" s="4">
        <v>0.375</v>
      </c>
      <c r="W264" s="2">
        <v>0</v>
      </c>
      <c r="X264">
        <v>0</v>
      </c>
      <c r="Y264" t="s">
        <v>60</v>
      </c>
      <c r="Z264" t="s">
        <v>182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77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45943</v>
      </c>
      <c r="B265" t="s">
        <v>48</v>
      </c>
      <c r="C265">
        <v>649163</v>
      </c>
      <c r="D265">
        <v>2030455580</v>
      </c>
      <c r="E265" t="s">
        <v>326</v>
      </c>
      <c r="F265" t="s">
        <v>327</v>
      </c>
      <c r="G265" t="s">
        <v>51</v>
      </c>
      <c r="H265" t="s">
        <v>69</v>
      </c>
      <c r="I265" t="s">
        <v>92</v>
      </c>
      <c r="J265" t="s">
        <v>93</v>
      </c>
      <c r="K265">
        <v>816021</v>
      </c>
      <c r="L265" t="s">
        <v>71</v>
      </c>
      <c r="M265" t="s">
        <v>72</v>
      </c>
      <c r="N265" t="s">
        <v>57</v>
      </c>
      <c r="O265" s="1">
        <v>45882</v>
      </c>
      <c r="Q265" s="1">
        <v>45974</v>
      </c>
      <c r="R265" s="2">
        <v>160.85</v>
      </c>
      <c r="S265">
        <v>1</v>
      </c>
      <c r="T265" t="s">
        <v>58</v>
      </c>
      <c r="U265" t="s">
        <v>180</v>
      </c>
      <c r="V265" s="4">
        <v>0.375</v>
      </c>
      <c r="W265" s="2">
        <v>0</v>
      </c>
      <c r="X265">
        <v>0</v>
      </c>
      <c r="Y265" t="s">
        <v>60</v>
      </c>
      <c r="Z265" t="s">
        <v>182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60.32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45943</v>
      </c>
      <c r="B266" t="s">
        <v>48</v>
      </c>
      <c r="C266">
        <v>649163</v>
      </c>
      <c r="D266">
        <v>2030675166</v>
      </c>
      <c r="E266" t="s">
        <v>333</v>
      </c>
      <c r="F266" t="s">
        <v>334</v>
      </c>
      <c r="G266" t="s">
        <v>51</v>
      </c>
      <c r="H266" t="s">
        <v>175</v>
      </c>
      <c r="I266" t="s">
        <v>92</v>
      </c>
      <c r="J266" t="s">
        <v>93</v>
      </c>
      <c r="K266">
        <v>823350</v>
      </c>
      <c r="L266" t="s">
        <v>65</v>
      </c>
      <c r="M266" t="s">
        <v>66</v>
      </c>
      <c r="N266" t="s">
        <v>57</v>
      </c>
      <c r="O266" s="1">
        <v>45901</v>
      </c>
      <c r="Q266" s="1">
        <v>45962</v>
      </c>
      <c r="R266" s="2">
        <v>64.16</v>
      </c>
      <c r="S266">
        <v>1</v>
      </c>
      <c r="T266" t="s">
        <v>58</v>
      </c>
      <c r="U266" t="s">
        <v>180</v>
      </c>
      <c r="V266" s="4">
        <v>0.375</v>
      </c>
      <c r="W266" s="2">
        <v>0</v>
      </c>
      <c r="X266">
        <v>0</v>
      </c>
      <c r="Y266" t="s">
        <v>60</v>
      </c>
      <c r="Z266" t="s">
        <v>182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24.06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45943</v>
      </c>
      <c r="B267" t="s">
        <v>48</v>
      </c>
      <c r="C267">
        <v>649163</v>
      </c>
      <c r="D267">
        <v>2030676912</v>
      </c>
      <c r="E267" t="s">
        <v>418</v>
      </c>
      <c r="F267" t="s">
        <v>419</v>
      </c>
      <c r="G267" t="s">
        <v>51</v>
      </c>
      <c r="H267" t="s">
        <v>185</v>
      </c>
      <c r="I267" t="s">
        <v>92</v>
      </c>
      <c r="J267" t="s">
        <v>93</v>
      </c>
      <c r="K267">
        <v>856824</v>
      </c>
      <c r="L267" t="s">
        <v>156</v>
      </c>
      <c r="M267" t="s">
        <v>157</v>
      </c>
      <c r="N267" t="s">
        <v>179</v>
      </c>
      <c r="O267" s="1">
        <v>45931</v>
      </c>
      <c r="P267" s="1">
        <v>45936</v>
      </c>
      <c r="Q267" s="1">
        <v>45962</v>
      </c>
      <c r="R267" s="2">
        <v>-58.23</v>
      </c>
      <c r="S267">
        <v>1</v>
      </c>
      <c r="T267" t="s">
        <v>58</v>
      </c>
      <c r="U267" t="s">
        <v>59</v>
      </c>
      <c r="V267" s="4">
        <v>0.375</v>
      </c>
      <c r="W267" s="2">
        <v>0</v>
      </c>
      <c r="X267">
        <v>-1</v>
      </c>
      <c r="Y267" t="s">
        <v>60</v>
      </c>
      <c r="Z267" t="s">
        <v>182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-21.84</v>
      </c>
      <c r="AN267" s="2">
        <v>-21.84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45943</v>
      </c>
      <c r="B268" t="s">
        <v>48</v>
      </c>
      <c r="C268">
        <v>649163</v>
      </c>
      <c r="D268">
        <v>2030805144</v>
      </c>
      <c r="E268" t="s">
        <v>420</v>
      </c>
      <c r="F268" t="s">
        <v>421</v>
      </c>
      <c r="G268" t="s">
        <v>51</v>
      </c>
      <c r="H268" t="s">
        <v>91</v>
      </c>
      <c r="I268" t="s">
        <v>92</v>
      </c>
      <c r="J268" t="s">
        <v>93</v>
      </c>
      <c r="K268">
        <v>792847</v>
      </c>
      <c r="L268" t="s">
        <v>277</v>
      </c>
      <c r="M268" t="s">
        <v>279</v>
      </c>
      <c r="N268" t="s">
        <v>57</v>
      </c>
      <c r="O268" s="1">
        <v>45902</v>
      </c>
      <c r="Q268" s="1">
        <v>45963</v>
      </c>
      <c r="R268" s="2">
        <v>60.3</v>
      </c>
      <c r="S268">
        <v>1</v>
      </c>
      <c r="T268" t="s">
        <v>58</v>
      </c>
      <c r="U268" t="s">
        <v>180</v>
      </c>
      <c r="V268" s="4">
        <v>0.375</v>
      </c>
      <c r="W268" s="2">
        <v>0</v>
      </c>
      <c r="X268">
        <v>0</v>
      </c>
      <c r="Y268" t="s">
        <v>60</v>
      </c>
      <c r="Z268" t="s">
        <v>182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22.61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45943</v>
      </c>
      <c r="B269" t="s">
        <v>48</v>
      </c>
      <c r="C269">
        <v>649163</v>
      </c>
      <c r="D269">
        <v>2030978541</v>
      </c>
      <c r="E269" t="s">
        <v>570</v>
      </c>
      <c r="F269" t="s">
        <v>571</v>
      </c>
      <c r="G269" t="s">
        <v>51</v>
      </c>
      <c r="H269" t="s">
        <v>91</v>
      </c>
      <c r="I269" t="s">
        <v>92</v>
      </c>
      <c r="J269" t="s">
        <v>93</v>
      </c>
      <c r="K269">
        <v>822865</v>
      </c>
      <c r="L269" t="s">
        <v>266</v>
      </c>
      <c r="M269" t="s">
        <v>267</v>
      </c>
      <c r="N269" t="s">
        <v>179</v>
      </c>
      <c r="O269" s="1">
        <v>45889</v>
      </c>
      <c r="P269" s="1">
        <v>45943</v>
      </c>
      <c r="Q269" s="1">
        <v>45950</v>
      </c>
      <c r="R269" s="2">
        <v>-10.02</v>
      </c>
      <c r="S269">
        <v>1</v>
      </c>
      <c r="T269" t="s">
        <v>58</v>
      </c>
      <c r="U269" t="s">
        <v>170</v>
      </c>
      <c r="V269" s="4">
        <v>0.375</v>
      </c>
      <c r="W269" s="2">
        <v>0</v>
      </c>
      <c r="X269">
        <v>-1</v>
      </c>
      <c r="Y269" t="s">
        <v>60</v>
      </c>
      <c r="Z269" t="s">
        <v>182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-3.76</v>
      </c>
      <c r="AN269" s="2">
        <v>-3.76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45943</v>
      </c>
      <c r="B270" t="s">
        <v>48</v>
      </c>
      <c r="C270">
        <v>649163</v>
      </c>
      <c r="D270">
        <v>2030982990</v>
      </c>
      <c r="E270" t="s">
        <v>344</v>
      </c>
      <c r="F270" t="s">
        <v>345</v>
      </c>
      <c r="G270" t="s">
        <v>51</v>
      </c>
      <c r="H270" t="s">
        <v>225</v>
      </c>
      <c r="I270" t="s">
        <v>92</v>
      </c>
      <c r="J270" t="s">
        <v>93</v>
      </c>
      <c r="K270">
        <v>823350</v>
      </c>
      <c r="L270" t="s">
        <v>65</v>
      </c>
      <c r="M270" t="s">
        <v>66</v>
      </c>
      <c r="N270" t="s">
        <v>57</v>
      </c>
      <c r="O270" s="1">
        <v>45915</v>
      </c>
      <c r="Q270" s="1">
        <v>45976</v>
      </c>
      <c r="R270" s="2">
        <v>243.49</v>
      </c>
      <c r="S270">
        <v>1</v>
      </c>
      <c r="T270" t="s">
        <v>58</v>
      </c>
      <c r="U270" t="s">
        <v>59</v>
      </c>
      <c r="V270" s="4">
        <v>0.375</v>
      </c>
      <c r="W270" s="2">
        <v>0</v>
      </c>
      <c r="X270">
        <v>0</v>
      </c>
      <c r="Y270" t="s">
        <v>60</v>
      </c>
      <c r="Z270" t="s">
        <v>182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91.31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45943</v>
      </c>
      <c r="B271" t="s">
        <v>48</v>
      </c>
      <c r="C271">
        <v>649163</v>
      </c>
      <c r="D271">
        <v>2030986242</v>
      </c>
      <c r="E271" t="s">
        <v>430</v>
      </c>
      <c r="F271" t="s">
        <v>431</v>
      </c>
      <c r="G271" t="s">
        <v>51</v>
      </c>
      <c r="H271" t="s">
        <v>91</v>
      </c>
      <c r="I271" t="s">
        <v>92</v>
      </c>
      <c r="J271" t="s">
        <v>93</v>
      </c>
      <c r="K271">
        <v>673059</v>
      </c>
      <c r="L271" t="s">
        <v>55</v>
      </c>
      <c r="M271" t="s">
        <v>56</v>
      </c>
      <c r="N271" t="s">
        <v>57</v>
      </c>
      <c r="O271" s="1">
        <v>45913</v>
      </c>
      <c r="Q271" s="1">
        <v>45974</v>
      </c>
      <c r="R271" s="2">
        <v>69.3</v>
      </c>
      <c r="S271">
        <v>1</v>
      </c>
      <c r="T271" t="s">
        <v>58</v>
      </c>
      <c r="U271" t="s">
        <v>59</v>
      </c>
      <c r="V271" s="4">
        <v>0.375</v>
      </c>
      <c r="W271" s="2">
        <v>0</v>
      </c>
      <c r="X271">
        <v>0</v>
      </c>
      <c r="Y271" t="s">
        <v>60</v>
      </c>
      <c r="Z271" t="s">
        <v>182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25.99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45943</v>
      </c>
      <c r="B272" t="s">
        <v>48</v>
      </c>
      <c r="C272">
        <v>649163</v>
      </c>
      <c r="D272">
        <v>2030999705</v>
      </c>
      <c r="E272" t="s">
        <v>572</v>
      </c>
      <c r="F272" t="s">
        <v>573</v>
      </c>
      <c r="G272" t="s">
        <v>51</v>
      </c>
      <c r="H272" t="s">
        <v>185</v>
      </c>
      <c r="I272" t="s">
        <v>92</v>
      </c>
      <c r="J272" t="s">
        <v>93</v>
      </c>
      <c r="K272">
        <v>651818</v>
      </c>
      <c r="L272" t="s">
        <v>260</v>
      </c>
      <c r="M272" t="s">
        <v>261</v>
      </c>
      <c r="N272" t="s">
        <v>57</v>
      </c>
      <c r="O272" s="1">
        <v>45913</v>
      </c>
      <c r="Q272" s="1">
        <v>45974</v>
      </c>
      <c r="R272" s="2">
        <v>46.27</v>
      </c>
      <c r="S272">
        <v>1</v>
      </c>
      <c r="T272" t="s">
        <v>58</v>
      </c>
      <c r="U272" t="s">
        <v>59</v>
      </c>
      <c r="V272" s="4">
        <v>0.375</v>
      </c>
      <c r="W272" s="2">
        <v>0</v>
      </c>
      <c r="X272">
        <v>0</v>
      </c>
      <c r="Y272" t="s">
        <v>60</v>
      </c>
      <c r="Z272" t="s">
        <v>182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17.350000000000001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45943</v>
      </c>
      <c r="B273" t="s">
        <v>48</v>
      </c>
      <c r="C273">
        <v>649163</v>
      </c>
      <c r="D273">
        <v>2031017067</v>
      </c>
      <c r="E273" t="s">
        <v>346</v>
      </c>
      <c r="F273" t="s">
        <v>159</v>
      </c>
      <c r="G273" t="s">
        <v>51</v>
      </c>
      <c r="H273" t="s">
        <v>107</v>
      </c>
      <c r="I273" t="s">
        <v>92</v>
      </c>
      <c r="J273" t="s">
        <v>93</v>
      </c>
      <c r="K273">
        <v>877790</v>
      </c>
      <c r="L273" t="s">
        <v>108</v>
      </c>
      <c r="M273" t="s">
        <v>109</v>
      </c>
      <c r="N273" t="s">
        <v>57</v>
      </c>
      <c r="O273" s="1">
        <v>45913</v>
      </c>
      <c r="Q273" s="1">
        <v>45974</v>
      </c>
      <c r="R273" s="2">
        <v>58.15</v>
      </c>
      <c r="S273">
        <v>1</v>
      </c>
      <c r="T273" t="s">
        <v>58</v>
      </c>
      <c r="U273" t="s">
        <v>59</v>
      </c>
      <c r="V273" s="4">
        <v>0.375</v>
      </c>
      <c r="W273" s="2">
        <v>0</v>
      </c>
      <c r="X273">
        <v>0</v>
      </c>
      <c r="Y273" t="s">
        <v>60</v>
      </c>
      <c r="Z273" t="s">
        <v>182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21.81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45943</v>
      </c>
      <c r="B274" t="s">
        <v>48</v>
      </c>
      <c r="C274">
        <v>649163</v>
      </c>
      <c r="D274">
        <v>2031047977</v>
      </c>
      <c r="E274" t="s">
        <v>432</v>
      </c>
      <c r="F274" t="s">
        <v>433</v>
      </c>
      <c r="G274" t="s">
        <v>51</v>
      </c>
      <c r="H274" t="s">
        <v>91</v>
      </c>
      <c r="I274" t="s">
        <v>92</v>
      </c>
      <c r="J274" t="s">
        <v>93</v>
      </c>
      <c r="K274">
        <v>756418</v>
      </c>
      <c r="L274" t="s">
        <v>216</v>
      </c>
      <c r="M274" t="s">
        <v>217</v>
      </c>
      <c r="N274" t="s">
        <v>57</v>
      </c>
      <c r="O274" s="1">
        <v>45914</v>
      </c>
      <c r="Q274" s="1">
        <v>45975</v>
      </c>
      <c r="R274" s="2">
        <v>54.87</v>
      </c>
      <c r="S274">
        <v>1</v>
      </c>
      <c r="T274" t="s">
        <v>58</v>
      </c>
      <c r="U274" t="s">
        <v>59</v>
      </c>
      <c r="V274" s="4">
        <v>0.375</v>
      </c>
      <c r="W274" s="2">
        <v>0</v>
      </c>
      <c r="X274">
        <v>0</v>
      </c>
      <c r="Y274" t="s">
        <v>60</v>
      </c>
      <c r="Z274" t="s">
        <v>182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20.58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45943</v>
      </c>
      <c r="B275" t="s">
        <v>48</v>
      </c>
      <c r="C275">
        <v>649163</v>
      </c>
      <c r="D275">
        <v>2023047686</v>
      </c>
      <c r="E275" t="s">
        <v>574</v>
      </c>
      <c r="F275" t="s">
        <v>575</v>
      </c>
      <c r="G275" t="s">
        <v>51</v>
      </c>
      <c r="H275" t="s">
        <v>189</v>
      </c>
      <c r="I275" t="s">
        <v>114</v>
      </c>
      <c r="J275" t="s">
        <v>576</v>
      </c>
      <c r="K275">
        <v>751867</v>
      </c>
      <c r="L275" t="s">
        <v>186</v>
      </c>
      <c r="M275" t="s">
        <v>90</v>
      </c>
      <c r="N275" t="s">
        <v>57</v>
      </c>
      <c r="O275" s="1">
        <v>45422</v>
      </c>
      <c r="Q275" s="1">
        <v>45971</v>
      </c>
      <c r="R275" s="2">
        <v>77.55</v>
      </c>
      <c r="S275">
        <v>1</v>
      </c>
      <c r="T275" t="s">
        <v>58</v>
      </c>
      <c r="U275" t="s">
        <v>180</v>
      </c>
      <c r="V275" s="3">
        <v>0.1</v>
      </c>
      <c r="W275" s="2">
        <v>0</v>
      </c>
      <c r="X275">
        <v>0</v>
      </c>
      <c r="Y275" t="s">
        <v>181</v>
      </c>
      <c r="Z275" t="s">
        <v>182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7.76</v>
      </c>
      <c r="AN275" s="2">
        <v>7.76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45943</v>
      </c>
      <c r="B276" t="s">
        <v>48</v>
      </c>
      <c r="C276">
        <v>649163</v>
      </c>
      <c r="D276">
        <v>2023499224</v>
      </c>
      <c r="E276" t="s">
        <v>183</v>
      </c>
      <c r="F276" t="s">
        <v>184</v>
      </c>
      <c r="G276" t="s">
        <v>51</v>
      </c>
      <c r="H276" t="s">
        <v>185</v>
      </c>
      <c r="I276" t="s">
        <v>114</v>
      </c>
      <c r="J276" t="s">
        <v>576</v>
      </c>
      <c r="K276">
        <v>751867</v>
      </c>
      <c r="L276" t="s">
        <v>186</v>
      </c>
      <c r="M276" t="s">
        <v>90</v>
      </c>
      <c r="N276" t="s">
        <v>57</v>
      </c>
      <c r="O276" s="1">
        <v>45456</v>
      </c>
      <c r="Q276" s="1">
        <v>45974</v>
      </c>
      <c r="R276" s="2">
        <v>28.12</v>
      </c>
      <c r="S276">
        <v>1</v>
      </c>
      <c r="T276" t="s">
        <v>58</v>
      </c>
      <c r="U276" t="s">
        <v>180</v>
      </c>
      <c r="V276" s="3">
        <v>0.1</v>
      </c>
      <c r="W276" s="2">
        <v>0</v>
      </c>
      <c r="X276">
        <v>0</v>
      </c>
      <c r="Y276" t="s">
        <v>181</v>
      </c>
      <c r="Z276" t="s">
        <v>182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2.81</v>
      </c>
      <c r="AN276" s="2">
        <v>2.81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45943</v>
      </c>
      <c r="B277" t="s">
        <v>48</v>
      </c>
      <c r="C277">
        <v>649163</v>
      </c>
      <c r="D277">
        <v>2023509943</v>
      </c>
      <c r="E277" t="s">
        <v>187</v>
      </c>
      <c r="F277" t="s">
        <v>188</v>
      </c>
      <c r="G277" t="s">
        <v>51</v>
      </c>
      <c r="H277" t="s">
        <v>189</v>
      </c>
      <c r="I277" t="s">
        <v>114</v>
      </c>
      <c r="J277" t="s">
        <v>576</v>
      </c>
      <c r="K277">
        <v>751867</v>
      </c>
      <c r="L277" t="s">
        <v>186</v>
      </c>
      <c r="M277" t="s">
        <v>90</v>
      </c>
      <c r="N277" t="s">
        <v>57</v>
      </c>
      <c r="O277" s="1">
        <v>45457</v>
      </c>
      <c r="Q277" s="1">
        <v>45975</v>
      </c>
      <c r="R277" s="2">
        <v>55.16</v>
      </c>
      <c r="S277">
        <v>1</v>
      </c>
      <c r="T277" t="s">
        <v>58</v>
      </c>
      <c r="U277" t="s">
        <v>180</v>
      </c>
      <c r="V277" s="3">
        <v>0.1</v>
      </c>
      <c r="W277" s="2">
        <v>0</v>
      </c>
      <c r="X277">
        <v>0</v>
      </c>
      <c r="Y277" t="s">
        <v>181</v>
      </c>
      <c r="Z277" t="s">
        <v>182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5.52</v>
      </c>
      <c r="AN277" s="2">
        <v>5.52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45943</v>
      </c>
      <c r="B278" t="s">
        <v>48</v>
      </c>
      <c r="C278">
        <v>649163</v>
      </c>
      <c r="D278">
        <v>2023510923</v>
      </c>
      <c r="E278" t="s">
        <v>191</v>
      </c>
      <c r="F278" t="s">
        <v>192</v>
      </c>
      <c r="G278" t="s">
        <v>51</v>
      </c>
      <c r="H278" t="s">
        <v>189</v>
      </c>
      <c r="I278" t="s">
        <v>114</v>
      </c>
      <c r="J278" t="s">
        <v>576</v>
      </c>
      <c r="K278">
        <v>751867</v>
      </c>
      <c r="L278" t="s">
        <v>186</v>
      </c>
      <c r="M278" t="s">
        <v>90</v>
      </c>
      <c r="N278" t="s">
        <v>57</v>
      </c>
      <c r="O278" s="1">
        <v>45457</v>
      </c>
      <c r="Q278" s="1">
        <v>45975</v>
      </c>
      <c r="R278" s="2">
        <v>55.16</v>
      </c>
      <c r="S278">
        <v>1</v>
      </c>
      <c r="T278" t="s">
        <v>58</v>
      </c>
      <c r="U278" t="s">
        <v>180</v>
      </c>
      <c r="V278" s="3">
        <v>0.1</v>
      </c>
      <c r="W278" s="2">
        <v>0</v>
      </c>
      <c r="X278">
        <v>0</v>
      </c>
      <c r="Y278" t="s">
        <v>181</v>
      </c>
      <c r="Z278" t="s">
        <v>182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5.52</v>
      </c>
      <c r="AN278" s="2">
        <v>5.52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45943</v>
      </c>
      <c r="B279" t="s">
        <v>48</v>
      </c>
      <c r="C279">
        <v>649163</v>
      </c>
      <c r="D279">
        <v>2023845997</v>
      </c>
      <c r="E279" t="s">
        <v>347</v>
      </c>
      <c r="F279" t="s">
        <v>348</v>
      </c>
      <c r="G279" t="s">
        <v>51</v>
      </c>
      <c r="H279" t="s">
        <v>349</v>
      </c>
      <c r="I279" t="s">
        <v>114</v>
      </c>
      <c r="J279" t="s">
        <v>576</v>
      </c>
      <c r="K279">
        <v>751867</v>
      </c>
      <c r="L279" t="s">
        <v>186</v>
      </c>
      <c r="M279" t="s">
        <v>90</v>
      </c>
      <c r="N279" t="s">
        <v>57</v>
      </c>
      <c r="O279" s="1">
        <v>45505</v>
      </c>
      <c r="Q279" s="1">
        <v>45962</v>
      </c>
      <c r="R279" s="2">
        <v>31.64</v>
      </c>
      <c r="S279">
        <v>1</v>
      </c>
      <c r="T279" t="s">
        <v>58</v>
      </c>
      <c r="U279" t="s">
        <v>180</v>
      </c>
      <c r="V279" s="3">
        <v>0.1</v>
      </c>
      <c r="W279" s="2">
        <v>0</v>
      </c>
      <c r="X279">
        <v>0</v>
      </c>
      <c r="Y279" t="s">
        <v>181</v>
      </c>
      <c r="Z279" t="s">
        <v>182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3.16</v>
      </c>
      <c r="AN279" s="2">
        <v>3.16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45943</v>
      </c>
      <c r="B280" t="s">
        <v>48</v>
      </c>
      <c r="C280">
        <v>649163</v>
      </c>
      <c r="D280">
        <v>2023867555</v>
      </c>
      <c r="E280" t="s">
        <v>261</v>
      </c>
      <c r="F280" t="s">
        <v>351</v>
      </c>
      <c r="G280" t="s">
        <v>51</v>
      </c>
      <c r="H280" t="s">
        <v>189</v>
      </c>
      <c r="I280" t="s">
        <v>114</v>
      </c>
      <c r="J280" t="s">
        <v>576</v>
      </c>
      <c r="K280">
        <v>650218</v>
      </c>
      <c r="L280" t="s">
        <v>195</v>
      </c>
      <c r="M280" t="s">
        <v>196</v>
      </c>
      <c r="N280" t="s">
        <v>57</v>
      </c>
      <c r="O280" s="1">
        <v>45483</v>
      </c>
      <c r="Q280" s="1">
        <v>45971</v>
      </c>
      <c r="R280" s="2">
        <v>53.16</v>
      </c>
      <c r="S280">
        <v>1</v>
      </c>
      <c r="T280" t="s">
        <v>58</v>
      </c>
      <c r="U280" t="s">
        <v>180</v>
      </c>
      <c r="V280" s="3">
        <v>0.1</v>
      </c>
      <c r="W280" s="2">
        <v>0</v>
      </c>
      <c r="X280">
        <v>0</v>
      </c>
      <c r="Y280" t="s">
        <v>181</v>
      </c>
      <c r="Z280" t="s">
        <v>182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5.32</v>
      </c>
      <c r="AN280" s="2">
        <v>5.32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45943</v>
      </c>
      <c r="B281" t="s">
        <v>48</v>
      </c>
      <c r="C281">
        <v>649163</v>
      </c>
      <c r="D281">
        <v>2024382705</v>
      </c>
      <c r="E281" t="s">
        <v>193</v>
      </c>
      <c r="F281" t="s">
        <v>194</v>
      </c>
      <c r="G281" t="s">
        <v>51</v>
      </c>
      <c r="H281" t="s">
        <v>189</v>
      </c>
      <c r="I281" t="s">
        <v>114</v>
      </c>
      <c r="J281" t="s">
        <v>576</v>
      </c>
      <c r="K281">
        <v>650218</v>
      </c>
      <c r="L281" t="s">
        <v>195</v>
      </c>
      <c r="M281" t="s">
        <v>196</v>
      </c>
      <c r="N281" t="s">
        <v>57</v>
      </c>
      <c r="O281" s="1">
        <v>45519</v>
      </c>
      <c r="Q281" s="1">
        <v>45976</v>
      </c>
      <c r="R281" s="2">
        <v>27.15</v>
      </c>
      <c r="S281">
        <v>1</v>
      </c>
      <c r="T281" t="s">
        <v>58</v>
      </c>
      <c r="U281" t="s">
        <v>180</v>
      </c>
      <c r="V281" s="3">
        <v>0.1</v>
      </c>
      <c r="W281" s="2">
        <v>0</v>
      </c>
      <c r="X281">
        <v>0</v>
      </c>
      <c r="Y281" t="s">
        <v>181</v>
      </c>
      <c r="Z281" t="s">
        <v>182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2.72</v>
      </c>
      <c r="AN281" s="2">
        <v>2.72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45943</v>
      </c>
      <c r="B282" t="s">
        <v>48</v>
      </c>
      <c r="C282">
        <v>649163</v>
      </c>
      <c r="D282">
        <v>2024403625</v>
      </c>
      <c r="E282" t="s">
        <v>358</v>
      </c>
      <c r="F282" t="s">
        <v>359</v>
      </c>
      <c r="G282" t="s">
        <v>51</v>
      </c>
      <c r="H282" t="s">
        <v>185</v>
      </c>
      <c r="I282" t="s">
        <v>114</v>
      </c>
      <c r="J282" t="s">
        <v>576</v>
      </c>
      <c r="K282">
        <v>751867</v>
      </c>
      <c r="L282" t="s">
        <v>186</v>
      </c>
      <c r="M282" t="s">
        <v>90</v>
      </c>
      <c r="N282" t="s">
        <v>57</v>
      </c>
      <c r="O282" s="1">
        <v>45520</v>
      </c>
      <c r="Q282" s="1">
        <v>45977</v>
      </c>
      <c r="R282" s="2">
        <v>17.34</v>
      </c>
      <c r="S282">
        <v>1</v>
      </c>
      <c r="T282" t="s">
        <v>58</v>
      </c>
      <c r="U282" t="s">
        <v>180</v>
      </c>
      <c r="V282" s="3">
        <v>0.1</v>
      </c>
      <c r="W282" s="2">
        <v>0</v>
      </c>
      <c r="X282">
        <v>0</v>
      </c>
      <c r="Y282" t="s">
        <v>181</v>
      </c>
      <c r="Z282" t="s">
        <v>182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1.73</v>
      </c>
      <c r="AN282" s="2">
        <v>1.73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45943</v>
      </c>
      <c r="B283" t="s">
        <v>48</v>
      </c>
      <c r="C283">
        <v>649163</v>
      </c>
      <c r="D283">
        <v>2024407151</v>
      </c>
      <c r="E283" t="s">
        <v>197</v>
      </c>
      <c r="F283" t="s">
        <v>198</v>
      </c>
      <c r="G283" t="s">
        <v>51</v>
      </c>
      <c r="H283" t="s">
        <v>189</v>
      </c>
      <c r="I283" t="s">
        <v>114</v>
      </c>
      <c r="J283" t="s">
        <v>576</v>
      </c>
      <c r="K283">
        <v>650218</v>
      </c>
      <c r="L283" t="s">
        <v>195</v>
      </c>
      <c r="M283" t="s">
        <v>196</v>
      </c>
      <c r="N283" t="s">
        <v>57</v>
      </c>
      <c r="O283" s="1">
        <v>45520</v>
      </c>
      <c r="Q283" s="1">
        <v>45977</v>
      </c>
      <c r="R283" s="2">
        <v>21.97</v>
      </c>
      <c r="S283">
        <v>1</v>
      </c>
      <c r="T283" t="s">
        <v>58</v>
      </c>
      <c r="U283" t="s">
        <v>180</v>
      </c>
      <c r="V283" s="3">
        <v>0.1</v>
      </c>
      <c r="W283" s="2">
        <v>0</v>
      </c>
      <c r="X283">
        <v>0</v>
      </c>
      <c r="Y283" t="s">
        <v>181</v>
      </c>
      <c r="Z283" t="s">
        <v>182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2.2000000000000002</v>
      </c>
      <c r="AN283" s="2">
        <v>2.2000000000000002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45943</v>
      </c>
      <c r="B284" t="s">
        <v>48</v>
      </c>
      <c r="C284">
        <v>649163</v>
      </c>
      <c r="D284">
        <v>2024853074</v>
      </c>
      <c r="E284" t="s">
        <v>362</v>
      </c>
      <c r="F284" t="s">
        <v>363</v>
      </c>
      <c r="G284" t="s">
        <v>51</v>
      </c>
      <c r="H284" t="s">
        <v>225</v>
      </c>
      <c r="I284" t="s">
        <v>114</v>
      </c>
      <c r="J284" t="s">
        <v>576</v>
      </c>
      <c r="K284">
        <v>650218</v>
      </c>
      <c r="L284" t="s">
        <v>195</v>
      </c>
      <c r="M284" t="s">
        <v>196</v>
      </c>
      <c r="N284" t="s">
        <v>57</v>
      </c>
      <c r="O284" s="1">
        <v>45550</v>
      </c>
      <c r="Q284" s="1">
        <v>45976</v>
      </c>
      <c r="R284" s="2">
        <v>35.06</v>
      </c>
      <c r="S284">
        <v>1</v>
      </c>
      <c r="T284" t="s">
        <v>58</v>
      </c>
      <c r="U284" t="s">
        <v>180</v>
      </c>
      <c r="V284" s="3">
        <v>0.1</v>
      </c>
      <c r="W284" s="2">
        <v>0</v>
      </c>
      <c r="X284">
        <v>0</v>
      </c>
      <c r="Y284" t="s">
        <v>181</v>
      </c>
      <c r="Z284" t="s">
        <v>182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3.51</v>
      </c>
      <c r="AN284" s="2">
        <v>3.51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45943</v>
      </c>
      <c r="B285" t="s">
        <v>48</v>
      </c>
      <c r="C285">
        <v>649163</v>
      </c>
      <c r="D285">
        <v>2025271292</v>
      </c>
      <c r="E285" t="s">
        <v>577</v>
      </c>
      <c r="F285" t="s">
        <v>578</v>
      </c>
      <c r="G285" t="s">
        <v>51</v>
      </c>
      <c r="H285" t="s">
        <v>189</v>
      </c>
      <c r="I285" t="s">
        <v>114</v>
      </c>
      <c r="J285" t="s">
        <v>576</v>
      </c>
      <c r="K285">
        <v>650218</v>
      </c>
      <c r="L285" t="s">
        <v>195</v>
      </c>
      <c r="M285" t="s">
        <v>196</v>
      </c>
      <c r="N285" t="s">
        <v>57</v>
      </c>
      <c r="O285" s="1">
        <v>45577</v>
      </c>
      <c r="Q285" s="1">
        <v>45973</v>
      </c>
      <c r="R285" s="2">
        <v>89.62</v>
      </c>
      <c r="S285">
        <v>1</v>
      </c>
      <c r="T285" t="s">
        <v>58</v>
      </c>
      <c r="U285" t="s">
        <v>180</v>
      </c>
      <c r="V285" s="3">
        <v>0.1</v>
      </c>
      <c r="W285" s="2">
        <v>0</v>
      </c>
      <c r="X285">
        <v>0</v>
      </c>
      <c r="Y285" t="s">
        <v>181</v>
      </c>
      <c r="Z285" t="s">
        <v>182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8.9600000000000009</v>
      </c>
      <c r="AN285" s="2">
        <v>8.9600000000000009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45943</v>
      </c>
      <c r="B286" t="s">
        <v>48</v>
      </c>
      <c r="C286">
        <v>649163</v>
      </c>
      <c r="D286">
        <v>2025724075</v>
      </c>
      <c r="E286" t="s">
        <v>579</v>
      </c>
      <c r="F286" t="s">
        <v>159</v>
      </c>
      <c r="G286" t="s">
        <v>51</v>
      </c>
      <c r="H286" t="s">
        <v>189</v>
      </c>
      <c r="I286" t="s">
        <v>114</v>
      </c>
      <c r="J286" t="s">
        <v>576</v>
      </c>
      <c r="K286">
        <v>650218</v>
      </c>
      <c r="L286" t="s">
        <v>195</v>
      </c>
      <c r="M286" t="s">
        <v>196</v>
      </c>
      <c r="N286" t="s">
        <v>57</v>
      </c>
      <c r="O286" s="1">
        <v>45608</v>
      </c>
      <c r="Q286" s="1">
        <v>45973</v>
      </c>
      <c r="R286" s="2">
        <v>53.16</v>
      </c>
      <c r="S286">
        <v>1</v>
      </c>
      <c r="T286" t="s">
        <v>58</v>
      </c>
      <c r="U286" t="s">
        <v>180</v>
      </c>
      <c r="V286" s="3">
        <v>0.38</v>
      </c>
      <c r="W286" s="2">
        <v>0</v>
      </c>
      <c r="X286">
        <v>0</v>
      </c>
      <c r="Y286" t="s">
        <v>60</v>
      </c>
      <c r="Z286" t="s">
        <v>182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20.2</v>
      </c>
      <c r="AN286" s="2">
        <v>20.2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45943</v>
      </c>
      <c r="B287" t="s">
        <v>48</v>
      </c>
      <c r="C287">
        <v>649163</v>
      </c>
      <c r="D287">
        <v>2025727307</v>
      </c>
      <c r="E287" t="s">
        <v>240</v>
      </c>
      <c r="F287" t="s">
        <v>241</v>
      </c>
      <c r="G287" t="s">
        <v>51</v>
      </c>
      <c r="H287" t="s">
        <v>69</v>
      </c>
      <c r="I287" t="s">
        <v>114</v>
      </c>
      <c r="J287" t="s">
        <v>576</v>
      </c>
      <c r="K287">
        <v>796984</v>
      </c>
      <c r="L287" t="s">
        <v>234</v>
      </c>
      <c r="M287" t="s">
        <v>122</v>
      </c>
      <c r="N287" t="s">
        <v>57</v>
      </c>
      <c r="O287" s="1">
        <v>45608</v>
      </c>
      <c r="Q287" s="1">
        <v>45973</v>
      </c>
      <c r="R287" s="2">
        <v>53.62</v>
      </c>
      <c r="S287">
        <v>1</v>
      </c>
      <c r="T287" t="s">
        <v>58</v>
      </c>
      <c r="U287" t="s">
        <v>180</v>
      </c>
      <c r="V287" s="3">
        <v>0.38</v>
      </c>
      <c r="W287" s="2">
        <v>0</v>
      </c>
      <c r="X287">
        <v>0</v>
      </c>
      <c r="Y287" t="s">
        <v>60</v>
      </c>
      <c r="Z287" t="s">
        <v>182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20.38</v>
      </c>
      <c r="AN287" s="2">
        <v>20.38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45943</v>
      </c>
      <c r="B288" t="s">
        <v>48</v>
      </c>
      <c r="C288">
        <v>649163</v>
      </c>
      <c r="D288">
        <v>2025729949</v>
      </c>
      <c r="E288" t="s">
        <v>580</v>
      </c>
      <c r="F288" t="s">
        <v>122</v>
      </c>
      <c r="G288" t="s">
        <v>51</v>
      </c>
      <c r="H288" t="s">
        <v>189</v>
      </c>
      <c r="I288" t="s">
        <v>114</v>
      </c>
      <c r="J288" t="s">
        <v>576</v>
      </c>
      <c r="K288">
        <v>650218</v>
      </c>
      <c r="L288" t="s">
        <v>195</v>
      </c>
      <c r="M288" t="s">
        <v>196</v>
      </c>
      <c r="N288" t="s">
        <v>57</v>
      </c>
      <c r="O288" s="1">
        <v>45609</v>
      </c>
      <c r="Q288" s="1">
        <v>45974</v>
      </c>
      <c r="R288" s="2">
        <v>53.16</v>
      </c>
      <c r="S288">
        <v>1</v>
      </c>
      <c r="T288" t="s">
        <v>58</v>
      </c>
      <c r="U288" t="s">
        <v>180</v>
      </c>
      <c r="V288" s="3">
        <v>0.38</v>
      </c>
      <c r="W288" s="2">
        <v>0</v>
      </c>
      <c r="X288">
        <v>0</v>
      </c>
      <c r="Y288" t="s">
        <v>60</v>
      </c>
      <c r="Z288" t="s">
        <v>182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20.2</v>
      </c>
      <c r="AN288" s="2">
        <v>20.2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45943</v>
      </c>
      <c r="B289" t="s">
        <v>48</v>
      </c>
      <c r="C289">
        <v>649163</v>
      </c>
      <c r="D289">
        <v>2025737164</v>
      </c>
      <c r="E289" t="s">
        <v>364</v>
      </c>
      <c r="F289" t="s">
        <v>165</v>
      </c>
      <c r="G289" t="s">
        <v>51</v>
      </c>
      <c r="H289" t="s">
        <v>312</v>
      </c>
      <c r="I289" t="s">
        <v>114</v>
      </c>
      <c r="J289" t="s">
        <v>576</v>
      </c>
      <c r="K289">
        <v>650218</v>
      </c>
      <c r="L289" t="s">
        <v>195</v>
      </c>
      <c r="M289" t="s">
        <v>196</v>
      </c>
      <c r="N289" t="s">
        <v>57</v>
      </c>
      <c r="O289" s="1">
        <v>45609</v>
      </c>
      <c r="Q289" s="1">
        <v>45974</v>
      </c>
      <c r="R289" s="2">
        <v>26.7</v>
      </c>
      <c r="S289">
        <v>1</v>
      </c>
      <c r="T289" t="s">
        <v>58</v>
      </c>
      <c r="U289" t="s">
        <v>180</v>
      </c>
      <c r="V289" s="3">
        <v>0.38</v>
      </c>
      <c r="W289" s="2">
        <v>0</v>
      </c>
      <c r="X289">
        <v>0</v>
      </c>
      <c r="Y289" t="s">
        <v>60</v>
      </c>
      <c r="Z289" t="s">
        <v>182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10.15</v>
      </c>
      <c r="AN289" s="2">
        <v>10.15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45943</v>
      </c>
      <c r="B290" t="s">
        <v>48</v>
      </c>
      <c r="C290">
        <v>649163</v>
      </c>
      <c r="D290">
        <v>2025756062</v>
      </c>
      <c r="E290" t="s">
        <v>201</v>
      </c>
      <c r="F290" t="s">
        <v>202</v>
      </c>
      <c r="G290" t="s">
        <v>51</v>
      </c>
      <c r="H290" t="s">
        <v>189</v>
      </c>
      <c r="I290" t="s">
        <v>114</v>
      </c>
      <c r="J290" t="s">
        <v>576</v>
      </c>
      <c r="K290">
        <v>650218</v>
      </c>
      <c r="L290" t="s">
        <v>195</v>
      </c>
      <c r="M290" t="s">
        <v>196</v>
      </c>
      <c r="N290" t="s">
        <v>57</v>
      </c>
      <c r="O290" s="1">
        <v>45610</v>
      </c>
      <c r="Q290" s="1">
        <v>45975</v>
      </c>
      <c r="R290" s="2">
        <v>33.51</v>
      </c>
      <c r="S290">
        <v>1</v>
      </c>
      <c r="T290" t="s">
        <v>58</v>
      </c>
      <c r="U290" t="s">
        <v>180</v>
      </c>
      <c r="V290" s="3">
        <v>0.38</v>
      </c>
      <c r="W290" s="2">
        <v>0</v>
      </c>
      <c r="X290">
        <v>0</v>
      </c>
      <c r="Y290" t="s">
        <v>60</v>
      </c>
      <c r="Z290" t="s">
        <v>182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12.73</v>
      </c>
      <c r="AN290" s="2">
        <v>12.73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45943</v>
      </c>
      <c r="B291" t="s">
        <v>48</v>
      </c>
      <c r="C291">
        <v>649163</v>
      </c>
      <c r="D291">
        <v>2025769234</v>
      </c>
      <c r="E291" t="s">
        <v>203</v>
      </c>
      <c r="F291" t="s">
        <v>204</v>
      </c>
      <c r="G291" t="s">
        <v>51</v>
      </c>
      <c r="H291" t="s">
        <v>189</v>
      </c>
      <c r="I291" t="s">
        <v>114</v>
      </c>
      <c r="J291" t="s">
        <v>576</v>
      </c>
      <c r="K291">
        <v>650218</v>
      </c>
      <c r="L291" t="s">
        <v>195</v>
      </c>
      <c r="M291" t="s">
        <v>196</v>
      </c>
      <c r="N291" t="s">
        <v>57</v>
      </c>
      <c r="O291" s="1">
        <v>45611</v>
      </c>
      <c r="Q291" s="1">
        <v>45976</v>
      </c>
      <c r="R291" s="2">
        <v>27.15</v>
      </c>
      <c r="S291">
        <v>1</v>
      </c>
      <c r="T291" t="s">
        <v>58</v>
      </c>
      <c r="U291" t="s">
        <v>180</v>
      </c>
      <c r="V291" s="3">
        <v>0.38</v>
      </c>
      <c r="W291" s="2">
        <v>0</v>
      </c>
      <c r="X291">
        <v>0</v>
      </c>
      <c r="Y291" t="s">
        <v>60</v>
      </c>
      <c r="Z291" t="s">
        <v>182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10.32</v>
      </c>
      <c r="AN291" s="2">
        <v>10.32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45943</v>
      </c>
      <c r="B292" t="s">
        <v>48</v>
      </c>
      <c r="C292">
        <v>649163</v>
      </c>
      <c r="D292">
        <v>2026061219</v>
      </c>
      <c r="E292" t="s">
        <v>242</v>
      </c>
      <c r="F292" t="s">
        <v>209</v>
      </c>
      <c r="G292" t="s">
        <v>51</v>
      </c>
      <c r="H292" t="s">
        <v>69</v>
      </c>
      <c r="I292" t="s">
        <v>114</v>
      </c>
      <c r="J292" t="s">
        <v>576</v>
      </c>
      <c r="K292">
        <v>796984</v>
      </c>
      <c r="L292" t="s">
        <v>234</v>
      </c>
      <c r="M292" t="s">
        <v>122</v>
      </c>
      <c r="N292" t="s">
        <v>57</v>
      </c>
      <c r="O292" s="1">
        <v>45641</v>
      </c>
      <c r="Q292" s="1">
        <v>45976</v>
      </c>
      <c r="R292" s="2">
        <v>33.31</v>
      </c>
      <c r="S292">
        <v>1</v>
      </c>
      <c r="T292" t="s">
        <v>58</v>
      </c>
      <c r="U292" t="s">
        <v>180</v>
      </c>
      <c r="V292" s="3">
        <v>0.38</v>
      </c>
      <c r="W292" s="2">
        <v>0</v>
      </c>
      <c r="X292">
        <v>0</v>
      </c>
      <c r="Y292" t="s">
        <v>60</v>
      </c>
      <c r="Z292" t="s">
        <v>182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12.66</v>
      </c>
      <c r="AN292" s="2">
        <v>12.66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45943</v>
      </c>
      <c r="B293" t="s">
        <v>48</v>
      </c>
      <c r="C293">
        <v>649163</v>
      </c>
      <c r="D293">
        <v>2026586622</v>
      </c>
      <c r="E293" t="s">
        <v>365</v>
      </c>
      <c r="F293" t="s">
        <v>366</v>
      </c>
      <c r="G293" t="s">
        <v>51</v>
      </c>
      <c r="H293" t="s">
        <v>214</v>
      </c>
      <c r="I293" t="s">
        <v>114</v>
      </c>
      <c r="J293" t="s">
        <v>576</v>
      </c>
      <c r="K293">
        <v>756418</v>
      </c>
      <c r="L293" t="s">
        <v>216</v>
      </c>
      <c r="M293" t="s">
        <v>217</v>
      </c>
      <c r="N293" t="s">
        <v>57</v>
      </c>
      <c r="O293" s="1">
        <v>45672</v>
      </c>
      <c r="Q293" s="1">
        <v>45976</v>
      </c>
      <c r="R293" s="2">
        <v>13.38</v>
      </c>
      <c r="S293">
        <v>1</v>
      </c>
      <c r="T293" t="s">
        <v>58</v>
      </c>
      <c r="U293" t="s">
        <v>180</v>
      </c>
      <c r="V293" s="3">
        <v>0.38</v>
      </c>
      <c r="W293" s="2">
        <v>0</v>
      </c>
      <c r="X293">
        <v>0</v>
      </c>
      <c r="Y293" t="s">
        <v>60</v>
      </c>
      <c r="Z293" t="s">
        <v>182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5.08</v>
      </c>
      <c r="AN293" s="2">
        <v>5.08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45943</v>
      </c>
      <c r="B294" t="s">
        <v>48</v>
      </c>
      <c r="C294">
        <v>649163</v>
      </c>
      <c r="D294">
        <v>2026603199</v>
      </c>
      <c r="E294" t="s">
        <v>206</v>
      </c>
      <c r="F294" t="s">
        <v>207</v>
      </c>
      <c r="G294" t="s">
        <v>51</v>
      </c>
      <c r="H294" t="s">
        <v>189</v>
      </c>
      <c r="I294" t="s">
        <v>114</v>
      </c>
      <c r="J294" t="s">
        <v>576</v>
      </c>
      <c r="K294">
        <v>751867</v>
      </c>
      <c r="L294" t="s">
        <v>186</v>
      </c>
      <c r="M294" t="s">
        <v>90</v>
      </c>
      <c r="N294" t="s">
        <v>57</v>
      </c>
      <c r="O294" s="1">
        <v>45673</v>
      </c>
      <c r="Q294" s="1">
        <v>45977</v>
      </c>
      <c r="R294" s="2">
        <v>33.51</v>
      </c>
      <c r="S294">
        <v>1</v>
      </c>
      <c r="T294" t="s">
        <v>58</v>
      </c>
      <c r="U294" t="s">
        <v>180</v>
      </c>
      <c r="V294" s="3">
        <v>0.38</v>
      </c>
      <c r="W294" s="2">
        <v>0</v>
      </c>
      <c r="X294">
        <v>0</v>
      </c>
      <c r="Y294" t="s">
        <v>60</v>
      </c>
      <c r="Z294" t="s">
        <v>182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12.73</v>
      </c>
      <c r="AN294" s="2">
        <v>12.73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45943</v>
      </c>
      <c r="B295" t="s">
        <v>48</v>
      </c>
      <c r="C295">
        <v>649163</v>
      </c>
      <c r="D295">
        <v>2027038279</v>
      </c>
      <c r="E295" t="s">
        <v>252</v>
      </c>
      <c r="F295" t="s">
        <v>253</v>
      </c>
      <c r="G295" t="s">
        <v>51</v>
      </c>
      <c r="H295" t="s">
        <v>69</v>
      </c>
      <c r="I295" t="s">
        <v>114</v>
      </c>
      <c r="J295" t="s">
        <v>576</v>
      </c>
      <c r="K295">
        <v>816021</v>
      </c>
      <c r="L295" t="s">
        <v>71</v>
      </c>
      <c r="M295" t="s">
        <v>72</v>
      </c>
      <c r="N295" t="s">
        <v>57</v>
      </c>
      <c r="O295" s="1">
        <v>45699</v>
      </c>
      <c r="Q295" s="1">
        <v>45972</v>
      </c>
      <c r="R295" s="2">
        <v>40.270000000000003</v>
      </c>
      <c r="S295">
        <v>1</v>
      </c>
      <c r="T295" t="s">
        <v>58</v>
      </c>
      <c r="U295" t="s">
        <v>180</v>
      </c>
      <c r="V295" s="3">
        <v>0.38</v>
      </c>
      <c r="W295" s="2">
        <v>0</v>
      </c>
      <c r="X295">
        <v>0</v>
      </c>
      <c r="Y295" t="s">
        <v>60</v>
      </c>
      <c r="Z295" t="s">
        <v>182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15.3</v>
      </c>
      <c r="AN295" s="2">
        <v>15.3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45943</v>
      </c>
      <c r="B296" t="s">
        <v>48</v>
      </c>
      <c r="C296">
        <v>649163</v>
      </c>
      <c r="D296">
        <v>2027070511</v>
      </c>
      <c r="E296" t="s">
        <v>212</v>
      </c>
      <c r="F296" t="s">
        <v>213</v>
      </c>
      <c r="G296" t="s">
        <v>51</v>
      </c>
      <c r="H296" t="s">
        <v>214</v>
      </c>
      <c r="I296" t="s">
        <v>114</v>
      </c>
      <c r="J296" t="s">
        <v>576</v>
      </c>
      <c r="K296">
        <v>756418</v>
      </c>
      <c r="L296" t="s">
        <v>216</v>
      </c>
      <c r="M296" t="s">
        <v>217</v>
      </c>
      <c r="N296" t="s">
        <v>57</v>
      </c>
      <c r="O296" s="1">
        <v>45700</v>
      </c>
      <c r="Q296" s="1">
        <v>45973</v>
      </c>
      <c r="R296" s="2">
        <v>9.5500000000000007</v>
      </c>
      <c r="S296">
        <v>1</v>
      </c>
      <c r="T296" t="s">
        <v>58</v>
      </c>
      <c r="U296" t="s">
        <v>180</v>
      </c>
      <c r="V296" s="3">
        <v>0.38</v>
      </c>
      <c r="W296" s="2">
        <v>0</v>
      </c>
      <c r="X296">
        <v>0</v>
      </c>
      <c r="Y296" t="s">
        <v>60</v>
      </c>
      <c r="Z296" t="s">
        <v>182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3.63</v>
      </c>
      <c r="AN296" s="2">
        <v>3.63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45943</v>
      </c>
      <c r="B297" t="s">
        <v>48</v>
      </c>
      <c r="C297">
        <v>649163</v>
      </c>
      <c r="D297">
        <v>2027849973</v>
      </c>
      <c r="E297" t="s">
        <v>370</v>
      </c>
      <c r="F297" t="s">
        <v>371</v>
      </c>
      <c r="G297" t="s">
        <v>51</v>
      </c>
      <c r="H297" t="s">
        <v>372</v>
      </c>
      <c r="I297" t="s">
        <v>114</v>
      </c>
      <c r="J297" t="s">
        <v>576</v>
      </c>
      <c r="K297">
        <v>650218</v>
      </c>
      <c r="L297" t="s">
        <v>195</v>
      </c>
      <c r="M297" t="s">
        <v>196</v>
      </c>
      <c r="N297" t="s">
        <v>57</v>
      </c>
      <c r="O297" s="1">
        <v>45733</v>
      </c>
      <c r="Q297" s="1">
        <v>45978</v>
      </c>
      <c r="R297" s="2">
        <v>48.95</v>
      </c>
      <c r="S297">
        <v>1</v>
      </c>
      <c r="T297" t="s">
        <v>58</v>
      </c>
      <c r="U297" t="s">
        <v>180</v>
      </c>
      <c r="V297" s="3">
        <v>0.38</v>
      </c>
      <c r="W297" s="2">
        <v>0</v>
      </c>
      <c r="X297">
        <v>0</v>
      </c>
      <c r="Y297" t="s">
        <v>60</v>
      </c>
      <c r="Z297" t="s">
        <v>182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18.600000000000001</v>
      </c>
      <c r="AN297" s="2">
        <v>18.600000000000001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45943</v>
      </c>
      <c r="B298" t="s">
        <v>48</v>
      </c>
      <c r="C298">
        <v>649163</v>
      </c>
      <c r="D298">
        <v>2028367118</v>
      </c>
      <c r="E298" t="s">
        <v>262</v>
      </c>
      <c r="F298" t="s">
        <v>263</v>
      </c>
      <c r="G298" t="s">
        <v>51</v>
      </c>
      <c r="H298" t="s">
        <v>52</v>
      </c>
      <c r="I298" t="s">
        <v>114</v>
      </c>
      <c r="J298" t="s">
        <v>115</v>
      </c>
      <c r="K298">
        <v>673059</v>
      </c>
      <c r="L298" t="s">
        <v>55</v>
      </c>
      <c r="M298" t="s">
        <v>56</v>
      </c>
      <c r="N298" t="s">
        <v>57</v>
      </c>
      <c r="O298" s="1">
        <v>45759</v>
      </c>
      <c r="Q298" s="1">
        <v>45973</v>
      </c>
      <c r="R298" s="2">
        <v>181.4</v>
      </c>
      <c r="S298">
        <v>1</v>
      </c>
      <c r="T298" t="s">
        <v>58</v>
      </c>
      <c r="U298" t="s">
        <v>180</v>
      </c>
      <c r="V298" s="3">
        <v>0.38</v>
      </c>
      <c r="W298" s="2">
        <v>0</v>
      </c>
      <c r="X298">
        <v>0</v>
      </c>
      <c r="Y298" t="s">
        <v>60</v>
      </c>
      <c r="Z298" t="s">
        <v>182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68.930000000000007</v>
      </c>
      <c r="AN298" s="2">
        <v>68.930000000000007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45943</v>
      </c>
      <c r="B299" t="s">
        <v>48</v>
      </c>
      <c r="C299">
        <v>649163</v>
      </c>
      <c r="D299">
        <v>2028367119</v>
      </c>
      <c r="E299" t="s">
        <v>262</v>
      </c>
      <c r="F299" t="s">
        <v>263</v>
      </c>
      <c r="G299" t="s">
        <v>51</v>
      </c>
      <c r="H299" t="s">
        <v>52</v>
      </c>
      <c r="I299" t="s">
        <v>114</v>
      </c>
      <c r="J299" t="s">
        <v>581</v>
      </c>
      <c r="K299">
        <v>673059</v>
      </c>
      <c r="L299" t="s">
        <v>55</v>
      </c>
      <c r="M299" t="s">
        <v>56</v>
      </c>
      <c r="N299" t="s">
        <v>57</v>
      </c>
      <c r="O299" s="1">
        <v>45759</v>
      </c>
      <c r="Q299" s="1">
        <v>45973</v>
      </c>
      <c r="R299" s="2">
        <v>7.09</v>
      </c>
      <c r="S299">
        <v>1</v>
      </c>
      <c r="T299" t="s">
        <v>58</v>
      </c>
      <c r="U299" t="s">
        <v>180</v>
      </c>
      <c r="V299" s="3">
        <v>0.38</v>
      </c>
      <c r="W299" s="2">
        <v>0</v>
      </c>
      <c r="X299">
        <v>0</v>
      </c>
      <c r="Y299" t="s">
        <v>60</v>
      </c>
      <c r="Z299" t="s">
        <v>182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2.69</v>
      </c>
      <c r="AN299" s="2">
        <v>2.69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45943</v>
      </c>
      <c r="B300" t="s">
        <v>48</v>
      </c>
      <c r="C300">
        <v>649163</v>
      </c>
      <c r="D300">
        <v>2028958356</v>
      </c>
      <c r="E300" t="s">
        <v>275</v>
      </c>
      <c r="F300" t="s">
        <v>276</v>
      </c>
      <c r="G300" t="s">
        <v>51</v>
      </c>
      <c r="H300" t="s">
        <v>78</v>
      </c>
      <c r="I300" t="s">
        <v>114</v>
      </c>
      <c r="J300" t="s">
        <v>582</v>
      </c>
      <c r="K300">
        <v>673059</v>
      </c>
      <c r="L300" t="s">
        <v>55</v>
      </c>
      <c r="M300" t="s">
        <v>56</v>
      </c>
      <c r="N300" t="s">
        <v>57</v>
      </c>
      <c r="O300" s="1">
        <v>45793</v>
      </c>
      <c r="Q300" s="1">
        <v>45977</v>
      </c>
      <c r="R300" s="2">
        <v>100.48</v>
      </c>
      <c r="S300">
        <v>1</v>
      </c>
      <c r="T300" t="s">
        <v>58</v>
      </c>
      <c r="U300" t="s">
        <v>180</v>
      </c>
      <c r="V300" s="3">
        <v>0.19</v>
      </c>
      <c r="W300" s="2">
        <v>0</v>
      </c>
      <c r="X300">
        <v>0</v>
      </c>
      <c r="Y300" t="s">
        <v>60</v>
      </c>
      <c r="Z300" t="s">
        <v>182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19.09</v>
      </c>
      <c r="AN300" s="2">
        <v>19.09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45943</v>
      </c>
      <c r="B301" t="s">
        <v>48</v>
      </c>
      <c r="C301">
        <v>649163</v>
      </c>
      <c r="D301">
        <v>2029177107</v>
      </c>
      <c r="E301" t="s">
        <v>282</v>
      </c>
      <c r="F301" t="s">
        <v>283</v>
      </c>
      <c r="G301" t="s">
        <v>51</v>
      </c>
      <c r="H301" t="s">
        <v>78</v>
      </c>
      <c r="I301" t="s">
        <v>114</v>
      </c>
      <c r="J301" t="s">
        <v>576</v>
      </c>
      <c r="K301">
        <v>820873</v>
      </c>
      <c r="L301" t="s">
        <v>284</v>
      </c>
      <c r="M301" t="s">
        <v>285</v>
      </c>
      <c r="N301" t="s">
        <v>179</v>
      </c>
      <c r="O301" s="1">
        <v>45809</v>
      </c>
      <c r="P301" s="1">
        <v>45943</v>
      </c>
      <c r="Q301" s="1">
        <v>45962</v>
      </c>
      <c r="R301" s="2">
        <v>-19.510000000000002</v>
      </c>
      <c r="S301">
        <v>1</v>
      </c>
      <c r="T301" t="s">
        <v>58</v>
      </c>
      <c r="U301" t="s">
        <v>180</v>
      </c>
      <c r="V301" s="3">
        <v>0.38</v>
      </c>
      <c r="W301" s="2">
        <v>0</v>
      </c>
      <c r="X301">
        <v>-1</v>
      </c>
      <c r="Y301" t="s">
        <v>60</v>
      </c>
      <c r="Z301" t="s">
        <v>182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-7.41</v>
      </c>
      <c r="AN301" s="2">
        <v>-7.41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45943</v>
      </c>
      <c r="B302" t="s">
        <v>48</v>
      </c>
      <c r="C302">
        <v>649163</v>
      </c>
      <c r="D302">
        <v>2029177107</v>
      </c>
      <c r="E302" t="s">
        <v>282</v>
      </c>
      <c r="F302" t="s">
        <v>283</v>
      </c>
      <c r="G302" t="s">
        <v>51</v>
      </c>
      <c r="H302" t="s">
        <v>78</v>
      </c>
      <c r="I302" t="s">
        <v>114</v>
      </c>
      <c r="J302" t="s">
        <v>576</v>
      </c>
      <c r="K302">
        <v>820873</v>
      </c>
      <c r="L302" t="s">
        <v>284</v>
      </c>
      <c r="M302" t="s">
        <v>285</v>
      </c>
      <c r="N302" t="s">
        <v>179</v>
      </c>
      <c r="O302" s="1">
        <v>45809</v>
      </c>
      <c r="P302" s="1">
        <v>45943</v>
      </c>
      <c r="Q302" s="1">
        <v>45962</v>
      </c>
      <c r="R302" s="2">
        <v>-19.510000000000002</v>
      </c>
      <c r="S302">
        <v>1</v>
      </c>
      <c r="T302" t="s">
        <v>58</v>
      </c>
      <c r="U302" t="s">
        <v>180</v>
      </c>
      <c r="V302" s="3">
        <v>0.38</v>
      </c>
      <c r="W302" s="2">
        <v>0</v>
      </c>
      <c r="X302">
        <v>-1</v>
      </c>
      <c r="Y302" t="s">
        <v>60</v>
      </c>
      <c r="Z302" t="s">
        <v>182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-7.41</v>
      </c>
      <c r="AN302" s="2">
        <v>-7.41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45943</v>
      </c>
      <c r="B303" t="s">
        <v>48</v>
      </c>
      <c r="C303">
        <v>649163</v>
      </c>
      <c r="D303">
        <v>2029486075</v>
      </c>
      <c r="E303" t="s">
        <v>376</v>
      </c>
      <c r="F303" t="s">
        <v>377</v>
      </c>
      <c r="G303" t="s">
        <v>51</v>
      </c>
      <c r="H303" t="s">
        <v>78</v>
      </c>
      <c r="I303" t="s">
        <v>114</v>
      </c>
      <c r="J303" t="s">
        <v>115</v>
      </c>
      <c r="K303">
        <v>824062</v>
      </c>
      <c r="L303" t="s">
        <v>126</v>
      </c>
      <c r="M303" t="s">
        <v>127</v>
      </c>
      <c r="N303" t="s">
        <v>57</v>
      </c>
      <c r="O303" s="1">
        <v>45825</v>
      </c>
      <c r="Q303" s="1">
        <v>45978</v>
      </c>
      <c r="R303" s="2">
        <v>139</v>
      </c>
      <c r="S303">
        <v>1</v>
      </c>
      <c r="T303" t="s">
        <v>58</v>
      </c>
      <c r="U303" t="s">
        <v>180</v>
      </c>
      <c r="V303" s="3">
        <v>0.38</v>
      </c>
      <c r="W303" s="2">
        <v>0</v>
      </c>
      <c r="X303">
        <v>0</v>
      </c>
      <c r="Y303" t="s">
        <v>60</v>
      </c>
      <c r="Z303" t="s">
        <v>182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52.82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45943</v>
      </c>
      <c r="B304" t="s">
        <v>48</v>
      </c>
      <c r="C304">
        <v>649163</v>
      </c>
      <c r="D304">
        <v>2029486076</v>
      </c>
      <c r="E304" t="s">
        <v>376</v>
      </c>
      <c r="F304" t="s">
        <v>377</v>
      </c>
      <c r="G304" t="s">
        <v>51</v>
      </c>
      <c r="H304" t="s">
        <v>78</v>
      </c>
      <c r="I304" t="s">
        <v>114</v>
      </c>
      <c r="J304" t="s">
        <v>581</v>
      </c>
      <c r="K304">
        <v>824062</v>
      </c>
      <c r="L304" t="s">
        <v>126</v>
      </c>
      <c r="M304" t="s">
        <v>127</v>
      </c>
      <c r="N304" t="s">
        <v>57</v>
      </c>
      <c r="O304" s="1">
        <v>45825</v>
      </c>
      <c r="Q304" s="1">
        <v>45978</v>
      </c>
      <c r="R304" s="2">
        <v>7.09</v>
      </c>
      <c r="S304">
        <v>1</v>
      </c>
      <c r="T304" t="s">
        <v>58</v>
      </c>
      <c r="U304" t="s">
        <v>180</v>
      </c>
      <c r="V304" s="3">
        <v>0.38</v>
      </c>
      <c r="W304" s="2">
        <v>0</v>
      </c>
      <c r="X304">
        <v>0</v>
      </c>
      <c r="Y304" t="s">
        <v>60</v>
      </c>
      <c r="Z304" t="s">
        <v>182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2.69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45943</v>
      </c>
      <c r="B305" t="s">
        <v>48</v>
      </c>
      <c r="C305">
        <v>649163</v>
      </c>
      <c r="D305">
        <v>2029844784</v>
      </c>
      <c r="E305" t="s">
        <v>227</v>
      </c>
      <c r="F305" t="s">
        <v>378</v>
      </c>
      <c r="G305" t="s">
        <v>51</v>
      </c>
      <c r="H305" t="s">
        <v>78</v>
      </c>
      <c r="I305" t="s">
        <v>114</v>
      </c>
      <c r="J305" t="s">
        <v>115</v>
      </c>
      <c r="K305">
        <v>768887</v>
      </c>
      <c r="L305" t="s">
        <v>139</v>
      </c>
      <c r="M305" t="s">
        <v>140</v>
      </c>
      <c r="N305" t="s">
        <v>57</v>
      </c>
      <c r="O305" s="1">
        <v>45849</v>
      </c>
      <c r="Q305" s="1">
        <v>45972</v>
      </c>
      <c r="R305" s="2">
        <v>455.99</v>
      </c>
      <c r="S305">
        <v>1</v>
      </c>
      <c r="T305" t="s">
        <v>58</v>
      </c>
      <c r="U305" t="s">
        <v>180</v>
      </c>
      <c r="V305" s="3">
        <v>0.38</v>
      </c>
      <c r="W305" s="2">
        <v>0</v>
      </c>
      <c r="X305">
        <v>0</v>
      </c>
      <c r="Y305" t="s">
        <v>60</v>
      </c>
      <c r="Z305" t="s">
        <v>182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173.28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45943</v>
      </c>
      <c r="B306" t="s">
        <v>48</v>
      </c>
      <c r="C306">
        <v>649163</v>
      </c>
      <c r="D306">
        <v>2029844785</v>
      </c>
      <c r="E306" t="s">
        <v>227</v>
      </c>
      <c r="F306" t="s">
        <v>378</v>
      </c>
      <c r="G306" t="s">
        <v>51</v>
      </c>
      <c r="H306" t="s">
        <v>78</v>
      </c>
      <c r="I306" t="s">
        <v>114</v>
      </c>
      <c r="J306" t="s">
        <v>581</v>
      </c>
      <c r="K306">
        <v>768887</v>
      </c>
      <c r="L306" t="s">
        <v>139</v>
      </c>
      <c r="M306" t="s">
        <v>140</v>
      </c>
      <c r="N306" t="s">
        <v>57</v>
      </c>
      <c r="O306" s="1">
        <v>45849</v>
      </c>
      <c r="Q306" s="1">
        <v>45972</v>
      </c>
      <c r="R306" s="2">
        <v>7.09</v>
      </c>
      <c r="S306">
        <v>1</v>
      </c>
      <c r="T306" t="s">
        <v>58</v>
      </c>
      <c r="U306" t="s">
        <v>180</v>
      </c>
      <c r="V306" s="3">
        <v>0.38</v>
      </c>
      <c r="W306" s="2">
        <v>0</v>
      </c>
      <c r="X306">
        <v>0</v>
      </c>
      <c r="Y306" t="s">
        <v>60</v>
      </c>
      <c r="Z306" t="s">
        <v>182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2.69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45943</v>
      </c>
      <c r="B307" t="s">
        <v>48</v>
      </c>
      <c r="C307">
        <v>649163</v>
      </c>
      <c r="D307">
        <v>2029955374</v>
      </c>
      <c r="E307" t="s">
        <v>302</v>
      </c>
      <c r="F307" t="s">
        <v>278</v>
      </c>
      <c r="G307" t="s">
        <v>51</v>
      </c>
      <c r="H307" t="s">
        <v>69</v>
      </c>
      <c r="I307" t="s">
        <v>114</v>
      </c>
      <c r="J307" t="s">
        <v>576</v>
      </c>
      <c r="K307">
        <v>824082</v>
      </c>
      <c r="L307" t="s">
        <v>303</v>
      </c>
      <c r="M307" t="s">
        <v>304</v>
      </c>
      <c r="N307" t="s">
        <v>57</v>
      </c>
      <c r="O307" s="1">
        <v>45853</v>
      </c>
      <c r="Q307" s="1">
        <v>45976</v>
      </c>
      <c r="R307" s="2">
        <v>33.31</v>
      </c>
      <c r="S307">
        <v>1</v>
      </c>
      <c r="T307" t="s">
        <v>58</v>
      </c>
      <c r="U307" t="s">
        <v>180</v>
      </c>
      <c r="V307" s="3">
        <v>0.38</v>
      </c>
      <c r="W307" s="2">
        <v>0</v>
      </c>
      <c r="X307">
        <v>0</v>
      </c>
      <c r="Y307" t="s">
        <v>60</v>
      </c>
      <c r="Z307" t="s">
        <v>182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12.66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45943</v>
      </c>
      <c r="B308" t="s">
        <v>48</v>
      </c>
      <c r="C308">
        <v>649163</v>
      </c>
      <c r="D308">
        <v>2029969179</v>
      </c>
      <c r="E308" t="s">
        <v>583</v>
      </c>
      <c r="F308" t="s">
        <v>584</v>
      </c>
      <c r="G308" t="s">
        <v>51</v>
      </c>
      <c r="H308" t="s">
        <v>189</v>
      </c>
      <c r="I308" t="s">
        <v>114</v>
      </c>
      <c r="J308" t="s">
        <v>576</v>
      </c>
      <c r="K308">
        <v>650218</v>
      </c>
      <c r="L308" t="s">
        <v>195</v>
      </c>
      <c r="M308" t="s">
        <v>196</v>
      </c>
      <c r="N308" t="s">
        <v>179</v>
      </c>
      <c r="O308" s="1">
        <v>45870</v>
      </c>
      <c r="P308" s="1">
        <v>45936</v>
      </c>
      <c r="Q308" s="1">
        <v>45962</v>
      </c>
      <c r="R308" s="2">
        <v>-128.72</v>
      </c>
      <c r="S308">
        <v>1</v>
      </c>
      <c r="T308" t="s">
        <v>58</v>
      </c>
      <c r="U308" t="s">
        <v>180</v>
      </c>
      <c r="V308" s="3">
        <v>0.38</v>
      </c>
      <c r="W308" s="2">
        <v>0</v>
      </c>
      <c r="X308">
        <v>-1</v>
      </c>
      <c r="Y308" t="s">
        <v>60</v>
      </c>
      <c r="Z308" t="s">
        <v>182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-48.91</v>
      </c>
      <c r="AN308" s="2">
        <v>-48.91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45943</v>
      </c>
      <c r="B309" t="s">
        <v>48</v>
      </c>
      <c r="C309">
        <v>649163</v>
      </c>
      <c r="D309">
        <v>2030247772</v>
      </c>
      <c r="E309" t="s">
        <v>585</v>
      </c>
      <c r="F309" t="s">
        <v>567</v>
      </c>
      <c r="G309" t="s">
        <v>51</v>
      </c>
      <c r="H309" t="s">
        <v>189</v>
      </c>
      <c r="I309" t="s">
        <v>114</v>
      </c>
      <c r="J309" t="s">
        <v>576</v>
      </c>
      <c r="K309">
        <v>751867</v>
      </c>
      <c r="L309" t="s">
        <v>186</v>
      </c>
      <c r="M309" t="s">
        <v>90</v>
      </c>
      <c r="N309" t="s">
        <v>57</v>
      </c>
      <c r="O309" s="1">
        <v>45870</v>
      </c>
      <c r="Q309" s="1">
        <v>45962</v>
      </c>
      <c r="R309" s="2">
        <v>27.15</v>
      </c>
      <c r="S309">
        <v>1</v>
      </c>
      <c r="T309" t="s">
        <v>58</v>
      </c>
      <c r="U309" t="s">
        <v>180</v>
      </c>
      <c r="V309" s="3">
        <v>0.38</v>
      </c>
      <c r="W309" s="2">
        <v>0</v>
      </c>
      <c r="X309">
        <v>0</v>
      </c>
      <c r="Y309" t="s">
        <v>60</v>
      </c>
      <c r="Z309" t="s">
        <v>182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10.32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45943</v>
      </c>
      <c r="B310" t="s">
        <v>48</v>
      </c>
      <c r="C310">
        <v>649163</v>
      </c>
      <c r="D310">
        <v>2030455579</v>
      </c>
      <c r="E310" t="s">
        <v>326</v>
      </c>
      <c r="F310" t="s">
        <v>327</v>
      </c>
      <c r="G310" t="s">
        <v>51</v>
      </c>
      <c r="H310" t="s">
        <v>69</v>
      </c>
      <c r="I310" t="s">
        <v>114</v>
      </c>
      <c r="J310" t="s">
        <v>576</v>
      </c>
      <c r="K310">
        <v>816021</v>
      </c>
      <c r="L310" t="s">
        <v>71</v>
      </c>
      <c r="M310" t="s">
        <v>72</v>
      </c>
      <c r="N310" t="s">
        <v>57</v>
      </c>
      <c r="O310" s="1">
        <v>45882</v>
      </c>
      <c r="Q310" s="1">
        <v>45974</v>
      </c>
      <c r="R310" s="2">
        <v>60.5</v>
      </c>
      <c r="S310">
        <v>1</v>
      </c>
      <c r="T310" t="s">
        <v>58</v>
      </c>
      <c r="U310" t="s">
        <v>180</v>
      </c>
      <c r="V310" s="3">
        <v>0.38</v>
      </c>
      <c r="W310" s="2">
        <v>0</v>
      </c>
      <c r="X310">
        <v>0</v>
      </c>
      <c r="Y310" t="s">
        <v>60</v>
      </c>
      <c r="Z310" t="s">
        <v>182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22.99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45943</v>
      </c>
      <c r="B311" t="s">
        <v>48</v>
      </c>
      <c r="C311">
        <v>649163</v>
      </c>
      <c r="D311">
        <v>2028679376</v>
      </c>
      <c r="E311" t="s">
        <v>586</v>
      </c>
      <c r="F311" t="s">
        <v>403</v>
      </c>
      <c r="G311" t="s">
        <v>51</v>
      </c>
      <c r="H311" t="s">
        <v>78</v>
      </c>
      <c r="I311" t="s">
        <v>587</v>
      </c>
      <c r="J311" t="s">
        <v>588</v>
      </c>
      <c r="K311">
        <v>813184</v>
      </c>
      <c r="L311" t="s">
        <v>566</v>
      </c>
      <c r="M311" t="s">
        <v>567</v>
      </c>
      <c r="N311" t="s">
        <v>57</v>
      </c>
      <c r="O311" s="1">
        <v>45778</v>
      </c>
      <c r="Q311" s="1">
        <v>45809</v>
      </c>
      <c r="R311" s="2">
        <v>-129.44</v>
      </c>
      <c r="S311">
        <v>1</v>
      </c>
      <c r="T311" t="s">
        <v>58</v>
      </c>
      <c r="U311" t="s">
        <v>180</v>
      </c>
      <c r="V311" s="3">
        <v>0.26</v>
      </c>
      <c r="W311" s="2">
        <v>0</v>
      </c>
      <c r="X311">
        <v>-1</v>
      </c>
      <c r="Y311" t="s">
        <v>60</v>
      </c>
      <c r="Z311" t="s">
        <v>182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-33.65</v>
      </c>
      <c r="AN311" s="2">
        <v>-33.65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45943</v>
      </c>
      <c r="B312" t="s">
        <v>48</v>
      </c>
      <c r="C312">
        <v>649163</v>
      </c>
      <c r="D312">
        <v>2028679376</v>
      </c>
      <c r="E312" t="s">
        <v>586</v>
      </c>
      <c r="F312" t="s">
        <v>403</v>
      </c>
      <c r="G312" t="s">
        <v>51</v>
      </c>
      <c r="H312" t="s">
        <v>78</v>
      </c>
      <c r="I312" t="s">
        <v>587</v>
      </c>
      <c r="J312" t="s">
        <v>588</v>
      </c>
      <c r="K312">
        <v>813184</v>
      </c>
      <c r="L312" t="s">
        <v>566</v>
      </c>
      <c r="M312" t="s">
        <v>567</v>
      </c>
      <c r="N312" t="s">
        <v>57</v>
      </c>
      <c r="O312" s="1">
        <v>45778</v>
      </c>
      <c r="Q312" s="1">
        <v>45839</v>
      </c>
      <c r="R312" s="2">
        <v>-129.44</v>
      </c>
      <c r="S312">
        <v>1</v>
      </c>
      <c r="T312" t="s">
        <v>58</v>
      </c>
      <c r="U312" t="s">
        <v>180</v>
      </c>
      <c r="V312" s="3">
        <v>0.26</v>
      </c>
      <c r="W312" s="2">
        <v>0</v>
      </c>
      <c r="X312">
        <v>-1</v>
      </c>
      <c r="Y312" t="s">
        <v>60</v>
      </c>
      <c r="Z312" t="s">
        <v>182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-33.65</v>
      </c>
      <c r="AN312" s="2">
        <v>-33.65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45943</v>
      </c>
      <c r="B313" t="s">
        <v>48</v>
      </c>
      <c r="C313">
        <v>649163</v>
      </c>
      <c r="D313">
        <v>2028679376</v>
      </c>
      <c r="E313" t="s">
        <v>586</v>
      </c>
      <c r="F313" t="s">
        <v>403</v>
      </c>
      <c r="G313" t="s">
        <v>51</v>
      </c>
      <c r="H313" t="s">
        <v>78</v>
      </c>
      <c r="I313" t="s">
        <v>587</v>
      </c>
      <c r="J313" t="s">
        <v>588</v>
      </c>
      <c r="K313">
        <v>813184</v>
      </c>
      <c r="L313" t="s">
        <v>566</v>
      </c>
      <c r="M313" t="s">
        <v>567</v>
      </c>
      <c r="N313" t="s">
        <v>57</v>
      </c>
      <c r="O313" s="1">
        <v>45778</v>
      </c>
      <c r="Q313" s="1">
        <v>45870</v>
      </c>
      <c r="R313" s="2">
        <v>-129.44</v>
      </c>
      <c r="S313">
        <v>1</v>
      </c>
      <c r="T313" t="s">
        <v>58</v>
      </c>
      <c r="U313" t="s">
        <v>180</v>
      </c>
      <c r="V313" s="3">
        <v>0.26</v>
      </c>
      <c r="W313" s="2">
        <v>0</v>
      </c>
      <c r="X313">
        <v>-1</v>
      </c>
      <c r="Y313" t="s">
        <v>60</v>
      </c>
      <c r="Z313" t="s">
        <v>182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-33.65</v>
      </c>
      <c r="AN313" s="2">
        <v>-33.65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45943</v>
      </c>
      <c r="B314" t="s">
        <v>48</v>
      </c>
      <c r="C314">
        <v>649163</v>
      </c>
      <c r="D314">
        <v>2028679376</v>
      </c>
      <c r="E314" t="s">
        <v>586</v>
      </c>
      <c r="F314" t="s">
        <v>403</v>
      </c>
      <c r="G314" t="s">
        <v>51</v>
      </c>
      <c r="H314" t="s">
        <v>78</v>
      </c>
      <c r="I314" t="s">
        <v>587</v>
      </c>
      <c r="J314" t="s">
        <v>588</v>
      </c>
      <c r="K314">
        <v>813184</v>
      </c>
      <c r="L314" t="s">
        <v>566</v>
      </c>
      <c r="M314" t="s">
        <v>567</v>
      </c>
      <c r="N314" t="s">
        <v>57</v>
      </c>
      <c r="O314" s="1">
        <v>45778</v>
      </c>
      <c r="Q314" s="1">
        <v>45901</v>
      </c>
      <c r="R314" s="2">
        <v>-129.44</v>
      </c>
      <c r="S314">
        <v>1</v>
      </c>
      <c r="T314" t="s">
        <v>58</v>
      </c>
      <c r="U314" t="s">
        <v>180</v>
      </c>
      <c r="V314" s="3">
        <v>0.26</v>
      </c>
      <c r="W314" s="2">
        <v>0</v>
      </c>
      <c r="X314">
        <v>-1</v>
      </c>
      <c r="Y314" t="s">
        <v>60</v>
      </c>
      <c r="Z314" t="s">
        <v>182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-33.65</v>
      </c>
      <c r="AN314" s="2">
        <v>-33.65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45943</v>
      </c>
      <c r="B315" t="s">
        <v>48</v>
      </c>
      <c r="C315">
        <v>649163</v>
      </c>
      <c r="D315">
        <v>2028679376</v>
      </c>
      <c r="E315" t="s">
        <v>586</v>
      </c>
      <c r="F315" t="s">
        <v>403</v>
      </c>
      <c r="G315" t="s">
        <v>51</v>
      </c>
      <c r="H315" t="s">
        <v>78</v>
      </c>
      <c r="I315" t="s">
        <v>587</v>
      </c>
      <c r="J315" t="s">
        <v>588</v>
      </c>
      <c r="K315">
        <v>813184</v>
      </c>
      <c r="L315" t="s">
        <v>566</v>
      </c>
      <c r="M315" t="s">
        <v>567</v>
      </c>
      <c r="N315" t="s">
        <v>57</v>
      </c>
      <c r="O315" s="1">
        <v>45778</v>
      </c>
      <c r="Q315" s="1">
        <v>45931</v>
      </c>
      <c r="R315" s="2">
        <v>-129.44</v>
      </c>
      <c r="S315">
        <v>1</v>
      </c>
      <c r="T315" t="s">
        <v>58</v>
      </c>
      <c r="U315" t="s">
        <v>180</v>
      </c>
      <c r="V315" s="3">
        <v>0.26</v>
      </c>
      <c r="W315" s="2">
        <v>0</v>
      </c>
      <c r="X315">
        <v>-1</v>
      </c>
      <c r="Y315" t="s">
        <v>60</v>
      </c>
      <c r="Z315" t="s">
        <v>182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-33.65</v>
      </c>
      <c r="AN315" s="2">
        <v>-33.65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45943</v>
      </c>
      <c r="B316" t="s">
        <v>48</v>
      </c>
      <c r="C316">
        <v>649163</v>
      </c>
      <c r="D316">
        <v>2028679376</v>
      </c>
      <c r="E316" t="s">
        <v>586</v>
      </c>
      <c r="F316" t="s">
        <v>403</v>
      </c>
      <c r="G316" t="s">
        <v>51</v>
      </c>
      <c r="H316" t="s">
        <v>78</v>
      </c>
      <c r="I316" t="s">
        <v>587</v>
      </c>
      <c r="J316" t="s">
        <v>588</v>
      </c>
      <c r="K316">
        <v>813184</v>
      </c>
      <c r="L316" t="s">
        <v>566</v>
      </c>
      <c r="M316" t="s">
        <v>567</v>
      </c>
      <c r="N316" t="s">
        <v>57</v>
      </c>
      <c r="O316" s="1">
        <v>45778</v>
      </c>
      <c r="Q316" s="1">
        <v>45962</v>
      </c>
      <c r="R316" s="2">
        <v>-129.44</v>
      </c>
      <c r="S316">
        <v>1</v>
      </c>
      <c r="T316" t="s">
        <v>58</v>
      </c>
      <c r="U316" t="s">
        <v>180</v>
      </c>
      <c r="V316" s="3">
        <v>0.26</v>
      </c>
      <c r="W316" s="2">
        <v>0</v>
      </c>
      <c r="X316">
        <v>-1</v>
      </c>
      <c r="Y316" t="s">
        <v>60</v>
      </c>
      <c r="Z316" t="s">
        <v>182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-33.65</v>
      </c>
      <c r="AN316" s="2">
        <v>-33.65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45943</v>
      </c>
      <c r="B317" t="s">
        <v>48</v>
      </c>
      <c r="C317">
        <v>649163</v>
      </c>
      <c r="D317">
        <v>2028679376</v>
      </c>
      <c r="E317" t="s">
        <v>586</v>
      </c>
      <c r="F317" t="s">
        <v>403</v>
      </c>
      <c r="G317" t="s">
        <v>51</v>
      </c>
      <c r="H317" t="s">
        <v>78</v>
      </c>
      <c r="I317" t="s">
        <v>587</v>
      </c>
      <c r="J317" t="s">
        <v>588</v>
      </c>
      <c r="K317">
        <v>813184</v>
      </c>
      <c r="L317" t="s">
        <v>566</v>
      </c>
      <c r="M317" t="s">
        <v>567</v>
      </c>
      <c r="N317" t="s">
        <v>57</v>
      </c>
      <c r="O317" s="1">
        <v>45778</v>
      </c>
      <c r="Q317" s="1">
        <v>45992</v>
      </c>
      <c r="R317" s="2">
        <v>-129.44</v>
      </c>
      <c r="S317">
        <v>1</v>
      </c>
      <c r="T317" t="s">
        <v>58</v>
      </c>
      <c r="U317" t="s">
        <v>180</v>
      </c>
      <c r="V317" s="3">
        <v>0.26</v>
      </c>
      <c r="W317" s="2">
        <v>0</v>
      </c>
      <c r="X317">
        <v>-1</v>
      </c>
      <c r="Y317" t="s">
        <v>60</v>
      </c>
      <c r="Z317" t="s">
        <v>182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-33.65</v>
      </c>
      <c r="AN317" s="2">
        <v>-33.65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45943</v>
      </c>
      <c r="B318" t="s">
        <v>48</v>
      </c>
      <c r="C318">
        <v>649163</v>
      </c>
      <c r="D318">
        <v>2028679376</v>
      </c>
      <c r="E318" t="s">
        <v>586</v>
      </c>
      <c r="F318" t="s">
        <v>403</v>
      </c>
      <c r="G318" t="s">
        <v>51</v>
      </c>
      <c r="H318" t="s">
        <v>78</v>
      </c>
      <c r="I318" t="s">
        <v>587</v>
      </c>
      <c r="J318" t="s">
        <v>588</v>
      </c>
      <c r="K318">
        <v>813184</v>
      </c>
      <c r="L318" t="s">
        <v>566</v>
      </c>
      <c r="M318" t="s">
        <v>567</v>
      </c>
      <c r="N318" t="s">
        <v>57</v>
      </c>
      <c r="O318" s="1">
        <v>45778</v>
      </c>
      <c r="Q318" s="1">
        <v>46023</v>
      </c>
      <c r="R318" s="2">
        <v>-129.44</v>
      </c>
      <c r="S318">
        <v>1</v>
      </c>
      <c r="T318" t="s">
        <v>58</v>
      </c>
      <c r="U318" t="s">
        <v>180</v>
      </c>
      <c r="V318" s="3">
        <v>0.26</v>
      </c>
      <c r="W318" s="2">
        <v>0</v>
      </c>
      <c r="X318">
        <v>-1</v>
      </c>
      <c r="Y318" t="s">
        <v>60</v>
      </c>
      <c r="Z318" t="s">
        <v>182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-33.65</v>
      </c>
      <c r="AN318" s="2">
        <v>-33.65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45943</v>
      </c>
      <c r="B319" t="s">
        <v>48</v>
      </c>
      <c r="C319">
        <v>649163</v>
      </c>
      <c r="D319">
        <v>2028679376</v>
      </c>
      <c r="E319" t="s">
        <v>586</v>
      </c>
      <c r="F319" t="s">
        <v>403</v>
      </c>
      <c r="G319" t="s">
        <v>51</v>
      </c>
      <c r="H319" t="s">
        <v>78</v>
      </c>
      <c r="I319" t="s">
        <v>587</v>
      </c>
      <c r="J319" t="s">
        <v>588</v>
      </c>
      <c r="K319">
        <v>813184</v>
      </c>
      <c r="L319" t="s">
        <v>566</v>
      </c>
      <c r="M319" t="s">
        <v>567</v>
      </c>
      <c r="N319" t="s">
        <v>57</v>
      </c>
      <c r="O319" s="1">
        <v>45778</v>
      </c>
      <c r="Q319" s="1">
        <v>46054</v>
      </c>
      <c r="R319" s="2">
        <v>-129.44</v>
      </c>
      <c r="S319">
        <v>1</v>
      </c>
      <c r="T319" t="s">
        <v>58</v>
      </c>
      <c r="U319" t="s">
        <v>180</v>
      </c>
      <c r="V319" s="3">
        <v>0.26</v>
      </c>
      <c r="W319" s="2">
        <v>0</v>
      </c>
      <c r="X319">
        <v>-1</v>
      </c>
      <c r="Y319" t="s">
        <v>60</v>
      </c>
      <c r="Z319" t="s">
        <v>182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-33.65</v>
      </c>
      <c r="AN319" s="2">
        <v>-33.65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45943</v>
      </c>
      <c r="B320" t="s">
        <v>48</v>
      </c>
      <c r="C320">
        <v>649163</v>
      </c>
      <c r="D320">
        <v>2028679376</v>
      </c>
      <c r="E320" t="s">
        <v>586</v>
      </c>
      <c r="F320" t="s">
        <v>403</v>
      </c>
      <c r="G320" t="s">
        <v>51</v>
      </c>
      <c r="H320" t="s">
        <v>78</v>
      </c>
      <c r="I320" t="s">
        <v>587</v>
      </c>
      <c r="J320" t="s">
        <v>588</v>
      </c>
      <c r="K320">
        <v>813184</v>
      </c>
      <c r="L320" t="s">
        <v>566</v>
      </c>
      <c r="M320" t="s">
        <v>567</v>
      </c>
      <c r="N320" t="s">
        <v>57</v>
      </c>
      <c r="O320" s="1">
        <v>45778</v>
      </c>
      <c r="Q320" s="1">
        <v>46082</v>
      </c>
      <c r="R320" s="2">
        <v>-129.44</v>
      </c>
      <c r="S320">
        <v>1</v>
      </c>
      <c r="T320" t="s">
        <v>58</v>
      </c>
      <c r="U320" t="s">
        <v>180</v>
      </c>
      <c r="V320" s="3">
        <v>0.26</v>
      </c>
      <c r="W320" s="2">
        <v>0</v>
      </c>
      <c r="X320">
        <v>-1</v>
      </c>
      <c r="Y320" t="s">
        <v>60</v>
      </c>
      <c r="Z320" t="s">
        <v>182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-33.65</v>
      </c>
      <c r="AN320" s="2">
        <v>-33.65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45943</v>
      </c>
      <c r="B321" t="s">
        <v>48</v>
      </c>
      <c r="C321">
        <v>649163</v>
      </c>
      <c r="D321">
        <v>2028679376</v>
      </c>
      <c r="E321" t="s">
        <v>586</v>
      </c>
      <c r="F321" t="s">
        <v>403</v>
      </c>
      <c r="G321" t="s">
        <v>51</v>
      </c>
      <c r="H321" t="s">
        <v>78</v>
      </c>
      <c r="I321" t="s">
        <v>587</v>
      </c>
      <c r="J321" t="s">
        <v>588</v>
      </c>
      <c r="K321">
        <v>813184</v>
      </c>
      <c r="L321" t="s">
        <v>566</v>
      </c>
      <c r="M321" t="s">
        <v>567</v>
      </c>
      <c r="N321" t="s">
        <v>57</v>
      </c>
      <c r="O321" s="1">
        <v>45778</v>
      </c>
      <c r="Q321" s="1">
        <v>46113</v>
      </c>
      <c r="R321" s="2">
        <v>-129.44</v>
      </c>
      <c r="S321">
        <v>1</v>
      </c>
      <c r="T321" t="s">
        <v>58</v>
      </c>
      <c r="U321" t="s">
        <v>180</v>
      </c>
      <c r="V321" s="3">
        <v>0.26</v>
      </c>
      <c r="W321" s="2">
        <v>0</v>
      </c>
      <c r="X321">
        <v>-1</v>
      </c>
      <c r="Y321" t="s">
        <v>60</v>
      </c>
      <c r="Z321" t="s">
        <v>182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-33.65</v>
      </c>
      <c r="AN321" s="2">
        <v>-33.65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45943</v>
      </c>
      <c r="B322" t="s">
        <v>48</v>
      </c>
      <c r="C322">
        <v>649163</v>
      </c>
      <c r="D322">
        <v>2028679376</v>
      </c>
      <c r="E322" t="s">
        <v>586</v>
      </c>
      <c r="F322" t="s">
        <v>403</v>
      </c>
      <c r="G322" t="s">
        <v>51</v>
      </c>
      <c r="H322" t="s">
        <v>78</v>
      </c>
      <c r="I322" t="s">
        <v>587</v>
      </c>
      <c r="J322" t="s">
        <v>588</v>
      </c>
      <c r="K322">
        <v>813184</v>
      </c>
      <c r="L322" t="s">
        <v>566</v>
      </c>
      <c r="M322" t="s">
        <v>567</v>
      </c>
      <c r="N322" t="s">
        <v>57</v>
      </c>
      <c r="O322" s="1">
        <v>45778</v>
      </c>
      <c r="Q322" s="1">
        <v>46143</v>
      </c>
      <c r="R322" s="2">
        <v>-129.44</v>
      </c>
      <c r="S322">
        <v>1</v>
      </c>
      <c r="T322" t="s">
        <v>58</v>
      </c>
      <c r="U322" t="s">
        <v>180</v>
      </c>
      <c r="V322" s="3">
        <v>0.26</v>
      </c>
      <c r="W322" s="2">
        <v>0</v>
      </c>
      <c r="X322">
        <v>-1</v>
      </c>
      <c r="Y322" t="s">
        <v>60</v>
      </c>
      <c r="Z322" t="s">
        <v>182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-33.65</v>
      </c>
      <c r="AN322" s="2">
        <v>-33.65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45943</v>
      </c>
      <c r="B323" t="s">
        <v>48</v>
      </c>
      <c r="D323">
        <v>2016819082</v>
      </c>
      <c r="E323" t="s">
        <v>589</v>
      </c>
      <c r="F323" t="s">
        <v>590</v>
      </c>
      <c r="G323" t="s">
        <v>51</v>
      </c>
      <c r="H323" t="s">
        <v>52</v>
      </c>
      <c r="I323" t="s">
        <v>116</v>
      </c>
      <c r="J323" t="s">
        <v>117</v>
      </c>
      <c r="L323" t="s">
        <v>55</v>
      </c>
      <c r="M323" t="s">
        <v>178</v>
      </c>
      <c r="N323" t="s">
        <v>57</v>
      </c>
      <c r="O323" s="1">
        <v>44880</v>
      </c>
      <c r="Q323" s="1">
        <v>45976</v>
      </c>
      <c r="R323" s="2">
        <v>25.73</v>
      </c>
      <c r="S323">
        <v>1</v>
      </c>
      <c r="T323" t="s">
        <v>58</v>
      </c>
      <c r="U323" t="s">
        <v>180</v>
      </c>
      <c r="V323" s="3">
        <v>0.15</v>
      </c>
      <c r="W323" s="2">
        <v>0</v>
      </c>
      <c r="X323">
        <v>0</v>
      </c>
      <c r="Y323" t="s">
        <v>181</v>
      </c>
      <c r="Z323" t="s">
        <v>182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3.86</v>
      </c>
      <c r="AN323" s="2">
        <v>3.86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45943</v>
      </c>
      <c r="B324" t="s">
        <v>48</v>
      </c>
      <c r="C324">
        <v>649163</v>
      </c>
      <c r="D324">
        <v>2016921676</v>
      </c>
      <c r="E324" t="s">
        <v>173</v>
      </c>
      <c r="F324" t="s">
        <v>174</v>
      </c>
      <c r="G324" t="s">
        <v>51</v>
      </c>
      <c r="H324" t="s">
        <v>175</v>
      </c>
      <c r="I324" t="s">
        <v>116</v>
      </c>
      <c r="J324" t="s">
        <v>591</v>
      </c>
      <c r="K324">
        <v>649793</v>
      </c>
      <c r="L324" t="s">
        <v>55</v>
      </c>
      <c r="M324" t="s">
        <v>178</v>
      </c>
      <c r="N324" t="s">
        <v>179</v>
      </c>
      <c r="O324" s="1">
        <v>44927</v>
      </c>
      <c r="P324" s="1">
        <v>45936</v>
      </c>
      <c r="Q324" s="1">
        <v>45962</v>
      </c>
      <c r="R324" s="2">
        <v>-26.59</v>
      </c>
      <c r="S324">
        <v>1</v>
      </c>
      <c r="T324" t="s">
        <v>58</v>
      </c>
      <c r="U324" t="s">
        <v>180</v>
      </c>
      <c r="V324" s="3">
        <v>0.15</v>
      </c>
      <c r="W324" s="2">
        <v>0</v>
      </c>
      <c r="X324">
        <v>-1</v>
      </c>
      <c r="Y324" t="s">
        <v>181</v>
      </c>
      <c r="Z324" t="s">
        <v>182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-3.99</v>
      </c>
      <c r="AN324" s="2">
        <v>-3.99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45943</v>
      </c>
      <c r="B325" t="s">
        <v>48</v>
      </c>
      <c r="C325">
        <v>649163</v>
      </c>
      <c r="D325">
        <v>2017630350</v>
      </c>
      <c r="E325" t="s">
        <v>592</v>
      </c>
      <c r="F325" t="s">
        <v>492</v>
      </c>
      <c r="G325" t="s">
        <v>51</v>
      </c>
      <c r="H325" t="s">
        <v>52</v>
      </c>
      <c r="I325" t="s">
        <v>116</v>
      </c>
      <c r="J325" t="s">
        <v>125</v>
      </c>
      <c r="K325">
        <v>649793</v>
      </c>
      <c r="L325" t="s">
        <v>55</v>
      </c>
      <c r="M325" t="s">
        <v>178</v>
      </c>
      <c r="N325" t="s">
        <v>57</v>
      </c>
      <c r="O325" s="1">
        <v>45001</v>
      </c>
      <c r="Q325" s="1">
        <v>45977</v>
      </c>
      <c r="R325" s="2">
        <v>140.25</v>
      </c>
      <c r="S325">
        <v>1</v>
      </c>
      <c r="T325" t="s">
        <v>58</v>
      </c>
      <c r="U325" t="s">
        <v>180</v>
      </c>
      <c r="V325" s="3">
        <v>0.15</v>
      </c>
      <c r="W325" s="2">
        <v>0</v>
      </c>
      <c r="X325">
        <v>0</v>
      </c>
      <c r="Y325" t="s">
        <v>181</v>
      </c>
      <c r="Z325" t="s">
        <v>182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21.04</v>
      </c>
      <c r="AN325" s="2">
        <v>21.04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45943</v>
      </c>
      <c r="B326" t="s">
        <v>48</v>
      </c>
      <c r="D326">
        <v>2017683724</v>
      </c>
      <c r="E326" t="s">
        <v>397</v>
      </c>
      <c r="F326" t="s">
        <v>398</v>
      </c>
      <c r="G326" t="s">
        <v>51</v>
      </c>
      <c r="H326" t="s">
        <v>225</v>
      </c>
      <c r="I326" t="s">
        <v>116</v>
      </c>
      <c r="J326" t="s">
        <v>117</v>
      </c>
      <c r="L326" t="s">
        <v>55</v>
      </c>
      <c r="M326" t="s">
        <v>178</v>
      </c>
      <c r="N326" t="s">
        <v>57</v>
      </c>
      <c r="O326" s="1">
        <v>44974</v>
      </c>
      <c r="Q326" s="1">
        <v>45978</v>
      </c>
      <c r="R326" s="2">
        <v>25.73</v>
      </c>
      <c r="S326">
        <v>1</v>
      </c>
      <c r="T326" t="s">
        <v>58</v>
      </c>
      <c r="U326" t="s">
        <v>180</v>
      </c>
      <c r="V326" s="3">
        <v>0.15</v>
      </c>
      <c r="W326" s="2">
        <v>0</v>
      </c>
      <c r="X326">
        <v>0</v>
      </c>
      <c r="Y326" t="s">
        <v>181</v>
      </c>
      <c r="Z326" t="s">
        <v>182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3.86</v>
      </c>
      <c r="AN326" s="2">
        <v>3.86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45943</v>
      </c>
      <c r="B327" t="s">
        <v>48</v>
      </c>
      <c r="C327">
        <v>649163</v>
      </c>
      <c r="D327">
        <v>2018351025</v>
      </c>
      <c r="E327" t="s">
        <v>593</v>
      </c>
      <c r="F327" t="s">
        <v>161</v>
      </c>
      <c r="G327" t="s">
        <v>51</v>
      </c>
      <c r="H327" t="s">
        <v>185</v>
      </c>
      <c r="I327" t="s">
        <v>116</v>
      </c>
      <c r="J327" t="s">
        <v>120</v>
      </c>
      <c r="K327">
        <v>651818</v>
      </c>
      <c r="L327" t="s">
        <v>260</v>
      </c>
      <c r="M327" t="s">
        <v>261</v>
      </c>
      <c r="N327" t="s">
        <v>57</v>
      </c>
      <c r="O327" s="1">
        <v>45030</v>
      </c>
      <c r="Q327" s="1">
        <v>45975</v>
      </c>
      <c r="R327" s="2">
        <v>29.25</v>
      </c>
      <c r="S327">
        <v>1</v>
      </c>
      <c r="T327" t="s">
        <v>58</v>
      </c>
      <c r="U327" t="s">
        <v>180</v>
      </c>
      <c r="V327" s="3">
        <v>0.1</v>
      </c>
      <c r="W327" s="2">
        <v>0</v>
      </c>
      <c r="X327">
        <v>0</v>
      </c>
      <c r="Y327" t="s">
        <v>181</v>
      </c>
      <c r="Z327" t="s">
        <v>182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2.92</v>
      </c>
      <c r="AN327" s="2">
        <v>2.92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45943</v>
      </c>
      <c r="B328" t="s">
        <v>48</v>
      </c>
      <c r="C328">
        <v>649163</v>
      </c>
      <c r="D328">
        <v>2019319907</v>
      </c>
      <c r="E328" t="s">
        <v>594</v>
      </c>
      <c r="F328" t="s">
        <v>265</v>
      </c>
      <c r="G328" t="s">
        <v>51</v>
      </c>
      <c r="H328" t="s">
        <v>130</v>
      </c>
      <c r="I328" t="s">
        <v>116</v>
      </c>
      <c r="J328" t="s">
        <v>120</v>
      </c>
      <c r="K328">
        <v>651818</v>
      </c>
      <c r="L328" t="s">
        <v>260</v>
      </c>
      <c r="M328" t="s">
        <v>261</v>
      </c>
      <c r="N328" t="s">
        <v>57</v>
      </c>
      <c r="O328" s="1">
        <v>45118</v>
      </c>
      <c r="Q328" s="1">
        <v>45972</v>
      </c>
      <c r="R328" s="2">
        <v>32.58</v>
      </c>
      <c r="S328">
        <v>1</v>
      </c>
      <c r="T328" t="s">
        <v>58</v>
      </c>
      <c r="U328" t="s">
        <v>180</v>
      </c>
      <c r="V328" s="3">
        <v>0.1</v>
      </c>
      <c r="W328" s="2">
        <v>0</v>
      </c>
      <c r="X328">
        <v>0</v>
      </c>
      <c r="Y328" t="s">
        <v>181</v>
      </c>
      <c r="Z328" t="s">
        <v>182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3.26</v>
      </c>
      <c r="AN328" s="2">
        <v>3.26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45943</v>
      </c>
      <c r="B329" t="s">
        <v>48</v>
      </c>
      <c r="D329">
        <v>2020174612</v>
      </c>
      <c r="E329" t="s">
        <v>220</v>
      </c>
      <c r="F329" t="s">
        <v>221</v>
      </c>
      <c r="G329" t="s">
        <v>51</v>
      </c>
      <c r="H329" t="s">
        <v>119</v>
      </c>
      <c r="I329" t="s">
        <v>116</v>
      </c>
      <c r="J329" t="s">
        <v>117</v>
      </c>
      <c r="L329" t="s">
        <v>222</v>
      </c>
      <c r="M329" t="s">
        <v>223</v>
      </c>
      <c r="N329" t="s">
        <v>57</v>
      </c>
      <c r="O329" s="1">
        <v>45214</v>
      </c>
      <c r="Q329" s="1">
        <v>45976</v>
      </c>
      <c r="R329" s="2">
        <v>24.61</v>
      </c>
      <c r="S329">
        <v>1</v>
      </c>
      <c r="T329" t="s">
        <v>58</v>
      </c>
      <c r="U329" t="s">
        <v>180</v>
      </c>
      <c r="V329" s="3">
        <v>0.15</v>
      </c>
      <c r="W329" s="2">
        <v>0</v>
      </c>
      <c r="X329">
        <v>0</v>
      </c>
      <c r="Y329" t="s">
        <v>181</v>
      </c>
      <c r="Z329" t="s">
        <v>182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3.69</v>
      </c>
      <c r="AN329" s="2">
        <v>3.69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45943</v>
      </c>
      <c r="B330" t="s">
        <v>48</v>
      </c>
      <c r="D330">
        <v>2020780791</v>
      </c>
      <c r="E330" t="s">
        <v>595</v>
      </c>
      <c r="F330" t="s">
        <v>596</v>
      </c>
      <c r="G330" t="s">
        <v>51</v>
      </c>
      <c r="H330" t="s">
        <v>78</v>
      </c>
      <c r="I330" t="s">
        <v>116</v>
      </c>
      <c r="J330" t="s">
        <v>117</v>
      </c>
      <c r="L330" t="s">
        <v>260</v>
      </c>
      <c r="M330" t="s">
        <v>261</v>
      </c>
      <c r="N330" t="s">
        <v>57</v>
      </c>
      <c r="O330" s="1">
        <v>45245</v>
      </c>
      <c r="Q330" s="1">
        <v>45976</v>
      </c>
      <c r="R330" s="2">
        <v>25.73</v>
      </c>
      <c r="S330">
        <v>1</v>
      </c>
      <c r="T330" t="s">
        <v>58</v>
      </c>
      <c r="U330" t="s">
        <v>180</v>
      </c>
      <c r="V330" s="3">
        <v>0.15</v>
      </c>
      <c r="W330" s="2">
        <v>0</v>
      </c>
      <c r="X330">
        <v>0</v>
      </c>
      <c r="Y330" t="s">
        <v>181</v>
      </c>
      <c r="Z330" t="s">
        <v>182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3.86</v>
      </c>
      <c r="AN330" s="2">
        <v>3.86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45943</v>
      </c>
      <c r="B331" t="s">
        <v>48</v>
      </c>
      <c r="C331">
        <v>649163</v>
      </c>
      <c r="D331">
        <v>2020780792</v>
      </c>
      <c r="E331" t="s">
        <v>595</v>
      </c>
      <c r="F331" t="s">
        <v>596</v>
      </c>
      <c r="G331" t="s">
        <v>51</v>
      </c>
      <c r="H331" t="s">
        <v>78</v>
      </c>
      <c r="I331" t="s">
        <v>116</v>
      </c>
      <c r="J331" t="s">
        <v>120</v>
      </c>
      <c r="K331">
        <v>651818</v>
      </c>
      <c r="L331" t="s">
        <v>260</v>
      </c>
      <c r="M331" t="s">
        <v>261</v>
      </c>
      <c r="N331" t="s">
        <v>57</v>
      </c>
      <c r="O331" s="1">
        <v>45245</v>
      </c>
      <c r="Q331" s="1">
        <v>45976</v>
      </c>
      <c r="R331" s="2">
        <v>51.63</v>
      </c>
      <c r="S331">
        <v>1</v>
      </c>
      <c r="T331" t="s">
        <v>58</v>
      </c>
      <c r="U331" t="s">
        <v>180</v>
      </c>
      <c r="V331" s="3">
        <v>0.1</v>
      </c>
      <c r="W331" s="2">
        <v>0</v>
      </c>
      <c r="X331">
        <v>0</v>
      </c>
      <c r="Y331" t="s">
        <v>181</v>
      </c>
      <c r="Z331" t="s">
        <v>182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5.16</v>
      </c>
      <c r="AN331" s="2">
        <v>5.16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45943</v>
      </c>
      <c r="B332" t="s">
        <v>48</v>
      </c>
      <c r="C332">
        <v>649163</v>
      </c>
      <c r="D332">
        <v>2022254780</v>
      </c>
      <c r="E332" t="s">
        <v>224</v>
      </c>
      <c r="F332" t="s">
        <v>192</v>
      </c>
      <c r="G332" t="s">
        <v>51</v>
      </c>
      <c r="H332" t="s">
        <v>225</v>
      </c>
      <c r="I332" t="s">
        <v>116</v>
      </c>
      <c r="J332" t="s">
        <v>125</v>
      </c>
      <c r="K332">
        <v>673059</v>
      </c>
      <c r="L332" t="s">
        <v>55</v>
      </c>
      <c r="M332" t="s">
        <v>56</v>
      </c>
      <c r="N332" t="s">
        <v>57</v>
      </c>
      <c r="O332" s="1">
        <v>45364</v>
      </c>
      <c r="Q332" s="1">
        <v>45974</v>
      </c>
      <c r="R332" s="2">
        <v>54.66</v>
      </c>
      <c r="S332">
        <v>1</v>
      </c>
      <c r="T332" t="s">
        <v>58</v>
      </c>
      <c r="U332" t="s">
        <v>180</v>
      </c>
      <c r="V332" s="3">
        <v>0.15</v>
      </c>
      <c r="W332" s="2">
        <v>0</v>
      </c>
      <c r="X332">
        <v>0</v>
      </c>
      <c r="Y332" t="s">
        <v>181</v>
      </c>
      <c r="Z332" t="s">
        <v>182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8.1999999999999993</v>
      </c>
      <c r="AN332" s="2">
        <v>8.1999999999999993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45943</v>
      </c>
      <c r="B333" t="s">
        <v>48</v>
      </c>
      <c r="C333">
        <v>649163</v>
      </c>
      <c r="D333">
        <v>2023780744</v>
      </c>
      <c r="E333" t="s">
        <v>597</v>
      </c>
      <c r="F333" t="s">
        <v>598</v>
      </c>
      <c r="G333" t="s">
        <v>51</v>
      </c>
      <c r="H333" t="s">
        <v>78</v>
      </c>
      <c r="I333" t="s">
        <v>116</v>
      </c>
      <c r="J333" t="s">
        <v>125</v>
      </c>
      <c r="K333">
        <v>757719</v>
      </c>
      <c r="L333" t="s">
        <v>547</v>
      </c>
      <c r="M333" t="s">
        <v>165</v>
      </c>
      <c r="N333" t="s">
        <v>57</v>
      </c>
      <c r="O333" s="1">
        <v>45476</v>
      </c>
      <c r="Q333" s="1">
        <v>45964</v>
      </c>
      <c r="R333" s="2">
        <v>-13.69</v>
      </c>
      <c r="S333">
        <v>1</v>
      </c>
      <c r="T333" t="s">
        <v>58</v>
      </c>
      <c r="U333" t="s">
        <v>180</v>
      </c>
      <c r="V333" s="3">
        <v>0.15</v>
      </c>
      <c r="W333" s="2">
        <v>0</v>
      </c>
      <c r="X333">
        <v>-1</v>
      </c>
      <c r="Y333" t="s">
        <v>181</v>
      </c>
      <c r="Z333" t="s">
        <v>182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-2.0499999999999998</v>
      </c>
      <c r="AN333" s="2">
        <v>-2.0499999999999998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45943</v>
      </c>
      <c r="B334" t="s">
        <v>48</v>
      </c>
      <c r="C334">
        <v>649163</v>
      </c>
      <c r="D334">
        <v>2023911658</v>
      </c>
      <c r="E334" t="s">
        <v>599</v>
      </c>
      <c r="F334" t="s">
        <v>600</v>
      </c>
      <c r="G334" t="s">
        <v>51</v>
      </c>
      <c r="H334" t="s">
        <v>601</v>
      </c>
      <c r="I334" t="s">
        <v>116</v>
      </c>
      <c r="J334" t="s">
        <v>120</v>
      </c>
      <c r="K334">
        <v>673059</v>
      </c>
      <c r="L334" t="s">
        <v>55</v>
      </c>
      <c r="M334" t="s">
        <v>56</v>
      </c>
      <c r="N334" t="s">
        <v>57</v>
      </c>
      <c r="O334" s="1">
        <v>45486</v>
      </c>
      <c r="Q334" s="1">
        <v>45974</v>
      </c>
      <c r="R334" s="2">
        <v>150.63</v>
      </c>
      <c r="S334">
        <v>1</v>
      </c>
      <c r="T334" t="s">
        <v>58</v>
      </c>
      <c r="U334" t="s">
        <v>180</v>
      </c>
      <c r="V334" s="3">
        <v>0.1</v>
      </c>
      <c r="W334" s="2">
        <v>0</v>
      </c>
      <c r="X334">
        <v>0</v>
      </c>
      <c r="Y334" t="s">
        <v>181</v>
      </c>
      <c r="Z334" t="s">
        <v>182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15.06</v>
      </c>
      <c r="AN334" s="2">
        <v>15.06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45943</v>
      </c>
      <c r="B335" t="s">
        <v>48</v>
      </c>
      <c r="C335">
        <v>649163</v>
      </c>
      <c r="D335">
        <v>2024356429</v>
      </c>
      <c r="E335" t="s">
        <v>408</v>
      </c>
      <c r="F335" t="s">
        <v>409</v>
      </c>
      <c r="G335" t="s">
        <v>51</v>
      </c>
      <c r="H335" t="s">
        <v>78</v>
      </c>
      <c r="I335" t="s">
        <v>116</v>
      </c>
      <c r="J335" t="s">
        <v>125</v>
      </c>
      <c r="K335">
        <v>767312</v>
      </c>
      <c r="L335" t="s">
        <v>147</v>
      </c>
      <c r="M335" t="s">
        <v>148</v>
      </c>
      <c r="N335" t="s">
        <v>57</v>
      </c>
      <c r="O335" s="1">
        <v>45517</v>
      </c>
      <c r="Q335" s="1">
        <v>45974</v>
      </c>
      <c r="R335" s="2">
        <v>28.9</v>
      </c>
      <c r="S335">
        <v>1</v>
      </c>
      <c r="T335" t="s">
        <v>58</v>
      </c>
      <c r="U335" t="s">
        <v>180</v>
      </c>
      <c r="V335" s="3">
        <v>0.15</v>
      </c>
      <c r="W335" s="2">
        <v>0</v>
      </c>
      <c r="X335">
        <v>0</v>
      </c>
      <c r="Y335" t="s">
        <v>181</v>
      </c>
      <c r="Z335" t="s">
        <v>182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4.34</v>
      </c>
      <c r="AN335" s="2">
        <v>4.34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45943</v>
      </c>
      <c r="B336" t="s">
        <v>48</v>
      </c>
      <c r="C336">
        <v>649163</v>
      </c>
      <c r="D336">
        <v>2024425643</v>
      </c>
      <c r="E336" t="s">
        <v>199</v>
      </c>
      <c r="F336" t="s">
        <v>200</v>
      </c>
      <c r="G336" t="s">
        <v>51</v>
      </c>
      <c r="H336" t="s">
        <v>107</v>
      </c>
      <c r="I336" t="s">
        <v>116</v>
      </c>
      <c r="J336" t="s">
        <v>125</v>
      </c>
      <c r="K336">
        <v>673059</v>
      </c>
      <c r="L336" t="s">
        <v>55</v>
      </c>
      <c r="M336" t="s">
        <v>56</v>
      </c>
      <c r="N336" t="s">
        <v>57</v>
      </c>
      <c r="O336" s="1">
        <v>45521</v>
      </c>
      <c r="Q336" s="1">
        <v>45978</v>
      </c>
      <c r="R336" s="2">
        <v>88.88</v>
      </c>
      <c r="S336">
        <v>1</v>
      </c>
      <c r="T336" t="s">
        <v>58</v>
      </c>
      <c r="U336" t="s">
        <v>180</v>
      </c>
      <c r="V336" s="3">
        <v>0.15</v>
      </c>
      <c r="W336" s="2">
        <v>0</v>
      </c>
      <c r="X336">
        <v>0</v>
      </c>
      <c r="Y336" t="s">
        <v>181</v>
      </c>
      <c r="Z336" t="s">
        <v>182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13.33</v>
      </c>
      <c r="AN336" s="2">
        <v>13.33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45943</v>
      </c>
      <c r="B337" t="s">
        <v>48</v>
      </c>
      <c r="C337">
        <v>649163</v>
      </c>
      <c r="D337">
        <v>2024425644</v>
      </c>
      <c r="E337" t="s">
        <v>199</v>
      </c>
      <c r="F337" t="s">
        <v>200</v>
      </c>
      <c r="G337" t="s">
        <v>51</v>
      </c>
      <c r="H337" t="s">
        <v>107</v>
      </c>
      <c r="I337" t="s">
        <v>116</v>
      </c>
      <c r="J337" t="s">
        <v>117</v>
      </c>
      <c r="K337">
        <v>673059</v>
      </c>
      <c r="L337" t="s">
        <v>55</v>
      </c>
      <c r="M337" t="s">
        <v>56</v>
      </c>
      <c r="N337" t="s">
        <v>57</v>
      </c>
      <c r="O337" s="1">
        <v>45521</v>
      </c>
      <c r="Q337" s="1">
        <v>45978</v>
      </c>
      <c r="R337" s="2">
        <v>8.3699999999999992</v>
      </c>
      <c r="S337">
        <v>1</v>
      </c>
      <c r="T337" t="s">
        <v>58</v>
      </c>
      <c r="U337" t="s">
        <v>180</v>
      </c>
      <c r="V337" s="3">
        <v>0.15</v>
      </c>
      <c r="W337" s="2">
        <v>0</v>
      </c>
      <c r="X337">
        <v>0</v>
      </c>
      <c r="Y337" t="s">
        <v>181</v>
      </c>
      <c r="Z337" t="s">
        <v>182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1.26</v>
      </c>
      <c r="AN337" s="2">
        <v>1.26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45943</v>
      </c>
      <c r="B338" t="s">
        <v>48</v>
      </c>
      <c r="C338">
        <v>649163</v>
      </c>
      <c r="D338">
        <v>2024530409</v>
      </c>
      <c r="E338" t="s">
        <v>484</v>
      </c>
      <c r="F338" t="s">
        <v>485</v>
      </c>
      <c r="G338" t="s">
        <v>51</v>
      </c>
      <c r="H338" t="s">
        <v>78</v>
      </c>
      <c r="I338" t="s">
        <v>116</v>
      </c>
      <c r="J338" t="s">
        <v>125</v>
      </c>
      <c r="K338">
        <v>766747</v>
      </c>
      <c r="L338" t="s">
        <v>477</v>
      </c>
      <c r="M338" t="s">
        <v>159</v>
      </c>
      <c r="N338" t="s">
        <v>179</v>
      </c>
      <c r="O338" s="1">
        <v>45541</v>
      </c>
      <c r="P338" s="1">
        <v>45943</v>
      </c>
      <c r="Q338" s="1">
        <v>45967</v>
      </c>
      <c r="R338" s="2">
        <v>-109.45</v>
      </c>
      <c r="S338">
        <v>1</v>
      </c>
      <c r="T338" t="s">
        <v>58</v>
      </c>
      <c r="U338" t="s">
        <v>180</v>
      </c>
      <c r="V338" s="3">
        <v>0.15</v>
      </c>
      <c r="W338" s="2">
        <v>0</v>
      </c>
      <c r="X338">
        <v>-1</v>
      </c>
      <c r="Y338" t="s">
        <v>181</v>
      </c>
      <c r="Z338" t="s">
        <v>182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-16.420000000000002</v>
      </c>
      <c r="AN338" s="2">
        <v>-16.420000000000002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45943</v>
      </c>
      <c r="B339" t="s">
        <v>48</v>
      </c>
      <c r="C339">
        <v>649163</v>
      </c>
      <c r="D339">
        <v>2024573703</v>
      </c>
      <c r="E339" t="s">
        <v>226</v>
      </c>
      <c r="F339" t="s">
        <v>227</v>
      </c>
      <c r="G339" t="s">
        <v>51</v>
      </c>
      <c r="H339" t="s">
        <v>228</v>
      </c>
      <c r="I339" t="s">
        <v>116</v>
      </c>
      <c r="J339" t="s">
        <v>125</v>
      </c>
      <c r="K339">
        <v>767312</v>
      </c>
      <c r="L339" t="s">
        <v>147</v>
      </c>
      <c r="M339" t="s">
        <v>148</v>
      </c>
      <c r="N339" t="s">
        <v>179</v>
      </c>
      <c r="O339" s="1">
        <v>45536</v>
      </c>
      <c r="P339" s="1">
        <v>45936</v>
      </c>
      <c r="Q339" s="1">
        <v>45962</v>
      </c>
      <c r="R339" s="2">
        <v>-194.5</v>
      </c>
      <c r="S339">
        <v>1</v>
      </c>
      <c r="T339" t="s">
        <v>58</v>
      </c>
      <c r="U339" t="s">
        <v>180</v>
      </c>
      <c r="V339" s="3">
        <v>0.15</v>
      </c>
      <c r="W339" s="2">
        <v>0</v>
      </c>
      <c r="X339">
        <v>-1</v>
      </c>
      <c r="Y339" t="s">
        <v>181</v>
      </c>
      <c r="Z339" t="s">
        <v>182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-29.18</v>
      </c>
      <c r="AN339" s="2">
        <v>-29.18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45943</v>
      </c>
      <c r="B340" t="s">
        <v>48</v>
      </c>
      <c r="C340">
        <v>649163</v>
      </c>
      <c r="D340">
        <v>2024680807</v>
      </c>
      <c r="E340" t="s">
        <v>360</v>
      </c>
      <c r="F340" t="s">
        <v>361</v>
      </c>
      <c r="G340" t="s">
        <v>51</v>
      </c>
      <c r="H340" t="s">
        <v>91</v>
      </c>
      <c r="I340" t="s">
        <v>116</v>
      </c>
      <c r="J340" t="s">
        <v>125</v>
      </c>
      <c r="K340">
        <v>767312</v>
      </c>
      <c r="L340" t="s">
        <v>147</v>
      </c>
      <c r="M340" t="s">
        <v>148</v>
      </c>
      <c r="N340" t="s">
        <v>179</v>
      </c>
      <c r="O340" s="1">
        <v>45575</v>
      </c>
      <c r="P340" s="1">
        <v>45943</v>
      </c>
      <c r="Q340" s="1">
        <v>45971</v>
      </c>
      <c r="R340" s="2">
        <v>-89.52</v>
      </c>
      <c r="S340">
        <v>1</v>
      </c>
      <c r="T340" t="s">
        <v>58</v>
      </c>
      <c r="U340" t="s">
        <v>180</v>
      </c>
      <c r="V340" s="3">
        <v>0.15</v>
      </c>
      <c r="W340" s="2">
        <v>0</v>
      </c>
      <c r="X340">
        <v>-1</v>
      </c>
      <c r="Y340" t="s">
        <v>181</v>
      </c>
      <c r="Z340" t="s">
        <v>182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-13.43</v>
      </c>
      <c r="AN340" s="2">
        <v>-13.43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45943</v>
      </c>
      <c r="B341" t="s">
        <v>48</v>
      </c>
      <c r="C341">
        <v>649163</v>
      </c>
      <c r="D341">
        <v>2024815771</v>
      </c>
      <c r="E341" t="s">
        <v>602</v>
      </c>
      <c r="F341" t="s">
        <v>603</v>
      </c>
      <c r="G341" t="s">
        <v>51</v>
      </c>
      <c r="H341" t="s">
        <v>78</v>
      </c>
      <c r="I341" t="s">
        <v>116</v>
      </c>
      <c r="J341" t="s">
        <v>125</v>
      </c>
      <c r="K341">
        <v>673059</v>
      </c>
      <c r="L341" t="s">
        <v>55</v>
      </c>
      <c r="M341" t="s">
        <v>56</v>
      </c>
      <c r="N341" t="s">
        <v>57</v>
      </c>
      <c r="O341" s="1">
        <v>45547</v>
      </c>
      <c r="Q341" s="1">
        <v>45973</v>
      </c>
      <c r="R341" s="2">
        <v>51</v>
      </c>
      <c r="S341">
        <v>1</v>
      </c>
      <c r="T341" t="s">
        <v>58</v>
      </c>
      <c r="U341" t="s">
        <v>180</v>
      </c>
      <c r="V341" s="3">
        <v>0.15</v>
      </c>
      <c r="W341" s="2">
        <v>0</v>
      </c>
      <c r="X341">
        <v>0</v>
      </c>
      <c r="Y341" t="s">
        <v>181</v>
      </c>
      <c r="Z341" t="s">
        <v>182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7.65</v>
      </c>
      <c r="AN341" s="2">
        <v>7.65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45943</v>
      </c>
      <c r="B342" t="s">
        <v>48</v>
      </c>
      <c r="C342">
        <v>649163</v>
      </c>
      <c r="D342">
        <v>2024834572</v>
      </c>
      <c r="E342" t="s">
        <v>229</v>
      </c>
      <c r="F342" t="s">
        <v>194</v>
      </c>
      <c r="G342" t="s">
        <v>51</v>
      </c>
      <c r="H342" t="s">
        <v>102</v>
      </c>
      <c r="I342" t="s">
        <v>116</v>
      </c>
      <c r="J342" t="s">
        <v>125</v>
      </c>
      <c r="K342">
        <v>767312</v>
      </c>
      <c r="L342" t="s">
        <v>147</v>
      </c>
      <c r="M342" t="s">
        <v>148</v>
      </c>
      <c r="N342" t="s">
        <v>57</v>
      </c>
      <c r="O342" s="1">
        <v>45549</v>
      </c>
      <c r="Q342" s="1">
        <v>45975</v>
      </c>
      <c r="R342" s="2">
        <v>87.77</v>
      </c>
      <c r="S342">
        <v>1</v>
      </c>
      <c r="T342" t="s">
        <v>58</v>
      </c>
      <c r="U342" t="s">
        <v>180</v>
      </c>
      <c r="V342" s="3">
        <v>0.15</v>
      </c>
      <c r="W342" s="2">
        <v>0</v>
      </c>
      <c r="X342">
        <v>0</v>
      </c>
      <c r="Y342" t="s">
        <v>181</v>
      </c>
      <c r="Z342" t="s">
        <v>182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13.17</v>
      </c>
      <c r="AN342" s="2">
        <v>13.17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45943</v>
      </c>
      <c r="B343" t="s">
        <v>48</v>
      </c>
      <c r="C343">
        <v>649163</v>
      </c>
      <c r="D343">
        <v>2024853075</v>
      </c>
      <c r="E343" t="s">
        <v>362</v>
      </c>
      <c r="F343" t="s">
        <v>363</v>
      </c>
      <c r="G343" t="s">
        <v>51</v>
      </c>
      <c r="H343" t="s">
        <v>225</v>
      </c>
      <c r="I343" t="s">
        <v>116</v>
      </c>
      <c r="J343" t="s">
        <v>125</v>
      </c>
      <c r="K343">
        <v>650218</v>
      </c>
      <c r="L343" t="s">
        <v>195</v>
      </c>
      <c r="M343" t="s">
        <v>196</v>
      </c>
      <c r="N343" t="s">
        <v>57</v>
      </c>
      <c r="O343" s="1">
        <v>45550</v>
      </c>
      <c r="Q343" s="1">
        <v>45976</v>
      </c>
      <c r="R343" s="2">
        <v>18.920000000000002</v>
      </c>
      <c r="S343">
        <v>1</v>
      </c>
      <c r="T343" t="s">
        <v>58</v>
      </c>
      <c r="U343" t="s">
        <v>180</v>
      </c>
      <c r="V343" s="3">
        <v>0.15</v>
      </c>
      <c r="W343" s="2">
        <v>0</v>
      </c>
      <c r="X343">
        <v>0</v>
      </c>
      <c r="Y343" t="s">
        <v>181</v>
      </c>
      <c r="Z343" t="s">
        <v>182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2.84</v>
      </c>
      <c r="AN343" s="2">
        <v>2.84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45943</v>
      </c>
      <c r="B344" t="s">
        <v>48</v>
      </c>
      <c r="C344">
        <v>649163</v>
      </c>
      <c r="D344">
        <v>2024864177</v>
      </c>
      <c r="E344" t="s">
        <v>604</v>
      </c>
      <c r="F344" t="s">
        <v>605</v>
      </c>
      <c r="G344" t="s">
        <v>51</v>
      </c>
      <c r="H344" t="s">
        <v>91</v>
      </c>
      <c r="I344" t="s">
        <v>116</v>
      </c>
      <c r="J344" t="s">
        <v>120</v>
      </c>
      <c r="K344">
        <v>767312</v>
      </c>
      <c r="L344" t="s">
        <v>147</v>
      </c>
      <c r="M344" t="s">
        <v>148</v>
      </c>
      <c r="N344" t="s">
        <v>57</v>
      </c>
      <c r="O344" s="1">
        <v>45549</v>
      </c>
      <c r="Q344" s="1">
        <v>45975</v>
      </c>
      <c r="R344" s="2">
        <v>19.309999999999999</v>
      </c>
      <c r="S344">
        <v>1</v>
      </c>
      <c r="T344" t="s">
        <v>58</v>
      </c>
      <c r="U344" t="s">
        <v>180</v>
      </c>
      <c r="V344" s="3">
        <v>0.1</v>
      </c>
      <c r="W344" s="2">
        <v>0</v>
      </c>
      <c r="X344">
        <v>0</v>
      </c>
      <c r="Y344" t="s">
        <v>181</v>
      </c>
      <c r="Z344" t="s">
        <v>182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1.93</v>
      </c>
      <c r="AN344" s="2">
        <v>1.93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45943</v>
      </c>
      <c r="B345" t="s">
        <v>48</v>
      </c>
      <c r="C345">
        <v>649163</v>
      </c>
      <c r="D345">
        <v>2024895605</v>
      </c>
      <c r="E345" t="s">
        <v>606</v>
      </c>
      <c r="F345" t="s">
        <v>90</v>
      </c>
      <c r="G345" t="s">
        <v>51</v>
      </c>
      <c r="H345" t="s">
        <v>91</v>
      </c>
      <c r="I345" t="s">
        <v>116</v>
      </c>
      <c r="J345" t="s">
        <v>125</v>
      </c>
      <c r="K345">
        <v>767312</v>
      </c>
      <c r="L345" t="s">
        <v>147</v>
      </c>
      <c r="M345" t="s">
        <v>148</v>
      </c>
      <c r="N345" t="s">
        <v>57</v>
      </c>
      <c r="O345" s="1">
        <v>45552</v>
      </c>
      <c r="Q345" s="1">
        <v>45978</v>
      </c>
      <c r="R345" s="2">
        <v>60.4</v>
      </c>
      <c r="S345">
        <v>1</v>
      </c>
      <c r="T345" t="s">
        <v>58</v>
      </c>
      <c r="U345" t="s">
        <v>180</v>
      </c>
      <c r="V345" s="3">
        <v>0.15</v>
      </c>
      <c r="W345" s="2">
        <v>0</v>
      </c>
      <c r="X345">
        <v>0</v>
      </c>
      <c r="Y345" t="s">
        <v>181</v>
      </c>
      <c r="Z345" t="s">
        <v>182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9.06</v>
      </c>
      <c r="AN345" s="2">
        <v>9.06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45943</v>
      </c>
      <c r="B346" t="s">
        <v>48</v>
      </c>
      <c r="C346">
        <v>649163</v>
      </c>
      <c r="D346">
        <v>2025167144</v>
      </c>
      <c r="E346" t="s">
        <v>607</v>
      </c>
      <c r="F346" t="s">
        <v>608</v>
      </c>
      <c r="G346" t="s">
        <v>51</v>
      </c>
      <c r="H346" t="s">
        <v>91</v>
      </c>
      <c r="I346" t="s">
        <v>116</v>
      </c>
      <c r="J346" t="s">
        <v>125</v>
      </c>
      <c r="K346">
        <v>767312</v>
      </c>
      <c r="L346" t="s">
        <v>147</v>
      </c>
      <c r="M346" t="s">
        <v>148</v>
      </c>
      <c r="N346" t="s">
        <v>57</v>
      </c>
      <c r="O346" s="1">
        <v>45581</v>
      </c>
      <c r="Q346" s="1">
        <v>45977</v>
      </c>
      <c r="R346" s="2">
        <v>68.61</v>
      </c>
      <c r="S346">
        <v>1</v>
      </c>
      <c r="T346" t="s">
        <v>58</v>
      </c>
      <c r="U346" t="s">
        <v>180</v>
      </c>
      <c r="V346" s="3">
        <v>0.15</v>
      </c>
      <c r="W346" s="2">
        <v>0</v>
      </c>
      <c r="X346">
        <v>0</v>
      </c>
      <c r="Y346" t="s">
        <v>181</v>
      </c>
      <c r="Z346" t="s">
        <v>182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10.29</v>
      </c>
      <c r="AN346" s="2">
        <v>10.29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45943</v>
      </c>
      <c r="B347" t="s">
        <v>48</v>
      </c>
      <c r="C347">
        <v>649163</v>
      </c>
      <c r="D347">
        <v>2025167151</v>
      </c>
      <c r="E347" t="s">
        <v>609</v>
      </c>
      <c r="F347" t="s">
        <v>610</v>
      </c>
      <c r="G347" t="s">
        <v>51</v>
      </c>
      <c r="H347" t="s">
        <v>91</v>
      </c>
      <c r="I347" t="s">
        <v>116</v>
      </c>
      <c r="J347" t="s">
        <v>125</v>
      </c>
      <c r="K347">
        <v>767312</v>
      </c>
      <c r="L347" t="s">
        <v>147</v>
      </c>
      <c r="M347" t="s">
        <v>148</v>
      </c>
      <c r="N347" t="s">
        <v>57</v>
      </c>
      <c r="O347" s="1">
        <v>45581</v>
      </c>
      <c r="Q347" s="1">
        <v>45977</v>
      </c>
      <c r="R347" s="2">
        <v>109.36</v>
      </c>
      <c r="S347">
        <v>1</v>
      </c>
      <c r="T347" t="s">
        <v>58</v>
      </c>
      <c r="U347" t="s">
        <v>180</v>
      </c>
      <c r="V347" s="3">
        <v>0.15</v>
      </c>
      <c r="W347" s="2">
        <v>0</v>
      </c>
      <c r="X347">
        <v>0</v>
      </c>
      <c r="Y347" t="s">
        <v>181</v>
      </c>
      <c r="Z347" t="s">
        <v>182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16.399999999999999</v>
      </c>
      <c r="AN347" s="2">
        <v>16.399999999999999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45943</v>
      </c>
      <c r="B348" t="s">
        <v>48</v>
      </c>
      <c r="C348">
        <v>649163</v>
      </c>
      <c r="D348">
        <v>2025254890</v>
      </c>
      <c r="E348" t="s">
        <v>230</v>
      </c>
      <c r="F348" t="s">
        <v>231</v>
      </c>
      <c r="G348" t="s">
        <v>51</v>
      </c>
      <c r="H348" t="s">
        <v>130</v>
      </c>
      <c r="I348" t="s">
        <v>116</v>
      </c>
      <c r="J348" t="s">
        <v>125</v>
      </c>
      <c r="K348">
        <v>767312</v>
      </c>
      <c r="L348" t="s">
        <v>147</v>
      </c>
      <c r="M348" t="s">
        <v>148</v>
      </c>
      <c r="N348" t="s">
        <v>57</v>
      </c>
      <c r="O348" s="1">
        <v>45576</v>
      </c>
      <c r="Q348" s="1">
        <v>45972</v>
      </c>
      <c r="R348" s="2">
        <v>35.04</v>
      </c>
      <c r="S348">
        <v>1</v>
      </c>
      <c r="T348" t="s">
        <v>58</v>
      </c>
      <c r="U348" t="s">
        <v>180</v>
      </c>
      <c r="V348" s="3">
        <v>0.15</v>
      </c>
      <c r="W348" s="2">
        <v>0</v>
      </c>
      <c r="X348">
        <v>0</v>
      </c>
      <c r="Y348" t="s">
        <v>181</v>
      </c>
      <c r="Z348" t="s">
        <v>182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5.26</v>
      </c>
      <c r="AN348" s="2">
        <v>5.26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45943</v>
      </c>
      <c r="B349" t="s">
        <v>48</v>
      </c>
      <c r="C349">
        <v>649163</v>
      </c>
      <c r="D349">
        <v>2025254891</v>
      </c>
      <c r="E349" t="s">
        <v>230</v>
      </c>
      <c r="F349" t="s">
        <v>231</v>
      </c>
      <c r="G349" t="s">
        <v>51</v>
      </c>
      <c r="H349" t="s">
        <v>130</v>
      </c>
      <c r="I349" t="s">
        <v>116</v>
      </c>
      <c r="J349" t="s">
        <v>120</v>
      </c>
      <c r="K349">
        <v>767312</v>
      </c>
      <c r="L349" t="s">
        <v>147</v>
      </c>
      <c r="M349" t="s">
        <v>148</v>
      </c>
      <c r="N349" t="s">
        <v>57</v>
      </c>
      <c r="O349" s="1">
        <v>45576</v>
      </c>
      <c r="Q349" s="1">
        <v>45972</v>
      </c>
      <c r="R349" s="2">
        <v>19.28</v>
      </c>
      <c r="S349">
        <v>1</v>
      </c>
      <c r="T349" t="s">
        <v>58</v>
      </c>
      <c r="U349" t="s">
        <v>180</v>
      </c>
      <c r="V349" s="3">
        <v>0.1</v>
      </c>
      <c r="W349" s="2">
        <v>0</v>
      </c>
      <c r="X349">
        <v>0</v>
      </c>
      <c r="Y349" t="s">
        <v>181</v>
      </c>
      <c r="Z349" t="s">
        <v>182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1.93</v>
      </c>
      <c r="AN349" s="2">
        <v>1.93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45943</v>
      </c>
      <c r="B350" t="s">
        <v>48</v>
      </c>
      <c r="C350">
        <v>649163</v>
      </c>
      <c r="D350">
        <v>2025262310</v>
      </c>
      <c r="E350" t="s">
        <v>233</v>
      </c>
      <c r="F350" t="s">
        <v>90</v>
      </c>
      <c r="G350" t="s">
        <v>51</v>
      </c>
      <c r="H350" t="s">
        <v>69</v>
      </c>
      <c r="I350" t="s">
        <v>116</v>
      </c>
      <c r="J350" t="s">
        <v>125</v>
      </c>
      <c r="K350">
        <v>796984</v>
      </c>
      <c r="L350" t="s">
        <v>234</v>
      </c>
      <c r="M350" t="s">
        <v>122</v>
      </c>
      <c r="N350" t="s">
        <v>57</v>
      </c>
      <c r="O350" s="1">
        <v>45576</v>
      </c>
      <c r="Q350" s="1">
        <v>45972</v>
      </c>
      <c r="R350" s="2">
        <v>9.6999999999999993</v>
      </c>
      <c r="S350">
        <v>1</v>
      </c>
      <c r="T350" t="s">
        <v>58</v>
      </c>
      <c r="U350" t="s">
        <v>180</v>
      </c>
      <c r="V350" s="3">
        <v>0.15</v>
      </c>
      <c r="W350" s="2">
        <v>0</v>
      </c>
      <c r="X350">
        <v>0</v>
      </c>
      <c r="Y350" t="s">
        <v>181</v>
      </c>
      <c r="Z350" t="s">
        <v>182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1.46</v>
      </c>
      <c r="AN350" s="2">
        <v>1.46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45943</v>
      </c>
      <c r="B351" t="s">
        <v>48</v>
      </c>
      <c r="C351">
        <v>649163</v>
      </c>
      <c r="D351">
        <v>2025262311</v>
      </c>
      <c r="E351" t="s">
        <v>233</v>
      </c>
      <c r="F351" t="s">
        <v>90</v>
      </c>
      <c r="G351" t="s">
        <v>51</v>
      </c>
      <c r="H351" t="s">
        <v>69</v>
      </c>
      <c r="I351" t="s">
        <v>116</v>
      </c>
      <c r="J351" t="s">
        <v>591</v>
      </c>
      <c r="K351">
        <v>796984</v>
      </c>
      <c r="L351" t="s">
        <v>234</v>
      </c>
      <c r="M351" t="s">
        <v>122</v>
      </c>
      <c r="N351" t="s">
        <v>57</v>
      </c>
      <c r="O351" s="1">
        <v>45576</v>
      </c>
      <c r="Q351" s="1">
        <v>45972</v>
      </c>
      <c r="R351" s="2">
        <v>6.3</v>
      </c>
      <c r="S351">
        <v>1</v>
      </c>
      <c r="T351" t="s">
        <v>58</v>
      </c>
      <c r="U351" t="s">
        <v>180</v>
      </c>
      <c r="V351" s="3">
        <v>0.15</v>
      </c>
      <c r="W351" s="2">
        <v>0</v>
      </c>
      <c r="X351">
        <v>0</v>
      </c>
      <c r="Y351" t="s">
        <v>181</v>
      </c>
      <c r="Z351" t="s">
        <v>182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0.94</v>
      </c>
      <c r="AN351" s="2">
        <v>0.94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45943</v>
      </c>
      <c r="B352" t="s">
        <v>48</v>
      </c>
      <c r="C352">
        <v>649163</v>
      </c>
      <c r="D352">
        <v>2025265220</v>
      </c>
      <c r="E352" t="s">
        <v>212</v>
      </c>
      <c r="F352" t="s">
        <v>611</v>
      </c>
      <c r="G352" t="s">
        <v>51</v>
      </c>
      <c r="H352" t="s">
        <v>91</v>
      </c>
      <c r="I352" t="s">
        <v>116</v>
      </c>
      <c r="J352" t="s">
        <v>120</v>
      </c>
      <c r="K352">
        <v>767312</v>
      </c>
      <c r="L352" t="s">
        <v>147</v>
      </c>
      <c r="M352" t="s">
        <v>148</v>
      </c>
      <c r="N352" t="s">
        <v>57</v>
      </c>
      <c r="O352" s="1">
        <v>45576</v>
      </c>
      <c r="Q352" s="1">
        <v>45972</v>
      </c>
      <c r="R352" s="2">
        <v>27.81</v>
      </c>
      <c r="S352">
        <v>1</v>
      </c>
      <c r="T352" t="s">
        <v>58</v>
      </c>
      <c r="U352" t="s">
        <v>180</v>
      </c>
      <c r="V352" s="3">
        <v>0.1</v>
      </c>
      <c r="W352" s="2">
        <v>0</v>
      </c>
      <c r="X352">
        <v>0</v>
      </c>
      <c r="Y352" t="s">
        <v>181</v>
      </c>
      <c r="Z352" t="s">
        <v>182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2.78</v>
      </c>
      <c r="AN352" s="2">
        <v>2.78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45943</v>
      </c>
      <c r="B353" t="s">
        <v>48</v>
      </c>
      <c r="C353">
        <v>649163</v>
      </c>
      <c r="D353">
        <v>2025265267</v>
      </c>
      <c r="E353" t="s">
        <v>612</v>
      </c>
      <c r="F353" t="s">
        <v>613</v>
      </c>
      <c r="G353" t="s">
        <v>51</v>
      </c>
      <c r="H353" t="s">
        <v>91</v>
      </c>
      <c r="I353" t="s">
        <v>116</v>
      </c>
      <c r="J353" t="s">
        <v>120</v>
      </c>
      <c r="K353">
        <v>767312</v>
      </c>
      <c r="L353" t="s">
        <v>147</v>
      </c>
      <c r="M353" t="s">
        <v>148</v>
      </c>
      <c r="N353" t="s">
        <v>57</v>
      </c>
      <c r="O353" s="1">
        <v>45576</v>
      </c>
      <c r="Q353" s="1">
        <v>45972</v>
      </c>
      <c r="R353" s="2">
        <v>10.31</v>
      </c>
      <c r="S353">
        <v>1</v>
      </c>
      <c r="T353" t="s">
        <v>58</v>
      </c>
      <c r="U353" t="s">
        <v>180</v>
      </c>
      <c r="V353" s="3">
        <v>0.1</v>
      </c>
      <c r="W353" s="2">
        <v>0</v>
      </c>
      <c r="X353">
        <v>0</v>
      </c>
      <c r="Y353" t="s">
        <v>181</v>
      </c>
      <c r="Z353" t="s">
        <v>182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1.03</v>
      </c>
      <c r="AN353" s="2">
        <v>1.03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45943</v>
      </c>
      <c r="B354" t="s">
        <v>48</v>
      </c>
      <c r="C354">
        <v>649163</v>
      </c>
      <c r="D354">
        <v>2025286363</v>
      </c>
      <c r="E354" t="s">
        <v>614</v>
      </c>
      <c r="F354" t="s">
        <v>615</v>
      </c>
      <c r="G354" t="s">
        <v>51</v>
      </c>
      <c r="H354" t="s">
        <v>272</v>
      </c>
      <c r="I354" t="s">
        <v>116</v>
      </c>
      <c r="J354" t="s">
        <v>125</v>
      </c>
      <c r="K354">
        <v>767312</v>
      </c>
      <c r="L354" t="s">
        <v>147</v>
      </c>
      <c r="M354" t="s">
        <v>148</v>
      </c>
      <c r="N354" t="s">
        <v>57</v>
      </c>
      <c r="O354" s="1">
        <v>45577</v>
      </c>
      <c r="Q354" s="1">
        <v>45973</v>
      </c>
      <c r="R354" s="2">
        <v>31.88</v>
      </c>
      <c r="S354">
        <v>1</v>
      </c>
      <c r="T354" t="s">
        <v>58</v>
      </c>
      <c r="U354" t="s">
        <v>180</v>
      </c>
      <c r="V354" s="3">
        <v>0.15</v>
      </c>
      <c r="W354" s="2">
        <v>0</v>
      </c>
      <c r="X354">
        <v>0</v>
      </c>
      <c r="Y354" t="s">
        <v>181</v>
      </c>
      <c r="Z354" t="s">
        <v>182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4.78</v>
      </c>
      <c r="AN354" s="2">
        <v>4.78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45943</v>
      </c>
      <c r="B355" t="s">
        <v>48</v>
      </c>
      <c r="C355">
        <v>649163</v>
      </c>
      <c r="D355">
        <v>2025287066</v>
      </c>
      <c r="E355" t="s">
        <v>235</v>
      </c>
      <c r="F355" t="s">
        <v>236</v>
      </c>
      <c r="G355" t="s">
        <v>51</v>
      </c>
      <c r="H355" t="s">
        <v>52</v>
      </c>
      <c r="I355" t="s">
        <v>116</v>
      </c>
      <c r="J355" t="s">
        <v>125</v>
      </c>
      <c r="K355">
        <v>767312</v>
      </c>
      <c r="L355" t="s">
        <v>147</v>
      </c>
      <c r="M355" t="s">
        <v>148</v>
      </c>
      <c r="N355" t="s">
        <v>57</v>
      </c>
      <c r="O355" s="1">
        <v>45577</v>
      </c>
      <c r="Q355" s="1">
        <v>45973</v>
      </c>
      <c r="R355" s="2">
        <v>26.73</v>
      </c>
      <c r="S355">
        <v>1</v>
      </c>
      <c r="T355" t="s">
        <v>58</v>
      </c>
      <c r="U355" t="s">
        <v>180</v>
      </c>
      <c r="V355" s="3">
        <v>0.15</v>
      </c>
      <c r="W355" s="2">
        <v>0</v>
      </c>
      <c r="X355">
        <v>0</v>
      </c>
      <c r="Y355" t="s">
        <v>181</v>
      </c>
      <c r="Z355" t="s">
        <v>182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4.01</v>
      </c>
      <c r="AN355" s="2">
        <v>4.01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45943</v>
      </c>
      <c r="B356" t="s">
        <v>48</v>
      </c>
      <c r="C356">
        <v>649163</v>
      </c>
      <c r="D356">
        <v>2025316509</v>
      </c>
      <c r="E356" t="s">
        <v>237</v>
      </c>
      <c r="F356" t="s">
        <v>238</v>
      </c>
      <c r="G356" t="s">
        <v>51</v>
      </c>
      <c r="H356" t="s">
        <v>219</v>
      </c>
      <c r="I356" t="s">
        <v>116</v>
      </c>
      <c r="J356" t="s">
        <v>125</v>
      </c>
      <c r="K356">
        <v>767312</v>
      </c>
      <c r="L356" t="s">
        <v>147</v>
      </c>
      <c r="M356" t="s">
        <v>148</v>
      </c>
      <c r="N356" t="s">
        <v>57</v>
      </c>
      <c r="O356" s="1">
        <v>45580</v>
      </c>
      <c r="Q356" s="1">
        <v>45976</v>
      </c>
      <c r="R356" s="2">
        <v>46.36</v>
      </c>
      <c r="S356">
        <v>1</v>
      </c>
      <c r="T356" t="s">
        <v>58</v>
      </c>
      <c r="U356" t="s">
        <v>180</v>
      </c>
      <c r="V356" s="3">
        <v>0.15</v>
      </c>
      <c r="W356" s="2">
        <v>0</v>
      </c>
      <c r="X356">
        <v>0</v>
      </c>
      <c r="Y356" t="s">
        <v>181</v>
      </c>
      <c r="Z356" t="s">
        <v>182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6.95</v>
      </c>
      <c r="AN356" s="2">
        <v>6.95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45943</v>
      </c>
      <c r="B357" t="s">
        <v>48</v>
      </c>
      <c r="C357">
        <v>649163</v>
      </c>
      <c r="D357">
        <v>2025621632</v>
      </c>
      <c r="E357" t="s">
        <v>616</v>
      </c>
      <c r="F357" t="s">
        <v>617</v>
      </c>
      <c r="G357" t="s">
        <v>51</v>
      </c>
      <c r="H357" t="s">
        <v>78</v>
      </c>
      <c r="I357" t="s">
        <v>116</v>
      </c>
      <c r="J357" t="s">
        <v>125</v>
      </c>
      <c r="K357">
        <v>760902</v>
      </c>
      <c r="L357" t="s">
        <v>618</v>
      </c>
      <c r="M357" t="s">
        <v>619</v>
      </c>
      <c r="N357" t="s">
        <v>57</v>
      </c>
      <c r="O357" s="1">
        <v>45611</v>
      </c>
      <c r="Q357" s="1">
        <v>45976</v>
      </c>
      <c r="R357" s="2">
        <v>34</v>
      </c>
      <c r="S357">
        <v>1</v>
      </c>
      <c r="T357" t="s">
        <v>58</v>
      </c>
      <c r="U357" t="s">
        <v>180</v>
      </c>
      <c r="V357" s="3">
        <v>0.7</v>
      </c>
      <c r="W357" s="2">
        <v>0</v>
      </c>
      <c r="X357">
        <v>0</v>
      </c>
      <c r="Y357" t="s">
        <v>60</v>
      </c>
      <c r="Z357" t="s">
        <v>182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23.8</v>
      </c>
      <c r="AN357" s="2">
        <v>23.8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45943</v>
      </c>
      <c r="B358" t="s">
        <v>48</v>
      </c>
      <c r="C358">
        <v>649163</v>
      </c>
      <c r="D358">
        <v>2025721593</v>
      </c>
      <c r="E358" t="s">
        <v>239</v>
      </c>
      <c r="F358" t="s">
        <v>194</v>
      </c>
      <c r="G358" t="s">
        <v>51</v>
      </c>
      <c r="H358" t="s">
        <v>69</v>
      </c>
      <c r="I358" t="s">
        <v>116</v>
      </c>
      <c r="J358" t="s">
        <v>125</v>
      </c>
      <c r="K358">
        <v>796984</v>
      </c>
      <c r="L358" t="s">
        <v>234</v>
      </c>
      <c r="M358" t="s">
        <v>122</v>
      </c>
      <c r="N358" t="s">
        <v>57</v>
      </c>
      <c r="O358" s="1">
        <v>45608</v>
      </c>
      <c r="Q358" s="1">
        <v>45973</v>
      </c>
      <c r="R358" s="2">
        <v>27.38</v>
      </c>
      <c r="S358">
        <v>1</v>
      </c>
      <c r="T358" t="s">
        <v>58</v>
      </c>
      <c r="U358" t="s">
        <v>180</v>
      </c>
      <c r="V358" s="3">
        <v>0.7</v>
      </c>
      <c r="W358" s="2">
        <v>0</v>
      </c>
      <c r="X358">
        <v>0</v>
      </c>
      <c r="Y358" t="s">
        <v>60</v>
      </c>
      <c r="Z358" t="s">
        <v>182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19.170000000000002</v>
      </c>
      <c r="AN358" s="2">
        <v>19.170000000000002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45943</v>
      </c>
      <c r="B359" t="s">
        <v>48</v>
      </c>
      <c r="C359">
        <v>649163</v>
      </c>
      <c r="D359">
        <v>2025721594</v>
      </c>
      <c r="E359" t="s">
        <v>239</v>
      </c>
      <c r="F359" t="s">
        <v>194</v>
      </c>
      <c r="G359" t="s">
        <v>51</v>
      </c>
      <c r="H359" t="s">
        <v>69</v>
      </c>
      <c r="I359" t="s">
        <v>116</v>
      </c>
      <c r="J359" t="s">
        <v>591</v>
      </c>
      <c r="K359">
        <v>796984</v>
      </c>
      <c r="L359" t="s">
        <v>234</v>
      </c>
      <c r="M359" t="s">
        <v>122</v>
      </c>
      <c r="N359" t="s">
        <v>57</v>
      </c>
      <c r="O359" s="1">
        <v>45608</v>
      </c>
      <c r="Q359" s="1">
        <v>45973</v>
      </c>
      <c r="R359" s="2">
        <v>20.95</v>
      </c>
      <c r="S359">
        <v>1</v>
      </c>
      <c r="T359" t="s">
        <v>58</v>
      </c>
      <c r="U359" t="s">
        <v>180</v>
      </c>
      <c r="V359" s="3">
        <v>0.7</v>
      </c>
      <c r="W359" s="2">
        <v>0</v>
      </c>
      <c r="X359">
        <v>0</v>
      </c>
      <c r="Y359" t="s">
        <v>60</v>
      </c>
      <c r="Z359" t="s">
        <v>182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14.66</v>
      </c>
      <c r="AN359" s="2">
        <v>14.66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45943</v>
      </c>
      <c r="B360" t="s">
        <v>48</v>
      </c>
      <c r="C360">
        <v>649163</v>
      </c>
      <c r="D360">
        <v>2025724991</v>
      </c>
      <c r="E360" t="s">
        <v>412</v>
      </c>
      <c r="F360" t="s">
        <v>413</v>
      </c>
      <c r="G360" t="s">
        <v>51</v>
      </c>
      <c r="H360" t="s">
        <v>214</v>
      </c>
      <c r="I360" t="s">
        <v>116</v>
      </c>
      <c r="J360" t="s">
        <v>125</v>
      </c>
      <c r="K360">
        <v>756418</v>
      </c>
      <c r="L360" t="s">
        <v>216</v>
      </c>
      <c r="M360" t="s">
        <v>217</v>
      </c>
      <c r="N360" t="s">
        <v>57</v>
      </c>
      <c r="O360" s="1">
        <v>45608</v>
      </c>
      <c r="Q360" s="1">
        <v>45973</v>
      </c>
      <c r="R360" s="2">
        <v>46.17</v>
      </c>
      <c r="S360">
        <v>1</v>
      </c>
      <c r="T360" t="s">
        <v>58</v>
      </c>
      <c r="U360" t="s">
        <v>180</v>
      </c>
      <c r="V360" s="3">
        <v>0.7</v>
      </c>
      <c r="W360" s="2">
        <v>0</v>
      </c>
      <c r="X360">
        <v>0</v>
      </c>
      <c r="Y360" t="s">
        <v>60</v>
      </c>
      <c r="Z360" t="s">
        <v>182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32.32</v>
      </c>
      <c r="AN360" s="2">
        <v>32.32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45943</v>
      </c>
      <c r="B361" t="s">
        <v>48</v>
      </c>
      <c r="C361">
        <v>649163</v>
      </c>
      <c r="D361">
        <v>2025727308</v>
      </c>
      <c r="E361" t="s">
        <v>240</v>
      </c>
      <c r="F361" t="s">
        <v>241</v>
      </c>
      <c r="G361" t="s">
        <v>51</v>
      </c>
      <c r="H361" t="s">
        <v>69</v>
      </c>
      <c r="I361" t="s">
        <v>116</v>
      </c>
      <c r="J361" t="s">
        <v>125</v>
      </c>
      <c r="K361">
        <v>796984</v>
      </c>
      <c r="L361" t="s">
        <v>234</v>
      </c>
      <c r="M361" t="s">
        <v>122</v>
      </c>
      <c r="N361" t="s">
        <v>57</v>
      </c>
      <c r="O361" s="1">
        <v>45608</v>
      </c>
      <c r="Q361" s="1">
        <v>45973</v>
      </c>
      <c r="R361" s="2">
        <v>9.1</v>
      </c>
      <c r="S361">
        <v>1</v>
      </c>
      <c r="T361" t="s">
        <v>58</v>
      </c>
      <c r="U361" t="s">
        <v>180</v>
      </c>
      <c r="V361" s="3">
        <v>0.7</v>
      </c>
      <c r="W361" s="2">
        <v>0</v>
      </c>
      <c r="X361">
        <v>0</v>
      </c>
      <c r="Y361" t="s">
        <v>60</v>
      </c>
      <c r="Z361" t="s">
        <v>182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6.37</v>
      </c>
      <c r="AN361" s="2">
        <v>6.37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45943</v>
      </c>
      <c r="B362" t="s">
        <v>48</v>
      </c>
      <c r="C362">
        <v>649163</v>
      </c>
      <c r="D362">
        <v>2025744022</v>
      </c>
      <c r="E362" t="s">
        <v>620</v>
      </c>
      <c r="F362" t="s">
        <v>621</v>
      </c>
      <c r="G362" t="s">
        <v>51</v>
      </c>
      <c r="H362" t="s">
        <v>78</v>
      </c>
      <c r="I362" t="s">
        <v>116</v>
      </c>
      <c r="J362" t="s">
        <v>125</v>
      </c>
      <c r="K362">
        <v>806645</v>
      </c>
      <c r="L362" t="s">
        <v>525</v>
      </c>
      <c r="M362" t="s">
        <v>526</v>
      </c>
      <c r="N362" t="s">
        <v>57</v>
      </c>
      <c r="O362" s="1">
        <v>45609</v>
      </c>
      <c r="Q362" s="1">
        <v>45974</v>
      </c>
      <c r="R362" s="2">
        <v>118</v>
      </c>
      <c r="S362">
        <v>1</v>
      </c>
      <c r="T362" t="s">
        <v>58</v>
      </c>
      <c r="U362" t="s">
        <v>180</v>
      </c>
      <c r="V362" s="3">
        <v>0.7</v>
      </c>
      <c r="W362" s="2">
        <v>0</v>
      </c>
      <c r="X362">
        <v>0</v>
      </c>
      <c r="Y362" t="s">
        <v>60</v>
      </c>
      <c r="Z362" t="s">
        <v>182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82.6</v>
      </c>
      <c r="AN362" s="2">
        <v>82.6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45943</v>
      </c>
      <c r="B363" t="s">
        <v>48</v>
      </c>
      <c r="C363">
        <v>649163</v>
      </c>
      <c r="D363">
        <v>2025783063</v>
      </c>
      <c r="E363" t="s">
        <v>622</v>
      </c>
      <c r="F363" t="s">
        <v>623</v>
      </c>
      <c r="G363" t="s">
        <v>51</v>
      </c>
      <c r="H363" t="s">
        <v>130</v>
      </c>
      <c r="I363" t="s">
        <v>116</v>
      </c>
      <c r="J363" t="s">
        <v>120</v>
      </c>
      <c r="K363">
        <v>767312</v>
      </c>
      <c r="L363" t="s">
        <v>147</v>
      </c>
      <c r="M363" t="s">
        <v>148</v>
      </c>
      <c r="N363" t="s">
        <v>57</v>
      </c>
      <c r="O363" s="1">
        <v>45612</v>
      </c>
      <c r="Q363" s="1">
        <v>45977</v>
      </c>
      <c r="R363" s="2">
        <v>58.17</v>
      </c>
      <c r="S363">
        <v>1</v>
      </c>
      <c r="T363" t="s">
        <v>58</v>
      </c>
      <c r="U363" t="s">
        <v>180</v>
      </c>
      <c r="V363" s="3">
        <v>0.9</v>
      </c>
      <c r="W363" s="2">
        <v>0</v>
      </c>
      <c r="X363">
        <v>0</v>
      </c>
      <c r="Y363" t="s">
        <v>60</v>
      </c>
      <c r="Z363" t="s">
        <v>182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52.35</v>
      </c>
      <c r="AN363" s="2">
        <v>52.35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45943</v>
      </c>
      <c r="B364" t="s">
        <v>48</v>
      </c>
      <c r="C364">
        <v>649163</v>
      </c>
      <c r="D364">
        <v>2025783978</v>
      </c>
      <c r="E364" t="s">
        <v>622</v>
      </c>
      <c r="F364" t="s">
        <v>624</v>
      </c>
      <c r="G364" t="s">
        <v>51</v>
      </c>
      <c r="H364" t="s">
        <v>130</v>
      </c>
      <c r="I364" t="s">
        <v>116</v>
      </c>
      <c r="J364" t="s">
        <v>120</v>
      </c>
      <c r="K364">
        <v>767312</v>
      </c>
      <c r="L364" t="s">
        <v>147</v>
      </c>
      <c r="M364" t="s">
        <v>148</v>
      </c>
      <c r="N364" t="s">
        <v>57</v>
      </c>
      <c r="O364" s="1">
        <v>45612</v>
      </c>
      <c r="Q364" s="1">
        <v>45977</v>
      </c>
      <c r="R364" s="2">
        <v>16.63</v>
      </c>
      <c r="S364">
        <v>1</v>
      </c>
      <c r="T364" t="s">
        <v>58</v>
      </c>
      <c r="U364" t="s">
        <v>180</v>
      </c>
      <c r="V364" s="3">
        <v>0.9</v>
      </c>
      <c r="W364" s="2">
        <v>0</v>
      </c>
      <c r="X364">
        <v>0</v>
      </c>
      <c r="Y364" t="s">
        <v>60</v>
      </c>
      <c r="Z364" t="s">
        <v>182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14.97</v>
      </c>
      <c r="AN364" s="2">
        <v>14.97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45943</v>
      </c>
      <c r="B365" t="s">
        <v>48</v>
      </c>
      <c r="D365">
        <v>2025785647</v>
      </c>
      <c r="E365" t="s">
        <v>416</v>
      </c>
      <c r="F365" t="s">
        <v>417</v>
      </c>
      <c r="G365" t="s">
        <v>51</v>
      </c>
      <c r="H365" t="s">
        <v>225</v>
      </c>
      <c r="I365" t="s">
        <v>116</v>
      </c>
      <c r="J365" t="s">
        <v>117</v>
      </c>
      <c r="L365" t="s">
        <v>55</v>
      </c>
      <c r="M365" t="s">
        <v>56</v>
      </c>
      <c r="N365" t="s">
        <v>57</v>
      </c>
      <c r="O365" s="1">
        <v>45612</v>
      </c>
      <c r="Q365" s="1">
        <v>45977</v>
      </c>
      <c r="R365" s="2">
        <v>51.46</v>
      </c>
      <c r="S365">
        <v>1</v>
      </c>
      <c r="T365" t="s">
        <v>58</v>
      </c>
      <c r="U365" t="s">
        <v>180</v>
      </c>
      <c r="V365" s="3">
        <v>0.7</v>
      </c>
      <c r="W365" s="2">
        <v>0</v>
      </c>
      <c r="X365">
        <v>0</v>
      </c>
      <c r="Y365" t="s">
        <v>60</v>
      </c>
      <c r="Z365" t="s">
        <v>182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36.020000000000003</v>
      </c>
      <c r="AN365" s="2">
        <v>36.020000000000003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45943</v>
      </c>
      <c r="B366" t="s">
        <v>48</v>
      </c>
      <c r="C366">
        <v>649163</v>
      </c>
      <c r="D366">
        <v>2026054687</v>
      </c>
      <c r="E366" t="s">
        <v>476</v>
      </c>
      <c r="F366" t="s">
        <v>244</v>
      </c>
      <c r="G366" t="s">
        <v>51</v>
      </c>
      <c r="H366" t="s">
        <v>78</v>
      </c>
      <c r="I366" t="s">
        <v>116</v>
      </c>
      <c r="J366" t="s">
        <v>125</v>
      </c>
      <c r="K366">
        <v>766747</v>
      </c>
      <c r="L366" t="s">
        <v>477</v>
      </c>
      <c r="M366" t="s">
        <v>159</v>
      </c>
      <c r="N366" t="s">
        <v>57</v>
      </c>
      <c r="O366" s="1">
        <v>45638</v>
      </c>
      <c r="Q366" s="1">
        <v>45973</v>
      </c>
      <c r="R366" s="2">
        <v>11.5</v>
      </c>
      <c r="S366">
        <v>1</v>
      </c>
      <c r="T366" t="s">
        <v>58</v>
      </c>
      <c r="U366" t="s">
        <v>180</v>
      </c>
      <c r="V366" s="3">
        <v>0.7</v>
      </c>
      <c r="W366" s="2">
        <v>0</v>
      </c>
      <c r="X366">
        <v>0</v>
      </c>
      <c r="Y366" t="s">
        <v>60</v>
      </c>
      <c r="Z366" t="s">
        <v>182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8.0500000000000007</v>
      </c>
      <c r="AN366" s="2">
        <v>8.0500000000000007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45943</v>
      </c>
      <c r="B367" t="s">
        <v>48</v>
      </c>
      <c r="C367">
        <v>649163</v>
      </c>
      <c r="D367">
        <v>2026061217</v>
      </c>
      <c r="E367" t="s">
        <v>242</v>
      </c>
      <c r="F367" t="s">
        <v>209</v>
      </c>
      <c r="G367" t="s">
        <v>51</v>
      </c>
      <c r="H367" t="s">
        <v>69</v>
      </c>
      <c r="I367" t="s">
        <v>116</v>
      </c>
      <c r="J367" t="s">
        <v>125</v>
      </c>
      <c r="K367">
        <v>796984</v>
      </c>
      <c r="L367" t="s">
        <v>234</v>
      </c>
      <c r="M367" t="s">
        <v>122</v>
      </c>
      <c r="N367" t="s">
        <v>57</v>
      </c>
      <c r="O367" s="1">
        <v>45641</v>
      </c>
      <c r="Q367" s="1">
        <v>45976</v>
      </c>
      <c r="R367" s="2">
        <v>7.89</v>
      </c>
      <c r="S367">
        <v>1</v>
      </c>
      <c r="T367" t="s">
        <v>58</v>
      </c>
      <c r="U367" t="s">
        <v>180</v>
      </c>
      <c r="V367" s="3">
        <v>0.7</v>
      </c>
      <c r="W367" s="2">
        <v>0</v>
      </c>
      <c r="X367">
        <v>0</v>
      </c>
      <c r="Y367" t="s">
        <v>60</v>
      </c>
      <c r="Z367" t="s">
        <v>182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5.52</v>
      </c>
      <c r="AN367" s="2">
        <v>5.52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45943</v>
      </c>
      <c r="B368" t="s">
        <v>48</v>
      </c>
      <c r="C368">
        <v>649163</v>
      </c>
      <c r="D368">
        <v>2026111641</v>
      </c>
      <c r="E368" t="s">
        <v>243</v>
      </c>
      <c r="F368" t="s">
        <v>244</v>
      </c>
      <c r="G368" t="s">
        <v>51</v>
      </c>
      <c r="H368" t="s">
        <v>69</v>
      </c>
      <c r="I368" t="s">
        <v>116</v>
      </c>
      <c r="J368" t="s">
        <v>125</v>
      </c>
      <c r="K368">
        <v>796984</v>
      </c>
      <c r="L368" t="s">
        <v>234</v>
      </c>
      <c r="M368" t="s">
        <v>122</v>
      </c>
      <c r="N368" t="s">
        <v>57</v>
      </c>
      <c r="O368" s="1">
        <v>45641</v>
      </c>
      <c r="Q368" s="1">
        <v>45976</v>
      </c>
      <c r="R368" s="2">
        <v>27.38</v>
      </c>
      <c r="S368">
        <v>1</v>
      </c>
      <c r="T368" t="s">
        <v>58</v>
      </c>
      <c r="U368" t="s">
        <v>180</v>
      </c>
      <c r="V368" s="3">
        <v>0.7</v>
      </c>
      <c r="W368" s="2">
        <v>0</v>
      </c>
      <c r="X368">
        <v>0</v>
      </c>
      <c r="Y368" t="s">
        <v>60</v>
      </c>
      <c r="Z368" t="s">
        <v>182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19.170000000000002</v>
      </c>
      <c r="AN368" s="2">
        <v>19.170000000000002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45943</v>
      </c>
      <c r="B369" t="s">
        <v>48</v>
      </c>
      <c r="C369">
        <v>649163</v>
      </c>
      <c r="D369">
        <v>2026133998</v>
      </c>
      <c r="E369" t="s">
        <v>234</v>
      </c>
      <c r="F369" t="s">
        <v>245</v>
      </c>
      <c r="G369" t="s">
        <v>51</v>
      </c>
      <c r="H369" t="s">
        <v>69</v>
      </c>
      <c r="I369" t="s">
        <v>116</v>
      </c>
      <c r="J369" t="s">
        <v>125</v>
      </c>
      <c r="K369">
        <v>816021</v>
      </c>
      <c r="L369" t="s">
        <v>71</v>
      </c>
      <c r="M369" t="s">
        <v>72</v>
      </c>
      <c r="N369" t="s">
        <v>57</v>
      </c>
      <c r="O369" s="1">
        <v>45638</v>
      </c>
      <c r="Q369" s="1">
        <v>45973</v>
      </c>
      <c r="R369" s="2">
        <v>18.2</v>
      </c>
      <c r="S369">
        <v>1</v>
      </c>
      <c r="T369" t="s">
        <v>58</v>
      </c>
      <c r="U369" t="s">
        <v>180</v>
      </c>
      <c r="V369" s="3">
        <v>0.7</v>
      </c>
      <c r="W369" s="2">
        <v>0</v>
      </c>
      <c r="X369">
        <v>0</v>
      </c>
      <c r="Y369" t="s">
        <v>60</v>
      </c>
      <c r="Z369" t="s">
        <v>182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12.74</v>
      </c>
      <c r="AN369" s="2">
        <v>12.74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45943</v>
      </c>
      <c r="B370" t="s">
        <v>48</v>
      </c>
      <c r="C370">
        <v>649163</v>
      </c>
      <c r="D370">
        <v>2026180757</v>
      </c>
      <c r="E370" t="s">
        <v>246</v>
      </c>
      <c r="F370" t="s">
        <v>247</v>
      </c>
      <c r="G370" t="s">
        <v>51</v>
      </c>
      <c r="H370" t="s">
        <v>69</v>
      </c>
      <c r="I370" t="s">
        <v>116</v>
      </c>
      <c r="J370" t="s">
        <v>125</v>
      </c>
      <c r="K370">
        <v>816021</v>
      </c>
      <c r="L370" t="s">
        <v>71</v>
      </c>
      <c r="M370" t="s">
        <v>72</v>
      </c>
      <c r="N370" t="s">
        <v>57</v>
      </c>
      <c r="O370" s="1">
        <v>45641</v>
      </c>
      <c r="Q370" s="1">
        <v>45976</v>
      </c>
      <c r="R370" s="2">
        <v>9.1</v>
      </c>
      <c r="S370">
        <v>1</v>
      </c>
      <c r="T370" t="s">
        <v>58</v>
      </c>
      <c r="U370" t="s">
        <v>180</v>
      </c>
      <c r="V370" s="3">
        <v>0.7</v>
      </c>
      <c r="W370" s="2">
        <v>0</v>
      </c>
      <c r="X370">
        <v>0</v>
      </c>
      <c r="Y370" t="s">
        <v>60</v>
      </c>
      <c r="Z370" t="s">
        <v>182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6.37</v>
      </c>
      <c r="AN370" s="2">
        <v>6.37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45943</v>
      </c>
      <c r="B371" t="s">
        <v>48</v>
      </c>
      <c r="C371">
        <v>649163</v>
      </c>
      <c r="D371">
        <v>2026184417</v>
      </c>
      <c r="E371" t="s">
        <v>248</v>
      </c>
      <c r="F371" t="s">
        <v>249</v>
      </c>
      <c r="G371" t="s">
        <v>51</v>
      </c>
      <c r="H371" t="s">
        <v>69</v>
      </c>
      <c r="I371" t="s">
        <v>116</v>
      </c>
      <c r="J371" t="s">
        <v>125</v>
      </c>
      <c r="K371">
        <v>816021</v>
      </c>
      <c r="L371" t="s">
        <v>71</v>
      </c>
      <c r="M371" t="s">
        <v>72</v>
      </c>
      <c r="N371" t="s">
        <v>57</v>
      </c>
      <c r="O371" s="1">
        <v>45641</v>
      </c>
      <c r="Q371" s="1">
        <v>45976</v>
      </c>
      <c r="R371" s="2">
        <v>9.1</v>
      </c>
      <c r="S371">
        <v>1</v>
      </c>
      <c r="T371" t="s">
        <v>58</v>
      </c>
      <c r="U371" t="s">
        <v>180</v>
      </c>
      <c r="V371" s="3">
        <v>0.7</v>
      </c>
      <c r="W371" s="2">
        <v>0</v>
      </c>
      <c r="X371">
        <v>0</v>
      </c>
      <c r="Y371" t="s">
        <v>60</v>
      </c>
      <c r="Z371" t="s">
        <v>182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6.37</v>
      </c>
      <c r="AN371" s="2">
        <v>6.37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45943</v>
      </c>
      <c r="B372" t="s">
        <v>48</v>
      </c>
      <c r="C372">
        <v>649163</v>
      </c>
      <c r="D372">
        <v>2026186218</v>
      </c>
      <c r="E372" t="s">
        <v>482</v>
      </c>
      <c r="F372" t="s">
        <v>483</v>
      </c>
      <c r="G372" t="s">
        <v>51</v>
      </c>
      <c r="H372" t="s">
        <v>272</v>
      </c>
      <c r="I372" t="s">
        <v>116</v>
      </c>
      <c r="J372" t="s">
        <v>125</v>
      </c>
      <c r="K372">
        <v>767312</v>
      </c>
      <c r="L372" t="s">
        <v>147</v>
      </c>
      <c r="M372" t="s">
        <v>148</v>
      </c>
      <c r="N372" t="s">
        <v>57</v>
      </c>
      <c r="O372" s="1">
        <v>45641</v>
      </c>
      <c r="Q372" s="1">
        <v>45976</v>
      </c>
      <c r="R372" s="2">
        <v>94.38</v>
      </c>
      <c r="S372">
        <v>1</v>
      </c>
      <c r="T372" t="s">
        <v>58</v>
      </c>
      <c r="U372" t="s">
        <v>180</v>
      </c>
      <c r="V372" s="3">
        <v>0.7</v>
      </c>
      <c r="W372" s="2">
        <v>0</v>
      </c>
      <c r="X372">
        <v>0</v>
      </c>
      <c r="Y372" t="s">
        <v>60</v>
      </c>
      <c r="Z372" t="s">
        <v>182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66.069999999999993</v>
      </c>
      <c r="AN372" s="2">
        <v>66.069999999999993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45943</v>
      </c>
      <c r="B373" t="s">
        <v>48</v>
      </c>
      <c r="C373">
        <v>649163</v>
      </c>
      <c r="D373">
        <v>2026189547</v>
      </c>
      <c r="E373" t="s">
        <v>625</v>
      </c>
      <c r="F373" t="s">
        <v>626</v>
      </c>
      <c r="G373" t="s">
        <v>51</v>
      </c>
      <c r="H373" t="s">
        <v>78</v>
      </c>
      <c r="I373" t="s">
        <v>116</v>
      </c>
      <c r="J373" t="s">
        <v>125</v>
      </c>
      <c r="K373">
        <v>807212</v>
      </c>
      <c r="L373" t="s">
        <v>151</v>
      </c>
      <c r="M373" t="s">
        <v>152</v>
      </c>
      <c r="N373" t="s">
        <v>57</v>
      </c>
      <c r="O373" s="1">
        <v>45642</v>
      </c>
      <c r="Q373" s="1">
        <v>45977</v>
      </c>
      <c r="R373" s="2">
        <v>19</v>
      </c>
      <c r="S373">
        <v>1</v>
      </c>
      <c r="T373" t="s">
        <v>58</v>
      </c>
      <c r="U373" t="s">
        <v>180</v>
      </c>
      <c r="V373" s="3">
        <v>0.7</v>
      </c>
      <c r="W373" s="2">
        <v>0</v>
      </c>
      <c r="X373">
        <v>0</v>
      </c>
      <c r="Y373" t="s">
        <v>60</v>
      </c>
      <c r="Z373" t="s">
        <v>182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13.3</v>
      </c>
      <c r="AN373" s="2">
        <v>13.3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45943</v>
      </c>
      <c r="B374" t="s">
        <v>48</v>
      </c>
      <c r="C374">
        <v>649163</v>
      </c>
      <c r="D374">
        <v>2026539798</v>
      </c>
      <c r="E374" t="s">
        <v>627</v>
      </c>
      <c r="F374" t="s">
        <v>628</v>
      </c>
      <c r="G374" t="s">
        <v>51</v>
      </c>
      <c r="H374" t="s">
        <v>225</v>
      </c>
      <c r="I374" t="s">
        <v>116</v>
      </c>
      <c r="J374" t="s">
        <v>125</v>
      </c>
      <c r="K374">
        <v>757039</v>
      </c>
      <c r="L374" t="s">
        <v>629</v>
      </c>
      <c r="M374" t="s">
        <v>630</v>
      </c>
      <c r="N374" t="s">
        <v>57</v>
      </c>
      <c r="O374" s="1">
        <v>45668</v>
      </c>
      <c r="Q374" s="1">
        <v>45972</v>
      </c>
      <c r="R374" s="2">
        <v>25.97</v>
      </c>
      <c r="S374">
        <v>1</v>
      </c>
      <c r="T374" t="s">
        <v>58</v>
      </c>
      <c r="U374" t="s">
        <v>180</v>
      </c>
      <c r="V374" s="3">
        <v>0.7</v>
      </c>
      <c r="W374" s="2">
        <v>0</v>
      </c>
      <c r="X374">
        <v>0</v>
      </c>
      <c r="Y374" t="s">
        <v>60</v>
      </c>
      <c r="Z374" t="s">
        <v>182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18.18</v>
      </c>
      <c r="AN374" s="2">
        <v>18.18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45943</v>
      </c>
      <c r="B375" t="s">
        <v>48</v>
      </c>
      <c r="C375">
        <v>649163</v>
      </c>
      <c r="D375">
        <v>2026561983</v>
      </c>
      <c r="E375" t="s">
        <v>631</v>
      </c>
      <c r="F375" t="s">
        <v>632</v>
      </c>
      <c r="G375" t="s">
        <v>51</v>
      </c>
      <c r="H375" t="s">
        <v>78</v>
      </c>
      <c r="I375" t="s">
        <v>116</v>
      </c>
      <c r="J375" t="s">
        <v>125</v>
      </c>
      <c r="K375">
        <v>792847</v>
      </c>
      <c r="L375" t="s">
        <v>277</v>
      </c>
      <c r="M375" t="s">
        <v>279</v>
      </c>
      <c r="N375" t="s">
        <v>57</v>
      </c>
      <c r="O375" s="1">
        <v>45672</v>
      </c>
      <c r="Q375" s="1">
        <v>45976</v>
      </c>
      <c r="R375" s="2">
        <v>49.8</v>
      </c>
      <c r="S375">
        <v>1</v>
      </c>
      <c r="T375" t="s">
        <v>58</v>
      </c>
      <c r="U375" t="s">
        <v>180</v>
      </c>
      <c r="V375" s="3">
        <v>0.7</v>
      </c>
      <c r="W375" s="2">
        <v>0</v>
      </c>
      <c r="X375">
        <v>0</v>
      </c>
      <c r="Y375" t="s">
        <v>60</v>
      </c>
      <c r="Z375" t="s">
        <v>182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34.86</v>
      </c>
      <c r="AN375" s="2">
        <v>34.86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45943</v>
      </c>
      <c r="B376" t="s">
        <v>48</v>
      </c>
      <c r="C376">
        <v>649163</v>
      </c>
      <c r="D376">
        <v>2026568865</v>
      </c>
      <c r="E376" t="s">
        <v>633</v>
      </c>
      <c r="F376" t="s">
        <v>634</v>
      </c>
      <c r="G376" t="s">
        <v>51</v>
      </c>
      <c r="H376" t="s">
        <v>219</v>
      </c>
      <c r="I376" t="s">
        <v>116</v>
      </c>
      <c r="J376" t="s">
        <v>125</v>
      </c>
      <c r="K376">
        <v>756418</v>
      </c>
      <c r="L376" t="s">
        <v>216</v>
      </c>
      <c r="M376" t="s">
        <v>217</v>
      </c>
      <c r="N376" t="s">
        <v>57</v>
      </c>
      <c r="O376" s="1">
        <v>45671</v>
      </c>
      <c r="Q376" s="1">
        <v>45975</v>
      </c>
      <c r="R376" s="2">
        <v>45.97</v>
      </c>
      <c r="S376">
        <v>1</v>
      </c>
      <c r="T376" t="s">
        <v>58</v>
      </c>
      <c r="U376" t="s">
        <v>180</v>
      </c>
      <c r="V376" s="3">
        <v>0.7</v>
      </c>
      <c r="W376" s="2">
        <v>0</v>
      </c>
      <c r="X376">
        <v>0</v>
      </c>
      <c r="Y376" t="s">
        <v>60</v>
      </c>
      <c r="Z376" t="s">
        <v>182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32.18</v>
      </c>
      <c r="AN376" s="2">
        <v>32.18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45943</v>
      </c>
      <c r="B377" t="s">
        <v>48</v>
      </c>
      <c r="C377">
        <v>649163</v>
      </c>
      <c r="D377">
        <v>2026569743</v>
      </c>
      <c r="E377" t="s">
        <v>459</v>
      </c>
      <c r="F377" t="s">
        <v>258</v>
      </c>
      <c r="G377" t="s">
        <v>51</v>
      </c>
      <c r="H377" t="s">
        <v>225</v>
      </c>
      <c r="I377" t="s">
        <v>116</v>
      </c>
      <c r="J377" t="s">
        <v>125</v>
      </c>
      <c r="K377">
        <v>767312</v>
      </c>
      <c r="L377" t="s">
        <v>147</v>
      </c>
      <c r="M377" t="s">
        <v>148</v>
      </c>
      <c r="N377" t="s">
        <v>57</v>
      </c>
      <c r="O377" s="1">
        <v>45689</v>
      </c>
      <c r="Q377" s="1">
        <v>45962</v>
      </c>
      <c r="R377" s="2">
        <v>10.75</v>
      </c>
      <c r="S377">
        <v>1</v>
      </c>
      <c r="T377" t="s">
        <v>58</v>
      </c>
      <c r="U377" t="s">
        <v>180</v>
      </c>
      <c r="V377" s="3">
        <v>0.7</v>
      </c>
      <c r="W377" s="2">
        <v>0</v>
      </c>
      <c r="X377">
        <v>0</v>
      </c>
      <c r="Y377" t="s">
        <v>60</v>
      </c>
      <c r="Z377" t="s">
        <v>182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7.52</v>
      </c>
      <c r="AN377" s="2">
        <v>7.52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45943</v>
      </c>
      <c r="B378" t="s">
        <v>48</v>
      </c>
      <c r="C378">
        <v>649163</v>
      </c>
      <c r="D378">
        <v>2026581910</v>
      </c>
      <c r="E378" t="s">
        <v>250</v>
      </c>
      <c r="F378" t="s">
        <v>251</v>
      </c>
      <c r="G378" t="s">
        <v>51</v>
      </c>
      <c r="H378" t="s">
        <v>91</v>
      </c>
      <c r="I378" t="s">
        <v>116</v>
      </c>
      <c r="J378" t="s">
        <v>125</v>
      </c>
      <c r="K378">
        <v>767312</v>
      </c>
      <c r="L378" t="s">
        <v>147</v>
      </c>
      <c r="M378" t="s">
        <v>148</v>
      </c>
      <c r="N378" t="s">
        <v>57</v>
      </c>
      <c r="O378" s="1">
        <v>45672</v>
      </c>
      <c r="Q378" s="1">
        <v>45976</v>
      </c>
      <c r="R378" s="2">
        <v>198.42</v>
      </c>
      <c r="S378">
        <v>1</v>
      </c>
      <c r="T378" t="s">
        <v>58</v>
      </c>
      <c r="U378" t="s">
        <v>180</v>
      </c>
      <c r="V378" s="3">
        <v>0.7</v>
      </c>
      <c r="W378" s="2">
        <v>0</v>
      </c>
      <c r="X378">
        <v>0</v>
      </c>
      <c r="Y378" t="s">
        <v>60</v>
      </c>
      <c r="Z378" t="s">
        <v>182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138.88999999999999</v>
      </c>
      <c r="AN378" s="2">
        <v>138.88999999999999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45943</v>
      </c>
      <c r="B379" t="s">
        <v>48</v>
      </c>
      <c r="C379">
        <v>649163</v>
      </c>
      <c r="D379">
        <v>2026586620</v>
      </c>
      <c r="E379" t="s">
        <v>365</v>
      </c>
      <c r="F379" t="s">
        <v>366</v>
      </c>
      <c r="G379" t="s">
        <v>51</v>
      </c>
      <c r="H379" t="s">
        <v>214</v>
      </c>
      <c r="I379" t="s">
        <v>116</v>
      </c>
      <c r="J379" t="s">
        <v>125</v>
      </c>
      <c r="K379">
        <v>756418</v>
      </c>
      <c r="L379" t="s">
        <v>216</v>
      </c>
      <c r="M379" t="s">
        <v>217</v>
      </c>
      <c r="N379" t="s">
        <v>57</v>
      </c>
      <c r="O379" s="1">
        <v>45672</v>
      </c>
      <c r="Q379" s="1">
        <v>45976</v>
      </c>
      <c r="R379" s="2">
        <v>15.29</v>
      </c>
      <c r="S379">
        <v>1</v>
      </c>
      <c r="T379" t="s">
        <v>58</v>
      </c>
      <c r="U379" t="s">
        <v>180</v>
      </c>
      <c r="V379" s="3">
        <v>0.7</v>
      </c>
      <c r="W379" s="2">
        <v>0</v>
      </c>
      <c r="X379">
        <v>0</v>
      </c>
      <c r="Y379" t="s">
        <v>60</v>
      </c>
      <c r="Z379" t="s">
        <v>182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10.7</v>
      </c>
      <c r="AN379" s="2">
        <v>10.7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45943</v>
      </c>
      <c r="B380" t="s">
        <v>48</v>
      </c>
      <c r="D380">
        <v>2026586621</v>
      </c>
      <c r="E380" t="s">
        <v>365</v>
      </c>
      <c r="F380" t="s">
        <v>366</v>
      </c>
      <c r="G380" t="s">
        <v>51</v>
      </c>
      <c r="H380" t="s">
        <v>214</v>
      </c>
      <c r="I380" t="s">
        <v>116</v>
      </c>
      <c r="J380" t="s">
        <v>117</v>
      </c>
      <c r="L380" t="s">
        <v>216</v>
      </c>
      <c r="M380" t="s">
        <v>217</v>
      </c>
      <c r="N380" t="s">
        <v>57</v>
      </c>
      <c r="O380" s="1">
        <v>45672</v>
      </c>
      <c r="Q380" s="1">
        <v>45976</v>
      </c>
      <c r="R380" s="2">
        <v>25.73</v>
      </c>
      <c r="S380">
        <v>1</v>
      </c>
      <c r="T380" t="s">
        <v>58</v>
      </c>
      <c r="U380" t="s">
        <v>180</v>
      </c>
      <c r="V380" s="3">
        <v>0.7</v>
      </c>
      <c r="W380" s="2">
        <v>0</v>
      </c>
      <c r="X380">
        <v>0</v>
      </c>
      <c r="Y380" t="s">
        <v>60</v>
      </c>
      <c r="Z380" t="s">
        <v>182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18.010000000000002</v>
      </c>
      <c r="AN380" s="2">
        <v>18.010000000000002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45943</v>
      </c>
      <c r="B381" t="s">
        <v>48</v>
      </c>
      <c r="C381">
        <v>649163</v>
      </c>
      <c r="D381">
        <v>2026607947</v>
      </c>
      <c r="E381" t="s">
        <v>489</v>
      </c>
      <c r="F381" t="s">
        <v>169</v>
      </c>
      <c r="G381" t="s">
        <v>51</v>
      </c>
      <c r="H381" t="s">
        <v>225</v>
      </c>
      <c r="I381" t="s">
        <v>116</v>
      </c>
      <c r="J381" t="s">
        <v>125</v>
      </c>
      <c r="K381">
        <v>767312</v>
      </c>
      <c r="L381" t="s">
        <v>147</v>
      </c>
      <c r="M381" t="s">
        <v>148</v>
      </c>
      <c r="N381" t="s">
        <v>57</v>
      </c>
      <c r="O381" s="1">
        <v>45673</v>
      </c>
      <c r="Q381" s="1">
        <v>45977</v>
      </c>
      <c r="R381" s="2">
        <v>29.79</v>
      </c>
      <c r="S381">
        <v>1</v>
      </c>
      <c r="T381" t="s">
        <v>58</v>
      </c>
      <c r="U381" t="s">
        <v>180</v>
      </c>
      <c r="V381" s="3">
        <v>0.7</v>
      </c>
      <c r="W381" s="2">
        <v>0</v>
      </c>
      <c r="X381">
        <v>0</v>
      </c>
      <c r="Y381" t="s">
        <v>60</v>
      </c>
      <c r="Z381" t="s">
        <v>182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20.85</v>
      </c>
      <c r="AN381" s="2">
        <v>20.85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45943</v>
      </c>
      <c r="B382" t="s">
        <v>48</v>
      </c>
      <c r="C382">
        <v>649163</v>
      </c>
      <c r="D382">
        <v>2026608909</v>
      </c>
      <c r="E382" t="s">
        <v>635</v>
      </c>
      <c r="F382" t="s">
        <v>366</v>
      </c>
      <c r="G382" t="s">
        <v>51</v>
      </c>
      <c r="H382" t="s">
        <v>78</v>
      </c>
      <c r="I382" t="s">
        <v>116</v>
      </c>
      <c r="J382" t="s">
        <v>125</v>
      </c>
      <c r="K382">
        <v>792847</v>
      </c>
      <c r="L382" t="s">
        <v>277</v>
      </c>
      <c r="M382" t="s">
        <v>279</v>
      </c>
      <c r="N382" t="s">
        <v>57</v>
      </c>
      <c r="O382" s="1">
        <v>45673</v>
      </c>
      <c r="Q382" s="1">
        <v>45977</v>
      </c>
      <c r="R382" s="2">
        <v>58.24</v>
      </c>
      <c r="S382">
        <v>1</v>
      </c>
      <c r="T382" t="s">
        <v>58</v>
      </c>
      <c r="U382" t="s">
        <v>180</v>
      </c>
      <c r="V382" s="3">
        <v>0.7</v>
      </c>
      <c r="W382" s="2">
        <v>0</v>
      </c>
      <c r="X382">
        <v>0</v>
      </c>
      <c r="Y382" t="s">
        <v>60</v>
      </c>
      <c r="Z382" t="s">
        <v>182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40.770000000000003</v>
      </c>
      <c r="AN382" s="2">
        <v>40.770000000000003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45943</v>
      </c>
      <c r="B383" t="s">
        <v>48</v>
      </c>
      <c r="C383">
        <v>649163</v>
      </c>
      <c r="D383">
        <v>2026617755</v>
      </c>
      <c r="E383" t="s">
        <v>250</v>
      </c>
      <c r="F383" t="s">
        <v>148</v>
      </c>
      <c r="G383" t="s">
        <v>51</v>
      </c>
      <c r="H383" t="s">
        <v>91</v>
      </c>
      <c r="I383" t="s">
        <v>116</v>
      </c>
      <c r="J383" t="s">
        <v>125</v>
      </c>
      <c r="K383">
        <v>767312</v>
      </c>
      <c r="L383" t="s">
        <v>147</v>
      </c>
      <c r="M383" t="s">
        <v>148</v>
      </c>
      <c r="N383" t="s">
        <v>57</v>
      </c>
      <c r="O383" s="1">
        <v>45673</v>
      </c>
      <c r="Q383" s="1">
        <v>45977</v>
      </c>
      <c r="R383" s="2">
        <v>198.42</v>
      </c>
      <c r="S383">
        <v>1</v>
      </c>
      <c r="T383" t="s">
        <v>58</v>
      </c>
      <c r="U383" t="s">
        <v>180</v>
      </c>
      <c r="V383" s="3">
        <v>0.7</v>
      </c>
      <c r="W383" s="2">
        <v>0</v>
      </c>
      <c r="X383">
        <v>0</v>
      </c>
      <c r="Y383" t="s">
        <v>60</v>
      </c>
      <c r="Z383" t="s">
        <v>182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138.88999999999999</v>
      </c>
      <c r="AN383" s="2">
        <v>138.88999999999999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45943</v>
      </c>
      <c r="B384" t="s">
        <v>48</v>
      </c>
      <c r="C384">
        <v>649163</v>
      </c>
      <c r="D384">
        <v>2026618369</v>
      </c>
      <c r="E384" t="s">
        <v>491</v>
      </c>
      <c r="F384" t="s">
        <v>492</v>
      </c>
      <c r="G384" t="s">
        <v>51</v>
      </c>
      <c r="H384" t="s">
        <v>78</v>
      </c>
      <c r="I384" t="s">
        <v>116</v>
      </c>
      <c r="J384" t="s">
        <v>125</v>
      </c>
      <c r="K384">
        <v>792847</v>
      </c>
      <c r="L384" t="s">
        <v>277</v>
      </c>
      <c r="M384" t="s">
        <v>279</v>
      </c>
      <c r="N384" t="s">
        <v>57</v>
      </c>
      <c r="O384" s="1">
        <v>45673</v>
      </c>
      <c r="Q384" s="1">
        <v>45977</v>
      </c>
      <c r="R384" s="2">
        <v>52</v>
      </c>
      <c r="S384">
        <v>1</v>
      </c>
      <c r="T384" t="s">
        <v>58</v>
      </c>
      <c r="U384" t="s">
        <v>180</v>
      </c>
      <c r="V384" s="3">
        <v>0.7</v>
      </c>
      <c r="W384" s="2">
        <v>0</v>
      </c>
      <c r="X384">
        <v>0</v>
      </c>
      <c r="Y384" t="s">
        <v>60</v>
      </c>
      <c r="Z384" t="s">
        <v>182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36.4</v>
      </c>
      <c r="AN384" s="2">
        <v>36.4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45943</v>
      </c>
      <c r="B385" t="s">
        <v>48</v>
      </c>
      <c r="C385">
        <v>649163</v>
      </c>
      <c r="D385">
        <v>2026625854</v>
      </c>
      <c r="E385" t="s">
        <v>493</v>
      </c>
      <c r="F385" t="s">
        <v>494</v>
      </c>
      <c r="G385" t="s">
        <v>51</v>
      </c>
      <c r="H385" t="s">
        <v>102</v>
      </c>
      <c r="I385" t="s">
        <v>116</v>
      </c>
      <c r="J385" t="s">
        <v>125</v>
      </c>
      <c r="K385">
        <v>767312</v>
      </c>
      <c r="L385" t="s">
        <v>147</v>
      </c>
      <c r="M385" t="s">
        <v>148</v>
      </c>
      <c r="N385" t="s">
        <v>57</v>
      </c>
      <c r="O385" s="1">
        <v>45674</v>
      </c>
      <c r="Q385" s="1">
        <v>45978</v>
      </c>
      <c r="R385" s="2">
        <v>114</v>
      </c>
      <c r="S385">
        <v>1</v>
      </c>
      <c r="T385" t="s">
        <v>58</v>
      </c>
      <c r="U385" t="s">
        <v>180</v>
      </c>
      <c r="V385" s="3">
        <v>0.7</v>
      </c>
      <c r="W385" s="2">
        <v>0</v>
      </c>
      <c r="X385">
        <v>0</v>
      </c>
      <c r="Y385" t="s">
        <v>60</v>
      </c>
      <c r="Z385" t="s">
        <v>182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79.8</v>
      </c>
      <c r="AN385" s="2">
        <v>79.8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45943</v>
      </c>
      <c r="B386" t="s">
        <v>48</v>
      </c>
      <c r="C386">
        <v>649163</v>
      </c>
      <c r="D386">
        <v>2026877427</v>
      </c>
      <c r="E386" t="s">
        <v>636</v>
      </c>
      <c r="F386" t="s">
        <v>159</v>
      </c>
      <c r="G386" t="s">
        <v>51</v>
      </c>
      <c r="H386" t="s">
        <v>78</v>
      </c>
      <c r="I386" t="s">
        <v>116</v>
      </c>
      <c r="J386" t="s">
        <v>125</v>
      </c>
      <c r="K386">
        <v>813184</v>
      </c>
      <c r="L386" t="s">
        <v>566</v>
      </c>
      <c r="M386" t="s">
        <v>567</v>
      </c>
      <c r="N386" t="s">
        <v>179</v>
      </c>
      <c r="O386" s="1">
        <v>45689</v>
      </c>
      <c r="P386" s="1">
        <v>45936</v>
      </c>
      <c r="Q386" s="1">
        <v>45962</v>
      </c>
      <c r="R386" s="2">
        <v>-37.4</v>
      </c>
      <c r="S386">
        <v>1</v>
      </c>
      <c r="T386" t="s">
        <v>58</v>
      </c>
      <c r="U386" t="s">
        <v>180</v>
      </c>
      <c r="V386" s="3">
        <v>0.7</v>
      </c>
      <c r="W386" s="2">
        <v>0</v>
      </c>
      <c r="X386">
        <v>-1</v>
      </c>
      <c r="Y386" t="s">
        <v>60</v>
      </c>
      <c r="Z386" t="s">
        <v>182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-26.18</v>
      </c>
      <c r="AN386" s="2">
        <v>-26.18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45943</v>
      </c>
      <c r="B387" t="s">
        <v>48</v>
      </c>
      <c r="C387">
        <v>649163</v>
      </c>
      <c r="D387">
        <v>2027038280</v>
      </c>
      <c r="E387" t="s">
        <v>252</v>
      </c>
      <c r="F387" t="s">
        <v>253</v>
      </c>
      <c r="G387" t="s">
        <v>51</v>
      </c>
      <c r="H387" t="s">
        <v>69</v>
      </c>
      <c r="I387" t="s">
        <v>116</v>
      </c>
      <c r="J387" t="s">
        <v>125</v>
      </c>
      <c r="K387">
        <v>816021</v>
      </c>
      <c r="L387" t="s">
        <v>71</v>
      </c>
      <c r="M387" t="s">
        <v>72</v>
      </c>
      <c r="N387" t="s">
        <v>57</v>
      </c>
      <c r="O387" s="1">
        <v>45699</v>
      </c>
      <c r="Q387" s="1">
        <v>45972</v>
      </c>
      <c r="R387" s="2">
        <v>9.1</v>
      </c>
      <c r="S387">
        <v>1</v>
      </c>
      <c r="T387" t="s">
        <v>58</v>
      </c>
      <c r="U387" t="s">
        <v>180</v>
      </c>
      <c r="V387" s="3">
        <v>0.7</v>
      </c>
      <c r="W387" s="2">
        <v>0</v>
      </c>
      <c r="X387">
        <v>0</v>
      </c>
      <c r="Y387" t="s">
        <v>60</v>
      </c>
      <c r="Z387" t="s">
        <v>182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6.37</v>
      </c>
      <c r="AN387" s="2">
        <v>6.37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45943</v>
      </c>
      <c r="B388" t="s">
        <v>48</v>
      </c>
      <c r="C388">
        <v>649163</v>
      </c>
      <c r="D388">
        <v>2027052528</v>
      </c>
      <c r="E388" t="s">
        <v>497</v>
      </c>
      <c r="F388" t="s">
        <v>498</v>
      </c>
      <c r="G388" t="s">
        <v>51</v>
      </c>
      <c r="H388" t="s">
        <v>78</v>
      </c>
      <c r="I388" t="s">
        <v>116</v>
      </c>
      <c r="J388" t="s">
        <v>125</v>
      </c>
      <c r="K388">
        <v>766747</v>
      </c>
      <c r="L388" t="s">
        <v>477</v>
      </c>
      <c r="M388" t="s">
        <v>159</v>
      </c>
      <c r="N388" t="s">
        <v>57</v>
      </c>
      <c r="O388" s="1">
        <v>45699</v>
      </c>
      <c r="Q388" s="1">
        <v>45972</v>
      </c>
      <c r="R388" s="2">
        <v>11.5</v>
      </c>
      <c r="S388">
        <v>1</v>
      </c>
      <c r="T388" t="s">
        <v>58</v>
      </c>
      <c r="U388" t="s">
        <v>180</v>
      </c>
      <c r="V388" s="3">
        <v>0.7</v>
      </c>
      <c r="W388" s="2">
        <v>0</v>
      </c>
      <c r="X388">
        <v>0</v>
      </c>
      <c r="Y388" t="s">
        <v>60</v>
      </c>
      <c r="Z388" t="s">
        <v>182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8.0500000000000007</v>
      </c>
      <c r="AN388" s="2">
        <v>8.0500000000000007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45943</v>
      </c>
      <c r="B389" t="s">
        <v>48</v>
      </c>
      <c r="C389">
        <v>649163</v>
      </c>
      <c r="D389">
        <v>2027055700</v>
      </c>
      <c r="E389" t="s">
        <v>499</v>
      </c>
      <c r="F389" t="s">
        <v>500</v>
      </c>
      <c r="G389" t="s">
        <v>51</v>
      </c>
      <c r="H389" t="s">
        <v>69</v>
      </c>
      <c r="I389" t="s">
        <v>116</v>
      </c>
      <c r="J389" t="s">
        <v>125</v>
      </c>
      <c r="K389">
        <v>816021</v>
      </c>
      <c r="L389" t="s">
        <v>71</v>
      </c>
      <c r="M389" t="s">
        <v>72</v>
      </c>
      <c r="N389" t="s">
        <v>57</v>
      </c>
      <c r="O389" s="1">
        <v>45699</v>
      </c>
      <c r="Q389" s="1">
        <v>45972</v>
      </c>
      <c r="R389" s="2">
        <v>9.1</v>
      </c>
      <c r="S389">
        <v>1</v>
      </c>
      <c r="T389" t="s">
        <v>58</v>
      </c>
      <c r="U389" t="s">
        <v>180</v>
      </c>
      <c r="V389" s="3">
        <v>0.7</v>
      </c>
      <c r="W389" s="2">
        <v>0</v>
      </c>
      <c r="X389">
        <v>0</v>
      </c>
      <c r="Y389" t="s">
        <v>60</v>
      </c>
      <c r="Z389" t="s">
        <v>182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6.37</v>
      </c>
      <c r="AN389" s="2">
        <v>6.37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45943</v>
      </c>
      <c r="B390" t="s">
        <v>48</v>
      </c>
      <c r="C390">
        <v>649163</v>
      </c>
      <c r="D390">
        <v>2027059396</v>
      </c>
      <c r="E390" t="s">
        <v>501</v>
      </c>
      <c r="F390" t="s">
        <v>502</v>
      </c>
      <c r="G390" t="s">
        <v>51</v>
      </c>
      <c r="H390" t="s">
        <v>78</v>
      </c>
      <c r="I390" t="s">
        <v>116</v>
      </c>
      <c r="J390" t="s">
        <v>125</v>
      </c>
      <c r="K390">
        <v>824062</v>
      </c>
      <c r="L390" t="s">
        <v>126</v>
      </c>
      <c r="M390" t="s">
        <v>127</v>
      </c>
      <c r="N390" t="s">
        <v>57</v>
      </c>
      <c r="O390" s="1">
        <v>45700</v>
      </c>
      <c r="Q390" s="1">
        <v>45973</v>
      </c>
      <c r="R390" s="2">
        <v>41.5</v>
      </c>
      <c r="S390">
        <v>1</v>
      </c>
      <c r="T390" t="s">
        <v>58</v>
      </c>
      <c r="U390" t="s">
        <v>180</v>
      </c>
      <c r="V390" s="3">
        <v>0.7</v>
      </c>
      <c r="W390" s="2">
        <v>0</v>
      </c>
      <c r="X390">
        <v>0</v>
      </c>
      <c r="Y390" t="s">
        <v>60</v>
      </c>
      <c r="Z390" t="s">
        <v>182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29.05</v>
      </c>
      <c r="AN390" s="2">
        <v>29.05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45943</v>
      </c>
      <c r="B391" t="s">
        <v>48</v>
      </c>
      <c r="C391">
        <v>649163</v>
      </c>
      <c r="D391">
        <v>2027064140</v>
      </c>
      <c r="E391" t="s">
        <v>254</v>
      </c>
      <c r="F391" t="s">
        <v>56</v>
      </c>
      <c r="G391" t="s">
        <v>51</v>
      </c>
      <c r="H391" t="s">
        <v>219</v>
      </c>
      <c r="I391" t="s">
        <v>116</v>
      </c>
      <c r="J391" t="s">
        <v>591</v>
      </c>
      <c r="K391">
        <v>673059</v>
      </c>
      <c r="L391" t="s">
        <v>55</v>
      </c>
      <c r="M391" t="s">
        <v>56</v>
      </c>
      <c r="N391" t="s">
        <v>57</v>
      </c>
      <c r="O391" s="1">
        <v>45700</v>
      </c>
      <c r="Q391" s="1">
        <v>45973</v>
      </c>
      <c r="R391" s="2">
        <v>23.39</v>
      </c>
      <c r="S391">
        <v>1</v>
      </c>
      <c r="T391" t="s">
        <v>58</v>
      </c>
      <c r="U391" t="s">
        <v>180</v>
      </c>
      <c r="V391" s="3">
        <v>0.7</v>
      </c>
      <c r="W391" s="2">
        <v>0</v>
      </c>
      <c r="X391">
        <v>0</v>
      </c>
      <c r="Y391" t="s">
        <v>60</v>
      </c>
      <c r="Z391" t="s">
        <v>182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16.37</v>
      </c>
      <c r="AN391" s="2">
        <v>16.37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45943</v>
      </c>
      <c r="B392" t="s">
        <v>48</v>
      </c>
      <c r="C392">
        <v>649163</v>
      </c>
      <c r="D392">
        <v>2027064142</v>
      </c>
      <c r="E392" t="s">
        <v>254</v>
      </c>
      <c r="F392" t="s">
        <v>56</v>
      </c>
      <c r="G392" t="s">
        <v>51</v>
      </c>
      <c r="H392" t="s">
        <v>219</v>
      </c>
      <c r="I392" t="s">
        <v>116</v>
      </c>
      <c r="J392" t="s">
        <v>125</v>
      </c>
      <c r="K392">
        <v>673059</v>
      </c>
      <c r="L392" t="s">
        <v>55</v>
      </c>
      <c r="M392" t="s">
        <v>56</v>
      </c>
      <c r="N392" t="s">
        <v>57</v>
      </c>
      <c r="O392" s="1">
        <v>45700</v>
      </c>
      <c r="Q392" s="1">
        <v>45973</v>
      </c>
      <c r="R392" s="2">
        <v>115.91</v>
      </c>
      <c r="S392">
        <v>1</v>
      </c>
      <c r="T392" t="s">
        <v>58</v>
      </c>
      <c r="U392" t="s">
        <v>180</v>
      </c>
      <c r="V392" s="3">
        <v>0.7</v>
      </c>
      <c r="W392" s="2">
        <v>0</v>
      </c>
      <c r="X392">
        <v>0</v>
      </c>
      <c r="Y392" t="s">
        <v>60</v>
      </c>
      <c r="Z392" t="s">
        <v>182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81.14</v>
      </c>
      <c r="AN392" s="2">
        <v>81.14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45943</v>
      </c>
      <c r="B393" t="s">
        <v>48</v>
      </c>
      <c r="C393">
        <v>649163</v>
      </c>
      <c r="D393">
        <v>2027072202</v>
      </c>
      <c r="E393" t="s">
        <v>503</v>
      </c>
      <c r="F393" t="s">
        <v>347</v>
      </c>
      <c r="G393" t="s">
        <v>51</v>
      </c>
      <c r="H393" t="s">
        <v>69</v>
      </c>
      <c r="I393" t="s">
        <v>116</v>
      </c>
      <c r="J393" t="s">
        <v>125</v>
      </c>
      <c r="K393">
        <v>816021</v>
      </c>
      <c r="L393" t="s">
        <v>71</v>
      </c>
      <c r="M393" t="s">
        <v>72</v>
      </c>
      <c r="N393" t="s">
        <v>57</v>
      </c>
      <c r="O393" s="1">
        <v>45703</v>
      </c>
      <c r="Q393" s="1">
        <v>45976</v>
      </c>
      <c r="R393" s="2">
        <v>18.2</v>
      </c>
      <c r="S393">
        <v>1</v>
      </c>
      <c r="T393" t="s">
        <v>58</v>
      </c>
      <c r="U393" t="s">
        <v>180</v>
      </c>
      <c r="V393" s="3">
        <v>0.7</v>
      </c>
      <c r="W393" s="2">
        <v>0</v>
      </c>
      <c r="X393">
        <v>0</v>
      </c>
      <c r="Y393" t="s">
        <v>60</v>
      </c>
      <c r="Z393" t="s">
        <v>182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12.74</v>
      </c>
      <c r="AN393" s="2">
        <v>12.74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45943</v>
      </c>
      <c r="B394" t="s">
        <v>48</v>
      </c>
      <c r="C394">
        <v>649163</v>
      </c>
      <c r="D394">
        <v>2027106748</v>
      </c>
      <c r="E394" t="s">
        <v>504</v>
      </c>
      <c r="F394" t="s">
        <v>217</v>
      </c>
      <c r="G394" t="s">
        <v>51</v>
      </c>
      <c r="H394" t="s">
        <v>78</v>
      </c>
      <c r="I394" t="s">
        <v>116</v>
      </c>
      <c r="J394" t="s">
        <v>125</v>
      </c>
      <c r="K394">
        <v>792847</v>
      </c>
      <c r="L394" t="s">
        <v>277</v>
      </c>
      <c r="M394" t="s">
        <v>279</v>
      </c>
      <c r="N394" t="s">
        <v>57</v>
      </c>
      <c r="O394" s="1">
        <v>45703</v>
      </c>
      <c r="Q394" s="1">
        <v>45976</v>
      </c>
      <c r="R394" s="2">
        <v>11.5</v>
      </c>
      <c r="S394">
        <v>1</v>
      </c>
      <c r="T394" t="s">
        <v>58</v>
      </c>
      <c r="U394" t="s">
        <v>180</v>
      </c>
      <c r="V394" s="3">
        <v>0.7</v>
      </c>
      <c r="W394" s="2">
        <v>0</v>
      </c>
      <c r="X394">
        <v>0</v>
      </c>
      <c r="Y394" t="s">
        <v>60</v>
      </c>
      <c r="Z394" t="s">
        <v>182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8.0500000000000007</v>
      </c>
      <c r="AN394" s="2">
        <v>8.0500000000000007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45943</v>
      </c>
      <c r="B395" t="s">
        <v>48</v>
      </c>
      <c r="C395">
        <v>649163</v>
      </c>
      <c r="D395">
        <v>2027115501</v>
      </c>
      <c r="E395" t="s">
        <v>255</v>
      </c>
      <c r="F395" t="s">
        <v>256</v>
      </c>
      <c r="G395" t="s">
        <v>51</v>
      </c>
      <c r="H395" t="s">
        <v>78</v>
      </c>
      <c r="I395" t="s">
        <v>116</v>
      </c>
      <c r="J395" t="s">
        <v>125</v>
      </c>
      <c r="K395">
        <v>768887</v>
      </c>
      <c r="L395" t="s">
        <v>139</v>
      </c>
      <c r="M395" t="s">
        <v>140</v>
      </c>
      <c r="N395" t="s">
        <v>57</v>
      </c>
      <c r="O395" s="1">
        <v>45703</v>
      </c>
      <c r="Q395" s="1">
        <v>45976</v>
      </c>
      <c r="R395" s="2">
        <v>41.44</v>
      </c>
      <c r="S395">
        <v>1</v>
      </c>
      <c r="T395" t="s">
        <v>58</v>
      </c>
      <c r="U395" t="s">
        <v>180</v>
      </c>
      <c r="V395" s="3">
        <v>0.7</v>
      </c>
      <c r="W395" s="2">
        <v>0</v>
      </c>
      <c r="X395">
        <v>0</v>
      </c>
      <c r="Y395" t="s">
        <v>60</v>
      </c>
      <c r="Z395" t="s">
        <v>182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29.01</v>
      </c>
      <c r="AN395" s="2">
        <v>29.01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45943</v>
      </c>
      <c r="B396" t="s">
        <v>48</v>
      </c>
      <c r="C396">
        <v>649163</v>
      </c>
      <c r="D396">
        <v>2027706490</v>
      </c>
      <c r="E396" t="s">
        <v>508</v>
      </c>
      <c r="F396" t="s">
        <v>211</v>
      </c>
      <c r="G396" t="s">
        <v>51</v>
      </c>
      <c r="H396" t="s">
        <v>78</v>
      </c>
      <c r="I396" t="s">
        <v>116</v>
      </c>
      <c r="J396" t="s">
        <v>125</v>
      </c>
      <c r="K396">
        <v>768887</v>
      </c>
      <c r="L396" t="s">
        <v>139</v>
      </c>
      <c r="M396" t="s">
        <v>140</v>
      </c>
      <c r="N396" t="s">
        <v>57</v>
      </c>
      <c r="O396" s="1">
        <v>45727</v>
      </c>
      <c r="Q396" s="1">
        <v>45972</v>
      </c>
      <c r="R396" s="2">
        <v>145.41999999999999</v>
      </c>
      <c r="S396">
        <v>1</v>
      </c>
      <c r="T396" t="s">
        <v>58</v>
      </c>
      <c r="U396" t="s">
        <v>180</v>
      </c>
      <c r="V396" s="3">
        <v>0.7</v>
      </c>
      <c r="W396" s="2">
        <v>0</v>
      </c>
      <c r="X396">
        <v>0</v>
      </c>
      <c r="Y396" t="s">
        <v>60</v>
      </c>
      <c r="Z396" t="s">
        <v>182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101.79</v>
      </c>
      <c r="AN396" s="2">
        <v>101.79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45943</v>
      </c>
      <c r="B397" t="s">
        <v>48</v>
      </c>
      <c r="C397">
        <v>649163</v>
      </c>
      <c r="D397">
        <v>2027721564</v>
      </c>
      <c r="E397" t="s">
        <v>637</v>
      </c>
      <c r="F397" t="s">
        <v>638</v>
      </c>
      <c r="G397" t="s">
        <v>51</v>
      </c>
      <c r="H397" t="s">
        <v>78</v>
      </c>
      <c r="I397" t="s">
        <v>116</v>
      </c>
      <c r="J397" t="s">
        <v>125</v>
      </c>
      <c r="K397">
        <v>768887</v>
      </c>
      <c r="L397" t="s">
        <v>139</v>
      </c>
      <c r="M397" t="s">
        <v>140</v>
      </c>
      <c r="N397" t="s">
        <v>57</v>
      </c>
      <c r="O397" s="1">
        <v>45727</v>
      </c>
      <c r="Q397" s="1">
        <v>45972</v>
      </c>
      <c r="R397" s="2">
        <v>145.41999999999999</v>
      </c>
      <c r="S397">
        <v>1</v>
      </c>
      <c r="T397" t="s">
        <v>58</v>
      </c>
      <c r="U397" t="s">
        <v>180</v>
      </c>
      <c r="V397" s="3">
        <v>0.7</v>
      </c>
      <c r="W397" s="2">
        <v>0</v>
      </c>
      <c r="X397">
        <v>0</v>
      </c>
      <c r="Y397" t="s">
        <v>60</v>
      </c>
      <c r="Z397" t="s">
        <v>182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101.79</v>
      </c>
      <c r="AN397" s="2">
        <v>101.79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45943</v>
      </c>
      <c r="B398" t="s">
        <v>48</v>
      </c>
      <c r="C398">
        <v>649163</v>
      </c>
      <c r="D398">
        <v>2027729457</v>
      </c>
      <c r="E398" t="s">
        <v>509</v>
      </c>
      <c r="F398" t="s">
        <v>510</v>
      </c>
      <c r="G398" t="s">
        <v>51</v>
      </c>
      <c r="H398" t="s">
        <v>78</v>
      </c>
      <c r="I398" t="s">
        <v>116</v>
      </c>
      <c r="J398" t="s">
        <v>125</v>
      </c>
      <c r="K398">
        <v>812782</v>
      </c>
      <c r="L398" t="s">
        <v>160</v>
      </c>
      <c r="M398" t="s">
        <v>161</v>
      </c>
      <c r="N398" t="s">
        <v>57</v>
      </c>
      <c r="O398" s="1">
        <v>45728</v>
      </c>
      <c r="Q398" s="1">
        <v>45973</v>
      </c>
      <c r="R398" s="2">
        <v>15.75</v>
      </c>
      <c r="S398">
        <v>1</v>
      </c>
      <c r="T398" t="s">
        <v>58</v>
      </c>
      <c r="U398" t="s">
        <v>180</v>
      </c>
      <c r="V398" s="3">
        <v>0.7</v>
      </c>
      <c r="W398" s="2">
        <v>0</v>
      </c>
      <c r="X398">
        <v>0</v>
      </c>
      <c r="Y398" t="s">
        <v>60</v>
      </c>
      <c r="Z398" t="s">
        <v>182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11.02</v>
      </c>
      <c r="AN398" s="2">
        <v>11.02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45943</v>
      </c>
      <c r="B399" t="s">
        <v>48</v>
      </c>
      <c r="C399">
        <v>649163</v>
      </c>
      <c r="D399">
        <v>2027738119</v>
      </c>
      <c r="E399" t="s">
        <v>639</v>
      </c>
      <c r="F399" t="s">
        <v>640</v>
      </c>
      <c r="G399" t="s">
        <v>51</v>
      </c>
      <c r="H399" t="s">
        <v>78</v>
      </c>
      <c r="I399" t="s">
        <v>116</v>
      </c>
      <c r="J399" t="s">
        <v>125</v>
      </c>
      <c r="K399">
        <v>807212</v>
      </c>
      <c r="L399" t="s">
        <v>151</v>
      </c>
      <c r="M399" t="s">
        <v>152</v>
      </c>
      <c r="N399" t="s">
        <v>57</v>
      </c>
      <c r="O399" s="1">
        <v>45728</v>
      </c>
      <c r="Q399" s="1">
        <v>45973</v>
      </c>
      <c r="R399" s="2">
        <v>51</v>
      </c>
      <c r="S399">
        <v>1</v>
      </c>
      <c r="T399" t="s">
        <v>58</v>
      </c>
      <c r="U399" t="s">
        <v>180</v>
      </c>
      <c r="V399" s="3">
        <v>0.7</v>
      </c>
      <c r="W399" s="2">
        <v>0</v>
      </c>
      <c r="X399">
        <v>0</v>
      </c>
      <c r="Y399" t="s">
        <v>60</v>
      </c>
      <c r="Z399" t="s">
        <v>182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35.700000000000003</v>
      </c>
      <c r="AN399" s="2">
        <v>35.700000000000003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45943</v>
      </c>
      <c r="B400" t="s">
        <v>48</v>
      </c>
      <c r="C400">
        <v>649163</v>
      </c>
      <c r="D400">
        <v>2027738389</v>
      </c>
      <c r="E400" t="s">
        <v>641</v>
      </c>
      <c r="F400" t="s">
        <v>642</v>
      </c>
      <c r="G400" t="s">
        <v>51</v>
      </c>
      <c r="H400" t="s">
        <v>102</v>
      </c>
      <c r="I400" t="s">
        <v>116</v>
      </c>
      <c r="J400" t="s">
        <v>125</v>
      </c>
      <c r="K400">
        <v>767312</v>
      </c>
      <c r="L400" t="s">
        <v>147</v>
      </c>
      <c r="M400" t="s">
        <v>148</v>
      </c>
      <c r="N400" t="s">
        <v>57</v>
      </c>
      <c r="O400" s="1">
        <v>45728</v>
      </c>
      <c r="Q400" s="1">
        <v>45973</v>
      </c>
      <c r="R400" s="2">
        <v>77.48</v>
      </c>
      <c r="S400">
        <v>1</v>
      </c>
      <c r="T400" t="s">
        <v>58</v>
      </c>
      <c r="U400" t="s">
        <v>180</v>
      </c>
      <c r="V400" s="3">
        <v>0.7</v>
      </c>
      <c r="W400" s="2">
        <v>0</v>
      </c>
      <c r="X400">
        <v>0</v>
      </c>
      <c r="Y400" t="s">
        <v>60</v>
      </c>
      <c r="Z400" t="s">
        <v>182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54.24</v>
      </c>
      <c r="AN400" s="2">
        <v>54.24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45943</v>
      </c>
      <c r="B401" t="s">
        <v>48</v>
      </c>
      <c r="C401">
        <v>649163</v>
      </c>
      <c r="D401">
        <v>2027738390</v>
      </c>
      <c r="E401" t="s">
        <v>641</v>
      </c>
      <c r="F401" t="s">
        <v>642</v>
      </c>
      <c r="G401" t="s">
        <v>51</v>
      </c>
      <c r="H401" t="s">
        <v>102</v>
      </c>
      <c r="I401" t="s">
        <v>116</v>
      </c>
      <c r="J401" t="s">
        <v>120</v>
      </c>
      <c r="K401">
        <v>767312</v>
      </c>
      <c r="L401" t="s">
        <v>147</v>
      </c>
      <c r="M401" t="s">
        <v>148</v>
      </c>
      <c r="N401" t="s">
        <v>57</v>
      </c>
      <c r="O401" s="1">
        <v>45728</v>
      </c>
      <c r="Q401" s="1">
        <v>45973</v>
      </c>
      <c r="R401" s="2">
        <v>30.83</v>
      </c>
      <c r="S401">
        <v>1</v>
      </c>
      <c r="T401" t="s">
        <v>58</v>
      </c>
      <c r="U401" t="s">
        <v>180</v>
      </c>
      <c r="V401" s="3">
        <v>0.9</v>
      </c>
      <c r="W401" s="2">
        <v>0</v>
      </c>
      <c r="X401">
        <v>0</v>
      </c>
      <c r="Y401" t="s">
        <v>60</v>
      </c>
      <c r="Z401" t="s">
        <v>182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27.75</v>
      </c>
      <c r="AN401" s="2">
        <v>27.75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45943</v>
      </c>
      <c r="B402" t="s">
        <v>48</v>
      </c>
      <c r="C402">
        <v>649163</v>
      </c>
      <c r="D402">
        <v>2027767677</v>
      </c>
      <c r="E402" t="s">
        <v>511</v>
      </c>
      <c r="F402" t="s">
        <v>512</v>
      </c>
      <c r="G402" t="s">
        <v>51</v>
      </c>
      <c r="H402" t="s">
        <v>272</v>
      </c>
      <c r="I402" t="s">
        <v>116</v>
      </c>
      <c r="J402" t="s">
        <v>125</v>
      </c>
      <c r="K402">
        <v>764123</v>
      </c>
      <c r="L402" t="s">
        <v>471</v>
      </c>
      <c r="M402" t="s">
        <v>472</v>
      </c>
      <c r="N402" t="s">
        <v>57</v>
      </c>
      <c r="O402" s="1">
        <v>45729</v>
      </c>
      <c r="Q402" s="1">
        <v>45974</v>
      </c>
      <c r="R402" s="2">
        <v>56.55</v>
      </c>
      <c r="S402">
        <v>1</v>
      </c>
      <c r="T402" t="s">
        <v>58</v>
      </c>
      <c r="U402" t="s">
        <v>180</v>
      </c>
      <c r="V402" s="3">
        <v>0.7</v>
      </c>
      <c r="W402" s="2">
        <v>0</v>
      </c>
      <c r="X402">
        <v>0</v>
      </c>
      <c r="Y402" t="s">
        <v>60</v>
      </c>
      <c r="Z402" t="s">
        <v>182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39.58</v>
      </c>
      <c r="AN402" s="2">
        <v>39.58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45943</v>
      </c>
      <c r="B403" t="s">
        <v>48</v>
      </c>
      <c r="C403">
        <v>649163</v>
      </c>
      <c r="D403">
        <v>2027825905</v>
      </c>
      <c r="E403" t="s">
        <v>643</v>
      </c>
      <c r="F403" t="s">
        <v>644</v>
      </c>
      <c r="G403" t="s">
        <v>51</v>
      </c>
      <c r="H403" t="s">
        <v>225</v>
      </c>
      <c r="I403" t="s">
        <v>116</v>
      </c>
      <c r="J403" t="s">
        <v>125</v>
      </c>
      <c r="K403">
        <v>673059</v>
      </c>
      <c r="L403" t="s">
        <v>55</v>
      </c>
      <c r="M403" t="s">
        <v>56</v>
      </c>
      <c r="N403" t="s">
        <v>57</v>
      </c>
      <c r="O403" s="1">
        <v>45731</v>
      </c>
      <c r="Q403" s="1">
        <v>45976</v>
      </c>
      <c r="R403" s="2">
        <v>18.350000000000001</v>
      </c>
      <c r="S403">
        <v>1</v>
      </c>
      <c r="T403" t="s">
        <v>58</v>
      </c>
      <c r="U403" t="s">
        <v>180</v>
      </c>
      <c r="V403" s="3">
        <v>0.7</v>
      </c>
      <c r="W403" s="2">
        <v>0</v>
      </c>
      <c r="X403">
        <v>0</v>
      </c>
      <c r="Y403" t="s">
        <v>60</v>
      </c>
      <c r="Z403" t="s">
        <v>182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12.84</v>
      </c>
      <c r="AN403" s="2">
        <v>12.84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45943</v>
      </c>
      <c r="B404" t="s">
        <v>48</v>
      </c>
      <c r="D404">
        <v>2027825906</v>
      </c>
      <c r="E404" t="s">
        <v>643</v>
      </c>
      <c r="F404" t="s">
        <v>644</v>
      </c>
      <c r="G404" t="s">
        <v>51</v>
      </c>
      <c r="H404" t="s">
        <v>225</v>
      </c>
      <c r="I404" t="s">
        <v>116</v>
      </c>
      <c r="J404" t="s">
        <v>117</v>
      </c>
      <c r="L404" t="s">
        <v>55</v>
      </c>
      <c r="M404" t="s">
        <v>56</v>
      </c>
      <c r="N404" t="s">
        <v>57</v>
      </c>
      <c r="O404" s="1">
        <v>45731</v>
      </c>
      <c r="Q404" s="1">
        <v>45976</v>
      </c>
      <c r="R404" s="2">
        <v>25.73</v>
      </c>
      <c r="S404">
        <v>1</v>
      </c>
      <c r="T404" t="s">
        <v>58</v>
      </c>
      <c r="U404" t="s">
        <v>180</v>
      </c>
      <c r="V404" s="3">
        <v>0.7</v>
      </c>
      <c r="W404" s="2">
        <v>0</v>
      </c>
      <c r="X404">
        <v>0</v>
      </c>
      <c r="Y404" t="s">
        <v>60</v>
      </c>
      <c r="Z404" t="s">
        <v>182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18.010000000000002</v>
      </c>
      <c r="AN404" s="2">
        <v>18.010000000000002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45943</v>
      </c>
      <c r="B405" t="s">
        <v>48</v>
      </c>
      <c r="C405">
        <v>649163</v>
      </c>
      <c r="D405">
        <v>2027849974</v>
      </c>
      <c r="E405" t="s">
        <v>370</v>
      </c>
      <c r="F405" t="s">
        <v>371</v>
      </c>
      <c r="G405" t="s">
        <v>51</v>
      </c>
      <c r="H405" t="s">
        <v>372</v>
      </c>
      <c r="I405" t="s">
        <v>116</v>
      </c>
      <c r="J405" t="s">
        <v>125</v>
      </c>
      <c r="K405">
        <v>650218</v>
      </c>
      <c r="L405" t="s">
        <v>195</v>
      </c>
      <c r="M405" t="s">
        <v>196</v>
      </c>
      <c r="N405" t="s">
        <v>57</v>
      </c>
      <c r="O405" s="1">
        <v>45733</v>
      </c>
      <c r="Q405" s="1">
        <v>45978</v>
      </c>
      <c r="R405" s="2">
        <v>50.96</v>
      </c>
      <c r="S405">
        <v>1</v>
      </c>
      <c r="T405" t="s">
        <v>58</v>
      </c>
      <c r="U405" t="s">
        <v>180</v>
      </c>
      <c r="V405" s="3">
        <v>0.7</v>
      </c>
      <c r="W405" s="2">
        <v>0</v>
      </c>
      <c r="X405">
        <v>0</v>
      </c>
      <c r="Y405" t="s">
        <v>60</v>
      </c>
      <c r="Z405" t="s">
        <v>182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35.67</v>
      </c>
      <c r="AN405" s="2">
        <v>35.67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45943</v>
      </c>
      <c r="B406" t="s">
        <v>48</v>
      </c>
      <c r="C406">
        <v>649163</v>
      </c>
      <c r="D406">
        <v>2028149729</v>
      </c>
      <c r="E406" t="s">
        <v>515</v>
      </c>
      <c r="F406" t="s">
        <v>516</v>
      </c>
      <c r="G406" t="s">
        <v>51</v>
      </c>
      <c r="H406" t="s">
        <v>225</v>
      </c>
      <c r="I406" t="s">
        <v>116</v>
      </c>
      <c r="J406" t="s">
        <v>591</v>
      </c>
      <c r="K406">
        <v>650218</v>
      </c>
      <c r="L406" t="s">
        <v>195</v>
      </c>
      <c r="M406" t="s">
        <v>196</v>
      </c>
      <c r="N406" t="s">
        <v>57</v>
      </c>
      <c r="O406" s="1">
        <v>45748</v>
      </c>
      <c r="Q406" s="1">
        <v>45962</v>
      </c>
      <c r="R406" s="2">
        <v>25.73</v>
      </c>
      <c r="S406">
        <v>1</v>
      </c>
      <c r="T406" t="s">
        <v>58</v>
      </c>
      <c r="U406" t="s">
        <v>180</v>
      </c>
      <c r="V406" s="3">
        <v>0.7</v>
      </c>
      <c r="W406" s="2">
        <v>0</v>
      </c>
      <c r="X406">
        <v>0</v>
      </c>
      <c r="Y406" t="s">
        <v>60</v>
      </c>
      <c r="Z406" t="s">
        <v>182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18.010000000000002</v>
      </c>
      <c r="AN406" s="2">
        <v>18.010000000000002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45943</v>
      </c>
      <c r="B407" t="s">
        <v>48</v>
      </c>
      <c r="C407">
        <v>649163</v>
      </c>
      <c r="D407">
        <v>2028174266</v>
      </c>
      <c r="E407" t="s">
        <v>517</v>
      </c>
      <c r="F407" t="s">
        <v>518</v>
      </c>
      <c r="G407" t="s">
        <v>51</v>
      </c>
      <c r="H407" t="s">
        <v>78</v>
      </c>
      <c r="I407" t="s">
        <v>116</v>
      </c>
      <c r="J407" t="s">
        <v>125</v>
      </c>
      <c r="K407">
        <v>843573</v>
      </c>
      <c r="L407" t="s">
        <v>519</v>
      </c>
      <c r="M407" t="s">
        <v>520</v>
      </c>
      <c r="N407" t="s">
        <v>57</v>
      </c>
      <c r="O407" s="1">
        <v>45758</v>
      </c>
      <c r="Q407" s="1">
        <v>45972</v>
      </c>
      <c r="R407" s="2">
        <v>19</v>
      </c>
      <c r="S407">
        <v>1</v>
      </c>
      <c r="T407" t="s">
        <v>58</v>
      </c>
      <c r="U407" t="s">
        <v>180</v>
      </c>
      <c r="V407" s="3">
        <v>0.7</v>
      </c>
      <c r="W407" s="2">
        <v>0</v>
      </c>
      <c r="X407">
        <v>0</v>
      </c>
      <c r="Y407" t="s">
        <v>60</v>
      </c>
      <c r="Z407" t="s">
        <v>182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13.3</v>
      </c>
      <c r="AN407" s="2">
        <v>13.3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45943</v>
      </c>
      <c r="B408" t="s">
        <v>48</v>
      </c>
      <c r="C408">
        <v>649163</v>
      </c>
      <c r="D408">
        <v>2028182786</v>
      </c>
      <c r="E408" t="s">
        <v>423</v>
      </c>
      <c r="F408" t="s">
        <v>142</v>
      </c>
      <c r="G408" t="s">
        <v>51</v>
      </c>
      <c r="H408" t="s">
        <v>91</v>
      </c>
      <c r="I408" t="s">
        <v>116</v>
      </c>
      <c r="J408" t="s">
        <v>125</v>
      </c>
      <c r="K408">
        <v>822733</v>
      </c>
      <c r="L408" t="s">
        <v>645</v>
      </c>
      <c r="M408" t="s">
        <v>646</v>
      </c>
      <c r="N408" t="s">
        <v>57</v>
      </c>
      <c r="O408" s="1">
        <v>45754</v>
      </c>
      <c r="Q408" s="1">
        <v>45968</v>
      </c>
      <c r="R408" s="2">
        <v>-92.47</v>
      </c>
      <c r="S408">
        <v>1</v>
      </c>
      <c r="T408" t="s">
        <v>58</v>
      </c>
      <c r="U408" t="s">
        <v>180</v>
      </c>
      <c r="V408" s="3">
        <v>0.7</v>
      </c>
      <c r="W408" s="2">
        <v>0</v>
      </c>
      <c r="X408">
        <v>-1</v>
      </c>
      <c r="Y408" t="s">
        <v>60</v>
      </c>
      <c r="Z408" t="s">
        <v>182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-64.73</v>
      </c>
      <c r="AN408" s="2">
        <v>-64.73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45943</v>
      </c>
      <c r="B409" t="s">
        <v>48</v>
      </c>
      <c r="C409">
        <v>649163</v>
      </c>
      <c r="D409">
        <v>2028219140</v>
      </c>
      <c r="E409" t="s">
        <v>257</v>
      </c>
      <c r="F409" t="s">
        <v>258</v>
      </c>
      <c r="G409" t="s">
        <v>51</v>
      </c>
      <c r="H409" t="s">
        <v>91</v>
      </c>
      <c r="I409" t="s">
        <v>116</v>
      </c>
      <c r="J409" t="s">
        <v>125</v>
      </c>
      <c r="K409">
        <v>753748</v>
      </c>
      <c r="L409" t="s">
        <v>168</v>
      </c>
      <c r="M409" t="s">
        <v>169</v>
      </c>
      <c r="N409" t="s">
        <v>57</v>
      </c>
      <c r="O409" s="1">
        <v>45790</v>
      </c>
      <c r="Q409" s="1">
        <v>45974</v>
      </c>
      <c r="R409" s="2">
        <v>109.9</v>
      </c>
      <c r="S409">
        <v>1</v>
      </c>
      <c r="T409" t="s">
        <v>58</v>
      </c>
      <c r="U409" t="s">
        <v>180</v>
      </c>
      <c r="V409" s="3">
        <v>0.7</v>
      </c>
      <c r="W409" s="2">
        <v>0</v>
      </c>
      <c r="X409">
        <v>0</v>
      </c>
      <c r="Y409" t="s">
        <v>60</v>
      </c>
      <c r="Z409" t="s">
        <v>182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76.930000000000007</v>
      </c>
      <c r="AN409" s="2">
        <v>76.930000000000007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45943</v>
      </c>
      <c r="B410" t="s">
        <v>48</v>
      </c>
      <c r="C410">
        <v>649163</v>
      </c>
      <c r="D410">
        <v>2028329765</v>
      </c>
      <c r="E410" t="s">
        <v>521</v>
      </c>
      <c r="F410" t="s">
        <v>522</v>
      </c>
      <c r="G410" t="s">
        <v>51</v>
      </c>
      <c r="H410" t="s">
        <v>78</v>
      </c>
      <c r="I410" t="s">
        <v>116</v>
      </c>
      <c r="J410" t="s">
        <v>125</v>
      </c>
      <c r="K410">
        <v>824076</v>
      </c>
      <c r="L410" t="s">
        <v>292</v>
      </c>
      <c r="M410" t="s">
        <v>293</v>
      </c>
      <c r="N410" t="s">
        <v>57</v>
      </c>
      <c r="O410" s="1">
        <v>45762</v>
      </c>
      <c r="Q410" s="1">
        <v>45976</v>
      </c>
      <c r="R410" s="2">
        <v>11.5</v>
      </c>
      <c r="S410">
        <v>1</v>
      </c>
      <c r="T410" t="s">
        <v>58</v>
      </c>
      <c r="U410" t="s">
        <v>180</v>
      </c>
      <c r="V410" s="3">
        <v>0.7</v>
      </c>
      <c r="W410" s="2">
        <v>0</v>
      </c>
      <c r="X410">
        <v>0</v>
      </c>
      <c r="Y410" t="s">
        <v>60</v>
      </c>
      <c r="Z410" t="s">
        <v>182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8.0500000000000007</v>
      </c>
      <c r="AN410" s="2">
        <v>8.0500000000000007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45943</v>
      </c>
      <c r="B411" t="s">
        <v>48</v>
      </c>
      <c r="C411">
        <v>649163</v>
      </c>
      <c r="D411">
        <v>2028367116</v>
      </c>
      <c r="E411" t="s">
        <v>262</v>
      </c>
      <c r="F411" t="s">
        <v>263</v>
      </c>
      <c r="G411" t="s">
        <v>51</v>
      </c>
      <c r="H411" t="s">
        <v>52</v>
      </c>
      <c r="I411" t="s">
        <v>116</v>
      </c>
      <c r="J411" t="s">
        <v>125</v>
      </c>
      <c r="K411">
        <v>673059</v>
      </c>
      <c r="L411" t="s">
        <v>55</v>
      </c>
      <c r="M411" t="s">
        <v>56</v>
      </c>
      <c r="N411" t="s">
        <v>57</v>
      </c>
      <c r="O411" s="1">
        <v>45759</v>
      </c>
      <c r="Q411" s="1">
        <v>45973</v>
      </c>
      <c r="R411" s="2">
        <v>63.95</v>
      </c>
      <c r="S411">
        <v>1</v>
      </c>
      <c r="T411" t="s">
        <v>58</v>
      </c>
      <c r="U411" t="s">
        <v>180</v>
      </c>
      <c r="V411" s="3">
        <v>0.7</v>
      </c>
      <c r="W411" s="2">
        <v>0</v>
      </c>
      <c r="X411">
        <v>0</v>
      </c>
      <c r="Y411" t="s">
        <v>60</v>
      </c>
      <c r="Z411" t="s">
        <v>182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44.76</v>
      </c>
      <c r="AN411" s="2">
        <v>44.76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45943</v>
      </c>
      <c r="B412" t="s">
        <v>48</v>
      </c>
      <c r="C412">
        <v>649163</v>
      </c>
      <c r="D412">
        <v>2028379892</v>
      </c>
      <c r="E412" t="s">
        <v>264</v>
      </c>
      <c r="F412" t="s">
        <v>265</v>
      </c>
      <c r="G412" t="s">
        <v>51</v>
      </c>
      <c r="H412" t="s">
        <v>91</v>
      </c>
      <c r="I412" t="s">
        <v>116</v>
      </c>
      <c r="J412" t="s">
        <v>125</v>
      </c>
      <c r="K412">
        <v>822865</v>
      </c>
      <c r="L412" t="s">
        <v>266</v>
      </c>
      <c r="M412" t="s">
        <v>267</v>
      </c>
      <c r="N412" t="s">
        <v>57</v>
      </c>
      <c r="O412" s="1">
        <v>45760</v>
      </c>
      <c r="Q412" s="1">
        <v>45974</v>
      </c>
      <c r="R412" s="2">
        <v>129.22</v>
      </c>
      <c r="S412">
        <v>1</v>
      </c>
      <c r="T412" t="s">
        <v>58</v>
      </c>
      <c r="U412" t="s">
        <v>180</v>
      </c>
      <c r="V412" s="3">
        <v>0.7</v>
      </c>
      <c r="W412" s="2">
        <v>0</v>
      </c>
      <c r="X412">
        <v>0</v>
      </c>
      <c r="Y412" t="s">
        <v>60</v>
      </c>
      <c r="Z412" t="s">
        <v>182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90.45</v>
      </c>
      <c r="AN412" s="2">
        <v>90.45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45943</v>
      </c>
      <c r="B413" t="s">
        <v>48</v>
      </c>
      <c r="C413">
        <v>649163</v>
      </c>
      <c r="D413">
        <v>2028782159</v>
      </c>
      <c r="E413" t="s">
        <v>647</v>
      </c>
      <c r="F413" t="s">
        <v>648</v>
      </c>
      <c r="G413" t="s">
        <v>51</v>
      </c>
      <c r="H413" t="s">
        <v>91</v>
      </c>
      <c r="I413" t="s">
        <v>116</v>
      </c>
      <c r="J413" t="s">
        <v>125</v>
      </c>
      <c r="K413">
        <v>822733</v>
      </c>
      <c r="L413" t="s">
        <v>645</v>
      </c>
      <c r="M413" t="s">
        <v>646</v>
      </c>
      <c r="N413" t="s">
        <v>57</v>
      </c>
      <c r="O413" s="1">
        <v>45792</v>
      </c>
      <c r="Q413" s="1">
        <v>45976</v>
      </c>
      <c r="R413" s="2">
        <v>48.76</v>
      </c>
      <c r="S413">
        <v>1</v>
      </c>
      <c r="T413" t="s">
        <v>58</v>
      </c>
      <c r="U413" t="s">
        <v>180</v>
      </c>
      <c r="V413" s="3">
        <v>0.7</v>
      </c>
      <c r="W413" s="2">
        <v>0</v>
      </c>
      <c r="X413">
        <v>0</v>
      </c>
      <c r="Y413" t="s">
        <v>60</v>
      </c>
      <c r="Z413" t="s">
        <v>182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34.130000000000003</v>
      </c>
      <c r="AN413" s="2">
        <v>34.130000000000003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45943</v>
      </c>
      <c r="B414" t="s">
        <v>48</v>
      </c>
      <c r="C414">
        <v>649163</v>
      </c>
      <c r="D414">
        <v>2028784372</v>
      </c>
      <c r="E414" t="s">
        <v>529</v>
      </c>
      <c r="F414" t="s">
        <v>514</v>
      </c>
      <c r="G414" t="s">
        <v>51</v>
      </c>
      <c r="H414" t="s">
        <v>78</v>
      </c>
      <c r="I414" t="s">
        <v>116</v>
      </c>
      <c r="J414" t="s">
        <v>120</v>
      </c>
      <c r="K414">
        <v>840313</v>
      </c>
      <c r="L414" t="s">
        <v>506</v>
      </c>
      <c r="M414" t="s">
        <v>507</v>
      </c>
      <c r="N414" t="s">
        <v>57</v>
      </c>
      <c r="O414" s="1">
        <v>45792</v>
      </c>
      <c r="Q414" s="1">
        <v>45976</v>
      </c>
      <c r="R414" s="2">
        <v>9.5299999999999994</v>
      </c>
      <c r="S414">
        <v>1</v>
      </c>
      <c r="T414" t="s">
        <v>58</v>
      </c>
      <c r="U414" t="s">
        <v>180</v>
      </c>
      <c r="V414" s="3">
        <v>0.9</v>
      </c>
      <c r="W414" s="2">
        <v>0</v>
      </c>
      <c r="X414">
        <v>0</v>
      </c>
      <c r="Y414" t="s">
        <v>60</v>
      </c>
      <c r="Z414" t="s">
        <v>182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8.58</v>
      </c>
      <c r="AN414" s="2">
        <v>8.58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45943</v>
      </c>
      <c r="B415" t="s">
        <v>48</v>
      </c>
      <c r="C415">
        <v>649163</v>
      </c>
      <c r="D415">
        <v>2028803828</v>
      </c>
      <c r="E415" t="s">
        <v>530</v>
      </c>
      <c r="F415" t="s">
        <v>531</v>
      </c>
      <c r="G415" t="s">
        <v>51</v>
      </c>
      <c r="H415" t="s">
        <v>78</v>
      </c>
      <c r="I415" t="s">
        <v>116</v>
      </c>
      <c r="J415" t="s">
        <v>125</v>
      </c>
      <c r="K415">
        <v>669316</v>
      </c>
      <c r="L415" t="s">
        <v>98</v>
      </c>
      <c r="M415" t="s">
        <v>99</v>
      </c>
      <c r="N415" t="s">
        <v>57</v>
      </c>
      <c r="O415" s="1">
        <v>45809</v>
      </c>
      <c r="Q415" s="1">
        <v>45962</v>
      </c>
      <c r="R415" s="2">
        <v>66.510000000000005</v>
      </c>
      <c r="S415">
        <v>1</v>
      </c>
      <c r="T415" t="s">
        <v>58</v>
      </c>
      <c r="U415" t="s">
        <v>180</v>
      </c>
      <c r="V415" s="3">
        <v>0.7</v>
      </c>
      <c r="W415" s="2">
        <v>0</v>
      </c>
      <c r="X415">
        <v>0</v>
      </c>
      <c r="Y415" t="s">
        <v>60</v>
      </c>
      <c r="Z415" t="s">
        <v>182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46.56</v>
      </c>
      <c r="AN415" s="2">
        <v>46.56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45943</v>
      </c>
      <c r="B416" t="s">
        <v>48</v>
      </c>
      <c r="C416">
        <v>649163</v>
      </c>
      <c r="D416">
        <v>2028881458</v>
      </c>
      <c r="E416" t="s">
        <v>538</v>
      </c>
      <c r="F416" t="s">
        <v>649</v>
      </c>
      <c r="G416" t="s">
        <v>51</v>
      </c>
      <c r="H416" t="s">
        <v>78</v>
      </c>
      <c r="I416" t="s">
        <v>116</v>
      </c>
      <c r="J416" t="s">
        <v>125</v>
      </c>
      <c r="K416">
        <v>812656</v>
      </c>
      <c r="L416" t="s">
        <v>547</v>
      </c>
      <c r="M416" t="s">
        <v>548</v>
      </c>
      <c r="N416" t="s">
        <v>57</v>
      </c>
      <c r="O416" s="1">
        <v>45793</v>
      </c>
      <c r="Q416" s="1">
        <v>45977</v>
      </c>
      <c r="R416" s="2">
        <v>27.19</v>
      </c>
      <c r="S416">
        <v>1</v>
      </c>
      <c r="T416" t="s">
        <v>58</v>
      </c>
      <c r="U416" t="s">
        <v>180</v>
      </c>
      <c r="V416" s="3">
        <v>0.7</v>
      </c>
      <c r="W416" s="2">
        <v>0</v>
      </c>
      <c r="X416">
        <v>0</v>
      </c>
      <c r="Y416" t="s">
        <v>60</v>
      </c>
      <c r="Z416" t="s">
        <v>182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19.03</v>
      </c>
      <c r="AN416" s="2">
        <v>19.03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45943</v>
      </c>
      <c r="B417" t="s">
        <v>48</v>
      </c>
      <c r="C417">
        <v>649163</v>
      </c>
      <c r="D417">
        <v>2028890707</v>
      </c>
      <c r="E417" t="s">
        <v>650</v>
      </c>
      <c r="F417" t="s">
        <v>651</v>
      </c>
      <c r="G417" t="s">
        <v>51</v>
      </c>
      <c r="H417" t="s">
        <v>78</v>
      </c>
      <c r="I417" t="s">
        <v>116</v>
      </c>
      <c r="J417" t="s">
        <v>125</v>
      </c>
      <c r="K417">
        <v>807212</v>
      </c>
      <c r="L417" t="s">
        <v>151</v>
      </c>
      <c r="M417" t="s">
        <v>152</v>
      </c>
      <c r="N417" t="s">
        <v>57</v>
      </c>
      <c r="O417" s="1">
        <v>45790</v>
      </c>
      <c r="Q417" s="1">
        <v>45974</v>
      </c>
      <c r="R417" s="2">
        <v>95.68</v>
      </c>
      <c r="S417">
        <v>1</v>
      </c>
      <c r="T417" t="s">
        <v>58</v>
      </c>
      <c r="U417" t="s">
        <v>180</v>
      </c>
      <c r="V417" s="3">
        <v>0.7</v>
      </c>
      <c r="W417" s="2">
        <v>0</v>
      </c>
      <c r="X417">
        <v>0</v>
      </c>
      <c r="Y417" t="s">
        <v>60</v>
      </c>
      <c r="Z417" t="s">
        <v>182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66.98</v>
      </c>
      <c r="AN417" s="2">
        <v>66.98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45943</v>
      </c>
      <c r="B418" t="s">
        <v>48</v>
      </c>
      <c r="C418">
        <v>649163</v>
      </c>
      <c r="D418">
        <v>2028890708</v>
      </c>
      <c r="E418" t="s">
        <v>650</v>
      </c>
      <c r="F418" t="s">
        <v>651</v>
      </c>
      <c r="G418" t="s">
        <v>51</v>
      </c>
      <c r="H418" t="s">
        <v>78</v>
      </c>
      <c r="I418" t="s">
        <v>116</v>
      </c>
      <c r="J418" t="s">
        <v>120</v>
      </c>
      <c r="K418">
        <v>807212</v>
      </c>
      <c r="L418" t="s">
        <v>151</v>
      </c>
      <c r="M418" t="s">
        <v>152</v>
      </c>
      <c r="N418" t="s">
        <v>57</v>
      </c>
      <c r="O418" s="1">
        <v>45790</v>
      </c>
      <c r="Q418" s="1">
        <v>45974</v>
      </c>
      <c r="R418" s="2">
        <v>23.05</v>
      </c>
      <c r="S418">
        <v>1</v>
      </c>
      <c r="T418" t="s">
        <v>58</v>
      </c>
      <c r="U418" t="s">
        <v>180</v>
      </c>
      <c r="V418" s="3">
        <v>0.9</v>
      </c>
      <c r="W418" s="2">
        <v>0</v>
      </c>
      <c r="X418">
        <v>0</v>
      </c>
      <c r="Y418" t="s">
        <v>60</v>
      </c>
      <c r="Z418" t="s">
        <v>182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20.74</v>
      </c>
      <c r="AN418" s="2">
        <v>20.74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45943</v>
      </c>
      <c r="B419" t="s">
        <v>48</v>
      </c>
      <c r="C419">
        <v>649163</v>
      </c>
      <c r="D419">
        <v>2028912654</v>
      </c>
      <c r="E419" t="s">
        <v>652</v>
      </c>
      <c r="F419" t="s">
        <v>202</v>
      </c>
      <c r="G419" t="s">
        <v>51</v>
      </c>
      <c r="H419" t="s">
        <v>91</v>
      </c>
      <c r="I419" t="s">
        <v>116</v>
      </c>
      <c r="J419" t="s">
        <v>125</v>
      </c>
      <c r="K419">
        <v>823350</v>
      </c>
      <c r="L419" t="s">
        <v>65</v>
      </c>
      <c r="M419" t="s">
        <v>66</v>
      </c>
      <c r="N419" t="s">
        <v>57</v>
      </c>
      <c r="O419" s="1">
        <v>45791</v>
      </c>
      <c r="Q419" s="1">
        <v>45975</v>
      </c>
      <c r="R419" s="2">
        <v>150.66</v>
      </c>
      <c r="S419">
        <v>1</v>
      </c>
      <c r="T419" t="s">
        <v>58</v>
      </c>
      <c r="U419" t="s">
        <v>180</v>
      </c>
      <c r="V419" s="3">
        <v>0.7</v>
      </c>
      <c r="W419" s="2">
        <v>0</v>
      </c>
      <c r="X419">
        <v>0</v>
      </c>
      <c r="Y419" t="s">
        <v>60</v>
      </c>
      <c r="Z419" t="s">
        <v>182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105.46</v>
      </c>
      <c r="AN419" s="2">
        <v>105.46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45943</v>
      </c>
      <c r="B420" t="s">
        <v>48</v>
      </c>
      <c r="C420">
        <v>649163</v>
      </c>
      <c r="D420">
        <v>2028919767</v>
      </c>
      <c r="E420" t="s">
        <v>653</v>
      </c>
      <c r="F420" t="s">
        <v>654</v>
      </c>
      <c r="G420" t="s">
        <v>51</v>
      </c>
      <c r="H420" t="s">
        <v>78</v>
      </c>
      <c r="I420" t="s">
        <v>116</v>
      </c>
      <c r="J420" t="s">
        <v>125</v>
      </c>
      <c r="K420">
        <v>807212</v>
      </c>
      <c r="L420" t="s">
        <v>151</v>
      </c>
      <c r="M420" t="s">
        <v>152</v>
      </c>
      <c r="N420" t="s">
        <v>57</v>
      </c>
      <c r="O420" s="1">
        <v>45791</v>
      </c>
      <c r="Q420" s="1">
        <v>45975</v>
      </c>
      <c r="R420" s="2">
        <v>61.26</v>
      </c>
      <c r="S420">
        <v>1</v>
      </c>
      <c r="T420" t="s">
        <v>58</v>
      </c>
      <c r="U420" t="s">
        <v>180</v>
      </c>
      <c r="V420" s="3">
        <v>0.7</v>
      </c>
      <c r="W420" s="2">
        <v>0</v>
      </c>
      <c r="X420">
        <v>0</v>
      </c>
      <c r="Y420" t="s">
        <v>60</v>
      </c>
      <c r="Z420" t="s">
        <v>182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42.88</v>
      </c>
      <c r="AN420" s="2">
        <v>42.88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45943</v>
      </c>
      <c r="B421" t="s">
        <v>48</v>
      </c>
      <c r="C421">
        <v>649163</v>
      </c>
      <c r="D421">
        <v>2028919768</v>
      </c>
      <c r="E421" t="s">
        <v>653</v>
      </c>
      <c r="F421" t="s">
        <v>654</v>
      </c>
      <c r="G421" t="s">
        <v>51</v>
      </c>
      <c r="H421" t="s">
        <v>78</v>
      </c>
      <c r="I421" t="s">
        <v>116</v>
      </c>
      <c r="J421" t="s">
        <v>120</v>
      </c>
      <c r="K421">
        <v>807212</v>
      </c>
      <c r="L421" t="s">
        <v>151</v>
      </c>
      <c r="M421" t="s">
        <v>152</v>
      </c>
      <c r="N421" t="s">
        <v>57</v>
      </c>
      <c r="O421" s="1">
        <v>45791</v>
      </c>
      <c r="Q421" s="1">
        <v>45975</v>
      </c>
      <c r="R421" s="2">
        <v>17.38</v>
      </c>
      <c r="S421">
        <v>1</v>
      </c>
      <c r="T421" t="s">
        <v>58</v>
      </c>
      <c r="U421" t="s">
        <v>180</v>
      </c>
      <c r="V421" s="3">
        <v>0.9</v>
      </c>
      <c r="W421" s="2">
        <v>0</v>
      </c>
      <c r="X421">
        <v>0</v>
      </c>
      <c r="Y421" t="s">
        <v>60</v>
      </c>
      <c r="Z421" t="s">
        <v>182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15.64</v>
      </c>
      <c r="AN421" s="2">
        <v>15.64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45943</v>
      </c>
      <c r="B422" t="s">
        <v>48</v>
      </c>
      <c r="C422">
        <v>649163</v>
      </c>
      <c r="D422">
        <v>2028930864</v>
      </c>
      <c r="E422" t="s">
        <v>655</v>
      </c>
      <c r="F422" t="s">
        <v>656</v>
      </c>
      <c r="G422" t="s">
        <v>51</v>
      </c>
      <c r="H422" t="s">
        <v>272</v>
      </c>
      <c r="I422" t="s">
        <v>116</v>
      </c>
      <c r="J422" t="s">
        <v>125</v>
      </c>
      <c r="K422">
        <v>813184</v>
      </c>
      <c r="L422" t="s">
        <v>566</v>
      </c>
      <c r="M422" t="s">
        <v>567</v>
      </c>
      <c r="N422" t="s">
        <v>57</v>
      </c>
      <c r="O422" s="1">
        <v>45793</v>
      </c>
      <c r="Q422" s="1">
        <v>45977</v>
      </c>
      <c r="R422" s="2">
        <v>107.87</v>
      </c>
      <c r="S422">
        <v>1</v>
      </c>
      <c r="T422" t="s">
        <v>58</v>
      </c>
      <c r="U422" t="s">
        <v>180</v>
      </c>
      <c r="V422" s="3">
        <v>0.7</v>
      </c>
      <c r="W422" s="2">
        <v>0</v>
      </c>
      <c r="X422">
        <v>0</v>
      </c>
      <c r="Y422" t="s">
        <v>60</v>
      </c>
      <c r="Z422" t="s">
        <v>182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75.510000000000005</v>
      </c>
      <c r="AN422" s="2">
        <v>75.510000000000005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45943</v>
      </c>
      <c r="B423" t="s">
        <v>48</v>
      </c>
      <c r="C423">
        <v>649163</v>
      </c>
      <c r="D423">
        <v>2028931111</v>
      </c>
      <c r="E423" t="s">
        <v>657</v>
      </c>
      <c r="F423" t="s">
        <v>428</v>
      </c>
      <c r="G423" t="s">
        <v>51</v>
      </c>
      <c r="H423" t="s">
        <v>272</v>
      </c>
      <c r="I423" t="s">
        <v>116</v>
      </c>
      <c r="J423" t="s">
        <v>125</v>
      </c>
      <c r="K423">
        <v>813184</v>
      </c>
      <c r="L423" t="s">
        <v>566</v>
      </c>
      <c r="M423" t="s">
        <v>567</v>
      </c>
      <c r="N423" t="s">
        <v>57</v>
      </c>
      <c r="O423" s="1">
        <v>45793</v>
      </c>
      <c r="Q423" s="1">
        <v>45977</v>
      </c>
      <c r="R423" s="2">
        <v>107.87</v>
      </c>
      <c r="S423">
        <v>1</v>
      </c>
      <c r="T423" t="s">
        <v>58</v>
      </c>
      <c r="U423" t="s">
        <v>180</v>
      </c>
      <c r="V423" s="3">
        <v>0.7</v>
      </c>
      <c r="W423" s="2">
        <v>0</v>
      </c>
      <c r="X423">
        <v>0</v>
      </c>
      <c r="Y423" t="s">
        <v>60</v>
      </c>
      <c r="Z423" t="s">
        <v>182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75.510000000000005</v>
      </c>
      <c r="AN423" s="2">
        <v>75.510000000000005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45943</v>
      </c>
      <c r="B424" t="s">
        <v>48</v>
      </c>
      <c r="C424">
        <v>649163</v>
      </c>
      <c r="D424">
        <v>2028935095</v>
      </c>
      <c r="E424" t="s">
        <v>268</v>
      </c>
      <c r="F424" t="s">
        <v>269</v>
      </c>
      <c r="G424" t="s">
        <v>51</v>
      </c>
      <c r="H424" t="s">
        <v>225</v>
      </c>
      <c r="I424" t="s">
        <v>116</v>
      </c>
      <c r="J424" t="s">
        <v>125</v>
      </c>
      <c r="K424">
        <v>821015</v>
      </c>
      <c r="L424" t="s">
        <v>135</v>
      </c>
      <c r="M424" t="s">
        <v>136</v>
      </c>
      <c r="N424" t="s">
        <v>57</v>
      </c>
      <c r="O424" s="1">
        <v>45792</v>
      </c>
      <c r="Q424" s="1">
        <v>45976</v>
      </c>
      <c r="R424" s="2">
        <v>10.71</v>
      </c>
      <c r="S424">
        <v>1</v>
      </c>
      <c r="T424" t="s">
        <v>58</v>
      </c>
      <c r="U424" t="s">
        <v>180</v>
      </c>
      <c r="V424" s="3">
        <v>0.7</v>
      </c>
      <c r="W424" s="2">
        <v>0</v>
      </c>
      <c r="X424">
        <v>0</v>
      </c>
      <c r="Y424" t="s">
        <v>60</v>
      </c>
      <c r="Z424" t="s">
        <v>182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7.5</v>
      </c>
      <c r="AN424" s="2">
        <v>7.5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45943</v>
      </c>
      <c r="B425" t="s">
        <v>48</v>
      </c>
      <c r="C425">
        <v>649163</v>
      </c>
      <c r="D425">
        <v>2028937037</v>
      </c>
      <c r="E425" t="s">
        <v>658</v>
      </c>
      <c r="F425" t="s">
        <v>659</v>
      </c>
      <c r="G425" t="s">
        <v>51</v>
      </c>
      <c r="H425" t="s">
        <v>272</v>
      </c>
      <c r="I425" t="s">
        <v>116</v>
      </c>
      <c r="J425" t="s">
        <v>125</v>
      </c>
      <c r="K425">
        <v>813184</v>
      </c>
      <c r="L425" t="s">
        <v>566</v>
      </c>
      <c r="M425" t="s">
        <v>567</v>
      </c>
      <c r="N425" t="s">
        <v>57</v>
      </c>
      <c r="O425" s="1">
        <v>45793</v>
      </c>
      <c r="Q425" s="1">
        <v>45977</v>
      </c>
      <c r="R425" s="2">
        <v>107.87</v>
      </c>
      <c r="S425">
        <v>1</v>
      </c>
      <c r="T425" t="s">
        <v>58</v>
      </c>
      <c r="U425" t="s">
        <v>180</v>
      </c>
      <c r="V425" s="3">
        <v>0.7</v>
      </c>
      <c r="W425" s="2">
        <v>0</v>
      </c>
      <c r="X425">
        <v>0</v>
      </c>
      <c r="Y425" t="s">
        <v>60</v>
      </c>
      <c r="Z425" t="s">
        <v>182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75.510000000000005</v>
      </c>
      <c r="AN425" s="2">
        <v>75.510000000000005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45943</v>
      </c>
      <c r="B426" t="s">
        <v>48</v>
      </c>
      <c r="C426">
        <v>649163</v>
      </c>
      <c r="D426">
        <v>2028937325</v>
      </c>
      <c r="E426" t="s">
        <v>660</v>
      </c>
      <c r="F426" t="s">
        <v>661</v>
      </c>
      <c r="G426" t="s">
        <v>51</v>
      </c>
      <c r="H426" t="s">
        <v>91</v>
      </c>
      <c r="I426" t="s">
        <v>116</v>
      </c>
      <c r="J426" t="s">
        <v>125</v>
      </c>
      <c r="K426">
        <v>856163</v>
      </c>
      <c r="L426" t="s">
        <v>65</v>
      </c>
      <c r="M426" t="s">
        <v>81</v>
      </c>
      <c r="N426" t="s">
        <v>57</v>
      </c>
      <c r="O426" s="1">
        <v>45792</v>
      </c>
      <c r="Q426" s="1">
        <v>45976</v>
      </c>
      <c r="R426" s="2">
        <v>163.43</v>
      </c>
      <c r="S426">
        <v>1</v>
      </c>
      <c r="T426" t="s">
        <v>58</v>
      </c>
      <c r="U426" t="s">
        <v>180</v>
      </c>
      <c r="V426" s="3">
        <v>0.7</v>
      </c>
      <c r="W426" s="2">
        <v>0</v>
      </c>
      <c r="X426">
        <v>0</v>
      </c>
      <c r="Y426" t="s">
        <v>60</v>
      </c>
      <c r="Z426" t="s">
        <v>182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114.4</v>
      </c>
      <c r="AN426" s="2">
        <v>114.4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45943</v>
      </c>
      <c r="B427" t="s">
        <v>48</v>
      </c>
      <c r="C427">
        <v>649163</v>
      </c>
      <c r="D427">
        <v>2028941657</v>
      </c>
      <c r="E427" t="s">
        <v>270</v>
      </c>
      <c r="F427" t="s">
        <v>271</v>
      </c>
      <c r="G427" t="s">
        <v>51</v>
      </c>
      <c r="H427" t="s">
        <v>272</v>
      </c>
      <c r="I427" t="s">
        <v>116</v>
      </c>
      <c r="J427" t="s">
        <v>125</v>
      </c>
      <c r="K427">
        <v>822723</v>
      </c>
      <c r="L427" t="s">
        <v>273</v>
      </c>
      <c r="M427" t="s">
        <v>274</v>
      </c>
      <c r="N427" t="s">
        <v>57</v>
      </c>
      <c r="O427" s="1">
        <v>45792</v>
      </c>
      <c r="Q427" s="1">
        <v>45976</v>
      </c>
      <c r="R427" s="2">
        <v>134.86000000000001</v>
      </c>
      <c r="S427">
        <v>1</v>
      </c>
      <c r="T427" t="s">
        <v>58</v>
      </c>
      <c r="U427" t="s">
        <v>180</v>
      </c>
      <c r="V427" s="3">
        <v>0.7</v>
      </c>
      <c r="W427" s="2">
        <v>0</v>
      </c>
      <c r="X427">
        <v>0</v>
      </c>
      <c r="Y427" t="s">
        <v>60</v>
      </c>
      <c r="Z427" t="s">
        <v>182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94.4</v>
      </c>
      <c r="AN427" s="2">
        <v>94.4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45943</v>
      </c>
      <c r="B428" t="s">
        <v>48</v>
      </c>
      <c r="C428">
        <v>649163</v>
      </c>
      <c r="D428">
        <v>2028942144</v>
      </c>
      <c r="E428" t="s">
        <v>662</v>
      </c>
      <c r="F428" t="s">
        <v>663</v>
      </c>
      <c r="G428" t="s">
        <v>51</v>
      </c>
      <c r="H428" t="s">
        <v>102</v>
      </c>
      <c r="I428" t="s">
        <v>116</v>
      </c>
      <c r="J428" t="s">
        <v>125</v>
      </c>
      <c r="K428">
        <v>820140</v>
      </c>
      <c r="L428" t="s">
        <v>103</v>
      </c>
      <c r="M428" t="s">
        <v>104</v>
      </c>
      <c r="N428" t="s">
        <v>57</v>
      </c>
      <c r="O428" s="1">
        <v>45792</v>
      </c>
      <c r="Q428" s="1">
        <v>45976</v>
      </c>
      <c r="R428" s="2">
        <v>31.6</v>
      </c>
      <c r="S428">
        <v>1</v>
      </c>
      <c r="T428" t="s">
        <v>58</v>
      </c>
      <c r="U428" t="s">
        <v>180</v>
      </c>
      <c r="V428" s="3">
        <v>0.3</v>
      </c>
      <c r="W428" s="2">
        <v>0</v>
      </c>
      <c r="X428">
        <v>0</v>
      </c>
      <c r="Y428" t="s">
        <v>60</v>
      </c>
      <c r="Z428" t="s">
        <v>182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9.48</v>
      </c>
      <c r="AN428" s="2">
        <v>9.48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45943</v>
      </c>
      <c r="B429" t="s">
        <v>48</v>
      </c>
      <c r="C429">
        <v>649163</v>
      </c>
      <c r="D429">
        <v>2028946855</v>
      </c>
      <c r="E429" t="s">
        <v>664</v>
      </c>
      <c r="F429" t="s">
        <v>665</v>
      </c>
      <c r="G429" t="s">
        <v>51</v>
      </c>
      <c r="H429" t="s">
        <v>272</v>
      </c>
      <c r="I429" t="s">
        <v>116</v>
      </c>
      <c r="J429" t="s">
        <v>125</v>
      </c>
      <c r="K429">
        <v>813184</v>
      </c>
      <c r="L429" t="s">
        <v>566</v>
      </c>
      <c r="M429" t="s">
        <v>567</v>
      </c>
      <c r="N429" t="s">
        <v>57</v>
      </c>
      <c r="O429" s="1">
        <v>45793</v>
      </c>
      <c r="Q429" s="1">
        <v>45977</v>
      </c>
      <c r="R429" s="2">
        <v>19</v>
      </c>
      <c r="S429">
        <v>1</v>
      </c>
      <c r="T429" t="s">
        <v>58</v>
      </c>
      <c r="U429" t="s">
        <v>180</v>
      </c>
      <c r="V429" s="3">
        <v>0.7</v>
      </c>
      <c r="W429" s="2">
        <v>0</v>
      </c>
      <c r="X429">
        <v>0</v>
      </c>
      <c r="Y429" t="s">
        <v>60</v>
      </c>
      <c r="Z429" t="s">
        <v>182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13.3</v>
      </c>
      <c r="AN429" s="2">
        <v>13.3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45943</v>
      </c>
      <c r="B430" t="s">
        <v>48</v>
      </c>
      <c r="C430">
        <v>649163</v>
      </c>
      <c r="D430">
        <v>2028958357</v>
      </c>
      <c r="E430" t="s">
        <v>275</v>
      </c>
      <c r="F430" t="s">
        <v>276</v>
      </c>
      <c r="G430" t="s">
        <v>51</v>
      </c>
      <c r="H430" t="s">
        <v>78</v>
      </c>
      <c r="I430" t="s">
        <v>116</v>
      </c>
      <c r="J430" t="s">
        <v>125</v>
      </c>
      <c r="K430">
        <v>673059</v>
      </c>
      <c r="L430" t="s">
        <v>55</v>
      </c>
      <c r="M430" t="s">
        <v>56</v>
      </c>
      <c r="N430" t="s">
        <v>57</v>
      </c>
      <c r="O430" s="1">
        <v>45793</v>
      </c>
      <c r="Q430" s="1">
        <v>45977</v>
      </c>
      <c r="R430" s="2">
        <v>118.33</v>
      </c>
      <c r="S430">
        <v>1</v>
      </c>
      <c r="T430" t="s">
        <v>58</v>
      </c>
      <c r="U430" t="s">
        <v>180</v>
      </c>
      <c r="V430" s="3">
        <v>0.7</v>
      </c>
      <c r="W430" s="2">
        <v>0</v>
      </c>
      <c r="X430">
        <v>0</v>
      </c>
      <c r="Y430" t="s">
        <v>60</v>
      </c>
      <c r="Z430" t="s">
        <v>182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82.83</v>
      </c>
      <c r="AN430" s="2">
        <v>82.83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45943</v>
      </c>
      <c r="B431" t="s">
        <v>48</v>
      </c>
      <c r="C431">
        <v>649163</v>
      </c>
      <c r="D431">
        <v>2028962513</v>
      </c>
      <c r="E431" t="s">
        <v>666</v>
      </c>
      <c r="F431" t="s">
        <v>106</v>
      </c>
      <c r="G431" t="s">
        <v>51</v>
      </c>
      <c r="H431" t="s">
        <v>225</v>
      </c>
      <c r="I431" t="s">
        <v>116</v>
      </c>
      <c r="J431" t="s">
        <v>125</v>
      </c>
      <c r="K431">
        <v>806645</v>
      </c>
      <c r="L431" t="s">
        <v>525</v>
      </c>
      <c r="M431" t="s">
        <v>526</v>
      </c>
      <c r="N431" t="s">
        <v>57</v>
      </c>
      <c r="O431" s="1">
        <v>45793</v>
      </c>
      <c r="Q431" s="1">
        <v>45977</v>
      </c>
      <c r="R431" s="2">
        <v>21.14</v>
      </c>
      <c r="S431">
        <v>1</v>
      </c>
      <c r="T431" t="s">
        <v>58</v>
      </c>
      <c r="U431" t="s">
        <v>180</v>
      </c>
      <c r="V431" s="3">
        <v>0.7</v>
      </c>
      <c r="W431" s="2">
        <v>0</v>
      </c>
      <c r="X431">
        <v>0</v>
      </c>
      <c r="Y431" t="s">
        <v>60</v>
      </c>
      <c r="Z431" t="s">
        <v>182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14.8</v>
      </c>
      <c r="AN431" s="2">
        <v>14.8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45943</v>
      </c>
      <c r="B432" t="s">
        <v>48</v>
      </c>
      <c r="C432">
        <v>649163</v>
      </c>
      <c r="D432">
        <v>2028963797</v>
      </c>
      <c r="E432" t="s">
        <v>537</v>
      </c>
      <c r="F432" t="s">
        <v>538</v>
      </c>
      <c r="G432" t="s">
        <v>51</v>
      </c>
      <c r="H432" t="s">
        <v>78</v>
      </c>
      <c r="I432" t="s">
        <v>116</v>
      </c>
      <c r="J432" t="s">
        <v>125</v>
      </c>
      <c r="K432">
        <v>806645</v>
      </c>
      <c r="L432" t="s">
        <v>525</v>
      </c>
      <c r="M432" t="s">
        <v>526</v>
      </c>
      <c r="N432" t="s">
        <v>57</v>
      </c>
      <c r="O432" s="1">
        <v>45793</v>
      </c>
      <c r="Q432" s="1">
        <v>45977</v>
      </c>
      <c r="R432" s="2">
        <v>11.5</v>
      </c>
      <c r="S432">
        <v>1</v>
      </c>
      <c r="T432" t="s">
        <v>58</v>
      </c>
      <c r="U432" t="s">
        <v>180</v>
      </c>
      <c r="V432" s="3">
        <v>0.7</v>
      </c>
      <c r="W432" s="2">
        <v>0</v>
      </c>
      <c r="X432">
        <v>0</v>
      </c>
      <c r="Y432" t="s">
        <v>60</v>
      </c>
      <c r="Z432" t="s">
        <v>182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8.0500000000000007</v>
      </c>
      <c r="AN432" s="2">
        <v>8.0500000000000007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45943</v>
      </c>
      <c r="B433" t="s">
        <v>48</v>
      </c>
      <c r="C433">
        <v>649163</v>
      </c>
      <c r="D433">
        <v>2028965776</v>
      </c>
      <c r="E433" t="s">
        <v>277</v>
      </c>
      <c r="F433" t="s">
        <v>278</v>
      </c>
      <c r="G433" t="s">
        <v>51</v>
      </c>
      <c r="H433" t="s">
        <v>78</v>
      </c>
      <c r="I433" t="s">
        <v>116</v>
      </c>
      <c r="J433" t="s">
        <v>125</v>
      </c>
      <c r="K433">
        <v>792847</v>
      </c>
      <c r="L433" t="s">
        <v>277</v>
      </c>
      <c r="M433" t="s">
        <v>279</v>
      </c>
      <c r="N433" t="s">
        <v>57</v>
      </c>
      <c r="O433" s="1">
        <v>45793</v>
      </c>
      <c r="Q433" s="1">
        <v>45977</v>
      </c>
      <c r="R433" s="2">
        <v>58.24</v>
      </c>
      <c r="S433">
        <v>1</v>
      </c>
      <c r="T433" t="s">
        <v>58</v>
      </c>
      <c r="U433" t="s">
        <v>180</v>
      </c>
      <c r="V433" s="3">
        <v>0.7</v>
      </c>
      <c r="W433" s="2">
        <v>0</v>
      </c>
      <c r="X433">
        <v>0</v>
      </c>
      <c r="Y433" t="s">
        <v>60</v>
      </c>
      <c r="Z433" t="s">
        <v>182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40.770000000000003</v>
      </c>
      <c r="AN433" s="2">
        <v>40.770000000000003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45943</v>
      </c>
      <c r="B434" t="s">
        <v>48</v>
      </c>
      <c r="C434">
        <v>649163</v>
      </c>
      <c r="D434">
        <v>2028965822</v>
      </c>
      <c r="E434" t="s">
        <v>667</v>
      </c>
      <c r="F434" t="s">
        <v>668</v>
      </c>
      <c r="G434" t="s">
        <v>51</v>
      </c>
      <c r="H434" t="s">
        <v>281</v>
      </c>
      <c r="I434" t="s">
        <v>116</v>
      </c>
      <c r="J434" t="s">
        <v>125</v>
      </c>
      <c r="K434">
        <v>792847</v>
      </c>
      <c r="L434" t="s">
        <v>277</v>
      </c>
      <c r="M434" t="s">
        <v>279</v>
      </c>
      <c r="N434" t="s">
        <v>57</v>
      </c>
      <c r="O434" s="1">
        <v>45793</v>
      </c>
      <c r="Q434" s="1">
        <v>45977</v>
      </c>
      <c r="R434" s="2">
        <v>34</v>
      </c>
      <c r="S434">
        <v>1</v>
      </c>
      <c r="T434" t="s">
        <v>58</v>
      </c>
      <c r="U434" t="s">
        <v>180</v>
      </c>
      <c r="V434" s="3">
        <v>0.7</v>
      </c>
      <c r="W434" s="2">
        <v>0</v>
      </c>
      <c r="X434">
        <v>0</v>
      </c>
      <c r="Y434" t="s">
        <v>60</v>
      </c>
      <c r="Z434" t="s">
        <v>182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23.8</v>
      </c>
      <c r="AN434" s="2">
        <v>23.8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45943</v>
      </c>
      <c r="B435" t="s">
        <v>48</v>
      </c>
      <c r="C435">
        <v>649163</v>
      </c>
      <c r="D435">
        <v>2028977072</v>
      </c>
      <c r="E435" t="s">
        <v>539</v>
      </c>
      <c r="F435" t="s">
        <v>540</v>
      </c>
      <c r="G435" t="s">
        <v>51</v>
      </c>
      <c r="H435" t="s">
        <v>219</v>
      </c>
      <c r="I435" t="s">
        <v>116</v>
      </c>
      <c r="J435" t="s">
        <v>125</v>
      </c>
      <c r="K435">
        <v>822865</v>
      </c>
      <c r="L435" t="s">
        <v>266</v>
      </c>
      <c r="M435" t="s">
        <v>267</v>
      </c>
      <c r="N435" t="s">
        <v>57</v>
      </c>
      <c r="O435" s="1">
        <v>45794</v>
      </c>
      <c r="Q435" s="1">
        <v>45978</v>
      </c>
      <c r="R435" s="2">
        <v>50.6</v>
      </c>
      <c r="S435">
        <v>1</v>
      </c>
      <c r="T435" t="s">
        <v>58</v>
      </c>
      <c r="U435" t="s">
        <v>180</v>
      </c>
      <c r="V435" s="3">
        <v>0.7</v>
      </c>
      <c r="W435" s="2">
        <v>0</v>
      </c>
      <c r="X435">
        <v>0</v>
      </c>
      <c r="Y435" t="s">
        <v>60</v>
      </c>
      <c r="Z435" t="s">
        <v>182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35.42</v>
      </c>
      <c r="AN435" s="2">
        <v>35.42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45943</v>
      </c>
      <c r="B436" t="s">
        <v>48</v>
      </c>
      <c r="C436">
        <v>649163</v>
      </c>
      <c r="D436">
        <v>2029056123</v>
      </c>
      <c r="E436" t="s">
        <v>530</v>
      </c>
      <c r="F436" t="s">
        <v>542</v>
      </c>
      <c r="G436" t="s">
        <v>51</v>
      </c>
      <c r="H436" t="s">
        <v>91</v>
      </c>
      <c r="I436" t="s">
        <v>116</v>
      </c>
      <c r="J436" t="s">
        <v>125</v>
      </c>
      <c r="K436">
        <v>792847</v>
      </c>
      <c r="L436" t="s">
        <v>277</v>
      </c>
      <c r="M436" t="s">
        <v>279</v>
      </c>
      <c r="N436" t="s">
        <v>57</v>
      </c>
      <c r="O436" s="1">
        <v>45799</v>
      </c>
      <c r="Q436" s="1">
        <v>45952</v>
      </c>
      <c r="R436" s="2">
        <v>83</v>
      </c>
      <c r="S436">
        <v>1</v>
      </c>
      <c r="T436" t="s">
        <v>58</v>
      </c>
      <c r="U436" t="s">
        <v>180</v>
      </c>
      <c r="V436" s="3">
        <v>0.7</v>
      </c>
      <c r="W436" s="2">
        <v>0</v>
      </c>
      <c r="X436">
        <v>0</v>
      </c>
      <c r="Y436" t="s">
        <v>60</v>
      </c>
      <c r="Z436" t="s">
        <v>182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58.1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45943</v>
      </c>
      <c r="B437" t="s">
        <v>48</v>
      </c>
      <c r="C437">
        <v>649163</v>
      </c>
      <c r="D437">
        <v>2029174126</v>
      </c>
      <c r="E437" t="s">
        <v>669</v>
      </c>
      <c r="F437" t="s">
        <v>670</v>
      </c>
      <c r="G437" t="s">
        <v>51</v>
      </c>
      <c r="H437" t="s">
        <v>119</v>
      </c>
      <c r="I437" t="s">
        <v>116</v>
      </c>
      <c r="J437" t="s">
        <v>120</v>
      </c>
      <c r="K437">
        <v>652037</v>
      </c>
      <c r="L437" t="s">
        <v>222</v>
      </c>
      <c r="M437" t="s">
        <v>223</v>
      </c>
      <c r="N437" t="s">
        <v>57</v>
      </c>
      <c r="O437" s="1">
        <v>45809</v>
      </c>
      <c r="Q437" s="1">
        <v>45992</v>
      </c>
      <c r="R437" s="2">
        <v>41.88</v>
      </c>
      <c r="S437">
        <v>1</v>
      </c>
      <c r="T437" t="s">
        <v>58</v>
      </c>
      <c r="U437" t="s">
        <v>180</v>
      </c>
      <c r="V437" s="3">
        <v>0.9</v>
      </c>
      <c r="W437" s="2">
        <v>0</v>
      </c>
      <c r="X437">
        <v>0</v>
      </c>
      <c r="Y437" t="s">
        <v>60</v>
      </c>
      <c r="Z437" t="s">
        <v>182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37.69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45943</v>
      </c>
      <c r="B438" t="s">
        <v>48</v>
      </c>
      <c r="C438">
        <v>649163</v>
      </c>
      <c r="D438">
        <v>2029177108</v>
      </c>
      <c r="E438" t="s">
        <v>282</v>
      </c>
      <c r="F438" t="s">
        <v>283</v>
      </c>
      <c r="G438" t="s">
        <v>51</v>
      </c>
      <c r="H438" t="s">
        <v>78</v>
      </c>
      <c r="I438" t="s">
        <v>116</v>
      </c>
      <c r="J438" t="s">
        <v>125</v>
      </c>
      <c r="K438">
        <v>820873</v>
      </c>
      <c r="L438" t="s">
        <v>284</v>
      </c>
      <c r="M438" t="s">
        <v>285</v>
      </c>
      <c r="N438" t="s">
        <v>179</v>
      </c>
      <c r="O438" s="1">
        <v>45809</v>
      </c>
      <c r="P438" s="1">
        <v>45943</v>
      </c>
      <c r="Q438" s="1">
        <v>45962</v>
      </c>
      <c r="R438" s="2">
        <v>-34</v>
      </c>
      <c r="S438">
        <v>1</v>
      </c>
      <c r="T438" t="s">
        <v>58</v>
      </c>
      <c r="U438" t="s">
        <v>180</v>
      </c>
      <c r="V438" s="3">
        <v>0.7</v>
      </c>
      <c r="W438" s="2">
        <v>0</v>
      </c>
      <c r="X438">
        <v>-1</v>
      </c>
      <c r="Y438" t="s">
        <v>60</v>
      </c>
      <c r="Z438" t="s">
        <v>182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-23.8</v>
      </c>
      <c r="AN438" s="2">
        <v>-23.8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45943</v>
      </c>
      <c r="B439" t="s">
        <v>48</v>
      </c>
      <c r="C439">
        <v>649163</v>
      </c>
      <c r="D439">
        <v>2029177108</v>
      </c>
      <c r="E439" t="s">
        <v>282</v>
      </c>
      <c r="F439" t="s">
        <v>283</v>
      </c>
      <c r="G439" t="s">
        <v>51</v>
      </c>
      <c r="H439" t="s">
        <v>78</v>
      </c>
      <c r="I439" t="s">
        <v>116</v>
      </c>
      <c r="J439" t="s">
        <v>125</v>
      </c>
      <c r="K439">
        <v>820873</v>
      </c>
      <c r="L439" t="s">
        <v>284</v>
      </c>
      <c r="M439" t="s">
        <v>285</v>
      </c>
      <c r="N439" t="s">
        <v>179</v>
      </c>
      <c r="O439" s="1">
        <v>45809</v>
      </c>
      <c r="P439" s="1">
        <v>45943</v>
      </c>
      <c r="Q439" s="1">
        <v>45962</v>
      </c>
      <c r="R439" s="2">
        <v>-34</v>
      </c>
      <c r="S439">
        <v>1</v>
      </c>
      <c r="T439" t="s">
        <v>58</v>
      </c>
      <c r="U439" t="s">
        <v>180</v>
      </c>
      <c r="V439" s="3">
        <v>0.7</v>
      </c>
      <c r="W439" s="2">
        <v>0</v>
      </c>
      <c r="X439">
        <v>-1</v>
      </c>
      <c r="Y439" t="s">
        <v>60</v>
      </c>
      <c r="Z439" t="s">
        <v>182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-23.8</v>
      </c>
      <c r="AN439" s="2">
        <v>-23.8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45943</v>
      </c>
      <c r="B440" t="s">
        <v>48</v>
      </c>
      <c r="C440">
        <v>649163</v>
      </c>
      <c r="D440">
        <v>2029185272</v>
      </c>
      <c r="E440" t="s">
        <v>286</v>
      </c>
      <c r="F440" t="s">
        <v>287</v>
      </c>
      <c r="G440" t="s">
        <v>51</v>
      </c>
      <c r="H440" t="s">
        <v>288</v>
      </c>
      <c r="I440" t="s">
        <v>116</v>
      </c>
      <c r="J440" t="s">
        <v>125</v>
      </c>
      <c r="K440">
        <v>673059</v>
      </c>
      <c r="L440" t="s">
        <v>55</v>
      </c>
      <c r="M440" t="s">
        <v>56</v>
      </c>
      <c r="N440" t="s">
        <v>57</v>
      </c>
      <c r="O440" s="1">
        <v>45825</v>
      </c>
      <c r="Q440" s="1">
        <v>45978</v>
      </c>
      <c r="R440" s="2">
        <v>10.82</v>
      </c>
      <c r="S440">
        <v>1</v>
      </c>
      <c r="T440" t="s">
        <v>58</v>
      </c>
      <c r="U440" t="s">
        <v>180</v>
      </c>
      <c r="V440" s="3">
        <v>0.7</v>
      </c>
      <c r="W440" s="2">
        <v>0</v>
      </c>
      <c r="X440">
        <v>0</v>
      </c>
      <c r="Y440" t="s">
        <v>60</v>
      </c>
      <c r="Z440" t="s">
        <v>182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7.57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45943</v>
      </c>
      <c r="B441" t="s">
        <v>48</v>
      </c>
      <c r="C441">
        <v>649163</v>
      </c>
      <c r="D441">
        <v>2029192286</v>
      </c>
      <c r="E441" t="s">
        <v>671</v>
      </c>
      <c r="F441" t="s">
        <v>265</v>
      </c>
      <c r="G441" t="s">
        <v>51</v>
      </c>
      <c r="H441" t="s">
        <v>91</v>
      </c>
      <c r="I441" t="s">
        <v>116</v>
      </c>
      <c r="J441" t="s">
        <v>125</v>
      </c>
      <c r="K441">
        <v>792847</v>
      </c>
      <c r="L441" t="s">
        <v>277</v>
      </c>
      <c r="M441" t="s">
        <v>279</v>
      </c>
      <c r="N441" t="s">
        <v>57</v>
      </c>
      <c r="O441" s="1">
        <v>45815</v>
      </c>
      <c r="Q441" s="1">
        <v>45968</v>
      </c>
      <c r="R441" s="2">
        <v>68.61</v>
      </c>
      <c r="S441">
        <v>1</v>
      </c>
      <c r="T441" t="s">
        <v>58</v>
      </c>
      <c r="U441" t="s">
        <v>180</v>
      </c>
      <c r="V441" s="3">
        <v>0.7</v>
      </c>
      <c r="W441" s="2">
        <v>0</v>
      </c>
      <c r="X441">
        <v>0</v>
      </c>
      <c r="Y441" t="s">
        <v>60</v>
      </c>
      <c r="Z441" t="s">
        <v>182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48.03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45943</v>
      </c>
      <c r="B442" t="s">
        <v>48</v>
      </c>
      <c r="C442">
        <v>649163</v>
      </c>
      <c r="D442">
        <v>2029292996</v>
      </c>
      <c r="E442" t="s">
        <v>289</v>
      </c>
      <c r="F442" t="s">
        <v>290</v>
      </c>
      <c r="G442" t="s">
        <v>51</v>
      </c>
      <c r="H442" t="s">
        <v>91</v>
      </c>
      <c r="I442" t="s">
        <v>116</v>
      </c>
      <c r="J442" t="s">
        <v>125</v>
      </c>
      <c r="K442">
        <v>856824</v>
      </c>
      <c r="L442" t="s">
        <v>156</v>
      </c>
      <c r="M442" t="s">
        <v>157</v>
      </c>
      <c r="N442" t="s">
        <v>179</v>
      </c>
      <c r="O442" s="1">
        <v>45839</v>
      </c>
      <c r="P442" s="1">
        <v>45936</v>
      </c>
      <c r="Q442" s="1">
        <v>45962</v>
      </c>
      <c r="R442" s="2">
        <v>-83</v>
      </c>
      <c r="S442">
        <v>1</v>
      </c>
      <c r="T442" t="s">
        <v>58</v>
      </c>
      <c r="U442" t="s">
        <v>180</v>
      </c>
      <c r="V442" s="3">
        <v>0.7</v>
      </c>
      <c r="W442" s="2">
        <v>0</v>
      </c>
      <c r="X442">
        <v>-1</v>
      </c>
      <c r="Y442" t="s">
        <v>60</v>
      </c>
      <c r="Z442" t="s">
        <v>182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-58.1</v>
      </c>
      <c r="AN442" s="2">
        <v>-58.1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45943</v>
      </c>
      <c r="B443" t="s">
        <v>48</v>
      </c>
      <c r="C443">
        <v>649163</v>
      </c>
      <c r="D443">
        <v>2029378057</v>
      </c>
      <c r="E443" t="s">
        <v>328</v>
      </c>
      <c r="F443" t="s">
        <v>544</v>
      </c>
      <c r="G443" t="s">
        <v>51</v>
      </c>
      <c r="H443" t="s">
        <v>91</v>
      </c>
      <c r="I443" t="s">
        <v>116</v>
      </c>
      <c r="J443" t="s">
        <v>125</v>
      </c>
      <c r="K443">
        <v>823350</v>
      </c>
      <c r="L443" t="s">
        <v>65</v>
      </c>
      <c r="M443" t="s">
        <v>66</v>
      </c>
      <c r="N443" t="s">
        <v>57</v>
      </c>
      <c r="O443" s="1">
        <v>45820</v>
      </c>
      <c r="Q443" s="1">
        <v>45973</v>
      </c>
      <c r="R443" s="2">
        <v>261</v>
      </c>
      <c r="S443">
        <v>1</v>
      </c>
      <c r="T443" t="s">
        <v>58</v>
      </c>
      <c r="U443" t="s">
        <v>180</v>
      </c>
      <c r="V443" s="3">
        <v>0.7</v>
      </c>
      <c r="W443" s="2">
        <v>0</v>
      </c>
      <c r="X443">
        <v>0</v>
      </c>
      <c r="Y443" t="s">
        <v>60</v>
      </c>
      <c r="Z443" t="s">
        <v>182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182.7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45943</v>
      </c>
      <c r="B444" t="s">
        <v>48</v>
      </c>
      <c r="C444">
        <v>649163</v>
      </c>
      <c r="D444">
        <v>2029378058</v>
      </c>
      <c r="E444" t="s">
        <v>328</v>
      </c>
      <c r="F444" t="s">
        <v>544</v>
      </c>
      <c r="G444" t="s">
        <v>51</v>
      </c>
      <c r="H444" t="s">
        <v>91</v>
      </c>
      <c r="I444" t="s">
        <v>116</v>
      </c>
      <c r="J444" t="s">
        <v>120</v>
      </c>
      <c r="K444">
        <v>823350</v>
      </c>
      <c r="L444" t="s">
        <v>65</v>
      </c>
      <c r="M444" t="s">
        <v>66</v>
      </c>
      <c r="N444" t="s">
        <v>57</v>
      </c>
      <c r="O444" s="1">
        <v>45820</v>
      </c>
      <c r="Q444" s="1">
        <v>45973</v>
      </c>
      <c r="R444" s="2">
        <v>103.75</v>
      </c>
      <c r="S444">
        <v>1</v>
      </c>
      <c r="T444" t="s">
        <v>58</v>
      </c>
      <c r="U444" t="s">
        <v>180</v>
      </c>
      <c r="V444" s="3">
        <v>0.9</v>
      </c>
      <c r="W444" s="2">
        <v>0</v>
      </c>
      <c r="X444">
        <v>0</v>
      </c>
      <c r="Y444" t="s">
        <v>60</v>
      </c>
      <c r="Z444" t="s">
        <v>182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93.38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45943</v>
      </c>
      <c r="B445" t="s">
        <v>48</v>
      </c>
      <c r="C445">
        <v>649163</v>
      </c>
      <c r="D445">
        <v>2029398822</v>
      </c>
      <c r="E445" t="s">
        <v>672</v>
      </c>
      <c r="F445" t="s">
        <v>343</v>
      </c>
      <c r="G445" t="s">
        <v>51</v>
      </c>
      <c r="H445" t="s">
        <v>673</v>
      </c>
      <c r="I445" t="s">
        <v>116</v>
      </c>
      <c r="J445" t="s">
        <v>429</v>
      </c>
      <c r="K445">
        <v>856824</v>
      </c>
      <c r="L445" t="s">
        <v>156</v>
      </c>
      <c r="M445" t="s">
        <v>157</v>
      </c>
      <c r="N445" t="s">
        <v>57</v>
      </c>
      <c r="O445" s="1">
        <v>45819</v>
      </c>
      <c r="Q445" s="1">
        <v>45972</v>
      </c>
      <c r="R445" s="2">
        <v>12.83</v>
      </c>
      <c r="S445">
        <v>1</v>
      </c>
      <c r="T445" t="s">
        <v>58</v>
      </c>
      <c r="U445" t="s">
        <v>180</v>
      </c>
      <c r="V445" s="3">
        <v>0.42</v>
      </c>
      <c r="W445" s="2">
        <v>0</v>
      </c>
      <c r="X445">
        <v>0</v>
      </c>
      <c r="Y445" t="s">
        <v>60</v>
      </c>
      <c r="Z445" t="s">
        <v>182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5.39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45943</v>
      </c>
      <c r="B446" t="s">
        <v>48</v>
      </c>
      <c r="C446">
        <v>649163</v>
      </c>
      <c r="D446">
        <v>2029402295</v>
      </c>
      <c r="E446" t="s">
        <v>674</v>
      </c>
      <c r="F446" t="s">
        <v>675</v>
      </c>
      <c r="G446" t="s">
        <v>51</v>
      </c>
      <c r="H446" t="s">
        <v>78</v>
      </c>
      <c r="I446" t="s">
        <v>116</v>
      </c>
      <c r="J446" t="s">
        <v>125</v>
      </c>
      <c r="K446">
        <v>843573</v>
      </c>
      <c r="L446" t="s">
        <v>519</v>
      </c>
      <c r="M446" t="s">
        <v>520</v>
      </c>
      <c r="N446" t="s">
        <v>57</v>
      </c>
      <c r="O446" s="1">
        <v>45821</v>
      </c>
      <c r="Q446" s="1">
        <v>45974</v>
      </c>
      <c r="R446" s="2">
        <v>42.38</v>
      </c>
      <c r="S446">
        <v>1</v>
      </c>
      <c r="T446" t="s">
        <v>58</v>
      </c>
      <c r="U446" t="s">
        <v>180</v>
      </c>
      <c r="V446" s="3">
        <v>0.7</v>
      </c>
      <c r="W446" s="2">
        <v>0</v>
      </c>
      <c r="X446">
        <v>0</v>
      </c>
      <c r="Y446" t="s">
        <v>60</v>
      </c>
      <c r="Z446" t="s">
        <v>182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29.67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45943</v>
      </c>
      <c r="B447" t="s">
        <v>48</v>
      </c>
      <c r="C447">
        <v>649163</v>
      </c>
      <c r="D447">
        <v>2029410874</v>
      </c>
      <c r="E447" t="s">
        <v>314</v>
      </c>
      <c r="F447" t="s">
        <v>676</v>
      </c>
      <c r="G447" t="s">
        <v>51</v>
      </c>
      <c r="H447" t="s">
        <v>91</v>
      </c>
      <c r="I447" t="s">
        <v>116</v>
      </c>
      <c r="J447" t="s">
        <v>125</v>
      </c>
      <c r="K447">
        <v>822733</v>
      </c>
      <c r="L447" t="s">
        <v>645</v>
      </c>
      <c r="M447" t="s">
        <v>646</v>
      </c>
      <c r="N447" t="s">
        <v>57</v>
      </c>
      <c r="O447" s="1">
        <v>45821</v>
      </c>
      <c r="Q447" s="1">
        <v>45974</v>
      </c>
      <c r="R447" s="2">
        <v>48.76</v>
      </c>
      <c r="S447">
        <v>1</v>
      </c>
      <c r="T447" t="s">
        <v>58</v>
      </c>
      <c r="U447" t="s">
        <v>180</v>
      </c>
      <c r="V447" s="3">
        <v>0.7</v>
      </c>
      <c r="W447" s="2">
        <v>0</v>
      </c>
      <c r="X447">
        <v>0</v>
      </c>
      <c r="Y447" t="s">
        <v>60</v>
      </c>
      <c r="Z447" t="s">
        <v>182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34.130000000000003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45943</v>
      </c>
      <c r="B448" t="s">
        <v>48</v>
      </c>
      <c r="C448">
        <v>649163</v>
      </c>
      <c r="D448">
        <v>2029413864</v>
      </c>
      <c r="E448" t="s">
        <v>549</v>
      </c>
      <c r="F448" t="s">
        <v>550</v>
      </c>
      <c r="G448" t="s">
        <v>51</v>
      </c>
      <c r="H448" t="s">
        <v>91</v>
      </c>
      <c r="I448" t="s">
        <v>116</v>
      </c>
      <c r="J448" t="s">
        <v>125</v>
      </c>
      <c r="K448">
        <v>823350</v>
      </c>
      <c r="L448" t="s">
        <v>65</v>
      </c>
      <c r="M448" t="s">
        <v>66</v>
      </c>
      <c r="N448" t="s">
        <v>57</v>
      </c>
      <c r="O448" s="1">
        <v>45820</v>
      </c>
      <c r="Q448" s="1">
        <v>45973</v>
      </c>
      <c r="R448" s="2">
        <v>13</v>
      </c>
      <c r="S448">
        <v>1</v>
      </c>
      <c r="T448" t="s">
        <v>58</v>
      </c>
      <c r="U448" t="s">
        <v>180</v>
      </c>
      <c r="V448" s="3">
        <v>0.7</v>
      </c>
      <c r="W448" s="2">
        <v>0</v>
      </c>
      <c r="X448">
        <v>0</v>
      </c>
      <c r="Y448" t="s">
        <v>60</v>
      </c>
      <c r="Z448" t="s">
        <v>182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9.1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45943</v>
      </c>
      <c r="B449" t="s">
        <v>48</v>
      </c>
      <c r="C449">
        <v>649163</v>
      </c>
      <c r="D449">
        <v>2029432398</v>
      </c>
      <c r="E449" t="s">
        <v>677</v>
      </c>
      <c r="F449" t="s">
        <v>678</v>
      </c>
      <c r="G449" t="s">
        <v>51</v>
      </c>
      <c r="H449" t="s">
        <v>78</v>
      </c>
      <c r="I449" t="s">
        <v>116</v>
      </c>
      <c r="J449" t="s">
        <v>125</v>
      </c>
      <c r="K449">
        <v>807212</v>
      </c>
      <c r="L449" t="s">
        <v>151</v>
      </c>
      <c r="M449" t="s">
        <v>152</v>
      </c>
      <c r="N449" t="s">
        <v>57</v>
      </c>
      <c r="O449" s="1">
        <v>45821</v>
      </c>
      <c r="Q449" s="1">
        <v>45974</v>
      </c>
      <c r="R449" s="2">
        <v>19</v>
      </c>
      <c r="S449">
        <v>1</v>
      </c>
      <c r="T449" t="s">
        <v>58</v>
      </c>
      <c r="U449" t="s">
        <v>180</v>
      </c>
      <c r="V449" s="3">
        <v>0.7</v>
      </c>
      <c r="W449" s="2">
        <v>0</v>
      </c>
      <c r="X449">
        <v>0</v>
      </c>
      <c r="Y449" t="s">
        <v>60</v>
      </c>
      <c r="Z449" t="s">
        <v>182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13.3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45943</v>
      </c>
      <c r="B450" t="s">
        <v>48</v>
      </c>
      <c r="C450">
        <v>649163</v>
      </c>
      <c r="D450">
        <v>2029434655</v>
      </c>
      <c r="E450" t="s">
        <v>679</v>
      </c>
      <c r="F450" t="s">
        <v>680</v>
      </c>
      <c r="G450" t="s">
        <v>51</v>
      </c>
      <c r="H450" t="s">
        <v>225</v>
      </c>
      <c r="I450" t="s">
        <v>116</v>
      </c>
      <c r="J450" t="s">
        <v>125</v>
      </c>
      <c r="K450">
        <v>812782</v>
      </c>
      <c r="L450" t="s">
        <v>160</v>
      </c>
      <c r="M450" t="s">
        <v>161</v>
      </c>
      <c r="N450" t="s">
        <v>57</v>
      </c>
      <c r="O450" s="1">
        <v>45821</v>
      </c>
      <c r="Q450" s="1">
        <v>45974</v>
      </c>
      <c r="R450" s="2">
        <v>83.79</v>
      </c>
      <c r="S450">
        <v>1</v>
      </c>
      <c r="T450" t="s">
        <v>58</v>
      </c>
      <c r="U450" t="s">
        <v>180</v>
      </c>
      <c r="V450" s="3">
        <v>0.7</v>
      </c>
      <c r="W450" s="2">
        <v>0</v>
      </c>
      <c r="X450">
        <v>0</v>
      </c>
      <c r="Y450" t="s">
        <v>60</v>
      </c>
      <c r="Z450" t="s">
        <v>182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58.65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45943</v>
      </c>
      <c r="B451" t="s">
        <v>48</v>
      </c>
      <c r="C451">
        <v>649163</v>
      </c>
      <c r="D451">
        <v>2029481266</v>
      </c>
      <c r="E451" t="s">
        <v>551</v>
      </c>
      <c r="F451" t="s">
        <v>552</v>
      </c>
      <c r="G451" t="s">
        <v>51</v>
      </c>
      <c r="H451" t="s">
        <v>107</v>
      </c>
      <c r="I451" t="s">
        <v>116</v>
      </c>
      <c r="J451" t="s">
        <v>125</v>
      </c>
      <c r="K451">
        <v>877790</v>
      </c>
      <c r="L451" t="s">
        <v>108</v>
      </c>
      <c r="M451" t="s">
        <v>109</v>
      </c>
      <c r="N451" t="s">
        <v>57</v>
      </c>
      <c r="O451" s="1">
        <v>45825</v>
      </c>
      <c r="Q451" s="1">
        <v>45978</v>
      </c>
      <c r="R451" s="2">
        <v>3.52</v>
      </c>
      <c r="S451">
        <v>1</v>
      </c>
      <c r="T451" t="s">
        <v>58</v>
      </c>
      <c r="U451" t="s">
        <v>180</v>
      </c>
      <c r="V451" s="3">
        <v>0.7</v>
      </c>
      <c r="W451" s="2">
        <v>0</v>
      </c>
      <c r="X451">
        <v>0</v>
      </c>
      <c r="Y451" t="s">
        <v>60</v>
      </c>
      <c r="Z451" t="s">
        <v>182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2.46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45943</v>
      </c>
      <c r="B452" t="s">
        <v>48</v>
      </c>
      <c r="C452">
        <v>649163</v>
      </c>
      <c r="D452">
        <v>2029486074</v>
      </c>
      <c r="E452" t="s">
        <v>376</v>
      </c>
      <c r="F452" t="s">
        <v>377</v>
      </c>
      <c r="G452" t="s">
        <v>51</v>
      </c>
      <c r="H452" t="s">
        <v>78</v>
      </c>
      <c r="I452" t="s">
        <v>116</v>
      </c>
      <c r="J452" t="s">
        <v>125</v>
      </c>
      <c r="K452">
        <v>824062</v>
      </c>
      <c r="L452" t="s">
        <v>126</v>
      </c>
      <c r="M452" t="s">
        <v>127</v>
      </c>
      <c r="N452" t="s">
        <v>57</v>
      </c>
      <c r="O452" s="1">
        <v>45825</v>
      </c>
      <c r="Q452" s="1">
        <v>45978</v>
      </c>
      <c r="R452" s="2">
        <v>34.68</v>
      </c>
      <c r="S452">
        <v>1</v>
      </c>
      <c r="T452" t="s">
        <v>58</v>
      </c>
      <c r="U452" t="s">
        <v>180</v>
      </c>
      <c r="V452" s="3">
        <v>0.7</v>
      </c>
      <c r="W452" s="2">
        <v>0</v>
      </c>
      <c r="X452">
        <v>0</v>
      </c>
      <c r="Y452" t="s">
        <v>60</v>
      </c>
      <c r="Z452" t="s">
        <v>182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24.28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45943</v>
      </c>
      <c r="B453" t="s">
        <v>48</v>
      </c>
      <c r="C453">
        <v>649163</v>
      </c>
      <c r="D453">
        <v>2029488849</v>
      </c>
      <c r="E453" t="s">
        <v>639</v>
      </c>
      <c r="F453" t="s">
        <v>681</v>
      </c>
      <c r="G453" t="s">
        <v>51</v>
      </c>
      <c r="H453" t="s">
        <v>78</v>
      </c>
      <c r="I453" t="s">
        <v>116</v>
      </c>
      <c r="J453" t="s">
        <v>120</v>
      </c>
      <c r="K453">
        <v>807212</v>
      </c>
      <c r="L453" t="s">
        <v>151</v>
      </c>
      <c r="M453" t="s">
        <v>152</v>
      </c>
      <c r="N453" t="s">
        <v>57</v>
      </c>
      <c r="O453" s="1">
        <v>45825</v>
      </c>
      <c r="Q453" s="1">
        <v>45978</v>
      </c>
      <c r="R453" s="2">
        <v>21.6</v>
      </c>
      <c r="S453">
        <v>1</v>
      </c>
      <c r="T453" t="s">
        <v>58</v>
      </c>
      <c r="U453" t="s">
        <v>180</v>
      </c>
      <c r="V453" s="3">
        <v>0.9</v>
      </c>
      <c r="W453" s="2">
        <v>0</v>
      </c>
      <c r="X453">
        <v>0</v>
      </c>
      <c r="Y453" t="s">
        <v>60</v>
      </c>
      <c r="Z453" t="s">
        <v>182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19.440000000000001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45943</v>
      </c>
      <c r="B454" t="s">
        <v>48</v>
      </c>
      <c r="C454">
        <v>649163</v>
      </c>
      <c r="D454">
        <v>2029844783</v>
      </c>
      <c r="E454" t="s">
        <v>227</v>
      </c>
      <c r="F454" t="s">
        <v>378</v>
      </c>
      <c r="G454" t="s">
        <v>51</v>
      </c>
      <c r="H454" t="s">
        <v>78</v>
      </c>
      <c r="I454" t="s">
        <v>116</v>
      </c>
      <c r="J454" t="s">
        <v>125</v>
      </c>
      <c r="K454">
        <v>768887</v>
      </c>
      <c r="L454" t="s">
        <v>139</v>
      </c>
      <c r="M454" t="s">
        <v>140</v>
      </c>
      <c r="N454" t="s">
        <v>57</v>
      </c>
      <c r="O454" s="1">
        <v>45849</v>
      </c>
      <c r="Q454" s="1">
        <v>45972</v>
      </c>
      <c r="R454" s="2">
        <v>126.92</v>
      </c>
      <c r="S454">
        <v>1</v>
      </c>
      <c r="T454" t="s">
        <v>58</v>
      </c>
      <c r="U454" t="s">
        <v>180</v>
      </c>
      <c r="V454" s="3">
        <v>0.7</v>
      </c>
      <c r="W454" s="2">
        <v>0</v>
      </c>
      <c r="X454">
        <v>0</v>
      </c>
      <c r="Y454" t="s">
        <v>60</v>
      </c>
      <c r="Z454" t="s">
        <v>182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88.84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45943</v>
      </c>
      <c r="B455" t="s">
        <v>48</v>
      </c>
      <c r="C455">
        <v>649163</v>
      </c>
      <c r="D455">
        <v>2029878252</v>
      </c>
      <c r="E455" t="s">
        <v>291</v>
      </c>
      <c r="F455" t="s">
        <v>161</v>
      </c>
      <c r="G455" t="s">
        <v>51</v>
      </c>
      <c r="H455" t="s">
        <v>78</v>
      </c>
      <c r="I455" t="s">
        <v>116</v>
      </c>
      <c r="J455" t="s">
        <v>125</v>
      </c>
      <c r="K455">
        <v>824076</v>
      </c>
      <c r="L455" t="s">
        <v>292</v>
      </c>
      <c r="M455" t="s">
        <v>293</v>
      </c>
      <c r="N455" t="s">
        <v>57</v>
      </c>
      <c r="O455" s="1">
        <v>45853</v>
      </c>
      <c r="Q455" s="1">
        <v>45976</v>
      </c>
      <c r="R455" s="2">
        <v>39.25</v>
      </c>
      <c r="S455">
        <v>1</v>
      </c>
      <c r="T455" t="s">
        <v>58</v>
      </c>
      <c r="U455" t="s">
        <v>180</v>
      </c>
      <c r="V455" s="3">
        <v>0.7</v>
      </c>
      <c r="W455" s="2">
        <v>0</v>
      </c>
      <c r="X455">
        <v>0</v>
      </c>
      <c r="Y455" t="s">
        <v>60</v>
      </c>
      <c r="Z455" t="s">
        <v>182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27.48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45943</v>
      </c>
      <c r="B456" t="s">
        <v>48</v>
      </c>
      <c r="C456">
        <v>649163</v>
      </c>
      <c r="D456">
        <v>2029887595</v>
      </c>
      <c r="E456" t="s">
        <v>165</v>
      </c>
      <c r="F456" t="s">
        <v>294</v>
      </c>
      <c r="G456" t="s">
        <v>51</v>
      </c>
      <c r="H456" t="s">
        <v>91</v>
      </c>
      <c r="I456" t="s">
        <v>116</v>
      </c>
      <c r="J456" t="s">
        <v>125</v>
      </c>
      <c r="K456">
        <v>753748</v>
      </c>
      <c r="L456" t="s">
        <v>168</v>
      </c>
      <c r="M456" t="s">
        <v>169</v>
      </c>
      <c r="N456" t="s">
        <v>57</v>
      </c>
      <c r="O456" s="1">
        <v>45870</v>
      </c>
      <c r="Q456" s="1">
        <v>45962</v>
      </c>
      <c r="R456" s="2">
        <v>141.47</v>
      </c>
      <c r="S456">
        <v>1</v>
      </c>
      <c r="T456" t="s">
        <v>58</v>
      </c>
      <c r="U456" t="s">
        <v>180</v>
      </c>
      <c r="V456" s="3">
        <v>0.7</v>
      </c>
      <c r="W456" s="2">
        <v>0</v>
      </c>
      <c r="X456">
        <v>0</v>
      </c>
      <c r="Y456" t="s">
        <v>60</v>
      </c>
      <c r="Z456" t="s">
        <v>182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99.03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45943</v>
      </c>
      <c r="B457" t="s">
        <v>48</v>
      </c>
      <c r="C457">
        <v>649163</v>
      </c>
      <c r="D457">
        <v>2029894139</v>
      </c>
      <c r="E457" t="s">
        <v>218</v>
      </c>
      <c r="F457" t="s">
        <v>196</v>
      </c>
      <c r="G457" t="s">
        <v>51</v>
      </c>
      <c r="H457" t="s">
        <v>219</v>
      </c>
      <c r="I457" t="s">
        <v>116</v>
      </c>
      <c r="J457" t="s">
        <v>125</v>
      </c>
      <c r="K457">
        <v>673059</v>
      </c>
      <c r="L457" t="s">
        <v>55</v>
      </c>
      <c r="M457" t="s">
        <v>56</v>
      </c>
      <c r="N457" t="s">
        <v>57</v>
      </c>
      <c r="O457" s="1">
        <v>45852</v>
      </c>
      <c r="Q457" s="1">
        <v>45975</v>
      </c>
      <c r="R457" s="2">
        <v>198.4</v>
      </c>
      <c r="S457">
        <v>1</v>
      </c>
      <c r="T457" t="s">
        <v>58</v>
      </c>
      <c r="U457" t="s">
        <v>180</v>
      </c>
      <c r="V457" s="3">
        <v>0.7</v>
      </c>
      <c r="W457" s="2">
        <v>0</v>
      </c>
      <c r="X457">
        <v>0</v>
      </c>
      <c r="Y457" t="s">
        <v>60</v>
      </c>
      <c r="Z457" t="s">
        <v>182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138.88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45943</v>
      </c>
      <c r="B458" t="s">
        <v>48</v>
      </c>
      <c r="D458">
        <v>2029894140</v>
      </c>
      <c r="E458" t="s">
        <v>218</v>
      </c>
      <c r="F458" t="s">
        <v>196</v>
      </c>
      <c r="G458" t="s">
        <v>51</v>
      </c>
      <c r="H458" t="s">
        <v>219</v>
      </c>
      <c r="I458" t="s">
        <v>116</v>
      </c>
      <c r="J458" t="s">
        <v>117</v>
      </c>
      <c r="L458" t="s">
        <v>55</v>
      </c>
      <c r="M458" t="s">
        <v>56</v>
      </c>
      <c r="N458" t="s">
        <v>57</v>
      </c>
      <c r="O458" s="1">
        <v>45852</v>
      </c>
      <c r="Q458" s="1">
        <v>45975</v>
      </c>
      <c r="R458" s="2">
        <v>23.39</v>
      </c>
      <c r="S458">
        <v>1</v>
      </c>
      <c r="T458" t="s">
        <v>58</v>
      </c>
      <c r="U458" t="s">
        <v>180</v>
      </c>
      <c r="V458" s="3">
        <v>0.7</v>
      </c>
      <c r="W458" s="2">
        <v>0</v>
      </c>
      <c r="X458">
        <v>0</v>
      </c>
      <c r="Y458" t="s">
        <v>60</v>
      </c>
      <c r="Z458" t="s">
        <v>182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16.37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45943</v>
      </c>
      <c r="B459" t="s">
        <v>48</v>
      </c>
      <c r="C459">
        <v>649163</v>
      </c>
      <c r="D459">
        <v>2029894409</v>
      </c>
      <c r="E459" t="s">
        <v>90</v>
      </c>
      <c r="F459" t="s">
        <v>553</v>
      </c>
      <c r="G459" t="s">
        <v>51</v>
      </c>
      <c r="H459" t="s">
        <v>107</v>
      </c>
      <c r="I459" t="s">
        <v>116</v>
      </c>
      <c r="J459" t="s">
        <v>125</v>
      </c>
      <c r="K459">
        <v>877790</v>
      </c>
      <c r="L459" t="s">
        <v>108</v>
      </c>
      <c r="M459" t="s">
        <v>109</v>
      </c>
      <c r="N459" t="s">
        <v>57</v>
      </c>
      <c r="O459" s="1">
        <v>45849</v>
      </c>
      <c r="Q459" s="1">
        <v>45972</v>
      </c>
      <c r="R459" s="2">
        <v>4.7699999999999996</v>
      </c>
      <c r="S459">
        <v>1</v>
      </c>
      <c r="T459" t="s">
        <v>58</v>
      </c>
      <c r="U459" t="s">
        <v>180</v>
      </c>
      <c r="V459" s="3">
        <v>0.7</v>
      </c>
      <c r="W459" s="2">
        <v>0</v>
      </c>
      <c r="X459">
        <v>0</v>
      </c>
      <c r="Y459" t="s">
        <v>60</v>
      </c>
      <c r="Z459" t="s">
        <v>182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3.34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45943</v>
      </c>
      <c r="B460" t="s">
        <v>48</v>
      </c>
      <c r="C460">
        <v>649163</v>
      </c>
      <c r="D460">
        <v>2029904976</v>
      </c>
      <c r="E460" t="s">
        <v>554</v>
      </c>
      <c r="F460" t="s">
        <v>555</v>
      </c>
      <c r="G460" t="s">
        <v>51</v>
      </c>
      <c r="H460" t="s">
        <v>225</v>
      </c>
      <c r="I460" t="s">
        <v>116</v>
      </c>
      <c r="J460" t="s">
        <v>125</v>
      </c>
      <c r="K460">
        <v>651818</v>
      </c>
      <c r="L460" t="s">
        <v>260</v>
      </c>
      <c r="M460" t="s">
        <v>261</v>
      </c>
      <c r="N460" t="s">
        <v>57</v>
      </c>
      <c r="O460" s="1">
        <v>45850</v>
      </c>
      <c r="Q460" s="1">
        <v>45973</v>
      </c>
      <c r="R460" s="2">
        <v>10.35</v>
      </c>
      <c r="S460">
        <v>1</v>
      </c>
      <c r="T460" t="s">
        <v>58</v>
      </c>
      <c r="U460" t="s">
        <v>180</v>
      </c>
      <c r="V460" s="3">
        <v>0.7</v>
      </c>
      <c r="W460" s="2">
        <v>0</v>
      </c>
      <c r="X460">
        <v>0</v>
      </c>
      <c r="Y460" t="s">
        <v>60</v>
      </c>
      <c r="Z460" t="s">
        <v>182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7.24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45943</v>
      </c>
      <c r="B461" t="s">
        <v>48</v>
      </c>
      <c r="C461">
        <v>649163</v>
      </c>
      <c r="D461">
        <v>2029907849</v>
      </c>
      <c r="E461" t="s">
        <v>559</v>
      </c>
      <c r="F461" t="s">
        <v>558</v>
      </c>
      <c r="G461" t="s">
        <v>51</v>
      </c>
      <c r="H461" t="s">
        <v>107</v>
      </c>
      <c r="I461" t="s">
        <v>116</v>
      </c>
      <c r="J461" t="s">
        <v>120</v>
      </c>
      <c r="K461">
        <v>877790</v>
      </c>
      <c r="L461" t="s">
        <v>108</v>
      </c>
      <c r="M461" t="s">
        <v>109</v>
      </c>
      <c r="N461" t="s">
        <v>57</v>
      </c>
      <c r="O461" s="1">
        <v>45850</v>
      </c>
      <c r="Q461" s="1">
        <v>45973</v>
      </c>
      <c r="R461" s="2">
        <v>14.75</v>
      </c>
      <c r="S461">
        <v>1</v>
      </c>
      <c r="T461" t="s">
        <v>58</v>
      </c>
      <c r="U461" t="s">
        <v>180</v>
      </c>
      <c r="V461" s="3">
        <v>0.9</v>
      </c>
      <c r="W461" s="2">
        <v>0</v>
      </c>
      <c r="X461">
        <v>0</v>
      </c>
      <c r="Y461" t="s">
        <v>60</v>
      </c>
      <c r="Z461" t="s">
        <v>182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13.28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45943</v>
      </c>
      <c r="B462" t="s">
        <v>48</v>
      </c>
      <c r="C462">
        <v>649163</v>
      </c>
      <c r="D462">
        <v>2029910878</v>
      </c>
      <c r="E462" t="s">
        <v>295</v>
      </c>
      <c r="F462" t="s">
        <v>296</v>
      </c>
      <c r="G462" t="s">
        <v>51</v>
      </c>
      <c r="H462" t="s">
        <v>281</v>
      </c>
      <c r="I462" t="s">
        <v>116</v>
      </c>
      <c r="J462" t="s">
        <v>125</v>
      </c>
      <c r="K462">
        <v>792847</v>
      </c>
      <c r="L462" t="s">
        <v>277</v>
      </c>
      <c r="M462" t="s">
        <v>279</v>
      </c>
      <c r="N462" t="s">
        <v>57</v>
      </c>
      <c r="O462" s="1">
        <v>45850</v>
      </c>
      <c r="Q462" s="1">
        <v>45973</v>
      </c>
      <c r="R462" s="2">
        <v>175.37</v>
      </c>
      <c r="S462">
        <v>1</v>
      </c>
      <c r="T462" t="s">
        <v>58</v>
      </c>
      <c r="U462" t="s">
        <v>180</v>
      </c>
      <c r="V462" s="3">
        <v>0.7</v>
      </c>
      <c r="W462" s="2">
        <v>0</v>
      </c>
      <c r="X462">
        <v>0</v>
      </c>
      <c r="Y462" t="s">
        <v>60</v>
      </c>
      <c r="Z462" t="s">
        <v>182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122.76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45943</v>
      </c>
      <c r="B463" t="s">
        <v>48</v>
      </c>
      <c r="C463">
        <v>649163</v>
      </c>
      <c r="D463">
        <v>2029910891</v>
      </c>
      <c r="E463" t="s">
        <v>556</v>
      </c>
      <c r="F463" t="s">
        <v>557</v>
      </c>
      <c r="G463" t="s">
        <v>51</v>
      </c>
      <c r="H463" t="s">
        <v>91</v>
      </c>
      <c r="I463" t="s">
        <v>116</v>
      </c>
      <c r="J463" t="s">
        <v>125</v>
      </c>
      <c r="K463">
        <v>856824</v>
      </c>
      <c r="L463" t="s">
        <v>156</v>
      </c>
      <c r="M463" t="s">
        <v>157</v>
      </c>
      <c r="N463" t="s">
        <v>57</v>
      </c>
      <c r="O463" s="1">
        <v>45850</v>
      </c>
      <c r="Q463" s="1">
        <v>45973</v>
      </c>
      <c r="R463" s="2">
        <v>44.15</v>
      </c>
      <c r="S463">
        <v>1</v>
      </c>
      <c r="T463" t="s">
        <v>58</v>
      </c>
      <c r="U463" t="s">
        <v>180</v>
      </c>
      <c r="V463" s="3">
        <v>0.7</v>
      </c>
      <c r="W463" s="2">
        <v>0</v>
      </c>
      <c r="X463">
        <v>0</v>
      </c>
      <c r="Y463" t="s">
        <v>60</v>
      </c>
      <c r="Z463" t="s">
        <v>182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30.9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45943</v>
      </c>
      <c r="B464" t="s">
        <v>48</v>
      </c>
      <c r="C464">
        <v>649163</v>
      </c>
      <c r="D464">
        <v>2029935514</v>
      </c>
      <c r="E464" t="s">
        <v>682</v>
      </c>
      <c r="F464" t="s">
        <v>683</v>
      </c>
      <c r="G464" t="s">
        <v>51</v>
      </c>
      <c r="H464" t="s">
        <v>272</v>
      </c>
      <c r="I464" t="s">
        <v>116</v>
      </c>
      <c r="J464" t="s">
        <v>125</v>
      </c>
      <c r="K464">
        <v>822723</v>
      </c>
      <c r="L464" t="s">
        <v>273</v>
      </c>
      <c r="M464" t="s">
        <v>274</v>
      </c>
      <c r="N464" t="s">
        <v>57</v>
      </c>
      <c r="O464" s="1">
        <v>45853</v>
      </c>
      <c r="Q464" s="1">
        <v>45976</v>
      </c>
      <c r="R464" s="2">
        <v>155.81</v>
      </c>
      <c r="S464">
        <v>1</v>
      </c>
      <c r="T464" t="s">
        <v>58</v>
      </c>
      <c r="U464" t="s">
        <v>180</v>
      </c>
      <c r="V464" s="3">
        <v>0.7</v>
      </c>
      <c r="W464" s="2">
        <v>0</v>
      </c>
      <c r="X464">
        <v>0</v>
      </c>
      <c r="Y464" t="s">
        <v>60</v>
      </c>
      <c r="Z464" t="s">
        <v>182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109.07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45943</v>
      </c>
      <c r="B465" t="s">
        <v>48</v>
      </c>
      <c r="C465">
        <v>649163</v>
      </c>
      <c r="D465">
        <v>2029938123</v>
      </c>
      <c r="E465" t="s">
        <v>297</v>
      </c>
      <c r="F465" t="s">
        <v>298</v>
      </c>
      <c r="G465" t="s">
        <v>51</v>
      </c>
      <c r="H465" t="s">
        <v>299</v>
      </c>
      <c r="I465" t="s">
        <v>116</v>
      </c>
      <c r="J465" t="s">
        <v>125</v>
      </c>
      <c r="K465">
        <v>767312</v>
      </c>
      <c r="L465" t="s">
        <v>147</v>
      </c>
      <c r="M465" t="s">
        <v>148</v>
      </c>
      <c r="N465" t="s">
        <v>57</v>
      </c>
      <c r="O465" s="1">
        <v>45853</v>
      </c>
      <c r="Q465" s="1">
        <v>45976</v>
      </c>
      <c r="R465" s="2">
        <v>75.900000000000006</v>
      </c>
      <c r="S465">
        <v>1</v>
      </c>
      <c r="T465" t="s">
        <v>58</v>
      </c>
      <c r="U465" t="s">
        <v>180</v>
      </c>
      <c r="V465" s="3">
        <v>0.7</v>
      </c>
      <c r="W465" s="2">
        <v>0</v>
      </c>
      <c r="X465">
        <v>0</v>
      </c>
      <c r="Y465" t="s">
        <v>60</v>
      </c>
      <c r="Z465" t="s">
        <v>182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53.13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45943</v>
      </c>
      <c r="B466" t="s">
        <v>48</v>
      </c>
      <c r="C466">
        <v>649163</v>
      </c>
      <c r="D466">
        <v>2029951220</v>
      </c>
      <c r="E466" t="s">
        <v>684</v>
      </c>
      <c r="F466" t="s">
        <v>685</v>
      </c>
      <c r="G466" t="s">
        <v>51</v>
      </c>
      <c r="H466" t="s">
        <v>299</v>
      </c>
      <c r="I466" t="s">
        <v>116</v>
      </c>
      <c r="J466" t="s">
        <v>125</v>
      </c>
      <c r="K466">
        <v>673059</v>
      </c>
      <c r="L466" t="s">
        <v>55</v>
      </c>
      <c r="M466" t="s">
        <v>56</v>
      </c>
      <c r="N466" t="s">
        <v>57</v>
      </c>
      <c r="O466" s="1">
        <v>45853</v>
      </c>
      <c r="Q466" s="1">
        <v>45976</v>
      </c>
      <c r="R466" s="2">
        <v>125.48</v>
      </c>
      <c r="S466">
        <v>1</v>
      </c>
      <c r="T466" t="s">
        <v>58</v>
      </c>
      <c r="U466" t="s">
        <v>180</v>
      </c>
      <c r="V466" s="3">
        <v>0.7</v>
      </c>
      <c r="W466" s="2">
        <v>0</v>
      </c>
      <c r="X466">
        <v>0</v>
      </c>
      <c r="Y466" t="s">
        <v>60</v>
      </c>
      <c r="Z466" t="s">
        <v>182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87.84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45943</v>
      </c>
      <c r="B467" t="s">
        <v>48</v>
      </c>
      <c r="C467">
        <v>649163</v>
      </c>
      <c r="D467">
        <v>2029951924</v>
      </c>
      <c r="E467" t="s">
        <v>300</v>
      </c>
      <c r="F467" t="s">
        <v>301</v>
      </c>
      <c r="G467" t="s">
        <v>51</v>
      </c>
      <c r="H467" t="s">
        <v>78</v>
      </c>
      <c r="I467" t="s">
        <v>116</v>
      </c>
      <c r="J467" t="s">
        <v>125</v>
      </c>
      <c r="K467">
        <v>824076</v>
      </c>
      <c r="L467" t="s">
        <v>292</v>
      </c>
      <c r="M467" t="s">
        <v>293</v>
      </c>
      <c r="N467" t="s">
        <v>57</v>
      </c>
      <c r="O467" s="1">
        <v>45853</v>
      </c>
      <c r="Q467" s="1">
        <v>45976</v>
      </c>
      <c r="R467" s="2">
        <v>41.5</v>
      </c>
      <c r="S467">
        <v>1</v>
      </c>
      <c r="T467" t="s">
        <v>58</v>
      </c>
      <c r="U467" t="s">
        <v>180</v>
      </c>
      <c r="V467" s="3">
        <v>0.7</v>
      </c>
      <c r="W467" s="2">
        <v>0</v>
      </c>
      <c r="X467">
        <v>0</v>
      </c>
      <c r="Y467" t="s">
        <v>60</v>
      </c>
      <c r="Z467" t="s">
        <v>182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29.05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45943</v>
      </c>
      <c r="B468" t="s">
        <v>48</v>
      </c>
      <c r="C468">
        <v>649163</v>
      </c>
      <c r="D468">
        <v>2029955372</v>
      </c>
      <c r="E468" t="s">
        <v>302</v>
      </c>
      <c r="F468" t="s">
        <v>278</v>
      </c>
      <c r="G468" t="s">
        <v>51</v>
      </c>
      <c r="H468" t="s">
        <v>69</v>
      </c>
      <c r="I468" t="s">
        <v>116</v>
      </c>
      <c r="J468" t="s">
        <v>125</v>
      </c>
      <c r="K468">
        <v>824082</v>
      </c>
      <c r="L468" t="s">
        <v>303</v>
      </c>
      <c r="M468" t="s">
        <v>304</v>
      </c>
      <c r="N468" t="s">
        <v>57</v>
      </c>
      <c r="O468" s="1">
        <v>45853</v>
      </c>
      <c r="Q468" s="1">
        <v>45976</v>
      </c>
      <c r="R468" s="2">
        <v>9.6999999999999993</v>
      </c>
      <c r="S468">
        <v>1</v>
      </c>
      <c r="T468" t="s">
        <v>58</v>
      </c>
      <c r="U468" t="s">
        <v>180</v>
      </c>
      <c r="V468" s="3">
        <v>0.7</v>
      </c>
      <c r="W468" s="2">
        <v>0</v>
      </c>
      <c r="X468">
        <v>0</v>
      </c>
      <c r="Y468" t="s">
        <v>60</v>
      </c>
      <c r="Z468" t="s">
        <v>182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6.79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45943</v>
      </c>
      <c r="B469" t="s">
        <v>48</v>
      </c>
      <c r="C469">
        <v>649163</v>
      </c>
      <c r="D469">
        <v>2029956855</v>
      </c>
      <c r="E469" t="s">
        <v>686</v>
      </c>
      <c r="F469" t="s">
        <v>687</v>
      </c>
      <c r="G469" t="s">
        <v>51</v>
      </c>
      <c r="H469" t="s">
        <v>78</v>
      </c>
      <c r="I469" t="s">
        <v>116</v>
      </c>
      <c r="J469" t="s">
        <v>125</v>
      </c>
      <c r="K469">
        <v>839554</v>
      </c>
      <c r="L469" t="s">
        <v>688</v>
      </c>
      <c r="M469" t="s">
        <v>689</v>
      </c>
      <c r="N469" t="s">
        <v>57</v>
      </c>
      <c r="O469" s="1">
        <v>45883</v>
      </c>
      <c r="Q469" s="1">
        <v>45975</v>
      </c>
      <c r="R469" s="2">
        <v>11.5</v>
      </c>
      <c r="S469">
        <v>1</v>
      </c>
      <c r="T469" t="s">
        <v>58</v>
      </c>
      <c r="U469" t="s">
        <v>180</v>
      </c>
      <c r="V469" s="3">
        <v>0.7</v>
      </c>
      <c r="W469" s="2">
        <v>0</v>
      </c>
      <c r="X469">
        <v>0</v>
      </c>
      <c r="Y469" t="s">
        <v>60</v>
      </c>
      <c r="Z469" t="s">
        <v>182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8.0500000000000007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45943</v>
      </c>
      <c r="B470" t="s">
        <v>48</v>
      </c>
      <c r="C470">
        <v>649163</v>
      </c>
      <c r="D470">
        <v>2029957806</v>
      </c>
      <c r="E470" t="s">
        <v>558</v>
      </c>
      <c r="F470" t="s">
        <v>559</v>
      </c>
      <c r="G470" t="s">
        <v>51</v>
      </c>
      <c r="H470" t="s">
        <v>107</v>
      </c>
      <c r="I470" t="s">
        <v>116</v>
      </c>
      <c r="J470" t="s">
        <v>125</v>
      </c>
      <c r="K470">
        <v>877790</v>
      </c>
      <c r="L470" t="s">
        <v>108</v>
      </c>
      <c r="M470" t="s">
        <v>109</v>
      </c>
      <c r="N470" t="s">
        <v>57</v>
      </c>
      <c r="O470" s="1">
        <v>45854</v>
      </c>
      <c r="Q470" s="1">
        <v>45977</v>
      </c>
      <c r="R470" s="2">
        <v>12.4</v>
      </c>
      <c r="S470">
        <v>1</v>
      </c>
      <c r="T470" t="s">
        <v>58</v>
      </c>
      <c r="U470" t="s">
        <v>180</v>
      </c>
      <c r="V470" s="3">
        <v>0.7</v>
      </c>
      <c r="W470" s="2">
        <v>0</v>
      </c>
      <c r="X470">
        <v>0</v>
      </c>
      <c r="Y470" t="s">
        <v>60</v>
      </c>
      <c r="Z470" t="s">
        <v>182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8.68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45943</v>
      </c>
      <c r="B471" t="s">
        <v>48</v>
      </c>
      <c r="C471">
        <v>649163</v>
      </c>
      <c r="D471">
        <v>2029958122</v>
      </c>
      <c r="E471" t="s">
        <v>690</v>
      </c>
      <c r="F471" t="s">
        <v>691</v>
      </c>
      <c r="G471" t="s">
        <v>51</v>
      </c>
      <c r="H471" t="s">
        <v>78</v>
      </c>
      <c r="I471" t="s">
        <v>116</v>
      </c>
      <c r="J471" t="s">
        <v>125</v>
      </c>
      <c r="K471">
        <v>839554</v>
      </c>
      <c r="L471" t="s">
        <v>688</v>
      </c>
      <c r="M471" t="s">
        <v>689</v>
      </c>
      <c r="N471" t="s">
        <v>57</v>
      </c>
      <c r="O471" s="1">
        <v>45853</v>
      </c>
      <c r="Q471" s="1">
        <v>45976</v>
      </c>
      <c r="R471" s="2">
        <v>69.25</v>
      </c>
      <c r="S471">
        <v>1</v>
      </c>
      <c r="T471" t="s">
        <v>58</v>
      </c>
      <c r="U471" t="s">
        <v>180</v>
      </c>
      <c r="V471" s="3">
        <v>0.7</v>
      </c>
      <c r="W471" s="2">
        <v>0</v>
      </c>
      <c r="X471">
        <v>0</v>
      </c>
      <c r="Y471" t="s">
        <v>60</v>
      </c>
      <c r="Z471" t="s">
        <v>182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48.48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45943</v>
      </c>
      <c r="B472" t="s">
        <v>48</v>
      </c>
      <c r="C472">
        <v>649163</v>
      </c>
      <c r="D472">
        <v>2029958337</v>
      </c>
      <c r="E472" t="s">
        <v>174</v>
      </c>
      <c r="F472" t="s">
        <v>692</v>
      </c>
      <c r="G472" t="s">
        <v>51</v>
      </c>
      <c r="H472" t="s">
        <v>78</v>
      </c>
      <c r="I472" t="s">
        <v>116</v>
      </c>
      <c r="J472" t="s">
        <v>125</v>
      </c>
      <c r="K472">
        <v>839554</v>
      </c>
      <c r="L472" t="s">
        <v>688</v>
      </c>
      <c r="M472" t="s">
        <v>689</v>
      </c>
      <c r="N472" t="s">
        <v>57</v>
      </c>
      <c r="O472" s="1">
        <v>45853</v>
      </c>
      <c r="Q472" s="1">
        <v>45976</v>
      </c>
      <c r="R472" s="2">
        <v>56.5</v>
      </c>
      <c r="S472">
        <v>1</v>
      </c>
      <c r="T472" t="s">
        <v>58</v>
      </c>
      <c r="U472" t="s">
        <v>180</v>
      </c>
      <c r="V472" s="3">
        <v>0.7</v>
      </c>
      <c r="W472" s="2">
        <v>0</v>
      </c>
      <c r="X472">
        <v>0</v>
      </c>
      <c r="Y472" t="s">
        <v>60</v>
      </c>
      <c r="Z472" t="s">
        <v>182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39.549999999999997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45943</v>
      </c>
      <c r="B473" t="s">
        <v>48</v>
      </c>
      <c r="C473">
        <v>649163</v>
      </c>
      <c r="D473">
        <v>2029963379</v>
      </c>
      <c r="E473" t="s">
        <v>693</v>
      </c>
      <c r="F473" t="s">
        <v>694</v>
      </c>
      <c r="G473" t="s">
        <v>51</v>
      </c>
      <c r="H473" t="s">
        <v>78</v>
      </c>
      <c r="I473" t="s">
        <v>116</v>
      </c>
      <c r="J473" t="s">
        <v>125</v>
      </c>
      <c r="K473">
        <v>807212</v>
      </c>
      <c r="L473" t="s">
        <v>151</v>
      </c>
      <c r="M473" t="s">
        <v>152</v>
      </c>
      <c r="N473" t="s">
        <v>57</v>
      </c>
      <c r="O473" s="1">
        <v>45854</v>
      </c>
      <c r="Q473" s="1">
        <v>45977</v>
      </c>
      <c r="R473" s="2">
        <v>20.56</v>
      </c>
      <c r="S473">
        <v>1</v>
      </c>
      <c r="T473" t="s">
        <v>58</v>
      </c>
      <c r="U473" t="s">
        <v>180</v>
      </c>
      <c r="V473" s="3">
        <v>0.7</v>
      </c>
      <c r="W473" s="2">
        <v>0</v>
      </c>
      <c r="X473">
        <v>0</v>
      </c>
      <c r="Y473" t="s">
        <v>60</v>
      </c>
      <c r="Z473" t="s">
        <v>182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14.39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45943</v>
      </c>
      <c r="B474" t="s">
        <v>48</v>
      </c>
      <c r="C474">
        <v>649163</v>
      </c>
      <c r="D474">
        <v>2029967973</v>
      </c>
      <c r="E474" t="s">
        <v>305</v>
      </c>
      <c r="F474" t="s">
        <v>306</v>
      </c>
      <c r="G474" t="s">
        <v>51</v>
      </c>
      <c r="H474" t="s">
        <v>119</v>
      </c>
      <c r="I474" t="s">
        <v>116</v>
      </c>
      <c r="J474" t="s">
        <v>429</v>
      </c>
      <c r="K474">
        <v>823068</v>
      </c>
      <c r="L474" t="s">
        <v>307</v>
      </c>
      <c r="M474" t="s">
        <v>308</v>
      </c>
      <c r="N474" t="s">
        <v>57</v>
      </c>
      <c r="O474" s="1">
        <v>45854</v>
      </c>
      <c r="Q474" s="1">
        <v>45977</v>
      </c>
      <c r="R474" s="2">
        <v>32.81</v>
      </c>
      <c r="S474">
        <v>1</v>
      </c>
      <c r="T474" t="s">
        <v>58</v>
      </c>
      <c r="U474" t="s">
        <v>180</v>
      </c>
      <c r="V474" s="3">
        <v>0.42</v>
      </c>
      <c r="W474" s="2">
        <v>0</v>
      </c>
      <c r="X474">
        <v>0</v>
      </c>
      <c r="Y474" t="s">
        <v>60</v>
      </c>
      <c r="Z474" t="s">
        <v>182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13.78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45943</v>
      </c>
      <c r="B475" t="s">
        <v>48</v>
      </c>
      <c r="D475">
        <v>2029967974</v>
      </c>
      <c r="E475" t="s">
        <v>305</v>
      </c>
      <c r="F475" t="s">
        <v>306</v>
      </c>
      <c r="G475" t="s">
        <v>51</v>
      </c>
      <c r="H475" t="s">
        <v>119</v>
      </c>
      <c r="I475" t="s">
        <v>116</v>
      </c>
      <c r="J475" t="s">
        <v>117</v>
      </c>
      <c r="L475" t="s">
        <v>307</v>
      </c>
      <c r="M475" t="s">
        <v>308</v>
      </c>
      <c r="N475" t="s">
        <v>57</v>
      </c>
      <c r="O475" s="1">
        <v>45854</v>
      </c>
      <c r="Q475" s="1">
        <v>45977</v>
      </c>
      <c r="R475" s="2">
        <v>24.61</v>
      </c>
      <c r="S475">
        <v>1</v>
      </c>
      <c r="T475" t="s">
        <v>58</v>
      </c>
      <c r="U475" t="s">
        <v>180</v>
      </c>
      <c r="V475" s="3">
        <v>0.7</v>
      </c>
      <c r="W475" s="2">
        <v>0</v>
      </c>
      <c r="X475">
        <v>0</v>
      </c>
      <c r="Y475" t="s">
        <v>60</v>
      </c>
      <c r="Z475" t="s">
        <v>182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17.23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45943</v>
      </c>
      <c r="B476" t="s">
        <v>48</v>
      </c>
      <c r="C476">
        <v>649163</v>
      </c>
      <c r="D476">
        <v>2029968822</v>
      </c>
      <c r="E476" t="s">
        <v>148</v>
      </c>
      <c r="F476" t="s">
        <v>261</v>
      </c>
      <c r="G476" t="s">
        <v>51</v>
      </c>
      <c r="H476" t="s">
        <v>78</v>
      </c>
      <c r="I476" t="s">
        <v>116</v>
      </c>
      <c r="J476" t="s">
        <v>429</v>
      </c>
      <c r="K476">
        <v>814033</v>
      </c>
      <c r="L476" t="s">
        <v>695</v>
      </c>
      <c r="M476" t="s">
        <v>696</v>
      </c>
      <c r="N476" t="s">
        <v>57</v>
      </c>
      <c r="O476" s="1">
        <v>45854</v>
      </c>
      <c r="Q476" s="1">
        <v>45977</v>
      </c>
      <c r="R476" s="2">
        <v>25.08</v>
      </c>
      <c r="S476">
        <v>1</v>
      </c>
      <c r="T476" t="s">
        <v>58</v>
      </c>
      <c r="U476" t="s">
        <v>180</v>
      </c>
      <c r="V476" s="3">
        <v>0.42</v>
      </c>
      <c r="W476" s="2">
        <v>0</v>
      </c>
      <c r="X476">
        <v>0</v>
      </c>
      <c r="Y476" t="s">
        <v>60</v>
      </c>
      <c r="Z476" t="s">
        <v>182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10.53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45943</v>
      </c>
      <c r="B477" t="s">
        <v>48</v>
      </c>
      <c r="C477">
        <v>649163</v>
      </c>
      <c r="D477">
        <v>2029968823</v>
      </c>
      <c r="E477" t="s">
        <v>148</v>
      </c>
      <c r="F477" t="s">
        <v>261</v>
      </c>
      <c r="G477" t="s">
        <v>51</v>
      </c>
      <c r="H477" t="s">
        <v>78</v>
      </c>
      <c r="I477" t="s">
        <v>116</v>
      </c>
      <c r="J477" t="s">
        <v>125</v>
      </c>
      <c r="K477">
        <v>814033</v>
      </c>
      <c r="L477" t="s">
        <v>695</v>
      </c>
      <c r="M477" t="s">
        <v>696</v>
      </c>
      <c r="N477" t="s">
        <v>57</v>
      </c>
      <c r="O477" s="1">
        <v>45854</v>
      </c>
      <c r="Q477" s="1">
        <v>45977</v>
      </c>
      <c r="R477" s="2">
        <v>62.8</v>
      </c>
      <c r="S477">
        <v>1</v>
      </c>
      <c r="T477" t="s">
        <v>58</v>
      </c>
      <c r="U477" t="s">
        <v>180</v>
      </c>
      <c r="V477" s="3">
        <v>0.7</v>
      </c>
      <c r="W477" s="2">
        <v>0</v>
      </c>
      <c r="X477">
        <v>0</v>
      </c>
      <c r="Y477" t="s">
        <v>60</v>
      </c>
      <c r="Z477" t="s">
        <v>182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43.96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45943</v>
      </c>
      <c r="B478" t="s">
        <v>48</v>
      </c>
      <c r="C478">
        <v>649163</v>
      </c>
      <c r="D478">
        <v>2029969604</v>
      </c>
      <c r="E478" t="s">
        <v>309</v>
      </c>
      <c r="F478" t="s">
        <v>310</v>
      </c>
      <c r="G478" t="s">
        <v>51</v>
      </c>
      <c r="H478" t="s">
        <v>69</v>
      </c>
      <c r="I478" t="s">
        <v>116</v>
      </c>
      <c r="J478" t="s">
        <v>125</v>
      </c>
      <c r="K478">
        <v>816021</v>
      </c>
      <c r="L478" t="s">
        <v>71</v>
      </c>
      <c r="M478" t="s">
        <v>72</v>
      </c>
      <c r="N478" t="s">
        <v>57</v>
      </c>
      <c r="O478" s="1">
        <v>45854</v>
      </c>
      <c r="Q478" s="1">
        <v>45977</v>
      </c>
      <c r="R478" s="2">
        <v>9.1</v>
      </c>
      <c r="S478">
        <v>1</v>
      </c>
      <c r="T478" t="s">
        <v>58</v>
      </c>
      <c r="U478" t="s">
        <v>180</v>
      </c>
      <c r="V478" s="3">
        <v>0.7</v>
      </c>
      <c r="W478" s="2">
        <v>0</v>
      </c>
      <c r="X478">
        <v>0</v>
      </c>
      <c r="Y478" t="s">
        <v>60</v>
      </c>
      <c r="Z478" t="s">
        <v>182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6.37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45943</v>
      </c>
      <c r="B479" t="s">
        <v>48</v>
      </c>
      <c r="C479">
        <v>649163</v>
      </c>
      <c r="D479">
        <v>2029971479</v>
      </c>
      <c r="E479" t="s">
        <v>560</v>
      </c>
      <c r="F479" t="s">
        <v>211</v>
      </c>
      <c r="G479" t="s">
        <v>51</v>
      </c>
      <c r="H479" t="s">
        <v>272</v>
      </c>
      <c r="I479" t="s">
        <v>116</v>
      </c>
      <c r="J479" t="s">
        <v>125</v>
      </c>
      <c r="K479">
        <v>822723</v>
      </c>
      <c r="L479" t="s">
        <v>273</v>
      </c>
      <c r="M479" t="s">
        <v>274</v>
      </c>
      <c r="N479" t="s">
        <v>57</v>
      </c>
      <c r="O479" s="1">
        <v>45854</v>
      </c>
      <c r="Q479" s="1">
        <v>45977</v>
      </c>
      <c r="R479" s="2">
        <v>15.75</v>
      </c>
      <c r="S479">
        <v>1</v>
      </c>
      <c r="T479" t="s">
        <v>58</v>
      </c>
      <c r="U479" t="s">
        <v>180</v>
      </c>
      <c r="V479" s="3">
        <v>0.7</v>
      </c>
      <c r="W479" s="2">
        <v>0</v>
      </c>
      <c r="X479">
        <v>0</v>
      </c>
      <c r="Y479" t="s">
        <v>60</v>
      </c>
      <c r="Z479" t="s">
        <v>182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11.02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45943</v>
      </c>
      <c r="B480" t="s">
        <v>48</v>
      </c>
      <c r="C480">
        <v>649163</v>
      </c>
      <c r="D480">
        <v>2029973108</v>
      </c>
      <c r="E480" t="s">
        <v>561</v>
      </c>
      <c r="F480" t="s">
        <v>223</v>
      </c>
      <c r="G480" t="s">
        <v>51</v>
      </c>
      <c r="H480" t="s">
        <v>102</v>
      </c>
      <c r="I480" t="s">
        <v>116</v>
      </c>
      <c r="J480" t="s">
        <v>125</v>
      </c>
      <c r="K480">
        <v>820140</v>
      </c>
      <c r="L480" t="s">
        <v>103</v>
      </c>
      <c r="M480" t="s">
        <v>104</v>
      </c>
      <c r="N480" t="s">
        <v>57</v>
      </c>
      <c r="O480" s="1">
        <v>45854</v>
      </c>
      <c r="Q480" s="1">
        <v>45977</v>
      </c>
      <c r="R480" s="2">
        <v>19</v>
      </c>
      <c r="S480">
        <v>1</v>
      </c>
      <c r="T480" t="s">
        <v>58</v>
      </c>
      <c r="U480" t="s">
        <v>180</v>
      </c>
      <c r="V480" s="3">
        <v>0.3</v>
      </c>
      <c r="W480" s="2">
        <v>0</v>
      </c>
      <c r="X480">
        <v>0</v>
      </c>
      <c r="Y480" t="s">
        <v>60</v>
      </c>
      <c r="Z480" t="s">
        <v>182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5.7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45943</v>
      </c>
      <c r="B481" t="s">
        <v>48</v>
      </c>
      <c r="C481">
        <v>649163</v>
      </c>
      <c r="D481">
        <v>2029973759</v>
      </c>
      <c r="E481" t="s">
        <v>697</v>
      </c>
      <c r="F481" t="s">
        <v>698</v>
      </c>
      <c r="G481" t="s">
        <v>51</v>
      </c>
      <c r="H481" t="s">
        <v>272</v>
      </c>
      <c r="I481" t="s">
        <v>116</v>
      </c>
      <c r="J481" t="s">
        <v>125</v>
      </c>
      <c r="K481">
        <v>812994</v>
      </c>
      <c r="L481" t="s">
        <v>699</v>
      </c>
      <c r="M481" t="s">
        <v>700</v>
      </c>
      <c r="N481" t="s">
        <v>57</v>
      </c>
      <c r="O481" s="1">
        <v>45854</v>
      </c>
      <c r="Q481" s="1">
        <v>45977</v>
      </c>
      <c r="R481" s="2">
        <v>115.98</v>
      </c>
      <c r="S481">
        <v>1</v>
      </c>
      <c r="T481" t="s">
        <v>58</v>
      </c>
      <c r="U481" t="s">
        <v>180</v>
      </c>
      <c r="V481" s="3">
        <v>0.7</v>
      </c>
      <c r="W481" s="2">
        <v>0</v>
      </c>
      <c r="X481">
        <v>0</v>
      </c>
      <c r="Y481" t="s">
        <v>60</v>
      </c>
      <c r="Z481" t="s">
        <v>182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81.19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45943</v>
      </c>
      <c r="B482" t="s">
        <v>48</v>
      </c>
      <c r="C482">
        <v>649163</v>
      </c>
      <c r="D482">
        <v>2029980505</v>
      </c>
      <c r="E482" t="s">
        <v>184</v>
      </c>
      <c r="F482" t="s">
        <v>311</v>
      </c>
      <c r="G482" t="s">
        <v>51</v>
      </c>
      <c r="H482" t="s">
        <v>312</v>
      </c>
      <c r="I482" t="s">
        <v>116</v>
      </c>
      <c r="J482" t="s">
        <v>125</v>
      </c>
      <c r="K482">
        <v>673059</v>
      </c>
      <c r="L482" t="s">
        <v>55</v>
      </c>
      <c r="M482" t="s">
        <v>56</v>
      </c>
      <c r="N482" t="s">
        <v>57</v>
      </c>
      <c r="O482" s="1">
        <v>45884</v>
      </c>
      <c r="Q482" s="1">
        <v>45976</v>
      </c>
      <c r="R482" s="2">
        <v>24</v>
      </c>
      <c r="S482">
        <v>1</v>
      </c>
      <c r="T482" t="s">
        <v>58</v>
      </c>
      <c r="U482" t="s">
        <v>180</v>
      </c>
      <c r="V482" s="3">
        <v>0.7</v>
      </c>
      <c r="W482" s="2">
        <v>0</v>
      </c>
      <c r="X482">
        <v>0</v>
      </c>
      <c r="Y482" t="s">
        <v>60</v>
      </c>
      <c r="Z482" t="s">
        <v>182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16.8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45943</v>
      </c>
      <c r="B483" t="s">
        <v>48</v>
      </c>
      <c r="C483">
        <v>649163</v>
      </c>
      <c r="D483">
        <v>2029980506</v>
      </c>
      <c r="E483" t="s">
        <v>184</v>
      </c>
      <c r="F483" t="s">
        <v>311</v>
      </c>
      <c r="G483" t="s">
        <v>51</v>
      </c>
      <c r="H483" t="s">
        <v>312</v>
      </c>
      <c r="I483" t="s">
        <v>116</v>
      </c>
      <c r="J483" t="s">
        <v>591</v>
      </c>
      <c r="K483">
        <v>673059</v>
      </c>
      <c r="L483" t="s">
        <v>55</v>
      </c>
      <c r="M483" t="s">
        <v>56</v>
      </c>
      <c r="N483" t="s">
        <v>57</v>
      </c>
      <c r="O483" s="1">
        <v>45884</v>
      </c>
      <c r="Q483" s="1">
        <v>45976</v>
      </c>
      <c r="R483" s="2">
        <v>21.44</v>
      </c>
      <c r="S483">
        <v>1</v>
      </c>
      <c r="T483" t="s">
        <v>58</v>
      </c>
      <c r="U483" t="s">
        <v>180</v>
      </c>
      <c r="V483" s="3">
        <v>0.7</v>
      </c>
      <c r="W483" s="2">
        <v>0</v>
      </c>
      <c r="X483">
        <v>0</v>
      </c>
      <c r="Y483" t="s">
        <v>60</v>
      </c>
      <c r="Z483" t="s">
        <v>182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15.01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45943</v>
      </c>
      <c r="B484" t="s">
        <v>48</v>
      </c>
      <c r="C484">
        <v>649163</v>
      </c>
      <c r="D484">
        <v>2029985852</v>
      </c>
      <c r="E484" t="s">
        <v>562</v>
      </c>
      <c r="F484" t="s">
        <v>140</v>
      </c>
      <c r="G484" t="s">
        <v>51</v>
      </c>
      <c r="H484" t="s">
        <v>78</v>
      </c>
      <c r="I484" t="s">
        <v>116</v>
      </c>
      <c r="J484" t="s">
        <v>125</v>
      </c>
      <c r="K484">
        <v>823350</v>
      </c>
      <c r="L484" t="s">
        <v>65</v>
      </c>
      <c r="M484" t="s">
        <v>66</v>
      </c>
      <c r="N484" t="s">
        <v>57</v>
      </c>
      <c r="O484" s="1">
        <v>45855</v>
      </c>
      <c r="Q484" s="1">
        <v>45978</v>
      </c>
      <c r="R484" s="2">
        <v>15.75</v>
      </c>
      <c r="S484">
        <v>1</v>
      </c>
      <c r="T484" t="s">
        <v>58</v>
      </c>
      <c r="U484" t="s">
        <v>180</v>
      </c>
      <c r="V484" s="3">
        <v>0.7</v>
      </c>
      <c r="W484" s="2">
        <v>0</v>
      </c>
      <c r="X484">
        <v>0</v>
      </c>
      <c r="Y484" t="s">
        <v>60</v>
      </c>
      <c r="Z484" t="s">
        <v>182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11.02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45943</v>
      </c>
      <c r="B485" t="s">
        <v>48</v>
      </c>
      <c r="C485">
        <v>649163</v>
      </c>
      <c r="D485">
        <v>2029989667</v>
      </c>
      <c r="E485" t="s">
        <v>563</v>
      </c>
      <c r="F485" t="s">
        <v>485</v>
      </c>
      <c r="G485" t="s">
        <v>51</v>
      </c>
      <c r="H485" t="s">
        <v>91</v>
      </c>
      <c r="I485" t="s">
        <v>116</v>
      </c>
      <c r="J485" t="s">
        <v>125</v>
      </c>
      <c r="K485">
        <v>812656</v>
      </c>
      <c r="L485" t="s">
        <v>547</v>
      </c>
      <c r="M485" t="s">
        <v>548</v>
      </c>
      <c r="N485" t="s">
        <v>57</v>
      </c>
      <c r="O485" s="1">
        <v>45855</v>
      </c>
      <c r="Q485" s="1">
        <v>45978</v>
      </c>
      <c r="R485" s="2">
        <v>13</v>
      </c>
      <c r="S485">
        <v>1</v>
      </c>
      <c r="T485" t="s">
        <v>58</v>
      </c>
      <c r="U485" t="s">
        <v>180</v>
      </c>
      <c r="V485" s="3">
        <v>0.7</v>
      </c>
      <c r="W485" s="2">
        <v>0</v>
      </c>
      <c r="X485">
        <v>0</v>
      </c>
      <c r="Y485" t="s">
        <v>60</v>
      </c>
      <c r="Z485" t="s">
        <v>182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9.1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45943</v>
      </c>
      <c r="B486" t="s">
        <v>48</v>
      </c>
      <c r="C486">
        <v>649163</v>
      </c>
      <c r="D486">
        <v>2029994615</v>
      </c>
      <c r="E486" t="s">
        <v>701</v>
      </c>
      <c r="F486" t="s">
        <v>702</v>
      </c>
      <c r="G486" t="s">
        <v>51</v>
      </c>
      <c r="H486" t="s">
        <v>219</v>
      </c>
      <c r="I486" t="s">
        <v>116</v>
      </c>
      <c r="J486" t="s">
        <v>125</v>
      </c>
      <c r="K486">
        <v>813184</v>
      </c>
      <c r="L486" t="s">
        <v>566</v>
      </c>
      <c r="M486" t="s">
        <v>567</v>
      </c>
      <c r="N486" t="s">
        <v>57</v>
      </c>
      <c r="O486" s="1">
        <v>45855</v>
      </c>
      <c r="Q486" s="1">
        <v>45978</v>
      </c>
      <c r="R486" s="2">
        <v>28.45</v>
      </c>
      <c r="S486">
        <v>1</v>
      </c>
      <c r="T486" t="s">
        <v>58</v>
      </c>
      <c r="U486" t="s">
        <v>180</v>
      </c>
      <c r="V486" s="3">
        <v>0.7</v>
      </c>
      <c r="W486" s="2">
        <v>0</v>
      </c>
      <c r="X486">
        <v>0</v>
      </c>
      <c r="Y486" t="s">
        <v>60</v>
      </c>
      <c r="Z486" t="s">
        <v>182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19.920000000000002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45943</v>
      </c>
      <c r="B487" t="s">
        <v>48</v>
      </c>
      <c r="D487">
        <v>2029995394</v>
      </c>
      <c r="E487" t="s">
        <v>379</v>
      </c>
      <c r="F487" t="s">
        <v>211</v>
      </c>
      <c r="G487" t="s">
        <v>51</v>
      </c>
      <c r="H487" t="s">
        <v>225</v>
      </c>
      <c r="I487" t="s">
        <v>116</v>
      </c>
      <c r="J487" t="s">
        <v>117</v>
      </c>
      <c r="L487" t="s">
        <v>380</v>
      </c>
      <c r="M487" t="s">
        <v>381</v>
      </c>
      <c r="N487" t="s">
        <v>57</v>
      </c>
      <c r="O487" s="1">
        <v>45855</v>
      </c>
      <c r="Q487" s="1">
        <v>45978</v>
      </c>
      <c r="R487" s="2">
        <v>25.73</v>
      </c>
      <c r="S487">
        <v>1</v>
      </c>
      <c r="T487" t="s">
        <v>58</v>
      </c>
      <c r="U487" t="s">
        <v>180</v>
      </c>
      <c r="V487" s="3">
        <v>0.7</v>
      </c>
      <c r="W487" s="2">
        <v>0</v>
      </c>
      <c r="X487">
        <v>0</v>
      </c>
      <c r="Y487" t="s">
        <v>60</v>
      </c>
      <c r="Z487" t="s">
        <v>182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18.010000000000002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45943</v>
      </c>
      <c r="B488" t="s">
        <v>48</v>
      </c>
      <c r="C488">
        <v>649163</v>
      </c>
      <c r="D488">
        <v>2030198367</v>
      </c>
      <c r="E488" t="s">
        <v>313</v>
      </c>
      <c r="F488" t="s">
        <v>314</v>
      </c>
      <c r="G488" t="s">
        <v>51</v>
      </c>
      <c r="H488" t="s">
        <v>119</v>
      </c>
      <c r="I488" t="s">
        <v>116</v>
      </c>
      <c r="J488" t="s">
        <v>429</v>
      </c>
      <c r="K488">
        <v>823068</v>
      </c>
      <c r="L488" t="s">
        <v>307</v>
      </c>
      <c r="M488" t="s">
        <v>308</v>
      </c>
      <c r="N488" t="s">
        <v>57</v>
      </c>
      <c r="O488" s="1">
        <v>45870</v>
      </c>
      <c r="Q488" s="1">
        <v>45962</v>
      </c>
      <c r="R488" s="2">
        <v>33.36</v>
      </c>
      <c r="S488">
        <v>1</v>
      </c>
      <c r="T488" t="s">
        <v>58</v>
      </c>
      <c r="U488" t="s">
        <v>180</v>
      </c>
      <c r="V488" s="3">
        <v>0.42</v>
      </c>
      <c r="W488" s="2">
        <v>0</v>
      </c>
      <c r="X488">
        <v>0</v>
      </c>
      <c r="Y488" t="s">
        <v>60</v>
      </c>
      <c r="Z488" t="s">
        <v>182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14.01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45943</v>
      </c>
      <c r="B489" t="s">
        <v>48</v>
      </c>
      <c r="C489">
        <v>649163</v>
      </c>
      <c r="D489">
        <v>2030198369</v>
      </c>
      <c r="E489" t="s">
        <v>313</v>
      </c>
      <c r="F489" t="s">
        <v>314</v>
      </c>
      <c r="G489" t="s">
        <v>51</v>
      </c>
      <c r="H489" t="s">
        <v>119</v>
      </c>
      <c r="I489" t="s">
        <v>116</v>
      </c>
      <c r="J489" t="s">
        <v>591</v>
      </c>
      <c r="K489">
        <v>823068</v>
      </c>
      <c r="L489" t="s">
        <v>307</v>
      </c>
      <c r="M489" t="s">
        <v>308</v>
      </c>
      <c r="N489" t="s">
        <v>57</v>
      </c>
      <c r="O489" s="1">
        <v>45870</v>
      </c>
      <c r="Q489" s="1">
        <v>45962</v>
      </c>
      <c r="R489" s="2">
        <v>48</v>
      </c>
      <c r="S489">
        <v>1</v>
      </c>
      <c r="T489" t="s">
        <v>58</v>
      </c>
      <c r="U489" t="s">
        <v>180</v>
      </c>
      <c r="V489" s="3">
        <v>0.7</v>
      </c>
      <c r="W489" s="2">
        <v>0</v>
      </c>
      <c r="X489">
        <v>0</v>
      </c>
      <c r="Y489" t="s">
        <v>60</v>
      </c>
      <c r="Z489" t="s">
        <v>182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33.6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45943</v>
      </c>
      <c r="B490" t="s">
        <v>48</v>
      </c>
      <c r="C490">
        <v>649163</v>
      </c>
      <c r="D490">
        <v>2030232005</v>
      </c>
      <c r="E490" t="s">
        <v>703</v>
      </c>
      <c r="F490" t="s">
        <v>704</v>
      </c>
      <c r="G490" t="s">
        <v>51</v>
      </c>
      <c r="H490" t="s">
        <v>52</v>
      </c>
      <c r="I490" t="s">
        <v>116</v>
      </c>
      <c r="J490" t="s">
        <v>125</v>
      </c>
      <c r="K490">
        <v>812656</v>
      </c>
      <c r="L490" t="s">
        <v>547</v>
      </c>
      <c r="M490" t="s">
        <v>548</v>
      </c>
      <c r="N490" t="s">
        <v>57</v>
      </c>
      <c r="O490" s="1">
        <v>45880</v>
      </c>
      <c r="Q490" s="1">
        <v>45972</v>
      </c>
      <c r="R490" s="2">
        <v>54.83</v>
      </c>
      <c r="S490">
        <v>1</v>
      </c>
      <c r="T490" t="s">
        <v>58</v>
      </c>
      <c r="U490" t="s">
        <v>180</v>
      </c>
      <c r="V490" s="3">
        <v>0.7</v>
      </c>
      <c r="W490" s="2">
        <v>0</v>
      </c>
      <c r="X490">
        <v>0</v>
      </c>
      <c r="Y490" t="s">
        <v>60</v>
      </c>
      <c r="Z490" t="s">
        <v>182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38.380000000000003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45943</v>
      </c>
      <c r="B491" t="s">
        <v>48</v>
      </c>
      <c r="C491">
        <v>649163</v>
      </c>
      <c r="D491">
        <v>2030244511</v>
      </c>
      <c r="E491" t="s">
        <v>705</v>
      </c>
      <c r="F491" t="s">
        <v>358</v>
      </c>
      <c r="G491" t="s">
        <v>51</v>
      </c>
      <c r="H491" t="s">
        <v>78</v>
      </c>
      <c r="I491" t="s">
        <v>116</v>
      </c>
      <c r="J491" t="s">
        <v>429</v>
      </c>
      <c r="K491">
        <v>789909</v>
      </c>
      <c r="L491" t="s">
        <v>706</v>
      </c>
      <c r="M491" t="s">
        <v>707</v>
      </c>
      <c r="N491" t="s">
        <v>57</v>
      </c>
      <c r="O491" s="1">
        <v>45884</v>
      </c>
      <c r="Q491" s="1">
        <v>45976</v>
      </c>
      <c r="R491" s="2">
        <v>42.5</v>
      </c>
      <c r="S491">
        <v>1</v>
      </c>
      <c r="T491" t="s">
        <v>58</v>
      </c>
      <c r="U491" t="s">
        <v>180</v>
      </c>
      <c r="V491" s="3">
        <v>0.42</v>
      </c>
      <c r="W491" s="2">
        <v>0</v>
      </c>
      <c r="X491">
        <v>0</v>
      </c>
      <c r="Y491" t="s">
        <v>60</v>
      </c>
      <c r="Z491" t="s">
        <v>182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17.850000000000001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45943</v>
      </c>
      <c r="B492" t="s">
        <v>48</v>
      </c>
      <c r="C492">
        <v>649163</v>
      </c>
      <c r="D492">
        <v>2030313517</v>
      </c>
      <c r="E492" t="s">
        <v>315</v>
      </c>
      <c r="F492" t="s">
        <v>316</v>
      </c>
      <c r="G492" t="s">
        <v>51</v>
      </c>
      <c r="H492" t="s">
        <v>119</v>
      </c>
      <c r="I492" t="s">
        <v>116</v>
      </c>
      <c r="J492" t="s">
        <v>429</v>
      </c>
      <c r="K492">
        <v>823068</v>
      </c>
      <c r="L492" t="s">
        <v>307</v>
      </c>
      <c r="M492" t="s">
        <v>308</v>
      </c>
      <c r="N492" t="s">
        <v>57</v>
      </c>
      <c r="O492" s="1">
        <v>45884</v>
      </c>
      <c r="Q492" s="1">
        <v>45976</v>
      </c>
      <c r="R492" s="2">
        <v>27.8</v>
      </c>
      <c r="S492">
        <v>1</v>
      </c>
      <c r="T492" t="s">
        <v>58</v>
      </c>
      <c r="U492" t="s">
        <v>180</v>
      </c>
      <c r="V492" s="3">
        <v>0.42</v>
      </c>
      <c r="W492" s="2">
        <v>0</v>
      </c>
      <c r="X492">
        <v>0</v>
      </c>
      <c r="Y492" t="s">
        <v>60</v>
      </c>
      <c r="Z492" t="s">
        <v>182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11.68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45943</v>
      </c>
      <c r="B493" t="s">
        <v>48</v>
      </c>
      <c r="C493">
        <v>649163</v>
      </c>
      <c r="D493">
        <v>2030329697</v>
      </c>
      <c r="E493" t="s">
        <v>708</v>
      </c>
      <c r="F493" t="s">
        <v>709</v>
      </c>
      <c r="G493" t="s">
        <v>51</v>
      </c>
      <c r="H493" t="s">
        <v>52</v>
      </c>
      <c r="I493" t="s">
        <v>116</v>
      </c>
      <c r="J493" t="s">
        <v>125</v>
      </c>
      <c r="K493">
        <v>767312</v>
      </c>
      <c r="L493" t="s">
        <v>147</v>
      </c>
      <c r="M493" t="s">
        <v>148</v>
      </c>
      <c r="N493" t="s">
        <v>57</v>
      </c>
      <c r="O493" s="1">
        <v>45882</v>
      </c>
      <c r="Q493" s="1">
        <v>45974</v>
      </c>
      <c r="R493" s="2">
        <v>174.5</v>
      </c>
      <c r="S493">
        <v>1</v>
      </c>
      <c r="T493" t="s">
        <v>58</v>
      </c>
      <c r="U493" t="s">
        <v>180</v>
      </c>
      <c r="V493" s="3">
        <v>0.7</v>
      </c>
      <c r="W493" s="2">
        <v>0</v>
      </c>
      <c r="X493">
        <v>0</v>
      </c>
      <c r="Y493" t="s">
        <v>60</v>
      </c>
      <c r="Z493" t="s">
        <v>182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122.15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45943</v>
      </c>
      <c r="B494" t="s">
        <v>48</v>
      </c>
      <c r="C494">
        <v>649163</v>
      </c>
      <c r="D494">
        <v>2030333350</v>
      </c>
      <c r="E494" t="s">
        <v>564</v>
      </c>
      <c r="F494" t="s">
        <v>565</v>
      </c>
      <c r="G494" t="s">
        <v>51</v>
      </c>
      <c r="H494" t="s">
        <v>219</v>
      </c>
      <c r="I494" t="s">
        <v>116</v>
      </c>
      <c r="J494" t="s">
        <v>125</v>
      </c>
      <c r="K494">
        <v>813184</v>
      </c>
      <c r="L494" t="s">
        <v>566</v>
      </c>
      <c r="M494" t="s">
        <v>567</v>
      </c>
      <c r="N494" t="s">
        <v>57</v>
      </c>
      <c r="O494" s="1">
        <v>45879</v>
      </c>
      <c r="Q494" s="1">
        <v>45971</v>
      </c>
      <c r="R494" s="2">
        <v>19.579999999999998</v>
      </c>
      <c r="S494">
        <v>1</v>
      </c>
      <c r="T494" t="s">
        <v>58</v>
      </c>
      <c r="U494" t="s">
        <v>180</v>
      </c>
      <c r="V494" s="3">
        <v>0.7</v>
      </c>
      <c r="W494" s="2">
        <v>0</v>
      </c>
      <c r="X494">
        <v>0</v>
      </c>
      <c r="Y494" t="s">
        <v>60</v>
      </c>
      <c r="Z494" t="s">
        <v>182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13.71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45943</v>
      </c>
      <c r="B495" t="s">
        <v>48</v>
      </c>
      <c r="C495">
        <v>649163</v>
      </c>
      <c r="D495">
        <v>2030334039</v>
      </c>
      <c r="E495" t="s">
        <v>710</v>
      </c>
      <c r="F495" t="s">
        <v>711</v>
      </c>
      <c r="G495" t="s">
        <v>51</v>
      </c>
      <c r="H495" t="s">
        <v>712</v>
      </c>
      <c r="I495" t="s">
        <v>116</v>
      </c>
      <c r="J495" t="s">
        <v>120</v>
      </c>
      <c r="K495">
        <v>651818</v>
      </c>
      <c r="L495" t="s">
        <v>260</v>
      </c>
      <c r="M495" t="s">
        <v>261</v>
      </c>
      <c r="N495" t="s">
        <v>57</v>
      </c>
      <c r="O495" s="1">
        <v>45906</v>
      </c>
      <c r="Q495" s="1">
        <v>45967</v>
      </c>
      <c r="R495" s="2">
        <v>-47.08</v>
      </c>
      <c r="S495">
        <v>1</v>
      </c>
      <c r="T495" t="s">
        <v>58</v>
      </c>
      <c r="U495" t="s">
        <v>180</v>
      </c>
      <c r="V495" s="3">
        <v>0.9</v>
      </c>
      <c r="W495" s="2">
        <v>0</v>
      </c>
      <c r="X495">
        <v>-1</v>
      </c>
      <c r="Y495" t="s">
        <v>60</v>
      </c>
      <c r="Z495" t="s">
        <v>182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-42.37</v>
      </c>
      <c r="AN495" s="2">
        <v>-42.37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45943</v>
      </c>
      <c r="B496" t="s">
        <v>48</v>
      </c>
      <c r="C496">
        <v>649163</v>
      </c>
      <c r="D496">
        <v>2030334040</v>
      </c>
      <c r="E496" t="s">
        <v>710</v>
      </c>
      <c r="F496" t="s">
        <v>711</v>
      </c>
      <c r="G496" t="s">
        <v>51</v>
      </c>
      <c r="H496" t="s">
        <v>712</v>
      </c>
      <c r="I496" t="s">
        <v>116</v>
      </c>
      <c r="J496" t="s">
        <v>125</v>
      </c>
      <c r="K496">
        <v>651818</v>
      </c>
      <c r="L496" t="s">
        <v>260</v>
      </c>
      <c r="M496" t="s">
        <v>261</v>
      </c>
      <c r="N496" t="s">
        <v>57</v>
      </c>
      <c r="O496" s="1">
        <v>45906</v>
      </c>
      <c r="Q496" s="1">
        <v>45967</v>
      </c>
      <c r="R496" s="2">
        <v>-47.89</v>
      </c>
      <c r="S496">
        <v>1</v>
      </c>
      <c r="T496" t="s">
        <v>58</v>
      </c>
      <c r="U496" t="s">
        <v>180</v>
      </c>
      <c r="V496" s="3">
        <v>0.7</v>
      </c>
      <c r="W496" s="2">
        <v>0</v>
      </c>
      <c r="X496">
        <v>-1</v>
      </c>
      <c r="Y496" t="s">
        <v>60</v>
      </c>
      <c r="Z496" t="s">
        <v>182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-33.520000000000003</v>
      </c>
      <c r="AN496" s="2">
        <v>-33.520000000000003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45943</v>
      </c>
      <c r="B497" t="s">
        <v>48</v>
      </c>
      <c r="C497">
        <v>649163</v>
      </c>
      <c r="D497">
        <v>2030337261</v>
      </c>
      <c r="E497" t="s">
        <v>713</v>
      </c>
      <c r="F497" t="s">
        <v>714</v>
      </c>
      <c r="G497" t="s">
        <v>51</v>
      </c>
      <c r="H497" t="s">
        <v>78</v>
      </c>
      <c r="I497" t="s">
        <v>116</v>
      </c>
      <c r="J497" t="s">
        <v>429</v>
      </c>
      <c r="K497">
        <v>789909</v>
      </c>
      <c r="L497" t="s">
        <v>706</v>
      </c>
      <c r="M497" t="s">
        <v>707</v>
      </c>
      <c r="N497" t="s">
        <v>57</v>
      </c>
      <c r="O497" s="1">
        <v>45884</v>
      </c>
      <c r="Q497" s="1">
        <v>45976</v>
      </c>
      <c r="R497" s="2">
        <v>35.4</v>
      </c>
      <c r="S497">
        <v>1</v>
      </c>
      <c r="T497" t="s">
        <v>58</v>
      </c>
      <c r="U497" t="s">
        <v>180</v>
      </c>
      <c r="V497" s="3">
        <v>0.42</v>
      </c>
      <c r="W497" s="2">
        <v>0</v>
      </c>
      <c r="X497">
        <v>0</v>
      </c>
      <c r="Y497" t="s">
        <v>60</v>
      </c>
      <c r="Z497" t="s">
        <v>182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14.87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45943</v>
      </c>
      <c r="B498" t="s">
        <v>48</v>
      </c>
      <c r="C498">
        <v>649163</v>
      </c>
      <c r="D498">
        <v>2030341225</v>
      </c>
      <c r="E498" t="s">
        <v>317</v>
      </c>
      <c r="F498" t="s">
        <v>318</v>
      </c>
      <c r="G498" t="s">
        <v>51</v>
      </c>
      <c r="H498" t="s">
        <v>155</v>
      </c>
      <c r="I498" t="s">
        <v>116</v>
      </c>
      <c r="J498" t="s">
        <v>429</v>
      </c>
      <c r="K498">
        <v>767312</v>
      </c>
      <c r="L498" t="s">
        <v>147</v>
      </c>
      <c r="M498" t="s">
        <v>148</v>
      </c>
      <c r="N498" t="s">
        <v>57</v>
      </c>
      <c r="O498" s="1">
        <v>45879</v>
      </c>
      <c r="Q498" s="1">
        <v>45971</v>
      </c>
      <c r="R498" s="2">
        <v>24.4</v>
      </c>
      <c r="S498">
        <v>1</v>
      </c>
      <c r="T498" t="s">
        <v>58</v>
      </c>
      <c r="U498" t="s">
        <v>180</v>
      </c>
      <c r="V498" s="3">
        <v>0.42</v>
      </c>
      <c r="W498" s="2">
        <v>0</v>
      </c>
      <c r="X498">
        <v>0</v>
      </c>
      <c r="Y498" t="s">
        <v>60</v>
      </c>
      <c r="Z498" t="s">
        <v>182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10.25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45943</v>
      </c>
      <c r="B499" t="s">
        <v>48</v>
      </c>
      <c r="C499">
        <v>649163</v>
      </c>
      <c r="D499">
        <v>2030349978</v>
      </c>
      <c r="E499" t="s">
        <v>319</v>
      </c>
      <c r="F499" t="s">
        <v>320</v>
      </c>
      <c r="G499" t="s">
        <v>51</v>
      </c>
      <c r="H499" t="s">
        <v>155</v>
      </c>
      <c r="I499" t="s">
        <v>116</v>
      </c>
      <c r="J499" t="s">
        <v>429</v>
      </c>
      <c r="K499">
        <v>767312</v>
      </c>
      <c r="L499" t="s">
        <v>147</v>
      </c>
      <c r="M499" t="s">
        <v>148</v>
      </c>
      <c r="N499" t="s">
        <v>57</v>
      </c>
      <c r="O499" s="1">
        <v>45879</v>
      </c>
      <c r="Q499" s="1">
        <v>45971</v>
      </c>
      <c r="R499" s="2">
        <v>70.81</v>
      </c>
      <c r="S499">
        <v>1</v>
      </c>
      <c r="T499" t="s">
        <v>58</v>
      </c>
      <c r="U499" t="s">
        <v>180</v>
      </c>
      <c r="V499" s="3">
        <v>0.42</v>
      </c>
      <c r="W499" s="2">
        <v>0</v>
      </c>
      <c r="X499">
        <v>0</v>
      </c>
      <c r="Y499" t="s">
        <v>60</v>
      </c>
      <c r="Z499" t="s">
        <v>182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29.74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45943</v>
      </c>
      <c r="B500" t="s">
        <v>48</v>
      </c>
      <c r="C500">
        <v>649163</v>
      </c>
      <c r="D500">
        <v>2030380188</v>
      </c>
      <c r="E500" t="s">
        <v>715</v>
      </c>
      <c r="F500" t="s">
        <v>716</v>
      </c>
      <c r="G500" t="s">
        <v>51</v>
      </c>
      <c r="H500" t="s">
        <v>102</v>
      </c>
      <c r="I500" t="s">
        <v>116</v>
      </c>
      <c r="J500" t="s">
        <v>120</v>
      </c>
      <c r="K500">
        <v>767312</v>
      </c>
      <c r="L500" t="s">
        <v>147</v>
      </c>
      <c r="M500" t="s">
        <v>148</v>
      </c>
      <c r="N500" t="s">
        <v>57</v>
      </c>
      <c r="O500" s="1">
        <v>45884</v>
      </c>
      <c r="Q500" s="1">
        <v>45976</v>
      </c>
      <c r="R500" s="2">
        <v>35.85</v>
      </c>
      <c r="S500">
        <v>1</v>
      </c>
      <c r="T500" t="s">
        <v>58</v>
      </c>
      <c r="U500" t="s">
        <v>180</v>
      </c>
      <c r="V500" s="3">
        <v>0.9</v>
      </c>
      <c r="W500" s="2">
        <v>0</v>
      </c>
      <c r="X500">
        <v>0</v>
      </c>
      <c r="Y500" t="s">
        <v>60</v>
      </c>
      <c r="Z500" t="s">
        <v>182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32.26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45943</v>
      </c>
      <c r="B501" t="s">
        <v>48</v>
      </c>
      <c r="C501">
        <v>649163</v>
      </c>
      <c r="D501">
        <v>2030427171</v>
      </c>
      <c r="E501" t="s">
        <v>717</v>
      </c>
      <c r="F501" t="s">
        <v>212</v>
      </c>
      <c r="G501" t="s">
        <v>51</v>
      </c>
      <c r="H501" t="s">
        <v>219</v>
      </c>
      <c r="I501" t="s">
        <v>116</v>
      </c>
      <c r="J501" t="s">
        <v>120</v>
      </c>
      <c r="K501">
        <v>813184</v>
      </c>
      <c r="L501" t="s">
        <v>566</v>
      </c>
      <c r="M501" t="s">
        <v>567</v>
      </c>
      <c r="N501" t="s">
        <v>57</v>
      </c>
      <c r="O501" s="1">
        <v>45881</v>
      </c>
      <c r="Q501" s="1">
        <v>45973</v>
      </c>
      <c r="R501" s="2">
        <v>159.31</v>
      </c>
      <c r="S501">
        <v>1</v>
      </c>
      <c r="T501" t="s">
        <v>58</v>
      </c>
      <c r="U501" t="s">
        <v>180</v>
      </c>
      <c r="V501" s="3">
        <v>0.9</v>
      </c>
      <c r="W501" s="2">
        <v>0</v>
      </c>
      <c r="X501">
        <v>0</v>
      </c>
      <c r="Y501" t="s">
        <v>60</v>
      </c>
      <c r="Z501" t="s">
        <v>182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143.38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45943</v>
      </c>
      <c r="B502" t="s">
        <v>48</v>
      </c>
      <c r="C502">
        <v>649163</v>
      </c>
      <c r="D502">
        <v>2030427172</v>
      </c>
      <c r="E502" t="s">
        <v>717</v>
      </c>
      <c r="F502" t="s">
        <v>212</v>
      </c>
      <c r="G502" t="s">
        <v>51</v>
      </c>
      <c r="H502" t="s">
        <v>219</v>
      </c>
      <c r="I502" t="s">
        <v>116</v>
      </c>
      <c r="J502" t="s">
        <v>125</v>
      </c>
      <c r="K502">
        <v>813184</v>
      </c>
      <c r="L502" t="s">
        <v>566</v>
      </c>
      <c r="M502" t="s">
        <v>567</v>
      </c>
      <c r="N502" t="s">
        <v>57</v>
      </c>
      <c r="O502" s="1">
        <v>45881</v>
      </c>
      <c r="Q502" s="1">
        <v>45973</v>
      </c>
      <c r="R502" s="2">
        <v>69.06</v>
      </c>
      <c r="S502">
        <v>1</v>
      </c>
      <c r="T502" t="s">
        <v>58</v>
      </c>
      <c r="U502" t="s">
        <v>180</v>
      </c>
      <c r="V502" s="3">
        <v>0.7</v>
      </c>
      <c r="W502" s="2">
        <v>0</v>
      </c>
      <c r="X502">
        <v>0</v>
      </c>
      <c r="Y502" t="s">
        <v>60</v>
      </c>
      <c r="Z502" t="s">
        <v>182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48.34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45943</v>
      </c>
      <c r="B503" t="s">
        <v>48</v>
      </c>
      <c r="C503">
        <v>649163</v>
      </c>
      <c r="D503">
        <v>2030431357</v>
      </c>
      <c r="E503" t="s">
        <v>323</v>
      </c>
      <c r="F503" t="s">
        <v>324</v>
      </c>
      <c r="G503" t="s">
        <v>51</v>
      </c>
      <c r="H503" t="s">
        <v>69</v>
      </c>
      <c r="I503" t="s">
        <v>116</v>
      </c>
      <c r="J503" t="s">
        <v>125</v>
      </c>
      <c r="K503">
        <v>824082</v>
      </c>
      <c r="L503" t="s">
        <v>303</v>
      </c>
      <c r="M503" t="s">
        <v>304</v>
      </c>
      <c r="N503" t="s">
        <v>57</v>
      </c>
      <c r="O503" s="1">
        <v>45881</v>
      </c>
      <c r="Q503" s="1">
        <v>45973</v>
      </c>
      <c r="R503" s="2">
        <v>9.6999999999999993</v>
      </c>
      <c r="S503">
        <v>1</v>
      </c>
      <c r="T503" t="s">
        <v>58</v>
      </c>
      <c r="U503" t="s">
        <v>180</v>
      </c>
      <c r="V503" s="3">
        <v>0.7</v>
      </c>
      <c r="W503" s="2">
        <v>0</v>
      </c>
      <c r="X503">
        <v>0</v>
      </c>
      <c r="Y503" t="s">
        <v>60</v>
      </c>
      <c r="Z503" t="s">
        <v>182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6.79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45943</v>
      </c>
      <c r="B504" t="s">
        <v>48</v>
      </c>
      <c r="C504">
        <v>649163</v>
      </c>
      <c r="D504">
        <v>2030447483</v>
      </c>
      <c r="E504" t="s">
        <v>568</v>
      </c>
      <c r="F504" t="s">
        <v>280</v>
      </c>
      <c r="G504" t="s">
        <v>51</v>
      </c>
      <c r="H504" t="s">
        <v>225</v>
      </c>
      <c r="I504" t="s">
        <v>116</v>
      </c>
      <c r="J504" t="s">
        <v>125</v>
      </c>
      <c r="K504">
        <v>753748</v>
      </c>
      <c r="L504" t="s">
        <v>168</v>
      </c>
      <c r="M504" t="s">
        <v>169</v>
      </c>
      <c r="N504" t="s">
        <v>57</v>
      </c>
      <c r="O504" s="1">
        <v>45882</v>
      </c>
      <c r="Q504" s="1">
        <v>45974</v>
      </c>
      <c r="R504" s="2">
        <v>10.53</v>
      </c>
      <c r="S504">
        <v>1</v>
      </c>
      <c r="T504" t="s">
        <v>58</v>
      </c>
      <c r="U504" t="s">
        <v>180</v>
      </c>
      <c r="V504" s="3">
        <v>0.7</v>
      </c>
      <c r="W504" s="2">
        <v>0</v>
      </c>
      <c r="X504">
        <v>0</v>
      </c>
      <c r="Y504" t="s">
        <v>60</v>
      </c>
      <c r="Z504" t="s">
        <v>182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7.37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45943</v>
      </c>
      <c r="B505" t="s">
        <v>48</v>
      </c>
      <c r="C505">
        <v>649163</v>
      </c>
      <c r="D505">
        <v>2030452962</v>
      </c>
      <c r="E505" t="s">
        <v>569</v>
      </c>
      <c r="F505" t="s">
        <v>90</v>
      </c>
      <c r="G505" t="s">
        <v>51</v>
      </c>
      <c r="H505" t="s">
        <v>69</v>
      </c>
      <c r="I505" t="s">
        <v>116</v>
      </c>
      <c r="J505" t="s">
        <v>125</v>
      </c>
      <c r="K505">
        <v>824082</v>
      </c>
      <c r="L505" t="s">
        <v>303</v>
      </c>
      <c r="M505" t="s">
        <v>304</v>
      </c>
      <c r="N505" t="s">
        <v>57</v>
      </c>
      <c r="O505" s="1">
        <v>45882</v>
      </c>
      <c r="Q505" s="1">
        <v>45974</v>
      </c>
      <c r="R505" s="2">
        <v>29.2</v>
      </c>
      <c r="S505">
        <v>1</v>
      </c>
      <c r="T505" t="s">
        <v>58</v>
      </c>
      <c r="U505" t="s">
        <v>180</v>
      </c>
      <c r="V505" s="3">
        <v>0.7</v>
      </c>
      <c r="W505" s="2">
        <v>0</v>
      </c>
      <c r="X505">
        <v>0</v>
      </c>
      <c r="Y505" t="s">
        <v>60</v>
      </c>
      <c r="Z505" t="s">
        <v>182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20.440000000000001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45943</v>
      </c>
      <c r="B506" t="s">
        <v>48</v>
      </c>
      <c r="D506">
        <v>2030454170</v>
      </c>
      <c r="E506" t="s">
        <v>325</v>
      </c>
      <c r="F506" t="s">
        <v>148</v>
      </c>
      <c r="G506" t="s">
        <v>51</v>
      </c>
      <c r="H506" t="s">
        <v>119</v>
      </c>
      <c r="I506" t="s">
        <v>116</v>
      </c>
      <c r="J506" t="s">
        <v>117</v>
      </c>
      <c r="L506" t="s">
        <v>307</v>
      </c>
      <c r="M506" t="s">
        <v>308</v>
      </c>
      <c r="N506" t="s">
        <v>57</v>
      </c>
      <c r="O506" s="1">
        <v>45883</v>
      </c>
      <c r="Q506" s="1">
        <v>45975</v>
      </c>
      <c r="R506" s="2">
        <v>24.61</v>
      </c>
      <c r="S506">
        <v>1</v>
      </c>
      <c r="T506" t="s">
        <v>58</v>
      </c>
      <c r="U506" t="s">
        <v>180</v>
      </c>
      <c r="V506" s="3">
        <v>0.7</v>
      </c>
      <c r="W506" s="2">
        <v>0</v>
      </c>
      <c r="X506">
        <v>0</v>
      </c>
      <c r="Y506" t="s">
        <v>60</v>
      </c>
      <c r="Z506" t="s">
        <v>182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17.23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45943</v>
      </c>
      <c r="B507" t="s">
        <v>48</v>
      </c>
      <c r="C507">
        <v>649163</v>
      </c>
      <c r="D507">
        <v>2030455581</v>
      </c>
      <c r="E507" t="s">
        <v>326</v>
      </c>
      <c r="F507" t="s">
        <v>327</v>
      </c>
      <c r="G507" t="s">
        <v>51</v>
      </c>
      <c r="H507" t="s">
        <v>69</v>
      </c>
      <c r="I507" t="s">
        <v>116</v>
      </c>
      <c r="J507" t="s">
        <v>125</v>
      </c>
      <c r="K507">
        <v>816021</v>
      </c>
      <c r="L507" t="s">
        <v>71</v>
      </c>
      <c r="M507" t="s">
        <v>72</v>
      </c>
      <c r="N507" t="s">
        <v>57</v>
      </c>
      <c r="O507" s="1">
        <v>45882</v>
      </c>
      <c r="Q507" s="1">
        <v>45974</v>
      </c>
      <c r="R507" s="2">
        <v>27.38</v>
      </c>
      <c r="S507">
        <v>1</v>
      </c>
      <c r="T507" t="s">
        <v>58</v>
      </c>
      <c r="U507" t="s">
        <v>180</v>
      </c>
      <c r="V507" s="3">
        <v>0.7</v>
      </c>
      <c r="W507" s="2">
        <v>0</v>
      </c>
      <c r="X507">
        <v>0</v>
      </c>
      <c r="Y507" t="s">
        <v>60</v>
      </c>
      <c r="Z507" t="s">
        <v>182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19.170000000000002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45943</v>
      </c>
      <c r="B508" t="s">
        <v>48</v>
      </c>
      <c r="C508">
        <v>649163</v>
      </c>
      <c r="D508">
        <v>2030455583</v>
      </c>
      <c r="E508" t="s">
        <v>326</v>
      </c>
      <c r="F508" t="s">
        <v>327</v>
      </c>
      <c r="G508" t="s">
        <v>51</v>
      </c>
      <c r="H508" t="s">
        <v>69</v>
      </c>
      <c r="I508" t="s">
        <v>116</v>
      </c>
      <c r="J508" t="s">
        <v>120</v>
      </c>
      <c r="K508">
        <v>816021</v>
      </c>
      <c r="L508" t="s">
        <v>71</v>
      </c>
      <c r="M508" t="s">
        <v>72</v>
      </c>
      <c r="N508" t="s">
        <v>57</v>
      </c>
      <c r="O508" s="1">
        <v>45882</v>
      </c>
      <c r="Q508" s="1">
        <v>45974</v>
      </c>
      <c r="R508" s="2">
        <v>52.92</v>
      </c>
      <c r="S508">
        <v>1</v>
      </c>
      <c r="T508" t="s">
        <v>58</v>
      </c>
      <c r="U508" t="s">
        <v>180</v>
      </c>
      <c r="V508" s="3">
        <v>0.9</v>
      </c>
      <c r="W508" s="2">
        <v>0</v>
      </c>
      <c r="X508">
        <v>0</v>
      </c>
      <c r="Y508" t="s">
        <v>60</v>
      </c>
      <c r="Z508" t="s">
        <v>182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47.63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45943</v>
      </c>
      <c r="B509" t="s">
        <v>48</v>
      </c>
      <c r="C509">
        <v>649163</v>
      </c>
      <c r="D509">
        <v>2030474678</v>
      </c>
      <c r="E509" t="s">
        <v>718</v>
      </c>
      <c r="F509" t="s">
        <v>719</v>
      </c>
      <c r="G509" t="s">
        <v>51</v>
      </c>
      <c r="H509" t="s">
        <v>225</v>
      </c>
      <c r="I509" t="s">
        <v>116</v>
      </c>
      <c r="J509" t="s">
        <v>125</v>
      </c>
      <c r="K509">
        <v>878036</v>
      </c>
      <c r="L509" t="s">
        <v>720</v>
      </c>
      <c r="M509" t="s">
        <v>721</v>
      </c>
      <c r="N509" t="s">
        <v>57</v>
      </c>
      <c r="O509" s="1">
        <v>45884</v>
      </c>
      <c r="Q509" s="1">
        <v>45976</v>
      </c>
      <c r="R509" s="2">
        <v>55.61</v>
      </c>
      <c r="S509">
        <v>1</v>
      </c>
      <c r="T509" t="s">
        <v>58</v>
      </c>
      <c r="U509" t="s">
        <v>180</v>
      </c>
      <c r="V509" s="3">
        <v>0.7</v>
      </c>
      <c r="W509" s="2">
        <v>0</v>
      </c>
      <c r="X509">
        <v>0</v>
      </c>
      <c r="Y509" t="s">
        <v>60</v>
      </c>
      <c r="Z509" t="s">
        <v>182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38.93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45943</v>
      </c>
      <c r="B510" t="s">
        <v>48</v>
      </c>
      <c r="C510">
        <v>649163</v>
      </c>
      <c r="D510">
        <v>2030474774</v>
      </c>
      <c r="E510" t="s">
        <v>722</v>
      </c>
      <c r="F510" t="s">
        <v>723</v>
      </c>
      <c r="G510" t="s">
        <v>51</v>
      </c>
      <c r="H510" t="s">
        <v>312</v>
      </c>
      <c r="I510" t="s">
        <v>116</v>
      </c>
      <c r="J510" t="s">
        <v>125</v>
      </c>
      <c r="K510">
        <v>673059</v>
      </c>
      <c r="L510" t="s">
        <v>55</v>
      </c>
      <c r="M510" t="s">
        <v>56</v>
      </c>
      <c r="N510" t="s">
        <v>57</v>
      </c>
      <c r="O510" s="1">
        <v>45883</v>
      </c>
      <c r="Q510" s="1">
        <v>45975</v>
      </c>
      <c r="R510" s="2">
        <v>122.88</v>
      </c>
      <c r="S510">
        <v>1</v>
      </c>
      <c r="T510" t="s">
        <v>58</v>
      </c>
      <c r="U510" t="s">
        <v>180</v>
      </c>
      <c r="V510" s="3">
        <v>0.7</v>
      </c>
      <c r="W510" s="2">
        <v>0</v>
      </c>
      <c r="X510">
        <v>0</v>
      </c>
      <c r="Y510" t="s">
        <v>60</v>
      </c>
      <c r="Z510" t="s">
        <v>182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86.02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45943</v>
      </c>
      <c r="B511" t="s">
        <v>48</v>
      </c>
      <c r="C511">
        <v>649163</v>
      </c>
      <c r="D511">
        <v>2030485607</v>
      </c>
      <c r="E511" t="s">
        <v>382</v>
      </c>
      <c r="F511" t="s">
        <v>383</v>
      </c>
      <c r="G511" t="s">
        <v>51</v>
      </c>
      <c r="H511" t="s">
        <v>219</v>
      </c>
      <c r="I511" t="s">
        <v>116</v>
      </c>
      <c r="J511" t="s">
        <v>125</v>
      </c>
      <c r="K511">
        <v>839913</v>
      </c>
      <c r="L511" t="s">
        <v>384</v>
      </c>
      <c r="M511" t="s">
        <v>385</v>
      </c>
      <c r="N511" t="s">
        <v>57</v>
      </c>
      <c r="O511" s="1">
        <v>45883</v>
      </c>
      <c r="Q511" s="1">
        <v>45975</v>
      </c>
      <c r="R511" s="2">
        <v>46.72</v>
      </c>
      <c r="S511">
        <v>1</v>
      </c>
      <c r="T511" t="s">
        <v>58</v>
      </c>
      <c r="U511" t="s">
        <v>180</v>
      </c>
      <c r="V511" s="3">
        <v>0.7</v>
      </c>
      <c r="W511" s="2">
        <v>0</v>
      </c>
      <c r="X511">
        <v>0</v>
      </c>
      <c r="Y511" t="s">
        <v>60</v>
      </c>
      <c r="Z511" t="s">
        <v>182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32.700000000000003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45943</v>
      </c>
      <c r="B512" t="s">
        <v>48</v>
      </c>
      <c r="D512">
        <v>2030488870</v>
      </c>
      <c r="E512" t="s">
        <v>330</v>
      </c>
      <c r="F512" t="s">
        <v>331</v>
      </c>
      <c r="G512" t="s">
        <v>51</v>
      </c>
      <c r="H512" t="s">
        <v>119</v>
      </c>
      <c r="I512" t="s">
        <v>116</v>
      </c>
      <c r="J512" t="s">
        <v>117</v>
      </c>
      <c r="L512" t="s">
        <v>307</v>
      </c>
      <c r="M512" t="s">
        <v>308</v>
      </c>
      <c r="N512" t="s">
        <v>57</v>
      </c>
      <c r="O512" s="1">
        <v>45884</v>
      </c>
      <c r="Q512" s="1">
        <v>45976</v>
      </c>
      <c r="R512" s="2">
        <v>24.61</v>
      </c>
      <c r="S512">
        <v>1</v>
      </c>
      <c r="T512" t="s">
        <v>58</v>
      </c>
      <c r="U512" t="s">
        <v>180</v>
      </c>
      <c r="V512" s="3">
        <v>0.7</v>
      </c>
      <c r="W512" s="2">
        <v>0</v>
      </c>
      <c r="X512">
        <v>0</v>
      </c>
      <c r="Y512" t="s">
        <v>60</v>
      </c>
      <c r="Z512" t="s">
        <v>182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17.23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4" x14ac:dyDescent="0.25">
      <c r="A513" s="1">
        <v>45943</v>
      </c>
      <c r="B513" t="s">
        <v>48</v>
      </c>
      <c r="C513">
        <v>649163</v>
      </c>
      <c r="D513">
        <v>2030488871</v>
      </c>
      <c r="E513" t="s">
        <v>330</v>
      </c>
      <c r="F513" t="s">
        <v>331</v>
      </c>
      <c r="G513" t="s">
        <v>51</v>
      </c>
      <c r="H513" t="s">
        <v>119</v>
      </c>
      <c r="I513" t="s">
        <v>116</v>
      </c>
      <c r="J513" t="s">
        <v>429</v>
      </c>
      <c r="K513">
        <v>823068</v>
      </c>
      <c r="L513" t="s">
        <v>307</v>
      </c>
      <c r="M513" t="s">
        <v>308</v>
      </c>
      <c r="N513" t="s">
        <v>57</v>
      </c>
      <c r="O513" s="1">
        <v>45884</v>
      </c>
      <c r="Q513" s="1">
        <v>45976</v>
      </c>
      <c r="R513" s="2">
        <v>27.8</v>
      </c>
      <c r="S513">
        <v>1</v>
      </c>
      <c r="T513" t="s">
        <v>58</v>
      </c>
      <c r="U513" t="s">
        <v>180</v>
      </c>
      <c r="V513" s="3">
        <v>0.42</v>
      </c>
      <c r="W513" s="2">
        <v>0</v>
      </c>
      <c r="X513">
        <v>0</v>
      </c>
      <c r="Y513" t="s">
        <v>60</v>
      </c>
      <c r="Z513" t="s">
        <v>182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11.68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4" x14ac:dyDescent="0.25">
      <c r="A514" s="1">
        <v>45943</v>
      </c>
      <c r="B514" t="s">
        <v>48</v>
      </c>
      <c r="D514">
        <v>2030501935</v>
      </c>
      <c r="E514" t="s">
        <v>332</v>
      </c>
      <c r="F514" t="s">
        <v>258</v>
      </c>
      <c r="G514" t="s">
        <v>51</v>
      </c>
      <c r="H514" t="s">
        <v>119</v>
      </c>
      <c r="I514" t="s">
        <v>116</v>
      </c>
      <c r="J514" t="s">
        <v>117</v>
      </c>
      <c r="L514" t="s">
        <v>222</v>
      </c>
      <c r="M514" t="s">
        <v>223</v>
      </c>
      <c r="N514" t="s">
        <v>57</v>
      </c>
      <c r="O514" s="1">
        <v>45884</v>
      </c>
      <c r="Q514" s="1">
        <v>45976</v>
      </c>
      <c r="R514" s="2">
        <v>24.61</v>
      </c>
      <c r="S514">
        <v>1</v>
      </c>
      <c r="T514" t="s">
        <v>58</v>
      </c>
      <c r="U514" t="s">
        <v>180</v>
      </c>
      <c r="V514" s="3">
        <v>0.7</v>
      </c>
      <c r="W514" s="2">
        <v>0</v>
      </c>
      <c r="X514">
        <v>0</v>
      </c>
      <c r="Y514" t="s">
        <v>60</v>
      </c>
      <c r="Z514" t="s">
        <v>182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17.23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4" x14ac:dyDescent="0.25">
      <c r="A515" s="1">
        <v>45943</v>
      </c>
      <c r="B515" t="s">
        <v>48</v>
      </c>
      <c r="C515">
        <v>649163</v>
      </c>
      <c r="D515">
        <v>2030503342</v>
      </c>
      <c r="E515" t="s">
        <v>724</v>
      </c>
      <c r="F515" t="s">
        <v>725</v>
      </c>
      <c r="G515" t="s">
        <v>51</v>
      </c>
      <c r="H515" t="s">
        <v>78</v>
      </c>
      <c r="I515" t="s">
        <v>116</v>
      </c>
      <c r="J515" t="s">
        <v>125</v>
      </c>
      <c r="K515">
        <v>839554</v>
      </c>
      <c r="L515" t="s">
        <v>688</v>
      </c>
      <c r="M515" t="s">
        <v>689</v>
      </c>
      <c r="N515" t="s">
        <v>57</v>
      </c>
      <c r="O515" s="1">
        <v>45884</v>
      </c>
      <c r="Q515" s="1">
        <v>45976</v>
      </c>
      <c r="R515" s="2">
        <v>56.5</v>
      </c>
      <c r="S515">
        <v>1</v>
      </c>
      <c r="T515" t="s">
        <v>58</v>
      </c>
      <c r="U515" t="s">
        <v>180</v>
      </c>
      <c r="V515" s="3">
        <v>0.7</v>
      </c>
      <c r="W515" s="2">
        <v>0</v>
      </c>
      <c r="X515">
        <v>0</v>
      </c>
      <c r="Y515" t="s">
        <v>60</v>
      </c>
      <c r="Z515" t="s">
        <v>182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39.549999999999997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4" x14ac:dyDescent="0.25">
      <c r="A516" s="1">
        <v>45943</v>
      </c>
      <c r="B516" t="s">
        <v>48</v>
      </c>
      <c r="C516">
        <v>649163</v>
      </c>
      <c r="D516">
        <v>2030503343</v>
      </c>
      <c r="E516" t="s">
        <v>724</v>
      </c>
      <c r="F516" t="s">
        <v>725</v>
      </c>
      <c r="G516" t="s">
        <v>51</v>
      </c>
      <c r="H516" t="s">
        <v>78</v>
      </c>
      <c r="I516" t="s">
        <v>116</v>
      </c>
      <c r="J516" t="s">
        <v>120</v>
      </c>
      <c r="K516">
        <v>839554</v>
      </c>
      <c r="L516" t="s">
        <v>688</v>
      </c>
      <c r="M516" t="s">
        <v>689</v>
      </c>
      <c r="N516" t="s">
        <v>57</v>
      </c>
      <c r="O516" s="1">
        <v>45884</v>
      </c>
      <c r="Q516" s="1">
        <v>45976</v>
      </c>
      <c r="R516" s="2">
        <v>41.88</v>
      </c>
      <c r="S516">
        <v>1</v>
      </c>
      <c r="T516" t="s">
        <v>58</v>
      </c>
      <c r="U516" t="s">
        <v>180</v>
      </c>
      <c r="V516" s="3">
        <v>0.9</v>
      </c>
      <c r="W516" s="2">
        <v>0</v>
      </c>
      <c r="X516">
        <v>0</v>
      </c>
      <c r="Y516" t="s">
        <v>60</v>
      </c>
      <c r="Z516" t="s">
        <v>182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37.69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4" x14ac:dyDescent="0.25">
      <c r="A517" s="1">
        <v>45943</v>
      </c>
      <c r="B517" t="s">
        <v>48</v>
      </c>
      <c r="C517">
        <v>649163</v>
      </c>
      <c r="D517">
        <v>2030519283</v>
      </c>
      <c r="E517" t="s">
        <v>726</v>
      </c>
      <c r="F517" t="s">
        <v>261</v>
      </c>
      <c r="G517" t="s">
        <v>51</v>
      </c>
      <c r="H517" t="s">
        <v>78</v>
      </c>
      <c r="I517" t="s">
        <v>116</v>
      </c>
      <c r="J517" t="s">
        <v>120</v>
      </c>
      <c r="K517">
        <v>824062</v>
      </c>
      <c r="L517" t="s">
        <v>126</v>
      </c>
      <c r="M517" t="s">
        <v>127</v>
      </c>
      <c r="N517" t="s">
        <v>57</v>
      </c>
      <c r="O517" s="1">
        <v>45885</v>
      </c>
      <c r="Q517" s="1">
        <v>45977</v>
      </c>
      <c r="R517" s="2">
        <v>242.88</v>
      </c>
      <c r="S517">
        <v>1</v>
      </c>
      <c r="T517" t="s">
        <v>58</v>
      </c>
      <c r="U517" t="s">
        <v>180</v>
      </c>
      <c r="V517" s="3">
        <v>0.9</v>
      </c>
      <c r="W517" s="2">
        <v>0</v>
      </c>
      <c r="X517">
        <v>0</v>
      </c>
      <c r="Y517" t="s">
        <v>60</v>
      </c>
      <c r="Z517" t="s">
        <v>182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218.59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4" x14ac:dyDescent="0.25">
      <c r="A518" s="1">
        <v>45943</v>
      </c>
      <c r="B518" t="s">
        <v>48</v>
      </c>
      <c r="C518">
        <v>649163</v>
      </c>
      <c r="D518">
        <v>2030675165</v>
      </c>
      <c r="E518" t="s">
        <v>333</v>
      </c>
      <c r="F518" t="s">
        <v>334</v>
      </c>
      <c r="G518" t="s">
        <v>51</v>
      </c>
      <c r="H518" t="s">
        <v>175</v>
      </c>
      <c r="I518" t="s">
        <v>116</v>
      </c>
      <c r="J518" t="s">
        <v>125</v>
      </c>
      <c r="K518">
        <v>823350</v>
      </c>
      <c r="L518" t="s">
        <v>65</v>
      </c>
      <c r="M518" t="s">
        <v>66</v>
      </c>
      <c r="N518" t="s">
        <v>57</v>
      </c>
      <c r="O518" s="1">
        <v>45901</v>
      </c>
      <c r="Q518" s="1">
        <v>45962</v>
      </c>
      <c r="R518" s="2">
        <v>24.15</v>
      </c>
      <c r="S518">
        <v>1</v>
      </c>
      <c r="T518" t="s">
        <v>58</v>
      </c>
      <c r="U518" t="s">
        <v>180</v>
      </c>
      <c r="V518" s="3">
        <v>0.7</v>
      </c>
      <c r="W518" s="2">
        <v>0</v>
      </c>
      <c r="X518">
        <v>0</v>
      </c>
      <c r="Y518" t="s">
        <v>60</v>
      </c>
      <c r="Z518" t="s">
        <v>182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16.899999999999999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4" x14ac:dyDescent="0.25">
      <c r="A519" s="1">
        <v>45943</v>
      </c>
      <c r="B519" t="s">
        <v>727</v>
      </c>
      <c r="C519">
        <v>649163</v>
      </c>
      <c r="D519">
        <v>2023013394</v>
      </c>
      <c r="E519" t="s">
        <v>453</v>
      </c>
      <c r="F519" t="s">
        <v>454</v>
      </c>
      <c r="G519" t="s">
        <v>51</v>
      </c>
      <c r="I519" t="s">
        <v>443</v>
      </c>
      <c r="J519" t="s">
        <v>444</v>
      </c>
      <c r="K519">
        <v>649163</v>
      </c>
      <c r="L519" t="s">
        <v>455</v>
      </c>
      <c r="M519" t="s">
        <v>456</v>
      </c>
      <c r="N519" t="s">
        <v>179</v>
      </c>
      <c r="O519" s="1">
        <v>45444</v>
      </c>
      <c r="P519" s="1">
        <v>45943</v>
      </c>
      <c r="R519" s="2">
        <v>0</v>
      </c>
      <c r="AB519" s="2">
        <v>0</v>
      </c>
      <c r="AC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t="s">
        <v>728</v>
      </c>
    </row>
    <row r="520" spans="1:44" x14ac:dyDescent="0.25">
      <c r="A520" s="1">
        <v>45943</v>
      </c>
      <c r="B520" t="s">
        <v>727</v>
      </c>
      <c r="C520">
        <v>649163</v>
      </c>
      <c r="D520">
        <v>2029177110</v>
      </c>
      <c r="E520" t="s">
        <v>282</v>
      </c>
      <c r="F520" t="s">
        <v>283</v>
      </c>
      <c r="G520" t="s">
        <v>51</v>
      </c>
      <c r="I520" t="s">
        <v>79</v>
      </c>
      <c r="J520" t="s">
        <v>350</v>
      </c>
      <c r="K520">
        <v>649163</v>
      </c>
      <c r="L520" t="s">
        <v>284</v>
      </c>
      <c r="M520" t="s">
        <v>285</v>
      </c>
      <c r="N520" t="s">
        <v>179</v>
      </c>
      <c r="O520" s="1">
        <v>45809</v>
      </c>
      <c r="P520" s="1">
        <v>45943</v>
      </c>
      <c r="R520" s="2">
        <v>0</v>
      </c>
      <c r="AB520" s="2">
        <v>34.200000000000003</v>
      </c>
      <c r="AC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28.5</v>
      </c>
      <c r="AN520" s="2">
        <v>-5.7</v>
      </c>
      <c r="AO520" s="2">
        <v>-5.7</v>
      </c>
      <c r="AP520" s="2">
        <v>0</v>
      </c>
      <c r="AQ520" s="2">
        <v>0</v>
      </c>
      <c r="AR520" t="s">
        <v>728</v>
      </c>
    </row>
    <row r="521" spans="1:44" x14ac:dyDescent="0.25">
      <c r="A521" s="1">
        <v>45943</v>
      </c>
      <c r="B521" t="s">
        <v>727</v>
      </c>
      <c r="C521">
        <v>18781057</v>
      </c>
      <c r="D521">
        <v>2030474635</v>
      </c>
      <c r="E521" t="s">
        <v>729</v>
      </c>
      <c r="F521" t="s">
        <v>730</v>
      </c>
      <c r="G521" t="s">
        <v>51</v>
      </c>
      <c r="I521" t="s">
        <v>176</v>
      </c>
      <c r="J521" t="s">
        <v>177</v>
      </c>
      <c r="K521">
        <v>18781057</v>
      </c>
      <c r="L521" t="s">
        <v>186</v>
      </c>
      <c r="M521" t="s">
        <v>90</v>
      </c>
      <c r="N521" t="s">
        <v>179</v>
      </c>
      <c r="O521" s="1">
        <v>45883</v>
      </c>
      <c r="P521" s="1">
        <v>45943</v>
      </c>
      <c r="R521" s="2">
        <v>0</v>
      </c>
      <c r="AB521" s="2">
        <v>167.22</v>
      </c>
      <c r="AC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27.87</v>
      </c>
      <c r="AN521" s="2">
        <v>-139.35</v>
      </c>
      <c r="AO521" s="2">
        <v>-139.35</v>
      </c>
      <c r="AP521" s="2">
        <v>0</v>
      </c>
      <c r="AQ521" s="2">
        <v>0</v>
      </c>
      <c r="AR521" t="s">
        <v>728</v>
      </c>
    </row>
    <row r="522" spans="1:44" x14ac:dyDescent="0.25">
      <c r="A522" s="1">
        <v>45943</v>
      </c>
      <c r="B522" t="s">
        <v>727</v>
      </c>
      <c r="C522">
        <v>649163</v>
      </c>
      <c r="D522">
        <v>2026529011</v>
      </c>
      <c r="E522" t="s">
        <v>484</v>
      </c>
      <c r="F522" t="s">
        <v>485</v>
      </c>
      <c r="G522" t="s">
        <v>51</v>
      </c>
      <c r="I522" t="s">
        <v>92</v>
      </c>
      <c r="J522" t="s">
        <v>93</v>
      </c>
      <c r="K522">
        <v>649163</v>
      </c>
      <c r="L522" t="s">
        <v>477</v>
      </c>
      <c r="M522" t="s">
        <v>159</v>
      </c>
      <c r="N522" t="s">
        <v>179</v>
      </c>
      <c r="O522" s="1">
        <v>45689</v>
      </c>
      <c r="P522" s="1">
        <v>45943</v>
      </c>
      <c r="R522" s="2">
        <v>0</v>
      </c>
      <c r="AB522" s="2">
        <v>0</v>
      </c>
      <c r="AC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t="s">
        <v>728</v>
      </c>
    </row>
    <row r="523" spans="1:44" x14ac:dyDescent="0.25">
      <c r="A523" s="1">
        <v>45943</v>
      </c>
      <c r="B523" t="s">
        <v>727</v>
      </c>
      <c r="C523">
        <v>20220688</v>
      </c>
      <c r="D523">
        <v>2028917636</v>
      </c>
      <c r="E523" t="s">
        <v>731</v>
      </c>
      <c r="F523" t="s">
        <v>732</v>
      </c>
      <c r="G523" t="s">
        <v>51</v>
      </c>
      <c r="I523" t="s">
        <v>116</v>
      </c>
      <c r="J523" t="s">
        <v>125</v>
      </c>
      <c r="K523">
        <v>20220688</v>
      </c>
      <c r="L523" t="s">
        <v>151</v>
      </c>
      <c r="M523" t="s">
        <v>152</v>
      </c>
      <c r="N523" t="s">
        <v>179</v>
      </c>
      <c r="O523" s="1">
        <v>45791</v>
      </c>
      <c r="P523" s="1">
        <v>45943</v>
      </c>
      <c r="R523" s="2">
        <v>0</v>
      </c>
      <c r="AB523" s="2">
        <v>0</v>
      </c>
      <c r="AC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t="s">
        <v>728</v>
      </c>
    </row>
    <row r="524" spans="1:44" x14ac:dyDescent="0.25">
      <c r="A524" s="1">
        <v>45943</v>
      </c>
      <c r="B524" t="s">
        <v>727</v>
      </c>
      <c r="C524">
        <v>649163</v>
      </c>
      <c r="D524">
        <v>2029177107</v>
      </c>
      <c r="E524" t="s">
        <v>282</v>
      </c>
      <c r="F524" t="s">
        <v>283</v>
      </c>
      <c r="G524" t="s">
        <v>51</v>
      </c>
      <c r="I524" t="s">
        <v>114</v>
      </c>
      <c r="J524" t="s">
        <v>576</v>
      </c>
      <c r="K524">
        <v>649163</v>
      </c>
      <c r="L524" t="s">
        <v>284</v>
      </c>
      <c r="M524" t="s">
        <v>285</v>
      </c>
      <c r="N524" t="s">
        <v>179</v>
      </c>
      <c r="O524" s="1">
        <v>45809</v>
      </c>
      <c r="P524" s="1">
        <v>45943</v>
      </c>
      <c r="R524" s="2">
        <v>0</v>
      </c>
      <c r="AB524" s="2">
        <v>44.48</v>
      </c>
      <c r="AC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37.07</v>
      </c>
      <c r="AN524" s="2">
        <v>-7.41</v>
      </c>
      <c r="AO524" s="2">
        <v>-7.41</v>
      </c>
      <c r="AP524" s="2">
        <v>0</v>
      </c>
      <c r="AQ524" s="2">
        <v>0</v>
      </c>
      <c r="AR524" t="s">
        <v>728</v>
      </c>
    </row>
    <row r="525" spans="1:44" x14ac:dyDescent="0.25">
      <c r="A525" s="1">
        <v>45943</v>
      </c>
      <c r="B525" t="s">
        <v>727</v>
      </c>
      <c r="C525">
        <v>18781057</v>
      </c>
      <c r="D525">
        <v>2030474634</v>
      </c>
      <c r="E525" t="s">
        <v>729</v>
      </c>
      <c r="F525" t="s">
        <v>730</v>
      </c>
      <c r="G525" t="s">
        <v>51</v>
      </c>
      <c r="I525" t="s">
        <v>114</v>
      </c>
      <c r="J525" t="s">
        <v>576</v>
      </c>
      <c r="K525">
        <v>18781057</v>
      </c>
      <c r="L525" t="s">
        <v>186</v>
      </c>
      <c r="M525" t="s">
        <v>90</v>
      </c>
      <c r="N525" t="s">
        <v>179</v>
      </c>
      <c r="O525" s="1">
        <v>45883</v>
      </c>
      <c r="P525" s="1">
        <v>45943</v>
      </c>
      <c r="R525" s="2">
        <v>0</v>
      </c>
      <c r="AB525" s="2">
        <v>61.9</v>
      </c>
      <c r="AC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10.32</v>
      </c>
      <c r="AN525" s="2">
        <v>-51.58</v>
      </c>
      <c r="AO525" s="2">
        <v>-51.58</v>
      </c>
      <c r="AP525" s="2">
        <v>0</v>
      </c>
      <c r="AQ525" s="2">
        <v>0</v>
      </c>
      <c r="AR525" t="s">
        <v>728</v>
      </c>
    </row>
    <row r="526" spans="1:44" x14ac:dyDescent="0.25">
      <c r="A526" s="1">
        <v>45943</v>
      </c>
      <c r="B526" t="s">
        <v>727</v>
      </c>
      <c r="C526">
        <v>649163</v>
      </c>
      <c r="D526">
        <v>2030772792</v>
      </c>
      <c r="E526" t="s">
        <v>192</v>
      </c>
      <c r="F526" t="s">
        <v>336</v>
      </c>
      <c r="G526" t="s">
        <v>51</v>
      </c>
      <c r="I526" t="s">
        <v>116</v>
      </c>
      <c r="J526" t="s">
        <v>125</v>
      </c>
      <c r="K526">
        <v>649163</v>
      </c>
      <c r="L526" t="s">
        <v>65</v>
      </c>
      <c r="M526" t="s">
        <v>81</v>
      </c>
      <c r="N526" t="s">
        <v>179</v>
      </c>
      <c r="O526" s="1">
        <v>45901</v>
      </c>
      <c r="P526" s="1">
        <v>45943</v>
      </c>
      <c r="R526" s="2">
        <v>0</v>
      </c>
      <c r="AB526" s="2">
        <v>251.37</v>
      </c>
      <c r="AC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83.8</v>
      </c>
      <c r="AN526" s="2">
        <v>-167.57</v>
      </c>
      <c r="AO526" s="2">
        <v>-167.57</v>
      </c>
      <c r="AP526" s="2">
        <v>0</v>
      </c>
      <c r="AQ526" s="2">
        <v>0</v>
      </c>
      <c r="AR526" t="s">
        <v>728</v>
      </c>
    </row>
    <row r="527" spans="1:44" x14ac:dyDescent="0.25">
      <c r="A527" s="1">
        <v>45943</v>
      </c>
      <c r="B527" t="s">
        <v>727</v>
      </c>
      <c r="C527">
        <v>649163</v>
      </c>
      <c r="D527">
        <v>2030978541</v>
      </c>
      <c r="E527" t="s">
        <v>570</v>
      </c>
      <c r="F527" t="s">
        <v>571</v>
      </c>
      <c r="G527" t="s">
        <v>51</v>
      </c>
      <c r="I527" t="s">
        <v>92</v>
      </c>
      <c r="J527" t="s">
        <v>93</v>
      </c>
      <c r="K527">
        <v>649163</v>
      </c>
      <c r="L527" t="s">
        <v>266</v>
      </c>
      <c r="M527" t="s">
        <v>267</v>
      </c>
      <c r="N527" t="s">
        <v>179</v>
      </c>
      <c r="O527" s="1">
        <v>45889</v>
      </c>
      <c r="P527" s="1">
        <v>45943</v>
      </c>
      <c r="R527" s="2">
        <v>0</v>
      </c>
      <c r="AB527" s="2">
        <v>0</v>
      </c>
      <c r="AC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t="s">
        <v>728</v>
      </c>
    </row>
    <row r="528" spans="1:44" x14ac:dyDescent="0.25">
      <c r="A528" s="1">
        <v>45943</v>
      </c>
      <c r="B528" t="s">
        <v>727</v>
      </c>
      <c r="C528">
        <v>9079571</v>
      </c>
      <c r="D528">
        <v>2016855835</v>
      </c>
      <c r="E528" t="s">
        <v>733</v>
      </c>
      <c r="F528" t="s">
        <v>498</v>
      </c>
      <c r="G528" t="s">
        <v>51</v>
      </c>
      <c r="I528" t="s">
        <v>79</v>
      </c>
      <c r="J528" t="s">
        <v>734</v>
      </c>
      <c r="K528">
        <v>9079571</v>
      </c>
      <c r="L528" t="s">
        <v>222</v>
      </c>
      <c r="M528" t="s">
        <v>223</v>
      </c>
      <c r="N528" t="s">
        <v>179</v>
      </c>
      <c r="O528" s="1">
        <v>44896</v>
      </c>
      <c r="P528" s="1">
        <v>45943</v>
      </c>
      <c r="R528" s="2">
        <v>0</v>
      </c>
      <c r="AB528" s="2">
        <v>0</v>
      </c>
      <c r="AC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t="s">
        <v>728</v>
      </c>
    </row>
    <row r="529" spans="1:44" x14ac:dyDescent="0.25">
      <c r="A529" s="1">
        <v>45943</v>
      </c>
      <c r="B529" t="s">
        <v>727</v>
      </c>
      <c r="C529">
        <v>649163</v>
      </c>
      <c r="D529">
        <v>2024680809</v>
      </c>
      <c r="E529" t="s">
        <v>360</v>
      </c>
      <c r="F529" t="s">
        <v>361</v>
      </c>
      <c r="G529" t="s">
        <v>51</v>
      </c>
      <c r="I529" t="s">
        <v>79</v>
      </c>
      <c r="J529" t="s">
        <v>85</v>
      </c>
      <c r="K529">
        <v>649163</v>
      </c>
      <c r="L529" t="s">
        <v>147</v>
      </c>
      <c r="M529" t="s">
        <v>148</v>
      </c>
      <c r="N529" t="s">
        <v>179</v>
      </c>
      <c r="O529" s="1">
        <v>45575</v>
      </c>
      <c r="P529" s="1">
        <v>45943</v>
      </c>
      <c r="R529" s="2">
        <v>0</v>
      </c>
      <c r="AB529" s="2">
        <v>0</v>
      </c>
      <c r="AC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t="s">
        <v>728</v>
      </c>
    </row>
    <row r="530" spans="1:44" x14ac:dyDescent="0.25">
      <c r="A530" s="1">
        <v>45943</v>
      </c>
      <c r="B530" t="s">
        <v>727</v>
      </c>
      <c r="C530">
        <v>649163</v>
      </c>
      <c r="D530">
        <v>2024530409</v>
      </c>
      <c r="E530" t="s">
        <v>484</v>
      </c>
      <c r="F530" t="s">
        <v>485</v>
      </c>
      <c r="G530" t="s">
        <v>51</v>
      </c>
      <c r="I530" t="s">
        <v>116</v>
      </c>
      <c r="J530" t="s">
        <v>125</v>
      </c>
      <c r="K530">
        <v>649163</v>
      </c>
      <c r="L530" t="s">
        <v>477</v>
      </c>
      <c r="M530" t="s">
        <v>159</v>
      </c>
      <c r="N530" t="s">
        <v>179</v>
      </c>
      <c r="O530" s="1">
        <v>45541</v>
      </c>
      <c r="P530" s="1">
        <v>45943</v>
      </c>
      <c r="R530" s="2">
        <v>0</v>
      </c>
      <c r="AB530" s="2">
        <v>0</v>
      </c>
      <c r="AC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t="s">
        <v>728</v>
      </c>
    </row>
    <row r="531" spans="1:44" x14ac:dyDescent="0.25">
      <c r="A531" s="1">
        <v>45943</v>
      </c>
      <c r="B531" t="s">
        <v>727</v>
      </c>
      <c r="C531">
        <v>649163</v>
      </c>
      <c r="D531">
        <v>2024680807</v>
      </c>
      <c r="E531" t="s">
        <v>360</v>
      </c>
      <c r="F531" t="s">
        <v>361</v>
      </c>
      <c r="G531" t="s">
        <v>51</v>
      </c>
      <c r="I531" t="s">
        <v>116</v>
      </c>
      <c r="J531" t="s">
        <v>125</v>
      </c>
      <c r="K531">
        <v>649163</v>
      </c>
      <c r="L531" t="s">
        <v>147</v>
      </c>
      <c r="M531" t="s">
        <v>148</v>
      </c>
      <c r="N531" t="s">
        <v>179</v>
      </c>
      <c r="O531" s="1">
        <v>45575</v>
      </c>
      <c r="P531" s="1">
        <v>45943</v>
      </c>
      <c r="R531" s="2">
        <v>0</v>
      </c>
      <c r="AB531" s="2">
        <v>0</v>
      </c>
      <c r="AC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t="s">
        <v>728</v>
      </c>
    </row>
    <row r="532" spans="1:44" x14ac:dyDescent="0.25">
      <c r="A532" s="1">
        <v>45943</v>
      </c>
      <c r="B532" t="s">
        <v>727</v>
      </c>
      <c r="C532">
        <v>16912722</v>
      </c>
      <c r="D532">
        <v>2028402355</v>
      </c>
      <c r="E532" t="s">
        <v>735</v>
      </c>
      <c r="F532" t="s">
        <v>736</v>
      </c>
      <c r="G532" t="s">
        <v>51</v>
      </c>
      <c r="I532" t="s">
        <v>116</v>
      </c>
      <c r="J532" t="s">
        <v>125</v>
      </c>
      <c r="K532">
        <v>16912722</v>
      </c>
      <c r="L532" t="s">
        <v>139</v>
      </c>
      <c r="M532" t="s">
        <v>140</v>
      </c>
      <c r="N532" t="s">
        <v>179</v>
      </c>
      <c r="O532" s="1">
        <v>45762</v>
      </c>
      <c r="P532" s="1">
        <v>45943</v>
      </c>
      <c r="R532" s="2">
        <v>0</v>
      </c>
      <c r="AB532" s="2">
        <v>0</v>
      </c>
      <c r="AC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t="s">
        <v>728</v>
      </c>
    </row>
    <row r="533" spans="1:44" x14ac:dyDescent="0.25">
      <c r="A533" s="1">
        <v>45943</v>
      </c>
      <c r="B533" t="s">
        <v>727</v>
      </c>
      <c r="C533">
        <v>649163</v>
      </c>
      <c r="D533">
        <v>2029177108</v>
      </c>
      <c r="E533" t="s">
        <v>282</v>
      </c>
      <c r="F533" t="s">
        <v>283</v>
      </c>
      <c r="G533" t="s">
        <v>51</v>
      </c>
      <c r="I533" t="s">
        <v>116</v>
      </c>
      <c r="J533" t="s">
        <v>125</v>
      </c>
      <c r="K533">
        <v>649163</v>
      </c>
      <c r="L533" t="s">
        <v>284</v>
      </c>
      <c r="M533" t="s">
        <v>285</v>
      </c>
      <c r="N533" t="s">
        <v>179</v>
      </c>
      <c r="O533" s="1">
        <v>45809</v>
      </c>
      <c r="P533" s="1">
        <v>45943</v>
      </c>
      <c r="R533" s="2">
        <v>0</v>
      </c>
      <c r="AB533" s="2">
        <v>142.80000000000001</v>
      </c>
      <c r="AC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119</v>
      </c>
      <c r="AN533" s="2">
        <v>-23.8</v>
      </c>
      <c r="AO533" s="2">
        <v>-23.8</v>
      </c>
      <c r="AP533" s="2">
        <v>0</v>
      </c>
      <c r="AQ533" s="2">
        <v>0</v>
      </c>
      <c r="AR533" t="s">
        <v>728</v>
      </c>
    </row>
    <row r="534" spans="1:44" x14ac:dyDescent="0.25">
      <c r="A534" s="1">
        <v>45943</v>
      </c>
      <c r="B534" t="s">
        <v>727</v>
      </c>
      <c r="C534">
        <v>17425766</v>
      </c>
      <c r="D534">
        <v>2029671453</v>
      </c>
      <c r="E534" t="s">
        <v>737</v>
      </c>
      <c r="F534" t="s">
        <v>738</v>
      </c>
      <c r="G534" t="s">
        <v>51</v>
      </c>
      <c r="I534" t="s">
        <v>79</v>
      </c>
      <c r="J534" t="s">
        <v>350</v>
      </c>
      <c r="K534">
        <v>17425766</v>
      </c>
      <c r="L534" t="s">
        <v>195</v>
      </c>
      <c r="M534" t="s">
        <v>196</v>
      </c>
      <c r="N534" t="s">
        <v>179</v>
      </c>
      <c r="O534" s="1">
        <v>45836</v>
      </c>
      <c r="P534" s="1">
        <v>45943</v>
      </c>
      <c r="R534" s="2">
        <v>0</v>
      </c>
      <c r="AB534" s="2">
        <v>34.200000000000003</v>
      </c>
      <c r="AC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5.7</v>
      </c>
      <c r="AN534" s="2">
        <v>-28.5</v>
      </c>
      <c r="AO534" s="2">
        <v>-28.5</v>
      </c>
      <c r="AP534" s="2">
        <v>0</v>
      </c>
      <c r="AQ534" s="2">
        <v>0</v>
      </c>
      <c r="AR534" t="s">
        <v>728</v>
      </c>
    </row>
    <row r="535" spans="1:44" x14ac:dyDescent="0.25">
      <c r="A535" s="1">
        <v>45943</v>
      </c>
      <c r="B535" t="s">
        <v>727</v>
      </c>
      <c r="C535">
        <v>649163</v>
      </c>
      <c r="D535">
        <v>2029177109</v>
      </c>
      <c r="E535" t="s">
        <v>282</v>
      </c>
      <c r="F535" t="s">
        <v>283</v>
      </c>
      <c r="G535" t="s">
        <v>51</v>
      </c>
      <c r="I535" t="s">
        <v>53</v>
      </c>
      <c r="J535" t="s">
        <v>54</v>
      </c>
      <c r="K535">
        <v>649163</v>
      </c>
      <c r="L535" t="s">
        <v>284</v>
      </c>
      <c r="M535" t="s">
        <v>285</v>
      </c>
      <c r="N535" t="s">
        <v>179</v>
      </c>
      <c r="O535" s="1">
        <v>45809</v>
      </c>
      <c r="P535" s="1">
        <v>45943</v>
      </c>
      <c r="R535" s="2">
        <v>0</v>
      </c>
      <c r="AB535" s="2">
        <v>327.29000000000002</v>
      </c>
      <c r="AC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272.74</v>
      </c>
      <c r="AN535" s="2">
        <v>-54.55</v>
      </c>
      <c r="AO535" s="2">
        <v>-54.55</v>
      </c>
      <c r="AP535" s="2">
        <v>0</v>
      </c>
      <c r="AQ535" s="2">
        <v>0</v>
      </c>
      <c r="AR535" t="s">
        <v>728</v>
      </c>
    </row>
    <row r="536" spans="1:44" x14ac:dyDescent="0.25">
      <c r="A536" s="1">
        <v>45943</v>
      </c>
      <c r="B536" t="s">
        <v>727</v>
      </c>
      <c r="C536">
        <v>17425766</v>
      </c>
      <c r="D536">
        <v>2029671452</v>
      </c>
      <c r="E536" t="s">
        <v>737</v>
      </c>
      <c r="F536" t="s">
        <v>738</v>
      </c>
      <c r="G536" t="s">
        <v>51</v>
      </c>
      <c r="I536" t="s">
        <v>92</v>
      </c>
      <c r="J536" t="s">
        <v>93</v>
      </c>
      <c r="K536">
        <v>17425766</v>
      </c>
      <c r="L536" t="s">
        <v>195</v>
      </c>
      <c r="M536" t="s">
        <v>196</v>
      </c>
      <c r="N536" t="s">
        <v>179</v>
      </c>
      <c r="O536" s="1">
        <v>45836</v>
      </c>
      <c r="P536" s="1">
        <v>45943</v>
      </c>
      <c r="R536" s="2">
        <v>0</v>
      </c>
      <c r="AB536" s="2">
        <v>96.53</v>
      </c>
      <c r="AC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16.09</v>
      </c>
      <c r="AN536" s="2">
        <v>-80.44</v>
      </c>
      <c r="AO536" s="2">
        <v>-80.44</v>
      </c>
      <c r="AP536" s="2">
        <v>0</v>
      </c>
      <c r="AQ536" s="2">
        <v>0</v>
      </c>
      <c r="AR536" t="s">
        <v>728</v>
      </c>
    </row>
    <row r="537" spans="1:44" x14ac:dyDescent="0.25">
      <c r="A537" s="1">
        <v>45943</v>
      </c>
      <c r="B537" t="s">
        <v>727</v>
      </c>
      <c r="C537">
        <v>17425766</v>
      </c>
      <c r="D537">
        <v>2029671451</v>
      </c>
      <c r="E537" t="s">
        <v>737</v>
      </c>
      <c r="F537" t="s">
        <v>738</v>
      </c>
      <c r="G537" t="s">
        <v>51</v>
      </c>
      <c r="I537" t="s">
        <v>114</v>
      </c>
      <c r="J537" t="s">
        <v>576</v>
      </c>
      <c r="K537">
        <v>17425766</v>
      </c>
      <c r="L537" t="s">
        <v>195</v>
      </c>
      <c r="M537" t="s">
        <v>196</v>
      </c>
      <c r="N537" t="s">
        <v>179</v>
      </c>
      <c r="O537" s="1">
        <v>45836</v>
      </c>
      <c r="P537" s="1">
        <v>45943</v>
      </c>
      <c r="R537" s="2">
        <v>0</v>
      </c>
      <c r="AB537" s="2">
        <v>34.340000000000003</v>
      </c>
      <c r="AC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5.72</v>
      </c>
      <c r="AN537" s="2">
        <v>-28.62</v>
      </c>
      <c r="AO537" s="2">
        <v>-28.62</v>
      </c>
      <c r="AP537" s="2">
        <v>0</v>
      </c>
      <c r="AQ537" s="2">
        <v>0</v>
      </c>
      <c r="AR537" t="s">
        <v>728</v>
      </c>
    </row>
    <row r="538" spans="1:44" x14ac:dyDescent="0.25">
      <c r="A538" s="1">
        <v>45943</v>
      </c>
      <c r="B538" t="s">
        <v>727</v>
      </c>
      <c r="C538">
        <v>649163</v>
      </c>
      <c r="D538">
        <v>2030772793</v>
      </c>
      <c r="E538" t="s">
        <v>192</v>
      </c>
      <c r="F538" t="s">
        <v>336</v>
      </c>
      <c r="G538" t="s">
        <v>51</v>
      </c>
      <c r="I538" t="s">
        <v>53</v>
      </c>
      <c r="J538" t="s">
        <v>54</v>
      </c>
      <c r="K538">
        <v>649163</v>
      </c>
      <c r="L538" t="s">
        <v>65</v>
      </c>
      <c r="M538" t="s">
        <v>81</v>
      </c>
      <c r="N538" t="s">
        <v>179</v>
      </c>
      <c r="O538" s="1">
        <v>45901</v>
      </c>
      <c r="P538" s="1">
        <v>45943</v>
      </c>
      <c r="R538" s="2">
        <v>0</v>
      </c>
      <c r="AB538" s="2">
        <v>594.45000000000005</v>
      </c>
      <c r="AC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198.16</v>
      </c>
      <c r="AN538" s="2">
        <v>-396.29</v>
      </c>
      <c r="AO538" s="2">
        <v>-396.29</v>
      </c>
      <c r="AP538" s="2">
        <v>0</v>
      </c>
      <c r="AQ538" s="2">
        <v>0</v>
      </c>
      <c r="AR538" t="s">
        <v>728</v>
      </c>
    </row>
    <row r="539" spans="1:44" x14ac:dyDescent="0.25">
      <c r="A539" s="1">
        <v>45943</v>
      </c>
      <c r="B539" t="s">
        <v>727</v>
      </c>
      <c r="C539">
        <v>649163</v>
      </c>
      <c r="D539">
        <v>2031337038</v>
      </c>
      <c r="E539" t="s">
        <v>133</v>
      </c>
      <c r="F539" t="s">
        <v>134</v>
      </c>
      <c r="G539" t="s">
        <v>51</v>
      </c>
      <c r="I539" t="s">
        <v>116</v>
      </c>
      <c r="J539" t="s">
        <v>125</v>
      </c>
      <c r="K539">
        <v>649163</v>
      </c>
      <c r="L539" t="s">
        <v>135</v>
      </c>
      <c r="M539" t="s">
        <v>136</v>
      </c>
      <c r="N539" t="s">
        <v>179</v>
      </c>
      <c r="O539" s="1">
        <v>45932</v>
      </c>
      <c r="P539" s="1">
        <v>45943</v>
      </c>
      <c r="R539" s="2">
        <v>0</v>
      </c>
      <c r="AB539" s="2">
        <v>610.74</v>
      </c>
      <c r="AC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101.79</v>
      </c>
      <c r="AN539" s="2">
        <v>-508.95</v>
      </c>
      <c r="AO539" s="2">
        <v>-508.95</v>
      </c>
      <c r="AP539" s="2">
        <v>0</v>
      </c>
      <c r="AQ539" s="2">
        <v>0</v>
      </c>
      <c r="AR539" t="s">
        <v>728</v>
      </c>
    </row>
  </sheetData>
  <sortState xmlns:xlrd2="http://schemas.microsoft.com/office/spreadsheetml/2017/richdata2" ref="A2:AV539">
    <sortCondition descending="1" ref="Z2:Z5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4CD18-953C-495B-8460-0604F19B8EDA}">
  <dimension ref="A1:AY39"/>
  <sheetViews>
    <sheetView tabSelected="1" workbookViewId="0">
      <selection activeCell="G24" sqref="G24"/>
    </sheetView>
  </sheetViews>
  <sheetFormatPr defaultRowHeight="15" x14ac:dyDescent="0.25"/>
  <cols>
    <col min="1" max="1" width="11" style="19" bestFit="1" customWidth="1"/>
    <col min="2" max="2" width="12.5703125" style="19" customWidth="1"/>
    <col min="3" max="4" width="10.42578125" style="19" customWidth="1"/>
    <col min="5" max="6" width="9.140625" style="19"/>
    <col min="7" max="7" width="49.140625" style="19" customWidth="1"/>
    <col min="8" max="8" width="13.7109375" style="19" customWidth="1"/>
    <col min="9" max="10" width="9.140625" style="19"/>
    <col min="11" max="11" width="19" style="19" bestFit="1" customWidth="1"/>
    <col min="12" max="12" width="13.5703125" style="19" bestFit="1" customWidth="1"/>
    <col min="13" max="13" width="12" style="19" bestFit="1" customWidth="1"/>
    <col min="14" max="16384" width="9.140625" style="19"/>
  </cols>
  <sheetData>
    <row r="1" spans="1:51" x14ac:dyDescent="0.25">
      <c r="A1" s="19" t="s">
        <v>3</v>
      </c>
      <c r="B1" s="19" t="s">
        <v>4</v>
      </c>
      <c r="C1" s="19" t="s">
        <v>5</v>
      </c>
      <c r="E1" s="19" t="s">
        <v>7</v>
      </c>
      <c r="F1" s="19" t="s">
        <v>8</v>
      </c>
      <c r="G1" s="19" t="s">
        <v>9</v>
      </c>
      <c r="H1" s="19" t="s">
        <v>10</v>
      </c>
      <c r="I1" s="19" t="s">
        <v>11</v>
      </c>
      <c r="J1" s="19" t="s">
        <v>12</v>
      </c>
      <c r="L1" s="19" t="s">
        <v>14</v>
      </c>
      <c r="M1" s="19" t="s">
        <v>16</v>
      </c>
      <c r="N1" s="19" t="s">
        <v>17</v>
      </c>
      <c r="O1" s="19" t="s">
        <v>18</v>
      </c>
      <c r="P1" s="19" t="s">
        <v>19</v>
      </c>
      <c r="Q1" s="19" t="s">
        <v>21</v>
      </c>
      <c r="R1" s="19" t="s">
        <v>24</v>
      </c>
      <c r="S1" s="19" t="s">
        <v>25</v>
      </c>
      <c r="T1" s="19" t="s">
        <v>37</v>
      </c>
    </row>
    <row r="2" spans="1:51" s="5" customFormat="1" x14ac:dyDescent="0.25">
      <c r="A2" s="19">
        <v>2031195331</v>
      </c>
      <c r="B2" s="19" t="s">
        <v>89</v>
      </c>
      <c r="C2" s="19" t="s">
        <v>90</v>
      </c>
      <c r="D2" s="19" t="str">
        <f>CONCATENATE(C2, " ",B2)</f>
        <v>JOHN HARPER</v>
      </c>
      <c r="E2" s="19" t="s">
        <v>91</v>
      </c>
      <c r="F2" s="19" t="s">
        <v>116</v>
      </c>
      <c r="G2" s="19" t="s">
        <v>117</v>
      </c>
      <c r="H2" s="19">
        <v>21222981</v>
      </c>
      <c r="I2" s="19" t="s">
        <v>94</v>
      </c>
      <c r="J2" s="19" t="s">
        <v>95</v>
      </c>
      <c r="K2" s="19" t="str">
        <f>CONCATENATE(J2, " ",I2)</f>
        <v>Michael Garnett</v>
      </c>
      <c r="L2" s="20">
        <v>45939</v>
      </c>
      <c r="M2" s="20">
        <v>45970</v>
      </c>
      <c r="N2" s="21">
        <v>25.73</v>
      </c>
      <c r="O2" s="19">
        <v>1</v>
      </c>
      <c r="P2" s="19" t="s">
        <v>58</v>
      </c>
      <c r="Q2" s="22">
        <v>0.7</v>
      </c>
      <c r="R2" s="19" t="s">
        <v>60</v>
      </c>
      <c r="S2" s="19" t="s">
        <v>61</v>
      </c>
      <c r="T2" s="21">
        <v>18.010000000000002</v>
      </c>
      <c r="U2" s="19" t="s">
        <v>591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</row>
    <row r="3" spans="1:51" s="5" customFormat="1" x14ac:dyDescent="0.25">
      <c r="A3" s="19">
        <v>2031523245</v>
      </c>
      <c r="B3" s="19" t="s">
        <v>76</v>
      </c>
      <c r="C3" s="19" t="s">
        <v>77</v>
      </c>
      <c r="D3" s="19" t="str">
        <f>CONCATENATE(C3, " ",B3)</f>
        <v>LINDSEY SCHOENDIENST</v>
      </c>
      <c r="E3" s="19" t="s">
        <v>78</v>
      </c>
      <c r="F3" s="19" t="s">
        <v>114</v>
      </c>
      <c r="G3" s="19" t="s">
        <v>115</v>
      </c>
      <c r="H3" s="19" t="s">
        <v>761</v>
      </c>
      <c r="I3" s="19" t="s">
        <v>65</v>
      </c>
      <c r="J3" s="19" t="s">
        <v>81</v>
      </c>
      <c r="K3" s="19" t="str">
        <f>CONCATENATE(J3, " ",I3)</f>
        <v>Chad Yale</v>
      </c>
      <c r="L3" s="20">
        <v>45939</v>
      </c>
      <c r="M3" s="20">
        <v>45970</v>
      </c>
      <c r="N3" s="21">
        <v>131.32</v>
      </c>
      <c r="O3" s="19">
        <v>1</v>
      </c>
      <c r="P3" s="19" t="s">
        <v>58</v>
      </c>
      <c r="Q3" s="22">
        <v>0.38</v>
      </c>
      <c r="R3" s="19" t="s">
        <v>60</v>
      </c>
      <c r="S3" s="19" t="s">
        <v>61</v>
      </c>
      <c r="T3" s="21">
        <v>49.9</v>
      </c>
      <c r="U3" s="19" t="s">
        <v>115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</row>
    <row r="4" spans="1:51" x14ac:dyDescent="0.25">
      <c r="A4" s="19">
        <v>2031471083</v>
      </c>
      <c r="B4" s="19" t="s">
        <v>49</v>
      </c>
      <c r="C4" s="19" t="s">
        <v>50</v>
      </c>
      <c r="D4" s="19" t="str">
        <f>CONCATENATE(C4, " ",B4)</f>
        <v>DIANE WEBBER</v>
      </c>
      <c r="E4" s="19" t="s">
        <v>52</v>
      </c>
      <c r="F4" s="19" t="s">
        <v>53</v>
      </c>
      <c r="G4" s="19" t="s">
        <v>54</v>
      </c>
      <c r="H4" s="19">
        <v>8977234</v>
      </c>
      <c r="I4" s="19" t="s">
        <v>55</v>
      </c>
      <c r="J4" s="19" t="s">
        <v>56</v>
      </c>
      <c r="K4" s="19" t="str">
        <f>CONCATENATE(J4, " ",I4)</f>
        <v>RYAN CALTAGIRONE</v>
      </c>
      <c r="L4" s="20">
        <v>45962</v>
      </c>
      <c r="M4" s="20">
        <v>45992</v>
      </c>
      <c r="N4" s="21">
        <v>97.45</v>
      </c>
      <c r="O4" s="19">
        <v>1</v>
      </c>
      <c r="P4" s="19" t="s">
        <v>58</v>
      </c>
      <c r="Q4" s="22">
        <v>0.75</v>
      </c>
      <c r="R4" s="19" t="s">
        <v>60</v>
      </c>
      <c r="S4" s="19" t="s">
        <v>61</v>
      </c>
      <c r="T4" s="21">
        <v>73.09</v>
      </c>
      <c r="U4" s="19" t="s">
        <v>751</v>
      </c>
    </row>
    <row r="5" spans="1:51" s="5" customFormat="1" x14ac:dyDescent="0.25">
      <c r="A5" s="19">
        <v>2031523246</v>
      </c>
      <c r="B5" s="19" t="s">
        <v>76</v>
      </c>
      <c r="C5" s="19" t="s">
        <v>77</v>
      </c>
      <c r="D5" s="19" t="str">
        <f>CONCATENATE(C5, " ",B5)</f>
        <v>LINDSEY SCHOENDIENST</v>
      </c>
      <c r="E5" s="19" t="s">
        <v>78</v>
      </c>
      <c r="F5" s="19" t="s">
        <v>79</v>
      </c>
      <c r="G5" s="19" t="s">
        <v>80</v>
      </c>
      <c r="H5" s="19" t="s">
        <v>761</v>
      </c>
      <c r="I5" s="19" t="s">
        <v>65</v>
      </c>
      <c r="J5" s="19" t="s">
        <v>81</v>
      </c>
      <c r="K5" s="19" t="str">
        <f>CONCATENATE(J5, " ",I5)</f>
        <v>Chad Yale</v>
      </c>
      <c r="L5" s="20">
        <v>45939</v>
      </c>
      <c r="M5" s="20">
        <v>45970</v>
      </c>
      <c r="N5" s="21">
        <v>15</v>
      </c>
      <c r="O5" s="19">
        <v>1</v>
      </c>
      <c r="P5" s="19" t="s">
        <v>58</v>
      </c>
      <c r="Q5" s="22">
        <v>0.38</v>
      </c>
      <c r="R5" s="19" t="s">
        <v>60</v>
      </c>
      <c r="S5" s="19" t="s">
        <v>61</v>
      </c>
      <c r="T5" s="21">
        <v>5.7</v>
      </c>
      <c r="U5" s="19" t="s">
        <v>80</v>
      </c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</row>
    <row r="6" spans="1:51" x14ac:dyDescent="0.25">
      <c r="A6" s="19">
        <v>2031581265</v>
      </c>
      <c r="B6" s="19" t="s">
        <v>83</v>
      </c>
      <c r="C6" s="19" t="s">
        <v>84</v>
      </c>
      <c r="D6" s="19" t="str">
        <f>CONCATENATE(C6, " ",B6)</f>
        <v>SETH PAGET</v>
      </c>
      <c r="E6" s="19" t="s">
        <v>52</v>
      </c>
      <c r="F6" s="19" t="s">
        <v>79</v>
      </c>
      <c r="G6" s="19" t="s">
        <v>85</v>
      </c>
      <c r="H6" s="19">
        <v>8046194</v>
      </c>
      <c r="I6" s="19" t="s">
        <v>86</v>
      </c>
      <c r="J6" s="19" t="s">
        <v>87</v>
      </c>
      <c r="K6" s="19" t="str">
        <f>CONCATENATE(J6, " ",I6)</f>
        <v>H Allan</v>
      </c>
      <c r="L6" s="20">
        <v>45942</v>
      </c>
      <c r="M6" s="20">
        <v>45973</v>
      </c>
      <c r="N6" s="21">
        <v>15</v>
      </c>
      <c r="O6" s="19">
        <v>1</v>
      </c>
      <c r="P6" s="19" t="s">
        <v>58</v>
      </c>
      <c r="Q6" s="22">
        <v>0.28999999999999998</v>
      </c>
      <c r="R6" s="19" t="s">
        <v>60</v>
      </c>
      <c r="S6" s="19" t="s">
        <v>61</v>
      </c>
      <c r="T6" s="21">
        <v>4.3499999999999996</v>
      </c>
      <c r="U6" s="19" t="s">
        <v>171</v>
      </c>
    </row>
    <row r="7" spans="1:51" x14ac:dyDescent="0.25">
      <c r="A7" s="19">
        <v>2031468649</v>
      </c>
      <c r="B7" s="19" t="s">
        <v>164</v>
      </c>
      <c r="C7" s="19" t="s">
        <v>165</v>
      </c>
      <c r="D7" s="19" t="str">
        <f>CONCATENATE(C7, " ",B7)</f>
        <v>STACEY WALDREN</v>
      </c>
      <c r="E7" s="19" t="s">
        <v>64</v>
      </c>
      <c r="F7" s="19" t="s">
        <v>166</v>
      </c>
      <c r="G7" s="19" t="s">
        <v>167</v>
      </c>
      <c r="H7" s="19">
        <v>1706194</v>
      </c>
      <c r="I7" s="19" t="s">
        <v>168</v>
      </c>
      <c r="J7" s="19" t="s">
        <v>169</v>
      </c>
      <c r="K7" s="19" t="str">
        <f>CONCATENATE(J7, " ",I7)</f>
        <v>MATTHEW DAUGHERTY</v>
      </c>
      <c r="L7" s="20">
        <v>45937</v>
      </c>
      <c r="M7" s="20">
        <v>45968</v>
      </c>
      <c r="N7" s="21">
        <v>311.39999999999998</v>
      </c>
      <c r="O7" s="19">
        <v>1</v>
      </c>
      <c r="P7" s="19" t="s">
        <v>58</v>
      </c>
      <c r="Q7" s="22">
        <v>0.27</v>
      </c>
      <c r="R7" s="19" t="s">
        <v>60</v>
      </c>
      <c r="S7" s="19" t="s">
        <v>61</v>
      </c>
      <c r="T7" s="21">
        <v>84.08</v>
      </c>
      <c r="U7" s="19" t="s">
        <v>758</v>
      </c>
    </row>
    <row r="8" spans="1:51" x14ac:dyDescent="0.25">
      <c r="A8" s="19">
        <v>2031581263</v>
      </c>
      <c r="B8" s="19" t="s">
        <v>83</v>
      </c>
      <c r="C8" s="19" t="s">
        <v>84</v>
      </c>
      <c r="D8" s="19" t="str">
        <f>CONCATENATE(C8, " ",B8)</f>
        <v>SETH PAGET</v>
      </c>
      <c r="E8" s="19" t="s">
        <v>52</v>
      </c>
      <c r="F8" s="19" t="s">
        <v>166</v>
      </c>
      <c r="G8" s="19" t="s">
        <v>171</v>
      </c>
      <c r="H8" s="19">
        <v>8046194</v>
      </c>
      <c r="I8" s="19" t="s">
        <v>86</v>
      </c>
      <c r="J8" s="19" t="s">
        <v>87</v>
      </c>
      <c r="K8" s="19" t="str">
        <f>CONCATENATE(J8, " ",I8)</f>
        <v>H Allan</v>
      </c>
      <c r="L8" s="20">
        <v>45942</v>
      </c>
      <c r="M8" s="20">
        <v>45973</v>
      </c>
      <c r="N8" s="21">
        <v>285.18</v>
      </c>
      <c r="O8" s="19">
        <v>1</v>
      </c>
      <c r="P8" s="19" t="s">
        <v>58</v>
      </c>
      <c r="Q8" s="22">
        <v>0.28999999999999998</v>
      </c>
      <c r="R8" s="19" t="s">
        <v>60</v>
      </c>
      <c r="S8" s="19" t="s">
        <v>61</v>
      </c>
      <c r="T8" s="21">
        <v>82.7</v>
      </c>
      <c r="U8" s="19" t="s">
        <v>171</v>
      </c>
    </row>
    <row r="9" spans="1:51" x14ac:dyDescent="0.25">
      <c r="A9" s="19">
        <v>2031471084</v>
      </c>
      <c r="B9" s="19" t="s">
        <v>49</v>
      </c>
      <c r="C9" s="19" t="s">
        <v>50</v>
      </c>
      <c r="D9" s="19" t="str">
        <f>CONCATENATE(C9, " ",B9)</f>
        <v>DIANE WEBBER</v>
      </c>
      <c r="E9" s="19" t="s">
        <v>52</v>
      </c>
      <c r="F9" s="19" t="s">
        <v>116</v>
      </c>
      <c r="G9" s="19" t="s">
        <v>125</v>
      </c>
      <c r="H9" s="19">
        <v>8977234</v>
      </c>
      <c r="I9" s="19" t="s">
        <v>55</v>
      </c>
      <c r="J9" s="19" t="s">
        <v>56</v>
      </c>
      <c r="K9" s="19" t="str">
        <f>CONCATENATE(J9, " ",I9)</f>
        <v>RYAN CALTAGIRONE</v>
      </c>
      <c r="L9" s="20">
        <v>45962</v>
      </c>
      <c r="M9" s="20">
        <v>45992</v>
      </c>
      <c r="N9" s="21">
        <v>25.82</v>
      </c>
      <c r="O9" s="19">
        <v>1</v>
      </c>
      <c r="P9" s="19" t="s">
        <v>58</v>
      </c>
      <c r="Q9" s="22">
        <v>0.7</v>
      </c>
      <c r="R9" s="19" t="s">
        <v>60</v>
      </c>
      <c r="S9" s="19" t="s">
        <v>61</v>
      </c>
      <c r="T9" s="21">
        <v>18.07</v>
      </c>
      <c r="U9" s="19" t="s">
        <v>125</v>
      </c>
    </row>
    <row r="10" spans="1:51" x14ac:dyDescent="0.25">
      <c r="A10" s="19">
        <v>2031497534</v>
      </c>
      <c r="B10" s="19" t="s">
        <v>96</v>
      </c>
      <c r="C10" s="19" t="s">
        <v>97</v>
      </c>
      <c r="D10" s="19" t="str">
        <f>CONCATENATE(C10, " ",B10)</f>
        <v>FANTAYIJA MARTIN</v>
      </c>
      <c r="E10" s="19" t="s">
        <v>78</v>
      </c>
      <c r="F10" s="19" t="s">
        <v>116</v>
      </c>
      <c r="G10" s="19" t="s">
        <v>125</v>
      </c>
      <c r="H10" s="19">
        <v>17437820</v>
      </c>
      <c r="I10" s="19" t="s">
        <v>98</v>
      </c>
      <c r="J10" s="19" t="s">
        <v>99</v>
      </c>
      <c r="K10" s="19" t="str">
        <f>CONCATENATE(J10, " ",I10)</f>
        <v>COLLEEN FINNIGAN</v>
      </c>
      <c r="L10" s="20">
        <v>45938</v>
      </c>
      <c r="M10" s="20">
        <v>45969</v>
      </c>
      <c r="N10" s="21">
        <v>28.9</v>
      </c>
      <c r="O10" s="19">
        <v>1</v>
      </c>
      <c r="P10" s="19" t="s">
        <v>58</v>
      </c>
      <c r="Q10" s="22">
        <v>0.7</v>
      </c>
      <c r="R10" s="19" t="s">
        <v>60</v>
      </c>
      <c r="S10" s="19" t="s">
        <v>61</v>
      </c>
      <c r="T10" s="21">
        <v>20.23</v>
      </c>
      <c r="U10" s="19" t="s">
        <v>125</v>
      </c>
    </row>
    <row r="11" spans="1:51" x14ac:dyDescent="0.25">
      <c r="A11" s="19">
        <v>2031574170</v>
      </c>
      <c r="B11" s="19" t="s">
        <v>158</v>
      </c>
      <c r="C11" s="19" t="s">
        <v>159</v>
      </c>
      <c r="D11" s="19" t="str">
        <f>CONCATENATE(C11, " ",B11)</f>
        <v>MICHAEL KUPFERSCHMID</v>
      </c>
      <c r="E11" s="19" t="s">
        <v>52</v>
      </c>
      <c r="F11" s="19" t="s">
        <v>116</v>
      </c>
      <c r="G11" s="19" t="s">
        <v>125</v>
      </c>
      <c r="H11" s="19">
        <v>18754354</v>
      </c>
      <c r="I11" s="19" t="s">
        <v>160</v>
      </c>
      <c r="J11" s="19" t="s">
        <v>161</v>
      </c>
      <c r="K11" s="19" t="str">
        <f>CONCATENATE(J11, " ",I11)</f>
        <v>JACOB YALE</v>
      </c>
      <c r="L11" s="20">
        <v>45962</v>
      </c>
      <c r="M11" s="20">
        <v>45992</v>
      </c>
      <c r="N11" s="21">
        <v>101.78</v>
      </c>
      <c r="O11" s="19">
        <v>1</v>
      </c>
      <c r="P11" s="19" t="s">
        <v>58</v>
      </c>
      <c r="Q11" s="22">
        <v>0.7</v>
      </c>
      <c r="R11" s="19" t="s">
        <v>60</v>
      </c>
      <c r="S11" s="19" t="s">
        <v>61</v>
      </c>
      <c r="T11" s="21">
        <v>71.25</v>
      </c>
      <c r="U11" s="19" t="s">
        <v>125</v>
      </c>
    </row>
    <row r="12" spans="1:51" x14ac:dyDescent="0.25">
      <c r="A12" s="19">
        <v>2031581264</v>
      </c>
      <c r="B12" s="19" t="s">
        <v>83</v>
      </c>
      <c r="C12" s="19" t="s">
        <v>84</v>
      </c>
      <c r="D12" s="19" t="str">
        <f>CONCATENATE(C12, " ",B12)</f>
        <v>SETH PAGET</v>
      </c>
      <c r="E12" s="19" t="s">
        <v>52</v>
      </c>
      <c r="F12" s="19" t="s">
        <v>166</v>
      </c>
      <c r="G12" s="19" t="s">
        <v>172</v>
      </c>
      <c r="H12" s="19">
        <v>8046194</v>
      </c>
      <c r="I12" s="19" t="s">
        <v>86</v>
      </c>
      <c r="J12" s="19" t="s">
        <v>87</v>
      </c>
      <c r="K12" s="19" t="str">
        <f>CONCATENATE(J12, " ",I12)</f>
        <v>H Allan</v>
      </c>
      <c r="L12" s="20">
        <v>45942</v>
      </c>
      <c r="M12" s="20">
        <v>45973</v>
      </c>
      <c r="N12" s="21">
        <v>9.9499999999999993</v>
      </c>
      <c r="O12" s="19">
        <v>1</v>
      </c>
      <c r="P12" s="19" t="s">
        <v>58</v>
      </c>
      <c r="Q12" s="22">
        <v>0.28999999999999998</v>
      </c>
      <c r="R12" s="19" t="s">
        <v>60</v>
      </c>
      <c r="S12" s="19" t="s">
        <v>61</v>
      </c>
      <c r="T12" s="21">
        <v>2.89</v>
      </c>
      <c r="U12" s="19" t="s">
        <v>171</v>
      </c>
    </row>
    <row r="13" spans="1:51" s="5" customFormat="1" x14ac:dyDescent="0.25">
      <c r="A13" s="19">
        <v>2031195330</v>
      </c>
      <c r="B13" s="19" t="s">
        <v>89</v>
      </c>
      <c r="C13" s="19" t="s">
        <v>90</v>
      </c>
      <c r="D13" s="19" t="str">
        <f>CONCATENATE(C13, " ",B13)</f>
        <v>JOHN HARPER</v>
      </c>
      <c r="E13" s="19" t="s">
        <v>91</v>
      </c>
      <c r="F13" s="19" t="s">
        <v>92</v>
      </c>
      <c r="G13" s="19" t="s">
        <v>93</v>
      </c>
      <c r="H13" s="19">
        <v>21222981</v>
      </c>
      <c r="I13" s="19" t="s">
        <v>94</v>
      </c>
      <c r="J13" s="19" t="s">
        <v>95</v>
      </c>
      <c r="K13" s="19" t="str">
        <f>CONCATENATE(J13, " ",I13)</f>
        <v>Michael Garnett</v>
      </c>
      <c r="L13" s="20">
        <v>45939</v>
      </c>
      <c r="M13" s="20">
        <v>45970</v>
      </c>
      <c r="N13" s="21">
        <v>28.38</v>
      </c>
      <c r="O13" s="19">
        <v>1</v>
      </c>
      <c r="P13" s="19" t="s">
        <v>58</v>
      </c>
      <c r="Q13" s="23">
        <v>0.375</v>
      </c>
      <c r="R13" s="19" t="s">
        <v>60</v>
      </c>
      <c r="S13" s="19" t="s">
        <v>61</v>
      </c>
      <c r="T13" s="21">
        <v>10.64</v>
      </c>
      <c r="U13" s="19" t="s">
        <v>93</v>
      </c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</row>
    <row r="14" spans="1:51" s="5" customFormat="1" x14ac:dyDescent="0.25">
      <c r="A14" s="19">
        <v>2031497533</v>
      </c>
      <c r="B14" s="19" t="s">
        <v>96</v>
      </c>
      <c r="C14" s="19" t="s">
        <v>97</v>
      </c>
      <c r="D14" s="19" t="str">
        <f>CONCATENATE(C14, " ",B14)</f>
        <v>FANTAYIJA MARTIN</v>
      </c>
      <c r="E14" s="19" t="s">
        <v>78</v>
      </c>
      <c r="F14" s="19" t="s">
        <v>92</v>
      </c>
      <c r="G14" s="19" t="s">
        <v>93</v>
      </c>
      <c r="H14" s="19">
        <v>17437820</v>
      </c>
      <c r="I14" s="19" t="s">
        <v>98</v>
      </c>
      <c r="J14" s="19" t="s">
        <v>99</v>
      </c>
      <c r="K14" s="19" t="str">
        <f>CONCATENATE(J14, " ",I14)</f>
        <v>COLLEEN FINNIGAN</v>
      </c>
      <c r="L14" s="20">
        <v>45938</v>
      </c>
      <c r="M14" s="20">
        <v>45969</v>
      </c>
      <c r="N14" s="21">
        <v>53.87</v>
      </c>
      <c r="O14" s="19">
        <v>1</v>
      </c>
      <c r="P14" s="19" t="s">
        <v>58</v>
      </c>
      <c r="Q14" s="23">
        <v>0.375</v>
      </c>
      <c r="R14" s="19" t="s">
        <v>60</v>
      </c>
      <c r="S14" s="19" t="s">
        <v>61</v>
      </c>
      <c r="T14" s="21">
        <v>20.2</v>
      </c>
      <c r="U14" s="19" t="s">
        <v>93</v>
      </c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</row>
    <row r="15" spans="1:51" s="5" customFormat="1" x14ac:dyDescent="0.25">
      <c r="A15" s="19">
        <v>2031577416</v>
      </c>
      <c r="B15" s="19" t="s">
        <v>110</v>
      </c>
      <c r="C15" s="19" t="s">
        <v>111</v>
      </c>
      <c r="D15" s="19" t="str">
        <f>CONCATENATE(C15, " ",B15)</f>
        <v>DELIA LOPEZ</v>
      </c>
      <c r="E15" s="19" t="s">
        <v>78</v>
      </c>
      <c r="F15" s="19" t="s">
        <v>92</v>
      </c>
      <c r="G15" s="19" t="s">
        <v>93</v>
      </c>
      <c r="H15" s="19">
        <v>21646325</v>
      </c>
      <c r="I15" s="19" t="s">
        <v>112</v>
      </c>
      <c r="J15" s="19" t="s">
        <v>113</v>
      </c>
      <c r="K15" s="19" t="str">
        <f>CONCATENATE(J15, " ",I15)</f>
        <v>Antonia Nevarez</v>
      </c>
      <c r="L15" s="20">
        <v>45941</v>
      </c>
      <c r="M15" s="20">
        <v>45972</v>
      </c>
      <c r="N15" s="21">
        <v>72.52</v>
      </c>
      <c r="O15" s="19">
        <v>1</v>
      </c>
      <c r="P15" s="19" t="s">
        <v>58</v>
      </c>
      <c r="Q15" s="23">
        <v>0.375</v>
      </c>
      <c r="R15" s="19" t="s">
        <v>60</v>
      </c>
      <c r="S15" s="19" t="s">
        <v>61</v>
      </c>
      <c r="T15" s="21">
        <v>27.2</v>
      </c>
      <c r="U15" s="19" t="s">
        <v>93</v>
      </c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</row>
    <row r="16" spans="1:51" s="28" customFormat="1" x14ac:dyDescent="0.25">
      <c r="A16" s="24">
        <v>2031264376</v>
      </c>
      <c r="B16" s="24" t="s">
        <v>110</v>
      </c>
      <c r="C16" s="24" t="s">
        <v>118</v>
      </c>
      <c r="D16" s="24" t="str">
        <f>CONCATENATE(C16, " ",B16)</f>
        <v>WILBER LOPEZ</v>
      </c>
      <c r="E16" s="24" t="s">
        <v>119</v>
      </c>
      <c r="F16" s="24" t="s">
        <v>116</v>
      </c>
      <c r="G16" s="24" t="s">
        <v>120</v>
      </c>
      <c r="H16" s="24">
        <v>18010408</v>
      </c>
      <c r="I16" s="24" t="s">
        <v>121</v>
      </c>
      <c r="J16" s="24" t="s">
        <v>122</v>
      </c>
      <c r="K16" s="24" t="str">
        <f>CONCATENATE(J16, " ",I16)</f>
        <v>WILLIAM SCHAEFFER</v>
      </c>
      <c r="L16" s="25">
        <v>45931</v>
      </c>
      <c r="M16" s="25">
        <v>45962</v>
      </c>
      <c r="N16" s="26">
        <v>29.25</v>
      </c>
      <c r="O16" s="24">
        <v>1</v>
      </c>
      <c r="P16" s="24" t="s">
        <v>58</v>
      </c>
      <c r="Q16" s="27">
        <v>0.2</v>
      </c>
      <c r="R16" s="24" t="s">
        <v>60</v>
      </c>
      <c r="S16" s="24" t="s">
        <v>61</v>
      </c>
      <c r="T16" s="26">
        <v>5.85</v>
      </c>
      <c r="U16" s="24" t="s">
        <v>120</v>
      </c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</row>
    <row r="17" spans="1:51" s="5" customFormat="1" x14ac:dyDescent="0.25">
      <c r="A17" s="10">
        <v>2031514064</v>
      </c>
      <c r="B17" s="10" t="s">
        <v>100</v>
      </c>
      <c r="C17" s="10" t="s">
        <v>101</v>
      </c>
      <c r="D17" s="10" t="str">
        <f>CONCATENATE(C17, " ",B17)</f>
        <v>TIMMY GRIFFIN</v>
      </c>
      <c r="E17" s="10" t="s">
        <v>102</v>
      </c>
      <c r="F17" s="10" t="s">
        <v>92</v>
      </c>
      <c r="G17" s="10" t="s">
        <v>93</v>
      </c>
      <c r="H17" s="10">
        <v>20411454</v>
      </c>
      <c r="I17" s="10" t="s">
        <v>103</v>
      </c>
      <c r="J17" s="10" t="s">
        <v>104</v>
      </c>
      <c r="K17" s="10" t="s">
        <v>756</v>
      </c>
      <c r="L17" s="11">
        <v>45939</v>
      </c>
      <c r="M17" s="11">
        <v>45970</v>
      </c>
      <c r="N17" s="12">
        <v>3.15</v>
      </c>
      <c r="O17" s="10">
        <v>1</v>
      </c>
      <c r="P17" s="10" t="s">
        <v>58</v>
      </c>
      <c r="Q17" s="14">
        <v>9.5000000000000001E-2</v>
      </c>
      <c r="R17" s="10" t="s">
        <v>60</v>
      </c>
      <c r="S17" s="10" t="s">
        <v>61</v>
      </c>
      <c r="T17" s="12">
        <v>3.15</v>
      </c>
      <c r="U17" s="10" t="s">
        <v>760</v>
      </c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 spans="1:51" x14ac:dyDescent="0.25">
      <c r="L18" s="20"/>
      <c r="M18" s="20"/>
      <c r="N18" s="21"/>
      <c r="Q18" s="23"/>
      <c r="T18" s="21"/>
    </row>
    <row r="19" spans="1:51" s="5" customFormat="1" x14ac:dyDescent="0.25">
      <c r="A19" s="5">
        <v>2031453112</v>
      </c>
      <c r="B19" s="5" t="s">
        <v>123</v>
      </c>
      <c r="C19" s="5" t="s">
        <v>124</v>
      </c>
      <c r="D19" s="5" t="str">
        <f>CONCATENATE(C19, " ",B19)</f>
        <v>KENNETH EATON</v>
      </c>
      <c r="E19" s="5" t="s">
        <v>78</v>
      </c>
      <c r="F19" s="5" t="s">
        <v>116</v>
      </c>
      <c r="G19" s="5" t="s">
        <v>125</v>
      </c>
      <c r="I19" s="5" t="s">
        <v>126</v>
      </c>
      <c r="J19" s="5" t="s">
        <v>127</v>
      </c>
      <c r="K19" s="5" t="str">
        <f>CONCATENATE(J19, " ",I19)</f>
        <v>Andrew Choi</v>
      </c>
      <c r="L19" s="6">
        <v>45941</v>
      </c>
      <c r="M19" s="6">
        <v>45972</v>
      </c>
      <c r="N19" s="7">
        <v>212.26</v>
      </c>
      <c r="O19" s="5">
        <v>1</v>
      </c>
      <c r="P19" s="5" t="s">
        <v>58</v>
      </c>
      <c r="Q19" s="8">
        <v>0.7</v>
      </c>
      <c r="R19" s="5" t="s">
        <v>60</v>
      </c>
      <c r="S19" s="5" t="s">
        <v>61</v>
      </c>
      <c r="T19" s="7">
        <v>148.58000000000001</v>
      </c>
    </row>
    <row r="20" spans="1:51" s="5" customFormat="1" x14ac:dyDescent="0.25">
      <c r="A20" s="5">
        <v>2031463660</v>
      </c>
      <c r="B20" s="5" t="s">
        <v>128</v>
      </c>
      <c r="C20" s="5" t="s">
        <v>129</v>
      </c>
      <c r="D20" s="5" t="str">
        <f>CONCATENATE(C20, " ",B20)</f>
        <v>RITA MOORE</v>
      </c>
      <c r="E20" s="5" t="s">
        <v>130</v>
      </c>
      <c r="F20" s="5" t="s">
        <v>116</v>
      </c>
      <c r="G20" s="5" t="s">
        <v>120</v>
      </c>
      <c r="I20" s="5" t="s">
        <v>131</v>
      </c>
      <c r="J20" s="5" t="s">
        <v>132</v>
      </c>
      <c r="K20" s="5" t="str">
        <f>CONCATENATE(J20, " ",I20)</f>
        <v>Taliah Ferguson</v>
      </c>
      <c r="L20" s="6">
        <v>45940</v>
      </c>
      <c r="M20" s="6">
        <v>45971</v>
      </c>
      <c r="N20" s="7">
        <v>51.63</v>
      </c>
      <c r="O20" s="5">
        <v>1</v>
      </c>
      <c r="P20" s="5" t="s">
        <v>58</v>
      </c>
      <c r="Q20" s="8">
        <v>0.9</v>
      </c>
      <c r="R20" s="5" t="s">
        <v>60</v>
      </c>
      <c r="S20" s="5" t="s">
        <v>61</v>
      </c>
      <c r="T20" s="7">
        <v>46.47</v>
      </c>
    </row>
    <row r="21" spans="1:51" x14ac:dyDescent="0.25">
      <c r="A21" s="5">
        <v>2031474832</v>
      </c>
      <c r="B21" s="5" t="s">
        <v>133</v>
      </c>
      <c r="C21" s="5" t="s">
        <v>134</v>
      </c>
      <c r="D21" s="5" t="str">
        <f>CONCATENATE(C21, " ",B21)</f>
        <v>GUADALUPE SANCHEZ</v>
      </c>
      <c r="E21" s="5" t="s">
        <v>78</v>
      </c>
      <c r="F21" s="5" t="s">
        <v>116</v>
      </c>
      <c r="G21" s="5" t="s">
        <v>125</v>
      </c>
      <c r="H21" s="5"/>
      <c r="I21" s="5" t="s">
        <v>135</v>
      </c>
      <c r="J21" s="5" t="s">
        <v>136</v>
      </c>
      <c r="K21" s="5" t="str">
        <f>CONCATENATE(J21, " ",I21)</f>
        <v>Barry Schumann</v>
      </c>
      <c r="L21" s="6">
        <v>45937</v>
      </c>
      <c r="M21" s="6">
        <v>45968</v>
      </c>
      <c r="N21" s="7">
        <v>42.36</v>
      </c>
      <c r="O21" s="5">
        <v>1</v>
      </c>
      <c r="P21" s="5" t="s">
        <v>58</v>
      </c>
      <c r="Q21" s="8">
        <v>0.7</v>
      </c>
      <c r="R21" s="5" t="s">
        <v>60</v>
      </c>
      <c r="S21" s="5" t="s">
        <v>61</v>
      </c>
      <c r="T21" s="7">
        <v>29.65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 s="5" customFormat="1" x14ac:dyDescent="0.25">
      <c r="A22" s="5">
        <v>2031492462</v>
      </c>
      <c r="B22" s="5" t="s">
        <v>62</v>
      </c>
      <c r="C22" s="5" t="s">
        <v>63</v>
      </c>
      <c r="D22" s="5" t="str">
        <f>CONCATENATE(C22, " ",B22)</f>
        <v>SHARON MULLOY</v>
      </c>
      <c r="E22" s="5" t="s">
        <v>64</v>
      </c>
      <c r="F22" s="5" t="s">
        <v>92</v>
      </c>
      <c r="G22" s="5" t="s">
        <v>93</v>
      </c>
      <c r="I22" s="5" t="s">
        <v>65</v>
      </c>
      <c r="J22" s="5" t="s">
        <v>66</v>
      </c>
      <c r="K22" s="5" t="str">
        <f>CONCATENATE(J22, " ",I22)</f>
        <v>Richard Yale</v>
      </c>
      <c r="L22" s="6">
        <v>45938</v>
      </c>
      <c r="M22" s="6">
        <v>45969</v>
      </c>
      <c r="N22" s="7">
        <v>88.69</v>
      </c>
      <c r="O22" s="5">
        <v>1</v>
      </c>
      <c r="P22" s="5" t="s">
        <v>58</v>
      </c>
      <c r="Q22" s="9">
        <v>0.375</v>
      </c>
      <c r="R22" s="5" t="s">
        <v>60</v>
      </c>
      <c r="S22" s="5" t="s">
        <v>61</v>
      </c>
      <c r="T22" s="7">
        <v>33.26</v>
      </c>
    </row>
    <row r="23" spans="1:51" s="5" customFormat="1" x14ac:dyDescent="0.25">
      <c r="A23" s="5">
        <v>2031492463</v>
      </c>
      <c r="B23" s="5" t="s">
        <v>62</v>
      </c>
      <c r="C23" s="5" t="s">
        <v>63</v>
      </c>
      <c r="D23" s="5" t="str">
        <f>CONCATENATE(C23, " ",B23)</f>
        <v>SHARON MULLOY</v>
      </c>
      <c r="E23" s="5" t="s">
        <v>64</v>
      </c>
      <c r="F23" s="5" t="s">
        <v>116</v>
      </c>
      <c r="G23" s="5" t="s">
        <v>125</v>
      </c>
      <c r="I23" s="5" t="s">
        <v>65</v>
      </c>
      <c r="J23" s="5" t="s">
        <v>66</v>
      </c>
      <c r="K23" s="5" t="str">
        <f>CONCATENATE(J23, " ",I23)</f>
        <v>Richard Yale</v>
      </c>
      <c r="L23" s="6">
        <v>45938</v>
      </c>
      <c r="M23" s="6">
        <v>45969</v>
      </c>
      <c r="N23" s="7">
        <v>101.99</v>
      </c>
      <c r="O23" s="5">
        <v>1</v>
      </c>
      <c r="P23" s="5" t="s">
        <v>58</v>
      </c>
      <c r="Q23" s="8">
        <v>0.7</v>
      </c>
      <c r="R23" s="5" t="s">
        <v>60</v>
      </c>
      <c r="S23" s="5" t="s">
        <v>61</v>
      </c>
      <c r="T23" s="7">
        <v>71.39</v>
      </c>
    </row>
    <row r="24" spans="1:51" s="5" customFormat="1" x14ac:dyDescent="0.25">
      <c r="A24" s="5">
        <v>2031492464</v>
      </c>
      <c r="B24" s="5" t="s">
        <v>62</v>
      </c>
      <c r="C24" s="5" t="s">
        <v>63</v>
      </c>
      <c r="D24" s="5" t="str">
        <f>CONCATENATE(C24, " ",B24)</f>
        <v>SHARON MULLOY</v>
      </c>
      <c r="E24" s="5" t="s">
        <v>64</v>
      </c>
      <c r="F24" s="5" t="s">
        <v>53</v>
      </c>
      <c r="G24" s="5" t="s">
        <v>54</v>
      </c>
      <c r="I24" s="5" t="s">
        <v>65</v>
      </c>
      <c r="J24" s="5" t="s">
        <v>66</v>
      </c>
      <c r="K24" s="5" t="str">
        <f>CONCATENATE(J24, " ",I24)</f>
        <v>Richard Yale</v>
      </c>
      <c r="L24" s="6">
        <v>45938</v>
      </c>
      <c r="M24" s="6">
        <v>45969</v>
      </c>
      <c r="N24" s="7">
        <v>71.63</v>
      </c>
      <c r="O24" s="5">
        <v>1</v>
      </c>
      <c r="P24" s="5" t="s">
        <v>58</v>
      </c>
      <c r="Q24" s="8">
        <v>0.75</v>
      </c>
      <c r="R24" s="5" t="s">
        <v>60</v>
      </c>
      <c r="S24" s="5" t="s">
        <v>61</v>
      </c>
      <c r="T24" s="7">
        <v>53.72</v>
      </c>
    </row>
    <row r="25" spans="1:51" x14ac:dyDescent="0.25">
      <c r="A25" s="5">
        <v>2031494983</v>
      </c>
      <c r="B25" s="5" t="s">
        <v>67</v>
      </c>
      <c r="C25" s="5" t="s">
        <v>68</v>
      </c>
      <c r="D25" s="5" t="str">
        <f>CONCATENATE(C25, " ",B25)</f>
        <v>EWAN MACKINNON</v>
      </c>
      <c r="E25" s="5" t="s">
        <v>69</v>
      </c>
      <c r="F25" s="5" t="s">
        <v>92</v>
      </c>
      <c r="G25" s="5" t="s">
        <v>93</v>
      </c>
      <c r="H25" s="5"/>
      <c r="I25" s="5" t="s">
        <v>71</v>
      </c>
      <c r="J25" s="5" t="s">
        <v>72</v>
      </c>
      <c r="K25" s="5" t="str">
        <f>CONCATENATE(J25, " ",I25)</f>
        <v>Heather Geske</v>
      </c>
      <c r="L25" s="6">
        <v>45938</v>
      </c>
      <c r="M25" s="6">
        <v>45969</v>
      </c>
      <c r="N25" s="7">
        <v>54.57</v>
      </c>
      <c r="O25" s="5">
        <v>1</v>
      </c>
      <c r="P25" s="5" t="s">
        <v>58</v>
      </c>
      <c r="Q25" s="9">
        <v>0.375</v>
      </c>
      <c r="R25" s="5" t="s">
        <v>60</v>
      </c>
      <c r="S25" s="5" t="s">
        <v>61</v>
      </c>
      <c r="T25" s="7">
        <v>20.46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s="10" customFormat="1" x14ac:dyDescent="0.25">
      <c r="A26" s="5">
        <v>2031494984</v>
      </c>
      <c r="B26" s="5" t="s">
        <v>67</v>
      </c>
      <c r="C26" s="5" t="s">
        <v>68</v>
      </c>
      <c r="D26" s="5" t="str">
        <f>CONCATENATE(C26, " ",B26)</f>
        <v>EWAN MACKINNON</v>
      </c>
      <c r="E26" s="5" t="s">
        <v>69</v>
      </c>
      <c r="F26" s="5" t="s">
        <v>116</v>
      </c>
      <c r="G26" s="5" t="s">
        <v>125</v>
      </c>
      <c r="H26" s="5"/>
      <c r="I26" s="5" t="s">
        <v>71</v>
      </c>
      <c r="J26" s="5" t="s">
        <v>72</v>
      </c>
      <c r="K26" s="5" t="str">
        <f>CONCATENATE(J26, " ",I26)</f>
        <v>Heather Geske</v>
      </c>
      <c r="L26" s="6">
        <v>45938</v>
      </c>
      <c r="M26" s="6">
        <v>45969</v>
      </c>
      <c r="N26" s="7">
        <v>7.11</v>
      </c>
      <c r="O26" s="5">
        <v>1</v>
      </c>
      <c r="P26" s="5" t="s">
        <v>58</v>
      </c>
      <c r="Q26" s="8">
        <v>0.7</v>
      </c>
      <c r="R26" s="5" t="s">
        <v>60</v>
      </c>
      <c r="S26" s="5" t="s">
        <v>61</v>
      </c>
      <c r="T26" s="7">
        <v>4.9800000000000004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 x14ac:dyDescent="0.25">
      <c r="A27" s="5">
        <v>2031494985</v>
      </c>
      <c r="B27" s="5" t="s">
        <v>67</v>
      </c>
      <c r="C27" s="5" t="s">
        <v>68</v>
      </c>
      <c r="D27" s="5" t="str">
        <f>CONCATENATE(C27, " ",B27)</f>
        <v>EWAN MACKINNON</v>
      </c>
      <c r="E27" s="5" t="s">
        <v>69</v>
      </c>
      <c r="F27" s="5" t="s">
        <v>53</v>
      </c>
      <c r="G27" s="5" t="s">
        <v>70</v>
      </c>
      <c r="H27" s="5"/>
      <c r="I27" s="5" t="s">
        <v>71</v>
      </c>
      <c r="J27" s="5" t="s">
        <v>72</v>
      </c>
      <c r="K27" s="5" t="str">
        <f>CONCATENATE(J27, " ",I27)</f>
        <v>Heather Geske</v>
      </c>
      <c r="L27" s="6">
        <v>45938</v>
      </c>
      <c r="M27" s="6">
        <v>45969</v>
      </c>
      <c r="N27" s="7">
        <v>16.579999999999998</v>
      </c>
      <c r="O27" s="5">
        <v>1</v>
      </c>
      <c r="P27" s="5" t="s">
        <v>58</v>
      </c>
      <c r="Q27" s="8">
        <v>0.9</v>
      </c>
      <c r="R27" s="5" t="s">
        <v>60</v>
      </c>
      <c r="S27" s="5" t="s">
        <v>61</v>
      </c>
      <c r="T27" s="7">
        <v>14.92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 x14ac:dyDescent="0.25">
      <c r="A28" s="5">
        <v>2031501468</v>
      </c>
      <c r="B28" s="5" t="s">
        <v>137</v>
      </c>
      <c r="C28" s="5" t="s">
        <v>138</v>
      </c>
      <c r="D28" s="5" t="str">
        <f>CONCATENATE(C28, " ",B28)</f>
        <v>NICOLE DENOFRIO</v>
      </c>
      <c r="E28" s="5" t="s">
        <v>78</v>
      </c>
      <c r="F28" s="5" t="s">
        <v>116</v>
      </c>
      <c r="G28" s="5" t="s">
        <v>125</v>
      </c>
      <c r="H28" s="5"/>
      <c r="I28" s="5" t="s">
        <v>139</v>
      </c>
      <c r="J28" s="5" t="s">
        <v>140</v>
      </c>
      <c r="K28" s="5" t="str">
        <f>CONCATENATE(J28, " ",I28)</f>
        <v>ANDREA PETRUNGARO</v>
      </c>
      <c r="L28" s="6">
        <v>45938</v>
      </c>
      <c r="M28" s="6">
        <v>45969</v>
      </c>
      <c r="N28" s="7">
        <v>96</v>
      </c>
      <c r="O28" s="5">
        <v>1</v>
      </c>
      <c r="P28" s="5" t="s">
        <v>58</v>
      </c>
      <c r="Q28" s="8">
        <v>0.7</v>
      </c>
      <c r="R28" s="5" t="s">
        <v>60</v>
      </c>
      <c r="S28" s="5" t="s">
        <v>61</v>
      </c>
      <c r="T28" s="7">
        <v>67.2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 s="5" customFormat="1" x14ac:dyDescent="0.25">
      <c r="A29" s="5">
        <v>2031523386</v>
      </c>
      <c r="B29" s="5" t="s">
        <v>73</v>
      </c>
      <c r="C29" s="5" t="s">
        <v>74</v>
      </c>
      <c r="D29" s="5" t="str">
        <f>CONCATENATE(C29, " ",B29)</f>
        <v>ERIC GERMAIN</v>
      </c>
      <c r="E29" s="5" t="s">
        <v>69</v>
      </c>
      <c r="F29" s="5" t="s">
        <v>116</v>
      </c>
      <c r="G29" s="5" t="s">
        <v>117</v>
      </c>
      <c r="I29" s="5" t="s">
        <v>71</v>
      </c>
      <c r="J29" s="5" t="s">
        <v>72</v>
      </c>
      <c r="K29" s="5" t="str">
        <f>CONCATENATE(J29, " ",I29)</f>
        <v>Heather Geske</v>
      </c>
      <c r="L29" s="6">
        <v>45939</v>
      </c>
      <c r="M29" s="6">
        <v>45970</v>
      </c>
      <c r="N29" s="7">
        <v>6.3</v>
      </c>
      <c r="O29" s="5">
        <v>1</v>
      </c>
      <c r="P29" s="5" t="s">
        <v>58</v>
      </c>
      <c r="Q29" s="8">
        <v>0.7</v>
      </c>
      <c r="R29" s="5" t="s">
        <v>60</v>
      </c>
      <c r="S29" s="5" t="s">
        <v>61</v>
      </c>
      <c r="T29" s="7">
        <v>4.41</v>
      </c>
    </row>
    <row r="30" spans="1:51" s="5" customFormat="1" x14ac:dyDescent="0.25">
      <c r="A30" s="5">
        <v>2031523387</v>
      </c>
      <c r="B30" s="5" t="s">
        <v>73</v>
      </c>
      <c r="C30" s="5" t="s">
        <v>74</v>
      </c>
      <c r="D30" s="5" t="str">
        <f>CONCATENATE(C30, " ",B30)</f>
        <v>ERIC GERMAIN</v>
      </c>
      <c r="E30" s="5" t="s">
        <v>69</v>
      </c>
      <c r="F30" s="5" t="s">
        <v>53</v>
      </c>
      <c r="G30" s="5" t="s">
        <v>75</v>
      </c>
      <c r="I30" s="5" t="s">
        <v>71</v>
      </c>
      <c r="J30" s="5" t="s">
        <v>72</v>
      </c>
      <c r="K30" s="5" t="str">
        <f>CONCATENATE(J30, " ",I30)</f>
        <v>Heather Geske</v>
      </c>
      <c r="L30" s="6">
        <v>45939</v>
      </c>
      <c r="M30" s="6">
        <v>45970</v>
      </c>
      <c r="N30" s="7">
        <v>63.48</v>
      </c>
      <c r="O30" s="5">
        <v>1</v>
      </c>
      <c r="P30" s="5" t="s">
        <v>58</v>
      </c>
      <c r="Q30" s="8">
        <v>0.65</v>
      </c>
      <c r="R30" s="5" t="s">
        <v>60</v>
      </c>
      <c r="S30" s="5" t="s">
        <v>61</v>
      </c>
      <c r="T30" s="7">
        <v>41.26</v>
      </c>
    </row>
    <row r="31" spans="1:51" s="5" customFormat="1" x14ac:dyDescent="0.25">
      <c r="A31" s="5">
        <v>2031523388</v>
      </c>
      <c r="B31" s="5" t="s">
        <v>73</v>
      </c>
      <c r="C31" s="5" t="s">
        <v>74</v>
      </c>
      <c r="D31" s="5" t="str">
        <f>CONCATENATE(C31, " ",B31)</f>
        <v>ERIC GERMAIN</v>
      </c>
      <c r="E31" s="5" t="s">
        <v>69</v>
      </c>
      <c r="F31" s="5" t="s">
        <v>114</v>
      </c>
      <c r="G31" s="5" t="s">
        <v>115</v>
      </c>
      <c r="I31" s="5" t="s">
        <v>71</v>
      </c>
      <c r="J31" s="5" t="s">
        <v>72</v>
      </c>
      <c r="K31" s="5" t="str">
        <f>CONCATENATE(J31, " ",I31)</f>
        <v>Heather Geske</v>
      </c>
      <c r="L31" s="6">
        <v>45939</v>
      </c>
      <c r="M31" s="6">
        <v>45970</v>
      </c>
      <c r="N31" s="7">
        <v>432.86</v>
      </c>
      <c r="O31" s="5">
        <v>1</v>
      </c>
      <c r="P31" s="5" t="s">
        <v>58</v>
      </c>
      <c r="Q31" s="8">
        <v>0.38</v>
      </c>
      <c r="R31" s="5" t="s">
        <v>60</v>
      </c>
      <c r="S31" s="5" t="s">
        <v>61</v>
      </c>
      <c r="T31" s="7">
        <v>164.49</v>
      </c>
    </row>
    <row r="32" spans="1:51" s="5" customFormat="1" x14ac:dyDescent="0.25">
      <c r="A32" s="5">
        <v>2031523389</v>
      </c>
      <c r="B32" s="5" t="s">
        <v>73</v>
      </c>
      <c r="C32" s="5" t="s">
        <v>74</v>
      </c>
      <c r="D32" s="5" t="str">
        <f>CONCATENATE(C32, " ",B32)</f>
        <v>ERIC GERMAIN</v>
      </c>
      <c r="E32" s="5" t="s">
        <v>69</v>
      </c>
      <c r="F32" s="5" t="s">
        <v>116</v>
      </c>
      <c r="G32" s="5" t="s">
        <v>125</v>
      </c>
      <c r="I32" s="5" t="s">
        <v>71</v>
      </c>
      <c r="J32" s="5" t="s">
        <v>72</v>
      </c>
      <c r="K32" s="5" t="str">
        <f>CONCATENATE(J32, " ",I32)</f>
        <v>Heather Geske</v>
      </c>
      <c r="L32" s="6">
        <v>45939</v>
      </c>
      <c r="M32" s="6">
        <v>45970</v>
      </c>
      <c r="N32" s="7">
        <v>9.1</v>
      </c>
      <c r="O32" s="5">
        <v>1</v>
      </c>
      <c r="P32" s="5" t="s">
        <v>58</v>
      </c>
      <c r="Q32" s="8">
        <v>0.7</v>
      </c>
      <c r="R32" s="5" t="s">
        <v>60</v>
      </c>
      <c r="S32" s="5" t="s">
        <v>61</v>
      </c>
      <c r="T32" s="7">
        <v>6.37</v>
      </c>
    </row>
    <row r="33" spans="1:51" s="5" customFormat="1" x14ac:dyDescent="0.25">
      <c r="A33" s="5">
        <v>2031525706</v>
      </c>
      <c r="B33" s="5" t="s">
        <v>141</v>
      </c>
      <c r="C33" s="5" t="s">
        <v>142</v>
      </c>
      <c r="D33" s="5" t="str">
        <f>CONCATENATE(C33, " ",B33)</f>
        <v>CRISTIAN MADRIGAL</v>
      </c>
      <c r="E33" s="5" t="s">
        <v>91</v>
      </c>
      <c r="F33" s="5" t="s">
        <v>116</v>
      </c>
      <c r="G33" s="5" t="s">
        <v>125</v>
      </c>
      <c r="I33" s="5" t="s">
        <v>143</v>
      </c>
      <c r="J33" s="5" t="s">
        <v>144</v>
      </c>
      <c r="K33" s="5" t="str">
        <f>CONCATENATE(J33, " ",I33)</f>
        <v>Noah Dionesotes</v>
      </c>
      <c r="L33" s="6">
        <v>45939</v>
      </c>
      <c r="M33" s="6">
        <v>45970</v>
      </c>
      <c r="N33" s="7">
        <v>99</v>
      </c>
      <c r="O33" s="5">
        <v>1</v>
      </c>
      <c r="P33" s="5" t="s">
        <v>58</v>
      </c>
      <c r="Q33" s="8">
        <v>0.7</v>
      </c>
      <c r="R33" s="5" t="s">
        <v>60</v>
      </c>
      <c r="S33" s="5" t="s">
        <v>61</v>
      </c>
      <c r="T33" s="7">
        <v>69.3</v>
      </c>
    </row>
    <row r="34" spans="1:51" s="5" customFormat="1" x14ac:dyDescent="0.25">
      <c r="A34" s="5">
        <v>2031526094</v>
      </c>
      <c r="B34" s="5" t="s">
        <v>105</v>
      </c>
      <c r="C34" s="5" t="s">
        <v>106</v>
      </c>
      <c r="D34" s="5" t="str">
        <f>CONCATENATE(C34, " ",B34)</f>
        <v>JENNIFER BRATTON</v>
      </c>
      <c r="E34" s="5" t="s">
        <v>107</v>
      </c>
      <c r="F34" s="5" t="s">
        <v>116</v>
      </c>
      <c r="G34" s="5" t="s">
        <v>125</v>
      </c>
      <c r="I34" s="5" t="s">
        <v>108</v>
      </c>
      <c r="J34" s="5" t="s">
        <v>109</v>
      </c>
      <c r="K34" s="5" t="str">
        <f>CONCATENATE(J34, " ",I34)</f>
        <v>Marsha Sanderock</v>
      </c>
      <c r="L34" s="6">
        <v>45939</v>
      </c>
      <c r="M34" s="6">
        <v>45970</v>
      </c>
      <c r="N34" s="7">
        <v>3.52</v>
      </c>
      <c r="O34" s="5">
        <v>1</v>
      </c>
      <c r="P34" s="5" t="s">
        <v>58</v>
      </c>
      <c r="Q34" s="8">
        <v>0.7</v>
      </c>
      <c r="R34" s="5" t="s">
        <v>60</v>
      </c>
      <c r="S34" s="5" t="s">
        <v>61</v>
      </c>
      <c r="T34" s="7">
        <v>2.46</v>
      </c>
    </row>
    <row r="35" spans="1:51" x14ac:dyDescent="0.25">
      <c r="A35" s="5">
        <v>2031526095</v>
      </c>
      <c r="B35" s="5" t="s">
        <v>105</v>
      </c>
      <c r="C35" s="5" t="s">
        <v>106</v>
      </c>
      <c r="D35" s="5" t="str">
        <f>CONCATENATE(C35, " ",B35)</f>
        <v>JENNIFER BRATTON</v>
      </c>
      <c r="E35" s="5" t="s">
        <v>107</v>
      </c>
      <c r="F35" s="5" t="s">
        <v>92</v>
      </c>
      <c r="G35" s="5" t="s">
        <v>93</v>
      </c>
      <c r="H35" s="5"/>
      <c r="I35" s="5" t="s">
        <v>108</v>
      </c>
      <c r="J35" s="5" t="s">
        <v>109</v>
      </c>
      <c r="K35" s="5" t="str">
        <f>CONCATENATE(J35, " ",I35)</f>
        <v>Marsha Sanderock</v>
      </c>
      <c r="L35" s="6">
        <v>45939</v>
      </c>
      <c r="M35" s="6">
        <v>45970</v>
      </c>
      <c r="N35" s="7">
        <v>48.15</v>
      </c>
      <c r="O35" s="5">
        <v>1</v>
      </c>
      <c r="P35" s="5" t="s">
        <v>58</v>
      </c>
      <c r="Q35" s="9">
        <v>0.375</v>
      </c>
      <c r="R35" s="5" t="s">
        <v>60</v>
      </c>
      <c r="S35" s="5" t="s">
        <v>61</v>
      </c>
      <c r="T35" s="7">
        <v>18.059999999999999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 x14ac:dyDescent="0.25">
      <c r="A36" s="5">
        <v>2031534330</v>
      </c>
      <c r="B36" s="5" t="s">
        <v>145</v>
      </c>
      <c r="C36" s="5" t="s">
        <v>146</v>
      </c>
      <c r="D36" s="5" t="str">
        <f>CONCATENATE(C36, " ",B36)</f>
        <v>CHRISTOPHER DOSSETT</v>
      </c>
      <c r="E36" s="5" t="s">
        <v>91</v>
      </c>
      <c r="F36" s="5" t="s">
        <v>116</v>
      </c>
      <c r="G36" s="5" t="s">
        <v>125</v>
      </c>
      <c r="H36" s="5"/>
      <c r="I36" s="5" t="s">
        <v>147</v>
      </c>
      <c r="J36" s="5" t="s">
        <v>148</v>
      </c>
      <c r="K36" s="5" t="str">
        <f>CONCATENATE(J36, " ",I36)</f>
        <v>THOMAS PARDUE</v>
      </c>
      <c r="L36" s="6">
        <v>45940</v>
      </c>
      <c r="M36" s="6">
        <v>45971</v>
      </c>
      <c r="N36" s="7">
        <v>79.03</v>
      </c>
      <c r="O36" s="5">
        <v>1</v>
      </c>
      <c r="P36" s="5" t="s">
        <v>58</v>
      </c>
      <c r="Q36" s="8">
        <v>0.7</v>
      </c>
      <c r="R36" s="5" t="s">
        <v>60</v>
      </c>
      <c r="S36" s="5" t="s">
        <v>61</v>
      </c>
      <c r="T36" s="7">
        <v>55.32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s="5" customFormat="1" x14ac:dyDescent="0.25">
      <c r="A37" s="5">
        <v>2031568599</v>
      </c>
      <c r="B37" s="5" t="s">
        <v>149</v>
      </c>
      <c r="C37" s="5" t="s">
        <v>150</v>
      </c>
      <c r="D37" s="5" t="str">
        <f>CONCATENATE(C37, " ",B37)</f>
        <v>KHATANBAATAR OTGON</v>
      </c>
      <c r="E37" s="5" t="s">
        <v>78</v>
      </c>
      <c r="F37" s="5" t="s">
        <v>116</v>
      </c>
      <c r="G37" s="5" t="s">
        <v>125</v>
      </c>
      <c r="I37" s="5" t="s">
        <v>151</v>
      </c>
      <c r="J37" s="5" t="s">
        <v>152</v>
      </c>
      <c r="K37" s="5" t="str">
        <f>CONCATENATE(J37, " ",I37)</f>
        <v>NASANDELGER ZANA</v>
      </c>
      <c r="L37" s="6">
        <v>45941</v>
      </c>
      <c r="M37" s="6">
        <v>45972</v>
      </c>
      <c r="N37" s="7">
        <v>95.92</v>
      </c>
      <c r="O37" s="5">
        <v>1</v>
      </c>
      <c r="P37" s="5" t="s">
        <v>58</v>
      </c>
      <c r="Q37" s="8">
        <v>0.7</v>
      </c>
      <c r="R37" s="5" t="s">
        <v>60</v>
      </c>
      <c r="S37" s="5" t="s">
        <v>61</v>
      </c>
      <c r="T37" s="7">
        <v>67.14</v>
      </c>
    </row>
    <row r="38" spans="1:51" s="5" customFormat="1" x14ac:dyDescent="0.25">
      <c r="A38" s="5">
        <v>2031569265</v>
      </c>
      <c r="B38" s="5" t="s">
        <v>153</v>
      </c>
      <c r="C38" s="5" t="s">
        <v>154</v>
      </c>
      <c r="D38" s="5" t="str">
        <f>CONCATENATE(C38, " ",B38)</f>
        <v>ETHAN LOIGEROT</v>
      </c>
      <c r="E38" s="5" t="s">
        <v>155</v>
      </c>
      <c r="F38" s="5" t="s">
        <v>116</v>
      </c>
      <c r="G38" s="5" t="s">
        <v>125</v>
      </c>
      <c r="I38" s="5" t="s">
        <v>156</v>
      </c>
      <c r="J38" s="5" t="s">
        <v>157</v>
      </c>
      <c r="K38" s="5" t="str">
        <f>CONCATENATE(J38, " ",I38)</f>
        <v>Jake Shulman</v>
      </c>
      <c r="L38" s="6">
        <v>45941</v>
      </c>
      <c r="M38" s="6">
        <v>45972</v>
      </c>
      <c r="N38" s="7">
        <v>56.5</v>
      </c>
      <c r="O38" s="5">
        <v>1</v>
      </c>
      <c r="P38" s="5" t="s">
        <v>58</v>
      </c>
      <c r="Q38" s="8">
        <v>0.7</v>
      </c>
      <c r="R38" s="5" t="s">
        <v>60</v>
      </c>
      <c r="S38" s="5" t="s">
        <v>61</v>
      </c>
      <c r="T38" s="7">
        <v>39.549999999999997</v>
      </c>
    </row>
    <row r="39" spans="1:51" x14ac:dyDescent="0.25">
      <c r="A39" s="5">
        <v>2031574197</v>
      </c>
      <c r="B39" s="5" t="s">
        <v>162</v>
      </c>
      <c r="C39" s="5" t="s">
        <v>163</v>
      </c>
      <c r="D39" s="5" t="str">
        <f>CONCATENATE(C39, " ",B39)</f>
        <v>NARMANDAKH BATTULGA</v>
      </c>
      <c r="E39" s="5" t="s">
        <v>78</v>
      </c>
      <c r="F39" s="5" t="s">
        <v>116</v>
      </c>
      <c r="G39" s="5" t="s">
        <v>125</v>
      </c>
      <c r="H39" s="5"/>
      <c r="I39" s="5" t="s">
        <v>151</v>
      </c>
      <c r="J39" s="5" t="s">
        <v>152</v>
      </c>
      <c r="K39" s="5" t="str">
        <f>CONCATENATE(J39, " ",I39)</f>
        <v>NASANDELGER ZANA</v>
      </c>
      <c r="L39" s="6">
        <v>45941</v>
      </c>
      <c r="M39" s="6">
        <v>45972</v>
      </c>
      <c r="N39" s="7">
        <v>42.36</v>
      </c>
      <c r="O39" s="5">
        <v>1</v>
      </c>
      <c r="P39" s="5" t="s">
        <v>58</v>
      </c>
      <c r="Q39" s="8">
        <v>0.7</v>
      </c>
      <c r="R39" s="5" t="s">
        <v>60</v>
      </c>
      <c r="S39" s="5" t="s">
        <v>61</v>
      </c>
      <c r="T39" s="7">
        <v>29.65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</sheetData>
  <sortState xmlns:xlrd2="http://schemas.microsoft.com/office/spreadsheetml/2017/richdata2" ref="A2:AY16">
    <sortCondition ref="G2:G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546E-B8CB-449C-A7EA-DA04B5519F30}">
  <dimension ref="A1:BB450"/>
  <sheetViews>
    <sheetView workbookViewId="0">
      <selection activeCell="L59" sqref="L59"/>
    </sheetView>
  </sheetViews>
  <sheetFormatPr defaultRowHeight="15" x14ac:dyDescent="0.25"/>
  <cols>
    <col min="1" max="1" width="11" bestFit="1" customWidth="1"/>
    <col min="4" max="4" width="27.5703125" bestFit="1" customWidth="1"/>
    <col min="5" max="5" width="6.85546875" customWidth="1"/>
    <col min="6" max="6" width="7.140625" customWidth="1"/>
    <col min="7" max="7" width="41" customWidth="1"/>
    <col min="8" max="8" width="16.85546875" customWidth="1"/>
    <col min="11" max="11" width="12.42578125" bestFit="1" customWidth="1"/>
    <col min="12" max="12" width="13.5703125" bestFit="1" customWidth="1"/>
    <col min="13" max="13" width="12" bestFit="1" customWidth="1"/>
    <col min="15" max="15" width="6.5703125" customWidth="1"/>
    <col min="16" max="16" width="7.5703125" customWidth="1"/>
    <col min="17" max="17" width="5.7109375" customWidth="1"/>
    <col min="18" max="18" width="8.140625" customWidth="1"/>
    <col min="19" max="19" width="7.42578125" customWidth="1"/>
    <col min="20" max="20" width="6.140625" customWidth="1"/>
  </cols>
  <sheetData>
    <row r="1" spans="1:54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14</v>
      </c>
      <c r="M1" t="s">
        <v>16</v>
      </c>
      <c r="N1" t="s">
        <v>17</v>
      </c>
      <c r="O1" t="s">
        <v>18</v>
      </c>
      <c r="R1" t="s">
        <v>21</v>
      </c>
      <c r="S1" t="s">
        <v>24</v>
      </c>
      <c r="T1" t="s">
        <v>25</v>
      </c>
      <c r="U1" t="s">
        <v>38</v>
      </c>
    </row>
    <row r="2" spans="1:54" x14ac:dyDescent="0.25">
      <c r="A2" s="5">
        <v>2028679376</v>
      </c>
      <c r="B2" s="5" t="s">
        <v>586</v>
      </c>
      <c r="C2" s="5" t="s">
        <v>403</v>
      </c>
      <c r="D2" s="5" t="str">
        <f t="shared" ref="D2" si="0">CONCATENATE(C2, " ",B2)</f>
        <v>SCOTT HALL</v>
      </c>
      <c r="E2" s="5" t="s">
        <v>78</v>
      </c>
      <c r="F2" s="5" t="s">
        <v>587</v>
      </c>
      <c r="G2" s="5" t="s">
        <v>588</v>
      </c>
      <c r="H2" s="5">
        <v>19681796</v>
      </c>
      <c r="I2" s="5" t="s">
        <v>566</v>
      </c>
      <c r="J2" s="5" t="s">
        <v>567</v>
      </c>
      <c r="K2" s="5" t="str">
        <f t="shared" ref="K2" si="1">CONCATENATE(J2, " ",I2)</f>
        <v>CHRISTIAN TAUGNER</v>
      </c>
      <c r="L2" s="6">
        <v>45778</v>
      </c>
      <c r="M2" s="6">
        <v>45809</v>
      </c>
      <c r="N2" s="7">
        <v>-129.44</v>
      </c>
      <c r="O2" s="5">
        <f t="shared" ref="O2" si="2">DATEDIF(L2,M2,"M")</f>
        <v>1</v>
      </c>
      <c r="P2" s="5" t="s">
        <v>181</v>
      </c>
      <c r="Q2" s="5" t="s">
        <v>754</v>
      </c>
      <c r="R2" s="8">
        <v>0.26</v>
      </c>
      <c r="S2" s="5" t="s">
        <v>60</v>
      </c>
      <c r="T2" s="5" t="s">
        <v>182</v>
      </c>
      <c r="U2" s="7">
        <v>-33.65</v>
      </c>
      <c r="V2" s="5" t="s">
        <v>759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</row>
    <row r="3" spans="1:54" x14ac:dyDescent="0.25">
      <c r="A3" s="5">
        <v>2030675167</v>
      </c>
      <c r="B3" s="5" t="s">
        <v>333</v>
      </c>
      <c r="C3" s="5" t="s">
        <v>334</v>
      </c>
      <c r="D3" s="5" t="str">
        <f t="shared" ref="D3:D66" si="3">CONCATENATE(C3, " ",B3)</f>
        <v>KRAUTER MELANIE</v>
      </c>
      <c r="E3" s="5" t="s">
        <v>175</v>
      </c>
      <c r="F3" s="5" t="s">
        <v>53</v>
      </c>
      <c r="G3" s="5" t="s">
        <v>335</v>
      </c>
      <c r="H3" s="5">
        <v>16633294</v>
      </c>
      <c r="I3" s="5" t="s">
        <v>65</v>
      </c>
      <c r="J3" s="5" t="s">
        <v>66</v>
      </c>
      <c r="K3" s="5" t="str">
        <f t="shared" ref="K3:K66" si="4">CONCATENATE(J3, " ",I3)</f>
        <v>Richard Yale</v>
      </c>
      <c r="L3" s="6">
        <v>45901</v>
      </c>
      <c r="M3" s="6">
        <v>45962</v>
      </c>
      <c r="N3" s="7">
        <v>25.65</v>
      </c>
      <c r="O3" s="5">
        <f t="shared" ref="O3:O66" si="5">DATEDIF(L3,M3,"M")</f>
        <v>2</v>
      </c>
      <c r="P3" s="5" t="s">
        <v>181</v>
      </c>
      <c r="Q3" s="5" t="s">
        <v>754</v>
      </c>
      <c r="R3" s="8">
        <v>0.75</v>
      </c>
      <c r="S3" s="5" t="s">
        <v>60</v>
      </c>
      <c r="T3" s="5" t="s">
        <v>182</v>
      </c>
      <c r="U3" s="7">
        <v>19.239999999999998</v>
      </c>
      <c r="V3" s="5" t="s">
        <v>751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</row>
    <row r="4" spans="1:54" x14ac:dyDescent="0.25">
      <c r="A4" s="5">
        <v>2030982989</v>
      </c>
      <c r="B4" s="5" t="s">
        <v>344</v>
      </c>
      <c r="C4" s="5" t="s">
        <v>345</v>
      </c>
      <c r="D4" s="5" t="str">
        <f t="shared" si="3"/>
        <v>STUART ELMAN</v>
      </c>
      <c r="E4" s="5" t="s">
        <v>225</v>
      </c>
      <c r="F4" s="5" t="s">
        <v>53</v>
      </c>
      <c r="G4" s="5" t="s">
        <v>54</v>
      </c>
      <c r="H4" s="5">
        <v>16633294</v>
      </c>
      <c r="I4" s="5" t="s">
        <v>65</v>
      </c>
      <c r="J4" s="5" t="s">
        <v>66</v>
      </c>
      <c r="K4" s="5" t="str">
        <f t="shared" si="4"/>
        <v>Richard Yale</v>
      </c>
      <c r="L4" s="6">
        <v>45915</v>
      </c>
      <c r="M4" s="6">
        <v>45976</v>
      </c>
      <c r="N4" s="7">
        <v>62.71</v>
      </c>
      <c r="O4" s="5">
        <f t="shared" si="5"/>
        <v>2</v>
      </c>
      <c r="P4" s="5" t="s">
        <v>181</v>
      </c>
      <c r="Q4" s="5" t="s">
        <v>754</v>
      </c>
      <c r="R4" s="8">
        <v>0.75</v>
      </c>
      <c r="S4" s="5" t="s">
        <v>60</v>
      </c>
      <c r="T4" s="5" t="s">
        <v>182</v>
      </c>
      <c r="U4" s="7">
        <v>47.03</v>
      </c>
      <c r="V4" s="5" t="s">
        <v>751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</row>
    <row r="5" spans="1:54" x14ac:dyDescent="0.25">
      <c r="A5" s="5">
        <v>2031017069</v>
      </c>
      <c r="B5" s="5" t="s">
        <v>346</v>
      </c>
      <c r="C5" s="5" t="s">
        <v>159</v>
      </c>
      <c r="D5" s="5" t="str">
        <f t="shared" si="3"/>
        <v>MICHAEL DECKARD</v>
      </c>
      <c r="E5" s="5" t="s">
        <v>107</v>
      </c>
      <c r="F5" s="5" t="s">
        <v>53</v>
      </c>
      <c r="G5" s="5" t="s">
        <v>70</v>
      </c>
      <c r="H5" s="5">
        <v>20724564</v>
      </c>
      <c r="I5" s="5" t="s">
        <v>108</v>
      </c>
      <c r="J5" s="5" t="s">
        <v>109</v>
      </c>
      <c r="K5" s="5" t="str">
        <f t="shared" si="4"/>
        <v>Marsha Sanderock</v>
      </c>
      <c r="L5" s="6">
        <v>45913</v>
      </c>
      <c r="M5" s="6">
        <v>45974</v>
      </c>
      <c r="N5" s="7">
        <v>55</v>
      </c>
      <c r="O5" s="5">
        <f t="shared" si="5"/>
        <v>2</v>
      </c>
      <c r="P5" s="5" t="s">
        <v>181</v>
      </c>
      <c r="Q5" s="5" t="s">
        <v>754</v>
      </c>
      <c r="R5" s="8">
        <v>0.9</v>
      </c>
      <c r="S5" s="5" t="s">
        <v>60</v>
      </c>
      <c r="T5" s="5" t="s">
        <v>182</v>
      </c>
      <c r="U5" s="7">
        <v>49.5</v>
      </c>
      <c r="V5" s="5" t="s">
        <v>752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</row>
    <row r="6" spans="1:54" x14ac:dyDescent="0.25">
      <c r="A6" s="5">
        <v>2030962019</v>
      </c>
      <c r="B6" s="5" t="s">
        <v>427</v>
      </c>
      <c r="C6" s="5" t="s">
        <v>428</v>
      </c>
      <c r="D6" s="5" t="str">
        <f t="shared" si="3"/>
        <v>ELIZABETH LIGHT</v>
      </c>
      <c r="E6" s="5" t="s">
        <v>107</v>
      </c>
      <c r="F6" s="5" t="s">
        <v>116</v>
      </c>
      <c r="G6" s="5" t="s">
        <v>429</v>
      </c>
      <c r="H6" s="5">
        <v>20724564</v>
      </c>
      <c r="I6" s="5" t="s">
        <v>108</v>
      </c>
      <c r="J6" s="5" t="s">
        <v>109</v>
      </c>
      <c r="K6" s="5" t="str">
        <f t="shared" si="4"/>
        <v>Marsha Sanderock</v>
      </c>
      <c r="L6" s="6">
        <v>45911</v>
      </c>
      <c r="M6" s="6">
        <v>45972</v>
      </c>
      <c r="N6" s="7">
        <v>62.3</v>
      </c>
      <c r="O6" s="5">
        <f t="shared" si="5"/>
        <v>2</v>
      </c>
      <c r="P6" s="5" t="s">
        <v>181</v>
      </c>
      <c r="Q6" s="5" t="s">
        <v>754</v>
      </c>
      <c r="R6" s="8">
        <v>0.42</v>
      </c>
      <c r="S6" s="5" t="s">
        <v>60</v>
      </c>
      <c r="T6" s="5" t="s">
        <v>182</v>
      </c>
      <c r="U6" s="7">
        <v>26.17</v>
      </c>
      <c r="V6" s="5" t="s">
        <v>429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x14ac:dyDescent="0.25">
      <c r="A7" s="5">
        <v>2031017071</v>
      </c>
      <c r="B7" s="5" t="s">
        <v>346</v>
      </c>
      <c r="C7" s="5" t="s">
        <v>159</v>
      </c>
      <c r="D7" s="5" t="str">
        <f t="shared" si="3"/>
        <v>MICHAEL DECKARD</v>
      </c>
      <c r="E7" s="5" t="s">
        <v>107</v>
      </c>
      <c r="F7" s="5" t="s">
        <v>79</v>
      </c>
      <c r="G7" s="5" t="s">
        <v>386</v>
      </c>
      <c r="H7" s="5">
        <v>20724564</v>
      </c>
      <c r="I7" s="5" t="s">
        <v>108</v>
      </c>
      <c r="J7" s="5" t="s">
        <v>109</v>
      </c>
      <c r="K7" s="5" t="str">
        <f t="shared" si="4"/>
        <v>Marsha Sanderock</v>
      </c>
      <c r="L7" s="6">
        <v>45913</v>
      </c>
      <c r="M7" s="6">
        <v>45974</v>
      </c>
      <c r="N7" s="7">
        <v>15</v>
      </c>
      <c r="O7" s="5">
        <f t="shared" si="5"/>
        <v>2</v>
      </c>
      <c r="P7" s="5" t="s">
        <v>181</v>
      </c>
      <c r="Q7" s="5" t="s">
        <v>754</v>
      </c>
      <c r="R7" s="8">
        <v>0.19</v>
      </c>
      <c r="S7" s="5" t="s">
        <v>60</v>
      </c>
      <c r="T7" s="5" t="s">
        <v>182</v>
      </c>
      <c r="U7" s="7">
        <v>2.85</v>
      </c>
      <c r="V7" s="5" t="s">
        <v>386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</row>
    <row r="8" spans="1:54" s="15" customFormat="1" x14ac:dyDescent="0.25">
      <c r="A8" s="15">
        <v>2028679376</v>
      </c>
      <c r="B8" s="15" t="s">
        <v>586</v>
      </c>
      <c r="C8" s="15" t="s">
        <v>403</v>
      </c>
      <c r="D8" s="15" t="str">
        <f t="shared" si="3"/>
        <v>SCOTT HALL</v>
      </c>
      <c r="E8" s="15" t="s">
        <v>78</v>
      </c>
      <c r="F8" s="15" t="s">
        <v>587</v>
      </c>
      <c r="G8" s="15" t="s">
        <v>588</v>
      </c>
      <c r="H8" s="15">
        <v>19681796</v>
      </c>
      <c r="I8" s="15" t="s">
        <v>566</v>
      </c>
      <c r="J8" s="15" t="s">
        <v>567</v>
      </c>
      <c r="K8" s="15" t="str">
        <f t="shared" si="4"/>
        <v>CHRISTIAN TAUGNER</v>
      </c>
      <c r="L8" s="16">
        <v>45778</v>
      </c>
      <c r="M8" s="16">
        <v>45839</v>
      </c>
      <c r="N8" s="17">
        <v>-129.44</v>
      </c>
      <c r="O8" s="15">
        <f t="shared" si="5"/>
        <v>2</v>
      </c>
      <c r="P8" s="15" t="s">
        <v>181</v>
      </c>
      <c r="Q8" s="15" t="s">
        <v>754</v>
      </c>
      <c r="R8" s="18">
        <v>0.26</v>
      </c>
      <c r="S8" s="15" t="s">
        <v>60</v>
      </c>
      <c r="T8" s="15" t="s">
        <v>182</v>
      </c>
      <c r="U8" s="17">
        <v>-33.65</v>
      </c>
      <c r="V8" s="15" t="s">
        <v>759</v>
      </c>
    </row>
    <row r="9" spans="1:54" s="5" customFormat="1" x14ac:dyDescent="0.25">
      <c r="A9" s="5">
        <v>2031017070</v>
      </c>
      <c r="B9" s="5" t="s">
        <v>346</v>
      </c>
      <c r="C9" s="5" t="s">
        <v>159</v>
      </c>
      <c r="D9" s="5" t="str">
        <f t="shared" si="3"/>
        <v>MICHAEL DECKARD</v>
      </c>
      <c r="E9" s="5" t="s">
        <v>107</v>
      </c>
      <c r="F9" s="5" t="s">
        <v>166</v>
      </c>
      <c r="G9" s="5" t="s">
        <v>439</v>
      </c>
      <c r="H9" s="5">
        <v>20724564</v>
      </c>
      <c r="I9" s="5" t="s">
        <v>108</v>
      </c>
      <c r="J9" s="5" t="s">
        <v>109</v>
      </c>
      <c r="K9" s="5" t="str">
        <f t="shared" si="4"/>
        <v>Marsha Sanderock</v>
      </c>
      <c r="L9" s="6">
        <v>45913</v>
      </c>
      <c r="M9" s="6">
        <v>45974</v>
      </c>
      <c r="N9" s="7">
        <v>262.94</v>
      </c>
      <c r="O9" s="5">
        <f t="shared" si="5"/>
        <v>2</v>
      </c>
      <c r="P9" s="5" t="s">
        <v>181</v>
      </c>
      <c r="Q9" s="5" t="s">
        <v>754</v>
      </c>
      <c r="R9" s="8">
        <v>0.19</v>
      </c>
      <c r="S9" s="5" t="s">
        <v>60</v>
      </c>
      <c r="T9" s="5" t="s">
        <v>182</v>
      </c>
      <c r="U9" s="7">
        <v>49.96</v>
      </c>
      <c r="V9" s="5" t="s">
        <v>438</v>
      </c>
      <c r="BB9"/>
    </row>
    <row r="10" spans="1:54" s="5" customFormat="1" x14ac:dyDescent="0.25">
      <c r="A10" s="5">
        <v>2031017068</v>
      </c>
      <c r="B10" s="5" t="s">
        <v>346</v>
      </c>
      <c r="C10" s="5" t="s">
        <v>159</v>
      </c>
      <c r="D10" s="5" t="str">
        <f t="shared" si="3"/>
        <v>MICHAEL DECKARD</v>
      </c>
      <c r="E10" s="5" t="s">
        <v>107</v>
      </c>
      <c r="F10" s="5" t="s">
        <v>116</v>
      </c>
      <c r="G10" s="5" t="s">
        <v>125</v>
      </c>
      <c r="H10" s="5">
        <v>20724564</v>
      </c>
      <c r="I10" s="5" t="s">
        <v>108</v>
      </c>
      <c r="J10" s="5" t="s">
        <v>109</v>
      </c>
      <c r="K10" s="5" t="str">
        <f t="shared" si="4"/>
        <v>Marsha Sanderock</v>
      </c>
      <c r="L10" s="6">
        <v>45913</v>
      </c>
      <c r="M10" s="6">
        <v>45974</v>
      </c>
      <c r="N10" s="7">
        <v>14.92</v>
      </c>
      <c r="O10" s="5">
        <f t="shared" si="5"/>
        <v>2</v>
      </c>
      <c r="P10" s="5" t="s">
        <v>181</v>
      </c>
      <c r="Q10" s="5" t="s">
        <v>754</v>
      </c>
      <c r="R10" s="8">
        <v>0.7</v>
      </c>
      <c r="S10" s="5" t="s">
        <v>60</v>
      </c>
      <c r="T10" s="5" t="s">
        <v>182</v>
      </c>
      <c r="U10" s="7">
        <v>10.44</v>
      </c>
      <c r="V10" s="5" t="s">
        <v>125</v>
      </c>
    </row>
    <row r="11" spans="1:54" s="5" customFormat="1" x14ac:dyDescent="0.25">
      <c r="A11" s="5">
        <v>2030675165</v>
      </c>
      <c r="B11" s="5" t="s">
        <v>333</v>
      </c>
      <c r="C11" s="5" t="s">
        <v>334</v>
      </c>
      <c r="D11" s="5" t="str">
        <f t="shared" si="3"/>
        <v>KRAUTER MELANIE</v>
      </c>
      <c r="E11" s="5" t="s">
        <v>175</v>
      </c>
      <c r="F11" s="5" t="s">
        <v>116</v>
      </c>
      <c r="G11" s="5" t="s">
        <v>125</v>
      </c>
      <c r="H11" s="5">
        <v>16633294</v>
      </c>
      <c r="I11" s="5" t="s">
        <v>65</v>
      </c>
      <c r="J11" s="5" t="s">
        <v>66</v>
      </c>
      <c r="K11" s="5" t="str">
        <f t="shared" si="4"/>
        <v>Richard Yale</v>
      </c>
      <c r="L11" s="6">
        <v>45901</v>
      </c>
      <c r="M11" s="6">
        <v>45962</v>
      </c>
      <c r="N11" s="7">
        <v>24.15</v>
      </c>
      <c r="O11" s="5">
        <f t="shared" si="5"/>
        <v>2</v>
      </c>
      <c r="P11" s="5" t="s">
        <v>181</v>
      </c>
      <c r="Q11" s="5" t="s">
        <v>754</v>
      </c>
      <c r="R11" s="8">
        <v>0.7</v>
      </c>
      <c r="S11" s="5" t="s">
        <v>60</v>
      </c>
      <c r="T11" s="5" t="s">
        <v>182</v>
      </c>
      <c r="U11" s="7">
        <v>16.899999999999999</v>
      </c>
      <c r="V11" s="5" t="s">
        <v>125</v>
      </c>
    </row>
    <row r="12" spans="1:54" s="5" customFormat="1" x14ac:dyDescent="0.25">
      <c r="A12" s="5">
        <v>2030945328</v>
      </c>
      <c r="B12" s="5" t="s">
        <v>422</v>
      </c>
      <c r="C12" s="5" t="s">
        <v>159</v>
      </c>
      <c r="D12" s="5" t="str">
        <f t="shared" si="3"/>
        <v>MICHAEL ITURBE</v>
      </c>
      <c r="E12" s="5" t="s">
        <v>78</v>
      </c>
      <c r="F12" s="5" t="s">
        <v>116</v>
      </c>
      <c r="G12" s="5" t="s">
        <v>125</v>
      </c>
      <c r="H12" s="5">
        <v>20212926</v>
      </c>
      <c r="I12" s="5" t="s">
        <v>423</v>
      </c>
      <c r="J12" s="5" t="s">
        <v>424</v>
      </c>
      <c r="K12" s="5" t="str">
        <f t="shared" si="4"/>
        <v>JOSE TORRES</v>
      </c>
      <c r="L12" s="6">
        <v>45915</v>
      </c>
      <c r="M12" s="6">
        <v>45976</v>
      </c>
      <c r="N12" s="7">
        <v>27.5</v>
      </c>
      <c r="O12" s="5">
        <f t="shared" si="5"/>
        <v>2</v>
      </c>
      <c r="P12" s="5" t="s">
        <v>181</v>
      </c>
      <c r="Q12" s="5" t="s">
        <v>754</v>
      </c>
      <c r="R12" s="8">
        <v>0.7</v>
      </c>
      <c r="S12" s="5" t="s">
        <v>60</v>
      </c>
      <c r="T12" s="5" t="s">
        <v>182</v>
      </c>
      <c r="U12" s="7">
        <v>19.25</v>
      </c>
      <c r="V12" s="5" t="s">
        <v>125</v>
      </c>
      <c r="BB12"/>
    </row>
    <row r="13" spans="1:54" s="5" customFormat="1" x14ac:dyDescent="0.25">
      <c r="A13" s="5">
        <v>2030954164</v>
      </c>
      <c r="B13" s="5" t="s">
        <v>425</v>
      </c>
      <c r="C13" s="5" t="s">
        <v>426</v>
      </c>
      <c r="D13" s="5" t="str">
        <f t="shared" si="3"/>
        <v>TERRICA HENDRIX</v>
      </c>
      <c r="E13" s="5" t="s">
        <v>91</v>
      </c>
      <c r="F13" s="5" t="s">
        <v>116</v>
      </c>
      <c r="G13" s="5" t="s">
        <v>125</v>
      </c>
      <c r="H13" s="5">
        <v>21421111</v>
      </c>
      <c r="I13" s="5" t="s">
        <v>266</v>
      </c>
      <c r="J13" s="5" t="s">
        <v>267</v>
      </c>
      <c r="K13" s="5" t="str">
        <f t="shared" si="4"/>
        <v>Kirk Tigue</v>
      </c>
      <c r="L13" s="6">
        <v>45911</v>
      </c>
      <c r="M13" s="6">
        <v>45972</v>
      </c>
      <c r="N13" s="7">
        <v>28.38</v>
      </c>
      <c r="O13" s="5">
        <f t="shared" si="5"/>
        <v>2</v>
      </c>
      <c r="P13" s="5" t="s">
        <v>181</v>
      </c>
      <c r="Q13" s="5" t="s">
        <v>754</v>
      </c>
      <c r="R13" s="8">
        <v>0.7</v>
      </c>
      <c r="S13" s="5" t="s">
        <v>60</v>
      </c>
      <c r="T13" s="5" t="s">
        <v>182</v>
      </c>
      <c r="U13" s="7">
        <v>19.87</v>
      </c>
      <c r="V13" s="5" t="s">
        <v>125</v>
      </c>
      <c r="BB13"/>
    </row>
    <row r="14" spans="1:54" s="5" customFormat="1" x14ac:dyDescent="0.25">
      <c r="A14" s="5">
        <v>2030805143</v>
      </c>
      <c r="B14" s="5" t="s">
        <v>420</v>
      </c>
      <c r="C14" s="5" t="s">
        <v>421</v>
      </c>
      <c r="D14" s="5" t="str">
        <f t="shared" si="3"/>
        <v>NATALIE BERGERON</v>
      </c>
      <c r="E14" s="5" t="s">
        <v>91</v>
      </c>
      <c r="F14" s="5" t="s">
        <v>116</v>
      </c>
      <c r="G14" s="5" t="s">
        <v>125</v>
      </c>
      <c r="H14" s="5">
        <v>21283956</v>
      </c>
      <c r="I14" s="5" t="s">
        <v>277</v>
      </c>
      <c r="J14" s="5" t="s">
        <v>279</v>
      </c>
      <c r="K14" s="5" t="str">
        <f t="shared" si="4"/>
        <v>VICTOR FUENTES</v>
      </c>
      <c r="L14" s="6">
        <v>45902</v>
      </c>
      <c r="M14" s="6">
        <v>45963</v>
      </c>
      <c r="N14" s="7">
        <v>34.950000000000003</v>
      </c>
      <c r="O14" s="5">
        <f t="shared" si="5"/>
        <v>2</v>
      </c>
      <c r="P14" s="5" t="s">
        <v>181</v>
      </c>
      <c r="Q14" s="5" t="s">
        <v>754</v>
      </c>
      <c r="R14" s="8">
        <v>0.7</v>
      </c>
      <c r="S14" s="5" t="s">
        <v>60</v>
      </c>
      <c r="T14" s="5" t="s">
        <v>182</v>
      </c>
      <c r="U14" s="7">
        <v>24.46</v>
      </c>
      <c r="V14" s="5" t="s">
        <v>125</v>
      </c>
    </row>
    <row r="15" spans="1:54" s="5" customFormat="1" x14ac:dyDescent="0.25">
      <c r="A15" s="5">
        <v>2030982991</v>
      </c>
      <c r="B15" s="5" t="s">
        <v>344</v>
      </c>
      <c r="C15" s="5" t="s">
        <v>345</v>
      </c>
      <c r="D15" s="5" t="str">
        <f t="shared" si="3"/>
        <v>STUART ELMAN</v>
      </c>
      <c r="E15" s="5" t="s">
        <v>225</v>
      </c>
      <c r="F15" s="5" t="s">
        <v>116</v>
      </c>
      <c r="G15" s="5" t="s">
        <v>125</v>
      </c>
      <c r="H15" s="5">
        <v>16633294</v>
      </c>
      <c r="I15" s="5" t="s">
        <v>65</v>
      </c>
      <c r="J15" s="5" t="s">
        <v>66</v>
      </c>
      <c r="K15" s="5" t="str">
        <f t="shared" si="4"/>
        <v>Richard Yale</v>
      </c>
      <c r="L15" s="6">
        <v>45915</v>
      </c>
      <c r="M15" s="6">
        <v>45976</v>
      </c>
      <c r="N15" s="7">
        <v>94.01</v>
      </c>
      <c r="O15" s="5">
        <f t="shared" si="5"/>
        <v>2</v>
      </c>
      <c r="P15" s="5" t="s">
        <v>181</v>
      </c>
      <c r="Q15" s="5" t="s">
        <v>754</v>
      </c>
      <c r="R15" s="8">
        <v>0.7</v>
      </c>
      <c r="S15" s="5" t="s">
        <v>60</v>
      </c>
      <c r="T15" s="5" t="s">
        <v>182</v>
      </c>
      <c r="U15" s="7">
        <v>65.81</v>
      </c>
      <c r="V15" s="5" t="s">
        <v>125</v>
      </c>
    </row>
    <row r="16" spans="1:54" s="5" customFormat="1" x14ac:dyDescent="0.25">
      <c r="A16" s="5">
        <v>2031073871</v>
      </c>
      <c r="B16" s="5" t="s">
        <v>436</v>
      </c>
      <c r="C16" s="5" t="s">
        <v>437</v>
      </c>
      <c r="D16" s="5" t="str">
        <f t="shared" si="3"/>
        <v>ENKHJARGAL NYAMJAV</v>
      </c>
      <c r="E16" s="5" t="s">
        <v>78</v>
      </c>
      <c r="F16" s="5" t="s">
        <v>116</v>
      </c>
      <c r="G16" s="5" t="s">
        <v>125</v>
      </c>
      <c r="H16" s="5">
        <v>20220688</v>
      </c>
      <c r="I16" s="5" t="s">
        <v>151</v>
      </c>
      <c r="J16" s="5" t="s">
        <v>152</v>
      </c>
      <c r="K16" s="5" t="str">
        <f t="shared" si="4"/>
        <v>NASANDELGER ZANA</v>
      </c>
      <c r="L16" s="6">
        <v>45916</v>
      </c>
      <c r="M16" s="6">
        <v>45977</v>
      </c>
      <c r="N16" s="7">
        <v>96</v>
      </c>
      <c r="O16" s="5">
        <f t="shared" si="5"/>
        <v>2</v>
      </c>
      <c r="P16" s="5" t="s">
        <v>181</v>
      </c>
      <c r="Q16" s="5" t="s">
        <v>754</v>
      </c>
      <c r="R16" s="8">
        <v>0.7</v>
      </c>
      <c r="S16" s="5" t="s">
        <v>60</v>
      </c>
      <c r="T16" s="5" t="s">
        <v>182</v>
      </c>
      <c r="U16" s="7">
        <v>67.2</v>
      </c>
      <c r="V16" s="5" t="s">
        <v>125</v>
      </c>
    </row>
    <row r="17" spans="1:54" s="5" customFormat="1" x14ac:dyDescent="0.25">
      <c r="A17" s="5">
        <v>2031048164</v>
      </c>
      <c r="B17" s="5" t="s">
        <v>434</v>
      </c>
      <c r="C17" s="5" t="s">
        <v>435</v>
      </c>
      <c r="D17" s="5" t="str">
        <f t="shared" si="3"/>
        <v>SEMBI MONGOL</v>
      </c>
      <c r="E17" s="5" t="s">
        <v>78</v>
      </c>
      <c r="F17" s="5" t="s">
        <v>116</v>
      </c>
      <c r="G17" s="5" t="s">
        <v>125</v>
      </c>
      <c r="H17" s="5">
        <v>20220688</v>
      </c>
      <c r="I17" s="5" t="s">
        <v>151</v>
      </c>
      <c r="J17" s="5" t="s">
        <v>152</v>
      </c>
      <c r="K17" s="5" t="str">
        <f t="shared" si="4"/>
        <v>NASANDELGER ZANA</v>
      </c>
      <c r="L17" s="6">
        <v>45914</v>
      </c>
      <c r="M17" s="6">
        <v>45975</v>
      </c>
      <c r="N17" s="7">
        <v>160.29</v>
      </c>
      <c r="O17" s="5">
        <f t="shared" si="5"/>
        <v>2</v>
      </c>
      <c r="P17" s="5" t="s">
        <v>181</v>
      </c>
      <c r="Q17" s="5" t="s">
        <v>754</v>
      </c>
      <c r="R17" s="8">
        <v>0.7</v>
      </c>
      <c r="S17" s="5" t="s">
        <v>60</v>
      </c>
      <c r="T17" s="5" t="s">
        <v>182</v>
      </c>
      <c r="U17" s="7">
        <v>112.2</v>
      </c>
      <c r="V17" s="5" t="s">
        <v>125</v>
      </c>
    </row>
    <row r="18" spans="1:54" s="5" customFormat="1" x14ac:dyDescent="0.25">
      <c r="A18" s="5">
        <v>2031017067</v>
      </c>
      <c r="B18" s="5" t="s">
        <v>346</v>
      </c>
      <c r="C18" s="5" t="s">
        <v>159</v>
      </c>
      <c r="D18" s="5" t="str">
        <f t="shared" si="3"/>
        <v>MICHAEL DECKARD</v>
      </c>
      <c r="E18" s="5" t="s">
        <v>107</v>
      </c>
      <c r="F18" s="5" t="s">
        <v>92</v>
      </c>
      <c r="G18" s="5" t="s">
        <v>93</v>
      </c>
      <c r="H18" s="5">
        <v>20724564</v>
      </c>
      <c r="I18" s="5" t="s">
        <v>108</v>
      </c>
      <c r="J18" s="5" t="s">
        <v>109</v>
      </c>
      <c r="K18" s="5" t="str">
        <f t="shared" si="4"/>
        <v>Marsha Sanderock</v>
      </c>
      <c r="L18" s="6">
        <v>45913</v>
      </c>
      <c r="M18" s="6">
        <v>45974</v>
      </c>
      <c r="N18" s="7">
        <v>58.15</v>
      </c>
      <c r="O18" s="5">
        <f t="shared" si="5"/>
        <v>2</v>
      </c>
      <c r="P18" s="5" t="s">
        <v>181</v>
      </c>
      <c r="Q18" s="5" t="s">
        <v>754</v>
      </c>
      <c r="R18" s="9">
        <v>0.375</v>
      </c>
      <c r="S18" s="5" t="s">
        <v>60</v>
      </c>
      <c r="T18" s="5" t="s">
        <v>182</v>
      </c>
      <c r="U18" s="7">
        <v>21.81</v>
      </c>
      <c r="V18" s="5" t="s">
        <v>93</v>
      </c>
    </row>
    <row r="19" spans="1:54" s="5" customFormat="1" x14ac:dyDescent="0.25">
      <c r="A19" s="5">
        <v>2030805144</v>
      </c>
      <c r="B19" s="5" t="s">
        <v>420</v>
      </c>
      <c r="C19" s="5" t="s">
        <v>421</v>
      </c>
      <c r="D19" s="5" t="str">
        <f t="shared" si="3"/>
        <v>NATALIE BERGERON</v>
      </c>
      <c r="E19" s="5" t="s">
        <v>91</v>
      </c>
      <c r="F19" s="5" t="s">
        <v>92</v>
      </c>
      <c r="G19" s="5" t="s">
        <v>93</v>
      </c>
      <c r="H19" s="5">
        <v>21283956</v>
      </c>
      <c r="I19" s="5" t="s">
        <v>277</v>
      </c>
      <c r="J19" s="5" t="s">
        <v>279</v>
      </c>
      <c r="K19" s="5" t="str">
        <f t="shared" si="4"/>
        <v>VICTOR FUENTES</v>
      </c>
      <c r="L19" s="6">
        <v>45902</v>
      </c>
      <c r="M19" s="6">
        <v>45963</v>
      </c>
      <c r="N19" s="7">
        <v>60.3</v>
      </c>
      <c r="O19" s="5">
        <f t="shared" si="5"/>
        <v>2</v>
      </c>
      <c r="P19" s="5" t="s">
        <v>181</v>
      </c>
      <c r="Q19" s="5" t="s">
        <v>754</v>
      </c>
      <c r="R19" s="9">
        <v>0.375</v>
      </c>
      <c r="S19" s="5" t="s">
        <v>60</v>
      </c>
      <c r="T19" s="5" t="s">
        <v>182</v>
      </c>
      <c r="U19" s="7">
        <v>22.61</v>
      </c>
      <c r="V19" s="5" t="s">
        <v>93</v>
      </c>
    </row>
    <row r="20" spans="1:54" s="5" customFormat="1" x14ac:dyDescent="0.25">
      <c r="A20" s="5">
        <v>2030675166</v>
      </c>
      <c r="B20" s="5" t="s">
        <v>333</v>
      </c>
      <c r="C20" s="5" t="s">
        <v>334</v>
      </c>
      <c r="D20" s="5" t="str">
        <f t="shared" si="3"/>
        <v>KRAUTER MELANIE</v>
      </c>
      <c r="E20" s="5" t="s">
        <v>175</v>
      </c>
      <c r="F20" s="5" t="s">
        <v>92</v>
      </c>
      <c r="G20" s="5" t="s">
        <v>93</v>
      </c>
      <c r="H20" s="5">
        <v>16633294</v>
      </c>
      <c r="I20" s="5" t="s">
        <v>65</v>
      </c>
      <c r="J20" s="5" t="s">
        <v>66</v>
      </c>
      <c r="K20" s="5" t="str">
        <f t="shared" si="4"/>
        <v>Richard Yale</v>
      </c>
      <c r="L20" s="6">
        <v>45901</v>
      </c>
      <c r="M20" s="6">
        <v>45962</v>
      </c>
      <c r="N20" s="7">
        <v>64.16</v>
      </c>
      <c r="O20" s="5">
        <f t="shared" si="5"/>
        <v>2</v>
      </c>
      <c r="P20" s="5" t="s">
        <v>181</v>
      </c>
      <c r="Q20" s="5" t="s">
        <v>754</v>
      </c>
      <c r="R20" s="9">
        <v>0.375</v>
      </c>
      <c r="S20" s="5" t="s">
        <v>60</v>
      </c>
      <c r="T20" s="5" t="s">
        <v>182</v>
      </c>
      <c r="U20" s="7">
        <v>24.06</v>
      </c>
      <c r="V20" s="5" t="s">
        <v>93</v>
      </c>
    </row>
    <row r="21" spans="1:54" s="5" customFormat="1" x14ac:dyDescent="0.25">
      <c r="A21" s="5">
        <v>2030982990</v>
      </c>
      <c r="B21" s="5" t="s">
        <v>344</v>
      </c>
      <c r="C21" s="5" t="s">
        <v>345</v>
      </c>
      <c r="D21" s="5" t="str">
        <f t="shared" si="3"/>
        <v>STUART ELMAN</v>
      </c>
      <c r="E21" s="5" t="s">
        <v>225</v>
      </c>
      <c r="F21" s="5" t="s">
        <v>92</v>
      </c>
      <c r="G21" s="5" t="s">
        <v>93</v>
      </c>
      <c r="H21" s="5">
        <v>16633294</v>
      </c>
      <c r="I21" s="5" t="s">
        <v>65</v>
      </c>
      <c r="J21" s="5" t="s">
        <v>66</v>
      </c>
      <c r="K21" s="5" t="str">
        <f t="shared" si="4"/>
        <v>Richard Yale</v>
      </c>
      <c r="L21" s="6">
        <v>45915</v>
      </c>
      <c r="M21" s="6">
        <v>45976</v>
      </c>
      <c r="N21" s="7">
        <v>243.49</v>
      </c>
      <c r="O21" s="5">
        <f t="shared" si="5"/>
        <v>2</v>
      </c>
      <c r="P21" s="5" t="s">
        <v>181</v>
      </c>
      <c r="Q21" s="5" t="s">
        <v>754</v>
      </c>
      <c r="R21" s="9">
        <v>0.375</v>
      </c>
      <c r="S21" s="5" t="s">
        <v>60</v>
      </c>
      <c r="T21" s="5" t="s">
        <v>182</v>
      </c>
      <c r="U21" s="7">
        <v>91.31</v>
      </c>
      <c r="V21" s="5" t="s">
        <v>93</v>
      </c>
    </row>
    <row r="22" spans="1:54" s="5" customFormat="1" x14ac:dyDescent="0.25">
      <c r="A22" s="5">
        <v>2030805142</v>
      </c>
      <c r="B22" s="5" t="s">
        <v>420</v>
      </c>
      <c r="C22" s="5" t="s">
        <v>421</v>
      </c>
      <c r="D22" s="5" t="str">
        <f t="shared" si="3"/>
        <v>NATALIE BERGERON</v>
      </c>
      <c r="E22" s="5" t="s">
        <v>91</v>
      </c>
      <c r="F22" s="5" t="s">
        <v>116</v>
      </c>
      <c r="G22" s="5" t="s">
        <v>120</v>
      </c>
      <c r="H22" s="5">
        <v>21283956</v>
      </c>
      <c r="I22" s="5" t="s">
        <v>277</v>
      </c>
      <c r="J22" s="5" t="s">
        <v>279</v>
      </c>
      <c r="K22" s="5" t="str">
        <f t="shared" si="4"/>
        <v>VICTOR FUENTES</v>
      </c>
      <c r="L22" s="6">
        <v>45902</v>
      </c>
      <c r="M22" s="6">
        <v>45963</v>
      </c>
      <c r="N22" s="7">
        <v>9.25</v>
      </c>
      <c r="O22" s="5">
        <f t="shared" si="5"/>
        <v>2</v>
      </c>
      <c r="P22" s="5" t="s">
        <v>181</v>
      </c>
      <c r="Q22" s="5" t="s">
        <v>754</v>
      </c>
      <c r="R22" s="8">
        <v>0.9</v>
      </c>
      <c r="S22" s="5" t="s">
        <v>60</v>
      </c>
      <c r="T22" s="5" t="s">
        <v>182</v>
      </c>
      <c r="U22" s="7">
        <v>8.32</v>
      </c>
      <c r="V22" s="5" t="s">
        <v>120</v>
      </c>
    </row>
    <row r="23" spans="1:54" s="5" customFormat="1" x14ac:dyDescent="0.25">
      <c r="A23" s="5">
        <v>2030431358</v>
      </c>
      <c r="B23" s="5" t="s">
        <v>323</v>
      </c>
      <c r="C23" s="5" t="s">
        <v>324</v>
      </c>
      <c r="D23" s="5" t="str">
        <f t="shared" si="3"/>
        <v>HEINTZ BRETT</v>
      </c>
      <c r="E23" s="5" t="s">
        <v>69</v>
      </c>
      <c r="F23" s="5" t="s">
        <v>53</v>
      </c>
      <c r="G23" s="5" t="s">
        <v>54</v>
      </c>
      <c r="H23" s="5">
        <v>6634327</v>
      </c>
      <c r="I23" s="5" t="s">
        <v>303</v>
      </c>
      <c r="J23" s="5" t="s">
        <v>304</v>
      </c>
      <c r="K23" s="5" t="str">
        <f t="shared" si="4"/>
        <v>Joel Lee</v>
      </c>
      <c r="L23" s="6">
        <v>45881</v>
      </c>
      <c r="M23" s="6">
        <v>45973</v>
      </c>
      <c r="N23" s="7">
        <v>30.34</v>
      </c>
      <c r="O23" s="5">
        <f t="shared" si="5"/>
        <v>3</v>
      </c>
      <c r="P23" s="5" t="s">
        <v>181</v>
      </c>
      <c r="Q23" s="5" t="s">
        <v>754</v>
      </c>
      <c r="R23" s="8">
        <v>0.75</v>
      </c>
      <c r="S23" s="5" t="s">
        <v>60</v>
      </c>
      <c r="T23" s="5" t="s">
        <v>182</v>
      </c>
      <c r="U23" s="7">
        <v>22.76</v>
      </c>
      <c r="V23" s="5" t="s">
        <v>751</v>
      </c>
      <c r="BB23"/>
    </row>
    <row r="24" spans="1:54" s="5" customFormat="1" x14ac:dyDescent="0.25">
      <c r="A24" s="5">
        <v>2030455582</v>
      </c>
      <c r="B24" s="5" t="s">
        <v>326</v>
      </c>
      <c r="C24" s="5" t="s">
        <v>327</v>
      </c>
      <c r="D24" s="5" t="str">
        <f t="shared" si="3"/>
        <v>JASON TROUT</v>
      </c>
      <c r="E24" s="5" t="s">
        <v>69</v>
      </c>
      <c r="F24" s="5" t="s">
        <v>53</v>
      </c>
      <c r="G24" s="5" t="s">
        <v>75</v>
      </c>
      <c r="H24" s="5">
        <v>16865615</v>
      </c>
      <c r="I24" s="5" t="s">
        <v>71</v>
      </c>
      <c r="J24" s="5" t="s">
        <v>72</v>
      </c>
      <c r="K24" s="5" t="str">
        <f t="shared" si="4"/>
        <v>Heather Geske</v>
      </c>
      <c r="L24" s="6">
        <v>45882</v>
      </c>
      <c r="M24" s="6">
        <v>45974</v>
      </c>
      <c r="N24" s="7">
        <v>29.88</v>
      </c>
      <c r="O24" s="5">
        <f t="shared" si="5"/>
        <v>3</v>
      </c>
      <c r="P24" s="5" t="s">
        <v>181</v>
      </c>
      <c r="Q24" s="5" t="s">
        <v>754</v>
      </c>
      <c r="R24" s="8">
        <v>0.65</v>
      </c>
      <c r="S24" s="5" t="s">
        <v>60</v>
      </c>
      <c r="T24" s="5" t="s">
        <v>182</v>
      </c>
      <c r="U24" s="7">
        <v>19.420000000000002</v>
      </c>
      <c r="V24" s="5" t="s">
        <v>750</v>
      </c>
      <c r="BB24"/>
    </row>
    <row r="25" spans="1:54" s="5" customFormat="1" x14ac:dyDescent="0.25">
      <c r="A25" s="5">
        <v>2030341226</v>
      </c>
      <c r="B25" s="5" t="s">
        <v>317</v>
      </c>
      <c r="C25" s="5" t="s">
        <v>318</v>
      </c>
      <c r="D25" s="5" t="str">
        <f t="shared" si="3"/>
        <v>KODI LAKE</v>
      </c>
      <c r="E25" s="5" t="s">
        <v>155</v>
      </c>
      <c r="F25" s="5" t="s">
        <v>53</v>
      </c>
      <c r="G25" s="5" t="s">
        <v>70</v>
      </c>
      <c r="H25" s="5">
        <v>371819</v>
      </c>
      <c r="I25" s="5" t="s">
        <v>147</v>
      </c>
      <c r="J25" s="5" t="s">
        <v>148</v>
      </c>
      <c r="K25" s="5" t="str">
        <f t="shared" si="4"/>
        <v>THOMAS PARDUE</v>
      </c>
      <c r="L25" s="6">
        <v>45879</v>
      </c>
      <c r="M25" s="6">
        <v>45971</v>
      </c>
      <c r="N25" s="7">
        <v>26.88</v>
      </c>
      <c r="O25" s="5">
        <f t="shared" si="5"/>
        <v>3</v>
      </c>
      <c r="P25" s="5" t="s">
        <v>181</v>
      </c>
      <c r="Q25" s="5" t="s">
        <v>754</v>
      </c>
      <c r="R25" s="8">
        <v>0.9</v>
      </c>
      <c r="S25" s="5" t="s">
        <v>60</v>
      </c>
      <c r="T25" s="5" t="s">
        <v>182</v>
      </c>
      <c r="U25" s="7">
        <v>24.19</v>
      </c>
      <c r="V25" s="5" t="s">
        <v>752</v>
      </c>
      <c r="BB25"/>
    </row>
    <row r="26" spans="1:54" x14ac:dyDescent="0.25">
      <c r="A26" s="5">
        <v>2030349979</v>
      </c>
      <c r="B26" s="5" t="s">
        <v>319</v>
      </c>
      <c r="C26" s="5" t="s">
        <v>320</v>
      </c>
      <c r="D26" s="5" t="str">
        <f t="shared" si="3"/>
        <v>ENERGY DARIAN</v>
      </c>
      <c r="E26" s="5" t="s">
        <v>155</v>
      </c>
      <c r="F26" s="5" t="s">
        <v>53</v>
      </c>
      <c r="G26" s="5" t="s">
        <v>70</v>
      </c>
      <c r="H26" s="5">
        <v>371819</v>
      </c>
      <c r="I26" s="5" t="s">
        <v>147</v>
      </c>
      <c r="J26" s="5" t="s">
        <v>148</v>
      </c>
      <c r="K26" s="5" t="str">
        <f t="shared" si="4"/>
        <v>THOMAS PARDUE</v>
      </c>
      <c r="L26" s="6">
        <v>45879</v>
      </c>
      <c r="M26" s="6">
        <v>45971</v>
      </c>
      <c r="N26" s="7">
        <v>29.01</v>
      </c>
      <c r="O26" s="5">
        <f t="shared" si="5"/>
        <v>3</v>
      </c>
      <c r="P26" s="5" t="s">
        <v>181</v>
      </c>
      <c r="Q26" s="5" t="s">
        <v>754</v>
      </c>
      <c r="R26" s="8">
        <v>0.9</v>
      </c>
      <c r="S26" s="5" t="s">
        <v>60</v>
      </c>
      <c r="T26" s="5" t="s">
        <v>182</v>
      </c>
      <c r="U26" s="7">
        <v>26.11</v>
      </c>
      <c r="V26" s="5" t="s">
        <v>752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</row>
    <row r="27" spans="1:54" x14ac:dyDescent="0.25">
      <c r="A27" s="5">
        <v>2030474901</v>
      </c>
      <c r="B27" s="5" t="s">
        <v>328</v>
      </c>
      <c r="C27" s="5" t="s">
        <v>329</v>
      </c>
      <c r="D27" s="5" t="str">
        <f t="shared" si="3"/>
        <v>LATONYS THOMPSON</v>
      </c>
      <c r="E27" s="5" t="s">
        <v>91</v>
      </c>
      <c r="F27" s="5" t="s">
        <v>53</v>
      </c>
      <c r="G27" s="5" t="s">
        <v>70</v>
      </c>
      <c r="H27" s="5">
        <v>371819</v>
      </c>
      <c r="I27" s="5" t="s">
        <v>147</v>
      </c>
      <c r="J27" s="5" t="s">
        <v>148</v>
      </c>
      <c r="K27" s="5" t="str">
        <f t="shared" si="4"/>
        <v>THOMAS PARDUE</v>
      </c>
      <c r="L27" s="6">
        <v>45883</v>
      </c>
      <c r="M27" s="6">
        <v>45975</v>
      </c>
      <c r="N27" s="7">
        <v>104.71</v>
      </c>
      <c r="O27" s="5">
        <f t="shared" si="5"/>
        <v>3</v>
      </c>
      <c r="P27" s="5" t="s">
        <v>181</v>
      </c>
      <c r="Q27" s="5" t="s">
        <v>754</v>
      </c>
      <c r="R27" s="8">
        <v>0.9</v>
      </c>
      <c r="S27" s="5" t="s">
        <v>60</v>
      </c>
      <c r="T27" s="5" t="s">
        <v>182</v>
      </c>
      <c r="U27" s="7">
        <v>94.24</v>
      </c>
      <c r="V27" s="5" t="s">
        <v>752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</row>
    <row r="28" spans="1:54" x14ac:dyDescent="0.25">
      <c r="A28" s="5">
        <v>2030341225</v>
      </c>
      <c r="B28" s="5" t="s">
        <v>317</v>
      </c>
      <c r="C28" s="5" t="s">
        <v>318</v>
      </c>
      <c r="D28" s="5" t="str">
        <f t="shared" si="3"/>
        <v>KODI LAKE</v>
      </c>
      <c r="E28" s="5" t="s">
        <v>155</v>
      </c>
      <c r="F28" s="5" t="s">
        <v>116</v>
      </c>
      <c r="G28" s="5" t="s">
        <v>429</v>
      </c>
      <c r="H28" s="5">
        <v>371819</v>
      </c>
      <c r="I28" s="5" t="s">
        <v>147</v>
      </c>
      <c r="J28" s="5" t="s">
        <v>148</v>
      </c>
      <c r="K28" s="5" t="str">
        <f t="shared" si="4"/>
        <v>THOMAS PARDUE</v>
      </c>
      <c r="L28" s="6">
        <v>45879</v>
      </c>
      <c r="M28" s="6">
        <v>45971</v>
      </c>
      <c r="N28" s="7">
        <v>24.4</v>
      </c>
      <c r="O28" s="5">
        <f t="shared" si="5"/>
        <v>3</v>
      </c>
      <c r="P28" s="5" t="s">
        <v>181</v>
      </c>
      <c r="Q28" s="5" t="s">
        <v>754</v>
      </c>
      <c r="R28" s="8">
        <v>0.42</v>
      </c>
      <c r="S28" s="5" t="s">
        <v>60</v>
      </c>
      <c r="T28" s="5" t="s">
        <v>182</v>
      </c>
      <c r="U28" s="7">
        <v>10.25</v>
      </c>
      <c r="V28" s="5" t="s">
        <v>429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</row>
    <row r="29" spans="1:54" x14ac:dyDescent="0.25">
      <c r="A29" s="5">
        <v>2030337261</v>
      </c>
      <c r="B29" s="5" t="s">
        <v>713</v>
      </c>
      <c r="C29" s="5" t="s">
        <v>714</v>
      </c>
      <c r="D29" s="5" t="str">
        <f t="shared" si="3"/>
        <v>BETHANY LUANGKHAM</v>
      </c>
      <c r="E29" s="5" t="s">
        <v>78</v>
      </c>
      <c r="F29" s="5" t="s">
        <v>116</v>
      </c>
      <c r="G29" s="5" t="s">
        <v>429</v>
      </c>
      <c r="H29" s="5">
        <v>8405446</v>
      </c>
      <c r="I29" s="5" t="s">
        <v>706</v>
      </c>
      <c r="J29" s="5" t="s">
        <v>707</v>
      </c>
      <c r="K29" s="5" t="str">
        <f t="shared" si="4"/>
        <v>PATSAMON THANADABOUTH</v>
      </c>
      <c r="L29" s="6">
        <v>45884</v>
      </c>
      <c r="M29" s="6">
        <v>45976</v>
      </c>
      <c r="N29" s="7">
        <v>35.4</v>
      </c>
      <c r="O29" s="5">
        <f t="shared" si="5"/>
        <v>3</v>
      </c>
      <c r="P29" s="5" t="s">
        <v>181</v>
      </c>
      <c r="Q29" s="5" t="s">
        <v>754</v>
      </c>
      <c r="R29" s="8">
        <v>0.42</v>
      </c>
      <c r="S29" s="5" t="s">
        <v>60</v>
      </c>
      <c r="T29" s="5" t="s">
        <v>182</v>
      </c>
      <c r="U29" s="7">
        <v>14.87</v>
      </c>
      <c r="V29" s="5" t="s">
        <v>429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</row>
    <row r="30" spans="1:54" s="5" customFormat="1" x14ac:dyDescent="0.25">
      <c r="A30" s="5">
        <v>2030244511</v>
      </c>
      <c r="B30" s="5" t="s">
        <v>705</v>
      </c>
      <c r="C30" s="5" t="s">
        <v>358</v>
      </c>
      <c r="D30" s="5" t="str">
        <f t="shared" si="3"/>
        <v>PAUL HTOO</v>
      </c>
      <c r="E30" s="5" t="s">
        <v>78</v>
      </c>
      <c r="F30" s="5" t="s">
        <v>116</v>
      </c>
      <c r="G30" s="5" t="s">
        <v>429</v>
      </c>
      <c r="H30" s="5">
        <v>8405446</v>
      </c>
      <c r="I30" s="5" t="s">
        <v>706</v>
      </c>
      <c r="J30" s="5" t="s">
        <v>707</v>
      </c>
      <c r="K30" s="5" t="str">
        <f t="shared" si="4"/>
        <v>PATSAMON THANADABOUTH</v>
      </c>
      <c r="L30" s="6">
        <v>45884</v>
      </c>
      <c r="M30" s="6">
        <v>45976</v>
      </c>
      <c r="N30" s="7">
        <v>42.5</v>
      </c>
      <c r="O30" s="5">
        <f t="shared" si="5"/>
        <v>3</v>
      </c>
      <c r="P30" s="5" t="s">
        <v>181</v>
      </c>
      <c r="Q30" s="5" t="s">
        <v>754</v>
      </c>
      <c r="R30" s="8">
        <v>0.42</v>
      </c>
      <c r="S30" s="5" t="s">
        <v>60</v>
      </c>
      <c r="T30" s="5" t="s">
        <v>182</v>
      </c>
      <c r="U30" s="7">
        <v>17.850000000000001</v>
      </c>
      <c r="V30" s="5" t="s">
        <v>429</v>
      </c>
      <c r="BB30"/>
    </row>
    <row r="31" spans="1:54" s="5" customFormat="1" x14ac:dyDescent="0.25">
      <c r="A31" s="5">
        <v>2030349978</v>
      </c>
      <c r="B31" s="5" t="s">
        <v>319</v>
      </c>
      <c r="C31" s="5" t="s">
        <v>320</v>
      </c>
      <c r="D31" s="5" t="str">
        <f t="shared" si="3"/>
        <v>ENERGY DARIAN</v>
      </c>
      <c r="E31" s="5" t="s">
        <v>155</v>
      </c>
      <c r="F31" s="5" t="s">
        <v>116</v>
      </c>
      <c r="G31" s="5" t="s">
        <v>429</v>
      </c>
      <c r="H31" s="5">
        <v>371819</v>
      </c>
      <c r="I31" s="5" t="s">
        <v>147</v>
      </c>
      <c r="J31" s="5" t="s">
        <v>148</v>
      </c>
      <c r="K31" s="5" t="str">
        <f t="shared" si="4"/>
        <v>THOMAS PARDUE</v>
      </c>
      <c r="L31" s="6">
        <v>45879</v>
      </c>
      <c r="M31" s="6">
        <v>45971</v>
      </c>
      <c r="N31" s="7">
        <v>70.81</v>
      </c>
      <c r="O31" s="5">
        <f t="shared" si="5"/>
        <v>3</v>
      </c>
      <c r="P31" s="5" t="s">
        <v>181</v>
      </c>
      <c r="Q31" s="5" t="s">
        <v>754</v>
      </c>
      <c r="R31" s="8">
        <v>0.42</v>
      </c>
      <c r="S31" s="5" t="s">
        <v>60</v>
      </c>
      <c r="T31" s="5" t="s">
        <v>182</v>
      </c>
      <c r="U31" s="7">
        <v>29.74</v>
      </c>
      <c r="V31" s="5" t="s">
        <v>429</v>
      </c>
      <c r="BB31"/>
    </row>
    <row r="32" spans="1:54" s="5" customFormat="1" x14ac:dyDescent="0.25">
      <c r="A32" s="5">
        <v>2030455579</v>
      </c>
      <c r="B32" s="5" t="s">
        <v>326</v>
      </c>
      <c r="C32" s="5" t="s">
        <v>327</v>
      </c>
      <c r="D32" s="5" t="str">
        <f t="shared" si="3"/>
        <v>JASON TROUT</v>
      </c>
      <c r="E32" s="5" t="s">
        <v>69</v>
      </c>
      <c r="F32" s="5" t="s">
        <v>114</v>
      </c>
      <c r="G32" s="5" t="s">
        <v>576</v>
      </c>
      <c r="H32" s="5">
        <v>16865615</v>
      </c>
      <c r="I32" s="5" t="s">
        <v>71</v>
      </c>
      <c r="J32" s="5" t="s">
        <v>72</v>
      </c>
      <c r="K32" s="5" t="str">
        <f t="shared" si="4"/>
        <v>Heather Geske</v>
      </c>
      <c r="L32" s="6">
        <v>45882</v>
      </c>
      <c r="M32" s="6">
        <v>45974</v>
      </c>
      <c r="N32" s="7">
        <v>60.5</v>
      </c>
      <c r="O32" s="5">
        <f t="shared" si="5"/>
        <v>3</v>
      </c>
      <c r="P32" s="5" t="s">
        <v>181</v>
      </c>
      <c r="Q32" s="5" t="s">
        <v>754</v>
      </c>
      <c r="R32" s="8">
        <v>0.38</v>
      </c>
      <c r="S32" s="5" t="s">
        <v>60</v>
      </c>
      <c r="T32" s="5" t="s">
        <v>182</v>
      </c>
      <c r="U32" s="7">
        <v>22.99</v>
      </c>
      <c r="V32" s="5" t="s">
        <v>576</v>
      </c>
    </row>
    <row r="33" spans="1:54" x14ac:dyDescent="0.25">
      <c r="A33" s="5">
        <v>2028679376</v>
      </c>
      <c r="B33" s="5" t="s">
        <v>586</v>
      </c>
      <c r="C33" s="5" t="s">
        <v>403</v>
      </c>
      <c r="D33" s="5" t="str">
        <f t="shared" si="3"/>
        <v>SCOTT HALL</v>
      </c>
      <c r="E33" s="5" t="s">
        <v>78</v>
      </c>
      <c r="F33" s="5" t="s">
        <v>587</v>
      </c>
      <c r="G33" s="5" t="s">
        <v>588</v>
      </c>
      <c r="H33" s="5">
        <v>19681796</v>
      </c>
      <c r="I33" s="5" t="s">
        <v>566</v>
      </c>
      <c r="J33" s="5" t="s">
        <v>567</v>
      </c>
      <c r="K33" s="5" t="str">
        <f t="shared" si="4"/>
        <v>CHRISTIAN TAUGNER</v>
      </c>
      <c r="L33" s="6">
        <v>45778</v>
      </c>
      <c r="M33" s="6">
        <v>45870</v>
      </c>
      <c r="N33" s="7">
        <v>-129.44</v>
      </c>
      <c r="O33" s="5">
        <f t="shared" si="5"/>
        <v>3</v>
      </c>
      <c r="P33" s="5" t="s">
        <v>181</v>
      </c>
      <c r="Q33" s="5" t="s">
        <v>754</v>
      </c>
      <c r="R33" s="8">
        <v>0.26</v>
      </c>
      <c r="S33" s="5" t="s">
        <v>60</v>
      </c>
      <c r="T33" s="5" t="s">
        <v>182</v>
      </c>
      <c r="U33" s="7">
        <v>-33.65</v>
      </c>
      <c r="V33" s="5" t="s">
        <v>759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</row>
    <row r="34" spans="1:54" x14ac:dyDescent="0.25">
      <c r="A34" s="5">
        <v>2030431357</v>
      </c>
      <c r="B34" s="5" t="s">
        <v>323</v>
      </c>
      <c r="C34" s="5" t="s">
        <v>324</v>
      </c>
      <c r="D34" s="5" t="str">
        <f t="shared" si="3"/>
        <v>HEINTZ BRETT</v>
      </c>
      <c r="E34" s="5" t="s">
        <v>69</v>
      </c>
      <c r="F34" s="5" t="s">
        <v>116</v>
      </c>
      <c r="G34" s="5" t="s">
        <v>125</v>
      </c>
      <c r="H34" s="5">
        <v>6634327</v>
      </c>
      <c r="I34" s="5" t="s">
        <v>303</v>
      </c>
      <c r="J34" s="5" t="s">
        <v>304</v>
      </c>
      <c r="K34" s="5" t="str">
        <f t="shared" si="4"/>
        <v>Joel Lee</v>
      </c>
      <c r="L34" s="6">
        <v>45881</v>
      </c>
      <c r="M34" s="6">
        <v>45973</v>
      </c>
      <c r="N34" s="7">
        <v>9.6999999999999993</v>
      </c>
      <c r="O34" s="5">
        <f t="shared" si="5"/>
        <v>3</v>
      </c>
      <c r="P34" s="5" t="s">
        <v>181</v>
      </c>
      <c r="Q34" s="5" t="s">
        <v>754</v>
      </c>
      <c r="R34" s="8">
        <v>0.7</v>
      </c>
      <c r="S34" s="5" t="s">
        <v>60</v>
      </c>
      <c r="T34" s="5" t="s">
        <v>182</v>
      </c>
      <c r="U34" s="7">
        <v>6.79</v>
      </c>
      <c r="V34" s="5" t="s">
        <v>125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</row>
    <row r="35" spans="1:54" x14ac:dyDescent="0.25">
      <c r="A35" s="5">
        <v>2029956855</v>
      </c>
      <c r="B35" s="5" t="s">
        <v>686</v>
      </c>
      <c r="C35" s="5" t="s">
        <v>687</v>
      </c>
      <c r="D35" s="5" t="str">
        <f t="shared" si="3"/>
        <v>JEFF REY</v>
      </c>
      <c r="E35" s="5" t="s">
        <v>78</v>
      </c>
      <c r="F35" s="5" t="s">
        <v>116</v>
      </c>
      <c r="G35" s="5" t="s">
        <v>125</v>
      </c>
      <c r="H35" s="5">
        <v>21436172</v>
      </c>
      <c r="I35" s="5" t="s">
        <v>688</v>
      </c>
      <c r="J35" s="5" t="s">
        <v>689</v>
      </c>
      <c r="K35" s="5" t="str">
        <f t="shared" si="4"/>
        <v>Latesha Rose</v>
      </c>
      <c r="L35" s="6">
        <v>45883</v>
      </c>
      <c r="M35" s="6">
        <v>45975</v>
      </c>
      <c r="N35" s="7">
        <v>11.5</v>
      </c>
      <c r="O35" s="5">
        <f t="shared" si="5"/>
        <v>3</v>
      </c>
      <c r="P35" s="5" t="s">
        <v>181</v>
      </c>
      <c r="Q35" s="5" t="s">
        <v>754</v>
      </c>
      <c r="R35" s="8">
        <v>0.7</v>
      </c>
      <c r="S35" s="5" t="s">
        <v>60</v>
      </c>
      <c r="T35" s="5" t="s">
        <v>182</v>
      </c>
      <c r="U35" s="7">
        <v>8.0500000000000007</v>
      </c>
      <c r="V35" s="5" t="s">
        <v>125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</row>
    <row r="36" spans="1:54" x14ac:dyDescent="0.25">
      <c r="A36" s="5">
        <v>2030333350</v>
      </c>
      <c r="B36" s="5" t="s">
        <v>564</v>
      </c>
      <c r="C36" s="5" t="s">
        <v>565</v>
      </c>
      <c r="D36" s="5" t="str">
        <f t="shared" si="3"/>
        <v>INMAN MARQUITA</v>
      </c>
      <c r="E36" s="5" t="s">
        <v>219</v>
      </c>
      <c r="F36" s="5" t="s">
        <v>116</v>
      </c>
      <c r="G36" s="5" t="s">
        <v>125</v>
      </c>
      <c r="H36" s="5">
        <v>19681796</v>
      </c>
      <c r="I36" s="5" t="s">
        <v>566</v>
      </c>
      <c r="J36" s="5" t="s">
        <v>567</v>
      </c>
      <c r="K36" s="5" t="str">
        <f t="shared" si="4"/>
        <v>CHRISTIAN TAUGNER</v>
      </c>
      <c r="L36" s="6">
        <v>45879</v>
      </c>
      <c r="M36" s="6">
        <v>45971</v>
      </c>
      <c r="N36" s="7">
        <v>19.579999999999998</v>
      </c>
      <c r="O36" s="5">
        <f t="shared" si="5"/>
        <v>3</v>
      </c>
      <c r="P36" s="5" t="s">
        <v>181</v>
      </c>
      <c r="Q36" s="5" t="s">
        <v>754</v>
      </c>
      <c r="R36" s="8">
        <v>0.7</v>
      </c>
      <c r="S36" s="5" t="s">
        <v>60</v>
      </c>
      <c r="T36" s="5" t="s">
        <v>182</v>
      </c>
      <c r="U36" s="7">
        <v>13.71</v>
      </c>
      <c r="V36" s="5" t="s">
        <v>125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</row>
    <row r="37" spans="1:54" x14ac:dyDescent="0.25">
      <c r="A37" s="5">
        <v>2030455581</v>
      </c>
      <c r="B37" s="5" t="s">
        <v>326</v>
      </c>
      <c r="C37" s="5" t="s">
        <v>327</v>
      </c>
      <c r="D37" s="5" t="str">
        <f t="shared" si="3"/>
        <v>JASON TROUT</v>
      </c>
      <c r="E37" s="5" t="s">
        <v>69</v>
      </c>
      <c r="F37" s="5" t="s">
        <v>116</v>
      </c>
      <c r="G37" s="5" t="s">
        <v>125</v>
      </c>
      <c r="H37" s="5">
        <v>16865615</v>
      </c>
      <c r="I37" s="5" t="s">
        <v>71</v>
      </c>
      <c r="J37" s="5" t="s">
        <v>72</v>
      </c>
      <c r="K37" s="5" t="str">
        <f t="shared" si="4"/>
        <v>Heather Geske</v>
      </c>
      <c r="L37" s="6">
        <v>45882</v>
      </c>
      <c r="M37" s="6">
        <v>45974</v>
      </c>
      <c r="N37" s="7">
        <v>27.38</v>
      </c>
      <c r="O37" s="5">
        <f t="shared" si="5"/>
        <v>3</v>
      </c>
      <c r="P37" s="5" t="s">
        <v>181</v>
      </c>
      <c r="Q37" s="5" t="s">
        <v>754</v>
      </c>
      <c r="R37" s="8">
        <v>0.7</v>
      </c>
      <c r="S37" s="5" t="s">
        <v>60</v>
      </c>
      <c r="T37" s="5" t="s">
        <v>182</v>
      </c>
      <c r="U37" s="7">
        <v>19.170000000000002</v>
      </c>
      <c r="V37" s="5" t="s">
        <v>125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</row>
    <row r="38" spans="1:54" x14ac:dyDescent="0.25">
      <c r="A38" s="5">
        <v>2030452962</v>
      </c>
      <c r="B38" s="5" t="s">
        <v>569</v>
      </c>
      <c r="C38" s="5" t="s">
        <v>90</v>
      </c>
      <c r="D38" s="5" t="str">
        <f t="shared" si="3"/>
        <v>JOHN ANDERSON</v>
      </c>
      <c r="E38" s="5" t="s">
        <v>69</v>
      </c>
      <c r="F38" s="5" t="s">
        <v>116</v>
      </c>
      <c r="G38" s="5" t="s">
        <v>125</v>
      </c>
      <c r="H38" s="5">
        <v>6634327</v>
      </c>
      <c r="I38" s="5" t="s">
        <v>303</v>
      </c>
      <c r="J38" s="5" t="s">
        <v>304</v>
      </c>
      <c r="K38" s="5" t="str">
        <f t="shared" si="4"/>
        <v>Joel Lee</v>
      </c>
      <c r="L38" s="6">
        <v>45882</v>
      </c>
      <c r="M38" s="6">
        <v>45974</v>
      </c>
      <c r="N38" s="7">
        <v>29.2</v>
      </c>
      <c r="O38" s="5">
        <f t="shared" si="5"/>
        <v>3</v>
      </c>
      <c r="P38" s="5" t="s">
        <v>181</v>
      </c>
      <c r="Q38" s="5" t="s">
        <v>754</v>
      </c>
      <c r="R38" s="8">
        <v>0.7</v>
      </c>
      <c r="S38" s="5" t="s">
        <v>60</v>
      </c>
      <c r="T38" s="5" t="s">
        <v>182</v>
      </c>
      <c r="U38" s="7">
        <v>20.440000000000001</v>
      </c>
      <c r="V38" s="5" t="s">
        <v>125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</row>
    <row r="39" spans="1:54" s="5" customFormat="1" x14ac:dyDescent="0.25">
      <c r="A39" s="5">
        <v>2030474678</v>
      </c>
      <c r="B39" s="5" t="s">
        <v>718</v>
      </c>
      <c r="C39" s="5" t="s">
        <v>719</v>
      </c>
      <c r="D39" s="5" t="str">
        <f t="shared" si="3"/>
        <v>AMY PITTMAN</v>
      </c>
      <c r="E39" s="5" t="s">
        <v>225</v>
      </c>
      <c r="F39" s="5" t="s">
        <v>116</v>
      </c>
      <c r="G39" s="5" t="s">
        <v>125</v>
      </c>
      <c r="H39" s="5">
        <v>17117649</v>
      </c>
      <c r="I39" s="5" t="s">
        <v>720</v>
      </c>
      <c r="J39" s="5" t="s">
        <v>721</v>
      </c>
      <c r="K39" s="5" t="str">
        <f t="shared" si="4"/>
        <v>Ines Berg</v>
      </c>
      <c r="L39" s="6">
        <v>45884</v>
      </c>
      <c r="M39" s="6">
        <v>45976</v>
      </c>
      <c r="N39" s="7">
        <v>55.61</v>
      </c>
      <c r="O39" s="5">
        <f t="shared" si="5"/>
        <v>3</v>
      </c>
      <c r="P39" s="5" t="s">
        <v>181</v>
      </c>
      <c r="Q39" s="5" t="s">
        <v>754</v>
      </c>
      <c r="R39" s="8">
        <v>0.7</v>
      </c>
      <c r="S39" s="5" t="s">
        <v>60</v>
      </c>
      <c r="T39" s="5" t="s">
        <v>182</v>
      </c>
      <c r="U39" s="7">
        <v>38.93</v>
      </c>
      <c r="V39" s="5" t="s">
        <v>125</v>
      </c>
      <c r="BB39"/>
    </row>
    <row r="40" spans="1:54" s="5" customFormat="1" x14ac:dyDescent="0.25">
      <c r="A40" s="5">
        <v>2030503342</v>
      </c>
      <c r="B40" s="5" t="s">
        <v>724</v>
      </c>
      <c r="C40" s="5" t="s">
        <v>725</v>
      </c>
      <c r="D40" s="5" t="str">
        <f t="shared" si="3"/>
        <v>JOSHUA ROSE</v>
      </c>
      <c r="E40" s="5" t="s">
        <v>78</v>
      </c>
      <c r="F40" s="5" t="s">
        <v>116</v>
      </c>
      <c r="G40" s="5" t="s">
        <v>125</v>
      </c>
      <c r="H40" s="5">
        <v>21436172</v>
      </c>
      <c r="I40" s="5" t="s">
        <v>688</v>
      </c>
      <c r="J40" s="5" t="s">
        <v>689</v>
      </c>
      <c r="K40" s="5" t="str">
        <f t="shared" si="4"/>
        <v>Latesha Rose</v>
      </c>
      <c r="L40" s="6">
        <v>45884</v>
      </c>
      <c r="M40" s="6">
        <v>45976</v>
      </c>
      <c r="N40" s="7">
        <v>56.5</v>
      </c>
      <c r="O40" s="5">
        <f t="shared" si="5"/>
        <v>3</v>
      </c>
      <c r="P40" s="5" t="s">
        <v>181</v>
      </c>
      <c r="Q40" s="5" t="s">
        <v>754</v>
      </c>
      <c r="R40" s="8">
        <v>0.7</v>
      </c>
      <c r="S40" s="5" t="s">
        <v>60</v>
      </c>
      <c r="T40" s="5" t="s">
        <v>182</v>
      </c>
      <c r="U40" s="7">
        <v>39.549999999999997</v>
      </c>
      <c r="V40" s="5" t="s">
        <v>125</v>
      </c>
    </row>
    <row r="41" spans="1:54" x14ac:dyDescent="0.25">
      <c r="A41" s="5">
        <v>2030427172</v>
      </c>
      <c r="B41" s="5" t="s">
        <v>717</v>
      </c>
      <c r="C41" s="5" t="s">
        <v>212</v>
      </c>
      <c r="D41" s="5" t="str">
        <f t="shared" si="3"/>
        <v>JOHNSON CURTIS</v>
      </c>
      <c r="E41" s="5" t="s">
        <v>219</v>
      </c>
      <c r="F41" s="5" t="s">
        <v>116</v>
      </c>
      <c r="G41" s="5" t="s">
        <v>125</v>
      </c>
      <c r="H41" s="5">
        <v>19681796</v>
      </c>
      <c r="I41" s="5" t="s">
        <v>566</v>
      </c>
      <c r="J41" s="5" t="s">
        <v>567</v>
      </c>
      <c r="K41" s="5" t="str">
        <f t="shared" si="4"/>
        <v>CHRISTIAN TAUGNER</v>
      </c>
      <c r="L41" s="6">
        <v>45881</v>
      </c>
      <c r="M41" s="6">
        <v>45973</v>
      </c>
      <c r="N41" s="7">
        <v>69.06</v>
      </c>
      <c r="O41" s="5">
        <f t="shared" si="5"/>
        <v>3</v>
      </c>
      <c r="P41" s="5" t="s">
        <v>181</v>
      </c>
      <c r="Q41" s="5" t="s">
        <v>754</v>
      </c>
      <c r="R41" s="8">
        <v>0.7</v>
      </c>
      <c r="S41" s="5" t="s">
        <v>60</v>
      </c>
      <c r="T41" s="5" t="s">
        <v>182</v>
      </c>
      <c r="U41" s="7">
        <v>48.34</v>
      </c>
      <c r="V41" s="5" t="s">
        <v>125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</row>
    <row r="42" spans="1:54" x14ac:dyDescent="0.25">
      <c r="A42" s="5">
        <v>2030329697</v>
      </c>
      <c r="B42" s="5" t="s">
        <v>708</v>
      </c>
      <c r="C42" s="5" t="s">
        <v>709</v>
      </c>
      <c r="D42" s="5" t="str">
        <f t="shared" si="3"/>
        <v>JADAH MILAM-MORRISON</v>
      </c>
      <c r="E42" s="5" t="s">
        <v>52</v>
      </c>
      <c r="F42" s="5" t="s">
        <v>116</v>
      </c>
      <c r="G42" s="5" t="s">
        <v>125</v>
      </c>
      <c r="H42" s="5">
        <v>371819</v>
      </c>
      <c r="I42" s="5" t="s">
        <v>147</v>
      </c>
      <c r="J42" s="5" t="s">
        <v>148</v>
      </c>
      <c r="K42" s="5" t="str">
        <f t="shared" si="4"/>
        <v>THOMAS PARDUE</v>
      </c>
      <c r="L42" s="6">
        <v>45882</v>
      </c>
      <c r="M42" s="6">
        <v>45974</v>
      </c>
      <c r="N42" s="7">
        <v>174.5</v>
      </c>
      <c r="O42" s="5">
        <f t="shared" si="5"/>
        <v>3</v>
      </c>
      <c r="P42" s="5" t="s">
        <v>181</v>
      </c>
      <c r="Q42" s="5" t="s">
        <v>754</v>
      </c>
      <c r="R42" s="8">
        <v>0.7</v>
      </c>
      <c r="S42" s="5" t="s">
        <v>60</v>
      </c>
      <c r="T42" s="5" t="s">
        <v>182</v>
      </c>
      <c r="U42" s="7">
        <v>122.15</v>
      </c>
      <c r="V42" s="5" t="s">
        <v>125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</row>
    <row r="43" spans="1:54" x14ac:dyDescent="0.25">
      <c r="A43" s="5">
        <v>2030333349</v>
      </c>
      <c r="B43" s="5" t="s">
        <v>564</v>
      </c>
      <c r="C43" s="5" t="s">
        <v>565</v>
      </c>
      <c r="D43" s="5" t="str">
        <f t="shared" si="3"/>
        <v>INMAN MARQUITA</v>
      </c>
      <c r="E43" s="5" t="s">
        <v>219</v>
      </c>
      <c r="F43" s="5" t="s">
        <v>92</v>
      </c>
      <c r="G43" s="5" t="s">
        <v>93</v>
      </c>
      <c r="H43" s="5">
        <v>19681796</v>
      </c>
      <c r="I43" s="5" t="s">
        <v>566</v>
      </c>
      <c r="J43" s="5" t="s">
        <v>567</v>
      </c>
      <c r="K43" s="5" t="str">
        <f t="shared" si="4"/>
        <v>CHRISTIAN TAUGNER</v>
      </c>
      <c r="L43" s="6">
        <v>45879</v>
      </c>
      <c r="M43" s="6">
        <v>45971</v>
      </c>
      <c r="N43" s="7">
        <v>33.61</v>
      </c>
      <c r="O43" s="5">
        <f t="shared" si="5"/>
        <v>3</v>
      </c>
      <c r="P43" s="5" t="s">
        <v>181</v>
      </c>
      <c r="Q43" s="5" t="s">
        <v>754</v>
      </c>
      <c r="R43" s="9">
        <v>0.375</v>
      </c>
      <c r="S43" s="5" t="s">
        <v>60</v>
      </c>
      <c r="T43" s="5" t="s">
        <v>182</v>
      </c>
      <c r="U43" s="7">
        <v>12.6</v>
      </c>
      <c r="V43" s="5" t="s">
        <v>93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</row>
    <row r="44" spans="1:54" x14ac:dyDescent="0.25">
      <c r="A44" s="5">
        <v>2030455580</v>
      </c>
      <c r="B44" s="5" t="s">
        <v>326</v>
      </c>
      <c r="C44" s="5" t="s">
        <v>327</v>
      </c>
      <c r="D44" s="5" t="str">
        <f t="shared" si="3"/>
        <v>JASON TROUT</v>
      </c>
      <c r="E44" s="5" t="s">
        <v>69</v>
      </c>
      <c r="F44" s="5" t="s">
        <v>92</v>
      </c>
      <c r="G44" s="5" t="s">
        <v>93</v>
      </c>
      <c r="H44" s="5">
        <v>16865615</v>
      </c>
      <c r="I44" s="5" t="s">
        <v>71</v>
      </c>
      <c r="J44" s="5" t="s">
        <v>72</v>
      </c>
      <c r="K44" s="5" t="str">
        <f t="shared" si="4"/>
        <v>Heather Geske</v>
      </c>
      <c r="L44" s="6">
        <v>45882</v>
      </c>
      <c r="M44" s="6">
        <v>45974</v>
      </c>
      <c r="N44" s="7">
        <v>160.85</v>
      </c>
      <c r="O44" s="5">
        <f t="shared" si="5"/>
        <v>3</v>
      </c>
      <c r="P44" s="5" t="s">
        <v>181</v>
      </c>
      <c r="Q44" s="5" t="s">
        <v>754</v>
      </c>
      <c r="R44" s="9">
        <v>0.375</v>
      </c>
      <c r="S44" s="5" t="s">
        <v>60</v>
      </c>
      <c r="T44" s="5" t="s">
        <v>182</v>
      </c>
      <c r="U44" s="7">
        <v>60.32</v>
      </c>
      <c r="V44" s="5" t="s">
        <v>93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</row>
    <row r="45" spans="1:54" x14ac:dyDescent="0.25">
      <c r="A45" s="5">
        <v>2030452963</v>
      </c>
      <c r="B45" s="5" t="s">
        <v>569</v>
      </c>
      <c r="C45" s="5" t="s">
        <v>90</v>
      </c>
      <c r="D45" s="5" t="str">
        <f t="shared" si="3"/>
        <v>JOHN ANDERSON</v>
      </c>
      <c r="E45" s="5" t="s">
        <v>69</v>
      </c>
      <c r="F45" s="5" t="s">
        <v>92</v>
      </c>
      <c r="G45" s="5" t="s">
        <v>93</v>
      </c>
      <c r="H45" s="5">
        <v>6634327</v>
      </c>
      <c r="I45" s="5" t="s">
        <v>303</v>
      </c>
      <c r="J45" s="5" t="s">
        <v>304</v>
      </c>
      <c r="K45" s="5" t="str">
        <f t="shared" si="4"/>
        <v>Joel Lee</v>
      </c>
      <c r="L45" s="6">
        <v>45882</v>
      </c>
      <c r="M45" s="6">
        <v>45974</v>
      </c>
      <c r="N45" s="7">
        <v>205.33</v>
      </c>
      <c r="O45" s="5">
        <f t="shared" si="5"/>
        <v>3</v>
      </c>
      <c r="P45" s="5" t="s">
        <v>181</v>
      </c>
      <c r="Q45" s="5" t="s">
        <v>754</v>
      </c>
      <c r="R45" s="9">
        <v>0.375</v>
      </c>
      <c r="S45" s="5" t="s">
        <v>60</v>
      </c>
      <c r="T45" s="5" t="s">
        <v>182</v>
      </c>
      <c r="U45" s="7">
        <v>77</v>
      </c>
      <c r="V45" s="5" t="s">
        <v>93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</row>
    <row r="46" spans="1:54" x14ac:dyDescent="0.25">
      <c r="A46" s="5">
        <v>2030380188</v>
      </c>
      <c r="B46" s="5" t="s">
        <v>715</v>
      </c>
      <c r="C46" s="5" t="s">
        <v>716</v>
      </c>
      <c r="D46" s="5" t="str">
        <f t="shared" si="3"/>
        <v>DELNO CORNISH</v>
      </c>
      <c r="E46" s="5" t="s">
        <v>102</v>
      </c>
      <c r="F46" s="5" t="s">
        <v>116</v>
      </c>
      <c r="G46" s="5" t="s">
        <v>120</v>
      </c>
      <c r="H46" s="5">
        <v>371819</v>
      </c>
      <c r="I46" s="5" t="s">
        <v>147</v>
      </c>
      <c r="J46" s="5" t="s">
        <v>148</v>
      </c>
      <c r="K46" s="5" t="str">
        <f t="shared" si="4"/>
        <v>THOMAS PARDUE</v>
      </c>
      <c r="L46" s="6">
        <v>45884</v>
      </c>
      <c r="M46" s="6">
        <v>45976</v>
      </c>
      <c r="N46" s="7">
        <v>35.85</v>
      </c>
      <c r="O46" s="5">
        <f t="shared" si="5"/>
        <v>3</v>
      </c>
      <c r="P46" s="5" t="s">
        <v>181</v>
      </c>
      <c r="Q46" s="5" t="s">
        <v>754</v>
      </c>
      <c r="R46" s="8">
        <v>0.9</v>
      </c>
      <c r="S46" s="5" t="s">
        <v>60</v>
      </c>
      <c r="T46" s="5" t="s">
        <v>182</v>
      </c>
      <c r="U46" s="7">
        <v>32.26</v>
      </c>
      <c r="V46" s="5" t="s">
        <v>120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</row>
    <row r="47" spans="1:54" x14ac:dyDescent="0.25">
      <c r="A47" s="5">
        <v>2030503343</v>
      </c>
      <c r="B47" s="5" t="s">
        <v>724</v>
      </c>
      <c r="C47" s="5" t="s">
        <v>725</v>
      </c>
      <c r="D47" s="5" t="str">
        <f t="shared" si="3"/>
        <v>JOSHUA ROSE</v>
      </c>
      <c r="E47" s="5" t="s">
        <v>78</v>
      </c>
      <c r="F47" s="5" t="s">
        <v>116</v>
      </c>
      <c r="G47" s="5" t="s">
        <v>120</v>
      </c>
      <c r="H47" s="5">
        <v>21436172</v>
      </c>
      <c r="I47" s="5" t="s">
        <v>688</v>
      </c>
      <c r="J47" s="5" t="s">
        <v>689</v>
      </c>
      <c r="K47" s="5" t="str">
        <f t="shared" si="4"/>
        <v>Latesha Rose</v>
      </c>
      <c r="L47" s="6">
        <v>45884</v>
      </c>
      <c r="M47" s="6">
        <v>45976</v>
      </c>
      <c r="N47" s="7">
        <v>41.88</v>
      </c>
      <c r="O47" s="5">
        <f t="shared" si="5"/>
        <v>3</v>
      </c>
      <c r="P47" s="5" t="s">
        <v>181</v>
      </c>
      <c r="Q47" s="5" t="s">
        <v>754</v>
      </c>
      <c r="R47" s="8">
        <v>0.9</v>
      </c>
      <c r="S47" s="5" t="s">
        <v>60</v>
      </c>
      <c r="T47" s="5" t="s">
        <v>182</v>
      </c>
      <c r="U47" s="7">
        <v>37.69</v>
      </c>
      <c r="V47" s="5" t="s">
        <v>120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</row>
    <row r="48" spans="1:54" x14ac:dyDescent="0.25">
      <c r="A48" s="5">
        <v>2030455583</v>
      </c>
      <c r="B48" s="5" t="s">
        <v>326</v>
      </c>
      <c r="C48" s="5" t="s">
        <v>327</v>
      </c>
      <c r="D48" s="5" t="str">
        <f t="shared" si="3"/>
        <v>JASON TROUT</v>
      </c>
      <c r="E48" s="5" t="s">
        <v>69</v>
      </c>
      <c r="F48" s="5" t="s">
        <v>116</v>
      </c>
      <c r="G48" s="5" t="s">
        <v>120</v>
      </c>
      <c r="H48" s="5">
        <v>16865615</v>
      </c>
      <c r="I48" s="5" t="s">
        <v>71</v>
      </c>
      <c r="J48" s="5" t="s">
        <v>72</v>
      </c>
      <c r="K48" s="5" t="str">
        <f t="shared" si="4"/>
        <v>Heather Geske</v>
      </c>
      <c r="L48" s="6">
        <v>45882</v>
      </c>
      <c r="M48" s="6">
        <v>45974</v>
      </c>
      <c r="N48" s="7">
        <v>52.92</v>
      </c>
      <c r="O48" s="5">
        <f t="shared" si="5"/>
        <v>3</v>
      </c>
      <c r="P48" s="5" t="s">
        <v>181</v>
      </c>
      <c r="Q48" s="5" t="s">
        <v>754</v>
      </c>
      <c r="R48" s="8">
        <v>0.9</v>
      </c>
      <c r="S48" s="5" t="s">
        <v>60</v>
      </c>
      <c r="T48" s="5" t="s">
        <v>182</v>
      </c>
      <c r="U48" s="7">
        <v>47.63</v>
      </c>
      <c r="V48" s="5" t="s">
        <v>120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</row>
    <row r="49" spans="1:54" x14ac:dyDescent="0.25">
      <c r="A49" s="5">
        <v>2030427171</v>
      </c>
      <c r="B49" s="5" t="s">
        <v>717</v>
      </c>
      <c r="C49" s="5" t="s">
        <v>212</v>
      </c>
      <c r="D49" s="5" t="str">
        <f t="shared" si="3"/>
        <v>JOHNSON CURTIS</v>
      </c>
      <c r="E49" s="5" t="s">
        <v>219</v>
      </c>
      <c r="F49" s="5" t="s">
        <v>116</v>
      </c>
      <c r="G49" s="5" t="s">
        <v>120</v>
      </c>
      <c r="H49" s="5">
        <v>19681796</v>
      </c>
      <c r="I49" s="5" t="s">
        <v>566</v>
      </c>
      <c r="J49" s="5" t="s">
        <v>567</v>
      </c>
      <c r="K49" s="5" t="str">
        <f t="shared" si="4"/>
        <v>CHRISTIAN TAUGNER</v>
      </c>
      <c r="L49" s="6">
        <v>45881</v>
      </c>
      <c r="M49" s="6">
        <v>45973</v>
      </c>
      <c r="N49" s="7">
        <v>159.31</v>
      </c>
      <c r="O49" s="5">
        <f t="shared" si="5"/>
        <v>3</v>
      </c>
      <c r="P49" s="5" t="s">
        <v>181</v>
      </c>
      <c r="Q49" s="5" t="s">
        <v>754</v>
      </c>
      <c r="R49" s="8">
        <v>0.9</v>
      </c>
      <c r="S49" s="5" t="s">
        <v>60</v>
      </c>
      <c r="T49" s="5" t="s">
        <v>182</v>
      </c>
      <c r="U49" s="7">
        <v>143.38</v>
      </c>
      <c r="V49" s="5" t="s">
        <v>120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</row>
    <row r="50" spans="1:54" x14ac:dyDescent="0.25">
      <c r="A50" s="5">
        <v>2030519283</v>
      </c>
      <c r="B50" s="5" t="s">
        <v>726</v>
      </c>
      <c r="C50" s="5" t="s">
        <v>261</v>
      </c>
      <c r="D50" s="5" t="str">
        <f t="shared" si="3"/>
        <v>GREGORY BIBA</v>
      </c>
      <c r="E50" s="5" t="s">
        <v>78</v>
      </c>
      <c r="F50" s="5" t="s">
        <v>116</v>
      </c>
      <c r="G50" s="5" t="s">
        <v>120</v>
      </c>
      <c r="H50" s="5">
        <v>7470776</v>
      </c>
      <c r="I50" s="5" t="s">
        <v>126</v>
      </c>
      <c r="J50" s="5" t="s">
        <v>127</v>
      </c>
      <c r="K50" s="5" t="str">
        <f t="shared" si="4"/>
        <v>Andrew Choi</v>
      </c>
      <c r="L50" s="6">
        <v>45885</v>
      </c>
      <c r="M50" s="6">
        <v>45977</v>
      </c>
      <c r="N50" s="7">
        <v>242.88</v>
      </c>
      <c r="O50" s="5">
        <f t="shared" si="5"/>
        <v>3</v>
      </c>
      <c r="P50" s="5" t="s">
        <v>181</v>
      </c>
      <c r="Q50" s="5" t="s">
        <v>754</v>
      </c>
      <c r="R50" s="8">
        <v>0.9</v>
      </c>
      <c r="S50" s="5" t="s">
        <v>60</v>
      </c>
      <c r="T50" s="5" t="s">
        <v>182</v>
      </c>
      <c r="U50" s="7">
        <v>218.59</v>
      </c>
      <c r="V50" s="5" t="s">
        <v>120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</row>
    <row r="51" spans="1:54" x14ac:dyDescent="0.25">
      <c r="A51" s="5">
        <v>2029844784</v>
      </c>
      <c r="B51" s="5" t="s">
        <v>227</v>
      </c>
      <c r="C51" s="5" t="s">
        <v>378</v>
      </c>
      <c r="D51" s="5" t="str">
        <f t="shared" si="3"/>
        <v>CAMPANELLA ANTHONY</v>
      </c>
      <c r="E51" s="5" t="s">
        <v>78</v>
      </c>
      <c r="F51" s="5" t="s">
        <v>114</v>
      </c>
      <c r="G51" s="5" t="s">
        <v>115</v>
      </c>
      <c r="H51" s="5">
        <v>16912722</v>
      </c>
      <c r="I51" s="5" t="s">
        <v>139</v>
      </c>
      <c r="J51" s="5" t="s">
        <v>140</v>
      </c>
      <c r="K51" s="5" t="str">
        <f t="shared" si="4"/>
        <v>ANDREA PETRUNGARO</v>
      </c>
      <c r="L51" s="6">
        <v>45849</v>
      </c>
      <c r="M51" s="6">
        <v>45972</v>
      </c>
      <c r="N51" s="7">
        <v>455.99</v>
      </c>
      <c r="O51" s="5">
        <f t="shared" si="5"/>
        <v>4</v>
      </c>
      <c r="P51" s="5" t="s">
        <v>181</v>
      </c>
      <c r="Q51" s="5" t="s">
        <v>754</v>
      </c>
      <c r="R51" s="8">
        <v>0.38</v>
      </c>
      <c r="S51" s="5" t="s">
        <v>60</v>
      </c>
      <c r="T51" s="5" t="s">
        <v>182</v>
      </c>
      <c r="U51" s="7">
        <v>173.28</v>
      </c>
      <c r="V51" s="5" t="s">
        <v>115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</row>
    <row r="52" spans="1:54" x14ac:dyDescent="0.25">
      <c r="A52" s="5">
        <v>2029910877</v>
      </c>
      <c r="B52" s="5" t="s">
        <v>295</v>
      </c>
      <c r="C52" s="5" t="s">
        <v>296</v>
      </c>
      <c r="D52" s="5" t="str">
        <f t="shared" si="3"/>
        <v>DEYANIRA ALMENDAREZ</v>
      </c>
      <c r="E52" s="5" t="s">
        <v>281</v>
      </c>
      <c r="F52" s="5" t="s">
        <v>53</v>
      </c>
      <c r="G52" s="5" t="s">
        <v>232</v>
      </c>
      <c r="H52" s="5">
        <v>21283956</v>
      </c>
      <c r="I52" s="5" t="s">
        <v>277</v>
      </c>
      <c r="J52" s="5" t="s">
        <v>279</v>
      </c>
      <c r="K52" s="5" t="str">
        <f t="shared" si="4"/>
        <v>VICTOR FUENTES</v>
      </c>
      <c r="L52" s="6">
        <v>45850</v>
      </c>
      <c r="M52" s="6">
        <v>45973</v>
      </c>
      <c r="N52" s="7">
        <v>150.47999999999999</v>
      </c>
      <c r="O52" s="5">
        <f t="shared" si="5"/>
        <v>4</v>
      </c>
      <c r="P52" s="5" t="s">
        <v>181</v>
      </c>
      <c r="Q52" s="5" t="s">
        <v>754</v>
      </c>
      <c r="R52" s="8">
        <v>0.75</v>
      </c>
      <c r="S52" s="5" t="s">
        <v>60</v>
      </c>
      <c r="T52" s="5" t="s">
        <v>182</v>
      </c>
      <c r="U52" s="7">
        <v>112.86</v>
      </c>
      <c r="V52" s="5" t="s">
        <v>751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</row>
    <row r="53" spans="1:54" x14ac:dyDescent="0.25">
      <c r="A53" s="5">
        <v>2029969605</v>
      </c>
      <c r="B53" s="5" t="s">
        <v>309</v>
      </c>
      <c r="C53" s="5" t="s">
        <v>310</v>
      </c>
      <c r="D53" s="5" t="str">
        <f t="shared" si="3"/>
        <v>STEPHEN DUNCAN</v>
      </c>
      <c r="E53" s="5" t="s">
        <v>69</v>
      </c>
      <c r="F53" s="5" t="s">
        <v>53</v>
      </c>
      <c r="G53" s="5" t="s">
        <v>54</v>
      </c>
      <c r="H53" s="5">
        <v>16865615</v>
      </c>
      <c r="I53" s="5" t="s">
        <v>71</v>
      </c>
      <c r="J53" s="5" t="s">
        <v>72</v>
      </c>
      <c r="K53" s="5" t="str">
        <f t="shared" si="4"/>
        <v>Heather Geske</v>
      </c>
      <c r="L53" s="6">
        <v>45854</v>
      </c>
      <c r="M53" s="6">
        <v>45977</v>
      </c>
      <c r="N53" s="7">
        <v>52.84</v>
      </c>
      <c r="O53" s="5">
        <f t="shared" si="5"/>
        <v>4</v>
      </c>
      <c r="P53" s="5" t="s">
        <v>181</v>
      </c>
      <c r="Q53" s="5" t="s">
        <v>754</v>
      </c>
      <c r="R53" s="8">
        <v>0.75</v>
      </c>
      <c r="S53" s="5" t="s">
        <v>60</v>
      </c>
      <c r="T53" s="5" t="s">
        <v>182</v>
      </c>
      <c r="U53" s="7">
        <v>39.630000000000003</v>
      </c>
      <c r="V53" s="5" t="s">
        <v>751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</row>
    <row r="54" spans="1:54" x14ac:dyDescent="0.25">
      <c r="A54" s="5">
        <v>2029955373</v>
      </c>
      <c r="B54" s="5" t="s">
        <v>302</v>
      </c>
      <c r="C54" s="5" t="s">
        <v>278</v>
      </c>
      <c r="D54" s="5" t="str">
        <f t="shared" si="3"/>
        <v>MELISSA LOUIE</v>
      </c>
      <c r="E54" s="5" t="s">
        <v>69</v>
      </c>
      <c r="F54" s="5" t="s">
        <v>53</v>
      </c>
      <c r="G54" s="5" t="s">
        <v>75</v>
      </c>
      <c r="H54" s="5">
        <v>6634327</v>
      </c>
      <c r="I54" s="5" t="s">
        <v>303</v>
      </c>
      <c r="J54" s="5" t="s">
        <v>304</v>
      </c>
      <c r="K54" s="5" t="str">
        <f t="shared" si="4"/>
        <v>Joel Lee</v>
      </c>
      <c r="L54" s="6">
        <v>45853</v>
      </c>
      <c r="M54" s="6">
        <v>45976</v>
      </c>
      <c r="N54" s="7">
        <v>29.98</v>
      </c>
      <c r="O54" s="5">
        <f t="shared" si="5"/>
        <v>4</v>
      </c>
      <c r="P54" s="5" t="s">
        <v>181</v>
      </c>
      <c r="Q54" s="5" t="s">
        <v>754</v>
      </c>
      <c r="R54" s="8">
        <v>0.65</v>
      </c>
      <c r="S54" s="5" t="s">
        <v>60</v>
      </c>
      <c r="T54" s="5" t="s">
        <v>182</v>
      </c>
      <c r="U54" s="7">
        <v>19.489999999999998</v>
      </c>
      <c r="V54" s="5" t="s">
        <v>750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</row>
    <row r="55" spans="1:54" x14ac:dyDescent="0.25">
      <c r="A55" s="5">
        <v>2029938124</v>
      </c>
      <c r="B55" s="5" t="s">
        <v>297</v>
      </c>
      <c r="C55" s="5" t="s">
        <v>298</v>
      </c>
      <c r="D55" s="5" t="str">
        <f t="shared" si="3"/>
        <v>KENZIE DUKE</v>
      </c>
      <c r="E55" s="5" t="s">
        <v>299</v>
      </c>
      <c r="F55" s="5" t="s">
        <v>53</v>
      </c>
      <c r="G55" s="5" t="s">
        <v>70</v>
      </c>
      <c r="H55" s="5">
        <v>371819</v>
      </c>
      <c r="I55" s="5" t="s">
        <v>147</v>
      </c>
      <c r="J55" s="5" t="s">
        <v>148</v>
      </c>
      <c r="K55" s="5" t="str">
        <f t="shared" si="4"/>
        <v>THOMAS PARDUE</v>
      </c>
      <c r="L55" s="6">
        <v>45853</v>
      </c>
      <c r="M55" s="6">
        <v>45976</v>
      </c>
      <c r="N55" s="7">
        <v>50.87</v>
      </c>
      <c r="O55" s="5">
        <f t="shared" si="5"/>
        <v>4</v>
      </c>
      <c r="P55" s="5" t="s">
        <v>181</v>
      </c>
      <c r="Q55" s="5" t="s">
        <v>754</v>
      </c>
      <c r="R55" s="8">
        <v>0.9</v>
      </c>
      <c r="S55" s="5" t="s">
        <v>60</v>
      </c>
      <c r="T55" s="5" t="s">
        <v>182</v>
      </c>
      <c r="U55" s="7">
        <v>45.78</v>
      </c>
      <c r="V55" s="5" t="s">
        <v>752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:54" x14ac:dyDescent="0.25">
      <c r="A56" s="5">
        <v>2029968822</v>
      </c>
      <c r="B56" s="5" t="s">
        <v>148</v>
      </c>
      <c r="C56" s="5" t="s">
        <v>261</v>
      </c>
      <c r="D56" s="5" t="str">
        <f t="shared" si="3"/>
        <v>GREGORY THOMAS</v>
      </c>
      <c r="E56" s="5" t="s">
        <v>78</v>
      </c>
      <c r="F56" s="5" t="s">
        <v>116</v>
      </c>
      <c r="G56" s="5" t="s">
        <v>429</v>
      </c>
      <c r="H56" s="5">
        <v>8814784</v>
      </c>
      <c r="I56" s="5" t="s">
        <v>695</v>
      </c>
      <c r="J56" s="5" t="s">
        <v>696</v>
      </c>
      <c r="K56" s="5" t="str">
        <f t="shared" si="4"/>
        <v>FRANK LISKOVEC</v>
      </c>
      <c r="L56" s="6">
        <v>45854</v>
      </c>
      <c r="M56" s="6">
        <v>45977</v>
      </c>
      <c r="N56" s="7">
        <v>25.08</v>
      </c>
      <c r="O56" s="5">
        <f t="shared" si="5"/>
        <v>4</v>
      </c>
      <c r="P56" s="5" t="s">
        <v>181</v>
      </c>
      <c r="Q56" s="5" t="s">
        <v>754</v>
      </c>
      <c r="R56" s="8">
        <v>0.42</v>
      </c>
      <c r="S56" s="5" t="s">
        <v>60</v>
      </c>
      <c r="T56" s="5" t="s">
        <v>182</v>
      </c>
      <c r="U56" s="7">
        <v>10.53</v>
      </c>
      <c r="V56" s="5" t="s">
        <v>429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</row>
    <row r="57" spans="1:54" x14ac:dyDescent="0.25">
      <c r="A57" s="5">
        <v>2029844786</v>
      </c>
      <c r="B57" s="5" t="s">
        <v>227</v>
      </c>
      <c r="C57" s="5" t="s">
        <v>378</v>
      </c>
      <c r="D57" s="5" t="str">
        <f t="shared" si="3"/>
        <v>CAMPANELLA ANTHONY</v>
      </c>
      <c r="E57" s="5" t="s">
        <v>78</v>
      </c>
      <c r="F57" s="5" t="s">
        <v>79</v>
      </c>
      <c r="G57" s="5" t="s">
        <v>80</v>
      </c>
      <c r="H57" s="5">
        <v>16912722</v>
      </c>
      <c r="I57" s="5" t="s">
        <v>139</v>
      </c>
      <c r="J57" s="5" t="s">
        <v>140</v>
      </c>
      <c r="K57" s="5" t="str">
        <f t="shared" si="4"/>
        <v>ANDREA PETRUNGARO</v>
      </c>
      <c r="L57" s="6">
        <v>45849</v>
      </c>
      <c r="M57" s="6">
        <v>45972</v>
      </c>
      <c r="N57" s="7">
        <v>15</v>
      </c>
      <c r="O57" s="5">
        <f t="shared" si="5"/>
        <v>4</v>
      </c>
      <c r="P57" s="5" t="s">
        <v>181</v>
      </c>
      <c r="Q57" s="5" t="s">
        <v>754</v>
      </c>
      <c r="R57" s="8">
        <v>0.38</v>
      </c>
      <c r="S57" s="5" t="s">
        <v>60</v>
      </c>
      <c r="T57" s="5" t="s">
        <v>182</v>
      </c>
      <c r="U57" s="7">
        <v>5.7</v>
      </c>
      <c r="V57" s="5" t="s">
        <v>80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</row>
    <row r="58" spans="1:54" x14ac:dyDescent="0.25">
      <c r="A58" s="5">
        <v>2029844785</v>
      </c>
      <c r="B58" s="5" t="s">
        <v>227</v>
      </c>
      <c r="C58" s="5" t="s">
        <v>378</v>
      </c>
      <c r="D58" s="5" t="str">
        <f t="shared" si="3"/>
        <v>CAMPANELLA ANTHONY</v>
      </c>
      <c r="E58" s="5" t="s">
        <v>78</v>
      </c>
      <c r="F58" s="5" t="s">
        <v>114</v>
      </c>
      <c r="G58" s="5" t="s">
        <v>581</v>
      </c>
      <c r="H58" s="5">
        <v>16912722</v>
      </c>
      <c r="I58" s="5" t="s">
        <v>139</v>
      </c>
      <c r="J58" s="5" t="s">
        <v>140</v>
      </c>
      <c r="K58" s="5" t="str">
        <f t="shared" si="4"/>
        <v>ANDREA PETRUNGARO</v>
      </c>
      <c r="L58" s="6">
        <v>45849</v>
      </c>
      <c r="M58" s="6">
        <v>45972</v>
      </c>
      <c r="N58" s="7">
        <v>7.09</v>
      </c>
      <c r="O58" s="5">
        <f t="shared" si="5"/>
        <v>4</v>
      </c>
      <c r="P58" s="5" t="s">
        <v>181</v>
      </c>
      <c r="Q58" s="5" t="s">
        <v>754</v>
      </c>
      <c r="R58" s="8">
        <v>0.38</v>
      </c>
      <c r="S58" s="5" t="s">
        <v>60</v>
      </c>
      <c r="T58" s="5" t="s">
        <v>182</v>
      </c>
      <c r="U58" s="7">
        <v>2.69</v>
      </c>
      <c r="V58" s="5" t="s">
        <v>576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</row>
    <row r="59" spans="1:54" x14ac:dyDescent="0.25">
      <c r="A59" s="5">
        <v>2029955374</v>
      </c>
      <c r="B59" s="5" t="s">
        <v>302</v>
      </c>
      <c r="C59" s="5" t="s">
        <v>278</v>
      </c>
      <c r="D59" s="5" t="str">
        <f t="shared" si="3"/>
        <v>MELISSA LOUIE</v>
      </c>
      <c r="E59" s="5" t="s">
        <v>69</v>
      </c>
      <c r="F59" s="5" t="s">
        <v>114</v>
      </c>
      <c r="G59" s="5" t="s">
        <v>576</v>
      </c>
      <c r="H59" s="5">
        <v>6634327</v>
      </c>
      <c r="I59" s="5" t="s">
        <v>303</v>
      </c>
      <c r="J59" s="5" t="s">
        <v>304</v>
      </c>
      <c r="K59" s="5" t="str">
        <f t="shared" si="4"/>
        <v>Joel Lee</v>
      </c>
      <c r="L59" s="6">
        <v>45853</v>
      </c>
      <c r="M59" s="6">
        <v>45976</v>
      </c>
      <c r="N59" s="7">
        <v>33.31</v>
      </c>
      <c r="O59" s="5">
        <f t="shared" si="5"/>
        <v>4</v>
      </c>
      <c r="P59" s="5" t="s">
        <v>181</v>
      </c>
      <c r="Q59" s="5" t="s">
        <v>754</v>
      </c>
      <c r="R59" s="8">
        <v>0.38</v>
      </c>
      <c r="S59" s="5" t="s">
        <v>60</v>
      </c>
      <c r="T59" s="5" t="s">
        <v>182</v>
      </c>
      <c r="U59" s="7">
        <v>12.66</v>
      </c>
      <c r="V59" s="5" t="s">
        <v>576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</row>
    <row r="60" spans="1:54" x14ac:dyDescent="0.25">
      <c r="A60" s="5">
        <v>2028679376</v>
      </c>
      <c r="B60" s="5" t="s">
        <v>586</v>
      </c>
      <c r="C60" s="5" t="s">
        <v>403</v>
      </c>
      <c r="D60" s="5" t="str">
        <f t="shared" si="3"/>
        <v>SCOTT HALL</v>
      </c>
      <c r="E60" s="5" t="s">
        <v>78</v>
      </c>
      <c r="F60" s="5" t="s">
        <v>587</v>
      </c>
      <c r="G60" s="5" t="s">
        <v>588</v>
      </c>
      <c r="H60" s="5">
        <v>19681796</v>
      </c>
      <c r="I60" s="5" t="s">
        <v>566</v>
      </c>
      <c r="J60" s="5" t="s">
        <v>567</v>
      </c>
      <c r="K60" s="5" t="str">
        <f t="shared" si="4"/>
        <v>CHRISTIAN TAUGNER</v>
      </c>
      <c r="L60" s="6">
        <v>45778</v>
      </c>
      <c r="M60" s="6">
        <v>45901</v>
      </c>
      <c r="N60" s="7">
        <v>-129.44</v>
      </c>
      <c r="O60" s="5">
        <f t="shared" si="5"/>
        <v>4</v>
      </c>
      <c r="P60" s="5" t="s">
        <v>181</v>
      </c>
      <c r="Q60" s="5" t="s">
        <v>754</v>
      </c>
      <c r="R60" s="8">
        <v>0.26</v>
      </c>
      <c r="S60" s="5" t="s">
        <v>60</v>
      </c>
      <c r="T60" s="5" t="s">
        <v>182</v>
      </c>
      <c r="U60" s="7">
        <v>-33.65</v>
      </c>
      <c r="V60" s="5" t="s">
        <v>759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</row>
    <row r="61" spans="1:54" x14ac:dyDescent="0.25">
      <c r="A61" s="5">
        <v>2029894409</v>
      </c>
      <c r="B61" s="5" t="s">
        <v>90</v>
      </c>
      <c r="C61" s="5" t="s">
        <v>553</v>
      </c>
      <c r="D61" s="5" t="str">
        <f t="shared" si="3"/>
        <v>DEBELLIS JOHN</v>
      </c>
      <c r="E61" s="5" t="s">
        <v>107</v>
      </c>
      <c r="F61" s="5" t="s">
        <v>116</v>
      </c>
      <c r="G61" s="5" t="s">
        <v>125</v>
      </c>
      <c r="H61" s="5">
        <v>20724564</v>
      </c>
      <c r="I61" s="5" t="s">
        <v>108</v>
      </c>
      <c r="J61" s="5" t="s">
        <v>109</v>
      </c>
      <c r="K61" s="5" t="str">
        <f t="shared" si="4"/>
        <v>Marsha Sanderock</v>
      </c>
      <c r="L61" s="6">
        <v>45849</v>
      </c>
      <c r="M61" s="6">
        <v>45972</v>
      </c>
      <c r="N61" s="7">
        <v>4.7699999999999996</v>
      </c>
      <c r="O61" s="5">
        <f t="shared" si="5"/>
        <v>4</v>
      </c>
      <c r="P61" s="5" t="s">
        <v>181</v>
      </c>
      <c r="Q61" s="5" t="s">
        <v>754</v>
      </c>
      <c r="R61" s="8">
        <v>0.7</v>
      </c>
      <c r="S61" s="5" t="s">
        <v>60</v>
      </c>
      <c r="T61" s="5" t="s">
        <v>182</v>
      </c>
      <c r="U61" s="7">
        <v>3.34</v>
      </c>
      <c r="V61" s="5" t="s">
        <v>125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spans="1:54" x14ac:dyDescent="0.25">
      <c r="A62" s="5">
        <v>2029969604</v>
      </c>
      <c r="B62" s="5" t="s">
        <v>309</v>
      </c>
      <c r="C62" s="5" t="s">
        <v>310</v>
      </c>
      <c r="D62" s="5" t="str">
        <f t="shared" si="3"/>
        <v>STEPHEN DUNCAN</v>
      </c>
      <c r="E62" s="5" t="s">
        <v>69</v>
      </c>
      <c r="F62" s="5" t="s">
        <v>116</v>
      </c>
      <c r="G62" s="5" t="s">
        <v>125</v>
      </c>
      <c r="H62" s="5">
        <v>16865615</v>
      </c>
      <c r="I62" s="5" t="s">
        <v>71</v>
      </c>
      <c r="J62" s="5" t="s">
        <v>72</v>
      </c>
      <c r="K62" s="5" t="str">
        <f t="shared" si="4"/>
        <v>Heather Geske</v>
      </c>
      <c r="L62" s="6">
        <v>45854</v>
      </c>
      <c r="M62" s="6">
        <v>45977</v>
      </c>
      <c r="N62" s="7">
        <v>9.1</v>
      </c>
      <c r="O62" s="5">
        <f t="shared" si="5"/>
        <v>4</v>
      </c>
      <c r="P62" s="5" t="s">
        <v>181</v>
      </c>
      <c r="Q62" s="5" t="s">
        <v>754</v>
      </c>
      <c r="R62" s="8">
        <v>0.7</v>
      </c>
      <c r="S62" s="5" t="s">
        <v>60</v>
      </c>
      <c r="T62" s="5" t="s">
        <v>182</v>
      </c>
      <c r="U62" s="7">
        <v>6.37</v>
      </c>
      <c r="V62" s="5" t="s">
        <v>125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</row>
    <row r="63" spans="1:54" x14ac:dyDescent="0.25">
      <c r="A63" s="5">
        <v>2029955372</v>
      </c>
      <c r="B63" s="5" t="s">
        <v>302</v>
      </c>
      <c r="C63" s="5" t="s">
        <v>278</v>
      </c>
      <c r="D63" s="5" t="str">
        <f t="shared" si="3"/>
        <v>MELISSA LOUIE</v>
      </c>
      <c r="E63" s="5" t="s">
        <v>69</v>
      </c>
      <c r="F63" s="5" t="s">
        <v>116</v>
      </c>
      <c r="G63" s="5" t="s">
        <v>125</v>
      </c>
      <c r="H63" s="5">
        <v>6634327</v>
      </c>
      <c r="I63" s="5" t="s">
        <v>303</v>
      </c>
      <c r="J63" s="5" t="s">
        <v>304</v>
      </c>
      <c r="K63" s="5" t="str">
        <f t="shared" si="4"/>
        <v>Joel Lee</v>
      </c>
      <c r="L63" s="6">
        <v>45853</v>
      </c>
      <c r="M63" s="6">
        <v>45976</v>
      </c>
      <c r="N63" s="7">
        <v>9.6999999999999993</v>
      </c>
      <c r="O63" s="5">
        <f t="shared" si="5"/>
        <v>4</v>
      </c>
      <c r="P63" s="5" t="s">
        <v>181</v>
      </c>
      <c r="Q63" s="5" t="s">
        <v>754</v>
      </c>
      <c r="R63" s="8">
        <v>0.7</v>
      </c>
      <c r="S63" s="5" t="s">
        <v>60</v>
      </c>
      <c r="T63" s="5" t="s">
        <v>182</v>
      </c>
      <c r="U63" s="7">
        <v>6.79</v>
      </c>
      <c r="V63" s="5" t="s">
        <v>125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</row>
    <row r="64" spans="1:54" x14ac:dyDescent="0.25">
      <c r="A64" s="5">
        <v>2029957806</v>
      </c>
      <c r="B64" s="5" t="s">
        <v>558</v>
      </c>
      <c r="C64" s="5" t="s">
        <v>559</v>
      </c>
      <c r="D64" s="5" t="str">
        <f t="shared" si="3"/>
        <v>JULIE JENSEN</v>
      </c>
      <c r="E64" s="5" t="s">
        <v>107</v>
      </c>
      <c r="F64" s="5" t="s">
        <v>116</v>
      </c>
      <c r="G64" s="5" t="s">
        <v>125</v>
      </c>
      <c r="H64" s="5">
        <v>20724564</v>
      </c>
      <c r="I64" s="5" t="s">
        <v>108</v>
      </c>
      <c r="J64" s="5" t="s">
        <v>109</v>
      </c>
      <c r="K64" s="5" t="str">
        <f t="shared" si="4"/>
        <v>Marsha Sanderock</v>
      </c>
      <c r="L64" s="6">
        <v>45854</v>
      </c>
      <c r="M64" s="6">
        <v>45977</v>
      </c>
      <c r="N64" s="7">
        <v>12.4</v>
      </c>
      <c r="O64" s="5">
        <f t="shared" si="5"/>
        <v>4</v>
      </c>
      <c r="P64" s="5" t="s">
        <v>181</v>
      </c>
      <c r="Q64" s="5" t="s">
        <v>754</v>
      </c>
      <c r="R64" s="8">
        <v>0.7</v>
      </c>
      <c r="S64" s="5" t="s">
        <v>60</v>
      </c>
      <c r="T64" s="5" t="s">
        <v>182</v>
      </c>
      <c r="U64" s="7">
        <v>8.68</v>
      </c>
      <c r="V64" s="5" t="s">
        <v>125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</row>
    <row r="65" spans="1:54" x14ac:dyDescent="0.25">
      <c r="A65" s="5">
        <v>2029985852</v>
      </c>
      <c r="B65" s="5" t="s">
        <v>562</v>
      </c>
      <c r="C65" s="5" t="s">
        <v>140</v>
      </c>
      <c r="D65" s="5" t="str">
        <f t="shared" si="3"/>
        <v>ANDREA ACHIMAS</v>
      </c>
      <c r="E65" s="5" t="s">
        <v>78</v>
      </c>
      <c r="F65" s="5" t="s">
        <v>116</v>
      </c>
      <c r="G65" s="5" t="s">
        <v>125</v>
      </c>
      <c r="H65" s="5">
        <v>16633294</v>
      </c>
      <c r="I65" s="5" t="s">
        <v>65</v>
      </c>
      <c r="J65" s="5" t="s">
        <v>66</v>
      </c>
      <c r="K65" s="5" t="str">
        <f t="shared" si="4"/>
        <v>Richard Yale</v>
      </c>
      <c r="L65" s="6">
        <v>45855</v>
      </c>
      <c r="M65" s="6">
        <v>45978</v>
      </c>
      <c r="N65" s="7">
        <v>15.75</v>
      </c>
      <c r="O65" s="5">
        <f t="shared" si="5"/>
        <v>4</v>
      </c>
      <c r="P65" s="5" t="s">
        <v>181</v>
      </c>
      <c r="Q65" s="5" t="s">
        <v>754</v>
      </c>
      <c r="R65" s="8">
        <v>0.7</v>
      </c>
      <c r="S65" s="5" t="s">
        <v>60</v>
      </c>
      <c r="T65" s="5" t="s">
        <v>182</v>
      </c>
      <c r="U65" s="7">
        <v>11.02</v>
      </c>
      <c r="V65" s="5" t="s">
        <v>125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spans="1:54" x14ac:dyDescent="0.25">
      <c r="A66" s="5">
        <v>2029963379</v>
      </c>
      <c r="B66" s="5" t="s">
        <v>693</v>
      </c>
      <c r="C66" s="5" t="s">
        <v>694</v>
      </c>
      <c r="D66" s="5" t="str">
        <f t="shared" si="3"/>
        <v>BATTSETSEG TUMENBAYAR</v>
      </c>
      <c r="E66" s="5" t="s">
        <v>78</v>
      </c>
      <c r="F66" s="5" t="s">
        <v>116</v>
      </c>
      <c r="G66" s="5" t="s">
        <v>125</v>
      </c>
      <c r="H66" s="5">
        <v>20220688</v>
      </c>
      <c r="I66" s="5" t="s">
        <v>151</v>
      </c>
      <c r="J66" s="5" t="s">
        <v>152</v>
      </c>
      <c r="K66" s="5" t="str">
        <f t="shared" si="4"/>
        <v>NASANDELGER ZANA</v>
      </c>
      <c r="L66" s="6">
        <v>45854</v>
      </c>
      <c r="M66" s="6">
        <v>45977</v>
      </c>
      <c r="N66" s="7">
        <v>20.56</v>
      </c>
      <c r="O66" s="5">
        <f t="shared" si="5"/>
        <v>4</v>
      </c>
      <c r="P66" s="5" t="s">
        <v>181</v>
      </c>
      <c r="Q66" s="5" t="s">
        <v>754</v>
      </c>
      <c r="R66" s="8">
        <v>0.7</v>
      </c>
      <c r="S66" s="5" t="s">
        <v>60</v>
      </c>
      <c r="T66" s="5" t="s">
        <v>182</v>
      </c>
      <c r="U66" s="7">
        <v>14.39</v>
      </c>
      <c r="V66" s="5" t="s">
        <v>125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</row>
    <row r="67" spans="1:54" x14ac:dyDescent="0.25">
      <c r="A67" s="5">
        <v>2029994615</v>
      </c>
      <c r="B67" s="5" t="s">
        <v>701</v>
      </c>
      <c r="C67" s="5" t="s">
        <v>702</v>
      </c>
      <c r="D67" s="5" t="str">
        <f t="shared" ref="D67:D130" si="6">CONCATENATE(C67, " ",B67)</f>
        <v>STACIE GIBSON</v>
      </c>
      <c r="E67" s="5" t="s">
        <v>219</v>
      </c>
      <c r="F67" s="5" t="s">
        <v>116</v>
      </c>
      <c r="G67" s="5" t="s">
        <v>125</v>
      </c>
      <c r="H67" s="5">
        <v>19681796</v>
      </c>
      <c r="I67" s="5" t="s">
        <v>566</v>
      </c>
      <c r="J67" s="5" t="s">
        <v>567</v>
      </c>
      <c r="K67" s="5" t="str">
        <f t="shared" ref="K67:K130" si="7">CONCATENATE(J67, " ",I67)</f>
        <v>CHRISTIAN TAUGNER</v>
      </c>
      <c r="L67" s="6">
        <v>45855</v>
      </c>
      <c r="M67" s="6">
        <v>45978</v>
      </c>
      <c r="N67" s="7">
        <v>28.45</v>
      </c>
      <c r="O67" s="5">
        <f t="shared" ref="O67:O130" si="8">DATEDIF(L67,M67,"M")</f>
        <v>4</v>
      </c>
      <c r="P67" s="5" t="s">
        <v>181</v>
      </c>
      <c r="Q67" s="5" t="s">
        <v>754</v>
      </c>
      <c r="R67" s="8">
        <v>0.7</v>
      </c>
      <c r="S67" s="5" t="s">
        <v>60</v>
      </c>
      <c r="T67" s="5" t="s">
        <v>182</v>
      </c>
      <c r="U67" s="7">
        <v>19.920000000000002</v>
      </c>
      <c r="V67" s="5" t="s">
        <v>125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</row>
    <row r="68" spans="1:54" x14ac:dyDescent="0.25">
      <c r="A68" s="5">
        <v>2029910891</v>
      </c>
      <c r="B68" s="5" t="s">
        <v>556</v>
      </c>
      <c r="C68" s="5" t="s">
        <v>557</v>
      </c>
      <c r="D68" s="5" t="str">
        <f t="shared" si="6"/>
        <v>LINN ZABRINA</v>
      </c>
      <c r="E68" s="5" t="s">
        <v>91</v>
      </c>
      <c r="F68" s="5" t="s">
        <v>116</v>
      </c>
      <c r="G68" s="5" t="s">
        <v>125</v>
      </c>
      <c r="H68" s="5">
        <v>18201929</v>
      </c>
      <c r="I68" s="5" t="s">
        <v>156</v>
      </c>
      <c r="J68" s="5" t="s">
        <v>157</v>
      </c>
      <c r="K68" s="5" t="str">
        <f t="shared" si="7"/>
        <v>Jake Shulman</v>
      </c>
      <c r="L68" s="6">
        <v>45850</v>
      </c>
      <c r="M68" s="6">
        <v>45973</v>
      </c>
      <c r="N68" s="7">
        <v>44.15</v>
      </c>
      <c r="O68" s="5">
        <f t="shared" si="8"/>
        <v>4</v>
      </c>
      <c r="P68" s="5" t="s">
        <v>181</v>
      </c>
      <c r="Q68" s="5" t="s">
        <v>754</v>
      </c>
      <c r="R68" s="8">
        <v>0.7</v>
      </c>
      <c r="S68" s="5" t="s">
        <v>60</v>
      </c>
      <c r="T68" s="5" t="s">
        <v>182</v>
      </c>
      <c r="U68" s="7">
        <v>30.9</v>
      </c>
      <c r="V68" s="5" t="s">
        <v>125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</row>
    <row r="69" spans="1:54" x14ac:dyDescent="0.25">
      <c r="A69" s="5">
        <v>2029958337</v>
      </c>
      <c r="B69" s="5" t="s">
        <v>174</v>
      </c>
      <c r="C69" s="5" t="s">
        <v>692</v>
      </c>
      <c r="D69" s="5" t="str">
        <f t="shared" si="6"/>
        <v>KOREY PATRICK</v>
      </c>
      <c r="E69" s="5" t="s">
        <v>78</v>
      </c>
      <c r="F69" s="5" t="s">
        <v>116</v>
      </c>
      <c r="G69" s="5" t="s">
        <v>125</v>
      </c>
      <c r="H69" s="5">
        <v>21436172</v>
      </c>
      <c r="I69" s="5" t="s">
        <v>688</v>
      </c>
      <c r="J69" s="5" t="s">
        <v>689</v>
      </c>
      <c r="K69" s="5" t="str">
        <f t="shared" si="7"/>
        <v>Latesha Rose</v>
      </c>
      <c r="L69" s="6">
        <v>45853</v>
      </c>
      <c r="M69" s="6">
        <v>45976</v>
      </c>
      <c r="N69" s="7">
        <v>56.5</v>
      </c>
      <c r="O69" s="5">
        <f t="shared" si="8"/>
        <v>4</v>
      </c>
      <c r="P69" s="5" t="s">
        <v>181</v>
      </c>
      <c r="Q69" s="5" t="s">
        <v>754</v>
      </c>
      <c r="R69" s="8">
        <v>0.7</v>
      </c>
      <c r="S69" s="5" t="s">
        <v>60</v>
      </c>
      <c r="T69" s="5" t="s">
        <v>182</v>
      </c>
      <c r="U69" s="7">
        <v>39.549999999999997</v>
      </c>
      <c r="V69" s="5" t="s">
        <v>125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</row>
    <row r="70" spans="1:54" x14ac:dyDescent="0.25">
      <c r="A70" s="5">
        <v>2029968823</v>
      </c>
      <c r="B70" s="5" t="s">
        <v>148</v>
      </c>
      <c r="C70" s="5" t="s">
        <v>261</v>
      </c>
      <c r="D70" s="5" t="str">
        <f t="shared" si="6"/>
        <v>GREGORY THOMAS</v>
      </c>
      <c r="E70" s="5" t="s">
        <v>78</v>
      </c>
      <c r="F70" s="5" t="s">
        <v>116</v>
      </c>
      <c r="G70" s="5" t="s">
        <v>125</v>
      </c>
      <c r="H70" s="5">
        <v>8814784</v>
      </c>
      <c r="I70" s="5" t="s">
        <v>695</v>
      </c>
      <c r="J70" s="5" t="s">
        <v>696</v>
      </c>
      <c r="K70" s="5" t="str">
        <f t="shared" si="7"/>
        <v>FRANK LISKOVEC</v>
      </c>
      <c r="L70" s="6">
        <v>45854</v>
      </c>
      <c r="M70" s="6">
        <v>45977</v>
      </c>
      <c r="N70" s="7">
        <v>62.8</v>
      </c>
      <c r="O70" s="5">
        <f t="shared" si="8"/>
        <v>4</v>
      </c>
      <c r="P70" s="5" t="s">
        <v>181</v>
      </c>
      <c r="Q70" s="5" t="s">
        <v>754</v>
      </c>
      <c r="R70" s="8">
        <v>0.7</v>
      </c>
      <c r="S70" s="5" t="s">
        <v>60</v>
      </c>
      <c r="T70" s="5" t="s">
        <v>182</v>
      </c>
      <c r="U70" s="7">
        <v>43.96</v>
      </c>
      <c r="V70" s="5" t="s">
        <v>125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</row>
    <row r="71" spans="1:54" x14ac:dyDescent="0.25">
      <c r="A71" s="5">
        <v>2029958122</v>
      </c>
      <c r="B71" s="5" t="s">
        <v>690</v>
      </c>
      <c r="C71" s="5" t="s">
        <v>691</v>
      </c>
      <c r="D71" s="5" t="str">
        <f t="shared" si="6"/>
        <v>LATISHA HOLLIS</v>
      </c>
      <c r="E71" s="5" t="s">
        <v>78</v>
      </c>
      <c r="F71" s="5" t="s">
        <v>116</v>
      </c>
      <c r="G71" s="5" t="s">
        <v>125</v>
      </c>
      <c r="H71" s="5">
        <v>21436172</v>
      </c>
      <c r="I71" s="5" t="s">
        <v>688</v>
      </c>
      <c r="J71" s="5" t="s">
        <v>689</v>
      </c>
      <c r="K71" s="5" t="str">
        <f t="shared" si="7"/>
        <v>Latesha Rose</v>
      </c>
      <c r="L71" s="6">
        <v>45853</v>
      </c>
      <c r="M71" s="6">
        <v>45976</v>
      </c>
      <c r="N71" s="7">
        <v>69.25</v>
      </c>
      <c r="O71" s="5">
        <f t="shared" si="8"/>
        <v>4</v>
      </c>
      <c r="P71" s="5" t="s">
        <v>181</v>
      </c>
      <c r="Q71" s="5" t="s">
        <v>754</v>
      </c>
      <c r="R71" s="8">
        <v>0.7</v>
      </c>
      <c r="S71" s="5" t="s">
        <v>60</v>
      </c>
      <c r="T71" s="5" t="s">
        <v>182</v>
      </c>
      <c r="U71" s="7">
        <v>48.48</v>
      </c>
      <c r="V71" s="5" t="s">
        <v>125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</row>
    <row r="72" spans="1:54" s="5" customFormat="1" x14ac:dyDescent="0.25">
      <c r="A72" s="5">
        <v>2029938123</v>
      </c>
      <c r="B72" s="5" t="s">
        <v>297</v>
      </c>
      <c r="C72" s="5" t="s">
        <v>298</v>
      </c>
      <c r="D72" s="5" t="str">
        <f t="shared" si="6"/>
        <v>KENZIE DUKE</v>
      </c>
      <c r="E72" s="5" t="s">
        <v>299</v>
      </c>
      <c r="F72" s="5" t="s">
        <v>116</v>
      </c>
      <c r="G72" s="5" t="s">
        <v>125</v>
      </c>
      <c r="H72" s="5">
        <v>371819</v>
      </c>
      <c r="I72" s="5" t="s">
        <v>147</v>
      </c>
      <c r="J72" s="5" t="s">
        <v>148</v>
      </c>
      <c r="K72" s="5" t="str">
        <f t="shared" si="7"/>
        <v>THOMAS PARDUE</v>
      </c>
      <c r="L72" s="6">
        <v>45853</v>
      </c>
      <c r="M72" s="6">
        <v>45976</v>
      </c>
      <c r="N72" s="7">
        <v>75.900000000000006</v>
      </c>
      <c r="O72" s="5">
        <f t="shared" si="8"/>
        <v>4</v>
      </c>
      <c r="P72" s="5" t="s">
        <v>181</v>
      </c>
      <c r="Q72" s="5" t="s">
        <v>754</v>
      </c>
      <c r="R72" s="8">
        <v>0.7</v>
      </c>
      <c r="S72" s="5" t="s">
        <v>60</v>
      </c>
      <c r="T72" s="5" t="s">
        <v>182</v>
      </c>
      <c r="U72" s="7">
        <v>53.13</v>
      </c>
      <c r="V72" s="5" t="s">
        <v>125</v>
      </c>
    </row>
    <row r="73" spans="1:54" s="5" customFormat="1" x14ac:dyDescent="0.25">
      <c r="A73" s="5">
        <v>2029973759</v>
      </c>
      <c r="B73" s="5" t="s">
        <v>697</v>
      </c>
      <c r="C73" s="5" t="s">
        <v>698</v>
      </c>
      <c r="D73" s="5" t="str">
        <f t="shared" si="6"/>
        <v>ROBERT TOBIAS</v>
      </c>
      <c r="E73" s="5" t="s">
        <v>272</v>
      </c>
      <c r="F73" s="5" t="s">
        <v>116</v>
      </c>
      <c r="G73" s="5" t="s">
        <v>125</v>
      </c>
      <c r="H73" s="5">
        <v>19200754</v>
      </c>
      <c r="I73" s="5" t="s">
        <v>699</v>
      </c>
      <c r="J73" s="5" t="s">
        <v>700</v>
      </c>
      <c r="K73" s="5" t="str">
        <f t="shared" si="7"/>
        <v>RICARDO SANTOS</v>
      </c>
      <c r="L73" s="6">
        <v>45854</v>
      </c>
      <c r="M73" s="6">
        <v>45977</v>
      </c>
      <c r="N73" s="7">
        <v>115.98</v>
      </c>
      <c r="O73" s="5">
        <f t="shared" si="8"/>
        <v>4</v>
      </c>
      <c r="P73" s="5" t="s">
        <v>181</v>
      </c>
      <c r="Q73" s="5" t="s">
        <v>754</v>
      </c>
      <c r="R73" s="8">
        <v>0.7</v>
      </c>
      <c r="S73" s="5" t="s">
        <v>60</v>
      </c>
      <c r="T73" s="5" t="s">
        <v>182</v>
      </c>
      <c r="U73" s="7">
        <v>81.19</v>
      </c>
      <c r="V73" s="5" t="s">
        <v>125</v>
      </c>
    </row>
    <row r="74" spans="1:54" s="5" customFormat="1" x14ac:dyDescent="0.25">
      <c r="A74" s="5">
        <v>2029844783</v>
      </c>
      <c r="B74" s="5" t="s">
        <v>227</v>
      </c>
      <c r="C74" s="5" t="s">
        <v>378</v>
      </c>
      <c r="D74" s="5" t="str">
        <f t="shared" si="6"/>
        <v>CAMPANELLA ANTHONY</v>
      </c>
      <c r="E74" s="5" t="s">
        <v>78</v>
      </c>
      <c r="F74" s="5" t="s">
        <v>116</v>
      </c>
      <c r="G74" s="5" t="s">
        <v>125</v>
      </c>
      <c r="H74" s="5">
        <v>16912722</v>
      </c>
      <c r="I74" s="5" t="s">
        <v>139</v>
      </c>
      <c r="J74" s="5" t="s">
        <v>140</v>
      </c>
      <c r="K74" s="5" t="str">
        <f t="shared" si="7"/>
        <v>ANDREA PETRUNGARO</v>
      </c>
      <c r="L74" s="6">
        <v>45849</v>
      </c>
      <c r="M74" s="6">
        <v>45972</v>
      </c>
      <c r="N74" s="7">
        <v>126.92</v>
      </c>
      <c r="O74" s="5">
        <f t="shared" si="8"/>
        <v>4</v>
      </c>
      <c r="P74" s="5" t="s">
        <v>181</v>
      </c>
      <c r="Q74" s="5" t="s">
        <v>754</v>
      </c>
      <c r="R74" s="8">
        <v>0.7</v>
      </c>
      <c r="S74" s="5" t="s">
        <v>60</v>
      </c>
      <c r="T74" s="5" t="s">
        <v>182</v>
      </c>
      <c r="U74" s="7">
        <v>88.84</v>
      </c>
      <c r="V74" s="5" t="s">
        <v>125</v>
      </c>
      <c r="BB74"/>
    </row>
    <row r="75" spans="1:54" s="5" customFormat="1" x14ac:dyDescent="0.25">
      <c r="A75" s="5">
        <v>2029910878</v>
      </c>
      <c r="B75" s="5" t="s">
        <v>295</v>
      </c>
      <c r="C75" s="5" t="s">
        <v>296</v>
      </c>
      <c r="D75" s="5" t="str">
        <f t="shared" si="6"/>
        <v>DEYANIRA ALMENDAREZ</v>
      </c>
      <c r="E75" s="5" t="s">
        <v>281</v>
      </c>
      <c r="F75" s="5" t="s">
        <v>116</v>
      </c>
      <c r="G75" s="5" t="s">
        <v>125</v>
      </c>
      <c r="H75" s="5">
        <v>21283956</v>
      </c>
      <c r="I75" s="5" t="s">
        <v>277</v>
      </c>
      <c r="J75" s="5" t="s">
        <v>279</v>
      </c>
      <c r="K75" s="5" t="str">
        <f t="shared" si="7"/>
        <v>VICTOR FUENTES</v>
      </c>
      <c r="L75" s="6">
        <v>45850</v>
      </c>
      <c r="M75" s="6">
        <v>45973</v>
      </c>
      <c r="N75" s="7">
        <v>175.37</v>
      </c>
      <c r="O75" s="5">
        <f t="shared" si="8"/>
        <v>4</v>
      </c>
      <c r="P75" s="5" t="s">
        <v>181</v>
      </c>
      <c r="Q75" s="5" t="s">
        <v>754</v>
      </c>
      <c r="R75" s="8">
        <v>0.7</v>
      </c>
      <c r="S75" s="5" t="s">
        <v>60</v>
      </c>
      <c r="T75" s="5" t="s">
        <v>182</v>
      </c>
      <c r="U75" s="7">
        <v>122.76</v>
      </c>
      <c r="V75" s="5" t="s">
        <v>125</v>
      </c>
    </row>
    <row r="76" spans="1:54" s="5" customFormat="1" x14ac:dyDescent="0.25">
      <c r="A76" s="5">
        <v>2029910892</v>
      </c>
      <c r="B76" s="5" t="s">
        <v>556</v>
      </c>
      <c r="C76" s="5" t="s">
        <v>557</v>
      </c>
      <c r="D76" s="5" t="str">
        <f t="shared" si="6"/>
        <v>LINN ZABRINA</v>
      </c>
      <c r="E76" s="5" t="s">
        <v>91</v>
      </c>
      <c r="F76" s="5" t="s">
        <v>92</v>
      </c>
      <c r="G76" s="5" t="s">
        <v>93</v>
      </c>
      <c r="H76" s="5">
        <v>18201929</v>
      </c>
      <c r="I76" s="5" t="s">
        <v>156</v>
      </c>
      <c r="J76" s="5" t="s">
        <v>157</v>
      </c>
      <c r="K76" s="5" t="str">
        <f t="shared" si="7"/>
        <v>Jake Shulman</v>
      </c>
      <c r="L76" s="6">
        <v>45850</v>
      </c>
      <c r="M76" s="6">
        <v>45973</v>
      </c>
      <c r="N76" s="7">
        <v>28.38</v>
      </c>
      <c r="O76" s="5">
        <f t="shared" si="8"/>
        <v>4</v>
      </c>
      <c r="P76" s="5" t="s">
        <v>181</v>
      </c>
      <c r="Q76" s="5" t="s">
        <v>754</v>
      </c>
      <c r="R76" s="9">
        <v>0.375</v>
      </c>
      <c r="S76" s="5" t="s">
        <v>60</v>
      </c>
      <c r="T76" s="5" t="s">
        <v>182</v>
      </c>
      <c r="U76" s="7">
        <v>10.64</v>
      </c>
      <c r="V76" s="5" t="s">
        <v>93</v>
      </c>
      <c r="BB76"/>
    </row>
    <row r="77" spans="1:54" s="5" customFormat="1" x14ac:dyDescent="0.25">
      <c r="A77" s="5">
        <v>2029957805</v>
      </c>
      <c r="B77" s="5" t="s">
        <v>558</v>
      </c>
      <c r="C77" s="5" t="s">
        <v>559</v>
      </c>
      <c r="D77" s="5" t="str">
        <f t="shared" si="6"/>
        <v>JULIE JENSEN</v>
      </c>
      <c r="E77" s="5" t="s">
        <v>107</v>
      </c>
      <c r="F77" s="5" t="s">
        <v>92</v>
      </c>
      <c r="G77" s="5" t="s">
        <v>93</v>
      </c>
      <c r="H77" s="5">
        <v>20724564</v>
      </c>
      <c r="I77" s="5" t="s">
        <v>108</v>
      </c>
      <c r="J77" s="5" t="s">
        <v>109</v>
      </c>
      <c r="K77" s="5" t="str">
        <f t="shared" si="7"/>
        <v>Marsha Sanderock</v>
      </c>
      <c r="L77" s="6">
        <v>45854</v>
      </c>
      <c r="M77" s="6">
        <v>45977</v>
      </c>
      <c r="N77" s="7">
        <v>58.15</v>
      </c>
      <c r="O77" s="5">
        <f t="shared" si="8"/>
        <v>4</v>
      </c>
      <c r="P77" s="5" t="s">
        <v>181</v>
      </c>
      <c r="Q77" s="5" t="s">
        <v>754</v>
      </c>
      <c r="R77" s="9">
        <v>0.375</v>
      </c>
      <c r="S77" s="5" t="s">
        <v>60</v>
      </c>
      <c r="T77" s="5" t="s">
        <v>182</v>
      </c>
      <c r="U77" s="7">
        <v>21.81</v>
      </c>
      <c r="V77" s="5" t="s">
        <v>93</v>
      </c>
    </row>
    <row r="78" spans="1:54" s="5" customFormat="1" x14ac:dyDescent="0.25">
      <c r="A78" s="5">
        <v>2029955371</v>
      </c>
      <c r="B78" s="5" t="s">
        <v>302</v>
      </c>
      <c r="C78" s="5" t="s">
        <v>278</v>
      </c>
      <c r="D78" s="5" t="str">
        <f t="shared" si="6"/>
        <v>MELISSA LOUIE</v>
      </c>
      <c r="E78" s="5" t="s">
        <v>69</v>
      </c>
      <c r="F78" s="5" t="s">
        <v>92</v>
      </c>
      <c r="G78" s="5" t="s">
        <v>93</v>
      </c>
      <c r="H78" s="5">
        <v>6634327</v>
      </c>
      <c r="I78" s="5" t="s">
        <v>303</v>
      </c>
      <c r="J78" s="5" t="s">
        <v>304</v>
      </c>
      <c r="K78" s="5" t="str">
        <f t="shared" si="7"/>
        <v>Joel Lee</v>
      </c>
      <c r="L78" s="6">
        <v>45853</v>
      </c>
      <c r="M78" s="6">
        <v>45976</v>
      </c>
      <c r="N78" s="7">
        <v>63.62</v>
      </c>
      <c r="O78" s="5">
        <f t="shared" si="8"/>
        <v>4</v>
      </c>
      <c r="P78" s="5" t="s">
        <v>181</v>
      </c>
      <c r="Q78" s="5" t="s">
        <v>754</v>
      </c>
      <c r="R78" s="9">
        <v>0.375</v>
      </c>
      <c r="S78" s="5" t="s">
        <v>60</v>
      </c>
      <c r="T78" s="5" t="s">
        <v>182</v>
      </c>
      <c r="U78" s="7">
        <v>23.86</v>
      </c>
      <c r="V78" s="5" t="s">
        <v>93</v>
      </c>
      <c r="BB78"/>
    </row>
    <row r="79" spans="1:54" s="5" customFormat="1" x14ac:dyDescent="0.25">
      <c r="A79" s="5">
        <v>2029969606</v>
      </c>
      <c r="B79" s="5" t="s">
        <v>309</v>
      </c>
      <c r="C79" s="5" t="s">
        <v>310</v>
      </c>
      <c r="D79" s="5" t="str">
        <f t="shared" si="6"/>
        <v>STEPHEN DUNCAN</v>
      </c>
      <c r="E79" s="5" t="s">
        <v>69</v>
      </c>
      <c r="F79" s="5" t="s">
        <v>92</v>
      </c>
      <c r="G79" s="5" t="s">
        <v>93</v>
      </c>
      <c r="H79" s="5">
        <v>16865615</v>
      </c>
      <c r="I79" s="5" t="s">
        <v>71</v>
      </c>
      <c r="J79" s="5" t="s">
        <v>72</v>
      </c>
      <c r="K79" s="5" t="str">
        <f t="shared" si="7"/>
        <v>Heather Geske</v>
      </c>
      <c r="L79" s="6">
        <v>45854</v>
      </c>
      <c r="M79" s="6">
        <v>45977</v>
      </c>
      <c r="N79" s="7">
        <v>63.62</v>
      </c>
      <c r="O79" s="5">
        <f t="shared" si="8"/>
        <v>4</v>
      </c>
      <c r="P79" s="5" t="s">
        <v>181</v>
      </c>
      <c r="Q79" s="5" t="s">
        <v>754</v>
      </c>
      <c r="R79" s="9">
        <v>0.375</v>
      </c>
      <c r="S79" s="5" t="s">
        <v>60</v>
      </c>
      <c r="T79" s="5" t="s">
        <v>182</v>
      </c>
      <c r="U79" s="7">
        <v>23.86</v>
      </c>
      <c r="V79" s="5" t="s">
        <v>93</v>
      </c>
      <c r="BB79"/>
    </row>
    <row r="80" spans="1:54" s="5" customFormat="1" x14ac:dyDescent="0.25">
      <c r="A80" s="5">
        <v>2029938125</v>
      </c>
      <c r="B80" s="5" t="s">
        <v>297</v>
      </c>
      <c r="C80" s="5" t="s">
        <v>298</v>
      </c>
      <c r="D80" s="5" t="str">
        <f t="shared" si="6"/>
        <v>KENZIE DUKE</v>
      </c>
      <c r="E80" s="5" t="s">
        <v>299</v>
      </c>
      <c r="F80" s="5" t="s">
        <v>92</v>
      </c>
      <c r="G80" s="5" t="s">
        <v>93</v>
      </c>
      <c r="H80" s="5">
        <v>371819</v>
      </c>
      <c r="I80" s="5" t="s">
        <v>147</v>
      </c>
      <c r="J80" s="5" t="s">
        <v>148</v>
      </c>
      <c r="K80" s="5" t="str">
        <f t="shared" si="7"/>
        <v>THOMAS PARDUE</v>
      </c>
      <c r="L80" s="6">
        <v>45853</v>
      </c>
      <c r="M80" s="6">
        <v>45976</v>
      </c>
      <c r="N80" s="7">
        <v>110.61</v>
      </c>
      <c r="O80" s="5">
        <f t="shared" si="8"/>
        <v>4</v>
      </c>
      <c r="P80" s="5" t="s">
        <v>181</v>
      </c>
      <c r="Q80" s="5" t="s">
        <v>754</v>
      </c>
      <c r="R80" s="9">
        <v>0.375</v>
      </c>
      <c r="S80" s="5" t="s">
        <v>60</v>
      </c>
      <c r="T80" s="5" t="s">
        <v>182</v>
      </c>
      <c r="U80" s="7">
        <v>41.48</v>
      </c>
      <c r="V80" s="5" t="s">
        <v>93</v>
      </c>
    </row>
    <row r="81" spans="1:54" s="5" customFormat="1" x14ac:dyDescent="0.25">
      <c r="A81" s="5">
        <v>2029985851</v>
      </c>
      <c r="B81" s="5" t="s">
        <v>562</v>
      </c>
      <c r="C81" s="5" t="s">
        <v>140</v>
      </c>
      <c r="D81" s="5" t="str">
        <f t="shared" si="6"/>
        <v>ANDREA ACHIMAS</v>
      </c>
      <c r="E81" s="5" t="s">
        <v>78</v>
      </c>
      <c r="F81" s="5" t="s">
        <v>92</v>
      </c>
      <c r="G81" s="5" t="s">
        <v>93</v>
      </c>
      <c r="H81" s="5">
        <v>16633294</v>
      </c>
      <c r="I81" s="5" t="s">
        <v>65</v>
      </c>
      <c r="J81" s="5" t="s">
        <v>66</v>
      </c>
      <c r="K81" s="5" t="str">
        <f t="shared" si="7"/>
        <v>Richard Yale</v>
      </c>
      <c r="L81" s="6">
        <v>45855</v>
      </c>
      <c r="M81" s="6">
        <v>45978</v>
      </c>
      <c r="N81" s="7">
        <v>149.87</v>
      </c>
      <c r="O81" s="5">
        <f t="shared" si="8"/>
        <v>4</v>
      </c>
      <c r="P81" s="5" t="s">
        <v>181</v>
      </c>
      <c r="Q81" s="5" t="s">
        <v>754</v>
      </c>
      <c r="R81" s="9">
        <v>0.375</v>
      </c>
      <c r="S81" s="5" t="s">
        <v>60</v>
      </c>
      <c r="T81" s="5" t="s">
        <v>182</v>
      </c>
      <c r="U81" s="7">
        <v>56.2</v>
      </c>
      <c r="V81" s="5" t="s">
        <v>93</v>
      </c>
    </row>
    <row r="82" spans="1:54" s="5" customFormat="1" x14ac:dyDescent="0.25">
      <c r="A82" s="5">
        <v>2029894410</v>
      </c>
      <c r="B82" s="5" t="s">
        <v>90</v>
      </c>
      <c r="C82" s="5" t="s">
        <v>553</v>
      </c>
      <c r="D82" s="5" t="str">
        <f t="shared" si="6"/>
        <v>DEBELLIS JOHN</v>
      </c>
      <c r="E82" s="5" t="s">
        <v>107</v>
      </c>
      <c r="F82" s="5" t="s">
        <v>92</v>
      </c>
      <c r="G82" s="5" t="s">
        <v>93</v>
      </c>
      <c r="H82" s="5">
        <v>20724564</v>
      </c>
      <c r="I82" s="5" t="s">
        <v>108</v>
      </c>
      <c r="J82" s="5" t="s">
        <v>109</v>
      </c>
      <c r="K82" s="5" t="str">
        <f t="shared" si="7"/>
        <v>Marsha Sanderock</v>
      </c>
      <c r="L82" s="6">
        <v>45849</v>
      </c>
      <c r="M82" s="6">
        <v>45972</v>
      </c>
      <c r="N82" s="7">
        <v>189.28</v>
      </c>
      <c r="O82" s="5">
        <f t="shared" si="8"/>
        <v>4</v>
      </c>
      <c r="P82" s="5" t="s">
        <v>181</v>
      </c>
      <c r="Q82" s="5" t="s">
        <v>754</v>
      </c>
      <c r="R82" s="9">
        <v>0.375</v>
      </c>
      <c r="S82" s="5" t="s">
        <v>60</v>
      </c>
      <c r="T82" s="5" t="s">
        <v>182</v>
      </c>
      <c r="U82" s="7">
        <v>70.98</v>
      </c>
      <c r="V82" s="5" t="s">
        <v>93</v>
      </c>
      <c r="BB82"/>
    </row>
    <row r="83" spans="1:54" s="5" customFormat="1" x14ac:dyDescent="0.25">
      <c r="A83" s="5">
        <v>2029907849</v>
      </c>
      <c r="B83" s="5" t="s">
        <v>559</v>
      </c>
      <c r="C83" s="5" t="s">
        <v>558</v>
      </c>
      <c r="D83" s="5" t="str">
        <f t="shared" si="6"/>
        <v>JENSEN JULIE</v>
      </c>
      <c r="E83" s="5" t="s">
        <v>107</v>
      </c>
      <c r="F83" s="5" t="s">
        <v>116</v>
      </c>
      <c r="G83" s="5" t="s">
        <v>120</v>
      </c>
      <c r="H83" s="5">
        <v>20724564</v>
      </c>
      <c r="I83" s="5" t="s">
        <v>108</v>
      </c>
      <c r="J83" s="5" t="s">
        <v>109</v>
      </c>
      <c r="K83" s="5" t="str">
        <f t="shared" si="7"/>
        <v>Marsha Sanderock</v>
      </c>
      <c r="L83" s="6">
        <v>45850</v>
      </c>
      <c r="M83" s="6">
        <v>45973</v>
      </c>
      <c r="N83" s="7">
        <v>14.75</v>
      </c>
      <c r="O83" s="5">
        <f t="shared" si="8"/>
        <v>4</v>
      </c>
      <c r="P83" s="5" t="s">
        <v>181</v>
      </c>
      <c r="Q83" s="5" t="s">
        <v>754</v>
      </c>
      <c r="R83" s="8">
        <v>0.9</v>
      </c>
      <c r="S83" s="5" t="s">
        <v>60</v>
      </c>
      <c r="T83" s="5" t="s">
        <v>182</v>
      </c>
      <c r="U83" s="7">
        <v>13.28</v>
      </c>
      <c r="V83" s="5" t="s">
        <v>120</v>
      </c>
    </row>
    <row r="84" spans="1:54" s="5" customFormat="1" x14ac:dyDescent="0.25">
      <c r="A84" s="5">
        <v>2029486075</v>
      </c>
      <c r="B84" s="5" t="s">
        <v>376</v>
      </c>
      <c r="C84" s="5" t="s">
        <v>377</v>
      </c>
      <c r="D84" s="5" t="str">
        <f t="shared" si="6"/>
        <v>TANJA JUKIC</v>
      </c>
      <c r="E84" s="5" t="s">
        <v>78</v>
      </c>
      <c r="F84" s="5" t="s">
        <v>114</v>
      </c>
      <c r="G84" s="5" t="s">
        <v>115</v>
      </c>
      <c r="H84" s="5">
        <v>7470776</v>
      </c>
      <c r="I84" s="5" t="s">
        <v>126</v>
      </c>
      <c r="J84" s="5" t="s">
        <v>127</v>
      </c>
      <c r="K84" s="5" t="str">
        <f t="shared" si="7"/>
        <v>Andrew Choi</v>
      </c>
      <c r="L84" s="6">
        <v>45825</v>
      </c>
      <c r="M84" s="6">
        <v>45978</v>
      </c>
      <c r="N84" s="7">
        <v>139</v>
      </c>
      <c r="O84" s="5">
        <f t="shared" si="8"/>
        <v>5</v>
      </c>
      <c r="P84" s="5" t="s">
        <v>181</v>
      </c>
      <c r="Q84" s="5" t="s">
        <v>754</v>
      </c>
      <c r="R84" s="8">
        <v>0.38</v>
      </c>
      <c r="S84" s="5" t="s">
        <v>60</v>
      </c>
      <c r="T84" s="5" t="s">
        <v>182</v>
      </c>
      <c r="U84" s="7">
        <v>52.82</v>
      </c>
      <c r="V84" s="5" t="s">
        <v>115</v>
      </c>
    </row>
    <row r="85" spans="1:54" s="5" customFormat="1" x14ac:dyDescent="0.25">
      <c r="A85" s="5">
        <v>2029398822</v>
      </c>
      <c r="B85" s="5" t="s">
        <v>672</v>
      </c>
      <c r="C85" s="5" t="s">
        <v>343</v>
      </c>
      <c r="D85" s="5" t="str">
        <f t="shared" si="6"/>
        <v>LISA BOWSER</v>
      </c>
      <c r="E85" s="5" t="s">
        <v>673</v>
      </c>
      <c r="F85" s="5" t="s">
        <v>116</v>
      </c>
      <c r="G85" s="5" t="s">
        <v>429</v>
      </c>
      <c r="H85" s="5">
        <v>18201929</v>
      </c>
      <c r="I85" s="5" t="s">
        <v>156</v>
      </c>
      <c r="J85" s="5" t="s">
        <v>157</v>
      </c>
      <c r="K85" s="5" t="str">
        <f t="shared" si="7"/>
        <v>Jake Shulman</v>
      </c>
      <c r="L85" s="6">
        <v>45819</v>
      </c>
      <c r="M85" s="6">
        <v>45972</v>
      </c>
      <c r="N85" s="7">
        <v>12.83</v>
      </c>
      <c r="O85" s="5">
        <f t="shared" si="8"/>
        <v>5</v>
      </c>
      <c r="P85" s="5" t="s">
        <v>181</v>
      </c>
      <c r="Q85" s="5" t="s">
        <v>754</v>
      </c>
      <c r="R85" s="8">
        <v>0.42</v>
      </c>
      <c r="S85" s="5" t="s">
        <v>60</v>
      </c>
      <c r="T85" s="5" t="s">
        <v>182</v>
      </c>
      <c r="U85" s="7">
        <v>5.39</v>
      </c>
      <c r="V85" s="5" t="s">
        <v>429</v>
      </c>
    </row>
    <row r="86" spans="1:54" s="5" customFormat="1" x14ac:dyDescent="0.25">
      <c r="A86" s="5">
        <v>2029486077</v>
      </c>
      <c r="B86" s="5" t="s">
        <v>376</v>
      </c>
      <c r="C86" s="5" t="s">
        <v>377</v>
      </c>
      <c r="D86" s="5" t="str">
        <f t="shared" si="6"/>
        <v>TANJA JUKIC</v>
      </c>
      <c r="E86" s="5" t="s">
        <v>78</v>
      </c>
      <c r="F86" s="5" t="s">
        <v>79</v>
      </c>
      <c r="G86" s="5" t="s">
        <v>80</v>
      </c>
      <c r="H86" s="5">
        <v>7470776</v>
      </c>
      <c r="I86" s="5" t="s">
        <v>126</v>
      </c>
      <c r="J86" s="5" t="s">
        <v>127</v>
      </c>
      <c r="K86" s="5" t="str">
        <f t="shared" si="7"/>
        <v>Andrew Choi</v>
      </c>
      <c r="L86" s="6">
        <v>45825</v>
      </c>
      <c r="M86" s="6">
        <v>45978</v>
      </c>
      <c r="N86" s="7">
        <v>15</v>
      </c>
      <c r="O86" s="5">
        <f t="shared" si="8"/>
        <v>5</v>
      </c>
      <c r="P86" s="5" t="s">
        <v>181</v>
      </c>
      <c r="Q86" s="5" t="s">
        <v>754</v>
      </c>
      <c r="R86" s="8">
        <v>0.38</v>
      </c>
      <c r="S86" s="5" t="s">
        <v>60</v>
      </c>
      <c r="T86" s="5" t="s">
        <v>182</v>
      </c>
      <c r="U86" s="7">
        <v>5.7</v>
      </c>
      <c r="V86" s="5" t="s">
        <v>80</v>
      </c>
    </row>
    <row r="87" spans="1:54" s="5" customFormat="1" x14ac:dyDescent="0.25">
      <c r="A87" s="5">
        <v>2029486076</v>
      </c>
      <c r="B87" s="5" t="s">
        <v>376</v>
      </c>
      <c r="C87" s="5" t="s">
        <v>377</v>
      </c>
      <c r="D87" s="5" t="str">
        <f t="shared" si="6"/>
        <v>TANJA JUKIC</v>
      </c>
      <c r="E87" s="5" t="s">
        <v>78</v>
      </c>
      <c r="F87" s="5" t="s">
        <v>114</v>
      </c>
      <c r="G87" s="5" t="s">
        <v>581</v>
      </c>
      <c r="H87" s="5">
        <v>7470776</v>
      </c>
      <c r="I87" s="5" t="s">
        <v>126</v>
      </c>
      <c r="J87" s="5" t="s">
        <v>127</v>
      </c>
      <c r="K87" s="5" t="str">
        <f t="shared" si="7"/>
        <v>Andrew Choi</v>
      </c>
      <c r="L87" s="6">
        <v>45825</v>
      </c>
      <c r="M87" s="6">
        <v>45978</v>
      </c>
      <c r="N87" s="7">
        <v>7.09</v>
      </c>
      <c r="O87" s="5">
        <f t="shared" si="8"/>
        <v>5</v>
      </c>
      <c r="P87" s="5" t="s">
        <v>181</v>
      </c>
      <c r="Q87" s="5" t="s">
        <v>754</v>
      </c>
      <c r="R87" s="8">
        <v>0.38</v>
      </c>
      <c r="S87" s="5" t="s">
        <v>60</v>
      </c>
      <c r="T87" s="5" t="s">
        <v>182</v>
      </c>
      <c r="U87" s="7">
        <v>2.69</v>
      </c>
      <c r="V87" s="5" t="s">
        <v>576</v>
      </c>
    </row>
    <row r="88" spans="1:54" s="5" customFormat="1" x14ac:dyDescent="0.25">
      <c r="A88" s="5">
        <v>2028679376</v>
      </c>
      <c r="B88" s="5" t="s">
        <v>586</v>
      </c>
      <c r="C88" s="5" t="s">
        <v>403</v>
      </c>
      <c r="D88" s="5" t="str">
        <f t="shared" si="6"/>
        <v>SCOTT HALL</v>
      </c>
      <c r="E88" s="5" t="s">
        <v>78</v>
      </c>
      <c r="F88" s="5" t="s">
        <v>587</v>
      </c>
      <c r="G88" s="5" t="s">
        <v>588</v>
      </c>
      <c r="H88" s="5">
        <v>19681796</v>
      </c>
      <c r="I88" s="5" t="s">
        <v>566</v>
      </c>
      <c r="J88" s="5" t="s">
        <v>567</v>
      </c>
      <c r="K88" s="5" t="str">
        <f t="shared" si="7"/>
        <v>CHRISTIAN TAUGNER</v>
      </c>
      <c r="L88" s="6">
        <v>45778</v>
      </c>
      <c r="M88" s="6">
        <v>45931</v>
      </c>
      <c r="N88" s="7">
        <v>-129.44</v>
      </c>
      <c r="O88" s="5">
        <f t="shared" si="8"/>
        <v>5</v>
      </c>
      <c r="P88" s="5" t="s">
        <v>181</v>
      </c>
      <c r="Q88" s="5" t="s">
        <v>754</v>
      </c>
      <c r="R88" s="8">
        <v>0.26</v>
      </c>
      <c r="S88" s="5" t="s">
        <v>60</v>
      </c>
      <c r="T88" s="5" t="s">
        <v>182</v>
      </c>
      <c r="U88" s="7">
        <v>-33.65</v>
      </c>
      <c r="V88" s="5" t="s">
        <v>759</v>
      </c>
    </row>
    <row r="89" spans="1:54" s="5" customFormat="1" x14ac:dyDescent="0.25">
      <c r="A89" s="5">
        <v>2029481266</v>
      </c>
      <c r="B89" s="5" t="s">
        <v>551</v>
      </c>
      <c r="C89" s="5" t="s">
        <v>552</v>
      </c>
      <c r="D89" s="5" t="str">
        <f t="shared" si="6"/>
        <v>AMBER FLATT</v>
      </c>
      <c r="E89" s="5" t="s">
        <v>107</v>
      </c>
      <c r="F89" s="5" t="s">
        <v>116</v>
      </c>
      <c r="G89" s="5" t="s">
        <v>125</v>
      </c>
      <c r="H89" s="5">
        <v>20724564</v>
      </c>
      <c r="I89" s="5" t="s">
        <v>108</v>
      </c>
      <c r="J89" s="5" t="s">
        <v>109</v>
      </c>
      <c r="K89" s="5" t="str">
        <f t="shared" si="7"/>
        <v>Marsha Sanderock</v>
      </c>
      <c r="L89" s="6">
        <v>45825</v>
      </c>
      <c r="M89" s="6">
        <v>45978</v>
      </c>
      <c r="N89" s="7">
        <v>3.52</v>
      </c>
      <c r="O89" s="5">
        <f t="shared" si="8"/>
        <v>5</v>
      </c>
      <c r="P89" s="5" t="s">
        <v>181</v>
      </c>
      <c r="Q89" s="5" t="s">
        <v>754</v>
      </c>
      <c r="R89" s="8">
        <v>0.7</v>
      </c>
      <c r="S89" s="5" t="s">
        <v>60</v>
      </c>
      <c r="T89" s="5" t="s">
        <v>182</v>
      </c>
      <c r="U89" s="7">
        <v>2.46</v>
      </c>
      <c r="V89" s="5" t="s">
        <v>125</v>
      </c>
      <c r="BB89"/>
    </row>
    <row r="90" spans="1:54" s="5" customFormat="1" x14ac:dyDescent="0.25">
      <c r="A90" s="5">
        <v>2029413864</v>
      </c>
      <c r="B90" s="5" t="s">
        <v>549</v>
      </c>
      <c r="C90" s="5" t="s">
        <v>550</v>
      </c>
      <c r="D90" s="5" t="str">
        <f t="shared" si="6"/>
        <v>MARTHA HERNANDEZ</v>
      </c>
      <c r="E90" s="5" t="s">
        <v>91</v>
      </c>
      <c r="F90" s="5" t="s">
        <v>116</v>
      </c>
      <c r="G90" s="5" t="s">
        <v>125</v>
      </c>
      <c r="H90" s="5">
        <v>16633294</v>
      </c>
      <c r="I90" s="5" t="s">
        <v>65</v>
      </c>
      <c r="J90" s="5" t="s">
        <v>66</v>
      </c>
      <c r="K90" s="5" t="str">
        <f t="shared" si="7"/>
        <v>Richard Yale</v>
      </c>
      <c r="L90" s="6">
        <v>45820</v>
      </c>
      <c r="M90" s="6">
        <v>45973</v>
      </c>
      <c r="N90" s="7">
        <v>13</v>
      </c>
      <c r="O90" s="5">
        <f t="shared" si="8"/>
        <v>5</v>
      </c>
      <c r="P90" s="5" t="s">
        <v>181</v>
      </c>
      <c r="Q90" s="5" t="s">
        <v>754</v>
      </c>
      <c r="R90" s="8">
        <v>0.7</v>
      </c>
      <c r="S90" s="5" t="s">
        <v>60</v>
      </c>
      <c r="T90" s="5" t="s">
        <v>182</v>
      </c>
      <c r="U90" s="7">
        <v>9.1</v>
      </c>
      <c r="V90" s="5" t="s">
        <v>125</v>
      </c>
      <c r="BB90"/>
    </row>
    <row r="91" spans="1:54" s="5" customFormat="1" x14ac:dyDescent="0.25">
      <c r="A91" s="5">
        <v>2029432398</v>
      </c>
      <c r="B91" s="5" t="s">
        <v>677</v>
      </c>
      <c r="C91" s="5" t="s">
        <v>678</v>
      </c>
      <c r="D91" s="5" t="str">
        <f t="shared" si="6"/>
        <v>TSENGELMAA DORJKHAND</v>
      </c>
      <c r="E91" s="5" t="s">
        <v>78</v>
      </c>
      <c r="F91" s="5" t="s">
        <v>116</v>
      </c>
      <c r="G91" s="5" t="s">
        <v>125</v>
      </c>
      <c r="H91" s="5">
        <v>20220688</v>
      </c>
      <c r="I91" s="5" t="s">
        <v>151</v>
      </c>
      <c r="J91" s="5" t="s">
        <v>152</v>
      </c>
      <c r="K91" s="5" t="str">
        <f t="shared" si="7"/>
        <v>NASANDELGER ZANA</v>
      </c>
      <c r="L91" s="6">
        <v>45821</v>
      </c>
      <c r="M91" s="6">
        <v>45974</v>
      </c>
      <c r="N91" s="7">
        <v>19</v>
      </c>
      <c r="O91" s="5">
        <f t="shared" si="8"/>
        <v>5</v>
      </c>
      <c r="P91" s="5" t="s">
        <v>181</v>
      </c>
      <c r="Q91" s="5" t="s">
        <v>754</v>
      </c>
      <c r="R91" s="8">
        <v>0.7</v>
      </c>
      <c r="S91" s="5" t="s">
        <v>60</v>
      </c>
      <c r="T91" s="5" t="s">
        <v>182</v>
      </c>
      <c r="U91" s="7">
        <v>13.3</v>
      </c>
      <c r="V91" s="5" t="s">
        <v>125</v>
      </c>
      <c r="BB91"/>
    </row>
    <row r="92" spans="1:54" s="5" customFormat="1" x14ac:dyDescent="0.25">
      <c r="A92" s="5">
        <v>2029486074</v>
      </c>
      <c r="B92" s="5" t="s">
        <v>376</v>
      </c>
      <c r="C92" s="5" t="s">
        <v>377</v>
      </c>
      <c r="D92" s="5" t="str">
        <f t="shared" si="6"/>
        <v>TANJA JUKIC</v>
      </c>
      <c r="E92" s="5" t="s">
        <v>78</v>
      </c>
      <c r="F92" s="5" t="s">
        <v>116</v>
      </c>
      <c r="G92" s="5" t="s">
        <v>125</v>
      </c>
      <c r="H92" s="5">
        <v>7470776</v>
      </c>
      <c r="I92" s="5" t="s">
        <v>126</v>
      </c>
      <c r="J92" s="5" t="s">
        <v>127</v>
      </c>
      <c r="K92" s="5" t="str">
        <f t="shared" si="7"/>
        <v>Andrew Choi</v>
      </c>
      <c r="L92" s="6">
        <v>45825</v>
      </c>
      <c r="M92" s="6">
        <v>45978</v>
      </c>
      <c r="N92" s="7">
        <v>34.68</v>
      </c>
      <c r="O92" s="5">
        <f t="shared" si="8"/>
        <v>5</v>
      </c>
      <c r="P92" s="5" t="s">
        <v>181</v>
      </c>
      <c r="Q92" s="5" t="s">
        <v>754</v>
      </c>
      <c r="R92" s="8">
        <v>0.7</v>
      </c>
      <c r="S92" s="5" t="s">
        <v>60</v>
      </c>
      <c r="T92" s="5" t="s">
        <v>182</v>
      </c>
      <c r="U92" s="7">
        <v>24.28</v>
      </c>
      <c r="V92" s="5" t="s">
        <v>125</v>
      </c>
    </row>
    <row r="93" spans="1:54" x14ac:dyDescent="0.25">
      <c r="A93" s="5">
        <v>2029402295</v>
      </c>
      <c r="B93" s="5" t="s">
        <v>674</v>
      </c>
      <c r="C93" s="5" t="s">
        <v>675</v>
      </c>
      <c r="D93" s="5" t="str">
        <f t="shared" si="6"/>
        <v>MARIELLE FARIA</v>
      </c>
      <c r="E93" s="5" t="s">
        <v>78</v>
      </c>
      <c r="F93" s="5" t="s">
        <v>116</v>
      </c>
      <c r="G93" s="5" t="s">
        <v>125</v>
      </c>
      <c r="H93" s="5">
        <v>17143996</v>
      </c>
      <c r="I93" s="5" t="s">
        <v>519</v>
      </c>
      <c r="J93" s="5" t="s">
        <v>520</v>
      </c>
      <c r="K93" s="5" t="str">
        <f t="shared" si="7"/>
        <v>James Allen</v>
      </c>
      <c r="L93" s="6">
        <v>45821</v>
      </c>
      <c r="M93" s="6">
        <v>45974</v>
      </c>
      <c r="N93" s="7">
        <v>42.38</v>
      </c>
      <c r="O93" s="5">
        <f t="shared" si="8"/>
        <v>5</v>
      </c>
      <c r="P93" s="5" t="s">
        <v>181</v>
      </c>
      <c r="Q93" s="5" t="s">
        <v>754</v>
      </c>
      <c r="R93" s="8">
        <v>0.7</v>
      </c>
      <c r="S93" s="5" t="s">
        <v>60</v>
      </c>
      <c r="T93" s="5" t="s">
        <v>182</v>
      </c>
      <c r="U93" s="7">
        <v>29.67</v>
      </c>
      <c r="V93" s="5" t="s">
        <v>125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</row>
    <row r="94" spans="1:54" x14ac:dyDescent="0.25">
      <c r="A94" s="5">
        <v>2029192286</v>
      </c>
      <c r="B94" s="5" t="s">
        <v>671</v>
      </c>
      <c r="C94" s="5" t="s">
        <v>265</v>
      </c>
      <c r="D94" s="5" t="str">
        <f t="shared" si="6"/>
        <v>CONNIE MOONEY</v>
      </c>
      <c r="E94" s="5" t="s">
        <v>91</v>
      </c>
      <c r="F94" s="5" t="s">
        <v>116</v>
      </c>
      <c r="G94" s="5" t="s">
        <v>125</v>
      </c>
      <c r="H94" s="5">
        <v>21283956</v>
      </c>
      <c r="I94" s="5" t="s">
        <v>277</v>
      </c>
      <c r="J94" s="5" t="s">
        <v>279</v>
      </c>
      <c r="K94" s="5" t="str">
        <f t="shared" si="7"/>
        <v>VICTOR FUENTES</v>
      </c>
      <c r="L94" s="6">
        <v>45815</v>
      </c>
      <c r="M94" s="6">
        <v>45968</v>
      </c>
      <c r="N94" s="7">
        <v>68.61</v>
      </c>
      <c r="O94" s="5">
        <f t="shared" si="8"/>
        <v>5</v>
      </c>
      <c r="P94" s="5" t="s">
        <v>181</v>
      </c>
      <c r="Q94" s="5" t="s">
        <v>754</v>
      </c>
      <c r="R94" s="8">
        <v>0.7</v>
      </c>
      <c r="S94" s="5" t="s">
        <v>60</v>
      </c>
      <c r="T94" s="5" t="s">
        <v>182</v>
      </c>
      <c r="U94" s="7">
        <v>48.03</v>
      </c>
      <c r="V94" s="5" t="s">
        <v>125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4" x14ac:dyDescent="0.25">
      <c r="A95" s="5">
        <v>2029056123</v>
      </c>
      <c r="B95" s="5" t="s">
        <v>530</v>
      </c>
      <c r="C95" s="5" t="s">
        <v>542</v>
      </c>
      <c r="D95" s="5" t="str">
        <f t="shared" si="6"/>
        <v>DWIGHT JONES</v>
      </c>
      <c r="E95" s="5" t="s">
        <v>91</v>
      </c>
      <c r="F95" s="5" t="s">
        <v>116</v>
      </c>
      <c r="G95" s="5" t="s">
        <v>125</v>
      </c>
      <c r="H95" s="5">
        <v>21283956</v>
      </c>
      <c r="I95" s="5" t="s">
        <v>277</v>
      </c>
      <c r="J95" s="5" t="s">
        <v>279</v>
      </c>
      <c r="K95" s="5" t="str">
        <f t="shared" si="7"/>
        <v>VICTOR FUENTES</v>
      </c>
      <c r="L95" s="6">
        <v>45799</v>
      </c>
      <c r="M95" s="6">
        <v>45952</v>
      </c>
      <c r="N95" s="7">
        <v>83</v>
      </c>
      <c r="O95" s="5">
        <f t="shared" si="8"/>
        <v>5</v>
      </c>
      <c r="P95" s="5" t="s">
        <v>181</v>
      </c>
      <c r="Q95" s="5" t="s">
        <v>754</v>
      </c>
      <c r="R95" s="8">
        <v>0.7</v>
      </c>
      <c r="S95" s="5" t="s">
        <v>60</v>
      </c>
      <c r="T95" s="5" t="s">
        <v>182</v>
      </c>
      <c r="U95" s="7">
        <v>58.1</v>
      </c>
      <c r="V95" s="5" t="s">
        <v>125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4" x14ac:dyDescent="0.25">
      <c r="A96" s="5">
        <v>2029378057</v>
      </c>
      <c r="B96" s="5" t="s">
        <v>328</v>
      </c>
      <c r="C96" s="5" t="s">
        <v>544</v>
      </c>
      <c r="D96" s="5" t="str">
        <f t="shared" si="6"/>
        <v>CLIFTON THOMPSON</v>
      </c>
      <c r="E96" s="5" t="s">
        <v>91</v>
      </c>
      <c r="F96" s="5" t="s">
        <v>116</v>
      </c>
      <c r="G96" s="5" t="s">
        <v>125</v>
      </c>
      <c r="H96" s="5">
        <v>16633294</v>
      </c>
      <c r="I96" s="5" t="s">
        <v>65</v>
      </c>
      <c r="J96" s="5" t="s">
        <v>66</v>
      </c>
      <c r="K96" s="5" t="str">
        <f t="shared" si="7"/>
        <v>Richard Yale</v>
      </c>
      <c r="L96" s="6">
        <v>45820</v>
      </c>
      <c r="M96" s="6">
        <v>45973</v>
      </c>
      <c r="N96" s="7">
        <v>261</v>
      </c>
      <c r="O96" s="5">
        <f t="shared" si="8"/>
        <v>5</v>
      </c>
      <c r="P96" s="5" t="s">
        <v>181</v>
      </c>
      <c r="Q96" s="5" t="s">
        <v>754</v>
      </c>
      <c r="R96" s="8">
        <v>0.7</v>
      </c>
      <c r="S96" s="5" t="s">
        <v>60</v>
      </c>
      <c r="T96" s="5" t="s">
        <v>182</v>
      </c>
      <c r="U96" s="7">
        <v>182.7</v>
      </c>
      <c r="V96" s="5" t="s">
        <v>125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4" x14ac:dyDescent="0.25">
      <c r="A97" s="5">
        <v>2029341342</v>
      </c>
      <c r="B97" s="5" t="s">
        <v>90</v>
      </c>
      <c r="C97" s="5" t="s">
        <v>543</v>
      </c>
      <c r="D97" s="5" t="str">
        <f t="shared" si="6"/>
        <v>SAMUEL JOHN</v>
      </c>
      <c r="E97" s="5" t="s">
        <v>52</v>
      </c>
      <c r="F97" s="5" t="s">
        <v>92</v>
      </c>
      <c r="G97" s="5" t="s">
        <v>93</v>
      </c>
      <c r="H97" s="5">
        <v>371819</v>
      </c>
      <c r="I97" s="5" t="s">
        <v>147</v>
      </c>
      <c r="J97" s="5" t="s">
        <v>148</v>
      </c>
      <c r="K97" s="5" t="str">
        <f t="shared" si="7"/>
        <v>THOMAS PARDUE</v>
      </c>
      <c r="L97" s="6">
        <v>45821</v>
      </c>
      <c r="M97" s="6">
        <v>45974</v>
      </c>
      <c r="N97" s="7">
        <v>49.62</v>
      </c>
      <c r="O97" s="5">
        <f t="shared" si="8"/>
        <v>5</v>
      </c>
      <c r="P97" s="5" t="s">
        <v>181</v>
      </c>
      <c r="Q97" s="5" t="s">
        <v>754</v>
      </c>
      <c r="R97" s="9">
        <v>0.375</v>
      </c>
      <c r="S97" s="5" t="s">
        <v>60</v>
      </c>
      <c r="T97" s="5" t="s">
        <v>182</v>
      </c>
      <c r="U97" s="7">
        <v>18.61</v>
      </c>
      <c r="V97" s="5" t="s">
        <v>93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4" x14ac:dyDescent="0.25">
      <c r="A98" s="5">
        <v>2029481265</v>
      </c>
      <c r="B98" s="5" t="s">
        <v>551</v>
      </c>
      <c r="C98" s="5" t="s">
        <v>552</v>
      </c>
      <c r="D98" s="5" t="str">
        <f t="shared" si="6"/>
        <v>AMBER FLATT</v>
      </c>
      <c r="E98" s="5" t="s">
        <v>107</v>
      </c>
      <c r="F98" s="5" t="s">
        <v>92</v>
      </c>
      <c r="G98" s="5" t="s">
        <v>93</v>
      </c>
      <c r="H98" s="5">
        <v>20724564</v>
      </c>
      <c r="I98" s="5" t="s">
        <v>108</v>
      </c>
      <c r="J98" s="5" t="s">
        <v>109</v>
      </c>
      <c r="K98" s="5" t="str">
        <f t="shared" si="7"/>
        <v>Marsha Sanderock</v>
      </c>
      <c r="L98" s="6">
        <v>45825</v>
      </c>
      <c r="M98" s="6">
        <v>45978</v>
      </c>
      <c r="N98" s="7">
        <v>58.15</v>
      </c>
      <c r="O98" s="5">
        <f t="shared" si="8"/>
        <v>5</v>
      </c>
      <c r="P98" s="5" t="s">
        <v>181</v>
      </c>
      <c r="Q98" s="5" t="s">
        <v>754</v>
      </c>
      <c r="R98" s="9">
        <v>0.375</v>
      </c>
      <c r="S98" s="5" t="s">
        <v>60</v>
      </c>
      <c r="T98" s="5" t="s">
        <v>182</v>
      </c>
      <c r="U98" s="7">
        <v>21.81</v>
      </c>
      <c r="V98" s="5" t="s">
        <v>93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</row>
    <row r="99" spans="1:54" x14ac:dyDescent="0.25">
      <c r="A99" s="5">
        <v>2029056124</v>
      </c>
      <c r="B99" s="5" t="s">
        <v>530</v>
      </c>
      <c r="C99" s="5" t="s">
        <v>542</v>
      </c>
      <c r="D99" s="5" t="str">
        <f t="shared" si="6"/>
        <v>DWIGHT JONES</v>
      </c>
      <c r="E99" s="5" t="s">
        <v>91</v>
      </c>
      <c r="F99" s="5" t="s">
        <v>92</v>
      </c>
      <c r="G99" s="5" t="s">
        <v>93</v>
      </c>
      <c r="H99" s="5">
        <v>21283956</v>
      </c>
      <c r="I99" s="5" t="s">
        <v>277</v>
      </c>
      <c r="J99" s="5" t="s">
        <v>279</v>
      </c>
      <c r="K99" s="5" t="str">
        <f t="shared" si="7"/>
        <v>VICTOR FUENTES</v>
      </c>
      <c r="L99" s="6">
        <v>45799</v>
      </c>
      <c r="M99" s="6">
        <v>45952</v>
      </c>
      <c r="N99" s="7">
        <v>68.19</v>
      </c>
      <c r="O99" s="5">
        <f t="shared" si="8"/>
        <v>5</v>
      </c>
      <c r="P99" s="5" t="s">
        <v>181</v>
      </c>
      <c r="Q99" s="5" t="s">
        <v>754</v>
      </c>
      <c r="R99" s="9">
        <v>0.375</v>
      </c>
      <c r="S99" s="5" t="s">
        <v>60</v>
      </c>
      <c r="T99" s="5" t="s">
        <v>182</v>
      </c>
      <c r="U99" s="7">
        <v>25.57</v>
      </c>
      <c r="V99" s="5" t="s">
        <v>93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4" x14ac:dyDescent="0.25">
      <c r="A100" s="5">
        <v>2029413863</v>
      </c>
      <c r="B100" s="5" t="s">
        <v>549</v>
      </c>
      <c r="C100" s="5" t="s">
        <v>550</v>
      </c>
      <c r="D100" s="5" t="str">
        <f t="shared" si="6"/>
        <v>MARTHA HERNANDEZ</v>
      </c>
      <c r="E100" s="5" t="s">
        <v>91</v>
      </c>
      <c r="F100" s="5" t="s">
        <v>92</v>
      </c>
      <c r="G100" s="5" t="s">
        <v>93</v>
      </c>
      <c r="H100" s="5">
        <v>16633294</v>
      </c>
      <c r="I100" s="5" t="s">
        <v>65</v>
      </c>
      <c r="J100" s="5" t="s">
        <v>66</v>
      </c>
      <c r="K100" s="5" t="str">
        <f t="shared" si="7"/>
        <v>Richard Yale</v>
      </c>
      <c r="L100" s="6">
        <v>45820</v>
      </c>
      <c r="M100" s="6">
        <v>45973</v>
      </c>
      <c r="N100" s="7">
        <v>68.19</v>
      </c>
      <c r="O100" s="5">
        <f t="shared" si="8"/>
        <v>5</v>
      </c>
      <c r="P100" s="5" t="s">
        <v>181</v>
      </c>
      <c r="Q100" s="5" t="s">
        <v>754</v>
      </c>
      <c r="R100" s="9">
        <v>0.375</v>
      </c>
      <c r="S100" s="5" t="s">
        <v>60</v>
      </c>
      <c r="T100" s="5" t="s">
        <v>182</v>
      </c>
      <c r="U100" s="7">
        <v>25.57</v>
      </c>
      <c r="V100" s="5" t="s">
        <v>93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4" x14ac:dyDescent="0.25">
      <c r="A101" s="5">
        <v>2029378056</v>
      </c>
      <c r="B101" s="5" t="s">
        <v>328</v>
      </c>
      <c r="C101" s="5" t="s">
        <v>544</v>
      </c>
      <c r="D101" s="5" t="str">
        <f t="shared" si="6"/>
        <v>CLIFTON THOMPSON</v>
      </c>
      <c r="E101" s="5" t="s">
        <v>91</v>
      </c>
      <c r="F101" s="5" t="s">
        <v>92</v>
      </c>
      <c r="G101" s="5" t="s">
        <v>93</v>
      </c>
      <c r="H101" s="5">
        <v>16633294</v>
      </c>
      <c r="I101" s="5" t="s">
        <v>65</v>
      </c>
      <c r="J101" s="5" t="s">
        <v>66</v>
      </c>
      <c r="K101" s="5" t="str">
        <f t="shared" si="7"/>
        <v>Richard Yale</v>
      </c>
      <c r="L101" s="6">
        <v>45820</v>
      </c>
      <c r="M101" s="6">
        <v>45973</v>
      </c>
      <c r="N101" s="7">
        <v>117.83</v>
      </c>
      <c r="O101" s="5">
        <f t="shared" si="8"/>
        <v>5</v>
      </c>
      <c r="P101" s="5" t="s">
        <v>181</v>
      </c>
      <c r="Q101" s="5" t="s">
        <v>754</v>
      </c>
      <c r="R101" s="9">
        <v>0.375</v>
      </c>
      <c r="S101" s="5" t="s">
        <v>60</v>
      </c>
      <c r="T101" s="5" t="s">
        <v>182</v>
      </c>
      <c r="U101" s="7">
        <v>44.19</v>
      </c>
      <c r="V101" s="5" t="s">
        <v>93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4" x14ac:dyDescent="0.25">
      <c r="A102" s="5">
        <v>2029488849</v>
      </c>
      <c r="B102" s="5" t="s">
        <v>639</v>
      </c>
      <c r="C102" s="5" t="s">
        <v>681</v>
      </c>
      <c r="D102" s="5" t="str">
        <f t="shared" si="6"/>
        <v>OYUNTSETSEG GANBOLD</v>
      </c>
      <c r="E102" s="5" t="s">
        <v>78</v>
      </c>
      <c r="F102" s="5" t="s">
        <v>116</v>
      </c>
      <c r="G102" s="5" t="s">
        <v>120</v>
      </c>
      <c r="H102" s="5">
        <v>20220688</v>
      </c>
      <c r="I102" s="5" t="s">
        <v>151</v>
      </c>
      <c r="J102" s="5" t="s">
        <v>152</v>
      </c>
      <c r="K102" s="5" t="str">
        <f t="shared" si="7"/>
        <v>NASANDELGER ZANA</v>
      </c>
      <c r="L102" s="6">
        <v>45825</v>
      </c>
      <c r="M102" s="6">
        <v>45978</v>
      </c>
      <c r="N102" s="7">
        <v>21.6</v>
      </c>
      <c r="O102" s="5">
        <f t="shared" si="8"/>
        <v>5</v>
      </c>
      <c r="P102" s="5" t="s">
        <v>181</v>
      </c>
      <c r="Q102" s="5" t="s">
        <v>754</v>
      </c>
      <c r="R102" s="8">
        <v>0.9</v>
      </c>
      <c r="S102" s="5" t="s">
        <v>60</v>
      </c>
      <c r="T102" s="5" t="s">
        <v>182</v>
      </c>
      <c r="U102" s="7">
        <v>19.440000000000001</v>
      </c>
      <c r="V102" s="5" t="s">
        <v>120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4" x14ac:dyDescent="0.25">
      <c r="A103" s="5">
        <v>2029378058</v>
      </c>
      <c r="B103" s="5" t="s">
        <v>328</v>
      </c>
      <c r="C103" s="5" t="s">
        <v>544</v>
      </c>
      <c r="D103" s="5" t="str">
        <f t="shared" si="6"/>
        <v>CLIFTON THOMPSON</v>
      </c>
      <c r="E103" s="5" t="s">
        <v>91</v>
      </c>
      <c r="F103" s="5" t="s">
        <v>116</v>
      </c>
      <c r="G103" s="5" t="s">
        <v>120</v>
      </c>
      <c r="H103" s="5">
        <v>16633294</v>
      </c>
      <c r="I103" s="5" t="s">
        <v>65</v>
      </c>
      <c r="J103" s="5" t="s">
        <v>66</v>
      </c>
      <c r="K103" s="5" t="str">
        <f t="shared" si="7"/>
        <v>Richard Yale</v>
      </c>
      <c r="L103" s="6">
        <v>45820</v>
      </c>
      <c r="M103" s="6">
        <v>45973</v>
      </c>
      <c r="N103" s="7">
        <v>103.75</v>
      </c>
      <c r="O103" s="5">
        <f t="shared" si="8"/>
        <v>5</v>
      </c>
      <c r="P103" s="5" t="s">
        <v>181</v>
      </c>
      <c r="Q103" s="5" t="s">
        <v>754</v>
      </c>
      <c r="R103" s="8">
        <v>0.9</v>
      </c>
      <c r="S103" s="5" t="s">
        <v>60</v>
      </c>
      <c r="T103" s="5" t="s">
        <v>182</v>
      </c>
      <c r="U103" s="7">
        <v>93.38</v>
      </c>
      <c r="V103" s="5" t="s">
        <v>120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4" x14ac:dyDescent="0.25">
      <c r="A104" s="5">
        <v>2028965775</v>
      </c>
      <c r="B104" s="5" t="s">
        <v>277</v>
      </c>
      <c r="C104" s="5" t="s">
        <v>278</v>
      </c>
      <c r="D104" s="5" t="str">
        <f t="shared" si="6"/>
        <v>MELISSA FUENTES</v>
      </c>
      <c r="E104" s="5" t="s">
        <v>78</v>
      </c>
      <c r="F104" s="5" t="s">
        <v>53</v>
      </c>
      <c r="G104" s="5" t="s">
        <v>54</v>
      </c>
      <c r="H104" s="5">
        <v>21283956</v>
      </c>
      <c r="I104" s="5" t="s">
        <v>277</v>
      </c>
      <c r="J104" s="5" t="s">
        <v>279</v>
      </c>
      <c r="K104" s="5" t="str">
        <f t="shared" si="7"/>
        <v>VICTOR FUENTES</v>
      </c>
      <c r="L104" s="6">
        <v>45793</v>
      </c>
      <c r="M104" s="6">
        <v>45977</v>
      </c>
      <c r="N104" s="7">
        <v>19.3</v>
      </c>
      <c r="O104" s="5">
        <f t="shared" si="8"/>
        <v>6</v>
      </c>
      <c r="P104" s="5" t="s">
        <v>181</v>
      </c>
      <c r="Q104" s="5" t="s">
        <v>754</v>
      </c>
      <c r="R104" s="8">
        <v>0.75</v>
      </c>
      <c r="S104" s="5" t="s">
        <v>60</v>
      </c>
      <c r="T104" s="5" t="s">
        <v>182</v>
      </c>
      <c r="U104" s="7">
        <v>14.48</v>
      </c>
      <c r="V104" s="5" t="s">
        <v>751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4" x14ac:dyDescent="0.25">
      <c r="A105" s="5">
        <v>2028935096</v>
      </c>
      <c r="B105" s="5" t="s">
        <v>268</v>
      </c>
      <c r="C105" s="5" t="s">
        <v>269</v>
      </c>
      <c r="D105" s="5" t="str">
        <f t="shared" si="6"/>
        <v>JUANITA SINGH</v>
      </c>
      <c r="E105" s="5" t="s">
        <v>225</v>
      </c>
      <c r="F105" s="5" t="s">
        <v>53</v>
      </c>
      <c r="G105" s="5" t="s">
        <v>54</v>
      </c>
      <c r="H105" s="5">
        <v>19586992</v>
      </c>
      <c r="I105" s="5" t="s">
        <v>135</v>
      </c>
      <c r="J105" s="5" t="s">
        <v>136</v>
      </c>
      <c r="K105" s="5" t="str">
        <f t="shared" si="7"/>
        <v>Barry Schumann</v>
      </c>
      <c r="L105" s="6">
        <v>45792</v>
      </c>
      <c r="M105" s="6">
        <v>45976</v>
      </c>
      <c r="N105" s="7">
        <v>50.98</v>
      </c>
      <c r="O105" s="5">
        <f t="shared" si="8"/>
        <v>6</v>
      </c>
      <c r="P105" s="5" t="s">
        <v>181</v>
      </c>
      <c r="Q105" s="5" t="s">
        <v>754</v>
      </c>
      <c r="R105" s="8">
        <v>0.75</v>
      </c>
      <c r="S105" s="5" t="s">
        <v>60</v>
      </c>
      <c r="T105" s="5" t="s">
        <v>182</v>
      </c>
      <c r="U105" s="7">
        <v>38.24</v>
      </c>
      <c r="V105" s="5" t="s">
        <v>751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4" x14ac:dyDescent="0.25">
      <c r="A106" s="5">
        <v>2028965806</v>
      </c>
      <c r="B106" s="5" t="s">
        <v>277</v>
      </c>
      <c r="C106" s="5" t="s">
        <v>280</v>
      </c>
      <c r="D106" s="5" t="str">
        <f t="shared" si="6"/>
        <v>SANDRA FUENTES</v>
      </c>
      <c r="E106" s="5" t="s">
        <v>281</v>
      </c>
      <c r="F106" s="5" t="s">
        <v>53</v>
      </c>
      <c r="G106" s="5" t="s">
        <v>54</v>
      </c>
      <c r="H106" s="5">
        <v>21283956</v>
      </c>
      <c r="I106" s="5" t="s">
        <v>277</v>
      </c>
      <c r="J106" s="5" t="s">
        <v>279</v>
      </c>
      <c r="K106" s="5" t="str">
        <f t="shared" si="7"/>
        <v>VICTOR FUENTES</v>
      </c>
      <c r="L106" s="6">
        <v>45793</v>
      </c>
      <c r="M106" s="6">
        <v>45977</v>
      </c>
      <c r="N106" s="7">
        <v>73.42</v>
      </c>
      <c r="O106" s="5">
        <f t="shared" si="8"/>
        <v>6</v>
      </c>
      <c r="P106" s="5" t="s">
        <v>181</v>
      </c>
      <c r="Q106" s="5" t="s">
        <v>754</v>
      </c>
      <c r="R106" s="8">
        <v>0.75</v>
      </c>
      <c r="S106" s="5" t="s">
        <v>60</v>
      </c>
      <c r="T106" s="5" t="s">
        <v>182</v>
      </c>
      <c r="U106" s="7">
        <v>55.06</v>
      </c>
      <c r="V106" s="5" t="s">
        <v>751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7" spans="1:54" x14ac:dyDescent="0.25">
      <c r="A107" s="5">
        <v>2028679376</v>
      </c>
      <c r="B107" s="5" t="s">
        <v>586</v>
      </c>
      <c r="C107" s="5" t="s">
        <v>403</v>
      </c>
      <c r="D107" s="5" t="str">
        <f t="shared" si="6"/>
        <v>SCOTT HALL</v>
      </c>
      <c r="E107" s="5" t="s">
        <v>78</v>
      </c>
      <c r="F107" s="5" t="s">
        <v>587</v>
      </c>
      <c r="G107" s="5" t="s">
        <v>588</v>
      </c>
      <c r="H107" s="5">
        <v>19681796</v>
      </c>
      <c r="I107" s="5" t="s">
        <v>566</v>
      </c>
      <c r="J107" s="5" t="s">
        <v>567</v>
      </c>
      <c r="K107" s="5" t="str">
        <f t="shared" si="7"/>
        <v>CHRISTIAN TAUGNER</v>
      </c>
      <c r="L107" s="6">
        <v>45778</v>
      </c>
      <c r="M107" s="6">
        <v>45962</v>
      </c>
      <c r="N107" s="7">
        <v>-129.44</v>
      </c>
      <c r="O107" s="5">
        <f t="shared" si="8"/>
        <v>6</v>
      </c>
      <c r="P107" s="5" t="s">
        <v>181</v>
      </c>
      <c r="Q107" s="5" t="s">
        <v>754</v>
      </c>
      <c r="R107" s="8">
        <v>0.26</v>
      </c>
      <c r="S107" s="5" t="s">
        <v>60</v>
      </c>
      <c r="T107" s="5" t="s">
        <v>182</v>
      </c>
      <c r="U107" s="7">
        <v>-33.65</v>
      </c>
      <c r="V107" s="5" t="s">
        <v>759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</row>
    <row r="108" spans="1:54" s="5" customFormat="1" x14ac:dyDescent="0.25">
      <c r="A108" s="5">
        <v>2028935095</v>
      </c>
      <c r="B108" s="5" t="s">
        <v>268</v>
      </c>
      <c r="C108" s="5" t="s">
        <v>269</v>
      </c>
      <c r="D108" s="5" t="str">
        <f t="shared" si="6"/>
        <v>JUANITA SINGH</v>
      </c>
      <c r="E108" s="5" t="s">
        <v>225</v>
      </c>
      <c r="F108" s="5" t="s">
        <v>116</v>
      </c>
      <c r="G108" s="5" t="s">
        <v>125</v>
      </c>
      <c r="H108" s="5">
        <v>19586992</v>
      </c>
      <c r="I108" s="5" t="s">
        <v>135</v>
      </c>
      <c r="J108" s="5" t="s">
        <v>136</v>
      </c>
      <c r="K108" s="5" t="str">
        <f t="shared" si="7"/>
        <v>Barry Schumann</v>
      </c>
      <c r="L108" s="6">
        <v>45792</v>
      </c>
      <c r="M108" s="6">
        <v>45976</v>
      </c>
      <c r="N108" s="7">
        <v>10.71</v>
      </c>
      <c r="O108" s="5">
        <f t="shared" si="8"/>
        <v>6</v>
      </c>
      <c r="P108" s="5" t="s">
        <v>181</v>
      </c>
      <c r="Q108" s="5" t="s">
        <v>754</v>
      </c>
      <c r="R108" s="8">
        <v>0.7</v>
      </c>
      <c r="S108" s="5" t="s">
        <v>60</v>
      </c>
      <c r="T108" s="5" t="s">
        <v>182</v>
      </c>
      <c r="U108" s="7">
        <v>7.5</v>
      </c>
      <c r="V108" s="5" t="s">
        <v>125</v>
      </c>
    </row>
    <row r="109" spans="1:54" s="5" customFormat="1" x14ac:dyDescent="0.25">
      <c r="A109" s="5">
        <v>2028946855</v>
      </c>
      <c r="B109" s="5" t="s">
        <v>664</v>
      </c>
      <c r="C109" s="5" t="s">
        <v>665</v>
      </c>
      <c r="D109" s="5" t="str">
        <f t="shared" si="6"/>
        <v>GAGE PANTEL</v>
      </c>
      <c r="E109" s="5" t="s">
        <v>272</v>
      </c>
      <c r="F109" s="5" t="s">
        <v>116</v>
      </c>
      <c r="G109" s="5" t="s">
        <v>125</v>
      </c>
      <c r="H109" s="5">
        <v>19681796</v>
      </c>
      <c r="I109" s="5" t="s">
        <v>566</v>
      </c>
      <c r="J109" s="5" t="s">
        <v>567</v>
      </c>
      <c r="K109" s="5" t="str">
        <f t="shared" si="7"/>
        <v>CHRISTIAN TAUGNER</v>
      </c>
      <c r="L109" s="6">
        <v>45793</v>
      </c>
      <c r="M109" s="6">
        <v>45977</v>
      </c>
      <c r="N109" s="7">
        <v>19</v>
      </c>
      <c r="O109" s="5">
        <f t="shared" si="8"/>
        <v>6</v>
      </c>
      <c r="P109" s="5" t="s">
        <v>181</v>
      </c>
      <c r="Q109" s="5" t="s">
        <v>754</v>
      </c>
      <c r="R109" s="8">
        <v>0.7</v>
      </c>
      <c r="S109" s="5" t="s">
        <v>60</v>
      </c>
      <c r="T109" s="5" t="s">
        <v>182</v>
      </c>
      <c r="U109" s="7">
        <v>13.3</v>
      </c>
      <c r="V109" s="5" t="s">
        <v>125</v>
      </c>
      <c r="BB109"/>
    </row>
    <row r="110" spans="1:54" s="5" customFormat="1" x14ac:dyDescent="0.25">
      <c r="A110" s="5">
        <v>2028965822</v>
      </c>
      <c r="B110" s="5" t="s">
        <v>667</v>
      </c>
      <c r="C110" s="5" t="s">
        <v>668</v>
      </c>
      <c r="D110" s="5" t="str">
        <f t="shared" si="6"/>
        <v>OLIVIA FUENTES-DIETSCH</v>
      </c>
      <c r="E110" s="5" t="s">
        <v>281</v>
      </c>
      <c r="F110" s="5" t="s">
        <v>116</v>
      </c>
      <c r="G110" s="5" t="s">
        <v>125</v>
      </c>
      <c r="H110" s="5">
        <v>21283956</v>
      </c>
      <c r="I110" s="5" t="s">
        <v>277</v>
      </c>
      <c r="J110" s="5" t="s">
        <v>279</v>
      </c>
      <c r="K110" s="5" t="str">
        <f t="shared" si="7"/>
        <v>VICTOR FUENTES</v>
      </c>
      <c r="L110" s="6">
        <v>45793</v>
      </c>
      <c r="M110" s="6">
        <v>45977</v>
      </c>
      <c r="N110" s="7">
        <v>34</v>
      </c>
      <c r="O110" s="5">
        <f t="shared" si="8"/>
        <v>6</v>
      </c>
      <c r="P110" s="5" t="s">
        <v>181</v>
      </c>
      <c r="Q110" s="5" t="s">
        <v>754</v>
      </c>
      <c r="R110" s="8">
        <v>0.7</v>
      </c>
      <c r="S110" s="5" t="s">
        <v>60</v>
      </c>
      <c r="T110" s="5" t="s">
        <v>182</v>
      </c>
      <c r="U110" s="7">
        <v>23.8</v>
      </c>
      <c r="V110" s="5" t="s">
        <v>125</v>
      </c>
      <c r="BB110"/>
    </row>
    <row r="111" spans="1:54" s="5" customFormat="1" x14ac:dyDescent="0.25">
      <c r="A111" s="5">
        <v>2028977072</v>
      </c>
      <c r="B111" s="5" t="s">
        <v>539</v>
      </c>
      <c r="C111" s="5" t="s">
        <v>540</v>
      </c>
      <c r="D111" s="5" t="str">
        <f t="shared" si="6"/>
        <v>SYDNEY WEBSTER</v>
      </c>
      <c r="E111" s="5" t="s">
        <v>219</v>
      </c>
      <c r="F111" s="5" t="s">
        <v>116</v>
      </c>
      <c r="G111" s="5" t="s">
        <v>125</v>
      </c>
      <c r="H111" s="5">
        <v>21421111</v>
      </c>
      <c r="I111" s="5" t="s">
        <v>266</v>
      </c>
      <c r="J111" s="5" t="s">
        <v>267</v>
      </c>
      <c r="K111" s="5" t="str">
        <f t="shared" si="7"/>
        <v>Kirk Tigue</v>
      </c>
      <c r="L111" s="6">
        <v>45794</v>
      </c>
      <c r="M111" s="6">
        <v>45978</v>
      </c>
      <c r="N111" s="7">
        <v>50.6</v>
      </c>
      <c r="O111" s="5">
        <f t="shared" si="8"/>
        <v>6</v>
      </c>
      <c r="P111" s="5" t="s">
        <v>181</v>
      </c>
      <c r="Q111" s="5" t="s">
        <v>754</v>
      </c>
      <c r="R111" s="8">
        <v>0.7</v>
      </c>
      <c r="S111" s="5" t="s">
        <v>60</v>
      </c>
      <c r="T111" s="5" t="s">
        <v>182</v>
      </c>
      <c r="U111" s="7">
        <v>35.42</v>
      </c>
      <c r="V111" s="5" t="s">
        <v>125</v>
      </c>
      <c r="BB111"/>
    </row>
    <row r="112" spans="1:54" s="5" customFormat="1" x14ac:dyDescent="0.25">
      <c r="A112" s="5">
        <v>2028965776</v>
      </c>
      <c r="B112" s="5" t="s">
        <v>277</v>
      </c>
      <c r="C112" s="5" t="s">
        <v>278</v>
      </c>
      <c r="D112" s="5" t="str">
        <f t="shared" si="6"/>
        <v>MELISSA FUENTES</v>
      </c>
      <c r="E112" s="5" t="s">
        <v>78</v>
      </c>
      <c r="F112" s="5" t="s">
        <v>116</v>
      </c>
      <c r="G112" s="5" t="s">
        <v>125</v>
      </c>
      <c r="H112" s="5">
        <v>21283956</v>
      </c>
      <c r="I112" s="5" t="s">
        <v>277</v>
      </c>
      <c r="J112" s="5" t="s">
        <v>279</v>
      </c>
      <c r="K112" s="5" t="str">
        <f t="shared" si="7"/>
        <v>VICTOR FUENTES</v>
      </c>
      <c r="L112" s="6">
        <v>45793</v>
      </c>
      <c r="M112" s="6">
        <v>45977</v>
      </c>
      <c r="N112" s="7">
        <v>58.24</v>
      </c>
      <c r="O112" s="5">
        <f t="shared" si="8"/>
        <v>6</v>
      </c>
      <c r="P112" s="5" t="s">
        <v>181</v>
      </c>
      <c r="Q112" s="5" t="s">
        <v>754</v>
      </c>
      <c r="R112" s="8">
        <v>0.7</v>
      </c>
      <c r="S112" s="5" t="s">
        <v>60</v>
      </c>
      <c r="T112" s="5" t="s">
        <v>182</v>
      </c>
      <c r="U112" s="7">
        <v>40.770000000000003</v>
      </c>
      <c r="V112" s="5" t="s">
        <v>125</v>
      </c>
      <c r="BB112"/>
    </row>
    <row r="113" spans="1:54" x14ac:dyDescent="0.25">
      <c r="A113" s="5">
        <v>2028919767</v>
      </c>
      <c r="B113" s="5" t="s">
        <v>653</v>
      </c>
      <c r="C113" s="5" t="s">
        <v>654</v>
      </c>
      <c r="D113" s="5" t="str">
        <f t="shared" si="6"/>
        <v>GERELTUYA TUMURKHUYAG</v>
      </c>
      <c r="E113" s="5" t="s">
        <v>78</v>
      </c>
      <c r="F113" s="5" t="s">
        <v>116</v>
      </c>
      <c r="G113" s="5" t="s">
        <v>125</v>
      </c>
      <c r="H113" s="5">
        <v>20220688</v>
      </c>
      <c r="I113" s="5" t="s">
        <v>151</v>
      </c>
      <c r="J113" s="5" t="s">
        <v>152</v>
      </c>
      <c r="K113" s="5" t="str">
        <f t="shared" si="7"/>
        <v>NASANDELGER ZANA</v>
      </c>
      <c r="L113" s="6">
        <v>45791</v>
      </c>
      <c r="M113" s="6">
        <v>45975</v>
      </c>
      <c r="N113" s="7">
        <v>61.26</v>
      </c>
      <c r="O113" s="5">
        <f t="shared" si="8"/>
        <v>6</v>
      </c>
      <c r="P113" s="5" t="s">
        <v>181</v>
      </c>
      <c r="Q113" s="5" t="s">
        <v>754</v>
      </c>
      <c r="R113" s="8">
        <v>0.7</v>
      </c>
      <c r="S113" s="5" t="s">
        <v>60</v>
      </c>
      <c r="T113" s="5" t="s">
        <v>182</v>
      </c>
      <c r="U113" s="7">
        <v>42.88</v>
      </c>
      <c r="V113" s="5" t="s">
        <v>125</v>
      </c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</row>
    <row r="114" spans="1:54" x14ac:dyDescent="0.25">
      <c r="A114" s="5">
        <v>2028890707</v>
      </c>
      <c r="B114" s="5" t="s">
        <v>650</v>
      </c>
      <c r="C114" s="5" t="s">
        <v>651</v>
      </c>
      <c r="D114" s="5" t="str">
        <f t="shared" si="6"/>
        <v>ERDENECHIMEG BAASANJAV</v>
      </c>
      <c r="E114" s="5" t="s">
        <v>78</v>
      </c>
      <c r="F114" s="5" t="s">
        <v>116</v>
      </c>
      <c r="G114" s="5" t="s">
        <v>125</v>
      </c>
      <c r="H114" s="5">
        <v>20220688</v>
      </c>
      <c r="I114" s="5" t="s">
        <v>151</v>
      </c>
      <c r="J114" s="5" t="s">
        <v>152</v>
      </c>
      <c r="K114" s="5" t="str">
        <f t="shared" si="7"/>
        <v>NASANDELGER ZANA</v>
      </c>
      <c r="L114" s="6">
        <v>45790</v>
      </c>
      <c r="M114" s="6">
        <v>45974</v>
      </c>
      <c r="N114" s="7">
        <v>95.68</v>
      </c>
      <c r="O114" s="5">
        <f t="shared" si="8"/>
        <v>6</v>
      </c>
      <c r="P114" s="5" t="s">
        <v>181</v>
      </c>
      <c r="Q114" s="5" t="s">
        <v>754</v>
      </c>
      <c r="R114" s="8">
        <v>0.7</v>
      </c>
      <c r="S114" s="5" t="s">
        <v>60</v>
      </c>
      <c r="T114" s="5" t="s">
        <v>182</v>
      </c>
      <c r="U114" s="7">
        <v>66.98</v>
      </c>
      <c r="V114" s="5" t="s">
        <v>125</v>
      </c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</row>
    <row r="115" spans="1:54" x14ac:dyDescent="0.25">
      <c r="A115" s="5">
        <v>2028930864</v>
      </c>
      <c r="B115" s="5" t="s">
        <v>655</v>
      </c>
      <c r="C115" s="5" t="s">
        <v>656</v>
      </c>
      <c r="D115" s="5" t="str">
        <f t="shared" si="6"/>
        <v>CORAL COOPER</v>
      </c>
      <c r="E115" s="5" t="s">
        <v>272</v>
      </c>
      <c r="F115" s="5" t="s">
        <v>116</v>
      </c>
      <c r="G115" s="5" t="s">
        <v>125</v>
      </c>
      <c r="H115" s="5">
        <v>19681796</v>
      </c>
      <c r="I115" s="5" t="s">
        <v>566</v>
      </c>
      <c r="J115" s="5" t="s">
        <v>567</v>
      </c>
      <c r="K115" s="5" t="str">
        <f t="shared" si="7"/>
        <v>CHRISTIAN TAUGNER</v>
      </c>
      <c r="L115" s="6">
        <v>45793</v>
      </c>
      <c r="M115" s="6">
        <v>45977</v>
      </c>
      <c r="N115" s="7">
        <v>107.87</v>
      </c>
      <c r="O115" s="5">
        <f t="shared" si="8"/>
        <v>6</v>
      </c>
      <c r="P115" s="5" t="s">
        <v>181</v>
      </c>
      <c r="Q115" s="5" t="s">
        <v>754</v>
      </c>
      <c r="R115" s="8">
        <v>0.7</v>
      </c>
      <c r="S115" s="5" t="s">
        <v>60</v>
      </c>
      <c r="T115" s="5" t="s">
        <v>182</v>
      </c>
      <c r="U115" s="7">
        <v>75.510000000000005</v>
      </c>
      <c r="V115" s="5" t="s">
        <v>125</v>
      </c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4" x14ac:dyDescent="0.25">
      <c r="A116" s="5">
        <v>2028931111</v>
      </c>
      <c r="B116" s="5" t="s">
        <v>657</v>
      </c>
      <c r="C116" s="5" t="s">
        <v>428</v>
      </c>
      <c r="D116" s="5" t="str">
        <f t="shared" si="6"/>
        <v>ELIZABETH BURI</v>
      </c>
      <c r="E116" s="5" t="s">
        <v>272</v>
      </c>
      <c r="F116" s="5" t="s">
        <v>116</v>
      </c>
      <c r="G116" s="5" t="s">
        <v>125</v>
      </c>
      <c r="H116" s="5">
        <v>19681796</v>
      </c>
      <c r="I116" s="5" t="s">
        <v>566</v>
      </c>
      <c r="J116" s="5" t="s">
        <v>567</v>
      </c>
      <c r="K116" s="5" t="str">
        <f t="shared" si="7"/>
        <v>CHRISTIAN TAUGNER</v>
      </c>
      <c r="L116" s="6">
        <v>45793</v>
      </c>
      <c r="M116" s="6">
        <v>45977</v>
      </c>
      <c r="N116" s="7">
        <v>107.87</v>
      </c>
      <c r="O116" s="5">
        <f t="shared" si="8"/>
        <v>6</v>
      </c>
      <c r="P116" s="5" t="s">
        <v>181</v>
      </c>
      <c r="Q116" s="5" t="s">
        <v>754</v>
      </c>
      <c r="R116" s="8">
        <v>0.7</v>
      </c>
      <c r="S116" s="5" t="s">
        <v>60</v>
      </c>
      <c r="T116" s="5" t="s">
        <v>182</v>
      </c>
      <c r="U116" s="7">
        <v>75.510000000000005</v>
      </c>
      <c r="V116" s="5" t="s">
        <v>125</v>
      </c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spans="1:54" x14ac:dyDescent="0.25">
      <c r="A117" s="5">
        <v>2028937037</v>
      </c>
      <c r="B117" s="5" t="s">
        <v>658</v>
      </c>
      <c r="C117" s="5" t="s">
        <v>659</v>
      </c>
      <c r="D117" s="5" t="str">
        <f t="shared" si="6"/>
        <v>HOLLY STAMPER</v>
      </c>
      <c r="E117" s="5" t="s">
        <v>272</v>
      </c>
      <c r="F117" s="5" t="s">
        <v>116</v>
      </c>
      <c r="G117" s="5" t="s">
        <v>125</v>
      </c>
      <c r="H117" s="5">
        <v>19681796</v>
      </c>
      <c r="I117" s="5" t="s">
        <v>566</v>
      </c>
      <c r="J117" s="5" t="s">
        <v>567</v>
      </c>
      <c r="K117" s="5" t="str">
        <f t="shared" si="7"/>
        <v>CHRISTIAN TAUGNER</v>
      </c>
      <c r="L117" s="6">
        <v>45793</v>
      </c>
      <c r="M117" s="6">
        <v>45977</v>
      </c>
      <c r="N117" s="7">
        <v>107.87</v>
      </c>
      <c r="O117" s="5">
        <f t="shared" si="8"/>
        <v>6</v>
      </c>
      <c r="P117" s="5" t="s">
        <v>181</v>
      </c>
      <c r="Q117" s="5" t="s">
        <v>754</v>
      </c>
      <c r="R117" s="8">
        <v>0.7</v>
      </c>
      <c r="S117" s="5" t="s">
        <v>60</v>
      </c>
      <c r="T117" s="5" t="s">
        <v>182</v>
      </c>
      <c r="U117" s="7">
        <v>75.510000000000005</v>
      </c>
      <c r="V117" s="5" t="s">
        <v>125</v>
      </c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spans="1:54" x14ac:dyDescent="0.25">
      <c r="A118" s="5">
        <v>2028912654</v>
      </c>
      <c r="B118" s="5" t="s">
        <v>652</v>
      </c>
      <c r="C118" s="5" t="s">
        <v>202</v>
      </c>
      <c r="D118" s="5" t="str">
        <f t="shared" si="6"/>
        <v>KEVIN II</v>
      </c>
      <c r="E118" s="5" t="s">
        <v>91</v>
      </c>
      <c r="F118" s="5" t="s">
        <v>116</v>
      </c>
      <c r="G118" s="5" t="s">
        <v>125</v>
      </c>
      <c r="H118" s="5">
        <v>16633294</v>
      </c>
      <c r="I118" s="5" t="s">
        <v>65</v>
      </c>
      <c r="J118" s="5" t="s">
        <v>66</v>
      </c>
      <c r="K118" s="5" t="str">
        <f t="shared" si="7"/>
        <v>Richard Yale</v>
      </c>
      <c r="L118" s="6">
        <v>45791</v>
      </c>
      <c r="M118" s="6">
        <v>45975</v>
      </c>
      <c r="N118" s="7">
        <v>150.66</v>
      </c>
      <c r="O118" s="5">
        <f t="shared" si="8"/>
        <v>6</v>
      </c>
      <c r="P118" s="5" t="s">
        <v>181</v>
      </c>
      <c r="Q118" s="5" t="s">
        <v>754</v>
      </c>
      <c r="R118" s="8">
        <v>0.7</v>
      </c>
      <c r="S118" s="5" t="s">
        <v>60</v>
      </c>
      <c r="T118" s="5" t="s">
        <v>182</v>
      </c>
      <c r="U118" s="7">
        <v>105.46</v>
      </c>
      <c r="V118" s="5" t="s">
        <v>125</v>
      </c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</row>
    <row r="119" spans="1:54" x14ac:dyDescent="0.25">
      <c r="A119" s="5">
        <v>2028942059</v>
      </c>
      <c r="B119" s="5" t="s">
        <v>534</v>
      </c>
      <c r="C119" s="5" t="s">
        <v>535</v>
      </c>
      <c r="D119" s="5" t="str">
        <f t="shared" si="6"/>
        <v>AMARJARGAL CHIMEDTSEREN</v>
      </c>
      <c r="E119" s="5" t="s">
        <v>78</v>
      </c>
      <c r="F119" s="5" t="s">
        <v>92</v>
      </c>
      <c r="G119" s="5" t="s">
        <v>93</v>
      </c>
      <c r="H119" s="5">
        <v>20220688</v>
      </c>
      <c r="I119" s="5" t="s">
        <v>151</v>
      </c>
      <c r="J119" s="5" t="s">
        <v>152</v>
      </c>
      <c r="K119" s="5" t="str">
        <f t="shared" si="7"/>
        <v>NASANDELGER ZANA</v>
      </c>
      <c r="L119" s="6">
        <v>45792</v>
      </c>
      <c r="M119" s="6">
        <v>45976</v>
      </c>
      <c r="N119" s="7">
        <v>22.52</v>
      </c>
      <c r="O119" s="5">
        <f t="shared" si="8"/>
        <v>6</v>
      </c>
      <c r="P119" s="5" t="s">
        <v>181</v>
      </c>
      <c r="Q119" s="5" t="s">
        <v>754</v>
      </c>
      <c r="R119" s="9">
        <v>0.375</v>
      </c>
      <c r="S119" s="5" t="s">
        <v>60</v>
      </c>
      <c r="T119" s="5" t="s">
        <v>182</v>
      </c>
      <c r="U119" s="7">
        <v>8.44</v>
      </c>
      <c r="V119" s="5" t="s">
        <v>93</v>
      </c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</row>
    <row r="120" spans="1:54" s="5" customFormat="1" x14ac:dyDescent="0.25">
      <c r="A120" s="5">
        <v>2028977071</v>
      </c>
      <c r="B120" s="5" t="s">
        <v>539</v>
      </c>
      <c r="C120" s="5" t="s">
        <v>540</v>
      </c>
      <c r="D120" s="5" t="str">
        <f t="shared" si="6"/>
        <v>SYDNEY WEBSTER</v>
      </c>
      <c r="E120" s="5" t="s">
        <v>219</v>
      </c>
      <c r="F120" s="5" t="s">
        <v>92</v>
      </c>
      <c r="G120" s="5" t="s">
        <v>93</v>
      </c>
      <c r="H120" s="5">
        <v>21421111</v>
      </c>
      <c r="I120" s="5" t="s">
        <v>266</v>
      </c>
      <c r="J120" s="5" t="s">
        <v>267</v>
      </c>
      <c r="K120" s="5" t="str">
        <f t="shared" si="7"/>
        <v>Kirk Tigue</v>
      </c>
      <c r="L120" s="6">
        <v>45794</v>
      </c>
      <c r="M120" s="6">
        <v>45978</v>
      </c>
      <c r="N120" s="7">
        <v>23.34</v>
      </c>
      <c r="O120" s="5">
        <f t="shared" si="8"/>
        <v>6</v>
      </c>
      <c r="P120" s="5" t="s">
        <v>181</v>
      </c>
      <c r="Q120" s="5" t="s">
        <v>754</v>
      </c>
      <c r="R120" s="9">
        <v>0.375</v>
      </c>
      <c r="S120" s="5" t="s">
        <v>60</v>
      </c>
      <c r="T120" s="5" t="s">
        <v>182</v>
      </c>
      <c r="U120" s="7">
        <v>8.75</v>
      </c>
      <c r="V120" s="5" t="s">
        <v>93</v>
      </c>
      <c r="BB120"/>
    </row>
    <row r="121" spans="1:54" x14ac:dyDescent="0.25">
      <c r="A121" s="5">
        <v>2028784373</v>
      </c>
      <c r="B121" s="5" t="s">
        <v>529</v>
      </c>
      <c r="C121" s="5" t="s">
        <v>514</v>
      </c>
      <c r="D121" s="5" t="str">
        <f t="shared" si="6"/>
        <v>JAMIE HAMBRICK</v>
      </c>
      <c r="E121" s="5" t="s">
        <v>78</v>
      </c>
      <c r="F121" s="5" t="s">
        <v>92</v>
      </c>
      <c r="G121" s="5" t="s">
        <v>93</v>
      </c>
      <c r="H121" s="5">
        <v>7146581</v>
      </c>
      <c r="I121" s="5" t="s">
        <v>506</v>
      </c>
      <c r="J121" s="5" t="s">
        <v>507</v>
      </c>
      <c r="K121" s="5" t="str">
        <f t="shared" si="7"/>
        <v>Anthony Hunsberger</v>
      </c>
      <c r="L121" s="6">
        <v>45792</v>
      </c>
      <c r="M121" s="6">
        <v>45976</v>
      </c>
      <c r="N121" s="7">
        <v>57.19</v>
      </c>
      <c r="O121" s="5">
        <f t="shared" si="8"/>
        <v>6</v>
      </c>
      <c r="P121" s="5" t="s">
        <v>181</v>
      </c>
      <c r="Q121" s="5" t="s">
        <v>754</v>
      </c>
      <c r="R121" s="9">
        <v>0.375</v>
      </c>
      <c r="S121" s="5" t="s">
        <v>60</v>
      </c>
      <c r="T121" s="5" t="s">
        <v>182</v>
      </c>
      <c r="U121" s="7">
        <v>21.45</v>
      </c>
      <c r="V121" s="5" t="s">
        <v>93</v>
      </c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</row>
    <row r="122" spans="1:54" x14ac:dyDescent="0.25">
      <c r="A122" s="5">
        <v>2028985824</v>
      </c>
      <c r="B122" s="5" t="s">
        <v>530</v>
      </c>
      <c r="C122" s="5" t="s">
        <v>541</v>
      </c>
      <c r="D122" s="5" t="str">
        <f t="shared" si="6"/>
        <v>COKISHA JONES</v>
      </c>
      <c r="E122" s="5" t="s">
        <v>219</v>
      </c>
      <c r="F122" s="5" t="s">
        <v>92</v>
      </c>
      <c r="G122" s="5" t="s">
        <v>93</v>
      </c>
      <c r="H122" s="5">
        <v>21421111</v>
      </c>
      <c r="I122" s="5" t="s">
        <v>266</v>
      </c>
      <c r="J122" s="5" t="s">
        <v>267</v>
      </c>
      <c r="K122" s="5" t="str">
        <f t="shared" si="7"/>
        <v>Kirk Tigue</v>
      </c>
      <c r="L122" s="6">
        <v>45794</v>
      </c>
      <c r="M122" s="6">
        <v>45978</v>
      </c>
      <c r="N122" s="7">
        <v>72.86</v>
      </c>
      <c r="O122" s="5">
        <f t="shared" si="8"/>
        <v>6</v>
      </c>
      <c r="P122" s="5" t="s">
        <v>181</v>
      </c>
      <c r="Q122" s="5" t="s">
        <v>754</v>
      </c>
      <c r="R122" s="9">
        <v>0.375</v>
      </c>
      <c r="S122" s="5" t="s">
        <v>60</v>
      </c>
      <c r="T122" s="5" t="s">
        <v>182</v>
      </c>
      <c r="U122" s="7">
        <v>27.32</v>
      </c>
      <c r="V122" s="5" t="s">
        <v>93</v>
      </c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</row>
    <row r="123" spans="1:54" x14ac:dyDescent="0.25">
      <c r="A123" s="5">
        <v>2028784372</v>
      </c>
      <c r="B123" s="5" t="s">
        <v>529</v>
      </c>
      <c r="C123" s="5" t="s">
        <v>514</v>
      </c>
      <c r="D123" s="5" t="str">
        <f t="shared" si="6"/>
        <v>JAMIE HAMBRICK</v>
      </c>
      <c r="E123" s="5" t="s">
        <v>78</v>
      </c>
      <c r="F123" s="5" t="s">
        <v>116</v>
      </c>
      <c r="G123" s="5" t="s">
        <v>120</v>
      </c>
      <c r="H123" s="5">
        <v>7146581</v>
      </c>
      <c r="I123" s="5" t="s">
        <v>506</v>
      </c>
      <c r="J123" s="5" t="s">
        <v>507</v>
      </c>
      <c r="K123" s="5" t="str">
        <f t="shared" si="7"/>
        <v>Anthony Hunsberger</v>
      </c>
      <c r="L123" s="6">
        <v>45792</v>
      </c>
      <c r="M123" s="6">
        <v>45976</v>
      </c>
      <c r="N123" s="7">
        <v>9.5299999999999994</v>
      </c>
      <c r="O123" s="5">
        <f t="shared" si="8"/>
        <v>6</v>
      </c>
      <c r="P123" s="5" t="s">
        <v>181</v>
      </c>
      <c r="Q123" s="5" t="s">
        <v>754</v>
      </c>
      <c r="R123" s="8">
        <v>0.9</v>
      </c>
      <c r="S123" s="5" t="s">
        <v>60</v>
      </c>
      <c r="T123" s="5" t="s">
        <v>182</v>
      </c>
      <c r="U123" s="7">
        <v>8.58</v>
      </c>
      <c r="V123" s="5" t="s">
        <v>120</v>
      </c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</row>
    <row r="124" spans="1:54" x14ac:dyDescent="0.25">
      <c r="A124" s="5">
        <v>2028919768</v>
      </c>
      <c r="B124" s="5" t="s">
        <v>653</v>
      </c>
      <c r="C124" s="5" t="s">
        <v>654</v>
      </c>
      <c r="D124" s="5" t="str">
        <f t="shared" si="6"/>
        <v>GERELTUYA TUMURKHUYAG</v>
      </c>
      <c r="E124" s="5" t="s">
        <v>78</v>
      </c>
      <c r="F124" s="5" t="s">
        <v>116</v>
      </c>
      <c r="G124" s="5" t="s">
        <v>120</v>
      </c>
      <c r="H124" s="5">
        <v>20220688</v>
      </c>
      <c r="I124" s="5" t="s">
        <v>151</v>
      </c>
      <c r="J124" s="5" t="s">
        <v>152</v>
      </c>
      <c r="K124" s="5" t="str">
        <f t="shared" si="7"/>
        <v>NASANDELGER ZANA</v>
      </c>
      <c r="L124" s="6">
        <v>45791</v>
      </c>
      <c r="M124" s="6">
        <v>45975</v>
      </c>
      <c r="N124" s="7">
        <v>17.38</v>
      </c>
      <c r="O124" s="5">
        <f t="shared" si="8"/>
        <v>6</v>
      </c>
      <c r="P124" s="5" t="s">
        <v>181</v>
      </c>
      <c r="Q124" s="5" t="s">
        <v>754</v>
      </c>
      <c r="R124" s="8">
        <v>0.9</v>
      </c>
      <c r="S124" s="5" t="s">
        <v>60</v>
      </c>
      <c r="T124" s="5" t="s">
        <v>182</v>
      </c>
      <c r="U124" s="7">
        <v>15.64</v>
      </c>
      <c r="V124" s="5" t="s">
        <v>120</v>
      </c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</row>
    <row r="125" spans="1:54" x14ac:dyDescent="0.25">
      <c r="A125" s="5">
        <v>2028890708</v>
      </c>
      <c r="B125" s="5" t="s">
        <v>650</v>
      </c>
      <c r="C125" s="5" t="s">
        <v>651</v>
      </c>
      <c r="D125" s="5" t="str">
        <f t="shared" si="6"/>
        <v>ERDENECHIMEG BAASANJAV</v>
      </c>
      <c r="E125" s="5" t="s">
        <v>78</v>
      </c>
      <c r="F125" s="5" t="s">
        <v>116</v>
      </c>
      <c r="G125" s="5" t="s">
        <v>120</v>
      </c>
      <c r="H125" s="5">
        <v>20220688</v>
      </c>
      <c r="I125" s="5" t="s">
        <v>151</v>
      </c>
      <c r="J125" s="5" t="s">
        <v>152</v>
      </c>
      <c r="K125" s="5" t="str">
        <f t="shared" si="7"/>
        <v>NASANDELGER ZANA</v>
      </c>
      <c r="L125" s="6">
        <v>45790</v>
      </c>
      <c r="M125" s="6">
        <v>45974</v>
      </c>
      <c r="N125" s="7">
        <v>23.05</v>
      </c>
      <c r="O125" s="5">
        <f t="shared" si="8"/>
        <v>6</v>
      </c>
      <c r="P125" s="5" t="s">
        <v>181</v>
      </c>
      <c r="Q125" s="5" t="s">
        <v>754</v>
      </c>
      <c r="R125" s="8">
        <v>0.9</v>
      </c>
      <c r="S125" s="5" t="s">
        <v>60</v>
      </c>
      <c r="T125" s="5" t="s">
        <v>182</v>
      </c>
      <c r="U125" s="7">
        <v>20.74</v>
      </c>
      <c r="V125" s="5" t="s">
        <v>120</v>
      </c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</row>
    <row r="126" spans="1:54" x14ac:dyDescent="0.25">
      <c r="A126" s="5">
        <v>2028379894</v>
      </c>
      <c r="B126" s="5" t="s">
        <v>264</v>
      </c>
      <c r="C126" s="5" t="s">
        <v>265</v>
      </c>
      <c r="D126" s="5" t="str">
        <f t="shared" si="6"/>
        <v>CONNIE SHOCKLEY</v>
      </c>
      <c r="E126" s="5" t="s">
        <v>91</v>
      </c>
      <c r="F126" s="5" t="s">
        <v>53</v>
      </c>
      <c r="G126" s="5" t="s">
        <v>232</v>
      </c>
      <c r="H126" s="5">
        <v>21421111</v>
      </c>
      <c r="I126" s="5" t="s">
        <v>266</v>
      </c>
      <c r="J126" s="5" t="s">
        <v>267</v>
      </c>
      <c r="K126" s="5" t="str">
        <f t="shared" si="7"/>
        <v>Kirk Tigue</v>
      </c>
      <c r="L126" s="6">
        <v>45760</v>
      </c>
      <c r="M126" s="6">
        <v>45974</v>
      </c>
      <c r="N126" s="7">
        <v>81.099999999999994</v>
      </c>
      <c r="O126" s="5">
        <f t="shared" si="8"/>
        <v>7</v>
      </c>
      <c r="P126" s="5" t="s">
        <v>181</v>
      </c>
      <c r="Q126" s="5" t="s">
        <v>755</v>
      </c>
      <c r="R126" s="8">
        <v>0.75</v>
      </c>
      <c r="S126" s="5" t="s">
        <v>60</v>
      </c>
      <c r="T126" s="5" t="s">
        <v>182</v>
      </c>
      <c r="U126" s="7">
        <v>60.82</v>
      </c>
      <c r="V126" s="5" t="s">
        <v>751</v>
      </c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</row>
    <row r="127" spans="1:54" x14ac:dyDescent="0.25">
      <c r="A127" s="5">
        <v>2028679376</v>
      </c>
      <c r="B127" s="5" t="s">
        <v>586</v>
      </c>
      <c r="C127" s="5" t="s">
        <v>403</v>
      </c>
      <c r="D127" s="5" t="str">
        <f t="shared" si="6"/>
        <v>SCOTT HALL</v>
      </c>
      <c r="E127" s="5" t="s">
        <v>78</v>
      </c>
      <c r="F127" s="5" t="s">
        <v>587</v>
      </c>
      <c r="G127" s="5" t="s">
        <v>588</v>
      </c>
      <c r="H127" s="5">
        <v>19681796</v>
      </c>
      <c r="I127" s="5" t="s">
        <v>566</v>
      </c>
      <c r="J127" s="5" t="s">
        <v>567</v>
      </c>
      <c r="K127" s="5" t="str">
        <f t="shared" si="7"/>
        <v>CHRISTIAN TAUGNER</v>
      </c>
      <c r="L127" s="6">
        <v>45778</v>
      </c>
      <c r="M127" s="6">
        <v>45992</v>
      </c>
      <c r="N127" s="7">
        <v>-129.44</v>
      </c>
      <c r="O127" s="5">
        <f t="shared" si="8"/>
        <v>7</v>
      </c>
      <c r="P127" s="5" t="s">
        <v>181</v>
      </c>
      <c r="Q127" s="5" t="s">
        <v>754</v>
      </c>
      <c r="R127" s="8">
        <v>0.26</v>
      </c>
      <c r="S127" s="5" t="s">
        <v>60</v>
      </c>
      <c r="T127" s="5" t="s">
        <v>182</v>
      </c>
      <c r="U127" s="7">
        <v>-33.65</v>
      </c>
      <c r="V127" s="5" t="s">
        <v>759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</row>
    <row r="128" spans="1:54" x14ac:dyDescent="0.25">
      <c r="A128" s="5">
        <v>2028174266</v>
      </c>
      <c r="B128" s="5" t="s">
        <v>517</v>
      </c>
      <c r="C128" s="5" t="s">
        <v>518</v>
      </c>
      <c r="D128" s="5" t="str">
        <f t="shared" si="6"/>
        <v>TAMEKA HOWARD</v>
      </c>
      <c r="E128" s="5" t="s">
        <v>78</v>
      </c>
      <c r="F128" s="5" t="s">
        <v>116</v>
      </c>
      <c r="G128" s="5" t="s">
        <v>125</v>
      </c>
      <c r="H128" s="5">
        <v>17143996</v>
      </c>
      <c r="I128" s="5" t="s">
        <v>519</v>
      </c>
      <c r="J128" s="5" t="s">
        <v>520</v>
      </c>
      <c r="K128" s="5" t="str">
        <f t="shared" si="7"/>
        <v>James Allen</v>
      </c>
      <c r="L128" s="6">
        <v>45758</v>
      </c>
      <c r="M128" s="6">
        <v>45972</v>
      </c>
      <c r="N128" s="7">
        <v>19</v>
      </c>
      <c r="O128" s="5">
        <f t="shared" si="8"/>
        <v>7</v>
      </c>
      <c r="P128" s="5" t="s">
        <v>181</v>
      </c>
      <c r="Q128" s="5" t="s">
        <v>755</v>
      </c>
      <c r="R128" s="8">
        <v>0.7</v>
      </c>
      <c r="S128" s="5" t="s">
        <v>60</v>
      </c>
      <c r="T128" s="5" t="s">
        <v>182</v>
      </c>
      <c r="U128" s="7">
        <v>13.3</v>
      </c>
      <c r="V128" s="5" t="s">
        <v>125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</row>
    <row r="129" spans="1:54" x14ac:dyDescent="0.25">
      <c r="A129" s="5">
        <v>2028379892</v>
      </c>
      <c r="B129" s="5" t="s">
        <v>264</v>
      </c>
      <c r="C129" s="5" t="s">
        <v>265</v>
      </c>
      <c r="D129" s="5" t="str">
        <f t="shared" si="6"/>
        <v>CONNIE SHOCKLEY</v>
      </c>
      <c r="E129" s="5" t="s">
        <v>91</v>
      </c>
      <c r="F129" s="5" t="s">
        <v>116</v>
      </c>
      <c r="G129" s="5" t="s">
        <v>125</v>
      </c>
      <c r="H129" s="5">
        <v>21421111</v>
      </c>
      <c r="I129" s="5" t="s">
        <v>266</v>
      </c>
      <c r="J129" s="5" t="s">
        <v>267</v>
      </c>
      <c r="K129" s="5" t="str">
        <f t="shared" si="7"/>
        <v>Kirk Tigue</v>
      </c>
      <c r="L129" s="6">
        <v>45760</v>
      </c>
      <c r="M129" s="6">
        <v>45974</v>
      </c>
      <c r="N129" s="7">
        <v>129.22</v>
      </c>
      <c r="O129" s="5">
        <f t="shared" si="8"/>
        <v>7</v>
      </c>
      <c r="P129" s="5" t="s">
        <v>181</v>
      </c>
      <c r="Q129" s="5" t="s">
        <v>755</v>
      </c>
      <c r="R129" s="8">
        <v>0.7</v>
      </c>
      <c r="S129" s="5" t="s">
        <v>60</v>
      </c>
      <c r="T129" s="5" t="s">
        <v>182</v>
      </c>
      <c r="U129" s="7">
        <v>90.45</v>
      </c>
      <c r="V129" s="5" t="s">
        <v>125</v>
      </c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</row>
    <row r="130" spans="1:54" x14ac:dyDescent="0.25">
      <c r="A130" s="5">
        <v>2028379893</v>
      </c>
      <c r="B130" s="5" t="s">
        <v>264</v>
      </c>
      <c r="C130" s="5" t="s">
        <v>265</v>
      </c>
      <c r="D130" s="5" t="str">
        <f t="shared" si="6"/>
        <v>CONNIE SHOCKLEY</v>
      </c>
      <c r="E130" s="5" t="s">
        <v>91</v>
      </c>
      <c r="F130" s="5" t="s">
        <v>92</v>
      </c>
      <c r="G130" s="5" t="s">
        <v>93</v>
      </c>
      <c r="H130" s="5">
        <v>21421111</v>
      </c>
      <c r="I130" s="5" t="s">
        <v>266</v>
      </c>
      <c r="J130" s="5" t="s">
        <v>267</v>
      </c>
      <c r="K130" s="5" t="str">
        <f t="shared" si="7"/>
        <v>Kirk Tigue</v>
      </c>
      <c r="L130" s="6">
        <v>45760</v>
      </c>
      <c r="M130" s="6">
        <v>45974</v>
      </c>
      <c r="N130" s="7">
        <v>27.95</v>
      </c>
      <c r="O130" s="5">
        <f t="shared" si="8"/>
        <v>7</v>
      </c>
      <c r="P130" s="5" t="s">
        <v>181</v>
      </c>
      <c r="Q130" s="5" t="s">
        <v>755</v>
      </c>
      <c r="R130" s="9">
        <v>0.375</v>
      </c>
      <c r="S130" s="5" t="s">
        <v>60</v>
      </c>
      <c r="T130" s="5" t="s">
        <v>182</v>
      </c>
      <c r="U130" s="7">
        <v>10.48</v>
      </c>
      <c r="V130" s="5" t="s">
        <v>93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</row>
    <row r="131" spans="1:54" x14ac:dyDescent="0.25">
      <c r="A131" s="5">
        <v>2028174265</v>
      </c>
      <c r="B131" s="5" t="s">
        <v>517</v>
      </c>
      <c r="C131" s="5" t="s">
        <v>518</v>
      </c>
      <c r="D131" s="5" t="str">
        <f t="shared" ref="D131:D194" si="9">CONCATENATE(C131, " ",B131)</f>
        <v>TAMEKA HOWARD</v>
      </c>
      <c r="E131" s="5" t="s">
        <v>78</v>
      </c>
      <c r="F131" s="5" t="s">
        <v>92</v>
      </c>
      <c r="G131" s="5" t="s">
        <v>93</v>
      </c>
      <c r="H131" s="5">
        <v>17143996</v>
      </c>
      <c r="I131" s="5" t="s">
        <v>519</v>
      </c>
      <c r="J131" s="5" t="s">
        <v>520</v>
      </c>
      <c r="K131" s="5" t="str">
        <f t="shared" ref="K131:K194" si="10">CONCATENATE(J131, " ",I131)</f>
        <v>James Allen</v>
      </c>
      <c r="L131" s="6">
        <v>45758</v>
      </c>
      <c r="M131" s="6">
        <v>45972</v>
      </c>
      <c r="N131" s="7">
        <v>32.67</v>
      </c>
      <c r="O131" s="5">
        <f t="shared" ref="O131:O194" si="11">DATEDIF(L131,M131,"M")</f>
        <v>7</v>
      </c>
      <c r="P131" s="5" t="s">
        <v>181</v>
      </c>
      <c r="Q131" s="5" t="s">
        <v>755</v>
      </c>
      <c r="R131" s="9">
        <v>0.375</v>
      </c>
      <c r="S131" s="5" t="s">
        <v>60</v>
      </c>
      <c r="T131" s="5" t="s">
        <v>182</v>
      </c>
      <c r="U131" s="7">
        <v>12.25</v>
      </c>
      <c r="V131" s="5" t="s">
        <v>93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</row>
    <row r="132" spans="1:54" x14ac:dyDescent="0.25">
      <c r="A132" s="5">
        <v>2027604739</v>
      </c>
      <c r="B132" s="5" t="s">
        <v>466</v>
      </c>
      <c r="C132" s="5" t="s">
        <v>467</v>
      </c>
      <c r="D132" s="5" t="str">
        <f t="shared" si="9"/>
        <v>EVELYN BENDER</v>
      </c>
      <c r="E132" s="5" t="s">
        <v>228</v>
      </c>
      <c r="F132" s="5" t="s">
        <v>443</v>
      </c>
      <c r="G132" s="5" t="s">
        <v>444</v>
      </c>
      <c r="H132" s="5">
        <v>17094718</v>
      </c>
      <c r="I132" s="5" t="s">
        <v>468</v>
      </c>
      <c r="J132" s="5" t="s">
        <v>261</v>
      </c>
      <c r="K132" s="5" t="str">
        <f t="shared" si="10"/>
        <v>GREGORY HANSFORD</v>
      </c>
      <c r="L132" s="6">
        <v>45723</v>
      </c>
      <c r="M132" s="6">
        <v>45968</v>
      </c>
      <c r="N132" s="7">
        <v>51.04</v>
      </c>
      <c r="O132" s="5">
        <f t="shared" si="11"/>
        <v>8</v>
      </c>
      <c r="P132" s="5" t="s">
        <v>181</v>
      </c>
      <c r="Q132" s="5" t="s">
        <v>755</v>
      </c>
      <c r="R132" s="8">
        <v>0.47</v>
      </c>
      <c r="S132" s="5" t="s">
        <v>60</v>
      </c>
      <c r="T132" s="5" t="s">
        <v>182</v>
      </c>
      <c r="U132" s="7">
        <v>23.99</v>
      </c>
      <c r="V132" s="5" t="s">
        <v>444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</row>
    <row r="133" spans="1:54" x14ac:dyDescent="0.25">
      <c r="A133" s="5">
        <v>2027605652</v>
      </c>
      <c r="B133" s="5" t="s">
        <v>469</v>
      </c>
      <c r="C133" s="5" t="s">
        <v>470</v>
      </c>
      <c r="D133" s="5" t="str">
        <f t="shared" si="9"/>
        <v>EMMA VALE</v>
      </c>
      <c r="E133" s="5" t="s">
        <v>78</v>
      </c>
      <c r="F133" s="5" t="s">
        <v>443</v>
      </c>
      <c r="G133" s="5" t="s">
        <v>444</v>
      </c>
      <c r="H133" s="5">
        <v>17301495</v>
      </c>
      <c r="I133" s="5" t="s">
        <v>471</v>
      </c>
      <c r="J133" s="5" t="s">
        <v>472</v>
      </c>
      <c r="K133" s="5" t="str">
        <f t="shared" si="10"/>
        <v>ESTHER HERRERA-LARSEN</v>
      </c>
      <c r="L133" s="6">
        <v>45722</v>
      </c>
      <c r="M133" s="6">
        <v>45967</v>
      </c>
      <c r="N133" s="7">
        <v>83.39</v>
      </c>
      <c r="O133" s="5">
        <f t="shared" si="11"/>
        <v>8</v>
      </c>
      <c r="P133" s="5" t="s">
        <v>181</v>
      </c>
      <c r="Q133" s="5" t="s">
        <v>755</v>
      </c>
      <c r="R133" s="8">
        <v>0.47</v>
      </c>
      <c r="S133" s="5" t="s">
        <v>60</v>
      </c>
      <c r="T133" s="5" t="s">
        <v>182</v>
      </c>
      <c r="U133" s="7">
        <v>39.19</v>
      </c>
      <c r="V133" s="5" t="s">
        <v>444</v>
      </c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</row>
    <row r="134" spans="1:54" x14ac:dyDescent="0.25">
      <c r="A134" s="5">
        <v>2028679376</v>
      </c>
      <c r="B134" s="5" t="s">
        <v>586</v>
      </c>
      <c r="C134" s="5" t="s">
        <v>403</v>
      </c>
      <c r="D134" s="5" t="str">
        <f t="shared" si="9"/>
        <v>SCOTT HALL</v>
      </c>
      <c r="E134" s="5" t="s">
        <v>78</v>
      </c>
      <c r="F134" s="5" t="s">
        <v>587</v>
      </c>
      <c r="G134" s="5" t="s">
        <v>588</v>
      </c>
      <c r="H134" s="5">
        <v>19681796</v>
      </c>
      <c r="I134" s="5" t="s">
        <v>566</v>
      </c>
      <c r="J134" s="5" t="s">
        <v>567</v>
      </c>
      <c r="K134" s="5" t="str">
        <f t="shared" si="10"/>
        <v>CHRISTIAN TAUGNER</v>
      </c>
      <c r="L134" s="6">
        <v>45778</v>
      </c>
      <c r="M134" s="6">
        <v>46023</v>
      </c>
      <c r="N134" s="7">
        <v>-129.44</v>
      </c>
      <c r="O134" s="5">
        <f t="shared" si="11"/>
        <v>8</v>
      </c>
      <c r="P134" s="5" t="s">
        <v>181</v>
      </c>
      <c r="Q134" s="5" t="s">
        <v>754</v>
      </c>
      <c r="R134" s="8">
        <v>0.26</v>
      </c>
      <c r="S134" s="5" t="s">
        <v>60</v>
      </c>
      <c r="T134" s="5" t="s">
        <v>182</v>
      </c>
      <c r="U134" s="7">
        <v>-33.65</v>
      </c>
      <c r="V134" s="5" t="s">
        <v>759</v>
      </c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</row>
    <row r="135" spans="1:54" x14ac:dyDescent="0.25">
      <c r="A135" s="5">
        <v>2027738119</v>
      </c>
      <c r="B135" s="5" t="s">
        <v>639</v>
      </c>
      <c r="C135" s="5" t="s">
        <v>640</v>
      </c>
      <c r="D135" s="5" t="str">
        <f t="shared" si="9"/>
        <v>OYUN-ERDENE GANBOLD</v>
      </c>
      <c r="E135" s="5" t="s">
        <v>78</v>
      </c>
      <c r="F135" s="5" t="s">
        <v>116</v>
      </c>
      <c r="G135" s="5" t="s">
        <v>125</v>
      </c>
      <c r="H135" s="5">
        <v>20220688</v>
      </c>
      <c r="I135" s="5" t="s">
        <v>151</v>
      </c>
      <c r="J135" s="5" t="s">
        <v>152</v>
      </c>
      <c r="K135" s="5" t="str">
        <f t="shared" si="10"/>
        <v>NASANDELGER ZANA</v>
      </c>
      <c r="L135" s="6">
        <v>45728</v>
      </c>
      <c r="M135" s="6">
        <v>45973</v>
      </c>
      <c r="N135" s="7">
        <v>51</v>
      </c>
      <c r="O135" s="5">
        <f t="shared" si="11"/>
        <v>8</v>
      </c>
      <c r="P135" s="5" t="s">
        <v>181</v>
      </c>
      <c r="Q135" s="5" t="s">
        <v>755</v>
      </c>
      <c r="R135" s="8">
        <v>0.7</v>
      </c>
      <c r="S135" s="5" t="s">
        <v>60</v>
      </c>
      <c r="T135" s="5" t="s">
        <v>182</v>
      </c>
      <c r="U135" s="7">
        <v>35.700000000000003</v>
      </c>
      <c r="V135" s="5" t="s">
        <v>125</v>
      </c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</row>
    <row r="136" spans="1:54" s="5" customFormat="1" x14ac:dyDescent="0.25">
      <c r="A136" s="5">
        <v>2027767677</v>
      </c>
      <c r="B136" s="5" t="s">
        <v>511</v>
      </c>
      <c r="C136" s="5" t="s">
        <v>512</v>
      </c>
      <c r="D136" s="5" t="str">
        <f t="shared" si="9"/>
        <v>BLAKE LARSEN</v>
      </c>
      <c r="E136" s="5" t="s">
        <v>272</v>
      </c>
      <c r="F136" s="5" t="s">
        <v>116</v>
      </c>
      <c r="G136" s="5" t="s">
        <v>125</v>
      </c>
      <c r="H136" s="5">
        <v>17301495</v>
      </c>
      <c r="I136" s="5" t="s">
        <v>471</v>
      </c>
      <c r="J136" s="5" t="s">
        <v>472</v>
      </c>
      <c r="K136" s="5" t="str">
        <f t="shared" si="10"/>
        <v>ESTHER HERRERA-LARSEN</v>
      </c>
      <c r="L136" s="6">
        <v>45729</v>
      </c>
      <c r="M136" s="6">
        <v>45974</v>
      </c>
      <c r="N136" s="7">
        <v>56.55</v>
      </c>
      <c r="O136" s="5">
        <f t="shared" si="11"/>
        <v>8</v>
      </c>
      <c r="P136" s="5" t="s">
        <v>181</v>
      </c>
      <c r="Q136" s="5" t="s">
        <v>755</v>
      </c>
      <c r="R136" s="8">
        <v>0.7</v>
      </c>
      <c r="S136" s="5" t="s">
        <v>60</v>
      </c>
      <c r="T136" s="5" t="s">
        <v>182</v>
      </c>
      <c r="U136" s="7">
        <v>39.58</v>
      </c>
      <c r="V136" s="5" t="s">
        <v>125</v>
      </c>
    </row>
    <row r="137" spans="1:54" s="5" customFormat="1" x14ac:dyDescent="0.25">
      <c r="A137" s="5">
        <v>2027738389</v>
      </c>
      <c r="B137" s="5" t="s">
        <v>641</v>
      </c>
      <c r="C137" s="5" t="s">
        <v>642</v>
      </c>
      <c r="D137" s="5" t="str">
        <f t="shared" si="9"/>
        <v>FERNANDO MARRUFO</v>
      </c>
      <c r="E137" s="5" t="s">
        <v>102</v>
      </c>
      <c r="F137" s="5" t="s">
        <v>116</v>
      </c>
      <c r="G137" s="5" t="s">
        <v>125</v>
      </c>
      <c r="H137" s="5">
        <v>371819</v>
      </c>
      <c r="I137" s="5" t="s">
        <v>147</v>
      </c>
      <c r="J137" s="5" t="s">
        <v>148</v>
      </c>
      <c r="K137" s="5" t="str">
        <f t="shared" si="10"/>
        <v>THOMAS PARDUE</v>
      </c>
      <c r="L137" s="6">
        <v>45728</v>
      </c>
      <c r="M137" s="6">
        <v>45973</v>
      </c>
      <c r="N137" s="7">
        <v>77.48</v>
      </c>
      <c r="O137" s="5">
        <f t="shared" si="11"/>
        <v>8</v>
      </c>
      <c r="P137" s="5" t="s">
        <v>181</v>
      </c>
      <c r="Q137" s="5" t="s">
        <v>755</v>
      </c>
      <c r="R137" s="8">
        <v>0.7</v>
      </c>
      <c r="S137" s="5" t="s">
        <v>60</v>
      </c>
      <c r="T137" s="5" t="s">
        <v>182</v>
      </c>
      <c r="U137" s="7">
        <v>54.24</v>
      </c>
      <c r="V137" s="5" t="s">
        <v>125</v>
      </c>
    </row>
    <row r="138" spans="1:54" s="5" customFormat="1" x14ac:dyDescent="0.25">
      <c r="A138" s="5">
        <v>2027706490</v>
      </c>
      <c r="B138" s="5" t="s">
        <v>508</v>
      </c>
      <c r="C138" s="5" t="s">
        <v>211</v>
      </c>
      <c r="D138" s="5" t="str">
        <f t="shared" si="9"/>
        <v>TIMOTHY HUDZIK</v>
      </c>
      <c r="E138" s="5" t="s">
        <v>78</v>
      </c>
      <c r="F138" s="5" t="s">
        <v>116</v>
      </c>
      <c r="G138" s="5" t="s">
        <v>125</v>
      </c>
      <c r="H138" s="5">
        <v>16912722</v>
      </c>
      <c r="I138" s="5" t="s">
        <v>139</v>
      </c>
      <c r="J138" s="5" t="s">
        <v>140</v>
      </c>
      <c r="K138" s="5" t="str">
        <f t="shared" si="10"/>
        <v>ANDREA PETRUNGARO</v>
      </c>
      <c r="L138" s="6">
        <v>45727</v>
      </c>
      <c r="M138" s="6">
        <v>45972</v>
      </c>
      <c r="N138" s="7">
        <v>145.41999999999999</v>
      </c>
      <c r="O138" s="5">
        <f t="shared" si="11"/>
        <v>8</v>
      </c>
      <c r="P138" s="5" t="s">
        <v>181</v>
      </c>
      <c r="Q138" s="5" t="s">
        <v>755</v>
      </c>
      <c r="R138" s="8">
        <v>0.7</v>
      </c>
      <c r="S138" s="5" t="s">
        <v>60</v>
      </c>
      <c r="T138" s="5" t="s">
        <v>182</v>
      </c>
      <c r="U138" s="7">
        <v>101.79</v>
      </c>
      <c r="V138" s="5" t="s">
        <v>125</v>
      </c>
      <c r="BB138"/>
    </row>
    <row r="139" spans="1:54" s="5" customFormat="1" x14ac:dyDescent="0.25">
      <c r="A139" s="5">
        <v>2027721564</v>
      </c>
      <c r="B139" s="5" t="s">
        <v>637</v>
      </c>
      <c r="C139" s="5" t="s">
        <v>638</v>
      </c>
      <c r="D139" s="5" t="str">
        <f t="shared" si="9"/>
        <v>MANJIT KAUR</v>
      </c>
      <c r="E139" s="5" t="s">
        <v>78</v>
      </c>
      <c r="F139" s="5" t="s">
        <v>116</v>
      </c>
      <c r="G139" s="5" t="s">
        <v>125</v>
      </c>
      <c r="H139" s="5">
        <v>16912722</v>
      </c>
      <c r="I139" s="5" t="s">
        <v>139</v>
      </c>
      <c r="J139" s="5" t="s">
        <v>140</v>
      </c>
      <c r="K139" s="5" t="str">
        <f t="shared" si="10"/>
        <v>ANDREA PETRUNGARO</v>
      </c>
      <c r="L139" s="6">
        <v>45727</v>
      </c>
      <c r="M139" s="6">
        <v>45972</v>
      </c>
      <c r="N139" s="7">
        <v>145.41999999999999</v>
      </c>
      <c r="O139" s="5">
        <f t="shared" si="11"/>
        <v>8</v>
      </c>
      <c r="P139" s="5" t="s">
        <v>181</v>
      </c>
      <c r="Q139" s="5" t="s">
        <v>755</v>
      </c>
      <c r="R139" s="8">
        <v>0.7</v>
      </c>
      <c r="S139" s="5" t="s">
        <v>60</v>
      </c>
      <c r="T139" s="5" t="s">
        <v>182</v>
      </c>
      <c r="U139" s="7">
        <v>101.79</v>
      </c>
      <c r="V139" s="5" t="s">
        <v>125</v>
      </c>
      <c r="BB139"/>
    </row>
    <row r="140" spans="1:54" s="5" customFormat="1" x14ac:dyDescent="0.25">
      <c r="A140" s="5">
        <v>2027767676</v>
      </c>
      <c r="B140" s="5" t="s">
        <v>511</v>
      </c>
      <c r="C140" s="5" t="s">
        <v>512</v>
      </c>
      <c r="D140" s="5" t="str">
        <f t="shared" si="9"/>
        <v>BLAKE LARSEN</v>
      </c>
      <c r="E140" s="5" t="s">
        <v>272</v>
      </c>
      <c r="F140" s="5" t="s">
        <v>92</v>
      </c>
      <c r="G140" s="5" t="s">
        <v>93</v>
      </c>
      <c r="H140" s="5">
        <v>17301495</v>
      </c>
      <c r="I140" s="5" t="s">
        <v>471</v>
      </c>
      <c r="J140" s="5" t="s">
        <v>472</v>
      </c>
      <c r="K140" s="5" t="str">
        <f t="shared" si="10"/>
        <v>ESTHER HERRERA-LARSEN</v>
      </c>
      <c r="L140" s="6">
        <v>45729</v>
      </c>
      <c r="M140" s="6">
        <v>45974</v>
      </c>
      <c r="N140" s="7">
        <v>66.650000000000006</v>
      </c>
      <c r="O140" s="5">
        <f t="shared" si="11"/>
        <v>8</v>
      </c>
      <c r="P140" s="5" t="s">
        <v>181</v>
      </c>
      <c r="Q140" s="5" t="s">
        <v>755</v>
      </c>
      <c r="R140" s="9">
        <v>0.375</v>
      </c>
      <c r="S140" s="5" t="s">
        <v>60</v>
      </c>
      <c r="T140" s="5" t="s">
        <v>182</v>
      </c>
      <c r="U140" s="7">
        <v>24.99</v>
      </c>
      <c r="V140" s="5" t="s">
        <v>93</v>
      </c>
    </row>
    <row r="141" spans="1:54" s="5" customFormat="1" x14ac:dyDescent="0.25">
      <c r="A141" s="5">
        <v>2027706491</v>
      </c>
      <c r="B141" s="5" t="s">
        <v>508</v>
      </c>
      <c r="C141" s="5" t="s">
        <v>211</v>
      </c>
      <c r="D141" s="5" t="str">
        <f t="shared" si="9"/>
        <v>TIMOTHY HUDZIK</v>
      </c>
      <c r="E141" s="5" t="s">
        <v>78</v>
      </c>
      <c r="F141" s="5" t="s">
        <v>92</v>
      </c>
      <c r="G141" s="5" t="s">
        <v>93</v>
      </c>
      <c r="H141" s="5">
        <v>16912722</v>
      </c>
      <c r="I141" s="5" t="s">
        <v>139</v>
      </c>
      <c r="J141" s="5" t="s">
        <v>140</v>
      </c>
      <c r="K141" s="5" t="str">
        <f t="shared" si="10"/>
        <v>ANDREA PETRUNGARO</v>
      </c>
      <c r="L141" s="6">
        <v>45727</v>
      </c>
      <c r="M141" s="6">
        <v>45972</v>
      </c>
      <c r="N141" s="7">
        <v>103.42</v>
      </c>
      <c r="O141" s="5">
        <f t="shared" si="11"/>
        <v>8</v>
      </c>
      <c r="P141" s="5" t="s">
        <v>181</v>
      </c>
      <c r="Q141" s="5" t="s">
        <v>755</v>
      </c>
      <c r="R141" s="9">
        <v>0.375</v>
      </c>
      <c r="S141" s="5" t="s">
        <v>60</v>
      </c>
      <c r="T141" s="5" t="s">
        <v>182</v>
      </c>
      <c r="U141" s="7">
        <v>38.78</v>
      </c>
      <c r="V141" s="5" t="s">
        <v>93</v>
      </c>
      <c r="BB141"/>
    </row>
    <row r="142" spans="1:54" s="5" customFormat="1" x14ac:dyDescent="0.25">
      <c r="A142" s="5">
        <v>2027738390</v>
      </c>
      <c r="B142" s="5" t="s">
        <v>641</v>
      </c>
      <c r="C142" s="5" t="s">
        <v>642</v>
      </c>
      <c r="D142" s="5" t="str">
        <f t="shared" si="9"/>
        <v>FERNANDO MARRUFO</v>
      </c>
      <c r="E142" s="5" t="s">
        <v>102</v>
      </c>
      <c r="F142" s="5" t="s">
        <v>116</v>
      </c>
      <c r="G142" s="5" t="s">
        <v>120</v>
      </c>
      <c r="H142" s="5">
        <v>371819</v>
      </c>
      <c r="I142" s="5" t="s">
        <v>147</v>
      </c>
      <c r="J142" s="5" t="s">
        <v>148</v>
      </c>
      <c r="K142" s="5" t="str">
        <f t="shared" si="10"/>
        <v>THOMAS PARDUE</v>
      </c>
      <c r="L142" s="6">
        <v>45728</v>
      </c>
      <c r="M142" s="6">
        <v>45973</v>
      </c>
      <c r="N142" s="7">
        <v>30.83</v>
      </c>
      <c r="O142" s="5">
        <f t="shared" si="11"/>
        <v>8</v>
      </c>
      <c r="P142" s="5" t="s">
        <v>181</v>
      </c>
      <c r="Q142" s="5" t="s">
        <v>755</v>
      </c>
      <c r="R142" s="8">
        <v>0.9</v>
      </c>
      <c r="S142" s="5" t="s">
        <v>60</v>
      </c>
      <c r="T142" s="5" t="s">
        <v>182</v>
      </c>
      <c r="U142" s="7">
        <v>27.75</v>
      </c>
      <c r="V142" s="5" t="s">
        <v>120</v>
      </c>
    </row>
    <row r="143" spans="1:54" s="5" customFormat="1" x14ac:dyDescent="0.25">
      <c r="A143" s="5">
        <v>2027038281</v>
      </c>
      <c r="B143" s="5" t="s">
        <v>252</v>
      </c>
      <c r="C143" s="5" t="s">
        <v>253</v>
      </c>
      <c r="D143" s="5" t="str">
        <f t="shared" si="9"/>
        <v>CHERI MORGAN-PRESTON</v>
      </c>
      <c r="E143" s="5" t="s">
        <v>69</v>
      </c>
      <c r="F143" s="5" t="s">
        <v>53</v>
      </c>
      <c r="G143" s="5" t="s">
        <v>75</v>
      </c>
      <c r="H143" s="5">
        <v>16865615</v>
      </c>
      <c r="I143" s="5" t="s">
        <v>71</v>
      </c>
      <c r="J143" s="5" t="s">
        <v>72</v>
      </c>
      <c r="K143" s="5" t="str">
        <f t="shared" si="10"/>
        <v>Heather Geske</v>
      </c>
      <c r="L143" s="6">
        <v>45699</v>
      </c>
      <c r="M143" s="6">
        <v>45972</v>
      </c>
      <c r="N143" s="7">
        <v>48.33</v>
      </c>
      <c r="O143" s="5">
        <f t="shared" si="11"/>
        <v>9</v>
      </c>
      <c r="P143" s="5" t="s">
        <v>181</v>
      </c>
      <c r="Q143" s="5" t="s">
        <v>755</v>
      </c>
      <c r="R143" s="8">
        <v>0.65</v>
      </c>
      <c r="S143" s="5" t="s">
        <v>60</v>
      </c>
      <c r="T143" s="5" t="s">
        <v>182</v>
      </c>
      <c r="U143" s="7">
        <v>31.41</v>
      </c>
      <c r="V143" s="5" t="s">
        <v>750</v>
      </c>
    </row>
    <row r="144" spans="1:54" s="5" customFormat="1" x14ac:dyDescent="0.25">
      <c r="A144" s="5">
        <v>2027115500</v>
      </c>
      <c r="B144" s="5" t="s">
        <v>255</v>
      </c>
      <c r="C144" s="5" t="s">
        <v>256</v>
      </c>
      <c r="D144" s="5" t="str">
        <f t="shared" si="9"/>
        <v>MADELYN CLEAVE</v>
      </c>
      <c r="E144" s="5" t="s">
        <v>78</v>
      </c>
      <c r="F144" s="5" t="s">
        <v>53</v>
      </c>
      <c r="G144" s="5" t="s">
        <v>70</v>
      </c>
      <c r="H144" s="5">
        <v>16912722</v>
      </c>
      <c r="I144" s="5" t="s">
        <v>139</v>
      </c>
      <c r="J144" s="5" t="s">
        <v>140</v>
      </c>
      <c r="K144" s="5" t="str">
        <f t="shared" si="10"/>
        <v>ANDREA PETRUNGARO</v>
      </c>
      <c r="L144" s="6">
        <v>45703</v>
      </c>
      <c r="M144" s="6">
        <v>45976</v>
      </c>
      <c r="N144" s="7">
        <v>13.92</v>
      </c>
      <c r="O144" s="5">
        <f t="shared" si="11"/>
        <v>9</v>
      </c>
      <c r="P144" s="5" t="s">
        <v>181</v>
      </c>
      <c r="Q144" s="5" t="s">
        <v>755</v>
      </c>
      <c r="R144" s="8">
        <v>0.9</v>
      </c>
      <c r="S144" s="5" t="s">
        <v>60</v>
      </c>
      <c r="T144" s="5" t="s">
        <v>182</v>
      </c>
      <c r="U144" s="7">
        <v>12.53</v>
      </c>
      <c r="V144" s="5" t="s">
        <v>752</v>
      </c>
    </row>
    <row r="145" spans="1:54" s="5" customFormat="1" x14ac:dyDescent="0.25">
      <c r="A145" s="5">
        <v>2026569744</v>
      </c>
      <c r="B145" s="5" t="s">
        <v>459</v>
      </c>
      <c r="C145" s="5" t="s">
        <v>258</v>
      </c>
      <c r="D145" s="5" t="str">
        <f t="shared" si="9"/>
        <v>JAMES GIILESPIE</v>
      </c>
      <c r="E145" s="5" t="s">
        <v>225</v>
      </c>
      <c r="F145" s="5" t="s">
        <v>443</v>
      </c>
      <c r="G145" s="5" t="s">
        <v>444</v>
      </c>
      <c r="H145" s="5">
        <v>371819</v>
      </c>
      <c r="I145" s="5" t="s">
        <v>147</v>
      </c>
      <c r="J145" s="5" t="s">
        <v>148</v>
      </c>
      <c r="K145" s="5" t="str">
        <f t="shared" si="10"/>
        <v>THOMAS PARDUE</v>
      </c>
      <c r="L145" s="6">
        <v>45689</v>
      </c>
      <c r="M145" s="6">
        <v>45962</v>
      </c>
      <c r="N145" s="7">
        <v>47.6</v>
      </c>
      <c r="O145" s="5">
        <f t="shared" si="11"/>
        <v>9</v>
      </c>
      <c r="P145" s="5" t="s">
        <v>181</v>
      </c>
      <c r="Q145" s="5" t="s">
        <v>755</v>
      </c>
      <c r="R145" s="8">
        <v>0.47</v>
      </c>
      <c r="S145" s="5" t="s">
        <v>60</v>
      </c>
      <c r="T145" s="5" t="s">
        <v>182</v>
      </c>
      <c r="U145" s="7">
        <v>22.37</v>
      </c>
      <c r="V145" s="5" t="s">
        <v>444</v>
      </c>
      <c r="BB145"/>
    </row>
    <row r="146" spans="1:54" s="5" customFormat="1" x14ac:dyDescent="0.25">
      <c r="A146" s="5">
        <v>2027038279</v>
      </c>
      <c r="B146" s="5" t="s">
        <v>252</v>
      </c>
      <c r="C146" s="5" t="s">
        <v>253</v>
      </c>
      <c r="D146" s="5" t="str">
        <f t="shared" si="9"/>
        <v>CHERI MORGAN-PRESTON</v>
      </c>
      <c r="E146" s="5" t="s">
        <v>69</v>
      </c>
      <c r="F146" s="5" t="s">
        <v>114</v>
      </c>
      <c r="G146" s="5" t="s">
        <v>576</v>
      </c>
      <c r="H146" s="5">
        <v>16865615</v>
      </c>
      <c r="I146" s="5" t="s">
        <v>71</v>
      </c>
      <c r="J146" s="5" t="s">
        <v>72</v>
      </c>
      <c r="K146" s="5" t="str">
        <f t="shared" si="10"/>
        <v>Heather Geske</v>
      </c>
      <c r="L146" s="6">
        <v>45699</v>
      </c>
      <c r="M146" s="6">
        <v>45972</v>
      </c>
      <c r="N146" s="7">
        <v>40.270000000000003</v>
      </c>
      <c r="O146" s="5">
        <f t="shared" si="11"/>
        <v>9</v>
      </c>
      <c r="P146" s="5" t="s">
        <v>181</v>
      </c>
      <c r="Q146" s="5" t="s">
        <v>755</v>
      </c>
      <c r="R146" s="8">
        <v>0.38</v>
      </c>
      <c r="S146" s="5" t="s">
        <v>60</v>
      </c>
      <c r="T146" s="5" t="s">
        <v>182</v>
      </c>
      <c r="U146" s="7">
        <v>15.3</v>
      </c>
      <c r="V146" s="5" t="s">
        <v>576</v>
      </c>
    </row>
    <row r="147" spans="1:54" s="5" customFormat="1" x14ac:dyDescent="0.25">
      <c r="A147" s="5">
        <v>2028679376</v>
      </c>
      <c r="B147" s="5" t="s">
        <v>586</v>
      </c>
      <c r="C147" s="5" t="s">
        <v>403</v>
      </c>
      <c r="D147" s="5" t="str">
        <f t="shared" si="9"/>
        <v>SCOTT HALL</v>
      </c>
      <c r="E147" s="5" t="s">
        <v>78</v>
      </c>
      <c r="F147" s="5" t="s">
        <v>587</v>
      </c>
      <c r="G147" s="5" t="s">
        <v>588</v>
      </c>
      <c r="H147" s="5">
        <v>19681796</v>
      </c>
      <c r="I147" s="5" t="s">
        <v>566</v>
      </c>
      <c r="J147" s="5" t="s">
        <v>567</v>
      </c>
      <c r="K147" s="5" t="str">
        <f t="shared" si="10"/>
        <v>CHRISTIAN TAUGNER</v>
      </c>
      <c r="L147" s="6">
        <v>45778</v>
      </c>
      <c r="M147" s="6">
        <v>46054</v>
      </c>
      <c r="N147" s="7">
        <v>-129.44</v>
      </c>
      <c r="O147" s="5">
        <f t="shared" si="11"/>
        <v>9</v>
      </c>
      <c r="P147" s="5" t="s">
        <v>181</v>
      </c>
      <c r="Q147" s="5" t="s">
        <v>754</v>
      </c>
      <c r="R147" s="8">
        <v>0.26</v>
      </c>
      <c r="S147" s="5" t="s">
        <v>60</v>
      </c>
      <c r="T147" s="5" t="s">
        <v>182</v>
      </c>
      <c r="U147" s="7">
        <v>-33.65</v>
      </c>
      <c r="V147" s="5" t="s">
        <v>759</v>
      </c>
    </row>
    <row r="148" spans="1:54" s="5" customFormat="1" x14ac:dyDescent="0.25">
      <c r="A148" s="5">
        <v>2027080634</v>
      </c>
      <c r="B148" s="5" t="s">
        <v>367</v>
      </c>
      <c r="C148" s="5" t="s">
        <v>368</v>
      </c>
      <c r="D148" s="5" t="str">
        <f t="shared" si="9"/>
        <v>MARYANN GALLARELLO</v>
      </c>
      <c r="E148" s="5" t="s">
        <v>369</v>
      </c>
      <c r="F148" s="5" t="s">
        <v>79</v>
      </c>
      <c r="G148" s="5" t="s">
        <v>85</v>
      </c>
      <c r="H148" s="5">
        <v>7470776</v>
      </c>
      <c r="I148" s="5" t="s">
        <v>126</v>
      </c>
      <c r="J148" s="5" t="s">
        <v>127</v>
      </c>
      <c r="K148" s="5" t="str">
        <f t="shared" si="10"/>
        <v>Andrew Choi</v>
      </c>
      <c r="L148" s="6">
        <v>45701</v>
      </c>
      <c r="M148" s="6">
        <v>45974</v>
      </c>
      <c r="N148" s="7">
        <v>15</v>
      </c>
      <c r="O148" s="5">
        <f t="shared" si="11"/>
        <v>9</v>
      </c>
      <c r="P148" s="5" t="s">
        <v>181</v>
      </c>
      <c r="Q148" s="5" t="s">
        <v>755</v>
      </c>
      <c r="R148" s="8">
        <v>0.28999999999999998</v>
      </c>
      <c r="S148" s="5" t="s">
        <v>60</v>
      </c>
      <c r="T148" s="5" t="s">
        <v>182</v>
      </c>
      <c r="U148" s="7">
        <v>4.3499999999999996</v>
      </c>
      <c r="V148" s="5" t="s">
        <v>171</v>
      </c>
    </row>
    <row r="149" spans="1:54" s="5" customFormat="1" x14ac:dyDescent="0.25">
      <c r="A149" s="5">
        <v>2027038280</v>
      </c>
      <c r="B149" s="5" t="s">
        <v>252</v>
      </c>
      <c r="C149" s="5" t="s">
        <v>253</v>
      </c>
      <c r="D149" s="5" t="str">
        <f t="shared" si="9"/>
        <v>CHERI MORGAN-PRESTON</v>
      </c>
      <c r="E149" s="5" t="s">
        <v>69</v>
      </c>
      <c r="F149" s="5" t="s">
        <v>116</v>
      </c>
      <c r="G149" s="5" t="s">
        <v>125</v>
      </c>
      <c r="H149" s="5">
        <v>16865615</v>
      </c>
      <c r="I149" s="5" t="s">
        <v>71</v>
      </c>
      <c r="J149" s="5" t="s">
        <v>72</v>
      </c>
      <c r="K149" s="5" t="str">
        <f t="shared" si="10"/>
        <v>Heather Geske</v>
      </c>
      <c r="L149" s="6">
        <v>45699</v>
      </c>
      <c r="M149" s="6">
        <v>45972</v>
      </c>
      <c r="N149" s="7">
        <v>9.1</v>
      </c>
      <c r="O149" s="5">
        <f t="shared" si="11"/>
        <v>9</v>
      </c>
      <c r="P149" s="5" t="s">
        <v>181</v>
      </c>
      <c r="Q149" s="5" t="s">
        <v>755</v>
      </c>
      <c r="R149" s="8">
        <v>0.7</v>
      </c>
      <c r="S149" s="5" t="s">
        <v>60</v>
      </c>
      <c r="T149" s="5" t="s">
        <v>182</v>
      </c>
      <c r="U149" s="7">
        <v>6.37</v>
      </c>
      <c r="V149" s="5" t="s">
        <v>125</v>
      </c>
    </row>
    <row r="150" spans="1:54" s="5" customFormat="1" x14ac:dyDescent="0.25">
      <c r="A150" s="5">
        <v>2027055700</v>
      </c>
      <c r="B150" s="5" t="s">
        <v>499</v>
      </c>
      <c r="C150" s="5" t="s">
        <v>500</v>
      </c>
      <c r="D150" s="5" t="str">
        <f t="shared" si="9"/>
        <v>AARON HEGARTY</v>
      </c>
      <c r="E150" s="5" t="s">
        <v>69</v>
      </c>
      <c r="F150" s="5" t="s">
        <v>116</v>
      </c>
      <c r="G150" s="5" t="s">
        <v>125</v>
      </c>
      <c r="H150" s="5">
        <v>16865615</v>
      </c>
      <c r="I150" s="5" t="s">
        <v>71</v>
      </c>
      <c r="J150" s="5" t="s">
        <v>72</v>
      </c>
      <c r="K150" s="5" t="str">
        <f t="shared" si="10"/>
        <v>Heather Geske</v>
      </c>
      <c r="L150" s="6">
        <v>45699</v>
      </c>
      <c r="M150" s="6">
        <v>45972</v>
      </c>
      <c r="N150" s="7">
        <v>9.1</v>
      </c>
      <c r="O150" s="5">
        <f t="shared" si="11"/>
        <v>9</v>
      </c>
      <c r="P150" s="5" t="s">
        <v>181</v>
      </c>
      <c r="Q150" s="5" t="s">
        <v>755</v>
      </c>
      <c r="R150" s="8">
        <v>0.7</v>
      </c>
      <c r="S150" s="5" t="s">
        <v>60</v>
      </c>
      <c r="T150" s="5" t="s">
        <v>182</v>
      </c>
      <c r="U150" s="7">
        <v>6.37</v>
      </c>
      <c r="V150" s="5" t="s">
        <v>125</v>
      </c>
    </row>
    <row r="151" spans="1:54" s="5" customFormat="1" x14ac:dyDescent="0.25">
      <c r="A151" s="5">
        <v>2026569743</v>
      </c>
      <c r="B151" s="5" t="s">
        <v>459</v>
      </c>
      <c r="C151" s="5" t="s">
        <v>258</v>
      </c>
      <c r="D151" s="5" t="str">
        <f t="shared" si="9"/>
        <v>JAMES GIILESPIE</v>
      </c>
      <c r="E151" s="5" t="s">
        <v>225</v>
      </c>
      <c r="F151" s="5" t="s">
        <v>116</v>
      </c>
      <c r="G151" s="5" t="s">
        <v>125</v>
      </c>
      <c r="H151" s="5">
        <v>371819</v>
      </c>
      <c r="I151" s="5" t="s">
        <v>147</v>
      </c>
      <c r="J151" s="5" t="s">
        <v>148</v>
      </c>
      <c r="K151" s="5" t="str">
        <f t="shared" si="10"/>
        <v>THOMAS PARDUE</v>
      </c>
      <c r="L151" s="6">
        <v>45689</v>
      </c>
      <c r="M151" s="6">
        <v>45962</v>
      </c>
      <c r="N151" s="7">
        <v>10.75</v>
      </c>
      <c r="O151" s="5">
        <f t="shared" si="11"/>
        <v>9</v>
      </c>
      <c r="P151" s="5" t="s">
        <v>181</v>
      </c>
      <c r="Q151" s="5" t="s">
        <v>755</v>
      </c>
      <c r="R151" s="8">
        <v>0.7</v>
      </c>
      <c r="S151" s="5" t="s">
        <v>60</v>
      </c>
      <c r="T151" s="5" t="s">
        <v>182</v>
      </c>
      <c r="U151" s="7">
        <v>7.52</v>
      </c>
      <c r="V151" s="5" t="s">
        <v>125</v>
      </c>
      <c r="BB151"/>
    </row>
    <row r="152" spans="1:54" s="5" customFormat="1" x14ac:dyDescent="0.25">
      <c r="A152" s="5">
        <v>2027052528</v>
      </c>
      <c r="B152" s="5" t="s">
        <v>497</v>
      </c>
      <c r="C152" s="5" t="s">
        <v>498</v>
      </c>
      <c r="D152" s="5" t="str">
        <f t="shared" si="9"/>
        <v>ANDREW RECTOR</v>
      </c>
      <c r="E152" s="5" t="s">
        <v>78</v>
      </c>
      <c r="F152" s="5" t="s">
        <v>116</v>
      </c>
      <c r="G152" s="5" t="s">
        <v>125</v>
      </c>
      <c r="H152" s="5">
        <v>18828278</v>
      </c>
      <c r="I152" s="5" t="s">
        <v>477</v>
      </c>
      <c r="J152" s="5" t="s">
        <v>159</v>
      </c>
      <c r="K152" s="5" t="str">
        <f t="shared" si="10"/>
        <v>MICHAEL DUNAVANT</v>
      </c>
      <c r="L152" s="6">
        <v>45699</v>
      </c>
      <c r="M152" s="6">
        <v>45972</v>
      </c>
      <c r="N152" s="7">
        <v>11.5</v>
      </c>
      <c r="O152" s="5">
        <f t="shared" si="11"/>
        <v>9</v>
      </c>
      <c r="P152" s="5" t="s">
        <v>181</v>
      </c>
      <c r="Q152" s="5" t="s">
        <v>755</v>
      </c>
      <c r="R152" s="8">
        <v>0.7</v>
      </c>
      <c r="S152" s="5" t="s">
        <v>60</v>
      </c>
      <c r="T152" s="5" t="s">
        <v>182</v>
      </c>
      <c r="U152" s="7">
        <v>8.0500000000000007</v>
      </c>
      <c r="V152" s="5" t="s">
        <v>125</v>
      </c>
      <c r="BB152"/>
    </row>
    <row r="153" spans="1:54" s="5" customFormat="1" x14ac:dyDescent="0.25">
      <c r="A153" s="5">
        <v>2027106748</v>
      </c>
      <c r="B153" s="5" t="s">
        <v>504</v>
      </c>
      <c r="C153" s="5" t="s">
        <v>217</v>
      </c>
      <c r="D153" s="5" t="str">
        <f t="shared" si="9"/>
        <v>JARED DOWDY</v>
      </c>
      <c r="E153" s="5" t="s">
        <v>78</v>
      </c>
      <c r="F153" s="5" t="s">
        <v>116</v>
      </c>
      <c r="G153" s="5" t="s">
        <v>125</v>
      </c>
      <c r="H153" s="5">
        <v>21283956</v>
      </c>
      <c r="I153" s="5" t="s">
        <v>277</v>
      </c>
      <c r="J153" s="5" t="s">
        <v>279</v>
      </c>
      <c r="K153" s="5" t="str">
        <f t="shared" si="10"/>
        <v>VICTOR FUENTES</v>
      </c>
      <c r="L153" s="6">
        <v>45703</v>
      </c>
      <c r="M153" s="6">
        <v>45976</v>
      </c>
      <c r="N153" s="7">
        <v>11.5</v>
      </c>
      <c r="O153" s="5">
        <f t="shared" si="11"/>
        <v>9</v>
      </c>
      <c r="P153" s="5" t="s">
        <v>181</v>
      </c>
      <c r="Q153" s="5" t="s">
        <v>755</v>
      </c>
      <c r="R153" s="8">
        <v>0.7</v>
      </c>
      <c r="S153" s="5" t="s">
        <v>60</v>
      </c>
      <c r="T153" s="5" t="s">
        <v>182</v>
      </c>
      <c r="U153" s="7">
        <v>8.0500000000000007</v>
      </c>
      <c r="V153" s="5" t="s">
        <v>125</v>
      </c>
    </row>
    <row r="154" spans="1:54" s="5" customFormat="1" x14ac:dyDescent="0.25">
      <c r="A154" s="5">
        <v>2027072202</v>
      </c>
      <c r="B154" s="5" t="s">
        <v>503</v>
      </c>
      <c r="C154" s="5" t="s">
        <v>347</v>
      </c>
      <c r="D154" s="5" t="str">
        <f t="shared" si="9"/>
        <v>JACKSON CARSON</v>
      </c>
      <c r="E154" s="5" t="s">
        <v>69</v>
      </c>
      <c r="F154" s="5" t="s">
        <v>116</v>
      </c>
      <c r="G154" s="5" t="s">
        <v>125</v>
      </c>
      <c r="H154" s="5">
        <v>16865615</v>
      </c>
      <c r="I154" s="5" t="s">
        <v>71</v>
      </c>
      <c r="J154" s="5" t="s">
        <v>72</v>
      </c>
      <c r="K154" s="5" t="str">
        <f t="shared" si="10"/>
        <v>Heather Geske</v>
      </c>
      <c r="L154" s="6">
        <v>45703</v>
      </c>
      <c r="M154" s="6">
        <v>45976</v>
      </c>
      <c r="N154" s="7">
        <v>18.2</v>
      </c>
      <c r="O154" s="5">
        <f t="shared" si="11"/>
        <v>9</v>
      </c>
      <c r="P154" s="5" t="s">
        <v>181</v>
      </c>
      <c r="Q154" s="5" t="s">
        <v>755</v>
      </c>
      <c r="R154" s="8">
        <v>0.7</v>
      </c>
      <c r="S154" s="5" t="s">
        <v>60</v>
      </c>
      <c r="T154" s="5" t="s">
        <v>182</v>
      </c>
      <c r="U154" s="7">
        <v>12.74</v>
      </c>
      <c r="V154" s="5" t="s">
        <v>125</v>
      </c>
    </row>
    <row r="155" spans="1:54" s="5" customFormat="1" x14ac:dyDescent="0.25">
      <c r="A155" s="5">
        <v>2027115501</v>
      </c>
      <c r="B155" s="5" t="s">
        <v>255</v>
      </c>
      <c r="C155" s="5" t="s">
        <v>256</v>
      </c>
      <c r="D155" s="5" t="str">
        <f t="shared" si="9"/>
        <v>MADELYN CLEAVE</v>
      </c>
      <c r="E155" s="5" t="s">
        <v>78</v>
      </c>
      <c r="F155" s="5" t="s">
        <v>116</v>
      </c>
      <c r="G155" s="5" t="s">
        <v>125</v>
      </c>
      <c r="H155" s="5">
        <v>16912722</v>
      </c>
      <c r="I155" s="5" t="s">
        <v>139</v>
      </c>
      <c r="J155" s="5" t="s">
        <v>140</v>
      </c>
      <c r="K155" s="5" t="str">
        <f t="shared" si="10"/>
        <v>ANDREA PETRUNGARO</v>
      </c>
      <c r="L155" s="6">
        <v>45703</v>
      </c>
      <c r="M155" s="6">
        <v>45976</v>
      </c>
      <c r="N155" s="7">
        <v>41.44</v>
      </c>
      <c r="O155" s="5">
        <f t="shared" si="11"/>
        <v>9</v>
      </c>
      <c r="P155" s="5" t="s">
        <v>181</v>
      </c>
      <c r="Q155" s="5" t="s">
        <v>755</v>
      </c>
      <c r="R155" s="8">
        <v>0.7</v>
      </c>
      <c r="S155" s="5" t="s">
        <v>60</v>
      </c>
      <c r="T155" s="5" t="s">
        <v>182</v>
      </c>
      <c r="U155" s="7">
        <v>29.01</v>
      </c>
      <c r="V155" s="5" t="s">
        <v>125</v>
      </c>
    </row>
    <row r="156" spans="1:54" s="5" customFormat="1" x14ac:dyDescent="0.25">
      <c r="A156" s="5">
        <v>2027059396</v>
      </c>
      <c r="B156" s="5" t="s">
        <v>501</v>
      </c>
      <c r="C156" s="5" t="s">
        <v>502</v>
      </c>
      <c r="D156" s="5" t="str">
        <f t="shared" si="9"/>
        <v>VAN NGUYEN</v>
      </c>
      <c r="E156" s="5" t="s">
        <v>78</v>
      </c>
      <c r="F156" s="5" t="s">
        <v>116</v>
      </c>
      <c r="G156" s="5" t="s">
        <v>125</v>
      </c>
      <c r="H156" s="5">
        <v>7470776</v>
      </c>
      <c r="I156" s="5" t="s">
        <v>126</v>
      </c>
      <c r="J156" s="5" t="s">
        <v>127</v>
      </c>
      <c r="K156" s="5" t="str">
        <f t="shared" si="10"/>
        <v>Andrew Choi</v>
      </c>
      <c r="L156" s="6">
        <v>45700</v>
      </c>
      <c r="M156" s="6">
        <v>45973</v>
      </c>
      <c r="N156" s="7">
        <v>41.5</v>
      </c>
      <c r="O156" s="5">
        <f t="shared" si="11"/>
        <v>9</v>
      </c>
      <c r="P156" s="5" t="s">
        <v>181</v>
      </c>
      <c r="Q156" s="5" t="s">
        <v>755</v>
      </c>
      <c r="R156" s="8">
        <v>0.7</v>
      </c>
      <c r="S156" s="5" t="s">
        <v>60</v>
      </c>
      <c r="T156" s="5" t="s">
        <v>182</v>
      </c>
      <c r="U156" s="7">
        <v>29.05</v>
      </c>
      <c r="V156" s="5" t="s">
        <v>125</v>
      </c>
    </row>
    <row r="157" spans="1:54" s="5" customFormat="1" x14ac:dyDescent="0.25">
      <c r="A157" s="5">
        <v>2027038282</v>
      </c>
      <c r="B157" s="5" t="s">
        <v>252</v>
      </c>
      <c r="C157" s="5" t="s">
        <v>253</v>
      </c>
      <c r="D157" s="5" t="str">
        <f t="shared" si="9"/>
        <v>CHERI MORGAN-PRESTON</v>
      </c>
      <c r="E157" s="5" t="s">
        <v>69</v>
      </c>
      <c r="F157" s="5" t="s">
        <v>92</v>
      </c>
      <c r="G157" s="5" t="s">
        <v>93</v>
      </c>
      <c r="H157" s="5">
        <v>16865615</v>
      </c>
      <c r="I157" s="5" t="s">
        <v>71</v>
      </c>
      <c r="J157" s="5" t="s">
        <v>72</v>
      </c>
      <c r="K157" s="5" t="str">
        <f t="shared" si="10"/>
        <v>Heather Geske</v>
      </c>
      <c r="L157" s="6">
        <v>45699</v>
      </c>
      <c r="M157" s="6">
        <v>45972</v>
      </c>
      <c r="N157" s="7">
        <v>45.39</v>
      </c>
      <c r="O157" s="5">
        <f t="shared" si="11"/>
        <v>9</v>
      </c>
      <c r="P157" s="5" t="s">
        <v>181</v>
      </c>
      <c r="Q157" s="5" t="s">
        <v>755</v>
      </c>
      <c r="R157" s="9">
        <v>0.375</v>
      </c>
      <c r="S157" s="5" t="s">
        <v>60</v>
      </c>
      <c r="T157" s="5" t="s">
        <v>182</v>
      </c>
      <c r="U157" s="7">
        <v>17.02</v>
      </c>
      <c r="V157" s="5" t="s">
        <v>93</v>
      </c>
    </row>
    <row r="158" spans="1:54" s="5" customFormat="1" x14ac:dyDescent="0.25">
      <c r="A158" s="5">
        <v>2027052527</v>
      </c>
      <c r="B158" s="5" t="s">
        <v>497</v>
      </c>
      <c r="C158" s="5" t="s">
        <v>498</v>
      </c>
      <c r="D158" s="5" t="str">
        <f t="shared" si="9"/>
        <v>ANDREW RECTOR</v>
      </c>
      <c r="E158" s="5" t="s">
        <v>78</v>
      </c>
      <c r="F158" s="5" t="s">
        <v>92</v>
      </c>
      <c r="G158" s="5" t="s">
        <v>93</v>
      </c>
      <c r="H158" s="5">
        <v>18828278</v>
      </c>
      <c r="I158" s="5" t="s">
        <v>477</v>
      </c>
      <c r="J158" s="5" t="s">
        <v>159</v>
      </c>
      <c r="K158" s="5" t="str">
        <f t="shared" si="10"/>
        <v>MICHAEL DUNAVANT</v>
      </c>
      <c r="L158" s="6">
        <v>45699</v>
      </c>
      <c r="M158" s="6">
        <v>45972</v>
      </c>
      <c r="N158" s="7">
        <v>48.61</v>
      </c>
      <c r="O158" s="5">
        <f t="shared" si="11"/>
        <v>9</v>
      </c>
      <c r="P158" s="5" t="s">
        <v>181</v>
      </c>
      <c r="Q158" s="5" t="s">
        <v>755</v>
      </c>
      <c r="R158" s="9">
        <v>0.375</v>
      </c>
      <c r="S158" s="5" t="s">
        <v>60</v>
      </c>
      <c r="T158" s="5" t="s">
        <v>182</v>
      </c>
      <c r="U158" s="7">
        <v>18.23</v>
      </c>
      <c r="V158" s="5" t="s">
        <v>93</v>
      </c>
      <c r="BB158"/>
    </row>
    <row r="159" spans="1:54" x14ac:dyDescent="0.25">
      <c r="A159" s="5">
        <v>2027106747</v>
      </c>
      <c r="B159" s="5" t="s">
        <v>504</v>
      </c>
      <c r="C159" s="5" t="s">
        <v>217</v>
      </c>
      <c r="D159" s="5" t="str">
        <f t="shared" si="9"/>
        <v>JARED DOWDY</v>
      </c>
      <c r="E159" s="5" t="s">
        <v>78</v>
      </c>
      <c r="F159" s="5" t="s">
        <v>92</v>
      </c>
      <c r="G159" s="5" t="s">
        <v>93</v>
      </c>
      <c r="H159" s="5">
        <v>21283956</v>
      </c>
      <c r="I159" s="5" t="s">
        <v>277</v>
      </c>
      <c r="J159" s="5" t="s">
        <v>279</v>
      </c>
      <c r="K159" s="5" t="str">
        <f t="shared" si="10"/>
        <v>VICTOR FUENTES</v>
      </c>
      <c r="L159" s="6">
        <v>45703</v>
      </c>
      <c r="M159" s="6">
        <v>45976</v>
      </c>
      <c r="N159" s="7">
        <v>48.61</v>
      </c>
      <c r="O159" s="5">
        <f t="shared" si="11"/>
        <v>9</v>
      </c>
      <c r="P159" s="5" t="s">
        <v>181</v>
      </c>
      <c r="Q159" s="5" t="s">
        <v>755</v>
      </c>
      <c r="R159" s="9">
        <v>0.375</v>
      </c>
      <c r="S159" s="5" t="s">
        <v>60</v>
      </c>
      <c r="T159" s="5" t="s">
        <v>182</v>
      </c>
      <c r="U159" s="7">
        <v>18.23</v>
      </c>
      <c r="V159" s="5" t="s">
        <v>93</v>
      </c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</row>
    <row r="160" spans="1:54" x14ac:dyDescent="0.25">
      <c r="A160" s="5">
        <v>2027055699</v>
      </c>
      <c r="B160" s="5" t="s">
        <v>499</v>
      </c>
      <c r="C160" s="5" t="s">
        <v>500</v>
      </c>
      <c r="D160" s="5" t="str">
        <f t="shared" si="9"/>
        <v>AARON HEGARTY</v>
      </c>
      <c r="E160" s="5" t="s">
        <v>69</v>
      </c>
      <c r="F160" s="5" t="s">
        <v>92</v>
      </c>
      <c r="G160" s="5" t="s">
        <v>93</v>
      </c>
      <c r="H160" s="5">
        <v>16865615</v>
      </c>
      <c r="I160" s="5" t="s">
        <v>71</v>
      </c>
      <c r="J160" s="5" t="s">
        <v>72</v>
      </c>
      <c r="K160" s="5" t="str">
        <f t="shared" si="10"/>
        <v>Heather Geske</v>
      </c>
      <c r="L160" s="6">
        <v>45699</v>
      </c>
      <c r="M160" s="6">
        <v>45972</v>
      </c>
      <c r="N160" s="7">
        <v>53.08</v>
      </c>
      <c r="O160" s="5">
        <f t="shared" si="11"/>
        <v>9</v>
      </c>
      <c r="P160" s="5" t="s">
        <v>181</v>
      </c>
      <c r="Q160" s="5" t="s">
        <v>755</v>
      </c>
      <c r="R160" s="9">
        <v>0.375</v>
      </c>
      <c r="S160" s="5" t="s">
        <v>60</v>
      </c>
      <c r="T160" s="5" t="s">
        <v>182</v>
      </c>
      <c r="U160" s="7">
        <v>19.899999999999999</v>
      </c>
      <c r="V160" s="5" t="s">
        <v>93</v>
      </c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</row>
    <row r="161" spans="1:54" x14ac:dyDescent="0.25">
      <c r="A161" s="5">
        <v>2027111487</v>
      </c>
      <c r="B161" s="5" t="s">
        <v>505</v>
      </c>
      <c r="C161" s="5" t="s">
        <v>276</v>
      </c>
      <c r="D161" s="5" t="str">
        <f t="shared" si="9"/>
        <v>DAVID WESCOTT</v>
      </c>
      <c r="E161" s="5" t="s">
        <v>78</v>
      </c>
      <c r="F161" s="5" t="s">
        <v>92</v>
      </c>
      <c r="G161" s="5" t="s">
        <v>93</v>
      </c>
      <c r="H161" s="5">
        <v>7146581</v>
      </c>
      <c r="I161" s="5" t="s">
        <v>506</v>
      </c>
      <c r="J161" s="5" t="s">
        <v>507</v>
      </c>
      <c r="K161" s="5" t="str">
        <f t="shared" si="10"/>
        <v>Anthony Hunsberger</v>
      </c>
      <c r="L161" s="6">
        <v>45703</v>
      </c>
      <c r="M161" s="6">
        <v>45976</v>
      </c>
      <c r="N161" s="7">
        <v>60.94</v>
      </c>
      <c r="O161" s="5">
        <f t="shared" si="11"/>
        <v>9</v>
      </c>
      <c r="P161" s="5" t="s">
        <v>181</v>
      </c>
      <c r="Q161" s="5" t="s">
        <v>755</v>
      </c>
      <c r="R161" s="9">
        <v>0.375</v>
      </c>
      <c r="S161" s="5" t="s">
        <v>60</v>
      </c>
      <c r="T161" s="5" t="s">
        <v>182</v>
      </c>
      <c r="U161" s="7">
        <v>22.85</v>
      </c>
      <c r="V161" s="5" t="s">
        <v>93</v>
      </c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</row>
    <row r="162" spans="1:54" x14ac:dyDescent="0.25">
      <c r="A162" s="5">
        <v>2027059395</v>
      </c>
      <c r="B162" s="5" t="s">
        <v>501</v>
      </c>
      <c r="C162" s="5" t="s">
        <v>502</v>
      </c>
      <c r="D162" s="5" t="str">
        <f t="shared" si="9"/>
        <v>VAN NGUYEN</v>
      </c>
      <c r="E162" s="5" t="s">
        <v>78</v>
      </c>
      <c r="F162" s="5" t="s">
        <v>92</v>
      </c>
      <c r="G162" s="5" t="s">
        <v>93</v>
      </c>
      <c r="H162" s="5">
        <v>7470776</v>
      </c>
      <c r="I162" s="5" t="s">
        <v>126</v>
      </c>
      <c r="J162" s="5" t="s">
        <v>127</v>
      </c>
      <c r="K162" s="5" t="str">
        <f t="shared" si="10"/>
        <v>Andrew Choi</v>
      </c>
      <c r="L162" s="6">
        <v>45700</v>
      </c>
      <c r="M162" s="6">
        <v>45973</v>
      </c>
      <c r="N162" s="7">
        <v>64.760000000000005</v>
      </c>
      <c r="O162" s="5">
        <f t="shared" si="11"/>
        <v>9</v>
      </c>
      <c r="P162" s="5" t="s">
        <v>181</v>
      </c>
      <c r="Q162" s="5" t="s">
        <v>755</v>
      </c>
      <c r="R162" s="9">
        <v>0.375</v>
      </c>
      <c r="S162" s="5" t="s">
        <v>60</v>
      </c>
      <c r="T162" s="5" t="s">
        <v>182</v>
      </c>
      <c r="U162" s="7">
        <v>24.28</v>
      </c>
      <c r="V162" s="5" t="s">
        <v>93</v>
      </c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</row>
    <row r="163" spans="1:54" s="5" customFormat="1" x14ac:dyDescent="0.25">
      <c r="A163" s="5">
        <v>2027072201</v>
      </c>
      <c r="B163" s="5" t="s">
        <v>503</v>
      </c>
      <c r="C163" s="5" t="s">
        <v>347</v>
      </c>
      <c r="D163" s="5" t="str">
        <f t="shared" si="9"/>
        <v>JACKSON CARSON</v>
      </c>
      <c r="E163" s="5" t="s">
        <v>69</v>
      </c>
      <c r="F163" s="5" t="s">
        <v>92</v>
      </c>
      <c r="G163" s="5" t="s">
        <v>93</v>
      </c>
      <c r="H163" s="5">
        <v>16865615</v>
      </c>
      <c r="I163" s="5" t="s">
        <v>71</v>
      </c>
      <c r="J163" s="5" t="s">
        <v>72</v>
      </c>
      <c r="K163" s="5" t="str">
        <f t="shared" si="10"/>
        <v>Heather Geske</v>
      </c>
      <c r="L163" s="6">
        <v>45703</v>
      </c>
      <c r="M163" s="6">
        <v>45976</v>
      </c>
      <c r="N163" s="7">
        <v>102.21</v>
      </c>
      <c r="O163" s="5">
        <f t="shared" si="11"/>
        <v>9</v>
      </c>
      <c r="P163" s="5" t="s">
        <v>181</v>
      </c>
      <c r="Q163" s="5" t="s">
        <v>755</v>
      </c>
      <c r="R163" s="9">
        <v>0.375</v>
      </c>
      <c r="S163" s="5" t="s">
        <v>60</v>
      </c>
      <c r="T163" s="5" t="s">
        <v>182</v>
      </c>
      <c r="U163" s="7">
        <v>38.33</v>
      </c>
      <c r="V163" s="5" t="s">
        <v>93</v>
      </c>
    </row>
    <row r="164" spans="1:54" s="5" customFormat="1" x14ac:dyDescent="0.25">
      <c r="A164" s="5">
        <v>2026617754</v>
      </c>
      <c r="B164" s="5" t="s">
        <v>250</v>
      </c>
      <c r="C164" s="5" t="s">
        <v>148</v>
      </c>
      <c r="D164" s="5" t="str">
        <f t="shared" si="9"/>
        <v>THOMAS CARROLL</v>
      </c>
      <c r="E164" s="5" t="s">
        <v>91</v>
      </c>
      <c r="F164" s="5" t="s">
        <v>53</v>
      </c>
      <c r="G164" s="5" t="s">
        <v>70</v>
      </c>
      <c r="H164" s="5">
        <v>371819</v>
      </c>
      <c r="I164" s="5" t="s">
        <v>147</v>
      </c>
      <c r="J164" s="5" t="s">
        <v>148</v>
      </c>
      <c r="K164" s="5" t="str">
        <f t="shared" si="10"/>
        <v>THOMAS PARDUE</v>
      </c>
      <c r="L164" s="6">
        <v>45673</v>
      </c>
      <c r="M164" s="6">
        <v>45977</v>
      </c>
      <c r="N164" s="7">
        <v>72.290000000000006</v>
      </c>
      <c r="O164" s="5">
        <f t="shared" si="11"/>
        <v>10</v>
      </c>
      <c r="P164" s="5" t="s">
        <v>181</v>
      </c>
      <c r="Q164" s="5" t="s">
        <v>755</v>
      </c>
      <c r="R164" s="8">
        <v>0.9</v>
      </c>
      <c r="S164" s="5" t="s">
        <v>60</v>
      </c>
      <c r="T164" s="5" t="s">
        <v>182</v>
      </c>
      <c r="U164" s="7">
        <v>65.06</v>
      </c>
      <c r="V164" s="5" t="s">
        <v>752</v>
      </c>
    </row>
    <row r="165" spans="1:54" s="5" customFormat="1" x14ac:dyDescent="0.25">
      <c r="A165" s="5">
        <v>2026581911</v>
      </c>
      <c r="B165" s="5" t="s">
        <v>250</v>
      </c>
      <c r="C165" s="5" t="s">
        <v>251</v>
      </c>
      <c r="D165" s="5" t="str">
        <f t="shared" si="9"/>
        <v>EDWARD CARROLL</v>
      </c>
      <c r="E165" s="5" t="s">
        <v>91</v>
      </c>
      <c r="F165" s="5" t="s">
        <v>53</v>
      </c>
      <c r="G165" s="5" t="s">
        <v>70</v>
      </c>
      <c r="H165" s="5">
        <v>371819</v>
      </c>
      <c r="I165" s="5" t="s">
        <v>147</v>
      </c>
      <c r="J165" s="5" t="s">
        <v>148</v>
      </c>
      <c r="K165" s="5" t="str">
        <f t="shared" si="10"/>
        <v>THOMAS PARDUE</v>
      </c>
      <c r="L165" s="6">
        <v>45672</v>
      </c>
      <c r="M165" s="6">
        <v>45976</v>
      </c>
      <c r="N165" s="7">
        <v>76.959999999999994</v>
      </c>
      <c r="O165" s="5">
        <f t="shared" si="11"/>
        <v>10</v>
      </c>
      <c r="P165" s="5" t="s">
        <v>181</v>
      </c>
      <c r="Q165" s="5" t="s">
        <v>755</v>
      </c>
      <c r="R165" s="8">
        <v>0.9</v>
      </c>
      <c r="S165" s="5" t="s">
        <v>60</v>
      </c>
      <c r="T165" s="5" t="s">
        <v>182</v>
      </c>
      <c r="U165" s="7">
        <v>69.260000000000005</v>
      </c>
      <c r="V165" s="5" t="s">
        <v>752</v>
      </c>
    </row>
    <row r="166" spans="1:54" s="5" customFormat="1" x14ac:dyDescent="0.25">
      <c r="A166" s="5">
        <v>2028679376</v>
      </c>
      <c r="B166" s="5" t="s">
        <v>586</v>
      </c>
      <c r="C166" s="5" t="s">
        <v>403</v>
      </c>
      <c r="D166" s="5" t="str">
        <f t="shared" si="9"/>
        <v>SCOTT HALL</v>
      </c>
      <c r="E166" s="5" t="s">
        <v>78</v>
      </c>
      <c r="F166" s="5" t="s">
        <v>587</v>
      </c>
      <c r="G166" s="5" t="s">
        <v>588</v>
      </c>
      <c r="H166" s="5">
        <v>19681796</v>
      </c>
      <c r="I166" s="5" t="s">
        <v>566</v>
      </c>
      <c r="J166" s="5" t="s">
        <v>567</v>
      </c>
      <c r="K166" s="5" t="str">
        <f t="shared" si="10"/>
        <v>CHRISTIAN TAUGNER</v>
      </c>
      <c r="L166" s="6">
        <v>45778</v>
      </c>
      <c r="M166" s="6">
        <v>46082</v>
      </c>
      <c r="N166" s="7">
        <v>-129.44</v>
      </c>
      <c r="O166" s="5">
        <f t="shared" si="11"/>
        <v>10</v>
      </c>
      <c r="P166" s="5" t="s">
        <v>181</v>
      </c>
      <c r="Q166" s="5" t="s">
        <v>754</v>
      </c>
      <c r="R166" s="8">
        <v>0.26</v>
      </c>
      <c r="S166" s="5" t="s">
        <v>60</v>
      </c>
      <c r="T166" s="5" t="s">
        <v>182</v>
      </c>
      <c r="U166" s="7">
        <v>-33.65</v>
      </c>
      <c r="V166" s="5" t="s">
        <v>759</v>
      </c>
    </row>
    <row r="167" spans="1:54" s="5" customFormat="1" x14ac:dyDescent="0.25">
      <c r="A167" s="5">
        <v>2026539798</v>
      </c>
      <c r="B167" s="5" t="s">
        <v>627</v>
      </c>
      <c r="C167" s="5" t="s">
        <v>628</v>
      </c>
      <c r="D167" s="5" t="str">
        <f t="shared" si="9"/>
        <v>GABRIELLA NOBILE</v>
      </c>
      <c r="E167" s="5" t="s">
        <v>225</v>
      </c>
      <c r="F167" s="5" t="s">
        <v>116</v>
      </c>
      <c r="G167" s="5" t="s">
        <v>125</v>
      </c>
      <c r="H167" s="5">
        <v>19481808</v>
      </c>
      <c r="I167" s="5" t="s">
        <v>629</v>
      </c>
      <c r="J167" s="5" t="s">
        <v>630</v>
      </c>
      <c r="K167" s="5" t="str">
        <f t="shared" si="10"/>
        <v>STEVEN WERNER</v>
      </c>
      <c r="L167" s="6">
        <v>45668</v>
      </c>
      <c r="M167" s="6">
        <v>45972</v>
      </c>
      <c r="N167" s="7">
        <v>25.97</v>
      </c>
      <c r="O167" s="5">
        <f t="shared" si="11"/>
        <v>10</v>
      </c>
      <c r="P167" s="5" t="s">
        <v>181</v>
      </c>
      <c r="Q167" s="5" t="s">
        <v>755</v>
      </c>
      <c r="R167" s="8">
        <v>0.7</v>
      </c>
      <c r="S167" s="5" t="s">
        <v>60</v>
      </c>
      <c r="T167" s="5" t="s">
        <v>182</v>
      </c>
      <c r="U167" s="7">
        <v>18.18</v>
      </c>
      <c r="V167" s="5" t="s">
        <v>125</v>
      </c>
    </row>
    <row r="168" spans="1:54" s="5" customFormat="1" x14ac:dyDescent="0.25">
      <c r="A168" s="5">
        <v>2026607947</v>
      </c>
      <c r="B168" s="5" t="s">
        <v>489</v>
      </c>
      <c r="C168" s="5" t="s">
        <v>169</v>
      </c>
      <c r="D168" s="5" t="str">
        <f t="shared" si="9"/>
        <v>MATTHEW LAMBERT</v>
      </c>
      <c r="E168" s="5" t="s">
        <v>225</v>
      </c>
      <c r="F168" s="5" t="s">
        <v>116</v>
      </c>
      <c r="G168" s="5" t="s">
        <v>125</v>
      </c>
      <c r="H168" s="5">
        <v>371819</v>
      </c>
      <c r="I168" s="5" t="s">
        <v>147</v>
      </c>
      <c r="J168" s="5" t="s">
        <v>148</v>
      </c>
      <c r="K168" s="5" t="str">
        <f t="shared" si="10"/>
        <v>THOMAS PARDUE</v>
      </c>
      <c r="L168" s="6">
        <v>45673</v>
      </c>
      <c r="M168" s="6">
        <v>45977</v>
      </c>
      <c r="N168" s="7">
        <v>29.79</v>
      </c>
      <c r="O168" s="5">
        <f t="shared" si="11"/>
        <v>10</v>
      </c>
      <c r="P168" s="5" t="s">
        <v>181</v>
      </c>
      <c r="Q168" s="5" t="s">
        <v>755</v>
      </c>
      <c r="R168" s="8">
        <v>0.7</v>
      </c>
      <c r="S168" s="5" t="s">
        <v>60</v>
      </c>
      <c r="T168" s="5" t="s">
        <v>182</v>
      </c>
      <c r="U168" s="7">
        <v>20.85</v>
      </c>
      <c r="V168" s="5" t="s">
        <v>125</v>
      </c>
      <c r="BB168"/>
    </row>
    <row r="169" spans="1:54" x14ac:dyDescent="0.25">
      <c r="A169" s="5">
        <v>2026561983</v>
      </c>
      <c r="B169" s="5" t="s">
        <v>631</v>
      </c>
      <c r="C169" s="5" t="s">
        <v>632</v>
      </c>
      <c r="D169" s="5" t="str">
        <f t="shared" si="9"/>
        <v>MARLENE MENDOZA</v>
      </c>
      <c r="E169" s="5" t="s">
        <v>78</v>
      </c>
      <c r="F169" s="5" t="s">
        <v>116</v>
      </c>
      <c r="G169" s="5" t="s">
        <v>125</v>
      </c>
      <c r="H169" s="5">
        <v>21283956</v>
      </c>
      <c r="I169" s="5" t="s">
        <v>277</v>
      </c>
      <c r="J169" s="5" t="s">
        <v>279</v>
      </c>
      <c r="K169" s="5" t="str">
        <f t="shared" si="10"/>
        <v>VICTOR FUENTES</v>
      </c>
      <c r="L169" s="6">
        <v>45672</v>
      </c>
      <c r="M169" s="6">
        <v>45976</v>
      </c>
      <c r="N169" s="7">
        <v>49.8</v>
      </c>
      <c r="O169" s="5">
        <f t="shared" si="11"/>
        <v>10</v>
      </c>
      <c r="P169" s="5" t="s">
        <v>181</v>
      </c>
      <c r="Q169" s="5" t="s">
        <v>755</v>
      </c>
      <c r="R169" s="8">
        <v>0.7</v>
      </c>
      <c r="S169" s="5" t="s">
        <v>60</v>
      </c>
      <c r="T169" s="5" t="s">
        <v>182</v>
      </c>
      <c r="U169" s="7">
        <v>34.86</v>
      </c>
      <c r="V169" s="5" t="s">
        <v>125</v>
      </c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</row>
    <row r="170" spans="1:54" x14ac:dyDescent="0.25">
      <c r="A170" s="5">
        <v>2026618369</v>
      </c>
      <c r="B170" s="5" t="s">
        <v>491</v>
      </c>
      <c r="C170" s="5" t="s">
        <v>492</v>
      </c>
      <c r="D170" s="5" t="str">
        <f t="shared" si="9"/>
        <v>SUSAN COMPTON-FREDERICK</v>
      </c>
      <c r="E170" s="5" t="s">
        <v>78</v>
      </c>
      <c r="F170" s="5" t="s">
        <v>116</v>
      </c>
      <c r="G170" s="5" t="s">
        <v>125</v>
      </c>
      <c r="H170" s="5">
        <v>21283956</v>
      </c>
      <c r="I170" s="5" t="s">
        <v>277</v>
      </c>
      <c r="J170" s="5" t="s">
        <v>279</v>
      </c>
      <c r="K170" s="5" t="str">
        <f t="shared" si="10"/>
        <v>VICTOR FUENTES</v>
      </c>
      <c r="L170" s="6">
        <v>45673</v>
      </c>
      <c r="M170" s="6">
        <v>45977</v>
      </c>
      <c r="N170" s="7">
        <v>52</v>
      </c>
      <c r="O170" s="5">
        <f t="shared" si="11"/>
        <v>10</v>
      </c>
      <c r="P170" s="5" t="s">
        <v>181</v>
      </c>
      <c r="Q170" s="5" t="s">
        <v>755</v>
      </c>
      <c r="R170" s="8">
        <v>0.7</v>
      </c>
      <c r="S170" s="5" t="s">
        <v>60</v>
      </c>
      <c r="T170" s="5" t="s">
        <v>182</v>
      </c>
      <c r="U170" s="7">
        <v>36.4</v>
      </c>
      <c r="V170" s="5" t="s">
        <v>125</v>
      </c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</row>
    <row r="171" spans="1:54" x14ac:dyDescent="0.25">
      <c r="A171" s="5">
        <v>2026608909</v>
      </c>
      <c r="B171" s="5" t="s">
        <v>635</v>
      </c>
      <c r="C171" s="5" t="s">
        <v>366</v>
      </c>
      <c r="D171" s="5" t="str">
        <f t="shared" si="9"/>
        <v>ALEXANDRA KIMBRUE</v>
      </c>
      <c r="E171" s="5" t="s">
        <v>78</v>
      </c>
      <c r="F171" s="5" t="s">
        <v>116</v>
      </c>
      <c r="G171" s="5" t="s">
        <v>125</v>
      </c>
      <c r="H171" s="5">
        <v>21283956</v>
      </c>
      <c r="I171" s="5" t="s">
        <v>277</v>
      </c>
      <c r="J171" s="5" t="s">
        <v>279</v>
      </c>
      <c r="K171" s="5" t="str">
        <f t="shared" si="10"/>
        <v>VICTOR FUENTES</v>
      </c>
      <c r="L171" s="6">
        <v>45673</v>
      </c>
      <c r="M171" s="6">
        <v>45977</v>
      </c>
      <c r="N171" s="7">
        <v>58.24</v>
      </c>
      <c r="O171" s="5">
        <f t="shared" si="11"/>
        <v>10</v>
      </c>
      <c r="P171" s="5" t="s">
        <v>181</v>
      </c>
      <c r="Q171" s="5" t="s">
        <v>755</v>
      </c>
      <c r="R171" s="8">
        <v>0.7</v>
      </c>
      <c r="S171" s="5" t="s">
        <v>60</v>
      </c>
      <c r="T171" s="5" t="s">
        <v>182</v>
      </c>
      <c r="U171" s="7">
        <v>40.770000000000003</v>
      </c>
      <c r="V171" s="5" t="s">
        <v>125</v>
      </c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</row>
    <row r="172" spans="1:54" x14ac:dyDescent="0.25">
      <c r="A172" s="5">
        <v>2026625854</v>
      </c>
      <c r="B172" s="5" t="s">
        <v>493</v>
      </c>
      <c r="C172" s="5" t="s">
        <v>494</v>
      </c>
      <c r="D172" s="5" t="str">
        <f t="shared" si="9"/>
        <v>ELDON WALKER</v>
      </c>
      <c r="E172" s="5" t="s">
        <v>102</v>
      </c>
      <c r="F172" s="5" t="s">
        <v>116</v>
      </c>
      <c r="G172" s="5" t="s">
        <v>125</v>
      </c>
      <c r="H172" s="5">
        <v>371819</v>
      </c>
      <c r="I172" s="5" t="s">
        <v>147</v>
      </c>
      <c r="J172" s="5" t="s">
        <v>148</v>
      </c>
      <c r="K172" s="5" t="str">
        <f t="shared" si="10"/>
        <v>THOMAS PARDUE</v>
      </c>
      <c r="L172" s="6">
        <v>45674</v>
      </c>
      <c r="M172" s="6">
        <v>45978</v>
      </c>
      <c r="N172" s="7">
        <v>114</v>
      </c>
      <c r="O172" s="5">
        <f t="shared" si="11"/>
        <v>10</v>
      </c>
      <c r="P172" s="5" t="s">
        <v>181</v>
      </c>
      <c r="Q172" s="5" t="s">
        <v>755</v>
      </c>
      <c r="R172" s="8">
        <v>0.7</v>
      </c>
      <c r="S172" s="5" t="s">
        <v>60</v>
      </c>
      <c r="T172" s="5" t="s">
        <v>182</v>
      </c>
      <c r="U172" s="7">
        <v>79.8</v>
      </c>
      <c r="V172" s="5" t="s">
        <v>125</v>
      </c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</row>
    <row r="173" spans="1:54" x14ac:dyDescent="0.25">
      <c r="A173" s="5">
        <v>2026581910</v>
      </c>
      <c r="B173" s="5" t="s">
        <v>250</v>
      </c>
      <c r="C173" s="5" t="s">
        <v>251</v>
      </c>
      <c r="D173" s="5" t="str">
        <f t="shared" si="9"/>
        <v>EDWARD CARROLL</v>
      </c>
      <c r="E173" s="5" t="s">
        <v>91</v>
      </c>
      <c r="F173" s="5" t="s">
        <v>116</v>
      </c>
      <c r="G173" s="5" t="s">
        <v>125</v>
      </c>
      <c r="H173" s="5">
        <v>371819</v>
      </c>
      <c r="I173" s="5" t="s">
        <v>147</v>
      </c>
      <c r="J173" s="5" t="s">
        <v>148</v>
      </c>
      <c r="K173" s="5" t="str">
        <f t="shared" si="10"/>
        <v>THOMAS PARDUE</v>
      </c>
      <c r="L173" s="6">
        <v>45672</v>
      </c>
      <c r="M173" s="6">
        <v>45976</v>
      </c>
      <c r="N173" s="7">
        <v>198.42</v>
      </c>
      <c r="O173" s="5">
        <f t="shared" si="11"/>
        <v>10</v>
      </c>
      <c r="P173" s="5" t="s">
        <v>181</v>
      </c>
      <c r="Q173" s="5" t="s">
        <v>755</v>
      </c>
      <c r="R173" s="8">
        <v>0.7</v>
      </c>
      <c r="S173" s="5" t="s">
        <v>60</v>
      </c>
      <c r="T173" s="5" t="s">
        <v>182</v>
      </c>
      <c r="U173" s="7">
        <v>138.88999999999999</v>
      </c>
      <c r="V173" s="5" t="s">
        <v>125</v>
      </c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</row>
    <row r="174" spans="1:54" x14ac:dyDescent="0.25">
      <c r="A174" s="5">
        <v>2026617755</v>
      </c>
      <c r="B174" s="5" t="s">
        <v>250</v>
      </c>
      <c r="C174" s="5" t="s">
        <v>148</v>
      </c>
      <c r="D174" s="5" t="str">
        <f t="shared" si="9"/>
        <v>THOMAS CARROLL</v>
      </c>
      <c r="E174" s="5" t="s">
        <v>91</v>
      </c>
      <c r="F174" s="5" t="s">
        <v>116</v>
      </c>
      <c r="G174" s="5" t="s">
        <v>125</v>
      </c>
      <c r="H174" s="5">
        <v>371819</v>
      </c>
      <c r="I174" s="5" t="s">
        <v>147</v>
      </c>
      <c r="J174" s="5" t="s">
        <v>148</v>
      </c>
      <c r="K174" s="5" t="str">
        <f t="shared" si="10"/>
        <v>THOMAS PARDUE</v>
      </c>
      <c r="L174" s="6">
        <v>45673</v>
      </c>
      <c r="M174" s="6">
        <v>45977</v>
      </c>
      <c r="N174" s="7">
        <v>198.42</v>
      </c>
      <c r="O174" s="5">
        <f t="shared" si="11"/>
        <v>10</v>
      </c>
      <c r="P174" s="5" t="s">
        <v>181</v>
      </c>
      <c r="Q174" s="5" t="s">
        <v>755</v>
      </c>
      <c r="R174" s="8">
        <v>0.7</v>
      </c>
      <c r="S174" s="5" t="s">
        <v>60</v>
      </c>
      <c r="T174" s="5" t="s">
        <v>182</v>
      </c>
      <c r="U174" s="7">
        <v>138.88999999999999</v>
      </c>
      <c r="V174" s="5" t="s">
        <v>125</v>
      </c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</row>
    <row r="175" spans="1:54" x14ac:dyDescent="0.25">
      <c r="A175" s="5">
        <v>2026625853</v>
      </c>
      <c r="B175" s="5" t="s">
        <v>493</v>
      </c>
      <c r="C175" s="5" t="s">
        <v>494</v>
      </c>
      <c r="D175" s="5" t="str">
        <f t="shared" si="9"/>
        <v>ELDON WALKER</v>
      </c>
      <c r="E175" s="5" t="s">
        <v>102</v>
      </c>
      <c r="F175" s="5" t="s">
        <v>92</v>
      </c>
      <c r="G175" s="5" t="s">
        <v>93</v>
      </c>
      <c r="H175" s="5">
        <v>371819</v>
      </c>
      <c r="I175" s="5" t="s">
        <v>147</v>
      </c>
      <c r="J175" s="5" t="s">
        <v>148</v>
      </c>
      <c r="K175" s="5" t="str">
        <f t="shared" si="10"/>
        <v>THOMAS PARDUE</v>
      </c>
      <c r="L175" s="6">
        <v>45674</v>
      </c>
      <c r="M175" s="6">
        <v>45978</v>
      </c>
      <c r="N175" s="7">
        <v>24.71</v>
      </c>
      <c r="O175" s="5">
        <f t="shared" si="11"/>
        <v>10</v>
      </c>
      <c r="P175" s="5" t="s">
        <v>181</v>
      </c>
      <c r="Q175" s="5" t="s">
        <v>755</v>
      </c>
      <c r="R175" s="9">
        <v>0.375</v>
      </c>
      <c r="S175" s="5" t="s">
        <v>60</v>
      </c>
      <c r="T175" s="5" t="s">
        <v>182</v>
      </c>
      <c r="U175" s="7">
        <v>9.27</v>
      </c>
      <c r="V175" s="5" t="s">
        <v>93</v>
      </c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</row>
    <row r="176" spans="1:54" x14ac:dyDescent="0.25">
      <c r="A176" s="5">
        <v>2026607948</v>
      </c>
      <c r="B176" s="5" t="s">
        <v>489</v>
      </c>
      <c r="C176" s="5" t="s">
        <v>169</v>
      </c>
      <c r="D176" s="5" t="str">
        <f t="shared" si="9"/>
        <v>MATTHEW LAMBERT</v>
      </c>
      <c r="E176" s="5" t="s">
        <v>225</v>
      </c>
      <c r="F176" s="5" t="s">
        <v>92</v>
      </c>
      <c r="G176" s="5" t="s">
        <v>93</v>
      </c>
      <c r="H176" s="5">
        <v>371819</v>
      </c>
      <c r="I176" s="5" t="s">
        <v>147</v>
      </c>
      <c r="J176" s="5" t="s">
        <v>148</v>
      </c>
      <c r="K176" s="5" t="str">
        <f t="shared" si="10"/>
        <v>THOMAS PARDUE</v>
      </c>
      <c r="L176" s="6">
        <v>45673</v>
      </c>
      <c r="M176" s="6">
        <v>45977</v>
      </c>
      <c r="N176" s="7">
        <v>27.97</v>
      </c>
      <c r="O176" s="5">
        <f t="shared" si="11"/>
        <v>10</v>
      </c>
      <c r="P176" s="5" t="s">
        <v>181</v>
      </c>
      <c r="Q176" s="5" t="s">
        <v>755</v>
      </c>
      <c r="R176" s="9">
        <v>0.375</v>
      </c>
      <c r="S176" s="5" t="s">
        <v>60</v>
      </c>
      <c r="T176" s="5" t="s">
        <v>182</v>
      </c>
      <c r="U176" s="7">
        <v>10.49</v>
      </c>
      <c r="V176" s="5" t="s">
        <v>93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</row>
    <row r="177" spans="1:54" x14ac:dyDescent="0.25">
      <c r="A177" s="5">
        <v>2026615682</v>
      </c>
      <c r="B177" s="5" t="s">
        <v>490</v>
      </c>
      <c r="C177" s="5" t="s">
        <v>56</v>
      </c>
      <c r="D177" s="5" t="str">
        <f t="shared" si="9"/>
        <v>RYAN GALLOWAY</v>
      </c>
      <c r="E177" s="5" t="s">
        <v>102</v>
      </c>
      <c r="F177" s="5" t="s">
        <v>92</v>
      </c>
      <c r="G177" s="5" t="s">
        <v>93</v>
      </c>
      <c r="H177" s="5">
        <v>371819</v>
      </c>
      <c r="I177" s="5" t="s">
        <v>147</v>
      </c>
      <c r="J177" s="5" t="s">
        <v>148</v>
      </c>
      <c r="K177" s="5" t="str">
        <f t="shared" si="10"/>
        <v>THOMAS PARDUE</v>
      </c>
      <c r="L177" s="6">
        <v>45673</v>
      </c>
      <c r="M177" s="6">
        <v>45977</v>
      </c>
      <c r="N177" s="7">
        <v>29.08</v>
      </c>
      <c r="O177" s="5">
        <f t="shared" si="11"/>
        <v>10</v>
      </c>
      <c r="P177" s="5" t="s">
        <v>181</v>
      </c>
      <c r="Q177" s="5" t="s">
        <v>755</v>
      </c>
      <c r="R177" s="9">
        <v>0.375</v>
      </c>
      <c r="S177" s="5" t="s">
        <v>60</v>
      </c>
      <c r="T177" s="5" t="s">
        <v>182</v>
      </c>
      <c r="U177" s="7">
        <v>10.9</v>
      </c>
      <c r="V177" s="5" t="s">
        <v>93</v>
      </c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</row>
    <row r="178" spans="1:54" x14ac:dyDescent="0.25">
      <c r="A178" s="5">
        <v>2026618368</v>
      </c>
      <c r="B178" s="5" t="s">
        <v>491</v>
      </c>
      <c r="C178" s="5" t="s">
        <v>492</v>
      </c>
      <c r="D178" s="5" t="str">
        <f t="shared" si="9"/>
        <v>SUSAN COMPTON-FREDERICK</v>
      </c>
      <c r="E178" s="5" t="s">
        <v>78</v>
      </c>
      <c r="F178" s="5" t="s">
        <v>92</v>
      </c>
      <c r="G178" s="5" t="s">
        <v>93</v>
      </c>
      <c r="H178" s="5">
        <v>21283956</v>
      </c>
      <c r="I178" s="5" t="s">
        <v>277</v>
      </c>
      <c r="J178" s="5" t="s">
        <v>279</v>
      </c>
      <c r="K178" s="5" t="str">
        <f t="shared" si="10"/>
        <v>VICTOR FUENTES</v>
      </c>
      <c r="L178" s="6">
        <v>45673</v>
      </c>
      <c r="M178" s="6">
        <v>45977</v>
      </c>
      <c r="N178" s="7">
        <v>35.29</v>
      </c>
      <c r="O178" s="5">
        <f t="shared" si="11"/>
        <v>10</v>
      </c>
      <c r="P178" s="5" t="s">
        <v>181</v>
      </c>
      <c r="Q178" s="5" t="s">
        <v>755</v>
      </c>
      <c r="R178" s="9">
        <v>0.375</v>
      </c>
      <c r="S178" s="5" t="s">
        <v>60</v>
      </c>
      <c r="T178" s="5" t="s">
        <v>182</v>
      </c>
      <c r="U178" s="7">
        <v>13.23</v>
      </c>
      <c r="V178" s="5" t="s">
        <v>93</v>
      </c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</row>
    <row r="179" spans="1:54" x14ac:dyDescent="0.25">
      <c r="A179" s="5">
        <v>2026581909</v>
      </c>
      <c r="B179" s="5" t="s">
        <v>250</v>
      </c>
      <c r="C179" s="5" t="s">
        <v>251</v>
      </c>
      <c r="D179" s="5" t="str">
        <f t="shared" si="9"/>
        <v>EDWARD CARROLL</v>
      </c>
      <c r="E179" s="5" t="s">
        <v>91</v>
      </c>
      <c r="F179" s="5" t="s">
        <v>92</v>
      </c>
      <c r="G179" s="5" t="s">
        <v>93</v>
      </c>
      <c r="H179" s="5">
        <v>371819</v>
      </c>
      <c r="I179" s="5" t="s">
        <v>147</v>
      </c>
      <c r="J179" s="5" t="s">
        <v>148</v>
      </c>
      <c r="K179" s="5" t="str">
        <f t="shared" si="10"/>
        <v>THOMAS PARDUE</v>
      </c>
      <c r="L179" s="6">
        <v>45672</v>
      </c>
      <c r="M179" s="6">
        <v>45976</v>
      </c>
      <c r="N179" s="7">
        <v>126.89</v>
      </c>
      <c r="O179" s="5">
        <f t="shared" si="11"/>
        <v>10</v>
      </c>
      <c r="P179" s="5" t="s">
        <v>181</v>
      </c>
      <c r="Q179" s="5" t="s">
        <v>755</v>
      </c>
      <c r="R179" s="9">
        <v>0.375</v>
      </c>
      <c r="S179" s="5" t="s">
        <v>60</v>
      </c>
      <c r="T179" s="5" t="s">
        <v>182</v>
      </c>
      <c r="U179" s="7">
        <v>47.58</v>
      </c>
      <c r="V179" s="5" t="s">
        <v>93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</row>
    <row r="180" spans="1:54" x14ac:dyDescent="0.25">
      <c r="A180" s="5">
        <v>2026180758</v>
      </c>
      <c r="B180" s="5" t="s">
        <v>246</v>
      </c>
      <c r="C180" s="5" t="s">
        <v>247</v>
      </c>
      <c r="D180" s="5" t="str">
        <f t="shared" si="9"/>
        <v>CARRIE DOBSCH</v>
      </c>
      <c r="E180" s="5" t="s">
        <v>69</v>
      </c>
      <c r="F180" s="5" t="s">
        <v>53</v>
      </c>
      <c r="G180" s="5" t="s">
        <v>75</v>
      </c>
      <c r="H180" s="5">
        <v>16865615</v>
      </c>
      <c r="I180" s="5" t="s">
        <v>71</v>
      </c>
      <c r="J180" s="5" t="s">
        <v>72</v>
      </c>
      <c r="K180" s="5" t="str">
        <f t="shared" si="10"/>
        <v>Heather Geske</v>
      </c>
      <c r="L180" s="6">
        <v>45641</v>
      </c>
      <c r="M180" s="6">
        <v>45976</v>
      </c>
      <c r="N180" s="7">
        <v>18.7</v>
      </c>
      <c r="O180" s="5">
        <f t="shared" si="11"/>
        <v>11</v>
      </c>
      <c r="P180" s="5" t="s">
        <v>181</v>
      </c>
      <c r="Q180" s="5" t="s">
        <v>755</v>
      </c>
      <c r="R180" s="8">
        <v>0.65</v>
      </c>
      <c r="S180" s="5" t="s">
        <v>60</v>
      </c>
      <c r="T180" s="5" t="s">
        <v>182</v>
      </c>
      <c r="U180" s="7">
        <v>12.16</v>
      </c>
      <c r="V180" s="5" t="s">
        <v>750</v>
      </c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</row>
    <row r="181" spans="1:54" x14ac:dyDescent="0.25">
      <c r="A181" s="5">
        <v>2026184418</v>
      </c>
      <c r="B181" s="5" t="s">
        <v>248</v>
      </c>
      <c r="C181" s="5" t="s">
        <v>249</v>
      </c>
      <c r="D181" s="5" t="str">
        <f t="shared" si="9"/>
        <v>DAWN FELOSA</v>
      </c>
      <c r="E181" s="5" t="s">
        <v>69</v>
      </c>
      <c r="F181" s="5" t="s">
        <v>53</v>
      </c>
      <c r="G181" s="5" t="s">
        <v>75</v>
      </c>
      <c r="H181" s="5">
        <v>16865615</v>
      </c>
      <c r="I181" s="5" t="s">
        <v>71</v>
      </c>
      <c r="J181" s="5" t="s">
        <v>72</v>
      </c>
      <c r="K181" s="5" t="str">
        <f t="shared" si="10"/>
        <v>Heather Geske</v>
      </c>
      <c r="L181" s="6">
        <v>45641</v>
      </c>
      <c r="M181" s="6">
        <v>45976</v>
      </c>
      <c r="N181" s="7">
        <v>45.51</v>
      </c>
      <c r="O181" s="5">
        <f t="shared" si="11"/>
        <v>11</v>
      </c>
      <c r="P181" s="5" t="s">
        <v>181</v>
      </c>
      <c r="Q181" s="5" t="s">
        <v>755</v>
      </c>
      <c r="R181" s="8">
        <v>0.65</v>
      </c>
      <c r="S181" s="5" t="s">
        <v>60</v>
      </c>
      <c r="T181" s="5" t="s">
        <v>182</v>
      </c>
      <c r="U181" s="7">
        <v>29.58</v>
      </c>
      <c r="V181" s="5" t="s">
        <v>750</v>
      </c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</row>
    <row r="182" spans="1:54" x14ac:dyDescent="0.25">
      <c r="A182" s="5">
        <v>2026133999</v>
      </c>
      <c r="B182" s="5" t="s">
        <v>234</v>
      </c>
      <c r="C182" s="5" t="s">
        <v>245</v>
      </c>
      <c r="D182" s="5" t="str">
        <f t="shared" si="9"/>
        <v>HEATHER GESKE</v>
      </c>
      <c r="E182" s="5" t="s">
        <v>69</v>
      </c>
      <c r="F182" s="5" t="s">
        <v>53</v>
      </c>
      <c r="G182" s="5" t="s">
        <v>75</v>
      </c>
      <c r="H182" s="5">
        <v>16865615</v>
      </c>
      <c r="I182" s="5" t="s">
        <v>71</v>
      </c>
      <c r="J182" s="5" t="s">
        <v>72</v>
      </c>
      <c r="K182" s="5" t="str">
        <f t="shared" si="10"/>
        <v>Heather Geske</v>
      </c>
      <c r="L182" s="6">
        <v>45638</v>
      </c>
      <c r="M182" s="6">
        <v>45973</v>
      </c>
      <c r="N182" s="7">
        <v>100.33</v>
      </c>
      <c r="O182" s="5">
        <f t="shared" si="11"/>
        <v>11</v>
      </c>
      <c r="P182" s="5" t="s">
        <v>181</v>
      </c>
      <c r="Q182" s="5" t="s">
        <v>755</v>
      </c>
      <c r="R182" s="8">
        <v>0.65</v>
      </c>
      <c r="S182" s="5" t="s">
        <v>60</v>
      </c>
      <c r="T182" s="5" t="s">
        <v>182</v>
      </c>
      <c r="U182" s="7">
        <v>65.209999999999994</v>
      </c>
      <c r="V182" s="5" t="s">
        <v>750</v>
      </c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</row>
    <row r="183" spans="1:54" x14ac:dyDescent="0.25">
      <c r="A183" s="5">
        <v>2028679376</v>
      </c>
      <c r="B183" s="5" t="s">
        <v>586</v>
      </c>
      <c r="C183" s="5" t="s">
        <v>403</v>
      </c>
      <c r="D183" s="5" t="str">
        <f t="shared" si="9"/>
        <v>SCOTT HALL</v>
      </c>
      <c r="E183" s="5" t="s">
        <v>78</v>
      </c>
      <c r="F183" s="5" t="s">
        <v>587</v>
      </c>
      <c r="G183" s="5" t="s">
        <v>588</v>
      </c>
      <c r="H183" s="5">
        <v>19681796</v>
      </c>
      <c r="I183" s="5" t="s">
        <v>566</v>
      </c>
      <c r="J183" s="5" t="s">
        <v>567</v>
      </c>
      <c r="K183" s="5" t="str">
        <f t="shared" si="10"/>
        <v>CHRISTIAN TAUGNER</v>
      </c>
      <c r="L183" s="6">
        <v>45778</v>
      </c>
      <c r="M183" s="6">
        <v>46113</v>
      </c>
      <c r="N183" s="7">
        <v>-129.44</v>
      </c>
      <c r="O183" s="5">
        <f t="shared" si="11"/>
        <v>11</v>
      </c>
      <c r="P183" s="5" t="s">
        <v>181</v>
      </c>
      <c r="Q183" s="5" t="s">
        <v>754</v>
      </c>
      <c r="R183" s="8">
        <v>0.26</v>
      </c>
      <c r="S183" s="5" t="s">
        <v>60</v>
      </c>
      <c r="T183" s="5" t="s">
        <v>182</v>
      </c>
      <c r="U183" s="7">
        <v>-33.65</v>
      </c>
      <c r="V183" s="5" t="s">
        <v>759</v>
      </c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</row>
    <row r="184" spans="1:54" x14ac:dyDescent="0.25">
      <c r="A184" s="5">
        <v>2026180757</v>
      </c>
      <c r="B184" s="5" t="s">
        <v>246</v>
      </c>
      <c r="C184" s="5" t="s">
        <v>247</v>
      </c>
      <c r="D184" s="5" t="str">
        <f t="shared" si="9"/>
        <v>CARRIE DOBSCH</v>
      </c>
      <c r="E184" s="5" t="s">
        <v>69</v>
      </c>
      <c r="F184" s="5" t="s">
        <v>116</v>
      </c>
      <c r="G184" s="5" t="s">
        <v>125</v>
      </c>
      <c r="H184" s="5">
        <v>16865615</v>
      </c>
      <c r="I184" s="5" t="s">
        <v>71</v>
      </c>
      <c r="J184" s="5" t="s">
        <v>72</v>
      </c>
      <c r="K184" s="5" t="str">
        <f t="shared" si="10"/>
        <v>Heather Geske</v>
      </c>
      <c r="L184" s="6">
        <v>45641</v>
      </c>
      <c r="M184" s="6">
        <v>45976</v>
      </c>
      <c r="N184" s="7">
        <v>9.1</v>
      </c>
      <c r="O184" s="5">
        <f t="shared" si="11"/>
        <v>11</v>
      </c>
      <c r="P184" s="5" t="s">
        <v>181</v>
      </c>
      <c r="Q184" s="5" t="s">
        <v>755</v>
      </c>
      <c r="R184" s="8">
        <v>0.7</v>
      </c>
      <c r="S184" s="5" t="s">
        <v>60</v>
      </c>
      <c r="T184" s="5" t="s">
        <v>182</v>
      </c>
      <c r="U184" s="7">
        <v>6.37</v>
      </c>
      <c r="V184" s="5" t="s">
        <v>125</v>
      </c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</row>
    <row r="185" spans="1:54" x14ac:dyDescent="0.25">
      <c r="A185" s="5">
        <v>2026184417</v>
      </c>
      <c r="B185" s="5" t="s">
        <v>248</v>
      </c>
      <c r="C185" s="5" t="s">
        <v>249</v>
      </c>
      <c r="D185" s="5" t="str">
        <f t="shared" si="9"/>
        <v>DAWN FELOSA</v>
      </c>
      <c r="E185" s="5" t="s">
        <v>69</v>
      </c>
      <c r="F185" s="5" t="s">
        <v>116</v>
      </c>
      <c r="G185" s="5" t="s">
        <v>125</v>
      </c>
      <c r="H185" s="5">
        <v>16865615</v>
      </c>
      <c r="I185" s="5" t="s">
        <v>71</v>
      </c>
      <c r="J185" s="5" t="s">
        <v>72</v>
      </c>
      <c r="K185" s="5" t="str">
        <f t="shared" si="10"/>
        <v>Heather Geske</v>
      </c>
      <c r="L185" s="6">
        <v>45641</v>
      </c>
      <c r="M185" s="6">
        <v>45976</v>
      </c>
      <c r="N185" s="7">
        <v>9.1</v>
      </c>
      <c r="O185" s="5">
        <f t="shared" si="11"/>
        <v>11</v>
      </c>
      <c r="P185" s="5" t="s">
        <v>181</v>
      </c>
      <c r="Q185" s="5" t="s">
        <v>755</v>
      </c>
      <c r="R185" s="8">
        <v>0.7</v>
      </c>
      <c r="S185" s="5" t="s">
        <v>60</v>
      </c>
      <c r="T185" s="5" t="s">
        <v>182</v>
      </c>
      <c r="U185" s="7">
        <v>6.37</v>
      </c>
      <c r="V185" s="5" t="s">
        <v>125</v>
      </c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</row>
    <row r="186" spans="1:54" x14ac:dyDescent="0.25">
      <c r="A186" s="5">
        <v>2026054687</v>
      </c>
      <c r="B186" s="5" t="s">
        <v>476</v>
      </c>
      <c r="C186" s="5" t="s">
        <v>244</v>
      </c>
      <c r="D186" s="5" t="str">
        <f t="shared" si="9"/>
        <v>NIKKI WRIGHT</v>
      </c>
      <c r="E186" s="5" t="s">
        <v>78</v>
      </c>
      <c r="F186" s="5" t="s">
        <v>116</v>
      </c>
      <c r="G186" s="5" t="s">
        <v>125</v>
      </c>
      <c r="H186" s="5">
        <v>18828278</v>
      </c>
      <c r="I186" s="5" t="s">
        <v>477</v>
      </c>
      <c r="J186" s="5" t="s">
        <v>159</v>
      </c>
      <c r="K186" s="5" t="str">
        <f t="shared" si="10"/>
        <v>MICHAEL DUNAVANT</v>
      </c>
      <c r="L186" s="6">
        <v>45638</v>
      </c>
      <c r="M186" s="6">
        <v>45973</v>
      </c>
      <c r="N186" s="7">
        <v>11.5</v>
      </c>
      <c r="O186" s="5">
        <f t="shared" si="11"/>
        <v>11</v>
      </c>
      <c r="P186" s="5" t="s">
        <v>181</v>
      </c>
      <c r="Q186" s="5" t="s">
        <v>755</v>
      </c>
      <c r="R186" s="8">
        <v>0.7</v>
      </c>
      <c r="S186" s="5" t="s">
        <v>60</v>
      </c>
      <c r="T186" s="5" t="s">
        <v>182</v>
      </c>
      <c r="U186" s="7">
        <v>8.0500000000000007</v>
      </c>
      <c r="V186" s="5" t="s">
        <v>125</v>
      </c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</row>
    <row r="187" spans="1:54" x14ac:dyDescent="0.25">
      <c r="A187" s="5">
        <v>2026133998</v>
      </c>
      <c r="B187" s="5" t="s">
        <v>234</v>
      </c>
      <c r="C187" s="5" t="s">
        <v>245</v>
      </c>
      <c r="D187" s="5" t="str">
        <f t="shared" si="9"/>
        <v>HEATHER GESKE</v>
      </c>
      <c r="E187" s="5" t="s">
        <v>69</v>
      </c>
      <c r="F187" s="5" t="s">
        <v>116</v>
      </c>
      <c r="G187" s="5" t="s">
        <v>125</v>
      </c>
      <c r="H187" s="5">
        <v>16865615</v>
      </c>
      <c r="I187" s="5" t="s">
        <v>71</v>
      </c>
      <c r="J187" s="5" t="s">
        <v>72</v>
      </c>
      <c r="K187" s="5" t="str">
        <f t="shared" si="10"/>
        <v>Heather Geske</v>
      </c>
      <c r="L187" s="6">
        <v>45638</v>
      </c>
      <c r="M187" s="6">
        <v>45973</v>
      </c>
      <c r="N187" s="7">
        <v>18.2</v>
      </c>
      <c r="O187" s="5">
        <f t="shared" si="11"/>
        <v>11</v>
      </c>
      <c r="P187" s="5" t="s">
        <v>181</v>
      </c>
      <c r="Q187" s="5" t="s">
        <v>755</v>
      </c>
      <c r="R187" s="8">
        <v>0.7</v>
      </c>
      <c r="S187" s="5" t="s">
        <v>60</v>
      </c>
      <c r="T187" s="5" t="s">
        <v>182</v>
      </c>
      <c r="U187" s="7">
        <v>12.74</v>
      </c>
      <c r="V187" s="5" t="s">
        <v>125</v>
      </c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</row>
    <row r="188" spans="1:54" x14ac:dyDescent="0.25">
      <c r="A188" s="5">
        <v>2026189547</v>
      </c>
      <c r="B188" s="5" t="s">
        <v>625</v>
      </c>
      <c r="C188" s="5" t="s">
        <v>626</v>
      </c>
      <c r="D188" s="5" t="str">
        <f t="shared" si="9"/>
        <v>UNDRAGA MASHBAT</v>
      </c>
      <c r="E188" s="5" t="s">
        <v>78</v>
      </c>
      <c r="F188" s="5" t="s">
        <v>116</v>
      </c>
      <c r="G188" s="5" t="s">
        <v>125</v>
      </c>
      <c r="H188" s="5">
        <v>20220688</v>
      </c>
      <c r="I188" s="5" t="s">
        <v>151</v>
      </c>
      <c r="J188" s="5" t="s">
        <v>152</v>
      </c>
      <c r="K188" s="5" t="str">
        <f t="shared" si="10"/>
        <v>NASANDELGER ZANA</v>
      </c>
      <c r="L188" s="6">
        <v>45642</v>
      </c>
      <c r="M188" s="6">
        <v>45977</v>
      </c>
      <c r="N188" s="7">
        <v>19</v>
      </c>
      <c r="O188" s="5">
        <f t="shared" si="11"/>
        <v>11</v>
      </c>
      <c r="P188" s="5" t="s">
        <v>181</v>
      </c>
      <c r="Q188" s="5" t="s">
        <v>755</v>
      </c>
      <c r="R188" s="8">
        <v>0.7</v>
      </c>
      <c r="S188" s="5" t="s">
        <v>60</v>
      </c>
      <c r="T188" s="5" t="s">
        <v>182</v>
      </c>
      <c r="U188" s="7">
        <v>13.3</v>
      </c>
      <c r="V188" s="5" t="s">
        <v>125</v>
      </c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</row>
    <row r="189" spans="1:54" x14ac:dyDescent="0.25">
      <c r="A189" s="5">
        <v>2026186218</v>
      </c>
      <c r="B189" s="5" t="s">
        <v>482</v>
      </c>
      <c r="C189" s="5" t="s">
        <v>483</v>
      </c>
      <c r="D189" s="5" t="str">
        <f t="shared" si="9"/>
        <v>TODD BURRI</v>
      </c>
      <c r="E189" s="5" t="s">
        <v>272</v>
      </c>
      <c r="F189" s="5" t="s">
        <v>116</v>
      </c>
      <c r="G189" s="5" t="s">
        <v>125</v>
      </c>
      <c r="H189" s="5">
        <v>371819</v>
      </c>
      <c r="I189" s="5" t="s">
        <v>147</v>
      </c>
      <c r="J189" s="5" t="s">
        <v>148</v>
      </c>
      <c r="K189" s="5" t="str">
        <f t="shared" si="10"/>
        <v>THOMAS PARDUE</v>
      </c>
      <c r="L189" s="6">
        <v>45641</v>
      </c>
      <c r="M189" s="6">
        <v>45976</v>
      </c>
      <c r="N189" s="7">
        <v>94.38</v>
      </c>
      <c r="O189" s="5">
        <f t="shared" si="11"/>
        <v>11</v>
      </c>
      <c r="P189" s="5" t="s">
        <v>181</v>
      </c>
      <c r="Q189" s="5" t="s">
        <v>755</v>
      </c>
      <c r="R189" s="8">
        <v>0.7</v>
      </c>
      <c r="S189" s="5" t="s">
        <v>60</v>
      </c>
      <c r="T189" s="5" t="s">
        <v>182</v>
      </c>
      <c r="U189" s="7">
        <v>66.069999999999993</v>
      </c>
      <c r="V189" s="5" t="s">
        <v>125</v>
      </c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</row>
    <row r="190" spans="1:54" s="5" customFormat="1" x14ac:dyDescent="0.25">
      <c r="A190" s="5">
        <v>2026186217</v>
      </c>
      <c r="B190" s="5" t="s">
        <v>482</v>
      </c>
      <c r="C190" s="5" t="s">
        <v>483</v>
      </c>
      <c r="D190" s="5" t="str">
        <f t="shared" si="9"/>
        <v>TODD BURRI</v>
      </c>
      <c r="E190" s="5" t="s">
        <v>272</v>
      </c>
      <c r="F190" s="5" t="s">
        <v>92</v>
      </c>
      <c r="G190" s="5" t="s">
        <v>93</v>
      </c>
      <c r="H190" s="5">
        <v>371819</v>
      </c>
      <c r="I190" s="5" t="s">
        <v>147</v>
      </c>
      <c r="J190" s="5" t="s">
        <v>148</v>
      </c>
      <c r="K190" s="5" t="str">
        <f t="shared" si="10"/>
        <v>THOMAS PARDUE</v>
      </c>
      <c r="L190" s="6">
        <v>45641</v>
      </c>
      <c r="M190" s="6">
        <v>45976</v>
      </c>
      <c r="N190" s="7">
        <v>26.74</v>
      </c>
      <c r="O190" s="5">
        <f t="shared" si="11"/>
        <v>11</v>
      </c>
      <c r="P190" s="5" t="s">
        <v>181</v>
      </c>
      <c r="Q190" s="5" t="s">
        <v>755</v>
      </c>
      <c r="R190" s="9">
        <v>0.375</v>
      </c>
      <c r="S190" s="5" t="s">
        <v>60</v>
      </c>
      <c r="T190" s="5" t="s">
        <v>182</v>
      </c>
      <c r="U190" s="7">
        <v>10.029999999999999</v>
      </c>
      <c r="V190" s="5" t="s">
        <v>93</v>
      </c>
    </row>
    <row r="191" spans="1:54" s="5" customFormat="1" x14ac:dyDescent="0.25">
      <c r="A191" s="5">
        <v>2026054686</v>
      </c>
      <c r="B191" s="5" t="s">
        <v>476</v>
      </c>
      <c r="C191" s="5" t="s">
        <v>244</v>
      </c>
      <c r="D191" s="5" t="str">
        <f t="shared" si="9"/>
        <v>NIKKI WRIGHT</v>
      </c>
      <c r="E191" s="5" t="s">
        <v>78</v>
      </c>
      <c r="F191" s="5" t="s">
        <v>92</v>
      </c>
      <c r="G191" s="5" t="s">
        <v>93</v>
      </c>
      <c r="H191" s="5">
        <v>18828278</v>
      </c>
      <c r="I191" s="5" t="s">
        <v>477</v>
      </c>
      <c r="J191" s="5" t="s">
        <v>159</v>
      </c>
      <c r="K191" s="5" t="str">
        <f t="shared" si="10"/>
        <v>MICHAEL DUNAVANT</v>
      </c>
      <c r="L191" s="6">
        <v>45638</v>
      </c>
      <c r="M191" s="6">
        <v>45973</v>
      </c>
      <c r="N191" s="7">
        <v>47.56</v>
      </c>
      <c r="O191" s="5">
        <f t="shared" si="11"/>
        <v>11</v>
      </c>
      <c r="P191" s="5" t="s">
        <v>181</v>
      </c>
      <c r="Q191" s="5" t="s">
        <v>755</v>
      </c>
      <c r="R191" s="9">
        <v>0.375</v>
      </c>
      <c r="S191" s="5" t="s">
        <v>60</v>
      </c>
      <c r="T191" s="5" t="s">
        <v>182</v>
      </c>
      <c r="U191" s="7">
        <v>17.84</v>
      </c>
      <c r="V191" s="5" t="s">
        <v>93</v>
      </c>
      <c r="BB191"/>
    </row>
    <row r="192" spans="1:54" s="5" customFormat="1" x14ac:dyDescent="0.25">
      <c r="A192" s="5">
        <v>2028679376</v>
      </c>
      <c r="B192" s="5" t="s">
        <v>586</v>
      </c>
      <c r="C192" s="5" t="s">
        <v>403</v>
      </c>
      <c r="D192" s="5" t="str">
        <f t="shared" si="9"/>
        <v>SCOTT HALL</v>
      </c>
      <c r="E192" s="5" t="s">
        <v>78</v>
      </c>
      <c r="F192" s="5" t="s">
        <v>587</v>
      </c>
      <c r="G192" s="5" t="s">
        <v>588</v>
      </c>
      <c r="H192" s="5">
        <v>19681796</v>
      </c>
      <c r="I192" s="5" t="s">
        <v>566</v>
      </c>
      <c r="J192" s="5" t="s">
        <v>567</v>
      </c>
      <c r="K192" s="5" t="str">
        <f t="shared" si="10"/>
        <v>CHRISTIAN TAUGNER</v>
      </c>
      <c r="L192" s="6">
        <v>45778</v>
      </c>
      <c r="M192" s="6">
        <v>46143</v>
      </c>
      <c r="N192" s="7">
        <v>-129.44</v>
      </c>
      <c r="O192" s="5">
        <f t="shared" si="11"/>
        <v>12</v>
      </c>
      <c r="P192" s="5" t="s">
        <v>181</v>
      </c>
      <c r="Q192" s="5" t="s">
        <v>754</v>
      </c>
      <c r="R192" s="8">
        <v>0.26</v>
      </c>
      <c r="S192" s="5" t="s">
        <v>60</v>
      </c>
      <c r="T192" s="5" t="s">
        <v>182</v>
      </c>
      <c r="U192" s="7">
        <v>-33.65</v>
      </c>
      <c r="V192" s="5" t="s">
        <v>759</v>
      </c>
    </row>
    <row r="193" spans="1:53" s="5" customFormat="1" x14ac:dyDescent="0.25">
      <c r="A193" s="5">
        <v>2025621632</v>
      </c>
      <c r="B193" s="5" t="s">
        <v>616</v>
      </c>
      <c r="C193" s="5" t="s">
        <v>617</v>
      </c>
      <c r="D193" s="5" t="str">
        <f t="shared" si="9"/>
        <v>MUNKHSAIKHAN OCHIR</v>
      </c>
      <c r="E193" s="5" t="s">
        <v>78</v>
      </c>
      <c r="F193" s="5" t="s">
        <v>116</v>
      </c>
      <c r="G193" s="5" t="s">
        <v>125</v>
      </c>
      <c r="H193" s="5">
        <v>20999157</v>
      </c>
      <c r="I193" s="5" t="s">
        <v>618</v>
      </c>
      <c r="J193" s="5" t="s">
        <v>619</v>
      </c>
      <c r="K193" s="5" t="str">
        <f t="shared" si="10"/>
        <v>ODMAA ENKHTUR</v>
      </c>
      <c r="L193" s="6">
        <v>45611</v>
      </c>
      <c r="M193" s="6">
        <v>45976</v>
      </c>
      <c r="N193" s="7">
        <v>34</v>
      </c>
      <c r="O193" s="5">
        <f t="shared" si="11"/>
        <v>12</v>
      </c>
      <c r="P193" s="5" t="s">
        <v>181</v>
      </c>
      <c r="Q193" s="5" t="s">
        <v>755</v>
      </c>
      <c r="R193" s="8">
        <v>0.7</v>
      </c>
      <c r="S193" s="5" t="s">
        <v>60</v>
      </c>
      <c r="T193" s="5" t="s">
        <v>182</v>
      </c>
      <c r="U193" s="7">
        <v>23.8</v>
      </c>
      <c r="V193" s="5" t="s">
        <v>125</v>
      </c>
    </row>
    <row r="194" spans="1:53" s="5" customFormat="1" x14ac:dyDescent="0.25">
      <c r="A194" s="5">
        <v>2025738648</v>
      </c>
      <c r="B194" s="5" t="s">
        <v>414</v>
      </c>
      <c r="C194" s="5" t="s">
        <v>415</v>
      </c>
      <c r="D194" s="5" t="str">
        <f t="shared" si="9"/>
        <v>MASON MOREAU</v>
      </c>
      <c r="E194" s="5" t="s">
        <v>102</v>
      </c>
      <c r="F194" s="5" t="s">
        <v>92</v>
      </c>
      <c r="G194" s="5" t="s">
        <v>93</v>
      </c>
      <c r="H194" s="5">
        <v>371819</v>
      </c>
      <c r="I194" s="5" t="s">
        <v>147</v>
      </c>
      <c r="J194" s="5" t="s">
        <v>148</v>
      </c>
      <c r="K194" s="5" t="str">
        <f t="shared" si="10"/>
        <v>THOMAS PARDUE</v>
      </c>
      <c r="L194" s="6">
        <v>45609</v>
      </c>
      <c r="M194" s="6">
        <v>45974</v>
      </c>
      <c r="N194" s="7">
        <v>18.66</v>
      </c>
      <c r="O194" s="5">
        <f t="shared" si="11"/>
        <v>12</v>
      </c>
      <c r="P194" s="5" t="s">
        <v>181</v>
      </c>
      <c r="Q194" s="5" t="s">
        <v>755</v>
      </c>
      <c r="R194" s="9">
        <v>0.375</v>
      </c>
      <c r="S194" s="5" t="s">
        <v>60</v>
      </c>
      <c r="T194" s="5" t="s">
        <v>182</v>
      </c>
      <c r="U194" s="7">
        <v>7</v>
      </c>
      <c r="V194" s="5" t="s">
        <v>93</v>
      </c>
    </row>
    <row r="195" spans="1:53" s="5" customFormat="1" x14ac:dyDescent="0.25">
      <c r="A195" s="5">
        <v>2025783978</v>
      </c>
      <c r="B195" s="5" t="s">
        <v>622</v>
      </c>
      <c r="C195" s="5" t="s">
        <v>624</v>
      </c>
      <c r="D195" s="5" t="str">
        <f t="shared" ref="D195:D258" si="12">CONCATENATE(C195, " ",B195)</f>
        <v>KEGHAN CARLTON</v>
      </c>
      <c r="E195" s="5" t="s">
        <v>130</v>
      </c>
      <c r="F195" s="5" t="s">
        <v>116</v>
      </c>
      <c r="G195" s="5" t="s">
        <v>120</v>
      </c>
      <c r="H195" s="5">
        <v>371819</v>
      </c>
      <c r="I195" s="5" t="s">
        <v>147</v>
      </c>
      <c r="J195" s="5" t="s">
        <v>148</v>
      </c>
      <c r="K195" s="5" t="str">
        <f t="shared" ref="K195:K258" si="13">CONCATENATE(J195, " ",I195)</f>
        <v>THOMAS PARDUE</v>
      </c>
      <c r="L195" s="6">
        <v>45612</v>
      </c>
      <c r="M195" s="6">
        <v>45977</v>
      </c>
      <c r="N195" s="7">
        <v>16.63</v>
      </c>
      <c r="O195" s="5">
        <f t="shared" ref="O195:O258" si="14">DATEDIF(L195,M195,"M")</f>
        <v>12</v>
      </c>
      <c r="P195" s="5" t="s">
        <v>181</v>
      </c>
      <c r="Q195" s="5" t="s">
        <v>755</v>
      </c>
      <c r="R195" s="8">
        <v>0.9</v>
      </c>
      <c r="S195" s="5" t="s">
        <v>60</v>
      </c>
      <c r="T195" s="5" t="s">
        <v>182</v>
      </c>
      <c r="U195" s="7">
        <v>14.97</v>
      </c>
      <c r="V195" s="5" t="s">
        <v>120</v>
      </c>
    </row>
    <row r="196" spans="1:53" s="5" customFormat="1" x14ac:dyDescent="0.25">
      <c r="A196" s="5">
        <v>2025783063</v>
      </c>
      <c r="B196" s="5" t="s">
        <v>622</v>
      </c>
      <c r="C196" s="5" t="s">
        <v>623</v>
      </c>
      <c r="D196" s="5" t="str">
        <f t="shared" si="12"/>
        <v>TAMMY CARLTON</v>
      </c>
      <c r="E196" s="5" t="s">
        <v>130</v>
      </c>
      <c r="F196" s="5" t="s">
        <v>116</v>
      </c>
      <c r="G196" s="5" t="s">
        <v>120</v>
      </c>
      <c r="H196" s="5">
        <v>371819</v>
      </c>
      <c r="I196" s="5" t="s">
        <v>147</v>
      </c>
      <c r="J196" s="5" t="s">
        <v>148</v>
      </c>
      <c r="K196" s="5" t="str">
        <f t="shared" si="13"/>
        <v>THOMAS PARDUE</v>
      </c>
      <c r="L196" s="6">
        <v>45612</v>
      </c>
      <c r="M196" s="6">
        <v>45977</v>
      </c>
      <c r="N196" s="7">
        <v>58.17</v>
      </c>
      <c r="O196" s="5">
        <f t="shared" si="14"/>
        <v>12</v>
      </c>
      <c r="P196" s="5" t="s">
        <v>181</v>
      </c>
      <c r="Q196" s="5" t="s">
        <v>755</v>
      </c>
      <c r="R196" s="8">
        <v>0.9</v>
      </c>
      <c r="S196" s="5" t="s">
        <v>60</v>
      </c>
      <c r="T196" s="5" t="s">
        <v>182</v>
      </c>
      <c r="U196" s="7">
        <v>52.35</v>
      </c>
      <c r="V196" s="5" t="s">
        <v>120</v>
      </c>
    </row>
    <row r="197" spans="1:53" s="5" customFormat="1" x14ac:dyDescent="0.25">
      <c r="A197" s="5">
        <v>2025254892</v>
      </c>
      <c r="B197" s="5" t="s">
        <v>230</v>
      </c>
      <c r="C197" s="5" t="s">
        <v>231</v>
      </c>
      <c r="D197" s="5" t="str">
        <f t="shared" si="12"/>
        <v>KRISTIN DICKINSON</v>
      </c>
      <c r="E197" s="5" t="s">
        <v>130</v>
      </c>
      <c r="F197" s="5" t="s">
        <v>53</v>
      </c>
      <c r="G197" s="5" t="s">
        <v>232</v>
      </c>
      <c r="H197" s="5">
        <v>371819</v>
      </c>
      <c r="I197" s="5" t="s">
        <v>147</v>
      </c>
      <c r="J197" s="5" t="s">
        <v>148</v>
      </c>
      <c r="K197" s="5" t="str">
        <f t="shared" si="13"/>
        <v>THOMAS PARDUE</v>
      </c>
      <c r="L197" s="6">
        <v>45576</v>
      </c>
      <c r="M197" s="6">
        <v>45972</v>
      </c>
      <c r="N197" s="7">
        <v>48.79</v>
      </c>
      <c r="O197" s="5">
        <f t="shared" si="14"/>
        <v>13</v>
      </c>
      <c r="P197" s="5" t="s">
        <v>181</v>
      </c>
      <c r="Q197" s="5" t="s">
        <v>755</v>
      </c>
      <c r="R197" s="8">
        <v>0.1</v>
      </c>
      <c r="S197" s="5" t="s">
        <v>181</v>
      </c>
      <c r="T197" s="5" t="s">
        <v>182</v>
      </c>
      <c r="U197" s="7">
        <v>4.88</v>
      </c>
      <c r="V197" s="5" t="s">
        <v>751</v>
      </c>
    </row>
    <row r="198" spans="1:53" x14ac:dyDescent="0.25">
      <c r="A198" s="5">
        <v>2025287065</v>
      </c>
      <c r="B198" s="5" t="s">
        <v>235</v>
      </c>
      <c r="C198" s="5" t="s">
        <v>236</v>
      </c>
      <c r="D198" s="5" t="str">
        <f t="shared" si="12"/>
        <v>ZARIYAH JEFFRIES</v>
      </c>
      <c r="E198" s="5" t="s">
        <v>52</v>
      </c>
      <c r="F198" s="5" t="s">
        <v>53</v>
      </c>
      <c r="G198" s="5" t="s">
        <v>70</v>
      </c>
      <c r="H198" s="5">
        <v>371819</v>
      </c>
      <c r="I198" s="5" t="s">
        <v>147</v>
      </c>
      <c r="J198" s="5" t="s">
        <v>148</v>
      </c>
      <c r="K198" s="5" t="str">
        <f t="shared" si="13"/>
        <v>THOMAS PARDUE</v>
      </c>
      <c r="L198" s="6">
        <v>45577</v>
      </c>
      <c r="M198" s="6">
        <v>45973</v>
      </c>
      <c r="N198" s="7">
        <v>13.92</v>
      </c>
      <c r="O198" s="5">
        <f t="shared" si="14"/>
        <v>13</v>
      </c>
      <c r="P198" s="5" t="s">
        <v>181</v>
      </c>
      <c r="Q198" s="5" t="s">
        <v>755</v>
      </c>
      <c r="R198" s="8">
        <v>0.1</v>
      </c>
      <c r="S198" s="5" t="s">
        <v>181</v>
      </c>
      <c r="T198" s="5" t="s">
        <v>182</v>
      </c>
      <c r="U198" s="7">
        <v>1.39</v>
      </c>
      <c r="V198" s="5" t="s">
        <v>752</v>
      </c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</row>
    <row r="199" spans="1:53" x14ac:dyDescent="0.25">
      <c r="A199" s="5">
        <v>2025316510</v>
      </c>
      <c r="B199" s="5" t="s">
        <v>237</v>
      </c>
      <c r="C199" s="5" t="s">
        <v>238</v>
      </c>
      <c r="D199" s="5" t="str">
        <f t="shared" si="12"/>
        <v>JORDAN ROWELL</v>
      </c>
      <c r="E199" s="5" t="s">
        <v>219</v>
      </c>
      <c r="F199" s="5" t="s">
        <v>53</v>
      </c>
      <c r="G199" s="5" t="s">
        <v>70</v>
      </c>
      <c r="H199" s="5">
        <v>371819</v>
      </c>
      <c r="I199" s="5" t="s">
        <v>147</v>
      </c>
      <c r="J199" s="5" t="s">
        <v>148</v>
      </c>
      <c r="K199" s="5" t="str">
        <f t="shared" si="13"/>
        <v>THOMAS PARDUE</v>
      </c>
      <c r="L199" s="6">
        <v>45580</v>
      </c>
      <c r="M199" s="6">
        <v>45976</v>
      </c>
      <c r="N199" s="7">
        <v>19.309999999999999</v>
      </c>
      <c r="O199" s="5">
        <f t="shared" si="14"/>
        <v>13</v>
      </c>
      <c r="P199" s="5" t="s">
        <v>181</v>
      </c>
      <c r="Q199" s="5" t="s">
        <v>755</v>
      </c>
      <c r="R199" s="8">
        <v>0.1</v>
      </c>
      <c r="S199" s="5" t="s">
        <v>181</v>
      </c>
      <c r="T199" s="5" t="s">
        <v>182</v>
      </c>
      <c r="U199" s="7">
        <v>1.93</v>
      </c>
      <c r="V199" s="5" t="s">
        <v>752</v>
      </c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</row>
    <row r="200" spans="1:53" x14ac:dyDescent="0.25">
      <c r="A200" s="5">
        <v>2025287066</v>
      </c>
      <c r="B200" s="5" t="s">
        <v>235</v>
      </c>
      <c r="C200" s="5" t="s">
        <v>236</v>
      </c>
      <c r="D200" s="5" t="str">
        <f t="shared" si="12"/>
        <v>ZARIYAH JEFFRIES</v>
      </c>
      <c r="E200" s="5" t="s">
        <v>52</v>
      </c>
      <c r="F200" s="5" t="s">
        <v>116</v>
      </c>
      <c r="G200" s="5" t="s">
        <v>125</v>
      </c>
      <c r="H200" s="5">
        <v>371819</v>
      </c>
      <c r="I200" s="5" t="s">
        <v>147</v>
      </c>
      <c r="J200" s="5" t="s">
        <v>148</v>
      </c>
      <c r="K200" s="5" t="str">
        <f t="shared" si="13"/>
        <v>THOMAS PARDUE</v>
      </c>
      <c r="L200" s="6">
        <v>45577</v>
      </c>
      <c r="M200" s="6">
        <v>45973</v>
      </c>
      <c r="N200" s="7">
        <v>26.73</v>
      </c>
      <c r="O200" s="5">
        <f t="shared" si="14"/>
        <v>13</v>
      </c>
      <c r="P200" s="5" t="s">
        <v>181</v>
      </c>
      <c r="Q200" s="5" t="s">
        <v>755</v>
      </c>
      <c r="R200" s="8">
        <v>0.15</v>
      </c>
      <c r="S200" s="5" t="s">
        <v>181</v>
      </c>
      <c r="T200" s="5" t="s">
        <v>182</v>
      </c>
      <c r="U200" s="7">
        <v>4.01</v>
      </c>
      <c r="V200" s="5" t="s">
        <v>125</v>
      </c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</row>
    <row r="201" spans="1:53" x14ac:dyDescent="0.25">
      <c r="A201" s="5">
        <v>2025286363</v>
      </c>
      <c r="B201" s="5" t="s">
        <v>614</v>
      </c>
      <c r="C201" s="5" t="s">
        <v>615</v>
      </c>
      <c r="D201" s="5" t="str">
        <f t="shared" si="12"/>
        <v>HEIDI VOLBRECHT</v>
      </c>
      <c r="E201" s="5" t="s">
        <v>272</v>
      </c>
      <c r="F201" s="5" t="s">
        <v>116</v>
      </c>
      <c r="G201" s="5" t="s">
        <v>125</v>
      </c>
      <c r="H201" s="5">
        <v>371819</v>
      </c>
      <c r="I201" s="5" t="s">
        <v>147</v>
      </c>
      <c r="J201" s="5" t="s">
        <v>148</v>
      </c>
      <c r="K201" s="5" t="str">
        <f t="shared" si="13"/>
        <v>THOMAS PARDUE</v>
      </c>
      <c r="L201" s="6">
        <v>45577</v>
      </c>
      <c r="M201" s="6">
        <v>45973</v>
      </c>
      <c r="N201" s="7">
        <v>31.88</v>
      </c>
      <c r="O201" s="5">
        <f t="shared" si="14"/>
        <v>13</v>
      </c>
      <c r="P201" s="5" t="s">
        <v>181</v>
      </c>
      <c r="Q201" s="5" t="s">
        <v>755</v>
      </c>
      <c r="R201" s="8">
        <v>0.15</v>
      </c>
      <c r="S201" s="5" t="s">
        <v>181</v>
      </c>
      <c r="T201" s="5" t="s">
        <v>182</v>
      </c>
      <c r="U201" s="7">
        <v>4.78</v>
      </c>
      <c r="V201" s="5" t="s">
        <v>125</v>
      </c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</row>
    <row r="202" spans="1:53" x14ac:dyDescent="0.25">
      <c r="A202" s="5">
        <v>2025254890</v>
      </c>
      <c r="B202" s="5" t="s">
        <v>230</v>
      </c>
      <c r="C202" s="5" t="s">
        <v>231</v>
      </c>
      <c r="D202" s="5" t="str">
        <f t="shared" si="12"/>
        <v>KRISTIN DICKINSON</v>
      </c>
      <c r="E202" s="5" t="s">
        <v>130</v>
      </c>
      <c r="F202" s="5" t="s">
        <v>116</v>
      </c>
      <c r="G202" s="5" t="s">
        <v>125</v>
      </c>
      <c r="H202" s="5">
        <v>371819</v>
      </c>
      <c r="I202" s="5" t="s">
        <v>147</v>
      </c>
      <c r="J202" s="5" t="s">
        <v>148</v>
      </c>
      <c r="K202" s="5" t="str">
        <f t="shared" si="13"/>
        <v>THOMAS PARDUE</v>
      </c>
      <c r="L202" s="6">
        <v>45576</v>
      </c>
      <c r="M202" s="6">
        <v>45972</v>
      </c>
      <c r="N202" s="7">
        <v>35.04</v>
      </c>
      <c r="O202" s="5">
        <f t="shared" si="14"/>
        <v>13</v>
      </c>
      <c r="P202" s="5" t="s">
        <v>181</v>
      </c>
      <c r="Q202" s="5" t="s">
        <v>755</v>
      </c>
      <c r="R202" s="8">
        <v>0.15</v>
      </c>
      <c r="S202" s="5" t="s">
        <v>181</v>
      </c>
      <c r="T202" s="5" t="s">
        <v>182</v>
      </c>
      <c r="U202" s="7">
        <v>5.26</v>
      </c>
      <c r="V202" s="5" t="s">
        <v>125</v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</row>
    <row r="203" spans="1:53" x14ac:dyDescent="0.25">
      <c r="A203" s="5">
        <v>2025316509</v>
      </c>
      <c r="B203" s="5" t="s">
        <v>237</v>
      </c>
      <c r="C203" s="5" t="s">
        <v>238</v>
      </c>
      <c r="D203" s="5" t="str">
        <f t="shared" si="12"/>
        <v>JORDAN ROWELL</v>
      </c>
      <c r="E203" s="5" t="s">
        <v>219</v>
      </c>
      <c r="F203" s="5" t="s">
        <v>116</v>
      </c>
      <c r="G203" s="5" t="s">
        <v>125</v>
      </c>
      <c r="H203" s="5">
        <v>371819</v>
      </c>
      <c r="I203" s="5" t="s">
        <v>147</v>
      </c>
      <c r="J203" s="5" t="s">
        <v>148</v>
      </c>
      <c r="K203" s="5" t="str">
        <f t="shared" si="13"/>
        <v>THOMAS PARDUE</v>
      </c>
      <c r="L203" s="6">
        <v>45580</v>
      </c>
      <c r="M203" s="6">
        <v>45976</v>
      </c>
      <c r="N203" s="7">
        <v>46.36</v>
      </c>
      <c r="O203" s="5">
        <f t="shared" si="14"/>
        <v>13</v>
      </c>
      <c r="P203" s="5" t="s">
        <v>181</v>
      </c>
      <c r="Q203" s="5" t="s">
        <v>755</v>
      </c>
      <c r="R203" s="8">
        <v>0.15</v>
      </c>
      <c r="S203" s="5" t="s">
        <v>181</v>
      </c>
      <c r="T203" s="5" t="s">
        <v>182</v>
      </c>
      <c r="U203" s="7">
        <v>6.95</v>
      </c>
      <c r="V203" s="5" t="s">
        <v>125</v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</row>
    <row r="204" spans="1:53" x14ac:dyDescent="0.25">
      <c r="A204" s="5">
        <v>2025167144</v>
      </c>
      <c r="B204" s="5" t="s">
        <v>607</v>
      </c>
      <c r="C204" s="5" t="s">
        <v>608</v>
      </c>
      <c r="D204" s="5" t="str">
        <f t="shared" si="12"/>
        <v>CRISTINA RIVERA</v>
      </c>
      <c r="E204" s="5" t="s">
        <v>91</v>
      </c>
      <c r="F204" s="5" t="s">
        <v>116</v>
      </c>
      <c r="G204" s="5" t="s">
        <v>125</v>
      </c>
      <c r="H204" s="5">
        <v>371819</v>
      </c>
      <c r="I204" s="5" t="s">
        <v>147</v>
      </c>
      <c r="J204" s="5" t="s">
        <v>148</v>
      </c>
      <c r="K204" s="5" t="str">
        <f t="shared" si="13"/>
        <v>THOMAS PARDUE</v>
      </c>
      <c r="L204" s="6">
        <v>45581</v>
      </c>
      <c r="M204" s="6">
        <v>45977</v>
      </c>
      <c r="N204" s="7">
        <v>68.61</v>
      </c>
      <c r="O204" s="5">
        <f t="shared" si="14"/>
        <v>13</v>
      </c>
      <c r="P204" s="5" t="s">
        <v>181</v>
      </c>
      <c r="Q204" s="5" t="s">
        <v>755</v>
      </c>
      <c r="R204" s="8">
        <v>0.15</v>
      </c>
      <c r="S204" s="5" t="s">
        <v>181</v>
      </c>
      <c r="T204" s="5" t="s">
        <v>182</v>
      </c>
      <c r="U204" s="7">
        <v>10.29</v>
      </c>
      <c r="V204" s="5" t="s">
        <v>125</v>
      </c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</row>
    <row r="205" spans="1:53" x14ac:dyDescent="0.25">
      <c r="A205" s="5">
        <v>2025167151</v>
      </c>
      <c r="B205" s="5" t="s">
        <v>609</v>
      </c>
      <c r="C205" s="5" t="s">
        <v>610</v>
      </c>
      <c r="D205" s="5" t="str">
        <f t="shared" si="12"/>
        <v>SID DAMIAN</v>
      </c>
      <c r="E205" s="5" t="s">
        <v>91</v>
      </c>
      <c r="F205" s="5" t="s">
        <v>116</v>
      </c>
      <c r="G205" s="5" t="s">
        <v>125</v>
      </c>
      <c r="H205" s="5">
        <v>371819</v>
      </c>
      <c r="I205" s="5" t="s">
        <v>147</v>
      </c>
      <c r="J205" s="5" t="s">
        <v>148</v>
      </c>
      <c r="K205" s="5" t="str">
        <f t="shared" si="13"/>
        <v>THOMAS PARDUE</v>
      </c>
      <c r="L205" s="6">
        <v>45581</v>
      </c>
      <c r="M205" s="6">
        <v>45977</v>
      </c>
      <c r="N205" s="7">
        <v>109.36</v>
      </c>
      <c r="O205" s="5">
        <f t="shared" si="14"/>
        <v>13</v>
      </c>
      <c r="P205" s="5" t="s">
        <v>181</v>
      </c>
      <c r="Q205" s="5" t="s">
        <v>755</v>
      </c>
      <c r="R205" s="8">
        <v>0.15</v>
      </c>
      <c r="S205" s="5" t="s">
        <v>181</v>
      </c>
      <c r="T205" s="5" t="s">
        <v>182</v>
      </c>
      <c r="U205" s="7">
        <v>16.399999999999999</v>
      </c>
      <c r="V205" s="5" t="s">
        <v>125</v>
      </c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</row>
    <row r="206" spans="1:53" x14ac:dyDescent="0.25">
      <c r="A206" s="5">
        <v>2025316508</v>
      </c>
      <c r="B206" s="5" t="s">
        <v>237</v>
      </c>
      <c r="C206" s="5" t="s">
        <v>238</v>
      </c>
      <c r="D206" s="5" t="str">
        <f t="shared" si="12"/>
        <v>JORDAN ROWELL</v>
      </c>
      <c r="E206" s="5" t="s">
        <v>219</v>
      </c>
      <c r="F206" s="5" t="s">
        <v>92</v>
      </c>
      <c r="G206" s="5" t="s">
        <v>93</v>
      </c>
      <c r="H206" s="5">
        <v>371819</v>
      </c>
      <c r="I206" s="5" t="s">
        <v>147</v>
      </c>
      <c r="J206" s="5" t="s">
        <v>148</v>
      </c>
      <c r="K206" s="5" t="str">
        <f t="shared" si="13"/>
        <v>THOMAS PARDUE</v>
      </c>
      <c r="L206" s="6">
        <v>45580</v>
      </c>
      <c r="M206" s="6">
        <v>45976</v>
      </c>
      <c r="N206" s="7">
        <v>14.84</v>
      </c>
      <c r="O206" s="5">
        <f t="shared" si="14"/>
        <v>13</v>
      </c>
      <c r="P206" s="5" t="s">
        <v>181</v>
      </c>
      <c r="Q206" s="5" t="s">
        <v>755</v>
      </c>
      <c r="R206" s="8">
        <v>0.06</v>
      </c>
      <c r="S206" s="5" t="s">
        <v>181</v>
      </c>
      <c r="T206" s="5" t="s">
        <v>182</v>
      </c>
      <c r="U206" s="7">
        <v>0.89</v>
      </c>
      <c r="V206" s="5" t="s">
        <v>93</v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</row>
    <row r="207" spans="1:53" x14ac:dyDescent="0.25">
      <c r="A207" s="5">
        <v>2025287064</v>
      </c>
      <c r="B207" s="5" t="s">
        <v>235</v>
      </c>
      <c r="C207" s="5" t="s">
        <v>236</v>
      </c>
      <c r="D207" s="5" t="str">
        <f t="shared" si="12"/>
        <v>ZARIYAH JEFFRIES</v>
      </c>
      <c r="E207" s="5" t="s">
        <v>52</v>
      </c>
      <c r="F207" s="5" t="s">
        <v>92</v>
      </c>
      <c r="G207" s="5" t="s">
        <v>93</v>
      </c>
      <c r="H207" s="5">
        <v>371819</v>
      </c>
      <c r="I207" s="5" t="s">
        <v>147</v>
      </c>
      <c r="J207" s="5" t="s">
        <v>148</v>
      </c>
      <c r="K207" s="5" t="str">
        <f t="shared" si="13"/>
        <v>THOMAS PARDUE</v>
      </c>
      <c r="L207" s="6">
        <v>45577</v>
      </c>
      <c r="M207" s="6">
        <v>45973</v>
      </c>
      <c r="N207" s="7">
        <v>18.25</v>
      </c>
      <c r="O207" s="5">
        <f t="shared" si="14"/>
        <v>13</v>
      </c>
      <c r="P207" s="5" t="s">
        <v>181</v>
      </c>
      <c r="Q207" s="5" t="s">
        <v>755</v>
      </c>
      <c r="R207" s="8">
        <v>0.06</v>
      </c>
      <c r="S207" s="5" t="s">
        <v>181</v>
      </c>
      <c r="T207" s="5" t="s">
        <v>182</v>
      </c>
      <c r="U207" s="7">
        <v>1.1000000000000001</v>
      </c>
      <c r="V207" s="5" t="s">
        <v>93</v>
      </c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</row>
    <row r="208" spans="1:53" x14ac:dyDescent="0.25">
      <c r="A208" s="5">
        <v>2025254889</v>
      </c>
      <c r="B208" s="5" t="s">
        <v>230</v>
      </c>
      <c r="C208" s="5" t="s">
        <v>231</v>
      </c>
      <c r="D208" s="5" t="str">
        <f t="shared" si="12"/>
        <v>KRISTIN DICKINSON</v>
      </c>
      <c r="E208" s="5" t="s">
        <v>130</v>
      </c>
      <c r="F208" s="5" t="s">
        <v>92</v>
      </c>
      <c r="G208" s="5" t="s">
        <v>93</v>
      </c>
      <c r="H208" s="5">
        <v>371819</v>
      </c>
      <c r="I208" s="5" t="s">
        <v>147</v>
      </c>
      <c r="J208" s="5" t="s">
        <v>148</v>
      </c>
      <c r="K208" s="5" t="str">
        <f t="shared" si="13"/>
        <v>THOMAS PARDUE</v>
      </c>
      <c r="L208" s="6">
        <v>45576</v>
      </c>
      <c r="M208" s="6">
        <v>45972</v>
      </c>
      <c r="N208" s="7">
        <v>23.54</v>
      </c>
      <c r="O208" s="5">
        <f t="shared" si="14"/>
        <v>13</v>
      </c>
      <c r="P208" s="5" t="s">
        <v>181</v>
      </c>
      <c r="Q208" s="5" t="s">
        <v>755</v>
      </c>
      <c r="R208" s="8">
        <v>0.06</v>
      </c>
      <c r="S208" s="5" t="s">
        <v>181</v>
      </c>
      <c r="T208" s="5" t="s">
        <v>182</v>
      </c>
      <c r="U208" s="7">
        <v>1.41</v>
      </c>
      <c r="V208" s="5" t="s">
        <v>93</v>
      </c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</row>
    <row r="209" spans="1:54" x14ac:dyDescent="0.25">
      <c r="A209" s="5">
        <v>2025265267</v>
      </c>
      <c r="B209" s="5" t="s">
        <v>612</v>
      </c>
      <c r="C209" s="5" t="s">
        <v>613</v>
      </c>
      <c r="D209" s="5" t="str">
        <f t="shared" si="12"/>
        <v>AUSTIN BAKER</v>
      </c>
      <c r="E209" s="5" t="s">
        <v>91</v>
      </c>
      <c r="F209" s="5" t="s">
        <v>116</v>
      </c>
      <c r="G209" s="5" t="s">
        <v>120</v>
      </c>
      <c r="H209" s="5">
        <v>371819</v>
      </c>
      <c r="I209" s="5" t="s">
        <v>147</v>
      </c>
      <c r="J209" s="5" t="s">
        <v>148</v>
      </c>
      <c r="K209" s="5" t="str">
        <f t="shared" si="13"/>
        <v>THOMAS PARDUE</v>
      </c>
      <c r="L209" s="6">
        <v>45576</v>
      </c>
      <c r="M209" s="6">
        <v>45972</v>
      </c>
      <c r="N209" s="7">
        <v>10.31</v>
      </c>
      <c r="O209" s="5">
        <f t="shared" si="14"/>
        <v>13</v>
      </c>
      <c r="P209" s="5" t="s">
        <v>181</v>
      </c>
      <c r="Q209" s="5" t="s">
        <v>755</v>
      </c>
      <c r="R209" s="8">
        <v>0.1</v>
      </c>
      <c r="S209" s="5" t="s">
        <v>181</v>
      </c>
      <c r="T209" s="5" t="s">
        <v>182</v>
      </c>
      <c r="U209" s="7">
        <v>1.03</v>
      </c>
      <c r="V209" s="5" t="s">
        <v>120</v>
      </c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</row>
    <row r="210" spans="1:54" x14ac:dyDescent="0.25">
      <c r="A210" s="5">
        <v>2025254891</v>
      </c>
      <c r="B210" s="5" t="s">
        <v>230</v>
      </c>
      <c r="C210" s="5" t="s">
        <v>231</v>
      </c>
      <c r="D210" s="5" t="str">
        <f t="shared" si="12"/>
        <v>KRISTIN DICKINSON</v>
      </c>
      <c r="E210" s="5" t="s">
        <v>130</v>
      </c>
      <c r="F210" s="5" t="s">
        <v>116</v>
      </c>
      <c r="G210" s="5" t="s">
        <v>120</v>
      </c>
      <c r="H210" s="5">
        <v>371819</v>
      </c>
      <c r="I210" s="5" t="s">
        <v>147</v>
      </c>
      <c r="J210" s="5" t="s">
        <v>148</v>
      </c>
      <c r="K210" s="5" t="str">
        <f t="shared" si="13"/>
        <v>THOMAS PARDUE</v>
      </c>
      <c r="L210" s="6">
        <v>45576</v>
      </c>
      <c r="M210" s="6">
        <v>45972</v>
      </c>
      <c r="N210" s="7">
        <v>19.28</v>
      </c>
      <c r="O210" s="5">
        <f t="shared" si="14"/>
        <v>13</v>
      </c>
      <c r="P210" s="5" t="s">
        <v>181</v>
      </c>
      <c r="Q210" s="5" t="s">
        <v>755</v>
      </c>
      <c r="R210" s="8">
        <v>0.1</v>
      </c>
      <c r="S210" s="5" t="s">
        <v>181</v>
      </c>
      <c r="T210" s="5" t="s">
        <v>182</v>
      </c>
      <c r="U210" s="7">
        <v>1.93</v>
      </c>
      <c r="V210" s="5" t="s">
        <v>120</v>
      </c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</row>
    <row r="211" spans="1:54" x14ac:dyDescent="0.25">
      <c r="A211" s="5">
        <v>2025265220</v>
      </c>
      <c r="B211" s="5" t="s">
        <v>212</v>
      </c>
      <c r="C211" s="5" t="s">
        <v>611</v>
      </c>
      <c r="D211" s="5" t="str">
        <f t="shared" si="12"/>
        <v>LYNNA JOHNSON</v>
      </c>
      <c r="E211" s="5" t="s">
        <v>91</v>
      </c>
      <c r="F211" s="5" t="s">
        <v>116</v>
      </c>
      <c r="G211" s="5" t="s">
        <v>120</v>
      </c>
      <c r="H211" s="5">
        <v>371819</v>
      </c>
      <c r="I211" s="5" t="s">
        <v>147</v>
      </c>
      <c r="J211" s="5" t="s">
        <v>148</v>
      </c>
      <c r="K211" s="5" t="str">
        <f t="shared" si="13"/>
        <v>THOMAS PARDUE</v>
      </c>
      <c r="L211" s="6">
        <v>45576</v>
      </c>
      <c r="M211" s="6">
        <v>45972</v>
      </c>
      <c r="N211" s="7">
        <v>27.81</v>
      </c>
      <c r="O211" s="5">
        <f t="shared" si="14"/>
        <v>13</v>
      </c>
      <c r="P211" s="5" t="s">
        <v>181</v>
      </c>
      <c r="Q211" s="5" t="s">
        <v>755</v>
      </c>
      <c r="R211" s="8">
        <v>0.1</v>
      </c>
      <c r="S211" s="5" t="s">
        <v>181</v>
      </c>
      <c r="T211" s="5" t="s">
        <v>182</v>
      </c>
      <c r="U211" s="7">
        <v>2.78</v>
      </c>
      <c r="V211" s="5" t="s">
        <v>120</v>
      </c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</row>
    <row r="212" spans="1:54" x14ac:dyDescent="0.25">
      <c r="A212" s="5">
        <v>2024834573</v>
      </c>
      <c r="B212" s="5" t="s">
        <v>229</v>
      </c>
      <c r="C212" s="5" t="s">
        <v>194</v>
      </c>
      <c r="D212" s="5" t="str">
        <f t="shared" si="12"/>
        <v>SARAH PHILLIPS</v>
      </c>
      <c r="E212" s="5" t="s">
        <v>102</v>
      </c>
      <c r="F212" s="5" t="s">
        <v>53</v>
      </c>
      <c r="G212" s="5" t="s">
        <v>70</v>
      </c>
      <c r="H212" s="5">
        <v>371819</v>
      </c>
      <c r="I212" s="5" t="s">
        <v>147</v>
      </c>
      <c r="J212" s="5" t="s">
        <v>148</v>
      </c>
      <c r="K212" s="5" t="str">
        <f t="shared" si="13"/>
        <v>THOMAS PARDUE</v>
      </c>
      <c r="L212" s="6">
        <v>45549</v>
      </c>
      <c r="M212" s="6">
        <v>45975</v>
      </c>
      <c r="N212" s="7">
        <v>41.42</v>
      </c>
      <c r="O212" s="5">
        <f t="shared" si="14"/>
        <v>14</v>
      </c>
      <c r="P212" s="5" t="s">
        <v>181</v>
      </c>
      <c r="Q212" s="5" t="s">
        <v>755</v>
      </c>
      <c r="R212" s="8">
        <v>0.1</v>
      </c>
      <c r="S212" s="5" t="s">
        <v>181</v>
      </c>
      <c r="T212" s="5" t="s">
        <v>182</v>
      </c>
      <c r="U212" s="7">
        <v>4.1399999999999997</v>
      </c>
      <c r="V212" s="5" t="s">
        <v>752</v>
      </c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</row>
    <row r="213" spans="1:54" x14ac:dyDescent="0.25">
      <c r="A213" s="5">
        <v>2024895605</v>
      </c>
      <c r="B213" s="5" t="s">
        <v>606</v>
      </c>
      <c r="C213" s="5" t="s">
        <v>90</v>
      </c>
      <c r="D213" s="5" t="str">
        <f t="shared" si="12"/>
        <v>JOHN CAROLL</v>
      </c>
      <c r="E213" s="5" t="s">
        <v>91</v>
      </c>
      <c r="F213" s="5" t="s">
        <v>116</v>
      </c>
      <c r="G213" s="5" t="s">
        <v>125</v>
      </c>
      <c r="H213" s="5">
        <v>371819</v>
      </c>
      <c r="I213" s="5" t="s">
        <v>147</v>
      </c>
      <c r="J213" s="5" t="s">
        <v>148</v>
      </c>
      <c r="K213" s="5" t="str">
        <f t="shared" si="13"/>
        <v>THOMAS PARDUE</v>
      </c>
      <c r="L213" s="6">
        <v>45552</v>
      </c>
      <c r="M213" s="6">
        <v>45978</v>
      </c>
      <c r="N213" s="7">
        <v>60.4</v>
      </c>
      <c r="O213" s="5">
        <f t="shared" si="14"/>
        <v>14</v>
      </c>
      <c r="P213" s="5" t="s">
        <v>181</v>
      </c>
      <c r="Q213" s="5" t="s">
        <v>755</v>
      </c>
      <c r="R213" s="8">
        <v>0.15</v>
      </c>
      <c r="S213" s="5" t="s">
        <v>181</v>
      </c>
      <c r="T213" s="5" t="s">
        <v>182</v>
      </c>
      <c r="U213" s="7">
        <v>9.06</v>
      </c>
      <c r="V213" s="5" t="s">
        <v>125</v>
      </c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</row>
    <row r="214" spans="1:54" s="5" customFormat="1" x14ac:dyDescent="0.25">
      <c r="A214" s="5">
        <v>2024834572</v>
      </c>
      <c r="B214" s="5" t="s">
        <v>229</v>
      </c>
      <c r="C214" s="5" t="s">
        <v>194</v>
      </c>
      <c r="D214" s="5" t="str">
        <f t="shared" si="12"/>
        <v>SARAH PHILLIPS</v>
      </c>
      <c r="E214" s="5" t="s">
        <v>102</v>
      </c>
      <c r="F214" s="5" t="s">
        <v>116</v>
      </c>
      <c r="G214" s="5" t="s">
        <v>125</v>
      </c>
      <c r="H214" s="5">
        <v>371819</v>
      </c>
      <c r="I214" s="5" t="s">
        <v>147</v>
      </c>
      <c r="J214" s="5" t="s">
        <v>148</v>
      </c>
      <c r="K214" s="5" t="str">
        <f t="shared" si="13"/>
        <v>THOMAS PARDUE</v>
      </c>
      <c r="L214" s="6">
        <v>45549</v>
      </c>
      <c r="M214" s="6">
        <v>45975</v>
      </c>
      <c r="N214" s="7">
        <v>87.77</v>
      </c>
      <c r="O214" s="5">
        <f t="shared" si="14"/>
        <v>14</v>
      </c>
      <c r="P214" s="5" t="s">
        <v>181</v>
      </c>
      <c r="Q214" s="5" t="s">
        <v>755</v>
      </c>
      <c r="R214" s="8">
        <v>0.15</v>
      </c>
      <c r="S214" s="5" t="s">
        <v>181</v>
      </c>
      <c r="T214" s="5" t="s">
        <v>182</v>
      </c>
      <c r="U214" s="7">
        <v>13.17</v>
      </c>
      <c r="V214" s="5" t="s">
        <v>125</v>
      </c>
      <c r="BB214"/>
    </row>
    <row r="215" spans="1:54" x14ac:dyDescent="0.25">
      <c r="A215" s="5">
        <v>2024865456</v>
      </c>
      <c r="B215" s="5" t="s">
        <v>410</v>
      </c>
      <c r="C215" s="5" t="s">
        <v>258</v>
      </c>
      <c r="D215" s="5" t="str">
        <f t="shared" si="12"/>
        <v>JAMES JENNINGS</v>
      </c>
      <c r="E215" s="5" t="s">
        <v>411</v>
      </c>
      <c r="F215" s="5" t="s">
        <v>92</v>
      </c>
      <c r="G215" s="5" t="s">
        <v>93</v>
      </c>
      <c r="H215" s="5">
        <v>371819</v>
      </c>
      <c r="I215" s="5" t="s">
        <v>147</v>
      </c>
      <c r="J215" s="5" t="s">
        <v>148</v>
      </c>
      <c r="K215" s="5" t="str">
        <f t="shared" si="13"/>
        <v>THOMAS PARDUE</v>
      </c>
      <c r="L215" s="6">
        <v>45549</v>
      </c>
      <c r="M215" s="6">
        <v>45975</v>
      </c>
      <c r="N215" s="7">
        <v>27.67</v>
      </c>
      <c r="O215" s="5">
        <f t="shared" si="14"/>
        <v>14</v>
      </c>
      <c r="P215" s="5" t="s">
        <v>181</v>
      </c>
      <c r="Q215" s="5" t="s">
        <v>755</v>
      </c>
      <c r="R215" s="8">
        <v>0.06</v>
      </c>
      <c r="S215" s="5" t="s">
        <v>181</v>
      </c>
      <c r="T215" s="5" t="s">
        <v>182</v>
      </c>
      <c r="U215" s="7">
        <v>1.66</v>
      </c>
      <c r="V215" s="5" t="s">
        <v>93</v>
      </c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</row>
    <row r="216" spans="1:54" x14ac:dyDescent="0.25">
      <c r="A216" s="5">
        <v>2024834571</v>
      </c>
      <c r="B216" s="5" t="s">
        <v>229</v>
      </c>
      <c r="C216" s="5" t="s">
        <v>194</v>
      </c>
      <c r="D216" s="5" t="str">
        <f t="shared" si="12"/>
        <v>SARAH PHILLIPS</v>
      </c>
      <c r="E216" s="5" t="s">
        <v>102</v>
      </c>
      <c r="F216" s="5" t="s">
        <v>92</v>
      </c>
      <c r="G216" s="5" t="s">
        <v>93</v>
      </c>
      <c r="H216" s="5">
        <v>371819</v>
      </c>
      <c r="I216" s="5" t="s">
        <v>147</v>
      </c>
      <c r="J216" s="5" t="s">
        <v>148</v>
      </c>
      <c r="K216" s="5" t="str">
        <f t="shared" si="13"/>
        <v>THOMAS PARDUE</v>
      </c>
      <c r="L216" s="6">
        <v>45549</v>
      </c>
      <c r="M216" s="6">
        <v>45975</v>
      </c>
      <c r="N216" s="7">
        <v>75.599999999999994</v>
      </c>
      <c r="O216" s="5">
        <f t="shared" si="14"/>
        <v>14</v>
      </c>
      <c r="P216" s="5" t="s">
        <v>181</v>
      </c>
      <c r="Q216" s="5" t="s">
        <v>755</v>
      </c>
      <c r="R216" s="8">
        <v>0.06</v>
      </c>
      <c r="S216" s="5" t="s">
        <v>181</v>
      </c>
      <c r="T216" s="5" t="s">
        <v>182</v>
      </c>
      <c r="U216" s="7">
        <v>4.54</v>
      </c>
      <c r="V216" s="5" t="s">
        <v>93</v>
      </c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</row>
    <row r="217" spans="1:54" x14ac:dyDescent="0.25">
      <c r="A217" s="5">
        <v>2024864177</v>
      </c>
      <c r="B217" s="5" t="s">
        <v>604</v>
      </c>
      <c r="C217" s="5" t="s">
        <v>605</v>
      </c>
      <c r="D217" s="5" t="str">
        <f t="shared" si="12"/>
        <v>CHRISTA CONINO</v>
      </c>
      <c r="E217" s="5" t="s">
        <v>91</v>
      </c>
      <c r="F217" s="5" t="s">
        <v>116</v>
      </c>
      <c r="G217" s="5" t="s">
        <v>120</v>
      </c>
      <c r="H217" s="5">
        <v>371819</v>
      </c>
      <c r="I217" s="5" t="s">
        <v>147</v>
      </c>
      <c r="J217" s="5" t="s">
        <v>148</v>
      </c>
      <c r="K217" s="5" t="str">
        <f t="shared" si="13"/>
        <v>THOMAS PARDUE</v>
      </c>
      <c r="L217" s="6">
        <v>45549</v>
      </c>
      <c r="M217" s="6">
        <v>45975</v>
      </c>
      <c r="N217" s="7">
        <v>19.309999999999999</v>
      </c>
      <c r="O217" s="5">
        <f t="shared" si="14"/>
        <v>14</v>
      </c>
      <c r="P217" s="5" t="s">
        <v>181</v>
      </c>
      <c r="Q217" s="5" t="s">
        <v>755</v>
      </c>
      <c r="R217" s="8">
        <v>0.1</v>
      </c>
      <c r="S217" s="5" t="s">
        <v>181</v>
      </c>
      <c r="T217" s="5" t="s">
        <v>182</v>
      </c>
      <c r="U217" s="7">
        <v>1.93</v>
      </c>
      <c r="V217" s="5" t="s">
        <v>120</v>
      </c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</row>
    <row r="218" spans="1:54" x14ac:dyDescent="0.25">
      <c r="A218" s="5">
        <v>2024356429</v>
      </c>
      <c r="B218" s="5" t="s">
        <v>408</v>
      </c>
      <c r="C218" s="5" t="s">
        <v>409</v>
      </c>
      <c r="D218" s="5" t="str">
        <f t="shared" si="12"/>
        <v>SEAN KAPANGA</v>
      </c>
      <c r="E218" s="5" t="s">
        <v>78</v>
      </c>
      <c r="F218" s="5" t="s">
        <v>116</v>
      </c>
      <c r="G218" s="5" t="s">
        <v>125</v>
      </c>
      <c r="H218" s="5">
        <v>371819</v>
      </c>
      <c r="I218" s="5" t="s">
        <v>147</v>
      </c>
      <c r="J218" s="5" t="s">
        <v>148</v>
      </c>
      <c r="K218" s="5" t="str">
        <f t="shared" si="13"/>
        <v>THOMAS PARDUE</v>
      </c>
      <c r="L218" s="6">
        <v>45517</v>
      </c>
      <c r="M218" s="6">
        <v>45974</v>
      </c>
      <c r="N218" s="7">
        <v>28.9</v>
      </c>
      <c r="O218" s="5">
        <f t="shared" si="14"/>
        <v>15</v>
      </c>
      <c r="P218" s="5" t="s">
        <v>181</v>
      </c>
      <c r="Q218" s="5" t="s">
        <v>755</v>
      </c>
      <c r="R218" s="8">
        <v>0.15</v>
      </c>
      <c r="S218" s="5" t="s">
        <v>181</v>
      </c>
      <c r="T218" s="5" t="s">
        <v>182</v>
      </c>
      <c r="U218" s="7">
        <v>4.34</v>
      </c>
      <c r="V218" s="5" t="s">
        <v>125</v>
      </c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</row>
    <row r="219" spans="1:54" s="5" customFormat="1" x14ac:dyDescent="0.25">
      <c r="A219" s="5">
        <v>2024356430</v>
      </c>
      <c r="B219" s="5" t="s">
        <v>408</v>
      </c>
      <c r="C219" s="5" t="s">
        <v>409</v>
      </c>
      <c r="D219" s="5" t="str">
        <f t="shared" si="12"/>
        <v>SEAN KAPANGA</v>
      </c>
      <c r="E219" s="5" t="s">
        <v>78</v>
      </c>
      <c r="F219" s="5" t="s">
        <v>92</v>
      </c>
      <c r="G219" s="5" t="s">
        <v>93</v>
      </c>
      <c r="H219" s="5">
        <v>371819</v>
      </c>
      <c r="I219" s="5" t="s">
        <v>147</v>
      </c>
      <c r="J219" s="5" t="s">
        <v>148</v>
      </c>
      <c r="K219" s="5" t="str">
        <f t="shared" si="13"/>
        <v>THOMAS PARDUE</v>
      </c>
      <c r="L219" s="6">
        <v>45517</v>
      </c>
      <c r="M219" s="6">
        <v>45974</v>
      </c>
      <c r="N219" s="7">
        <v>27.22</v>
      </c>
      <c r="O219" s="5">
        <f t="shared" si="14"/>
        <v>15</v>
      </c>
      <c r="P219" s="5" t="s">
        <v>181</v>
      </c>
      <c r="Q219" s="5" t="s">
        <v>755</v>
      </c>
      <c r="R219" s="8">
        <v>0.06</v>
      </c>
      <c r="S219" s="5" t="s">
        <v>181</v>
      </c>
      <c r="T219" s="5" t="s">
        <v>182</v>
      </c>
      <c r="U219" s="7">
        <v>1.63</v>
      </c>
      <c r="V219" s="5" t="s">
        <v>93</v>
      </c>
      <c r="BB219"/>
    </row>
    <row r="220" spans="1:54" s="5" customFormat="1" x14ac:dyDescent="0.25">
      <c r="A220" s="5">
        <v>2023780744</v>
      </c>
      <c r="B220" s="5" t="s">
        <v>597</v>
      </c>
      <c r="C220" s="5" t="s">
        <v>598</v>
      </c>
      <c r="D220" s="5" t="str">
        <f t="shared" si="12"/>
        <v>ROBERTA PAROTTO</v>
      </c>
      <c r="E220" s="5" t="s">
        <v>78</v>
      </c>
      <c r="F220" s="5" t="s">
        <v>116</v>
      </c>
      <c r="G220" s="5" t="s">
        <v>125</v>
      </c>
      <c r="H220" s="5">
        <v>19645587</v>
      </c>
      <c r="I220" s="5" t="s">
        <v>547</v>
      </c>
      <c r="J220" s="5" t="s">
        <v>165</v>
      </c>
      <c r="K220" s="5" t="str">
        <f t="shared" si="13"/>
        <v>STACEY PORTUGAL</v>
      </c>
      <c r="L220" s="6">
        <v>45476</v>
      </c>
      <c r="M220" s="6">
        <v>45964</v>
      </c>
      <c r="N220" s="7">
        <v>-13.69</v>
      </c>
      <c r="O220" s="5">
        <f t="shared" si="14"/>
        <v>16</v>
      </c>
      <c r="P220" s="5" t="s">
        <v>181</v>
      </c>
      <c r="Q220" s="5" t="s">
        <v>755</v>
      </c>
      <c r="R220" s="8">
        <v>0.15</v>
      </c>
      <c r="S220" s="5" t="s">
        <v>181</v>
      </c>
      <c r="T220" s="5" t="s">
        <v>182</v>
      </c>
      <c r="U220" s="7">
        <v>-2.0499999999999998</v>
      </c>
      <c r="V220" s="5" t="s">
        <v>125</v>
      </c>
    </row>
    <row r="221" spans="1:54" s="5" customFormat="1" x14ac:dyDescent="0.25">
      <c r="A221" s="5">
        <v>2020776384</v>
      </c>
      <c r="B221" s="5" t="s">
        <v>406</v>
      </c>
      <c r="C221" s="5" t="s">
        <v>407</v>
      </c>
      <c r="D221" s="5" t="str">
        <f t="shared" si="12"/>
        <v>SHANNON STANIECH</v>
      </c>
      <c r="E221" s="5" t="s">
        <v>189</v>
      </c>
      <c r="F221" s="5" t="s">
        <v>92</v>
      </c>
      <c r="G221" s="5" t="s">
        <v>93</v>
      </c>
      <c r="H221" s="5">
        <v>8971826</v>
      </c>
      <c r="I221" s="5" t="s">
        <v>402</v>
      </c>
      <c r="J221" s="5" t="s">
        <v>403</v>
      </c>
      <c r="K221" s="5" t="str">
        <f t="shared" si="13"/>
        <v>SCOTT AGUGLIA</v>
      </c>
      <c r="L221" s="6">
        <v>45244</v>
      </c>
      <c r="M221" s="6">
        <v>45975</v>
      </c>
      <c r="N221" s="7">
        <v>119.58</v>
      </c>
      <c r="O221" s="5">
        <f t="shared" si="14"/>
        <v>24</v>
      </c>
      <c r="P221" s="5" t="s">
        <v>181</v>
      </c>
      <c r="Q221" s="5" t="s">
        <v>755</v>
      </c>
      <c r="R221" s="8">
        <v>0.06</v>
      </c>
      <c r="S221" s="5" t="s">
        <v>181</v>
      </c>
      <c r="T221" s="5" t="s">
        <v>182</v>
      </c>
      <c r="U221" s="7">
        <v>7.17</v>
      </c>
      <c r="V221" s="5" t="s">
        <v>93</v>
      </c>
    </row>
    <row r="222" spans="1:54" s="5" customFormat="1" x14ac:dyDescent="0.25">
      <c r="A222" s="5">
        <v>2020037859</v>
      </c>
      <c r="B222" s="5" t="s">
        <v>401</v>
      </c>
      <c r="C222" s="5" t="s">
        <v>159</v>
      </c>
      <c r="D222" s="5" t="str">
        <f t="shared" si="12"/>
        <v>MICHAEL SCHAAL</v>
      </c>
      <c r="E222" s="5" t="s">
        <v>189</v>
      </c>
      <c r="F222" s="5" t="s">
        <v>92</v>
      </c>
      <c r="G222" s="5" t="s">
        <v>93</v>
      </c>
      <c r="H222" s="5">
        <v>8971826</v>
      </c>
      <c r="I222" s="5" t="s">
        <v>402</v>
      </c>
      <c r="J222" s="5" t="s">
        <v>403</v>
      </c>
      <c r="K222" s="5" t="str">
        <f t="shared" si="13"/>
        <v>SCOTT AGUGLIA</v>
      </c>
      <c r="L222" s="6">
        <v>45182</v>
      </c>
      <c r="M222" s="6">
        <v>45974</v>
      </c>
      <c r="N222" s="7">
        <v>151.88</v>
      </c>
      <c r="O222" s="5">
        <f t="shared" si="14"/>
        <v>26</v>
      </c>
      <c r="P222" s="5" t="s">
        <v>181</v>
      </c>
      <c r="Q222" s="5" t="s">
        <v>755</v>
      </c>
      <c r="R222" s="8">
        <v>0.06</v>
      </c>
      <c r="S222" s="5" t="s">
        <v>181</v>
      </c>
      <c r="T222" s="5" t="s">
        <v>182</v>
      </c>
      <c r="U222" s="7">
        <v>9.11</v>
      </c>
      <c r="V222" s="5" t="s">
        <v>93</v>
      </c>
    </row>
    <row r="223" spans="1:54" s="5" customFormat="1" x14ac:dyDescent="0.25">
      <c r="A223" s="5">
        <v>2019687400</v>
      </c>
      <c r="B223" s="5" t="s">
        <v>449</v>
      </c>
      <c r="C223" s="5" t="s">
        <v>450</v>
      </c>
      <c r="D223" s="5" t="str">
        <f t="shared" si="12"/>
        <v>TRACI BARTON</v>
      </c>
      <c r="E223" s="5" t="s">
        <v>189</v>
      </c>
      <c r="F223" s="5" t="s">
        <v>443</v>
      </c>
      <c r="G223" s="5" t="s">
        <v>444</v>
      </c>
      <c r="H223" s="5">
        <v>19562245</v>
      </c>
      <c r="I223" s="5" t="s">
        <v>451</v>
      </c>
      <c r="J223" s="5" t="s">
        <v>452</v>
      </c>
      <c r="K223" s="5" t="str">
        <f t="shared" si="13"/>
        <v>KELLY CARRYER</v>
      </c>
      <c r="L223" s="6">
        <v>45150</v>
      </c>
      <c r="M223" s="6">
        <v>45973</v>
      </c>
      <c r="N223" s="7">
        <v>64.540000000000006</v>
      </c>
      <c r="O223" s="5">
        <f t="shared" si="14"/>
        <v>27</v>
      </c>
      <c r="P223" s="5" t="s">
        <v>181</v>
      </c>
      <c r="Q223" s="5" t="s">
        <v>755</v>
      </c>
      <c r="R223" s="9">
        <v>5.2499999999999998E-2</v>
      </c>
      <c r="S223" s="5" t="s">
        <v>181</v>
      </c>
      <c r="T223" s="5" t="s">
        <v>182</v>
      </c>
      <c r="U223" s="7">
        <v>3.39</v>
      </c>
      <c r="V223" s="5" t="s">
        <v>444</v>
      </c>
    </row>
    <row r="224" spans="1:54" s="5" customFormat="1" x14ac:dyDescent="0.25">
      <c r="A224" s="5">
        <v>2017069747</v>
      </c>
      <c r="B224" s="5" t="s">
        <v>392</v>
      </c>
      <c r="C224" s="5" t="s">
        <v>159</v>
      </c>
      <c r="D224" s="5" t="str">
        <f t="shared" si="12"/>
        <v>MICHAEL DIGREGORIO</v>
      </c>
      <c r="E224" s="5" t="s">
        <v>189</v>
      </c>
      <c r="F224" s="5" t="s">
        <v>92</v>
      </c>
      <c r="G224" s="5" t="s">
        <v>93</v>
      </c>
      <c r="H224" s="5">
        <v>16509456</v>
      </c>
      <c r="I224" s="5" t="s">
        <v>222</v>
      </c>
      <c r="J224" s="5" t="s">
        <v>391</v>
      </c>
      <c r="K224" s="5" t="str">
        <f t="shared" si="13"/>
        <v>PETER RICHTER</v>
      </c>
      <c r="L224" s="6">
        <v>44909</v>
      </c>
      <c r="M224" s="6">
        <v>45975</v>
      </c>
      <c r="N224" s="7">
        <v>36.65</v>
      </c>
      <c r="O224" s="5">
        <f t="shared" si="14"/>
        <v>35</v>
      </c>
      <c r="P224" s="5" t="s">
        <v>181</v>
      </c>
      <c r="Q224" s="5" t="s">
        <v>755</v>
      </c>
      <c r="R224" s="8">
        <v>0.06</v>
      </c>
      <c r="S224" s="5" t="s">
        <v>181</v>
      </c>
      <c r="T224" s="5" t="s">
        <v>182</v>
      </c>
      <c r="U224" s="7">
        <v>2.2000000000000002</v>
      </c>
      <c r="V224" s="5" t="s">
        <v>93</v>
      </c>
    </row>
    <row r="225" spans="1:54" s="5" customFormat="1" x14ac:dyDescent="0.25">
      <c r="A225" s="5">
        <v>2016549422</v>
      </c>
      <c r="B225" s="5" t="s">
        <v>390</v>
      </c>
      <c r="C225" s="5" t="s">
        <v>327</v>
      </c>
      <c r="D225" s="5" t="str">
        <f t="shared" si="12"/>
        <v>JASON RISING</v>
      </c>
      <c r="E225" s="5" t="s">
        <v>189</v>
      </c>
      <c r="F225" s="5" t="s">
        <v>92</v>
      </c>
      <c r="G225" s="5" t="s">
        <v>93</v>
      </c>
      <c r="H225" s="5">
        <v>16509456</v>
      </c>
      <c r="I225" s="5" t="s">
        <v>222</v>
      </c>
      <c r="J225" s="5" t="s">
        <v>391</v>
      </c>
      <c r="K225" s="5" t="str">
        <f t="shared" si="13"/>
        <v>PETER RICHTER</v>
      </c>
      <c r="L225" s="6">
        <v>44849</v>
      </c>
      <c r="M225" s="6">
        <v>45976</v>
      </c>
      <c r="N225" s="7">
        <v>149.46</v>
      </c>
      <c r="O225" s="5">
        <f t="shared" si="14"/>
        <v>37</v>
      </c>
      <c r="P225" s="5" t="s">
        <v>181</v>
      </c>
      <c r="Q225" s="5" t="s">
        <v>755</v>
      </c>
      <c r="R225" s="8">
        <v>0.06</v>
      </c>
      <c r="S225" s="5" t="s">
        <v>181</v>
      </c>
      <c r="T225" s="5" t="s">
        <v>182</v>
      </c>
      <c r="U225" s="7">
        <v>8.9700000000000006</v>
      </c>
      <c r="V225" s="5" t="s">
        <v>93</v>
      </c>
    </row>
    <row r="226" spans="1:54" x14ac:dyDescent="0.25">
      <c r="A226">
        <v>2030924642</v>
      </c>
      <c r="B226" t="s">
        <v>338</v>
      </c>
      <c r="C226" t="s">
        <v>339</v>
      </c>
      <c r="D226" t="str">
        <f t="shared" si="12"/>
        <v>ANDRE PRINCETON</v>
      </c>
      <c r="E226" t="s">
        <v>312</v>
      </c>
      <c r="F226" t="s">
        <v>53</v>
      </c>
      <c r="G226" t="s">
        <v>54</v>
      </c>
      <c r="H226">
        <v>21564088</v>
      </c>
      <c r="I226" t="s">
        <v>340</v>
      </c>
      <c r="J226" t="s">
        <v>341</v>
      </c>
      <c r="K226" t="str">
        <f t="shared" si="13"/>
        <v>Jennifer Halsaver</v>
      </c>
      <c r="L226" s="1">
        <v>45911</v>
      </c>
      <c r="M226" s="1">
        <v>45972</v>
      </c>
      <c r="N226" s="2">
        <v>17.77</v>
      </c>
      <c r="O226">
        <f t="shared" si="14"/>
        <v>2</v>
      </c>
      <c r="P226" t="s">
        <v>181</v>
      </c>
      <c r="Q226" t="s">
        <v>755</v>
      </c>
      <c r="R226" s="3">
        <v>0.75</v>
      </c>
      <c r="S226" t="s">
        <v>60</v>
      </c>
      <c r="T226" t="s">
        <v>182</v>
      </c>
      <c r="U226" s="2">
        <v>13.33</v>
      </c>
      <c r="V226" t="s">
        <v>751</v>
      </c>
    </row>
    <row r="227" spans="1:54" s="10" customFormat="1" x14ac:dyDescent="0.25">
      <c r="A227">
        <v>2030932601</v>
      </c>
      <c r="B227" t="s">
        <v>342</v>
      </c>
      <c r="C227" t="s">
        <v>343</v>
      </c>
      <c r="D227" t="str">
        <f t="shared" si="12"/>
        <v>LISA WALL</v>
      </c>
      <c r="E227" t="s">
        <v>312</v>
      </c>
      <c r="F227" t="s">
        <v>53</v>
      </c>
      <c r="G227" t="s">
        <v>54</v>
      </c>
      <c r="H227">
        <v>21564088</v>
      </c>
      <c r="I227" t="s">
        <v>340</v>
      </c>
      <c r="J227" t="s">
        <v>341</v>
      </c>
      <c r="K227" t="str">
        <f t="shared" si="13"/>
        <v>Jennifer Halsaver</v>
      </c>
      <c r="L227" s="1">
        <v>45911</v>
      </c>
      <c r="M227" s="1">
        <v>45972</v>
      </c>
      <c r="N227" s="2">
        <v>18.489999999999998</v>
      </c>
      <c r="O227">
        <f t="shared" si="14"/>
        <v>2</v>
      </c>
      <c r="P227" t="s">
        <v>181</v>
      </c>
      <c r="Q227" t="s">
        <v>755</v>
      </c>
      <c r="R227" s="3">
        <v>0.75</v>
      </c>
      <c r="S227" t="s">
        <v>60</v>
      </c>
      <c r="T227" t="s">
        <v>182</v>
      </c>
      <c r="U227" s="2">
        <v>13.87</v>
      </c>
      <c r="V227" t="s">
        <v>751</v>
      </c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</row>
    <row r="228" spans="1:54" s="10" customFormat="1" x14ac:dyDescent="0.25">
      <c r="A228">
        <v>2030924643</v>
      </c>
      <c r="B228" t="s">
        <v>338</v>
      </c>
      <c r="C228" t="s">
        <v>339</v>
      </c>
      <c r="D228" t="str">
        <f t="shared" si="12"/>
        <v>ANDRE PRINCETON</v>
      </c>
      <c r="E228" t="s">
        <v>312</v>
      </c>
      <c r="F228" t="s">
        <v>79</v>
      </c>
      <c r="G228" t="s">
        <v>354</v>
      </c>
      <c r="H228">
        <v>21564088</v>
      </c>
      <c r="I228" t="s">
        <v>340</v>
      </c>
      <c r="J228" t="s">
        <v>341</v>
      </c>
      <c r="K228" t="str">
        <f t="shared" si="13"/>
        <v>Jennifer Halsaver</v>
      </c>
      <c r="L228" s="1">
        <v>45911</v>
      </c>
      <c r="M228" s="1">
        <v>45972</v>
      </c>
      <c r="N228" s="2">
        <v>15</v>
      </c>
      <c r="O228">
        <f t="shared" si="14"/>
        <v>2</v>
      </c>
      <c r="P228" t="s">
        <v>181</v>
      </c>
      <c r="Q228" t="s">
        <v>755</v>
      </c>
      <c r="R228" s="3">
        <v>0.19</v>
      </c>
      <c r="S228" t="s">
        <v>60</v>
      </c>
      <c r="T228" t="s">
        <v>182</v>
      </c>
      <c r="U228" s="2">
        <v>2.85</v>
      </c>
      <c r="V228" t="s">
        <v>354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</row>
    <row r="229" spans="1:54" s="10" customFormat="1" x14ac:dyDescent="0.25">
      <c r="A229">
        <v>2030932602</v>
      </c>
      <c r="B229" t="s">
        <v>342</v>
      </c>
      <c r="C229" t="s">
        <v>343</v>
      </c>
      <c r="D229" t="str">
        <f t="shared" si="12"/>
        <v>LISA WALL</v>
      </c>
      <c r="E229" t="s">
        <v>312</v>
      </c>
      <c r="F229" t="s">
        <v>79</v>
      </c>
      <c r="G229" t="s">
        <v>354</v>
      </c>
      <c r="H229">
        <v>21564088</v>
      </c>
      <c r="I229" t="s">
        <v>340</v>
      </c>
      <c r="J229" t="s">
        <v>341</v>
      </c>
      <c r="K229" t="str">
        <f t="shared" si="13"/>
        <v>Jennifer Halsaver</v>
      </c>
      <c r="L229" s="1">
        <v>45911</v>
      </c>
      <c r="M229" s="1">
        <v>45972</v>
      </c>
      <c r="N229" s="2">
        <v>15</v>
      </c>
      <c r="O229">
        <f t="shared" si="14"/>
        <v>2</v>
      </c>
      <c r="P229" t="s">
        <v>181</v>
      </c>
      <c r="Q229" t="s">
        <v>755</v>
      </c>
      <c r="R229" s="3">
        <v>0.19</v>
      </c>
      <c r="S229" t="s">
        <v>60</v>
      </c>
      <c r="T229" t="s">
        <v>182</v>
      </c>
      <c r="U229" s="2">
        <v>2.85</v>
      </c>
      <c r="V229" t="s">
        <v>354</v>
      </c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</row>
    <row r="230" spans="1:54" x14ac:dyDescent="0.25">
      <c r="A230">
        <v>2030739941</v>
      </c>
      <c r="B230" t="s">
        <v>148</v>
      </c>
      <c r="C230" t="s">
        <v>475</v>
      </c>
      <c r="D230" t="str">
        <f t="shared" si="12"/>
        <v>WILLIE THOMAS</v>
      </c>
      <c r="E230" t="s">
        <v>91</v>
      </c>
      <c r="F230" t="s">
        <v>443</v>
      </c>
      <c r="G230" t="s">
        <v>463</v>
      </c>
      <c r="H230">
        <v>8307933</v>
      </c>
      <c r="I230" t="s">
        <v>260</v>
      </c>
      <c r="J230" t="s">
        <v>261</v>
      </c>
      <c r="K230" t="str">
        <f t="shared" si="13"/>
        <v>GREGORY TEIPEL</v>
      </c>
      <c r="L230" s="1">
        <v>45906</v>
      </c>
      <c r="M230" s="1">
        <v>45967</v>
      </c>
      <c r="N230" s="2">
        <v>14.95</v>
      </c>
      <c r="O230">
        <f t="shared" si="14"/>
        <v>2</v>
      </c>
      <c r="P230" t="s">
        <v>181</v>
      </c>
      <c r="Q230" t="s">
        <v>755</v>
      </c>
      <c r="R230" s="3">
        <v>0.51</v>
      </c>
      <c r="S230" t="s">
        <v>60</v>
      </c>
      <c r="T230" t="s">
        <v>182</v>
      </c>
      <c r="U230" s="2">
        <v>7.62</v>
      </c>
      <c r="V230" t="s">
        <v>462</v>
      </c>
    </row>
    <row r="231" spans="1:54" x14ac:dyDescent="0.25">
      <c r="A231">
        <v>2030739940</v>
      </c>
      <c r="B231" t="s">
        <v>148</v>
      </c>
      <c r="C231" t="s">
        <v>475</v>
      </c>
      <c r="D231" t="str">
        <f t="shared" si="12"/>
        <v>WILLIE THOMAS</v>
      </c>
      <c r="E231" t="s">
        <v>91</v>
      </c>
      <c r="F231" t="s">
        <v>443</v>
      </c>
      <c r="G231" t="s">
        <v>462</v>
      </c>
      <c r="H231">
        <v>8307933</v>
      </c>
      <c r="I231" t="s">
        <v>260</v>
      </c>
      <c r="J231" t="s">
        <v>261</v>
      </c>
      <c r="K231" t="str">
        <f t="shared" si="13"/>
        <v>GREGORY TEIPEL</v>
      </c>
      <c r="L231" s="1">
        <v>45906</v>
      </c>
      <c r="M231" s="1">
        <v>45967</v>
      </c>
      <c r="N231" s="2">
        <v>176.78</v>
      </c>
      <c r="O231">
        <f t="shared" si="14"/>
        <v>2</v>
      </c>
      <c r="P231" t="s">
        <v>181</v>
      </c>
      <c r="Q231" t="s">
        <v>755</v>
      </c>
      <c r="R231" s="3">
        <v>0.51</v>
      </c>
      <c r="S231" t="s">
        <v>60</v>
      </c>
      <c r="T231" t="s">
        <v>182</v>
      </c>
      <c r="U231" s="2">
        <v>90.16</v>
      </c>
      <c r="V231" t="s">
        <v>462</v>
      </c>
      <c r="BB231" s="10"/>
    </row>
    <row r="232" spans="1:54" x14ac:dyDescent="0.25">
      <c r="A232">
        <v>2030924640</v>
      </c>
      <c r="B232" t="s">
        <v>338</v>
      </c>
      <c r="C232" t="s">
        <v>339</v>
      </c>
      <c r="D232" t="str">
        <f t="shared" si="12"/>
        <v>ANDRE PRINCETON</v>
      </c>
      <c r="E232" t="s">
        <v>312</v>
      </c>
      <c r="F232" t="s">
        <v>166</v>
      </c>
      <c r="G232" t="s">
        <v>438</v>
      </c>
      <c r="H232">
        <v>21564088</v>
      </c>
      <c r="I232" t="s">
        <v>340</v>
      </c>
      <c r="J232" t="s">
        <v>341</v>
      </c>
      <c r="K232" t="str">
        <f t="shared" si="13"/>
        <v>Jennifer Halsaver</v>
      </c>
      <c r="L232" s="1">
        <v>45911</v>
      </c>
      <c r="M232" s="1">
        <v>45972</v>
      </c>
      <c r="N232" s="2">
        <v>163.94</v>
      </c>
      <c r="O232">
        <f t="shared" si="14"/>
        <v>2</v>
      </c>
      <c r="P232" t="s">
        <v>181</v>
      </c>
      <c r="Q232" t="s">
        <v>755</v>
      </c>
      <c r="R232" s="3">
        <v>0.19</v>
      </c>
      <c r="S232" t="s">
        <v>60</v>
      </c>
      <c r="T232" t="s">
        <v>182</v>
      </c>
      <c r="U232" s="2">
        <v>31.15</v>
      </c>
      <c r="V232" t="s">
        <v>438</v>
      </c>
    </row>
    <row r="233" spans="1:54" x14ac:dyDescent="0.25">
      <c r="A233">
        <v>2030932599</v>
      </c>
      <c r="B233" t="s">
        <v>342</v>
      </c>
      <c r="C233" t="s">
        <v>343</v>
      </c>
      <c r="D233" t="str">
        <f t="shared" si="12"/>
        <v>LISA WALL</v>
      </c>
      <c r="E233" t="s">
        <v>312</v>
      </c>
      <c r="F233" t="s">
        <v>166</v>
      </c>
      <c r="G233" t="s">
        <v>438</v>
      </c>
      <c r="H233">
        <v>21564088</v>
      </c>
      <c r="I233" t="s">
        <v>340</v>
      </c>
      <c r="J233" t="s">
        <v>341</v>
      </c>
      <c r="K233" t="str">
        <f t="shared" si="13"/>
        <v>Jennifer Halsaver</v>
      </c>
      <c r="L233" s="1">
        <v>45911</v>
      </c>
      <c r="M233" s="1">
        <v>45972</v>
      </c>
      <c r="N233" s="2">
        <v>196.19</v>
      </c>
      <c r="O233">
        <f t="shared" si="14"/>
        <v>2</v>
      </c>
      <c r="P233" t="s">
        <v>181</v>
      </c>
      <c r="Q233" t="s">
        <v>755</v>
      </c>
      <c r="R233" s="3">
        <v>0.19</v>
      </c>
      <c r="S233" t="s">
        <v>60</v>
      </c>
      <c r="T233" t="s">
        <v>182</v>
      </c>
      <c r="U233" s="2">
        <v>37.28</v>
      </c>
      <c r="V233" t="s">
        <v>438</v>
      </c>
    </row>
    <row r="234" spans="1:54" x14ac:dyDescent="0.25">
      <c r="A234">
        <v>2031057793</v>
      </c>
      <c r="B234" t="s">
        <v>387</v>
      </c>
      <c r="C234" t="s">
        <v>90</v>
      </c>
      <c r="D234" t="str">
        <f t="shared" si="12"/>
        <v>JOHN ORT</v>
      </c>
      <c r="E234" t="s">
        <v>337</v>
      </c>
      <c r="F234" t="s">
        <v>79</v>
      </c>
      <c r="G234" t="s">
        <v>388</v>
      </c>
      <c r="H234">
        <v>20003537</v>
      </c>
      <c r="I234" t="s">
        <v>65</v>
      </c>
      <c r="J234" t="s">
        <v>81</v>
      </c>
      <c r="K234" t="str">
        <f t="shared" si="13"/>
        <v>Chad Yale</v>
      </c>
      <c r="L234" s="1">
        <v>45915</v>
      </c>
      <c r="M234" s="1">
        <v>45976</v>
      </c>
      <c r="N234" s="2">
        <v>15</v>
      </c>
      <c r="O234">
        <f t="shared" si="14"/>
        <v>2</v>
      </c>
      <c r="P234" t="s">
        <v>181</v>
      </c>
      <c r="Q234" t="s">
        <v>755</v>
      </c>
      <c r="R234" s="3">
        <v>0.27</v>
      </c>
      <c r="S234" t="s">
        <v>60</v>
      </c>
      <c r="T234" t="s">
        <v>182</v>
      </c>
      <c r="U234" s="2">
        <v>4.05</v>
      </c>
      <c r="V234" t="s">
        <v>758</v>
      </c>
      <c r="BB234" s="10"/>
    </row>
    <row r="235" spans="1:54" x14ac:dyDescent="0.25">
      <c r="A235">
        <v>2031057791</v>
      </c>
      <c r="B235" t="s">
        <v>387</v>
      </c>
      <c r="C235" t="s">
        <v>90</v>
      </c>
      <c r="D235" t="str">
        <f t="shared" si="12"/>
        <v>JOHN ORT</v>
      </c>
      <c r="E235" t="s">
        <v>337</v>
      </c>
      <c r="F235" t="s">
        <v>166</v>
      </c>
      <c r="G235" t="s">
        <v>440</v>
      </c>
      <c r="H235">
        <v>20003537</v>
      </c>
      <c r="I235" t="s">
        <v>65</v>
      </c>
      <c r="J235" t="s">
        <v>81</v>
      </c>
      <c r="K235" t="str">
        <f t="shared" si="13"/>
        <v>Chad Yale</v>
      </c>
      <c r="L235" s="1">
        <v>45915</v>
      </c>
      <c r="M235" s="1">
        <v>45976</v>
      </c>
      <c r="N235" s="2">
        <v>165.77</v>
      </c>
      <c r="O235">
        <f t="shared" si="14"/>
        <v>2</v>
      </c>
      <c r="P235" t="s">
        <v>181</v>
      </c>
      <c r="Q235" t="s">
        <v>755</v>
      </c>
      <c r="R235" s="3">
        <v>0.27</v>
      </c>
      <c r="S235" t="s">
        <v>60</v>
      </c>
      <c r="T235" t="s">
        <v>182</v>
      </c>
      <c r="U235" s="2">
        <v>44.76</v>
      </c>
      <c r="V235" t="s">
        <v>758</v>
      </c>
    </row>
    <row r="236" spans="1:54" x14ac:dyDescent="0.25">
      <c r="A236">
        <v>2030334040</v>
      </c>
      <c r="B236" t="s">
        <v>710</v>
      </c>
      <c r="C236" t="s">
        <v>711</v>
      </c>
      <c r="D236" t="str">
        <f t="shared" si="12"/>
        <v>GRACE SWEENEY</v>
      </c>
      <c r="E236" t="s">
        <v>712</v>
      </c>
      <c r="F236" t="s">
        <v>116</v>
      </c>
      <c r="G236" t="s">
        <v>125</v>
      </c>
      <c r="H236">
        <v>8307933</v>
      </c>
      <c r="I236" t="s">
        <v>260</v>
      </c>
      <c r="J236" t="s">
        <v>261</v>
      </c>
      <c r="K236" t="str">
        <f t="shared" si="13"/>
        <v>GREGORY TEIPEL</v>
      </c>
      <c r="L236" s="1">
        <v>45906</v>
      </c>
      <c r="M236" s="1">
        <v>45967</v>
      </c>
      <c r="N236" s="2">
        <v>-47.89</v>
      </c>
      <c r="O236">
        <f t="shared" si="14"/>
        <v>2</v>
      </c>
      <c r="P236" t="s">
        <v>181</v>
      </c>
      <c r="Q236" t="s">
        <v>755</v>
      </c>
      <c r="R236" s="3">
        <v>0.7</v>
      </c>
      <c r="S236" t="s">
        <v>60</v>
      </c>
      <c r="T236" t="s">
        <v>182</v>
      </c>
      <c r="U236" s="2">
        <v>-33.520000000000003</v>
      </c>
      <c r="V236" t="s">
        <v>125</v>
      </c>
    </row>
    <row r="237" spans="1:54" x14ac:dyDescent="0.25">
      <c r="A237">
        <v>2030986241</v>
      </c>
      <c r="B237" t="s">
        <v>430</v>
      </c>
      <c r="C237" t="s">
        <v>431</v>
      </c>
      <c r="D237" t="str">
        <f t="shared" si="12"/>
        <v>TEMPESTT LAFONTAINE</v>
      </c>
      <c r="E237" t="s">
        <v>91</v>
      </c>
      <c r="F237" t="s">
        <v>116</v>
      </c>
      <c r="G237" t="s">
        <v>125</v>
      </c>
      <c r="H237">
        <v>8977234</v>
      </c>
      <c r="I237" t="s">
        <v>55</v>
      </c>
      <c r="J237" t="s">
        <v>56</v>
      </c>
      <c r="K237" t="str">
        <f t="shared" si="13"/>
        <v>RYAN CALTAGIRONE</v>
      </c>
      <c r="L237" s="1">
        <v>45913</v>
      </c>
      <c r="M237" s="1">
        <v>45974</v>
      </c>
      <c r="N237" s="2">
        <v>13</v>
      </c>
      <c r="O237">
        <f t="shared" si="14"/>
        <v>2</v>
      </c>
      <c r="P237" t="s">
        <v>181</v>
      </c>
      <c r="Q237" t="s">
        <v>755</v>
      </c>
      <c r="R237" s="3">
        <v>0.7</v>
      </c>
      <c r="S237" t="s">
        <v>60</v>
      </c>
      <c r="T237" t="s">
        <v>182</v>
      </c>
      <c r="U237" s="2">
        <v>9.1</v>
      </c>
      <c r="V237" t="s">
        <v>125</v>
      </c>
    </row>
    <row r="238" spans="1:54" x14ac:dyDescent="0.25">
      <c r="A238">
        <v>2031057792</v>
      </c>
      <c r="B238" t="s">
        <v>387</v>
      </c>
      <c r="C238" t="s">
        <v>90</v>
      </c>
      <c r="D238" t="str">
        <f t="shared" si="12"/>
        <v>JOHN ORT</v>
      </c>
      <c r="E238" t="s">
        <v>337</v>
      </c>
      <c r="F238" t="s">
        <v>116</v>
      </c>
      <c r="G238" t="s">
        <v>125</v>
      </c>
      <c r="H238">
        <v>20003537</v>
      </c>
      <c r="I238" t="s">
        <v>65</v>
      </c>
      <c r="J238" t="s">
        <v>81</v>
      </c>
      <c r="K238" t="str">
        <f t="shared" si="13"/>
        <v>Chad Yale</v>
      </c>
      <c r="L238" s="1">
        <v>45915</v>
      </c>
      <c r="M238" s="1">
        <v>45976</v>
      </c>
      <c r="N238" s="2">
        <v>30.68</v>
      </c>
      <c r="O238">
        <f t="shared" si="14"/>
        <v>2</v>
      </c>
      <c r="P238" t="s">
        <v>181</v>
      </c>
      <c r="Q238" t="s">
        <v>755</v>
      </c>
      <c r="R238" s="3">
        <v>0.7</v>
      </c>
      <c r="S238" t="s">
        <v>60</v>
      </c>
      <c r="T238" t="s">
        <v>182</v>
      </c>
      <c r="U238" s="2">
        <v>21.48</v>
      </c>
      <c r="V238" t="s">
        <v>125</v>
      </c>
      <c r="BB238" s="10"/>
    </row>
    <row r="239" spans="1:54" x14ac:dyDescent="0.25">
      <c r="A239">
        <v>2030924641</v>
      </c>
      <c r="B239" t="s">
        <v>338</v>
      </c>
      <c r="C239" t="s">
        <v>339</v>
      </c>
      <c r="D239" t="str">
        <f t="shared" si="12"/>
        <v>ANDRE PRINCETON</v>
      </c>
      <c r="E239" t="s">
        <v>312</v>
      </c>
      <c r="F239" t="s">
        <v>116</v>
      </c>
      <c r="G239" t="s">
        <v>125</v>
      </c>
      <c r="H239">
        <v>21564088</v>
      </c>
      <c r="I239" t="s">
        <v>340</v>
      </c>
      <c r="J239" t="s">
        <v>341</v>
      </c>
      <c r="K239" t="str">
        <f t="shared" si="13"/>
        <v>Jennifer Halsaver</v>
      </c>
      <c r="L239" s="1">
        <v>45911</v>
      </c>
      <c r="M239" s="1">
        <v>45972</v>
      </c>
      <c r="N239" s="2">
        <v>65.48</v>
      </c>
      <c r="O239">
        <f t="shared" si="14"/>
        <v>2</v>
      </c>
      <c r="P239" t="s">
        <v>181</v>
      </c>
      <c r="Q239" t="s">
        <v>755</v>
      </c>
      <c r="R239" s="3">
        <v>0.7</v>
      </c>
      <c r="S239" t="s">
        <v>60</v>
      </c>
      <c r="T239" t="s">
        <v>182</v>
      </c>
      <c r="U239" s="2">
        <v>45.84</v>
      </c>
      <c r="V239" t="s">
        <v>125</v>
      </c>
    </row>
    <row r="240" spans="1:54" x14ac:dyDescent="0.25">
      <c r="A240">
        <v>2030932600</v>
      </c>
      <c r="B240" t="s">
        <v>342</v>
      </c>
      <c r="C240" t="s">
        <v>343</v>
      </c>
      <c r="D240" t="str">
        <f t="shared" si="12"/>
        <v>LISA WALL</v>
      </c>
      <c r="E240" t="s">
        <v>312</v>
      </c>
      <c r="F240" t="s">
        <v>116</v>
      </c>
      <c r="G240" t="s">
        <v>125</v>
      </c>
      <c r="H240">
        <v>21564088</v>
      </c>
      <c r="I240" t="s">
        <v>340</v>
      </c>
      <c r="J240" t="s">
        <v>341</v>
      </c>
      <c r="K240" t="str">
        <f t="shared" si="13"/>
        <v>Jennifer Halsaver</v>
      </c>
      <c r="L240" s="1">
        <v>45911</v>
      </c>
      <c r="M240" s="1">
        <v>45972</v>
      </c>
      <c r="N240" s="2">
        <v>65.48</v>
      </c>
      <c r="O240">
        <f t="shared" si="14"/>
        <v>2</v>
      </c>
      <c r="P240" t="s">
        <v>181</v>
      </c>
      <c r="Q240" t="s">
        <v>755</v>
      </c>
      <c r="R240" s="3">
        <v>0.7</v>
      </c>
      <c r="S240" t="s">
        <v>60</v>
      </c>
      <c r="T240" t="s">
        <v>182</v>
      </c>
      <c r="U240" s="2">
        <v>45.84</v>
      </c>
      <c r="V240" t="s">
        <v>125</v>
      </c>
    </row>
    <row r="241" spans="1:22" x14ac:dyDescent="0.25">
      <c r="A241">
        <v>2031047975</v>
      </c>
      <c r="B241" t="s">
        <v>432</v>
      </c>
      <c r="C241" t="s">
        <v>433</v>
      </c>
      <c r="D241" t="str">
        <f t="shared" si="12"/>
        <v>RENEE WILLEY</v>
      </c>
      <c r="E241" t="s">
        <v>91</v>
      </c>
      <c r="F241" t="s">
        <v>116</v>
      </c>
      <c r="G241" t="s">
        <v>125</v>
      </c>
      <c r="H241">
        <v>19279958</v>
      </c>
      <c r="I241" t="s">
        <v>216</v>
      </c>
      <c r="J241" t="s">
        <v>217</v>
      </c>
      <c r="K241" t="str">
        <f t="shared" si="13"/>
        <v>JARED KINYUA</v>
      </c>
      <c r="L241" s="1">
        <v>45914</v>
      </c>
      <c r="M241" s="1">
        <v>45975</v>
      </c>
      <c r="N241" s="2">
        <v>84.43</v>
      </c>
      <c r="O241">
        <f t="shared" si="14"/>
        <v>2</v>
      </c>
      <c r="P241" t="s">
        <v>181</v>
      </c>
      <c r="Q241" t="s">
        <v>755</v>
      </c>
      <c r="R241" s="3">
        <v>0.7</v>
      </c>
      <c r="S241" t="s">
        <v>60</v>
      </c>
      <c r="T241" t="s">
        <v>182</v>
      </c>
      <c r="U241" s="2">
        <v>59.1</v>
      </c>
      <c r="V241" t="s">
        <v>125</v>
      </c>
    </row>
    <row r="242" spans="1:22" x14ac:dyDescent="0.25">
      <c r="A242">
        <v>2030999705</v>
      </c>
      <c r="B242" t="s">
        <v>572</v>
      </c>
      <c r="C242" t="s">
        <v>573</v>
      </c>
      <c r="D242" t="str">
        <f t="shared" si="12"/>
        <v>RAJIV ZAVERI</v>
      </c>
      <c r="E242" t="s">
        <v>185</v>
      </c>
      <c r="F242" t="s">
        <v>92</v>
      </c>
      <c r="G242" t="s">
        <v>93</v>
      </c>
      <c r="H242">
        <v>8307933</v>
      </c>
      <c r="I242" t="s">
        <v>260</v>
      </c>
      <c r="J242" t="s">
        <v>261</v>
      </c>
      <c r="K242" t="str">
        <f t="shared" si="13"/>
        <v>GREGORY TEIPEL</v>
      </c>
      <c r="L242" s="1">
        <v>45913</v>
      </c>
      <c r="M242" s="1">
        <v>45974</v>
      </c>
      <c r="N242" s="2">
        <v>46.27</v>
      </c>
      <c r="O242">
        <f t="shared" si="14"/>
        <v>2</v>
      </c>
      <c r="P242" t="s">
        <v>181</v>
      </c>
      <c r="Q242" t="s">
        <v>755</v>
      </c>
      <c r="R242" s="4">
        <v>0.375</v>
      </c>
      <c r="S242" t="s">
        <v>60</v>
      </c>
      <c r="T242" t="s">
        <v>182</v>
      </c>
      <c r="U242" s="2">
        <v>17.350000000000001</v>
      </c>
      <c r="V242" t="s">
        <v>93</v>
      </c>
    </row>
    <row r="243" spans="1:22" x14ac:dyDescent="0.25">
      <c r="A243">
        <v>2031047977</v>
      </c>
      <c r="B243" t="s">
        <v>432</v>
      </c>
      <c r="C243" t="s">
        <v>433</v>
      </c>
      <c r="D243" t="str">
        <f t="shared" si="12"/>
        <v>RENEE WILLEY</v>
      </c>
      <c r="E243" t="s">
        <v>91</v>
      </c>
      <c r="F243" t="s">
        <v>92</v>
      </c>
      <c r="G243" t="s">
        <v>93</v>
      </c>
      <c r="H243">
        <v>19279958</v>
      </c>
      <c r="I243" t="s">
        <v>216</v>
      </c>
      <c r="J243" t="s">
        <v>217</v>
      </c>
      <c r="K243" t="str">
        <f t="shared" si="13"/>
        <v>JARED KINYUA</v>
      </c>
      <c r="L243" s="1">
        <v>45914</v>
      </c>
      <c r="M243" s="1">
        <v>45975</v>
      </c>
      <c r="N243" s="2">
        <v>54.87</v>
      </c>
      <c r="O243">
        <f t="shared" si="14"/>
        <v>2</v>
      </c>
      <c r="P243" t="s">
        <v>181</v>
      </c>
      <c r="Q243" t="s">
        <v>755</v>
      </c>
      <c r="R243" s="4">
        <v>0.375</v>
      </c>
      <c r="S243" t="s">
        <v>60</v>
      </c>
      <c r="T243" t="s">
        <v>182</v>
      </c>
      <c r="U243" s="2">
        <v>20.58</v>
      </c>
      <c r="V243" t="s">
        <v>93</v>
      </c>
    </row>
    <row r="244" spans="1:22" x14ac:dyDescent="0.25">
      <c r="A244">
        <v>2030986242</v>
      </c>
      <c r="B244" t="s">
        <v>430</v>
      </c>
      <c r="C244" t="s">
        <v>431</v>
      </c>
      <c r="D244" t="str">
        <f t="shared" si="12"/>
        <v>TEMPESTT LAFONTAINE</v>
      </c>
      <c r="E244" t="s">
        <v>91</v>
      </c>
      <c r="F244" t="s">
        <v>92</v>
      </c>
      <c r="G244" t="s">
        <v>93</v>
      </c>
      <c r="H244">
        <v>8977234</v>
      </c>
      <c r="I244" t="s">
        <v>55</v>
      </c>
      <c r="J244" t="s">
        <v>56</v>
      </c>
      <c r="K244" t="str">
        <f t="shared" si="13"/>
        <v>RYAN CALTAGIRONE</v>
      </c>
      <c r="L244" s="1">
        <v>45913</v>
      </c>
      <c r="M244" s="1">
        <v>45974</v>
      </c>
      <c r="N244" s="2">
        <v>69.3</v>
      </c>
      <c r="O244">
        <f t="shared" si="14"/>
        <v>2</v>
      </c>
      <c r="P244" t="s">
        <v>181</v>
      </c>
      <c r="Q244" t="s">
        <v>755</v>
      </c>
      <c r="R244" s="4">
        <v>0.375</v>
      </c>
      <c r="S244" t="s">
        <v>60</v>
      </c>
      <c r="T244" t="s">
        <v>182</v>
      </c>
      <c r="U244" s="2">
        <v>25.99</v>
      </c>
      <c r="V244" t="s">
        <v>93</v>
      </c>
    </row>
    <row r="245" spans="1:22" x14ac:dyDescent="0.25">
      <c r="A245">
        <v>2030334039</v>
      </c>
      <c r="B245" t="s">
        <v>710</v>
      </c>
      <c r="C245" t="s">
        <v>711</v>
      </c>
      <c r="D245" t="str">
        <f t="shared" si="12"/>
        <v>GRACE SWEENEY</v>
      </c>
      <c r="E245" t="s">
        <v>712</v>
      </c>
      <c r="F245" t="s">
        <v>116</v>
      </c>
      <c r="G245" t="s">
        <v>120</v>
      </c>
      <c r="H245">
        <v>8307933</v>
      </c>
      <c r="I245" t="s">
        <v>260</v>
      </c>
      <c r="J245" t="s">
        <v>261</v>
      </c>
      <c r="K245" t="str">
        <f t="shared" si="13"/>
        <v>GREGORY TEIPEL</v>
      </c>
      <c r="L245" s="1">
        <v>45906</v>
      </c>
      <c r="M245" s="1">
        <v>45967</v>
      </c>
      <c r="N245" s="2">
        <v>-47.08</v>
      </c>
      <c r="O245">
        <f t="shared" si="14"/>
        <v>2</v>
      </c>
      <c r="P245" t="s">
        <v>181</v>
      </c>
      <c r="Q245" t="s">
        <v>755</v>
      </c>
      <c r="R245" s="3">
        <v>0.9</v>
      </c>
      <c r="S245" t="s">
        <v>60</v>
      </c>
      <c r="T245" t="s">
        <v>182</v>
      </c>
      <c r="U245" s="2">
        <v>-42.37</v>
      </c>
      <c r="V245" t="s">
        <v>120</v>
      </c>
    </row>
    <row r="246" spans="1:22" x14ac:dyDescent="0.25">
      <c r="A246">
        <v>2031047976</v>
      </c>
      <c r="B246" t="s">
        <v>432</v>
      </c>
      <c r="C246" t="s">
        <v>433</v>
      </c>
      <c r="D246" t="str">
        <f t="shared" si="12"/>
        <v>RENEE WILLEY</v>
      </c>
      <c r="E246" t="s">
        <v>91</v>
      </c>
      <c r="F246" t="s">
        <v>116</v>
      </c>
      <c r="G246" t="s">
        <v>120</v>
      </c>
      <c r="H246">
        <v>19279958</v>
      </c>
      <c r="I246" t="s">
        <v>216</v>
      </c>
      <c r="J246" t="s">
        <v>217</v>
      </c>
      <c r="K246" t="str">
        <f t="shared" si="13"/>
        <v>JARED KINYUA</v>
      </c>
      <c r="L246" s="1">
        <v>45914</v>
      </c>
      <c r="M246" s="1">
        <v>45975</v>
      </c>
      <c r="N246" s="2">
        <v>22.38</v>
      </c>
      <c r="O246">
        <f t="shared" si="14"/>
        <v>2</v>
      </c>
      <c r="P246" t="s">
        <v>181</v>
      </c>
      <c r="Q246" t="s">
        <v>755</v>
      </c>
      <c r="R246" s="3">
        <v>0.9</v>
      </c>
      <c r="S246" t="s">
        <v>60</v>
      </c>
      <c r="T246" t="s">
        <v>182</v>
      </c>
      <c r="U246" s="2">
        <v>20.14</v>
      </c>
      <c r="V246" t="s">
        <v>120</v>
      </c>
    </row>
    <row r="247" spans="1:22" x14ac:dyDescent="0.25">
      <c r="A247">
        <v>2029980506</v>
      </c>
      <c r="B247" t="s">
        <v>184</v>
      </c>
      <c r="C247" t="s">
        <v>311</v>
      </c>
      <c r="D247" t="str">
        <f t="shared" si="12"/>
        <v>STALLKAMP RHONDA</v>
      </c>
      <c r="E247" t="s">
        <v>312</v>
      </c>
      <c r="F247" t="s">
        <v>116</v>
      </c>
      <c r="G247" t="s">
        <v>591</v>
      </c>
      <c r="H247">
        <v>8977234</v>
      </c>
      <c r="I247" t="s">
        <v>55</v>
      </c>
      <c r="J247" t="s">
        <v>56</v>
      </c>
      <c r="K247" t="str">
        <f t="shared" si="13"/>
        <v>RYAN CALTAGIRONE</v>
      </c>
      <c r="L247" s="1">
        <v>45884</v>
      </c>
      <c r="M247" s="1">
        <v>45976</v>
      </c>
      <c r="N247" s="2">
        <v>21.44</v>
      </c>
      <c r="O247">
        <f t="shared" si="14"/>
        <v>3</v>
      </c>
      <c r="P247" t="s">
        <v>181</v>
      </c>
      <c r="Q247" t="s">
        <v>755</v>
      </c>
      <c r="R247" s="3">
        <v>0.7</v>
      </c>
      <c r="S247" t="s">
        <v>60</v>
      </c>
      <c r="T247" t="s">
        <v>182</v>
      </c>
      <c r="U247" s="2">
        <v>15.01</v>
      </c>
      <c r="V247" t="s">
        <v>591</v>
      </c>
    </row>
    <row r="248" spans="1:22" x14ac:dyDescent="0.25">
      <c r="A248">
        <v>2030198369</v>
      </c>
      <c r="B248" t="s">
        <v>313</v>
      </c>
      <c r="C248" t="s">
        <v>314</v>
      </c>
      <c r="D248" t="str">
        <f t="shared" si="12"/>
        <v>CHESTER DARRYL</v>
      </c>
      <c r="E248" t="s">
        <v>119</v>
      </c>
      <c r="F248" t="s">
        <v>116</v>
      </c>
      <c r="G248" t="s">
        <v>591</v>
      </c>
      <c r="H248">
        <v>5442438</v>
      </c>
      <c r="I248" t="s">
        <v>307</v>
      </c>
      <c r="J248" t="s">
        <v>308</v>
      </c>
      <c r="K248" t="str">
        <f t="shared" si="13"/>
        <v>Ronald Max</v>
      </c>
      <c r="L248" s="1">
        <v>45870</v>
      </c>
      <c r="M248" s="1">
        <v>45962</v>
      </c>
      <c r="N248" s="2">
        <v>48</v>
      </c>
      <c r="O248">
        <f t="shared" si="14"/>
        <v>3</v>
      </c>
      <c r="P248" t="s">
        <v>181</v>
      </c>
      <c r="Q248" t="s">
        <v>755</v>
      </c>
      <c r="R248" s="3">
        <v>0.7</v>
      </c>
      <c r="S248" t="s">
        <v>60</v>
      </c>
      <c r="T248" t="s">
        <v>182</v>
      </c>
      <c r="U248" s="2">
        <v>33.6</v>
      </c>
      <c r="V248" t="s">
        <v>591</v>
      </c>
    </row>
    <row r="249" spans="1:22" x14ac:dyDescent="0.25">
      <c r="A249">
        <v>2030454170</v>
      </c>
      <c r="B249" t="s">
        <v>325</v>
      </c>
      <c r="C249" t="s">
        <v>148</v>
      </c>
      <c r="D249" t="str">
        <f t="shared" si="12"/>
        <v>THOMAS GEHRING</v>
      </c>
      <c r="E249" t="s">
        <v>119</v>
      </c>
      <c r="F249" t="s">
        <v>116</v>
      </c>
      <c r="G249" t="s">
        <v>117</v>
      </c>
      <c r="H249">
        <v>5442438</v>
      </c>
      <c r="I249" t="s">
        <v>307</v>
      </c>
      <c r="J249" t="s">
        <v>308</v>
      </c>
      <c r="K249" t="str">
        <f t="shared" si="13"/>
        <v>Ronald Max</v>
      </c>
      <c r="L249" s="1">
        <v>45883</v>
      </c>
      <c r="M249" s="1">
        <v>45975</v>
      </c>
      <c r="N249" s="2">
        <v>24.61</v>
      </c>
      <c r="O249">
        <f t="shared" si="14"/>
        <v>3</v>
      </c>
      <c r="P249" t="s">
        <v>181</v>
      </c>
      <c r="Q249" t="s">
        <v>755</v>
      </c>
      <c r="R249" s="3">
        <v>0.7</v>
      </c>
      <c r="S249" t="s">
        <v>60</v>
      </c>
      <c r="T249" t="s">
        <v>182</v>
      </c>
      <c r="U249" s="2">
        <v>17.23</v>
      </c>
      <c r="V249" t="s">
        <v>591</v>
      </c>
    </row>
    <row r="250" spans="1:22" x14ac:dyDescent="0.25">
      <c r="A250">
        <v>2030488870</v>
      </c>
      <c r="B250" t="s">
        <v>330</v>
      </c>
      <c r="C250" t="s">
        <v>331</v>
      </c>
      <c r="D250" t="str">
        <f t="shared" si="12"/>
        <v>KAI BARNES</v>
      </c>
      <c r="E250" t="s">
        <v>119</v>
      </c>
      <c r="F250" t="s">
        <v>116</v>
      </c>
      <c r="G250" t="s">
        <v>117</v>
      </c>
      <c r="H250">
        <v>5442438</v>
      </c>
      <c r="I250" t="s">
        <v>307</v>
      </c>
      <c r="J250" t="s">
        <v>308</v>
      </c>
      <c r="K250" t="str">
        <f t="shared" si="13"/>
        <v>Ronald Max</v>
      </c>
      <c r="L250" s="1">
        <v>45884</v>
      </c>
      <c r="M250" s="1">
        <v>45976</v>
      </c>
      <c r="N250" s="2">
        <v>24.61</v>
      </c>
      <c r="O250">
        <f t="shared" si="14"/>
        <v>3</v>
      </c>
      <c r="P250" t="s">
        <v>181</v>
      </c>
      <c r="Q250" t="s">
        <v>755</v>
      </c>
      <c r="R250" s="3">
        <v>0.7</v>
      </c>
      <c r="S250" t="s">
        <v>60</v>
      </c>
      <c r="T250" t="s">
        <v>182</v>
      </c>
      <c r="U250" s="2">
        <v>17.23</v>
      </c>
      <c r="V250" t="s">
        <v>591</v>
      </c>
    </row>
    <row r="251" spans="1:22" x14ac:dyDescent="0.25">
      <c r="A251">
        <v>2030501935</v>
      </c>
      <c r="B251" t="s">
        <v>332</v>
      </c>
      <c r="C251" t="s">
        <v>258</v>
      </c>
      <c r="D251" t="str">
        <f t="shared" si="12"/>
        <v>JAMES LEWIS</v>
      </c>
      <c r="E251" t="s">
        <v>119</v>
      </c>
      <c r="F251" t="s">
        <v>116</v>
      </c>
      <c r="G251" t="s">
        <v>117</v>
      </c>
      <c r="H251">
        <v>9079571</v>
      </c>
      <c r="I251" t="s">
        <v>222</v>
      </c>
      <c r="J251" t="s">
        <v>223</v>
      </c>
      <c r="K251" t="str">
        <f t="shared" si="13"/>
        <v>ADAM RICHTER</v>
      </c>
      <c r="L251" s="1">
        <v>45884</v>
      </c>
      <c r="M251" s="1">
        <v>45976</v>
      </c>
      <c r="N251" s="2">
        <v>24.61</v>
      </c>
      <c r="O251">
        <f t="shared" si="14"/>
        <v>3</v>
      </c>
      <c r="P251" t="s">
        <v>181</v>
      </c>
      <c r="Q251" t="s">
        <v>755</v>
      </c>
      <c r="R251" s="3">
        <v>0.7</v>
      </c>
      <c r="S251" t="s">
        <v>60</v>
      </c>
      <c r="T251" t="s">
        <v>182</v>
      </c>
      <c r="U251" s="2">
        <v>17.23</v>
      </c>
      <c r="V251" t="s">
        <v>591</v>
      </c>
    </row>
    <row r="252" spans="1:22" x14ac:dyDescent="0.25">
      <c r="A252">
        <v>2029980504</v>
      </c>
      <c r="B252" t="s">
        <v>184</v>
      </c>
      <c r="C252" t="s">
        <v>311</v>
      </c>
      <c r="D252" t="str">
        <f t="shared" si="12"/>
        <v>STALLKAMP RHONDA</v>
      </c>
      <c r="E252" t="s">
        <v>312</v>
      </c>
      <c r="F252" t="s">
        <v>53</v>
      </c>
      <c r="G252" t="s">
        <v>54</v>
      </c>
      <c r="H252">
        <v>8977234</v>
      </c>
      <c r="I252" t="s">
        <v>55</v>
      </c>
      <c r="J252" t="s">
        <v>56</v>
      </c>
      <c r="K252" t="str">
        <f t="shared" si="13"/>
        <v>RYAN CALTAGIRONE</v>
      </c>
      <c r="L252" s="1">
        <v>45884</v>
      </c>
      <c r="M252" s="1">
        <v>45976</v>
      </c>
      <c r="N252" s="2">
        <v>85.81</v>
      </c>
      <c r="O252">
        <f t="shared" si="14"/>
        <v>3</v>
      </c>
      <c r="P252" t="s">
        <v>181</v>
      </c>
      <c r="Q252" t="s">
        <v>755</v>
      </c>
      <c r="R252" s="3">
        <v>0.75</v>
      </c>
      <c r="S252" t="s">
        <v>60</v>
      </c>
      <c r="T252" t="s">
        <v>182</v>
      </c>
      <c r="U252" s="2">
        <v>64.36</v>
      </c>
      <c r="V252" t="s">
        <v>751</v>
      </c>
    </row>
    <row r="253" spans="1:22" x14ac:dyDescent="0.25">
      <c r="A253">
        <v>2030313518</v>
      </c>
      <c r="B253" t="s">
        <v>315</v>
      </c>
      <c r="C253" t="s">
        <v>316</v>
      </c>
      <c r="D253" t="str">
        <f t="shared" si="12"/>
        <v>OCTA'VYON WATSON</v>
      </c>
      <c r="E253" t="s">
        <v>119</v>
      </c>
      <c r="F253" t="s">
        <v>53</v>
      </c>
      <c r="G253" t="s">
        <v>70</v>
      </c>
      <c r="H253">
        <v>5442438</v>
      </c>
      <c r="I253" t="s">
        <v>307</v>
      </c>
      <c r="J253" t="s">
        <v>308</v>
      </c>
      <c r="K253" t="str">
        <f t="shared" si="13"/>
        <v>Ronald Max</v>
      </c>
      <c r="L253" s="1">
        <v>45884</v>
      </c>
      <c r="M253" s="1">
        <v>45976</v>
      </c>
      <c r="N253" s="2">
        <v>20.059999999999999</v>
      </c>
      <c r="O253">
        <f t="shared" si="14"/>
        <v>3</v>
      </c>
      <c r="P253" t="s">
        <v>181</v>
      </c>
      <c r="Q253" t="s">
        <v>755</v>
      </c>
      <c r="R253" s="3">
        <v>0.9</v>
      </c>
      <c r="S253" t="s">
        <v>60</v>
      </c>
      <c r="T253" t="s">
        <v>182</v>
      </c>
      <c r="U253" s="2">
        <v>18.05</v>
      </c>
      <c r="V253" t="s">
        <v>752</v>
      </c>
    </row>
    <row r="254" spans="1:22" x14ac:dyDescent="0.25">
      <c r="A254">
        <v>2030488872</v>
      </c>
      <c r="B254" t="s">
        <v>330</v>
      </c>
      <c r="C254" t="s">
        <v>331</v>
      </c>
      <c r="D254" t="str">
        <f t="shared" si="12"/>
        <v>KAI BARNES</v>
      </c>
      <c r="E254" t="s">
        <v>119</v>
      </c>
      <c r="F254" t="s">
        <v>53</v>
      </c>
      <c r="G254" t="s">
        <v>70</v>
      </c>
      <c r="H254">
        <v>5442438</v>
      </c>
      <c r="I254" t="s">
        <v>307</v>
      </c>
      <c r="J254" t="s">
        <v>308</v>
      </c>
      <c r="K254" t="str">
        <f t="shared" si="13"/>
        <v>Ronald Max</v>
      </c>
      <c r="L254" s="1">
        <v>45884</v>
      </c>
      <c r="M254" s="1">
        <v>45976</v>
      </c>
      <c r="N254" s="2">
        <v>46.94</v>
      </c>
      <c r="O254">
        <f t="shared" si="14"/>
        <v>3</v>
      </c>
      <c r="P254" t="s">
        <v>181</v>
      </c>
      <c r="Q254" t="s">
        <v>755</v>
      </c>
      <c r="R254" s="3">
        <v>0.9</v>
      </c>
      <c r="S254" t="s">
        <v>60</v>
      </c>
      <c r="T254" t="s">
        <v>182</v>
      </c>
      <c r="U254" s="2">
        <v>42.25</v>
      </c>
      <c r="V254" t="s">
        <v>752</v>
      </c>
    </row>
    <row r="255" spans="1:22" x14ac:dyDescent="0.25">
      <c r="A255">
        <v>2030501934</v>
      </c>
      <c r="B255" t="s">
        <v>332</v>
      </c>
      <c r="C255" t="s">
        <v>258</v>
      </c>
      <c r="D255" t="str">
        <f t="shared" si="12"/>
        <v>JAMES LEWIS</v>
      </c>
      <c r="E255" t="s">
        <v>119</v>
      </c>
      <c r="F255" t="s">
        <v>53</v>
      </c>
      <c r="G255" t="s">
        <v>70</v>
      </c>
      <c r="H255">
        <v>9079571</v>
      </c>
      <c r="I255" t="s">
        <v>222</v>
      </c>
      <c r="J255" t="s">
        <v>223</v>
      </c>
      <c r="K255" t="str">
        <f t="shared" si="13"/>
        <v>ADAM RICHTER</v>
      </c>
      <c r="L255" s="1">
        <v>45884</v>
      </c>
      <c r="M255" s="1">
        <v>45976</v>
      </c>
      <c r="N255" s="2">
        <v>77.959999999999994</v>
      </c>
      <c r="O255">
        <f t="shared" si="14"/>
        <v>3</v>
      </c>
      <c r="P255" t="s">
        <v>181</v>
      </c>
      <c r="Q255" t="s">
        <v>755</v>
      </c>
      <c r="R255" s="3">
        <v>0.9</v>
      </c>
      <c r="S255" t="s">
        <v>60</v>
      </c>
      <c r="T255" t="s">
        <v>182</v>
      </c>
      <c r="U255" s="2">
        <v>70.16</v>
      </c>
      <c r="V255" t="s">
        <v>752</v>
      </c>
    </row>
    <row r="256" spans="1:22" x14ac:dyDescent="0.25">
      <c r="A256">
        <v>2030198368</v>
      </c>
      <c r="B256" t="s">
        <v>313</v>
      </c>
      <c r="C256" t="s">
        <v>314</v>
      </c>
      <c r="D256" t="str">
        <f t="shared" si="12"/>
        <v>CHESTER DARRYL</v>
      </c>
      <c r="E256" t="s">
        <v>119</v>
      </c>
      <c r="F256" t="s">
        <v>53</v>
      </c>
      <c r="G256" t="s">
        <v>70</v>
      </c>
      <c r="H256">
        <v>5442438</v>
      </c>
      <c r="I256" t="s">
        <v>307</v>
      </c>
      <c r="J256" t="s">
        <v>308</v>
      </c>
      <c r="K256" t="str">
        <f t="shared" si="13"/>
        <v>Ronald Max</v>
      </c>
      <c r="L256" s="1">
        <v>45870</v>
      </c>
      <c r="M256" s="1">
        <v>45962</v>
      </c>
      <c r="N256" s="2">
        <v>85.5</v>
      </c>
      <c r="O256">
        <f t="shared" si="14"/>
        <v>3</v>
      </c>
      <c r="P256" t="s">
        <v>181</v>
      </c>
      <c r="Q256" t="s">
        <v>755</v>
      </c>
      <c r="R256" s="3">
        <v>0.9</v>
      </c>
      <c r="S256" t="s">
        <v>60</v>
      </c>
      <c r="T256" t="s">
        <v>182</v>
      </c>
      <c r="U256" s="2">
        <v>76.95</v>
      </c>
      <c r="V256" t="s">
        <v>752</v>
      </c>
    </row>
    <row r="257" spans="1:22" x14ac:dyDescent="0.25">
      <c r="A257">
        <v>2030454169</v>
      </c>
      <c r="B257" t="s">
        <v>325</v>
      </c>
      <c r="C257" t="s">
        <v>148</v>
      </c>
      <c r="D257" t="str">
        <f t="shared" si="12"/>
        <v>THOMAS GEHRING</v>
      </c>
      <c r="E257" t="s">
        <v>119</v>
      </c>
      <c r="F257" t="s">
        <v>53</v>
      </c>
      <c r="G257" t="s">
        <v>70</v>
      </c>
      <c r="H257">
        <v>5442438</v>
      </c>
      <c r="I257" t="s">
        <v>307</v>
      </c>
      <c r="J257" t="s">
        <v>308</v>
      </c>
      <c r="K257" t="str">
        <f t="shared" si="13"/>
        <v>Ronald Max</v>
      </c>
      <c r="L257" s="1">
        <v>45883</v>
      </c>
      <c r="M257" s="1">
        <v>45975</v>
      </c>
      <c r="N257" s="2">
        <v>92.5</v>
      </c>
      <c r="O257">
        <f t="shared" si="14"/>
        <v>3</v>
      </c>
      <c r="P257" t="s">
        <v>181</v>
      </c>
      <c r="Q257" t="s">
        <v>755</v>
      </c>
      <c r="R257" s="3">
        <v>0.9</v>
      </c>
      <c r="S257" t="s">
        <v>60</v>
      </c>
      <c r="T257" t="s">
        <v>182</v>
      </c>
      <c r="U257" s="2">
        <v>83.25</v>
      </c>
      <c r="V257" t="s">
        <v>752</v>
      </c>
    </row>
    <row r="258" spans="1:22" x14ac:dyDescent="0.25">
      <c r="A258">
        <v>2029887594</v>
      </c>
      <c r="B258" t="s">
        <v>165</v>
      </c>
      <c r="C258" t="s">
        <v>294</v>
      </c>
      <c r="D258" t="str">
        <f t="shared" si="12"/>
        <v>GEORGE STACEY</v>
      </c>
      <c r="E258" t="s">
        <v>91</v>
      </c>
      <c r="F258" t="s">
        <v>53</v>
      </c>
      <c r="G258" t="s">
        <v>70</v>
      </c>
      <c r="H258">
        <v>1706194</v>
      </c>
      <c r="I258" t="s">
        <v>168</v>
      </c>
      <c r="J258" t="s">
        <v>169</v>
      </c>
      <c r="K258" t="str">
        <f t="shared" si="13"/>
        <v>MATTHEW DAUGHERTY</v>
      </c>
      <c r="L258" s="1">
        <v>45870</v>
      </c>
      <c r="M258" s="1">
        <v>45962</v>
      </c>
      <c r="N258" s="2">
        <v>305.58</v>
      </c>
      <c r="O258">
        <f t="shared" si="14"/>
        <v>3</v>
      </c>
      <c r="P258" t="s">
        <v>181</v>
      </c>
      <c r="Q258" t="s">
        <v>755</v>
      </c>
      <c r="R258" s="3">
        <v>0.9</v>
      </c>
      <c r="S258" t="s">
        <v>60</v>
      </c>
      <c r="T258" t="s">
        <v>182</v>
      </c>
      <c r="U258" s="2">
        <v>275.02</v>
      </c>
      <c r="V258" t="s">
        <v>752</v>
      </c>
    </row>
    <row r="259" spans="1:22" x14ac:dyDescent="0.25">
      <c r="A259">
        <v>2030313517</v>
      </c>
      <c r="B259" t="s">
        <v>315</v>
      </c>
      <c r="C259" t="s">
        <v>316</v>
      </c>
      <c r="D259" t="str">
        <f t="shared" ref="D259:D322" si="15">CONCATENATE(C259, " ",B259)</f>
        <v>OCTA'VYON WATSON</v>
      </c>
      <c r="E259" t="s">
        <v>119</v>
      </c>
      <c r="F259" t="s">
        <v>116</v>
      </c>
      <c r="G259" t="s">
        <v>429</v>
      </c>
      <c r="H259">
        <v>5442438</v>
      </c>
      <c r="I259" t="s">
        <v>307</v>
      </c>
      <c r="J259" t="s">
        <v>308</v>
      </c>
      <c r="K259" t="str">
        <f t="shared" ref="K259:K274" si="16">CONCATENATE(J259, " ",I259)</f>
        <v>Ronald Max</v>
      </c>
      <c r="L259" s="1">
        <v>45884</v>
      </c>
      <c r="M259" s="1">
        <v>45976</v>
      </c>
      <c r="N259" s="2">
        <v>27.8</v>
      </c>
      <c r="O259">
        <f t="shared" ref="O259:O322" si="17">DATEDIF(L259,M259,"M")</f>
        <v>3</v>
      </c>
      <c r="P259" t="s">
        <v>181</v>
      </c>
      <c r="Q259" t="s">
        <v>755</v>
      </c>
      <c r="R259" s="3">
        <v>0.42</v>
      </c>
      <c r="S259" t="s">
        <v>60</v>
      </c>
      <c r="T259" t="s">
        <v>182</v>
      </c>
      <c r="U259" s="2">
        <v>11.68</v>
      </c>
      <c r="V259" t="s">
        <v>429</v>
      </c>
    </row>
    <row r="260" spans="1:22" x14ac:dyDescent="0.25">
      <c r="A260">
        <v>2030488871</v>
      </c>
      <c r="B260" t="s">
        <v>330</v>
      </c>
      <c r="C260" t="s">
        <v>331</v>
      </c>
      <c r="D260" t="str">
        <f t="shared" si="15"/>
        <v>KAI BARNES</v>
      </c>
      <c r="E260" t="s">
        <v>119</v>
      </c>
      <c r="F260" t="s">
        <v>116</v>
      </c>
      <c r="G260" t="s">
        <v>429</v>
      </c>
      <c r="H260">
        <v>5442438</v>
      </c>
      <c r="I260" t="s">
        <v>307</v>
      </c>
      <c r="J260" t="s">
        <v>308</v>
      </c>
      <c r="K260" t="str">
        <f t="shared" si="16"/>
        <v>Ronald Max</v>
      </c>
      <c r="L260" s="1">
        <v>45884</v>
      </c>
      <c r="M260" s="1">
        <v>45976</v>
      </c>
      <c r="N260" s="2">
        <v>27.8</v>
      </c>
      <c r="O260">
        <f t="shared" si="17"/>
        <v>3</v>
      </c>
      <c r="P260" t="s">
        <v>181</v>
      </c>
      <c r="Q260" t="s">
        <v>755</v>
      </c>
      <c r="R260" s="3">
        <v>0.42</v>
      </c>
      <c r="S260" t="s">
        <v>60</v>
      </c>
      <c r="T260" t="s">
        <v>182</v>
      </c>
      <c r="U260" s="2">
        <v>11.68</v>
      </c>
      <c r="V260" t="s">
        <v>429</v>
      </c>
    </row>
    <row r="261" spans="1:22" x14ac:dyDescent="0.25">
      <c r="A261">
        <v>2030198367</v>
      </c>
      <c r="B261" t="s">
        <v>313</v>
      </c>
      <c r="C261" t="s">
        <v>314</v>
      </c>
      <c r="D261" t="str">
        <f t="shared" si="15"/>
        <v>CHESTER DARRYL</v>
      </c>
      <c r="E261" t="s">
        <v>119</v>
      </c>
      <c r="F261" t="s">
        <v>116</v>
      </c>
      <c r="G261" t="s">
        <v>429</v>
      </c>
      <c r="H261">
        <v>5442438</v>
      </c>
      <c r="I261" t="s">
        <v>307</v>
      </c>
      <c r="J261" t="s">
        <v>308</v>
      </c>
      <c r="K261" t="str">
        <f t="shared" si="16"/>
        <v>Ronald Max</v>
      </c>
      <c r="L261" s="1">
        <v>45870</v>
      </c>
      <c r="M261" s="1">
        <v>45962</v>
      </c>
      <c r="N261" s="2">
        <v>33.36</v>
      </c>
      <c r="O261">
        <f t="shared" si="17"/>
        <v>3</v>
      </c>
      <c r="P261" t="s">
        <v>181</v>
      </c>
      <c r="Q261" t="s">
        <v>755</v>
      </c>
      <c r="R261" s="3">
        <v>0.42</v>
      </c>
      <c r="S261" t="s">
        <v>60</v>
      </c>
      <c r="T261" t="s">
        <v>182</v>
      </c>
      <c r="U261" s="2">
        <v>14.01</v>
      </c>
      <c r="V261" t="s">
        <v>429</v>
      </c>
    </row>
    <row r="262" spans="1:22" x14ac:dyDescent="0.25">
      <c r="A262">
        <v>2030247772</v>
      </c>
      <c r="B262" t="s">
        <v>585</v>
      </c>
      <c r="C262" t="s">
        <v>567</v>
      </c>
      <c r="D262" t="str">
        <f t="shared" si="15"/>
        <v>CHRISTIAN SHAMAR</v>
      </c>
      <c r="E262" t="s">
        <v>189</v>
      </c>
      <c r="F262" t="s">
        <v>114</v>
      </c>
      <c r="G262" t="s">
        <v>576</v>
      </c>
      <c r="H262">
        <v>18781057</v>
      </c>
      <c r="I262" t="s">
        <v>186</v>
      </c>
      <c r="J262" t="s">
        <v>90</v>
      </c>
      <c r="K262" t="str">
        <f t="shared" si="16"/>
        <v>JOHN ROKEN</v>
      </c>
      <c r="L262" s="1">
        <v>45870</v>
      </c>
      <c r="M262" s="1">
        <v>45962</v>
      </c>
      <c r="N262" s="2">
        <v>27.15</v>
      </c>
      <c r="O262">
        <f t="shared" si="17"/>
        <v>3</v>
      </c>
      <c r="P262" t="s">
        <v>181</v>
      </c>
      <c r="Q262" t="s">
        <v>755</v>
      </c>
      <c r="R262" s="3">
        <v>0.38</v>
      </c>
      <c r="S262" t="s">
        <v>60</v>
      </c>
      <c r="T262" t="s">
        <v>182</v>
      </c>
      <c r="U262" s="2">
        <v>10.32</v>
      </c>
      <c r="V262" t="s">
        <v>576</v>
      </c>
    </row>
    <row r="263" spans="1:22" x14ac:dyDescent="0.25">
      <c r="A263">
        <v>2030485608</v>
      </c>
      <c r="B263" t="s">
        <v>382</v>
      </c>
      <c r="C263" t="s">
        <v>383</v>
      </c>
      <c r="D263" t="str">
        <f t="shared" si="15"/>
        <v>KARENLYNN GREEN</v>
      </c>
      <c r="E263" t="s">
        <v>219</v>
      </c>
      <c r="F263" t="s">
        <v>79</v>
      </c>
      <c r="G263" t="s">
        <v>85</v>
      </c>
      <c r="H263">
        <v>20776610</v>
      </c>
      <c r="I263" t="s">
        <v>384</v>
      </c>
      <c r="J263" t="s">
        <v>385</v>
      </c>
      <c r="K263" t="str">
        <f t="shared" si="16"/>
        <v>Gregg Arenson</v>
      </c>
      <c r="L263" s="1">
        <v>45883</v>
      </c>
      <c r="M263" s="1">
        <v>45975</v>
      </c>
      <c r="N263" s="2">
        <v>15</v>
      </c>
      <c r="O263">
        <f t="shared" si="17"/>
        <v>3</v>
      </c>
      <c r="P263" t="s">
        <v>181</v>
      </c>
      <c r="Q263" t="s">
        <v>755</v>
      </c>
      <c r="R263" s="3">
        <v>0.28999999999999998</v>
      </c>
      <c r="S263" t="s">
        <v>60</v>
      </c>
      <c r="T263" t="s">
        <v>182</v>
      </c>
      <c r="U263" s="2">
        <v>4.3499999999999996</v>
      </c>
      <c r="V263" t="s">
        <v>171</v>
      </c>
    </row>
    <row r="264" spans="1:22" x14ac:dyDescent="0.25">
      <c r="A264">
        <v>2024372431</v>
      </c>
      <c r="B264" t="s">
        <v>355</v>
      </c>
      <c r="C264" t="s">
        <v>356</v>
      </c>
      <c r="D264" t="str">
        <f t="shared" si="15"/>
        <v>LANDON BRITT</v>
      </c>
      <c r="E264" t="s">
        <v>357</v>
      </c>
      <c r="F264" t="s">
        <v>166</v>
      </c>
      <c r="G264" t="s">
        <v>171</v>
      </c>
      <c r="H264">
        <v>17437820</v>
      </c>
      <c r="I264" t="s">
        <v>98</v>
      </c>
      <c r="J264" t="s">
        <v>99</v>
      </c>
      <c r="K264" t="str">
        <f t="shared" si="16"/>
        <v>COLLEEN FINNIGAN</v>
      </c>
      <c r="L264" s="1">
        <v>45882</v>
      </c>
      <c r="M264" s="1">
        <v>45974</v>
      </c>
      <c r="N264" s="2">
        <v>315.83999999999997</v>
      </c>
      <c r="O264">
        <f t="shared" si="17"/>
        <v>3</v>
      </c>
      <c r="P264" t="s">
        <v>181</v>
      </c>
      <c r="Q264" t="s">
        <v>755</v>
      </c>
      <c r="R264" s="3">
        <v>0.28999999999999998</v>
      </c>
      <c r="S264" t="s">
        <v>60</v>
      </c>
      <c r="T264" t="s">
        <v>182</v>
      </c>
      <c r="U264" s="2">
        <v>91.59</v>
      </c>
      <c r="V264" t="s">
        <v>171</v>
      </c>
    </row>
    <row r="265" spans="1:22" x14ac:dyDescent="0.25">
      <c r="A265">
        <v>2030447483</v>
      </c>
      <c r="B265" t="s">
        <v>568</v>
      </c>
      <c r="C265" t="s">
        <v>280</v>
      </c>
      <c r="D265" t="str">
        <f t="shared" si="15"/>
        <v>SANDRA MANSFIELD</v>
      </c>
      <c r="E265" t="s">
        <v>225</v>
      </c>
      <c r="F265" t="s">
        <v>116</v>
      </c>
      <c r="G265" t="s">
        <v>125</v>
      </c>
      <c r="H265">
        <v>1706194</v>
      </c>
      <c r="I265" t="s">
        <v>168</v>
      </c>
      <c r="J265" t="s">
        <v>169</v>
      </c>
      <c r="K265" t="str">
        <f t="shared" si="16"/>
        <v>MATTHEW DAUGHERTY</v>
      </c>
      <c r="L265" s="1">
        <v>45882</v>
      </c>
      <c r="M265" s="1">
        <v>45974</v>
      </c>
      <c r="N265" s="2">
        <v>10.53</v>
      </c>
      <c r="O265">
        <f t="shared" si="17"/>
        <v>3</v>
      </c>
      <c r="P265" t="s">
        <v>181</v>
      </c>
      <c r="Q265" t="s">
        <v>755</v>
      </c>
      <c r="R265" s="3">
        <v>0.7</v>
      </c>
      <c r="S265" t="s">
        <v>60</v>
      </c>
      <c r="T265" t="s">
        <v>182</v>
      </c>
      <c r="U265" s="2">
        <v>7.37</v>
      </c>
      <c r="V265" t="s">
        <v>125</v>
      </c>
    </row>
    <row r="266" spans="1:22" x14ac:dyDescent="0.25">
      <c r="A266">
        <v>2029980505</v>
      </c>
      <c r="B266" t="s">
        <v>184</v>
      </c>
      <c r="C266" t="s">
        <v>311</v>
      </c>
      <c r="D266" t="str">
        <f t="shared" si="15"/>
        <v>STALLKAMP RHONDA</v>
      </c>
      <c r="E266" t="s">
        <v>312</v>
      </c>
      <c r="F266" t="s">
        <v>116</v>
      </c>
      <c r="G266" t="s">
        <v>125</v>
      </c>
      <c r="H266">
        <v>8977234</v>
      </c>
      <c r="I266" t="s">
        <v>55</v>
      </c>
      <c r="J266" t="s">
        <v>56</v>
      </c>
      <c r="K266" t="str">
        <f t="shared" si="16"/>
        <v>RYAN CALTAGIRONE</v>
      </c>
      <c r="L266" s="1">
        <v>45884</v>
      </c>
      <c r="M266" s="1">
        <v>45976</v>
      </c>
      <c r="N266" s="2">
        <v>24</v>
      </c>
      <c r="O266">
        <f t="shared" si="17"/>
        <v>3</v>
      </c>
      <c r="P266" t="s">
        <v>181</v>
      </c>
      <c r="Q266" t="s">
        <v>755</v>
      </c>
      <c r="R266" s="3">
        <v>0.7</v>
      </c>
      <c r="S266" t="s">
        <v>60</v>
      </c>
      <c r="T266" t="s">
        <v>182</v>
      </c>
      <c r="U266" s="2">
        <v>16.8</v>
      </c>
      <c r="V266" t="s">
        <v>125</v>
      </c>
    </row>
    <row r="267" spans="1:22" x14ac:dyDescent="0.25">
      <c r="A267">
        <v>2030485607</v>
      </c>
      <c r="B267" t="s">
        <v>382</v>
      </c>
      <c r="C267" t="s">
        <v>383</v>
      </c>
      <c r="D267" t="str">
        <f t="shared" si="15"/>
        <v>KARENLYNN GREEN</v>
      </c>
      <c r="E267" t="s">
        <v>219</v>
      </c>
      <c r="F267" t="s">
        <v>116</v>
      </c>
      <c r="G267" t="s">
        <v>125</v>
      </c>
      <c r="H267">
        <v>20776610</v>
      </c>
      <c r="I267" t="s">
        <v>384</v>
      </c>
      <c r="J267" t="s">
        <v>385</v>
      </c>
      <c r="K267" t="str">
        <f t="shared" si="16"/>
        <v>Gregg Arenson</v>
      </c>
      <c r="L267" s="1">
        <v>45883</v>
      </c>
      <c r="M267" s="1">
        <v>45975</v>
      </c>
      <c r="N267" s="2">
        <v>46.72</v>
      </c>
      <c r="O267">
        <f t="shared" si="17"/>
        <v>3</v>
      </c>
      <c r="P267" t="s">
        <v>181</v>
      </c>
      <c r="Q267" t="s">
        <v>755</v>
      </c>
      <c r="R267" s="3">
        <v>0.7</v>
      </c>
      <c r="S267" t="s">
        <v>60</v>
      </c>
      <c r="T267" t="s">
        <v>182</v>
      </c>
      <c r="U267" s="2">
        <v>32.700000000000003</v>
      </c>
      <c r="V267" t="s">
        <v>125</v>
      </c>
    </row>
    <row r="268" spans="1:22" x14ac:dyDescent="0.25">
      <c r="A268">
        <v>2030232005</v>
      </c>
      <c r="B268" t="s">
        <v>703</v>
      </c>
      <c r="C268" t="s">
        <v>704</v>
      </c>
      <c r="D268" t="str">
        <f t="shared" si="15"/>
        <v>PEREZ GUILLERMINA</v>
      </c>
      <c r="E268" t="s">
        <v>52</v>
      </c>
      <c r="F268" t="s">
        <v>116</v>
      </c>
      <c r="G268" t="s">
        <v>125</v>
      </c>
      <c r="H268">
        <v>9213293</v>
      </c>
      <c r="I268" t="s">
        <v>547</v>
      </c>
      <c r="J268" t="s">
        <v>548</v>
      </c>
      <c r="K268" t="str">
        <f t="shared" si="16"/>
        <v>GARY PORTUGAL</v>
      </c>
      <c r="L268" s="1">
        <v>45880</v>
      </c>
      <c r="M268" s="1">
        <v>45972</v>
      </c>
      <c r="N268" s="2">
        <v>54.83</v>
      </c>
      <c r="O268">
        <f t="shared" si="17"/>
        <v>3</v>
      </c>
      <c r="P268" t="s">
        <v>181</v>
      </c>
      <c r="Q268" t="s">
        <v>755</v>
      </c>
      <c r="R268" s="3">
        <v>0.7</v>
      </c>
      <c r="S268" t="s">
        <v>60</v>
      </c>
      <c r="T268" t="s">
        <v>182</v>
      </c>
      <c r="U268" s="2">
        <v>38.380000000000003</v>
      </c>
      <c r="V268" t="s">
        <v>125</v>
      </c>
    </row>
    <row r="269" spans="1:22" x14ac:dyDescent="0.25">
      <c r="A269">
        <v>2030474774</v>
      </c>
      <c r="B269" t="s">
        <v>722</v>
      </c>
      <c r="C269" t="s">
        <v>723</v>
      </c>
      <c r="D269" t="str">
        <f t="shared" si="15"/>
        <v>RISTAN SOTIRI</v>
      </c>
      <c r="E269" t="s">
        <v>312</v>
      </c>
      <c r="F269" t="s">
        <v>116</v>
      </c>
      <c r="G269" t="s">
        <v>125</v>
      </c>
      <c r="H269">
        <v>8977234</v>
      </c>
      <c r="I269" t="s">
        <v>55</v>
      </c>
      <c r="J269" t="s">
        <v>56</v>
      </c>
      <c r="K269" t="str">
        <f t="shared" si="16"/>
        <v>RYAN CALTAGIRONE</v>
      </c>
      <c r="L269" s="1">
        <v>45883</v>
      </c>
      <c r="M269" s="1">
        <v>45975</v>
      </c>
      <c r="N269" s="2">
        <v>122.88</v>
      </c>
      <c r="O269">
        <f t="shared" si="17"/>
        <v>3</v>
      </c>
      <c r="P269" t="s">
        <v>181</v>
      </c>
      <c r="Q269" t="s">
        <v>755</v>
      </c>
      <c r="R269" s="3">
        <v>0.7</v>
      </c>
      <c r="S269" t="s">
        <v>60</v>
      </c>
      <c r="T269" t="s">
        <v>182</v>
      </c>
      <c r="U269" s="2">
        <v>86.02</v>
      </c>
      <c r="V269" t="s">
        <v>125</v>
      </c>
    </row>
    <row r="270" spans="1:22" x14ac:dyDescent="0.25">
      <c r="A270">
        <v>2029887595</v>
      </c>
      <c r="B270" t="s">
        <v>165</v>
      </c>
      <c r="C270" t="s">
        <v>294</v>
      </c>
      <c r="D270" t="str">
        <f t="shared" si="15"/>
        <v>GEORGE STACEY</v>
      </c>
      <c r="E270" t="s">
        <v>91</v>
      </c>
      <c r="F270" t="s">
        <v>116</v>
      </c>
      <c r="G270" t="s">
        <v>125</v>
      </c>
      <c r="H270">
        <v>1706194</v>
      </c>
      <c r="I270" t="s">
        <v>168</v>
      </c>
      <c r="J270" t="s">
        <v>169</v>
      </c>
      <c r="K270" t="str">
        <f t="shared" si="16"/>
        <v>MATTHEW DAUGHERTY</v>
      </c>
      <c r="L270" s="1">
        <v>45870</v>
      </c>
      <c r="M270" s="1">
        <v>45962</v>
      </c>
      <c r="N270" s="2">
        <v>141.47</v>
      </c>
      <c r="O270">
        <f t="shared" si="17"/>
        <v>3</v>
      </c>
      <c r="P270" t="s">
        <v>181</v>
      </c>
      <c r="Q270" t="s">
        <v>755</v>
      </c>
      <c r="R270" s="3">
        <v>0.7</v>
      </c>
      <c r="S270" t="s">
        <v>60</v>
      </c>
      <c r="T270" t="s">
        <v>182</v>
      </c>
      <c r="U270" s="2">
        <v>99.03</v>
      </c>
      <c r="V270" t="s">
        <v>125</v>
      </c>
    </row>
    <row r="271" spans="1:22" x14ac:dyDescent="0.25">
      <c r="A271">
        <v>2030447484</v>
      </c>
      <c r="B271" t="s">
        <v>568</v>
      </c>
      <c r="C271" t="s">
        <v>280</v>
      </c>
      <c r="D271" t="str">
        <f t="shared" si="15"/>
        <v>SANDRA MANSFIELD</v>
      </c>
      <c r="E271" t="s">
        <v>225</v>
      </c>
      <c r="F271" t="s">
        <v>92</v>
      </c>
      <c r="G271" t="s">
        <v>93</v>
      </c>
      <c r="H271">
        <v>1706194</v>
      </c>
      <c r="I271" t="s">
        <v>168</v>
      </c>
      <c r="J271" t="s">
        <v>169</v>
      </c>
      <c r="K271" t="str">
        <f t="shared" si="16"/>
        <v>MATTHEW DAUGHERTY</v>
      </c>
      <c r="L271" s="1">
        <v>45882</v>
      </c>
      <c r="M271" s="1">
        <v>45974</v>
      </c>
      <c r="N271" s="2">
        <v>73.17</v>
      </c>
      <c r="O271">
        <f t="shared" si="17"/>
        <v>3</v>
      </c>
      <c r="P271" t="s">
        <v>181</v>
      </c>
      <c r="Q271" t="s">
        <v>755</v>
      </c>
      <c r="R271" s="4">
        <v>0.375</v>
      </c>
      <c r="S271" t="s">
        <v>60</v>
      </c>
      <c r="T271" t="s">
        <v>182</v>
      </c>
      <c r="U271" s="2">
        <v>27.44</v>
      </c>
      <c r="V271" t="s">
        <v>93</v>
      </c>
    </row>
    <row r="272" spans="1:22" x14ac:dyDescent="0.25">
      <c r="A272">
        <v>2029894140</v>
      </c>
      <c r="B272" t="s">
        <v>218</v>
      </c>
      <c r="C272" t="s">
        <v>196</v>
      </c>
      <c r="D272" t="str">
        <f t="shared" si="15"/>
        <v>CAROL BALLA</v>
      </c>
      <c r="E272" t="s">
        <v>219</v>
      </c>
      <c r="F272" t="s">
        <v>116</v>
      </c>
      <c r="G272" t="s">
        <v>117</v>
      </c>
      <c r="H272">
        <v>8977234</v>
      </c>
      <c r="I272" t="s">
        <v>55</v>
      </c>
      <c r="J272" t="s">
        <v>56</v>
      </c>
      <c r="K272" t="str">
        <f t="shared" si="16"/>
        <v>RYAN CALTAGIRONE</v>
      </c>
      <c r="L272" s="1">
        <v>45852</v>
      </c>
      <c r="M272" s="1">
        <v>45975</v>
      </c>
      <c r="N272" s="2">
        <v>23.39</v>
      </c>
      <c r="O272">
        <f t="shared" si="17"/>
        <v>4</v>
      </c>
      <c r="P272" t="s">
        <v>181</v>
      </c>
      <c r="Q272" t="s">
        <v>755</v>
      </c>
      <c r="R272" s="3">
        <v>0.7</v>
      </c>
      <c r="S272" t="s">
        <v>60</v>
      </c>
      <c r="T272" t="s">
        <v>182</v>
      </c>
      <c r="U272" s="2">
        <v>16.37</v>
      </c>
      <c r="V272" t="s">
        <v>591</v>
      </c>
    </row>
    <row r="273" spans="1:53" x14ac:dyDescent="0.25">
      <c r="A273">
        <v>2029967974</v>
      </c>
      <c r="B273" t="s">
        <v>305</v>
      </c>
      <c r="C273" t="s">
        <v>306</v>
      </c>
      <c r="D273" t="str">
        <f t="shared" si="15"/>
        <v>SEMAB QURESHI</v>
      </c>
      <c r="E273" t="s">
        <v>119</v>
      </c>
      <c r="F273" t="s">
        <v>116</v>
      </c>
      <c r="G273" t="s">
        <v>117</v>
      </c>
      <c r="H273">
        <v>5442438</v>
      </c>
      <c r="I273" t="s">
        <v>307</v>
      </c>
      <c r="J273" t="s">
        <v>308</v>
      </c>
      <c r="K273" t="str">
        <f t="shared" si="16"/>
        <v>Ronald Max</v>
      </c>
      <c r="L273" s="1">
        <v>45854</v>
      </c>
      <c r="M273" s="1">
        <v>45977</v>
      </c>
      <c r="N273" s="2">
        <v>24.61</v>
      </c>
      <c r="O273">
        <f t="shared" si="17"/>
        <v>4</v>
      </c>
      <c r="P273" t="s">
        <v>181</v>
      </c>
      <c r="Q273" t="s">
        <v>755</v>
      </c>
      <c r="R273" s="3">
        <v>0.7</v>
      </c>
      <c r="S273" t="s">
        <v>60</v>
      </c>
      <c r="T273" t="s">
        <v>182</v>
      </c>
      <c r="U273" s="2">
        <v>17.23</v>
      </c>
      <c r="V273" t="s">
        <v>591</v>
      </c>
    </row>
    <row r="274" spans="1:53" x14ac:dyDescent="0.25">
      <c r="A274">
        <v>2029995394</v>
      </c>
      <c r="B274" t="s">
        <v>379</v>
      </c>
      <c r="C274" t="s">
        <v>211</v>
      </c>
      <c r="D274" t="str">
        <f t="shared" si="15"/>
        <v>TIMOTHY LOVING</v>
      </c>
      <c r="E274" t="s">
        <v>225</v>
      </c>
      <c r="F274" t="s">
        <v>116</v>
      </c>
      <c r="G274" t="s">
        <v>117</v>
      </c>
      <c r="H274">
        <v>21605264</v>
      </c>
      <c r="I274" t="s">
        <v>380</v>
      </c>
      <c r="J274" t="s">
        <v>381</v>
      </c>
      <c r="K274" t="str">
        <f t="shared" si="16"/>
        <v>Erica Solivan</v>
      </c>
      <c r="L274" s="1">
        <v>45855</v>
      </c>
      <c r="M274" s="1">
        <v>45978</v>
      </c>
      <c r="N274" s="2">
        <v>25.73</v>
      </c>
      <c r="O274">
        <f t="shared" si="17"/>
        <v>4</v>
      </c>
      <c r="P274" t="s">
        <v>181</v>
      </c>
      <c r="Q274" t="s">
        <v>755</v>
      </c>
      <c r="R274" s="3">
        <v>0.7</v>
      </c>
      <c r="S274" t="s">
        <v>60</v>
      </c>
      <c r="T274" t="s">
        <v>182</v>
      </c>
      <c r="U274" s="2">
        <v>18.010000000000002</v>
      </c>
      <c r="V274" t="s">
        <v>591</v>
      </c>
    </row>
    <row r="275" spans="1:53" x14ac:dyDescent="0.25">
      <c r="A275" s="10">
        <v>2029973108</v>
      </c>
      <c r="B275" s="10" t="s">
        <v>561</v>
      </c>
      <c r="C275" s="10" t="s">
        <v>223</v>
      </c>
      <c r="D275" s="10" t="str">
        <f t="shared" si="15"/>
        <v>ADAM OVERSTREET</v>
      </c>
      <c r="E275" s="10" t="s">
        <v>102</v>
      </c>
      <c r="F275" s="10" t="s">
        <v>116</v>
      </c>
      <c r="G275" s="10" t="s">
        <v>125</v>
      </c>
      <c r="H275" s="10">
        <v>20411454</v>
      </c>
      <c r="I275" s="10" t="s">
        <v>103</v>
      </c>
      <c r="J275" s="10" t="s">
        <v>104</v>
      </c>
      <c r="K275" s="10" t="s">
        <v>756</v>
      </c>
      <c r="L275" s="11">
        <v>45854</v>
      </c>
      <c r="M275" s="11">
        <v>45977</v>
      </c>
      <c r="N275" s="12">
        <v>5.7</v>
      </c>
      <c r="O275" s="10">
        <f t="shared" si="17"/>
        <v>4</v>
      </c>
      <c r="P275" t="s">
        <v>181</v>
      </c>
      <c r="Q275" t="s">
        <v>755</v>
      </c>
      <c r="R275" s="13">
        <v>0.3</v>
      </c>
      <c r="S275" s="10" t="s">
        <v>60</v>
      </c>
      <c r="T275" s="10" t="s">
        <v>182</v>
      </c>
      <c r="U275" s="12">
        <v>5.7</v>
      </c>
      <c r="V275" s="10" t="s">
        <v>760</v>
      </c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</row>
    <row r="276" spans="1:53" x14ac:dyDescent="0.25">
      <c r="A276" s="10">
        <v>2029973107</v>
      </c>
      <c r="B276" s="10" t="s">
        <v>561</v>
      </c>
      <c r="C276" s="10" t="s">
        <v>223</v>
      </c>
      <c r="D276" s="10" t="str">
        <f t="shared" si="15"/>
        <v>ADAM OVERSTREET</v>
      </c>
      <c r="E276" s="10" t="s">
        <v>102</v>
      </c>
      <c r="F276" s="10" t="s">
        <v>92</v>
      </c>
      <c r="G276" s="10" t="s">
        <v>93</v>
      </c>
      <c r="H276" s="10">
        <v>20411454</v>
      </c>
      <c r="I276" s="10" t="s">
        <v>103</v>
      </c>
      <c r="J276" s="10" t="s">
        <v>104</v>
      </c>
      <c r="K276" s="10" t="s">
        <v>756</v>
      </c>
      <c r="L276" s="11">
        <v>45854</v>
      </c>
      <c r="M276" s="11">
        <v>45977</v>
      </c>
      <c r="N276" s="12">
        <v>4.2300000000000004</v>
      </c>
      <c r="O276" s="10">
        <f t="shared" si="17"/>
        <v>4</v>
      </c>
      <c r="P276" t="s">
        <v>181</v>
      </c>
      <c r="Q276" t="s">
        <v>755</v>
      </c>
      <c r="R276" s="14">
        <v>9.5000000000000001E-2</v>
      </c>
      <c r="S276" s="10" t="s">
        <v>60</v>
      </c>
      <c r="T276" s="10" t="s">
        <v>182</v>
      </c>
      <c r="U276" s="12">
        <v>4.2300000000000004</v>
      </c>
      <c r="V276" s="10" t="s">
        <v>760</v>
      </c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</row>
    <row r="277" spans="1:53" x14ac:dyDescent="0.25">
      <c r="A277">
        <v>2029951925</v>
      </c>
      <c r="B277" t="s">
        <v>300</v>
      </c>
      <c r="C277" t="s">
        <v>301</v>
      </c>
      <c r="D277" t="str">
        <f t="shared" si="15"/>
        <v>URIEL MARTINEZ</v>
      </c>
      <c r="E277" t="s">
        <v>78</v>
      </c>
      <c r="F277" t="s">
        <v>53</v>
      </c>
      <c r="G277" t="s">
        <v>232</v>
      </c>
      <c r="H277">
        <v>19396223</v>
      </c>
      <c r="I277" t="s">
        <v>292</v>
      </c>
      <c r="J277" t="s">
        <v>293</v>
      </c>
      <c r="K277" t="str">
        <f t="shared" ref="K277:K304" si="18">CONCATENATE(J277, " ",I277)</f>
        <v>Saadia Abdul</v>
      </c>
      <c r="L277" s="1">
        <v>45853</v>
      </c>
      <c r="M277" s="1">
        <v>45976</v>
      </c>
      <c r="N277" s="2">
        <v>19.25</v>
      </c>
      <c r="O277">
        <f t="shared" si="17"/>
        <v>4</v>
      </c>
      <c r="P277" t="s">
        <v>181</v>
      </c>
      <c r="Q277" t="s">
        <v>755</v>
      </c>
      <c r="R277" s="3">
        <v>0.75</v>
      </c>
      <c r="S277" t="s">
        <v>60</v>
      </c>
      <c r="T277" t="s">
        <v>182</v>
      </c>
      <c r="U277" s="2">
        <v>14.44</v>
      </c>
      <c r="V277" t="s">
        <v>751</v>
      </c>
    </row>
    <row r="278" spans="1:53" x14ac:dyDescent="0.25">
      <c r="A278">
        <v>2029878253</v>
      </c>
      <c r="B278" t="s">
        <v>291</v>
      </c>
      <c r="C278" t="s">
        <v>161</v>
      </c>
      <c r="D278" t="str">
        <f t="shared" si="15"/>
        <v>JACOB DEUSER</v>
      </c>
      <c r="E278" t="s">
        <v>78</v>
      </c>
      <c r="F278" t="s">
        <v>53</v>
      </c>
      <c r="G278" t="s">
        <v>54</v>
      </c>
      <c r="H278">
        <v>19396223</v>
      </c>
      <c r="I278" t="s">
        <v>292</v>
      </c>
      <c r="J278" t="s">
        <v>293</v>
      </c>
      <c r="K278" t="str">
        <f t="shared" si="18"/>
        <v>Saadia Abdul</v>
      </c>
      <c r="L278" s="1">
        <v>45853</v>
      </c>
      <c r="M278" s="1">
        <v>45976</v>
      </c>
      <c r="N278" s="2">
        <v>15.97</v>
      </c>
      <c r="O278">
        <f t="shared" si="17"/>
        <v>4</v>
      </c>
      <c r="P278" t="s">
        <v>181</v>
      </c>
      <c r="Q278" t="s">
        <v>755</v>
      </c>
      <c r="R278" s="3">
        <v>0.75</v>
      </c>
      <c r="S278" t="s">
        <v>60</v>
      </c>
      <c r="T278" t="s">
        <v>182</v>
      </c>
      <c r="U278" s="2">
        <v>11.98</v>
      </c>
      <c r="V278" t="s">
        <v>751</v>
      </c>
    </row>
    <row r="279" spans="1:53" x14ac:dyDescent="0.25">
      <c r="A279">
        <v>2029894138</v>
      </c>
      <c r="B279" t="s">
        <v>218</v>
      </c>
      <c r="C279" t="s">
        <v>196</v>
      </c>
      <c r="D279" t="str">
        <f t="shared" si="15"/>
        <v>CAROL BALLA</v>
      </c>
      <c r="E279" t="s">
        <v>219</v>
      </c>
      <c r="F279" t="s">
        <v>53</v>
      </c>
      <c r="G279" t="s">
        <v>54</v>
      </c>
      <c r="H279">
        <v>8977234</v>
      </c>
      <c r="I279" t="s">
        <v>55</v>
      </c>
      <c r="J279" t="s">
        <v>56</v>
      </c>
      <c r="K279" t="str">
        <f t="shared" si="18"/>
        <v>RYAN CALTAGIRONE</v>
      </c>
      <c r="L279" s="1">
        <v>45852</v>
      </c>
      <c r="M279" s="1">
        <v>45975</v>
      </c>
      <c r="N279" s="2">
        <v>80.8</v>
      </c>
      <c r="O279">
        <f t="shared" si="17"/>
        <v>4</v>
      </c>
      <c r="P279" t="s">
        <v>181</v>
      </c>
      <c r="Q279" t="s">
        <v>755</v>
      </c>
      <c r="R279" s="3">
        <v>0.75</v>
      </c>
      <c r="S279" t="s">
        <v>60</v>
      </c>
      <c r="T279" t="s">
        <v>182</v>
      </c>
      <c r="U279" s="2">
        <v>60.6</v>
      </c>
      <c r="V279" t="s">
        <v>751</v>
      </c>
    </row>
    <row r="280" spans="1:53" x14ac:dyDescent="0.25">
      <c r="A280">
        <v>2029967975</v>
      </c>
      <c r="B280" t="s">
        <v>305</v>
      </c>
      <c r="C280" t="s">
        <v>306</v>
      </c>
      <c r="D280" t="str">
        <f t="shared" si="15"/>
        <v>SEMAB QURESHI</v>
      </c>
      <c r="E280" t="s">
        <v>119</v>
      </c>
      <c r="F280" t="s">
        <v>53</v>
      </c>
      <c r="G280" t="s">
        <v>70</v>
      </c>
      <c r="H280">
        <v>5442438</v>
      </c>
      <c r="I280" t="s">
        <v>307</v>
      </c>
      <c r="J280" t="s">
        <v>308</v>
      </c>
      <c r="K280" t="str">
        <f t="shared" si="18"/>
        <v>Ronald Max</v>
      </c>
      <c r="L280" s="1">
        <v>45854</v>
      </c>
      <c r="M280" s="1">
        <v>45977</v>
      </c>
      <c r="N280" s="2">
        <v>107.63</v>
      </c>
      <c r="O280">
        <f t="shared" si="17"/>
        <v>4</v>
      </c>
      <c r="P280" t="s">
        <v>181</v>
      </c>
      <c r="Q280" t="s">
        <v>755</v>
      </c>
      <c r="R280" s="3">
        <v>0.9</v>
      </c>
      <c r="S280" t="s">
        <v>60</v>
      </c>
      <c r="T280" t="s">
        <v>182</v>
      </c>
      <c r="U280" s="2">
        <v>96.87</v>
      </c>
      <c r="V280" t="s">
        <v>752</v>
      </c>
    </row>
    <row r="281" spans="1:53" x14ac:dyDescent="0.25">
      <c r="A281">
        <v>2029967973</v>
      </c>
      <c r="B281" t="s">
        <v>305</v>
      </c>
      <c r="C281" t="s">
        <v>306</v>
      </c>
      <c r="D281" t="str">
        <f t="shared" si="15"/>
        <v>SEMAB QURESHI</v>
      </c>
      <c r="E281" t="s">
        <v>119</v>
      </c>
      <c r="F281" t="s">
        <v>116</v>
      </c>
      <c r="G281" t="s">
        <v>429</v>
      </c>
      <c r="H281">
        <v>5442438</v>
      </c>
      <c r="I281" t="s">
        <v>307</v>
      </c>
      <c r="J281" t="s">
        <v>308</v>
      </c>
      <c r="K281" t="str">
        <f t="shared" si="18"/>
        <v>Ronald Max</v>
      </c>
      <c r="L281" s="1">
        <v>45854</v>
      </c>
      <c r="M281" s="1">
        <v>45977</v>
      </c>
      <c r="N281" s="2">
        <v>32.81</v>
      </c>
      <c r="O281">
        <f t="shared" si="17"/>
        <v>4</v>
      </c>
      <c r="P281" t="s">
        <v>181</v>
      </c>
      <c r="Q281" t="s">
        <v>755</v>
      </c>
      <c r="R281" s="3">
        <v>0.42</v>
      </c>
      <c r="S281" t="s">
        <v>60</v>
      </c>
      <c r="T281" t="s">
        <v>182</v>
      </c>
      <c r="U281" s="2">
        <v>13.78</v>
      </c>
      <c r="V281" t="s">
        <v>429</v>
      </c>
    </row>
    <row r="282" spans="1:53" x14ac:dyDescent="0.25">
      <c r="A282">
        <v>2029995395</v>
      </c>
      <c r="B282" t="s">
        <v>379</v>
      </c>
      <c r="C282" t="s">
        <v>211</v>
      </c>
      <c r="D282" t="str">
        <f t="shared" si="15"/>
        <v>TIMOTHY LOVING</v>
      </c>
      <c r="E282" t="s">
        <v>225</v>
      </c>
      <c r="F282" t="s">
        <v>79</v>
      </c>
      <c r="G282" t="s">
        <v>85</v>
      </c>
      <c r="H282">
        <v>21605264</v>
      </c>
      <c r="I282" t="s">
        <v>380</v>
      </c>
      <c r="J282" t="s">
        <v>381</v>
      </c>
      <c r="K282" t="str">
        <f t="shared" si="18"/>
        <v>Erica Solivan</v>
      </c>
      <c r="L282" s="1">
        <v>45855</v>
      </c>
      <c r="M282" s="1">
        <v>45978</v>
      </c>
      <c r="N282" s="2">
        <v>15</v>
      </c>
      <c r="O282">
        <f t="shared" si="17"/>
        <v>4</v>
      </c>
      <c r="P282" t="s">
        <v>181</v>
      </c>
      <c r="Q282" t="s">
        <v>755</v>
      </c>
      <c r="R282" s="3">
        <v>0.28999999999999998</v>
      </c>
      <c r="S282" t="s">
        <v>60</v>
      </c>
      <c r="T282" t="s">
        <v>182</v>
      </c>
      <c r="U282" s="2">
        <v>4.3499999999999996</v>
      </c>
      <c r="V282" t="s">
        <v>171</v>
      </c>
    </row>
    <row r="283" spans="1:53" x14ac:dyDescent="0.25">
      <c r="A283">
        <v>2029995393</v>
      </c>
      <c r="B283" t="s">
        <v>379</v>
      </c>
      <c r="C283" t="s">
        <v>211</v>
      </c>
      <c r="D283" t="str">
        <f t="shared" si="15"/>
        <v>TIMOTHY LOVING</v>
      </c>
      <c r="E283" t="s">
        <v>225</v>
      </c>
      <c r="F283" t="s">
        <v>166</v>
      </c>
      <c r="G283" t="s">
        <v>171</v>
      </c>
      <c r="H283">
        <v>21605264</v>
      </c>
      <c r="I283" t="s">
        <v>380</v>
      </c>
      <c r="J283" t="s">
        <v>381</v>
      </c>
      <c r="K283" t="str">
        <f t="shared" si="18"/>
        <v>Erica Solivan</v>
      </c>
      <c r="L283" s="1">
        <v>45855</v>
      </c>
      <c r="M283" s="1">
        <v>45978</v>
      </c>
      <c r="N283" s="2">
        <v>154.38</v>
      </c>
      <c r="O283">
        <f t="shared" si="17"/>
        <v>4</v>
      </c>
      <c r="P283" t="s">
        <v>181</v>
      </c>
      <c r="Q283" t="s">
        <v>755</v>
      </c>
      <c r="R283" s="3">
        <v>0.28999999999999998</v>
      </c>
      <c r="S283" t="s">
        <v>60</v>
      </c>
      <c r="T283" t="s">
        <v>182</v>
      </c>
      <c r="U283" s="2">
        <v>44.77</v>
      </c>
      <c r="V283" t="s">
        <v>171</v>
      </c>
    </row>
    <row r="284" spans="1:53" x14ac:dyDescent="0.25">
      <c r="A284">
        <v>2029904976</v>
      </c>
      <c r="B284" t="s">
        <v>554</v>
      </c>
      <c r="C284" t="s">
        <v>555</v>
      </c>
      <c r="D284" t="str">
        <f t="shared" si="15"/>
        <v>BELANI AMIT</v>
      </c>
      <c r="E284" t="s">
        <v>225</v>
      </c>
      <c r="F284" t="s">
        <v>116</v>
      </c>
      <c r="G284" t="s">
        <v>125</v>
      </c>
      <c r="H284">
        <v>8307933</v>
      </c>
      <c r="I284" t="s">
        <v>260</v>
      </c>
      <c r="J284" t="s">
        <v>261</v>
      </c>
      <c r="K284" t="str">
        <f t="shared" si="18"/>
        <v>GREGORY TEIPEL</v>
      </c>
      <c r="L284" s="1">
        <v>45850</v>
      </c>
      <c r="M284" s="1">
        <v>45973</v>
      </c>
      <c r="N284" s="2">
        <v>10.35</v>
      </c>
      <c r="O284">
        <f t="shared" si="17"/>
        <v>4</v>
      </c>
      <c r="P284" t="s">
        <v>181</v>
      </c>
      <c r="Q284" t="s">
        <v>755</v>
      </c>
      <c r="R284" s="3">
        <v>0.7</v>
      </c>
      <c r="S284" t="s">
        <v>60</v>
      </c>
      <c r="T284" t="s">
        <v>182</v>
      </c>
      <c r="U284" s="2">
        <v>7.24</v>
      </c>
      <c r="V284" t="s">
        <v>125</v>
      </c>
    </row>
    <row r="285" spans="1:53" x14ac:dyDescent="0.25">
      <c r="A285">
        <v>2029989667</v>
      </c>
      <c r="B285" t="s">
        <v>563</v>
      </c>
      <c r="C285" t="s">
        <v>485</v>
      </c>
      <c r="D285" t="str">
        <f t="shared" si="15"/>
        <v>ZACHARY PUGH</v>
      </c>
      <c r="E285" t="s">
        <v>91</v>
      </c>
      <c r="F285" t="s">
        <v>116</v>
      </c>
      <c r="G285" t="s">
        <v>125</v>
      </c>
      <c r="H285">
        <v>9213293</v>
      </c>
      <c r="I285" t="s">
        <v>547</v>
      </c>
      <c r="J285" t="s">
        <v>548</v>
      </c>
      <c r="K285" t="str">
        <f t="shared" si="18"/>
        <v>GARY PORTUGAL</v>
      </c>
      <c r="L285" s="1">
        <v>45855</v>
      </c>
      <c r="M285" s="1">
        <v>45978</v>
      </c>
      <c r="N285" s="2">
        <v>13</v>
      </c>
      <c r="O285">
        <f t="shared" si="17"/>
        <v>4</v>
      </c>
      <c r="P285" t="s">
        <v>181</v>
      </c>
      <c r="Q285" t="s">
        <v>755</v>
      </c>
      <c r="R285" s="3">
        <v>0.7</v>
      </c>
      <c r="S285" t="s">
        <v>60</v>
      </c>
      <c r="T285" t="s">
        <v>182</v>
      </c>
      <c r="U285" s="2">
        <v>9.1</v>
      </c>
      <c r="V285" t="s">
        <v>125</v>
      </c>
    </row>
    <row r="286" spans="1:53" x14ac:dyDescent="0.25">
      <c r="A286">
        <v>2029971479</v>
      </c>
      <c r="B286" t="s">
        <v>560</v>
      </c>
      <c r="C286" t="s">
        <v>211</v>
      </c>
      <c r="D286" t="str">
        <f t="shared" si="15"/>
        <v>TIMOTHY HODGMAN</v>
      </c>
      <c r="E286" t="s">
        <v>272</v>
      </c>
      <c r="F286" t="s">
        <v>116</v>
      </c>
      <c r="G286" t="s">
        <v>125</v>
      </c>
      <c r="H286">
        <v>18581063</v>
      </c>
      <c r="I286" t="s">
        <v>273</v>
      </c>
      <c r="J286" t="s">
        <v>274</v>
      </c>
      <c r="K286" t="str">
        <f t="shared" si="18"/>
        <v>Timothy Hodgman</v>
      </c>
      <c r="L286" s="1">
        <v>45854</v>
      </c>
      <c r="M286" s="1">
        <v>45977</v>
      </c>
      <c r="N286" s="2">
        <v>15.75</v>
      </c>
      <c r="O286">
        <f t="shared" si="17"/>
        <v>4</v>
      </c>
      <c r="P286" t="s">
        <v>181</v>
      </c>
      <c r="Q286" t="s">
        <v>755</v>
      </c>
      <c r="R286" s="3">
        <v>0.7</v>
      </c>
      <c r="S286" t="s">
        <v>60</v>
      </c>
      <c r="T286" t="s">
        <v>182</v>
      </c>
      <c r="U286" s="2">
        <v>11.02</v>
      </c>
      <c r="V286" t="s">
        <v>125</v>
      </c>
    </row>
    <row r="287" spans="1:53" x14ac:dyDescent="0.25">
      <c r="A287">
        <v>2029878252</v>
      </c>
      <c r="B287" t="s">
        <v>291</v>
      </c>
      <c r="C287" t="s">
        <v>161</v>
      </c>
      <c r="D287" t="str">
        <f t="shared" si="15"/>
        <v>JACOB DEUSER</v>
      </c>
      <c r="E287" t="s">
        <v>78</v>
      </c>
      <c r="F287" t="s">
        <v>116</v>
      </c>
      <c r="G287" t="s">
        <v>125</v>
      </c>
      <c r="H287">
        <v>19396223</v>
      </c>
      <c r="I287" t="s">
        <v>292</v>
      </c>
      <c r="J287" t="s">
        <v>293</v>
      </c>
      <c r="K287" t="str">
        <f t="shared" si="18"/>
        <v>Saadia Abdul</v>
      </c>
      <c r="L287" s="1">
        <v>45853</v>
      </c>
      <c r="M287" s="1">
        <v>45976</v>
      </c>
      <c r="N287" s="2">
        <v>39.25</v>
      </c>
      <c r="O287">
        <f t="shared" si="17"/>
        <v>4</v>
      </c>
      <c r="P287" t="s">
        <v>181</v>
      </c>
      <c r="Q287" t="s">
        <v>755</v>
      </c>
      <c r="R287" s="3">
        <v>0.7</v>
      </c>
      <c r="S287" t="s">
        <v>60</v>
      </c>
      <c r="T287" t="s">
        <v>182</v>
      </c>
      <c r="U287" s="2">
        <v>27.48</v>
      </c>
      <c r="V287" t="s">
        <v>125</v>
      </c>
    </row>
    <row r="288" spans="1:53" x14ac:dyDescent="0.25">
      <c r="A288">
        <v>2029951924</v>
      </c>
      <c r="B288" t="s">
        <v>300</v>
      </c>
      <c r="C288" t="s">
        <v>301</v>
      </c>
      <c r="D288" t="str">
        <f t="shared" si="15"/>
        <v>URIEL MARTINEZ</v>
      </c>
      <c r="E288" t="s">
        <v>78</v>
      </c>
      <c r="F288" t="s">
        <v>116</v>
      </c>
      <c r="G288" t="s">
        <v>125</v>
      </c>
      <c r="H288">
        <v>19396223</v>
      </c>
      <c r="I288" t="s">
        <v>292</v>
      </c>
      <c r="J288" t="s">
        <v>293</v>
      </c>
      <c r="K288" t="str">
        <f t="shared" si="18"/>
        <v>Saadia Abdul</v>
      </c>
      <c r="L288" s="1">
        <v>45853</v>
      </c>
      <c r="M288" s="1">
        <v>45976</v>
      </c>
      <c r="N288" s="2">
        <v>41.5</v>
      </c>
      <c r="O288">
        <f t="shared" si="17"/>
        <v>4</v>
      </c>
      <c r="P288" t="s">
        <v>181</v>
      </c>
      <c r="Q288" t="s">
        <v>755</v>
      </c>
      <c r="R288" s="3">
        <v>0.7</v>
      </c>
      <c r="S288" t="s">
        <v>60</v>
      </c>
      <c r="T288" t="s">
        <v>182</v>
      </c>
      <c r="U288" s="2">
        <v>29.05</v>
      </c>
      <c r="V288" t="s">
        <v>125</v>
      </c>
    </row>
    <row r="289" spans="1:22" x14ac:dyDescent="0.25">
      <c r="A289">
        <v>2029951220</v>
      </c>
      <c r="B289" t="s">
        <v>684</v>
      </c>
      <c r="C289" t="s">
        <v>685</v>
      </c>
      <c r="D289" t="str">
        <f t="shared" si="15"/>
        <v>DARBRA HERRICK</v>
      </c>
      <c r="E289" t="s">
        <v>299</v>
      </c>
      <c r="F289" t="s">
        <v>116</v>
      </c>
      <c r="G289" t="s">
        <v>125</v>
      </c>
      <c r="H289">
        <v>8977234</v>
      </c>
      <c r="I289" t="s">
        <v>55</v>
      </c>
      <c r="J289" t="s">
        <v>56</v>
      </c>
      <c r="K289" t="str">
        <f t="shared" si="18"/>
        <v>RYAN CALTAGIRONE</v>
      </c>
      <c r="L289" s="1">
        <v>45853</v>
      </c>
      <c r="M289" s="1">
        <v>45976</v>
      </c>
      <c r="N289" s="2">
        <v>125.48</v>
      </c>
      <c r="O289">
        <f t="shared" si="17"/>
        <v>4</v>
      </c>
      <c r="P289" t="s">
        <v>181</v>
      </c>
      <c r="Q289" t="s">
        <v>755</v>
      </c>
      <c r="R289" s="3">
        <v>0.7</v>
      </c>
      <c r="S289" t="s">
        <v>60</v>
      </c>
      <c r="T289" t="s">
        <v>182</v>
      </c>
      <c r="U289" s="2">
        <v>87.84</v>
      </c>
      <c r="V289" t="s">
        <v>125</v>
      </c>
    </row>
    <row r="290" spans="1:22" x14ac:dyDescent="0.25">
      <c r="A290">
        <v>2029935514</v>
      </c>
      <c r="B290" t="s">
        <v>682</v>
      </c>
      <c r="C290" t="s">
        <v>683</v>
      </c>
      <c r="D290" t="str">
        <f t="shared" si="15"/>
        <v>TERRIE PALAZZO</v>
      </c>
      <c r="E290" t="s">
        <v>272</v>
      </c>
      <c r="F290" t="s">
        <v>116</v>
      </c>
      <c r="G290" t="s">
        <v>125</v>
      </c>
      <c r="H290">
        <v>18581063</v>
      </c>
      <c r="I290" t="s">
        <v>273</v>
      </c>
      <c r="J290" t="s">
        <v>274</v>
      </c>
      <c r="K290" t="str">
        <f t="shared" si="18"/>
        <v>Timothy Hodgman</v>
      </c>
      <c r="L290" s="1">
        <v>45853</v>
      </c>
      <c r="M290" s="1">
        <v>45976</v>
      </c>
      <c r="N290" s="2">
        <v>155.81</v>
      </c>
      <c r="O290">
        <f t="shared" si="17"/>
        <v>4</v>
      </c>
      <c r="P290" t="s">
        <v>181</v>
      </c>
      <c r="Q290" t="s">
        <v>755</v>
      </c>
      <c r="R290" s="3">
        <v>0.7</v>
      </c>
      <c r="S290" t="s">
        <v>60</v>
      </c>
      <c r="T290" t="s">
        <v>182</v>
      </c>
      <c r="U290" s="2">
        <v>109.07</v>
      </c>
      <c r="V290" t="s">
        <v>125</v>
      </c>
    </row>
    <row r="291" spans="1:22" x14ac:dyDescent="0.25">
      <c r="A291">
        <v>2029894139</v>
      </c>
      <c r="B291" t="s">
        <v>218</v>
      </c>
      <c r="C291" t="s">
        <v>196</v>
      </c>
      <c r="D291" t="str">
        <f t="shared" si="15"/>
        <v>CAROL BALLA</v>
      </c>
      <c r="E291" t="s">
        <v>219</v>
      </c>
      <c r="F291" t="s">
        <v>116</v>
      </c>
      <c r="G291" t="s">
        <v>125</v>
      </c>
      <c r="H291">
        <v>8977234</v>
      </c>
      <c r="I291" t="s">
        <v>55</v>
      </c>
      <c r="J291" t="s">
        <v>56</v>
      </c>
      <c r="K291" t="str">
        <f t="shared" si="18"/>
        <v>RYAN CALTAGIRONE</v>
      </c>
      <c r="L291" s="1">
        <v>45852</v>
      </c>
      <c r="M291" s="1">
        <v>45975</v>
      </c>
      <c r="N291" s="2">
        <v>198.4</v>
      </c>
      <c r="O291">
        <f t="shared" si="17"/>
        <v>4</v>
      </c>
      <c r="P291" t="s">
        <v>181</v>
      </c>
      <c r="Q291" t="s">
        <v>755</v>
      </c>
      <c r="R291" s="3">
        <v>0.7</v>
      </c>
      <c r="S291" t="s">
        <v>60</v>
      </c>
      <c r="T291" t="s">
        <v>182</v>
      </c>
      <c r="U291" s="2">
        <v>138.88</v>
      </c>
      <c r="V291" t="s">
        <v>125</v>
      </c>
    </row>
    <row r="292" spans="1:22" x14ac:dyDescent="0.25">
      <c r="A292">
        <v>2029989666</v>
      </c>
      <c r="B292" t="s">
        <v>563</v>
      </c>
      <c r="C292" t="s">
        <v>485</v>
      </c>
      <c r="D292" t="str">
        <f t="shared" si="15"/>
        <v>ZACHARY PUGH</v>
      </c>
      <c r="E292" t="s">
        <v>91</v>
      </c>
      <c r="F292" t="s">
        <v>92</v>
      </c>
      <c r="G292" t="s">
        <v>93</v>
      </c>
      <c r="H292">
        <v>9213293</v>
      </c>
      <c r="I292" t="s">
        <v>547</v>
      </c>
      <c r="J292" t="s">
        <v>548</v>
      </c>
      <c r="K292" t="str">
        <f t="shared" si="18"/>
        <v>GARY PORTUGAL</v>
      </c>
      <c r="L292" s="1">
        <v>45855</v>
      </c>
      <c r="M292" s="1">
        <v>45978</v>
      </c>
      <c r="N292" s="2">
        <v>50.3</v>
      </c>
      <c r="O292">
        <f t="shared" si="17"/>
        <v>4</v>
      </c>
      <c r="P292" t="s">
        <v>181</v>
      </c>
      <c r="Q292" t="s">
        <v>755</v>
      </c>
      <c r="R292" s="4">
        <v>0.375</v>
      </c>
      <c r="S292" t="s">
        <v>60</v>
      </c>
      <c r="T292" t="s">
        <v>182</v>
      </c>
      <c r="U292" s="2">
        <v>18.86</v>
      </c>
      <c r="V292" t="s">
        <v>93</v>
      </c>
    </row>
    <row r="293" spans="1:22" x14ac:dyDescent="0.25">
      <c r="A293">
        <v>2029951923</v>
      </c>
      <c r="B293" t="s">
        <v>300</v>
      </c>
      <c r="C293" t="s">
        <v>301</v>
      </c>
      <c r="D293" t="str">
        <f t="shared" si="15"/>
        <v>URIEL MARTINEZ</v>
      </c>
      <c r="E293" t="s">
        <v>78</v>
      </c>
      <c r="F293" t="s">
        <v>92</v>
      </c>
      <c r="G293" t="s">
        <v>93</v>
      </c>
      <c r="H293">
        <v>19396223</v>
      </c>
      <c r="I293" t="s">
        <v>292</v>
      </c>
      <c r="J293" t="s">
        <v>293</v>
      </c>
      <c r="K293" t="str">
        <f t="shared" si="18"/>
        <v>Saadia Abdul</v>
      </c>
      <c r="L293" s="1">
        <v>45853</v>
      </c>
      <c r="M293" s="1">
        <v>45976</v>
      </c>
      <c r="N293" s="2">
        <v>77.48</v>
      </c>
      <c r="O293">
        <f t="shared" si="17"/>
        <v>4</v>
      </c>
      <c r="P293" t="s">
        <v>181</v>
      </c>
      <c r="Q293" t="s">
        <v>755</v>
      </c>
      <c r="R293" s="4">
        <v>0.375</v>
      </c>
      <c r="S293" t="s">
        <v>60</v>
      </c>
      <c r="T293" t="s">
        <v>182</v>
      </c>
      <c r="U293" s="2">
        <v>29.06</v>
      </c>
      <c r="V293" t="s">
        <v>93</v>
      </c>
    </row>
    <row r="294" spans="1:22" x14ac:dyDescent="0.25">
      <c r="A294">
        <v>2029904975</v>
      </c>
      <c r="B294" t="s">
        <v>554</v>
      </c>
      <c r="C294" t="s">
        <v>555</v>
      </c>
      <c r="D294" t="str">
        <f t="shared" si="15"/>
        <v>BELANI AMIT</v>
      </c>
      <c r="E294" t="s">
        <v>225</v>
      </c>
      <c r="F294" t="s">
        <v>92</v>
      </c>
      <c r="G294" t="s">
        <v>93</v>
      </c>
      <c r="H294">
        <v>8307933</v>
      </c>
      <c r="I294" t="s">
        <v>260</v>
      </c>
      <c r="J294" t="s">
        <v>261</v>
      </c>
      <c r="K294" t="str">
        <f t="shared" si="18"/>
        <v>GREGORY TEIPEL</v>
      </c>
      <c r="L294" s="1">
        <v>45850</v>
      </c>
      <c r="M294" s="1">
        <v>45973</v>
      </c>
      <c r="N294" s="2">
        <v>102.62</v>
      </c>
      <c r="O294">
        <f t="shared" si="17"/>
        <v>4</v>
      </c>
      <c r="P294" t="s">
        <v>181</v>
      </c>
      <c r="Q294" t="s">
        <v>755</v>
      </c>
      <c r="R294" s="4">
        <v>0.375</v>
      </c>
      <c r="S294" t="s">
        <v>60</v>
      </c>
      <c r="T294" t="s">
        <v>182</v>
      </c>
      <c r="U294" s="2">
        <v>38.479999999999997</v>
      </c>
      <c r="V294" t="s">
        <v>93</v>
      </c>
    </row>
    <row r="295" spans="1:22" x14ac:dyDescent="0.25">
      <c r="A295">
        <v>2029971480</v>
      </c>
      <c r="B295" t="s">
        <v>560</v>
      </c>
      <c r="C295" t="s">
        <v>211</v>
      </c>
      <c r="D295" t="str">
        <f t="shared" si="15"/>
        <v>TIMOTHY HODGMAN</v>
      </c>
      <c r="E295" t="s">
        <v>272</v>
      </c>
      <c r="F295" t="s">
        <v>92</v>
      </c>
      <c r="G295" t="s">
        <v>93</v>
      </c>
      <c r="H295">
        <v>18581063</v>
      </c>
      <c r="I295" t="s">
        <v>273</v>
      </c>
      <c r="J295" t="s">
        <v>274</v>
      </c>
      <c r="K295" t="str">
        <f t="shared" si="18"/>
        <v>Timothy Hodgman</v>
      </c>
      <c r="L295" s="1">
        <v>45854</v>
      </c>
      <c r="M295" s="1">
        <v>45977</v>
      </c>
      <c r="N295" s="2">
        <v>188.04</v>
      </c>
      <c r="O295">
        <f t="shared" si="17"/>
        <v>4</v>
      </c>
      <c r="P295" t="s">
        <v>181</v>
      </c>
      <c r="Q295" t="s">
        <v>755</v>
      </c>
      <c r="R295" s="4">
        <v>0.375</v>
      </c>
      <c r="S295" t="s">
        <v>60</v>
      </c>
      <c r="T295" t="s">
        <v>182</v>
      </c>
      <c r="U295" s="2">
        <v>70.52</v>
      </c>
      <c r="V295" t="s">
        <v>93</v>
      </c>
    </row>
    <row r="296" spans="1:22" x14ac:dyDescent="0.25">
      <c r="A296">
        <v>2029894141</v>
      </c>
      <c r="B296" t="s">
        <v>218</v>
      </c>
      <c r="C296" t="s">
        <v>196</v>
      </c>
      <c r="D296" t="str">
        <f t="shared" si="15"/>
        <v>CAROL BALLA</v>
      </c>
      <c r="E296" t="s">
        <v>219</v>
      </c>
      <c r="F296" t="s">
        <v>176</v>
      </c>
      <c r="G296" t="s">
        <v>177</v>
      </c>
      <c r="H296">
        <v>8977234</v>
      </c>
      <c r="I296" t="s">
        <v>55</v>
      </c>
      <c r="J296" t="s">
        <v>56</v>
      </c>
      <c r="K296" t="str">
        <f t="shared" si="18"/>
        <v>RYAN CALTAGIRONE</v>
      </c>
      <c r="L296" s="1">
        <v>45852</v>
      </c>
      <c r="M296" s="1">
        <v>45975</v>
      </c>
      <c r="N296" s="2">
        <v>42.45</v>
      </c>
      <c r="O296">
        <f t="shared" si="17"/>
        <v>4</v>
      </c>
      <c r="P296" t="s">
        <v>181</v>
      </c>
      <c r="Q296" t="s">
        <v>755</v>
      </c>
      <c r="R296" s="3">
        <v>0.6</v>
      </c>
      <c r="S296" t="s">
        <v>60</v>
      </c>
      <c r="T296" t="s">
        <v>182</v>
      </c>
      <c r="U296" s="2">
        <v>25.47</v>
      </c>
      <c r="V296" t="s">
        <v>177</v>
      </c>
    </row>
    <row r="297" spans="1:22" x14ac:dyDescent="0.25">
      <c r="A297">
        <v>2029185271</v>
      </c>
      <c r="B297" t="s">
        <v>286</v>
      </c>
      <c r="C297" t="s">
        <v>287</v>
      </c>
      <c r="D297" t="str">
        <f t="shared" si="15"/>
        <v>JILL MCKEE</v>
      </c>
      <c r="E297" t="s">
        <v>288</v>
      </c>
      <c r="F297" t="s">
        <v>53</v>
      </c>
      <c r="G297" t="s">
        <v>54</v>
      </c>
      <c r="H297">
        <v>8977234</v>
      </c>
      <c r="I297" t="s">
        <v>55</v>
      </c>
      <c r="J297" t="s">
        <v>56</v>
      </c>
      <c r="K297" t="str">
        <f t="shared" si="18"/>
        <v>RYAN CALTAGIRONE</v>
      </c>
      <c r="L297" s="1">
        <v>45825</v>
      </c>
      <c r="M297" s="1">
        <v>45978</v>
      </c>
      <c r="N297" s="2">
        <v>66.03</v>
      </c>
      <c r="O297">
        <f t="shared" si="17"/>
        <v>5</v>
      </c>
      <c r="P297" t="s">
        <v>181</v>
      </c>
      <c r="Q297" t="s">
        <v>755</v>
      </c>
      <c r="R297" s="3">
        <v>0.75</v>
      </c>
      <c r="S297" t="s">
        <v>60</v>
      </c>
      <c r="T297" t="s">
        <v>182</v>
      </c>
      <c r="U297" s="2">
        <v>49.52</v>
      </c>
      <c r="V297" t="s">
        <v>751</v>
      </c>
    </row>
    <row r="298" spans="1:22" x14ac:dyDescent="0.25">
      <c r="A298">
        <v>2029358060</v>
      </c>
      <c r="B298" t="s">
        <v>473</v>
      </c>
      <c r="C298" t="s">
        <v>474</v>
      </c>
      <c r="D298" t="str">
        <f t="shared" si="15"/>
        <v>RAYMOND HADDAD</v>
      </c>
      <c r="E298" t="s">
        <v>189</v>
      </c>
      <c r="F298" t="s">
        <v>443</v>
      </c>
      <c r="G298" t="s">
        <v>444</v>
      </c>
      <c r="H298">
        <v>19278370</v>
      </c>
      <c r="I298" t="s">
        <v>395</v>
      </c>
      <c r="J298" t="s">
        <v>396</v>
      </c>
      <c r="K298" t="str">
        <f t="shared" si="18"/>
        <v>ANNE MARIE KOZACHECK</v>
      </c>
      <c r="L298" s="1">
        <v>45817</v>
      </c>
      <c r="M298" s="1">
        <v>45970</v>
      </c>
      <c r="N298" s="2">
        <v>60.6</v>
      </c>
      <c r="O298">
        <f t="shared" si="17"/>
        <v>5</v>
      </c>
      <c r="P298" t="s">
        <v>181</v>
      </c>
      <c r="Q298" t="s">
        <v>755</v>
      </c>
      <c r="R298" s="3">
        <v>0.47</v>
      </c>
      <c r="S298" t="s">
        <v>60</v>
      </c>
      <c r="T298" t="s">
        <v>182</v>
      </c>
      <c r="U298" s="2">
        <v>28.48</v>
      </c>
      <c r="V298" t="s">
        <v>444</v>
      </c>
    </row>
    <row r="299" spans="1:22" x14ac:dyDescent="0.25">
      <c r="A299">
        <v>2029185272</v>
      </c>
      <c r="B299" t="s">
        <v>286</v>
      </c>
      <c r="C299" t="s">
        <v>287</v>
      </c>
      <c r="D299" t="str">
        <f t="shared" si="15"/>
        <v>JILL MCKEE</v>
      </c>
      <c r="E299" t="s">
        <v>288</v>
      </c>
      <c r="F299" t="s">
        <v>116</v>
      </c>
      <c r="G299" t="s">
        <v>125</v>
      </c>
      <c r="H299">
        <v>8977234</v>
      </c>
      <c r="I299" t="s">
        <v>55</v>
      </c>
      <c r="J299" t="s">
        <v>56</v>
      </c>
      <c r="K299" t="str">
        <f t="shared" si="18"/>
        <v>RYAN CALTAGIRONE</v>
      </c>
      <c r="L299" s="1">
        <v>45825</v>
      </c>
      <c r="M299" s="1">
        <v>45978</v>
      </c>
      <c r="N299" s="2">
        <v>10.82</v>
      </c>
      <c r="O299">
        <f t="shared" si="17"/>
        <v>5</v>
      </c>
      <c r="P299" t="s">
        <v>181</v>
      </c>
      <c r="Q299" t="s">
        <v>755</v>
      </c>
      <c r="R299" s="3">
        <v>0.7</v>
      </c>
      <c r="S299" t="s">
        <v>60</v>
      </c>
      <c r="T299" t="s">
        <v>182</v>
      </c>
      <c r="U299" s="2">
        <v>7.57</v>
      </c>
      <c r="V299" t="s">
        <v>125</v>
      </c>
    </row>
    <row r="300" spans="1:22" x14ac:dyDescent="0.25">
      <c r="A300">
        <v>2029410874</v>
      </c>
      <c r="B300" t="s">
        <v>314</v>
      </c>
      <c r="C300" t="s">
        <v>676</v>
      </c>
      <c r="D300" t="str">
        <f t="shared" si="15"/>
        <v>LESSIE CHESTER</v>
      </c>
      <c r="E300" t="s">
        <v>91</v>
      </c>
      <c r="F300" t="s">
        <v>116</v>
      </c>
      <c r="G300" t="s">
        <v>125</v>
      </c>
      <c r="H300">
        <v>21435997</v>
      </c>
      <c r="I300" t="s">
        <v>645</v>
      </c>
      <c r="J300" t="s">
        <v>646</v>
      </c>
      <c r="K300" t="str">
        <f t="shared" si="18"/>
        <v>Christopher Brousseau</v>
      </c>
      <c r="L300" s="1">
        <v>45821</v>
      </c>
      <c r="M300" s="1">
        <v>45974</v>
      </c>
      <c r="N300" s="2">
        <v>48.76</v>
      </c>
      <c r="O300">
        <f t="shared" si="17"/>
        <v>5</v>
      </c>
      <c r="P300" t="s">
        <v>181</v>
      </c>
      <c r="Q300" t="s">
        <v>755</v>
      </c>
      <c r="R300" s="3">
        <v>0.7</v>
      </c>
      <c r="S300" t="s">
        <v>60</v>
      </c>
      <c r="T300" t="s">
        <v>182</v>
      </c>
      <c r="U300" s="2">
        <v>34.130000000000003</v>
      </c>
      <c r="V300" t="s">
        <v>125</v>
      </c>
    </row>
    <row r="301" spans="1:22" x14ac:dyDescent="0.25">
      <c r="A301">
        <v>2028803828</v>
      </c>
      <c r="B301" t="s">
        <v>530</v>
      </c>
      <c r="C301" t="s">
        <v>531</v>
      </c>
      <c r="D301" t="str">
        <f t="shared" si="15"/>
        <v>ISAIAH JONES</v>
      </c>
      <c r="E301" t="s">
        <v>78</v>
      </c>
      <c r="F301" t="s">
        <v>116</v>
      </c>
      <c r="G301" t="s">
        <v>125</v>
      </c>
      <c r="H301">
        <v>17437820</v>
      </c>
      <c r="I301" t="s">
        <v>98</v>
      </c>
      <c r="J301" t="s">
        <v>99</v>
      </c>
      <c r="K301" t="str">
        <f t="shared" si="18"/>
        <v>COLLEEN FINNIGAN</v>
      </c>
      <c r="L301" s="1">
        <v>45809</v>
      </c>
      <c r="M301" s="1">
        <v>45962</v>
      </c>
      <c r="N301" s="2">
        <v>66.510000000000005</v>
      </c>
      <c r="O301">
        <f t="shared" si="17"/>
        <v>5</v>
      </c>
      <c r="P301" t="s">
        <v>181</v>
      </c>
      <c r="Q301" t="s">
        <v>755</v>
      </c>
      <c r="R301" s="3">
        <v>0.7</v>
      </c>
      <c r="S301" t="s">
        <v>60</v>
      </c>
      <c r="T301" t="s">
        <v>182</v>
      </c>
      <c r="U301" s="2">
        <v>46.56</v>
      </c>
      <c r="V301" t="s">
        <v>125</v>
      </c>
    </row>
    <row r="302" spans="1:22" x14ac:dyDescent="0.25">
      <c r="A302">
        <v>2029434655</v>
      </c>
      <c r="B302" t="s">
        <v>679</v>
      </c>
      <c r="C302" t="s">
        <v>680</v>
      </c>
      <c r="D302" t="str">
        <f t="shared" si="15"/>
        <v>KATHERINE BALLARD</v>
      </c>
      <c r="E302" t="s">
        <v>225</v>
      </c>
      <c r="F302" t="s">
        <v>116</v>
      </c>
      <c r="G302" t="s">
        <v>125</v>
      </c>
      <c r="H302">
        <v>18754354</v>
      </c>
      <c r="I302" t="s">
        <v>160</v>
      </c>
      <c r="J302" t="s">
        <v>161</v>
      </c>
      <c r="K302" t="str">
        <f t="shared" si="18"/>
        <v>JACOB YALE</v>
      </c>
      <c r="L302" s="1">
        <v>45821</v>
      </c>
      <c r="M302" s="1">
        <v>45974</v>
      </c>
      <c r="N302" s="2">
        <v>83.79</v>
      </c>
      <c r="O302">
        <f t="shared" si="17"/>
        <v>5</v>
      </c>
      <c r="P302" t="s">
        <v>181</v>
      </c>
      <c r="Q302" t="s">
        <v>755</v>
      </c>
      <c r="R302" s="3">
        <v>0.7</v>
      </c>
      <c r="S302" t="s">
        <v>60</v>
      </c>
      <c r="T302" t="s">
        <v>182</v>
      </c>
      <c r="U302" s="2">
        <v>58.65</v>
      </c>
      <c r="V302" t="s">
        <v>125</v>
      </c>
    </row>
    <row r="303" spans="1:22" x14ac:dyDescent="0.25">
      <c r="A303">
        <v>2029405218</v>
      </c>
      <c r="B303" t="s">
        <v>545</v>
      </c>
      <c r="C303" t="s">
        <v>546</v>
      </c>
      <c r="D303" t="str">
        <f t="shared" si="15"/>
        <v>MADISON VINITSKI</v>
      </c>
      <c r="E303" t="s">
        <v>175</v>
      </c>
      <c r="F303" t="s">
        <v>92</v>
      </c>
      <c r="G303" t="s">
        <v>93</v>
      </c>
      <c r="H303">
        <v>9213293</v>
      </c>
      <c r="I303" t="s">
        <v>547</v>
      </c>
      <c r="J303" t="s">
        <v>548</v>
      </c>
      <c r="K303" t="str">
        <f t="shared" si="18"/>
        <v>GARY PORTUGAL</v>
      </c>
      <c r="L303" s="1">
        <v>45820</v>
      </c>
      <c r="M303" s="1">
        <v>45973</v>
      </c>
      <c r="N303" s="2">
        <v>38.4</v>
      </c>
      <c r="O303">
        <f t="shared" si="17"/>
        <v>5</v>
      </c>
      <c r="P303" t="s">
        <v>181</v>
      </c>
      <c r="Q303" t="s">
        <v>755</v>
      </c>
      <c r="R303" s="4">
        <v>0.375</v>
      </c>
      <c r="S303" t="s">
        <v>60</v>
      </c>
      <c r="T303" t="s">
        <v>182</v>
      </c>
      <c r="U303" s="2">
        <v>14.4</v>
      </c>
      <c r="V303" t="s">
        <v>93</v>
      </c>
    </row>
    <row r="304" spans="1:22" x14ac:dyDescent="0.25">
      <c r="A304">
        <v>2028803827</v>
      </c>
      <c r="B304" t="s">
        <v>530</v>
      </c>
      <c r="C304" t="s">
        <v>531</v>
      </c>
      <c r="D304" t="str">
        <f t="shared" si="15"/>
        <v>ISAIAH JONES</v>
      </c>
      <c r="E304" t="s">
        <v>78</v>
      </c>
      <c r="F304" t="s">
        <v>92</v>
      </c>
      <c r="G304" t="s">
        <v>93</v>
      </c>
      <c r="H304">
        <v>17437820</v>
      </c>
      <c r="I304" t="s">
        <v>98</v>
      </c>
      <c r="J304" t="s">
        <v>99</v>
      </c>
      <c r="K304" t="str">
        <f t="shared" si="18"/>
        <v>COLLEEN FINNIGAN</v>
      </c>
      <c r="L304" s="1">
        <v>45809</v>
      </c>
      <c r="M304" s="1">
        <v>45962</v>
      </c>
      <c r="N304" s="2">
        <v>51.86</v>
      </c>
      <c r="O304">
        <f t="shared" si="17"/>
        <v>5</v>
      </c>
      <c r="P304" t="s">
        <v>181</v>
      </c>
      <c r="Q304" t="s">
        <v>755</v>
      </c>
      <c r="R304" s="4">
        <v>0.375</v>
      </c>
      <c r="S304" t="s">
        <v>60</v>
      </c>
      <c r="T304" t="s">
        <v>182</v>
      </c>
      <c r="U304" s="2">
        <v>19.45</v>
      </c>
      <c r="V304" t="s">
        <v>93</v>
      </c>
    </row>
    <row r="305" spans="1:53" x14ac:dyDescent="0.25">
      <c r="A305" s="10">
        <v>2028942144</v>
      </c>
      <c r="B305" s="10" t="s">
        <v>662</v>
      </c>
      <c r="C305" s="10" t="s">
        <v>663</v>
      </c>
      <c r="D305" s="10" t="str">
        <f t="shared" si="15"/>
        <v>WAYNE PARKER</v>
      </c>
      <c r="E305" s="10" t="s">
        <v>102</v>
      </c>
      <c r="F305" s="10" t="s">
        <v>116</v>
      </c>
      <c r="G305" s="10" t="s">
        <v>125</v>
      </c>
      <c r="H305" s="10">
        <v>20411454</v>
      </c>
      <c r="I305" s="10" t="s">
        <v>103</v>
      </c>
      <c r="J305" s="10" t="s">
        <v>104</v>
      </c>
      <c r="K305" s="10" t="s">
        <v>756</v>
      </c>
      <c r="L305" s="11">
        <v>45792</v>
      </c>
      <c r="M305" s="11">
        <v>45976</v>
      </c>
      <c r="N305" s="12">
        <v>9.48</v>
      </c>
      <c r="O305" s="10">
        <f t="shared" si="17"/>
        <v>6</v>
      </c>
      <c r="P305" t="s">
        <v>181</v>
      </c>
      <c r="Q305" t="s">
        <v>755</v>
      </c>
      <c r="R305" s="13">
        <v>0.3</v>
      </c>
      <c r="S305" s="10" t="s">
        <v>60</v>
      </c>
      <c r="T305" s="10" t="s">
        <v>182</v>
      </c>
      <c r="U305" s="12">
        <v>9.48</v>
      </c>
      <c r="V305" s="10" t="s">
        <v>760</v>
      </c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</row>
    <row r="306" spans="1:53" x14ac:dyDescent="0.25">
      <c r="A306">
        <v>2028958358</v>
      </c>
      <c r="B306" t="s">
        <v>275</v>
      </c>
      <c r="C306" t="s">
        <v>276</v>
      </c>
      <c r="D306" t="str">
        <f t="shared" si="15"/>
        <v>DAVID WRING</v>
      </c>
      <c r="E306" t="s">
        <v>78</v>
      </c>
      <c r="F306" t="s">
        <v>53</v>
      </c>
      <c r="G306" t="s">
        <v>70</v>
      </c>
      <c r="H306">
        <v>8977234</v>
      </c>
      <c r="I306" t="s">
        <v>55</v>
      </c>
      <c r="J306" t="s">
        <v>56</v>
      </c>
      <c r="K306" t="str">
        <f t="shared" ref="K306:K349" si="19">CONCATENATE(J306, " ",I306)</f>
        <v>RYAN CALTAGIRONE</v>
      </c>
      <c r="L306" s="1">
        <v>45793</v>
      </c>
      <c r="M306" s="1">
        <v>45977</v>
      </c>
      <c r="N306" s="2">
        <v>50.96</v>
      </c>
      <c r="O306">
        <f t="shared" si="17"/>
        <v>6</v>
      </c>
      <c r="P306" t="s">
        <v>181</v>
      </c>
      <c r="Q306" t="s">
        <v>755</v>
      </c>
      <c r="R306" s="3">
        <v>0.9</v>
      </c>
      <c r="S306" t="s">
        <v>60</v>
      </c>
      <c r="T306" t="s">
        <v>182</v>
      </c>
      <c r="U306" s="2">
        <v>45.86</v>
      </c>
      <c r="V306" t="s">
        <v>752</v>
      </c>
    </row>
    <row r="307" spans="1:53" x14ac:dyDescent="0.25">
      <c r="A307">
        <v>2028941656</v>
      </c>
      <c r="B307" t="s">
        <v>270</v>
      </c>
      <c r="C307" t="s">
        <v>271</v>
      </c>
      <c r="D307" t="str">
        <f t="shared" si="15"/>
        <v>DUSTIN WILLIAMS</v>
      </c>
      <c r="E307" t="s">
        <v>272</v>
      </c>
      <c r="F307" t="s">
        <v>53</v>
      </c>
      <c r="G307" t="s">
        <v>70</v>
      </c>
      <c r="H307">
        <v>18581063</v>
      </c>
      <c r="I307" t="s">
        <v>273</v>
      </c>
      <c r="J307" t="s">
        <v>274</v>
      </c>
      <c r="K307" t="str">
        <f t="shared" si="19"/>
        <v>Timothy Hodgman</v>
      </c>
      <c r="L307" s="1">
        <v>45792</v>
      </c>
      <c r="M307" s="1">
        <v>45976</v>
      </c>
      <c r="N307" s="2">
        <v>143.63</v>
      </c>
      <c r="O307">
        <f t="shared" si="17"/>
        <v>6</v>
      </c>
      <c r="P307" t="s">
        <v>181</v>
      </c>
      <c r="Q307" t="s">
        <v>755</v>
      </c>
      <c r="R307" s="3">
        <v>0.9</v>
      </c>
      <c r="S307" t="s">
        <v>60</v>
      </c>
      <c r="T307" t="s">
        <v>182</v>
      </c>
      <c r="U307" s="2">
        <v>129.27000000000001</v>
      </c>
      <c r="V307" t="s">
        <v>752</v>
      </c>
    </row>
    <row r="308" spans="1:53" x14ac:dyDescent="0.25">
      <c r="A308">
        <v>2028219139</v>
      </c>
      <c r="B308" t="s">
        <v>257</v>
      </c>
      <c r="C308" t="s">
        <v>258</v>
      </c>
      <c r="D308" t="str">
        <f t="shared" si="15"/>
        <v>JAMES PATTERSON</v>
      </c>
      <c r="E308" t="s">
        <v>91</v>
      </c>
      <c r="F308" t="s">
        <v>53</v>
      </c>
      <c r="G308" t="s">
        <v>70</v>
      </c>
      <c r="H308">
        <v>1706194</v>
      </c>
      <c r="I308" t="s">
        <v>168</v>
      </c>
      <c r="J308" t="s">
        <v>169</v>
      </c>
      <c r="K308" t="str">
        <f t="shared" si="19"/>
        <v>MATTHEW DAUGHERTY</v>
      </c>
      <c r="L308" s="1">
        <v>45790</v>
      </c>
      <c r="M308" s="1">
        <v>45974</v>
      </c>
      <c r="N308" s="2">
        <v>234.5</v>
      </c>
      <c r="O308">
        <f t="shared" si="17"/>
        <v>6</v>
      </c>
      <c r="P308" t="s">
        <v>181</v>
      </c>
      <c r="Q308" t="s">
        <v>755</v>
      </c>
      <c r="R308" s="3">
        <v>0.9</v>
      </c>
      <c r="S308" t="s">
        <v>60</v>
      </c>
      <c r="T308" t="s">
        <v>182</v>
      </c>
      <c r="U308" s="2">
        <v>211.05</v>
      </c>
      <c r="V308" t="s">
        <v>752</v>
      </c>
    </row>
    <row r="309" spans="1:53" x14ac:dyDescent="0.25">
      <c r="A309">
        <v>2028958356</v>
      </c>
      <c r="B309" t="s">
        <v>275</v>
      </c>
      <c r="C309" t="s">
        <v>276</v>
      </c>
      <c r="D309" t="str">
        <f t="shared" si="15"/>
        <v>DAVID WRING</v>
      </c>
      <c r="E309" t="s">
        <v>78</v>
      </c>
      <c r="F309" t="s">
        <v>114</v>
      </c>
      <c r="G309" t="s">
        <v>582</v>
      </c>
      <c r="H309">
        <v>8977234</v>
      </c>
      <c r="I309" t="s">
        <v>55</v>
      </c>
      <c r="J309" t="s">
        <v>56</v>
      </c>
      <c r="K309" t="str">
        <f t="shared" si="19"/>
        <v>RYAN CALTAGIRONE</v>
      </c>
      <c r="L309" s="1">
        <v>45793</v>
      </c>
      <c r="M309" s="1">
        <v>45977</v>
      </c>
      <c r="N309" s="2">
        <v>100.48</v>
      </c>
      <c r="O309">
        <f t="shared" si="17"/>
        <v>6</v>
      </c>
      <c r="P309" t="s">
        <v>181</v>
      </c>
      <c r="Q309" t="s">
        <v>755</v>
      </c>
      <c r="R309" s="3">
        <v>0.19</v>
      </c>
      <c r="S309" t="s">
        <v>60</v>
      </c>
      <c r="T309" t="s">
        <v>182</v>
      </c>
      <c r="U309" s="2">
        <v>19.09</v>
      </c>
      <c r="V309" t="s">
        <v>757</v>
      </c>
    </row>
    <row r="310" spans="1:53" x14ac:dyDescent="0.25">
      <c r="A310">
        <v>2028958359</v>
      </c>
      <c r="B310" t="s">
        <v>275</v>
      </c>
      <c r="C310" t="s">
        <v>276</v>
      </c>
      <c r="D310" t="str">
        <f t="shared" si="15"/>
        <v>DAVID WRING</v>
      </c>
      <c r="E310" t="s">
        <v>78</v>
      </c>
      <c r="F310" t="s">
        <v>79</v>
      </c>
      <c r="G310" t="s">
        <v>375</v>
      </c>
      <c r="H310">
        <v>8977234</v>
      </c>
      <c r="I310" t="s">
        <v>55</v>
      </c>
      <c r="J310" t="s">
        <v>56</v>
      </c>
      <c r="K310" t="str">
        <f t="shared" si="19"/>
        <v>RYAN CALTAGIRONE</v>
      </c>
      <c r="L310" s="1">
        <v>45793</v>
      </c>
      <c r="M310" s="1">
        <v>45977</v>
      </c>
      <c r="N310" s="2">
        <v>15</v>
      </c>
      <c r="O310">
        <f t="shared" si="17"/>
        <v>6</v>
      </c>
      <c r="P310" t="s">
        <v>181</v>
      </c>
      <c r="Q310" t="s">
        <v>755</v>
      </c>
      <c r="R310" s="3">
        <v>0.19</v>
      </c>
      <c r="S310" t="s">
        <v>60</v>
      </c>
      <c r="T310" t="s">
        <v>182</v>
      </c>
      <c r="U310" s="2">
        <v>2.85</v>
      </c>
      <c r="V310" t="s">
        <v>757</v>
      </c>
    </row>
    <row r="311" spans="1:53" x14ac:dyDescent="0.25">
      <c r="A311">
        <v>2028963797</v>
      </c>
      <c r="B311" t="s">
        <v>537</v>
      </c>
      <c r="C311" t="s">
        <v>538</v>
      </c>
      <c r="D311" t="str">
        <f t="shared" si="15"/>
        <v>DANIEL NINO</v>
      </c>
      <c r="E311" t="s">
        <v>78</v>
      </c>
      <c r="F311" t="s">
        <v>116</v>
      </c>
      <c r="G311" t="s">
        <v>125</v>
      </c>
      <c r="H311">
        <v>21348299</v>
      </c>
      <c r="I311" t="s">
        <v>525</v>
      </c>
      <c r="J311" t="s">
        <v>526</v>
      </c>
      <c r="K311" t="str">
        <f t="shared" si="19"/>
        <v>BARRY BRENNER</v>
      </c>
      <c r="L311" s="1">
        <v>45793</v>
      </c>
      <c r="M311" s="1">
        <v>45977</v>
      </c>
      <c r="N311" s="2">
        <v>11.5</v>
      </c>
      <c r="O311">
        <f t="shared" si="17"/>
        <v>6</v>
      </c>
      <c r="P311" t="s">
        <v>181</v>
      </c>
      <c r="Q311" t="s">
        <v>755</v>
      </c>
      <c r="R311" s="3">
        <v>0.7</v>
      </c>
      <c r="S311" t="s">
        <v>60</v>
      </c>
      <c r="T311" t="s">
        <v>182</v>
      </c>
      <c r="U311" s="2">
        <v>8.0500000000000007</v>
      </c>
      <c r="V311" t="s">
        <v>125</v>
      </c>
    </row>
    <row r="312" spans="1:53" x14ac:dyDescent="0.25">
      <c r="A312">
        <v>2028962513</v>
      </c>
      <c r="B312" t="s">
        <v>666</v>
      </c>
      <c r="C312" t="s">
        <v>106</v>
      </c>
      <c r="D312" t="str">
        <f t="shared" si="15"/>
        <v>JENNIFER PATTEN</v>
      </c>
      <c r="E312" t="s">
        <v>225</v>
      </c>
      <c r="F312" t="s">
        <v>116</v>
      </c>
      <c r="G312" t="s">
        <v>125</v>
      </c>
      <c r="H312">
        <v>21348299</v>
      </c>
      <c r="I312" t="s">
        <v>525</v>
      </c>
      <c r="J312" t="s">
        <v>526</v>
      </c>
      <c r="K312" t="str">
        <f t="shared" si="19"/>
        <v>BARRY BRENNER</v>
      </c>
      <c r="L312" s="1">
        <v>45793</v>
      </c>
      <c r="M312" s="1">
        <v>45977</v>
      </c>
      <c r="N312" s="2">
        <v>21.14</v>
      </c>
      <c r="O312">
        <f t="shared" si="17"/>
        <v>6</v>
      </c>
      <c r="P312" t="s">
        <v>181</v>
      </c>
      <c r="Q312" t="s">
        <v>755</v>
      </c>
      <c r="R312" s="3">
        <v>0.7</v>
      </c>
      <c r="S312" t="s">
        <v>60</v>
      </c>
      <c r="T312" t="s">
        <v>182</v>
      </c>
      <c r="U312" s="2">
        <v>14.8</v>
      </c>
      <c r="V312" t="s">
        <v>125</v>
      </c>
    </row>
    <row r="313" spans="1:53" x14ac:dyDescent="0.25">
      <c r="A313">
        <v>2028881458</v>
      </c>
      <c r="B313" t="s">
        <v>538</v>
      </c>
      <c r="C313" t="s">
        <v>649</v>
      </c>
      <c r="D313" t="str">
        <f t="shared" si="15"/>
        <v>NORA DANIEL</v>
      </c>
      <c r="E313" t="s">
        <v>78</v>
      </c>
      <c r="F313" t="s">
        <v>116</v>
      </c>
      <c r="G313" t="s">
        <v>125</v>
      </c>
      <c r="H313">
        <v>9213293</v>
      </c>
      <c r="I313" t="s">
        <v>547</v>
      </c>
      <c r="J313" t="s">
        <v>548</v>
      </c>
      <c r="K313" t="str">
        <f t="shared" si="19"/>
        <v>GARY PORTUGAL</v>
      </c>
      <c r="L313" s="1">
        <v>45793</v>
      </c>
      <c r="M313" s="1">
        <v>45977</v>
      </c>
      <c r="N313" s="2">
        <v>27.19</v>
      </c>
      <c r="O313">
        <f t="shared" si="17"/>
        <v>6</v>
      </c>
      <c r="P313" t="s">
        <v>181</v>
      </c>
      <c r="Q313" t="s">
        <v>755</v>
      </c>
      <c r="R313" s="3">
        <v>0.7</v>
      </c>
      <c r="S313" t="s">
        <v>60</v>
      </c>
      <c r="T313" t="s">
        <v>182</v>
      </c>
      <c r="U313" s="2">
        <v>19.03</v>
      </c>
      <c r="V313" t="s">
        <v>125</v>
      </c>
    </row>
    <row r="314" spans="1:53" x14ac:dyDescent="0.25">
      <c r="A314">
        <v>2028782159</v>
      </c>
      <c r="B314" t="s">
        <v>647</v>
      </c>
      <c r="C314" t="s">
        <v>648</v>
      </c>
      <c r="D314" t="str">
        <f t="shared" si="15"/>
        <v>LESLIE KEE</v>
      </c>
      <c r="E314" t="s">
        <v>91</v>
      </c>
      <c r="F314" t="s">
        <v>116</v>
      </c>
      <c r="G314" t="s">
        <v>125</v>
      </c>
      <c r="H314">
        <v>21435997</v>
      </c>
      <c r="I314" t="s">
        <v>645</v>
      </c>
      <c r="J314" t="s">
        <v>646</v>
      </c>
      <c r="K314" t="str">
        <f t="shared" si="19"/>
        <v>Christopher Brousseau</v>
      </c>
      <c r="L314" s="1">
        <v>45792</v>
      </c>
      <c r="M314" s="1">
        <v>45976</v>
      </c>
      <c r="N314" s="2">
        <v>48.76</v>
      </c>
      <c r="O314">
        <f t="shared" si="17"/>
        <v>6</v>
      </c>
      <c r="P314" t="s">
        <v>181</v>
      </c>
      <c r="Q314" t="s">
        <v>755</v>
      </c>
      <c r="R314" s="3">
        <v>0.7</v>
      </c>
      <c r="S314" t="s">
        <v>60</v>
      </c>
      <c r="T314" t="s">
        <v>182</v>
      </c>
      <c r="U314" s="2">
        <v>34.130000000000003</v>
      </c>
      <c r="V314" t="s">
        <v>125</v>
      </c>
    </row>
    <row r="315" spans="1:53" x14ac:dyDescent="0.25">
      <c r="A315">
        <v>2028219140</v>
      </c>
      <c r="B315" t="s">
        <v>257</v>
      </c>
      <c r="C315" t="s">
        <v>258</v>
      </c>
      <c r="D315" t="str">
        <f t="shared" si="15"/>
        <v>JAMES PATTERSON</v>
      </c>
      <c r="E315" t="s">
        <v>91</v>
      </c>
      <c r="F315" t="s">
        <v>116</v>
      </c>
      <c r="G315" t="s">
        <v>125</v>
      </c>
      <c r="H315">
        <v>1706194</v>
      </c>
      <c r="I315" t="s">
        <v>168</v>
      </c>
      <c r="J315" t="s">
        <v>169</v>
      </c>
      <c r="K315" t="str">
        <f t="shared" si="19"/>
        <v>MATTHEW DAUGHERTY</v>
      </c>
      <c r="L315" s="1">
        <v>45790</v>
      </c>
      <c r="M315" s="1">
        <v>45974</v>
      </c>
      <c r="N315" s="2">
        <v>109.9</v>
      </c>
      <c r="O315">
        <f t="shared" si="17"/>
        <v>6</v>
      </c>
      <c r="P315" t="s">
        <v>181</v>
      </c>
      <c r="Q315" t="s">
        <v>755</v>
      </c>
      <c r="R315" s="3">
        <v>0.7</v>
      </c>
      <c r="S315" t="s">
        <v>60</v>
      </c>
      <c r="T315" t="s">
        <v>182</v>
      </c>
      <c r="U315" s="2">
        <v>76.930000000000007</v>
      </c>
      <c r="V315" t="s">
        <v>125</v>
      </c>
    </row>
    <row r="316" spans="1:53" x14ac:dyDescent="0.25">
      <c r="A316">
        <v>2028958357</v>
      </c>
      <c r="B316" t="s">
        <v>275</v>
      </c>
      <c r="C316" t="s">
        <v>276</v>
      </c>
      <c r="D316" t="str">
        <f t="shared" si="15"/>
        <v>DAVID WRING</v>
      </c>
      <c r="E316" t="s">
        <v>78</v>
      </c>
      <c r="F316" t="s">
        <v>116</v>
      </c>
      <c r="G316" t="s">
        <v>125</v>
      </c>
      <c r="H316">
        <v>8977234</v>
      </c>
      <c r="I316" t="s">
        <v>55</v>
      </c>
      <c r="J316" t="s">
        <v>56</v>
      </c>
      <c r="K316" t="str">
        <f t="shared" si="19"/>
        <v>RYAN CALTAGIRONE</v>
      </c>
      <c r="L316" s="1">
        <v>45793</v>
      </c>
      <c r="M316" s="1">
        <v>45977</v>
      </c>
      <c r="N316" s="2">
        <v>118.33</v>
      </c>
      <c r="O316">
        <f t="shared" si="17"/>
        <v>6</v>
      </c>
      <c r="P316" t="s">
        <v>181</v>
      </c>
      <c r="Q316" t="s">
        <v>755</v>
      </c>
      <c r="R316" s="3">
        <v>0.7</v>
      </c>
      <c r="S316" t="s">
        <v>60</v>
      </c>
      <c r="T316" t="s">
        <v>182</v>
      </c>
      <c r="U316" s="2">
        <v>82.83</v>
      </c>
      <c r="V316" t="s">
        <v>125</v>
      </c>
    </row>
    <row r="317" spans="1:53" x14ac:dyDescent="0.25">
      <c r="A317">
        <v>2028941657</v>
      </c>
      <c r="B317" t="s">
        <v>270</v>
      </c>
      <c r="C317" t="s">
        <v>271</v>
      </c>
      <c r="D317" t="str">
        <f t="shared" si="15"/>
        <v>DUSTIN WILLIAMS</v>
      </c>
      <c r="E317" t="s">
        <v>272</v>
      </c>
      <c r="F317" t="s">
        <v>116</v>
      </c>
      <c r="G317" t="s">
        <v>125</v>
      </c>
      <c r="H317">
        <v>18581063</v>
      </c>
      <c r="I317" t="s">
        <v>273</v>
      </c>
      <c r="J317" t="s">
        <v>274</v>
      </c>
      <c r="K317" t="str">
        <f t="shared" si="19"/>
        <v>Timothy Hodgman</v>
      </c>
      <c r="L317" s="1">
        <v>45792</v>
      </c>
      <c r="M317" s="1">
        <v>45976</v>
      </c>
      <c r="N317" s="2">
        <v>134.86000000000001</v>
      </c>
      <c r="O317">
        <f t="shared" si="17"/>
        <v>6</v>
      </c>
      <c r="P317" t="s">
        <v>181</v>
      </c>
      <c r="Q317" t="s">
        <v>755</v>
      </c>
      <c r="R317" s="3">
        <v>0.7</v>
      </c>
      <c r="S317" t="s">
        <v>60</v>
      </c>
      <c r="T317" t="s">
        <v>182</v>
      </c>
      <c r="U317" s="2">
        <v>94.4</v>
      </c>
      <c r="V317" t="s">
        <v>125</v>
      </c>
    </row>
    <row r="318" spans="1:53" x14ac:dyDescent="0.25">
      <c r="A318">
        <v>2028937325</v>
      </c>
      <c r="B318" t="s">
        <v>660</v>
      </c>
      <c r="C318" t="s">
        <v>661</v>
      </c>
      <c r="D318" t="str">
        <f t="shared" si="15"/>
        <v>CODY BURNS</v>
      </c>
      <c r="E318" t="s">
        <v>91</v>
      </c>
      <c r="F318" t="s">
        <v>116</v>
      </c>
      <c r="G318" t="s">
        <v>125</v>
      </c>
      <c r="H318">
        <v>20003537</v>
      </c>
      <c r="I318" t="s">
        <v>65</v>
      </c>
      <c r="J318" t="s">
        <v>81</v>
      </c>
      <c r="K318" t="str">
        <f t="shared" si="19"/>
        <v>Chad Yale</v>
      </c>
      <c r="L318" s="1">
        <v>45792</v>
      </c>
      <c r="M318" s="1">
        <v>45976</v>
      </c>
      <c r="N318" s="2">
        <v>163.43</v>
      </c>
      <c r="O318">
        <f t="shared" si="17"/>
        <v>6</v>
      </c>
      <c r="P318" t="s">
        <v>181</v>
      </c>
      <c r="Q318" t="s">
        <v>755</v>
      </c>
      <c r="R318" s="3">
        <v>0.7</v>
      </c>
      <c r="S318" t="s">
        <v>60</v>
      </c>
      <c r="T318" t="s">
        <v>182</v>
      </c>
      <c r="U318" s="2">
        <v>114.4</v>
      </c>
      <c r="V318" t="s">
        <v>125</v>
      </c>
    </row>
    <row r="319" spans="1:53" x14ac:dyDescent="0.25">
      <c r="A319">
        <v>2028878699</v>
      </c>
      <c r="B319" t="s">
        <v>532</v>
      </c>
      <c r="C319" t="s">
        <v>533</v>
      </c>
      <c r="D319" t="str">
        <f t="shared" si="15"/>
        <v>MARIA REYNA</v>
      </c>
      <c r="E319" t="s">
        <v>225</v>
      </c>
      <c r="F319" t="s">
        <v>92</v>
      </c>
      <c r="G319" t="s">
        <v>93</v>
      </c>
      <c r="H319">
        <v>21348299</v>
      </c>
      <c r="I319" t="s">
        <v>525</v>
      </c>
      <c r="J319" t="s">
        <v>526</v>
      </c>
      <c r="K319" t="str">
        <f t="shared" si="19"/>
        <v>BARRY BRENNER</v>
      </c>
      <c r="L319" s="1">
        <v>45788</v>
      </c>
      <c r="M319" s="1">
        <v>45972</v>
      </c>
      <c r="N319" s="2">
        <v>37.5</v>
      </c>
      <c r="O319">
        <f t="shared" si="17"/>
        <v>6</v>
      </c>
      <c r="P319" t="s">
        <v>181</v>
      </c>
      <c r="Q319" t="s">
        <v>755</v>
      </c>
      <c r="R319" s="4">
        <v>0.375</v>
      </c>
      <c r="S319" t="s">
        <v>60</v>
      </c>
      <c r="T319" t="s">
        <v>182</v>
      </c>
      <c r="U319" s="2">
        <v>14.06</v>
      </c>
      <c r="V319" t="s">
        <v>93</v>
      </c>
    </row>
    <row r="320" spans="1:53" x14ac:dyDescent="0.25">
      <c r="A320">
        <v>2028963798</v>
      </c>
      <c r="B320" t="s">
        <v>537</v>
      </c>
      <c r="C320" t="s">
        <v>538</v>
      </c>
      <c r="D320" t="str">
        <f t="shared" si="15"/>
        <v>DANIEL NINO</v>
      </c>
      <c r="E320" t="s">
        <v>78</v>
      </c>
      <c r="F320" t="s">
        <v>92</v>
      </c>
      <c r="G320" t="s">
        <v>93</v>
      </c>
      <c r="H320">
        <v>21348299</v>
      </c>
      <c r="I320" t="s">
        <v>525</v>
      </c>
      <c r="J320" t="s">
        <v>526</v>
      </c>
      <c r="K320" t="str">
        <f t="shared" si="19"/>
        <v>BARRY BRENNER</v>
      </c>
      <c r="L320" s="1">
        <v>45793</v>
      </c>
      <c r="M320" s="1">
        <v>45977</v>
      </c>
      <c r="N320" s="2">
        <v>57.19</v>
      </c>
      <c r="O320">
        <f t="shared" si="17"/>
        <v>6</v>
      </c>
      <c r="P320" t="s">
        <v>181</v>
      </c>
      <c r="Q320" t="s">
        <v>755</v>
      </c>
      <c r="R320" s="4">
        <v>0.375</v>
      </c>
      <c r="S320" t="s">
        <v>60</v>
      </c>
      <c r="T320" t="s">
        <v>182</v>
      </c>
      <c r="U320" s="2">
        <v>21.45</v>
      </c>
      <c r="V320" t="s">
        <v>93</v>
      </c>
    </row>
    <row r="321" spans="1:22" x14ac:dyDescent="0.25">
      <c r="A321">
        <v>2028941655</v>
      </c>
      <c r="B321" t="s">
        <v>270</v>
      </c>
      <c r="C321" t="s">
        <v>271</v>
      </c>
      <c r="D321" t="str">
        <f t="shared" si="15"/>
        <v>DUSTIN WILLIAMS</v>
      </c>
      <c r="E321" t="s">
        <v>272</v>
      </c>
      <c r="F321" t="s">
        <v>92</v>
      </c>
      <c r="G321" t="s">
        <v>93</v>
      </c>
      <c r="H321">
        <v>18581063</v>
      </c>
      <c r="I321" t="s">
        <v>273</v>
      </c>
      <c r="J321" t="s">
        <v>274</v>
      </c>
      <c r="K321" t="str">
        <f t="shared" si="19"/>
        <v>Timothy Hodgman</v>
      </c>
      <c r="L321" s="1">
        <v>45792</v>
      </c>
      <c r="M321" s="1">
        <v>45976</v>
      </c>
      <c r="N321" s="2">
        <v>69.41</v>
      </c>
      <c r="O321">
        <f t="shared" si="17"/>
        <v>6</v>
      </c>
      <c r="P321" t="s">
        <v>181</v>
      </c>
      <c r="Q321" t="s">
        <v>755</v>
      </c>
      <c r="R321" s="4">
        <v>0.375</v>
      </c>
      <c r="S321" t="s">
        <v>60</v>
      </c>
      <c r="T321" t="s">
        <v>182</v>
      </c>
      <c r="U321" s="2">
        <v>26.03</v>
      </c>
      <c r="V321" t="s">
        <v>93</v>
      </c>
    </row>
    <row r="322" spans="1:22" x14ac:dyDescent="0.25">
      <c r="A322">
        <v>2028948018</v>
      </c>
      <c r="B322" t="s">
        <v>536</v>
      </c>
      <c r="C322" t="s">
        <v>258</v>
      </c>
      <c r="D322" t="str">
        <f t="shared" si="15"/>
        <v>JAMES SANSONE</v>
      </c>
      <c r="E322" t="s">
        <v>78</v>
      </c>
      <c r="F322" t="s">
        <v>92</v>
      </c>
      <c r="G322" t="s">
        <v>93</v>
      </c>
      <c r="H322">
        <v>17437820</v>
      </c>
      <c r="I322" t="s">
        <v>98</v>
      </c>
      <c r="J322" t="s">
        <v>99</v>
      </c>
      <c r="K322" t="str">
        <f t="shared" si="19"/>
        <v>COLLEEN FINNIGAN</v>
      </c>
      <c r="L322" s="1">
        <v>45793</v>
      </c>
      <c r="M322" s="1">
        <v>45977</v>
      </c>
      <c r="N322" s="2">
        <v>182.73</v>
      </c>
      <c r="O322">
        <f t="shared" si="17"/>
        <v>6</v>
      </c>
      <c r="P322" t="s">
        <v>181</v>
      </c>
      <c r="Q322" t="s">
        <v>755</v>
      </c>
      <c r="R322" s="4">
        <v>0.375</v>
      </c>
      <c r="S322" t="s">
        <v>60</v>
      </c>
      <c r="T322" t="s">
        <v>182</v>
      </c>
      <c r="U322" s="2">
        <v>68.52</v>
      </c>
      <c r="V322" t="s">
        <v>93</v>
      </c>
    </row>
    <row r="323" spans="1:22" x14ac:dyDescent="0.25">
      <c r="A323">
        <v>2029174126</v>
      </c>
      <c r="B323" t="s">
        <v>669</v>
      </c>
      <c r="C323" t="s">
        <v>670</v>
      </c>
      <c r="D323" t="str">
        <f t="shared" ref="D323:D386" si="20">CONCATENATE(C323, " ",B323)</f>
        <v>TOREY DICKSON</v>
      </c>
      <c r="E323" t="s">
        <v>119</v>
      </c>
      <c r="F323" t="s">
        <v>116</v>
      </c>
      <c r="G323" t="s">
        <v>120</v>
      </c>
      <c r="H323">
        <v>9079571</v>
      </c>
      <c r="I323" t="s">
        <v>222</v>
      </c>
      <c r="J323" t="s">
        <v>223</v>
      </c>
      <c r="K323" t="str">
        <f t="shared" si="19"/>
        <v>ADAM RICHTER</v>
      </c>
      <c r="L323" s="1">
        <v>45809</v>
      </c>
      <c r="M323" s="1">
        <v>45992</v>
      </c>
      <c r="N323" s="2">
        <v>41.88</v>
      </c>
      <c r="O323">
        <f t="shared" ref="O323:O386" si="21">DATEDIF(L323,M323,"M")</f>
        <v>6</v>
      </c>
      <c r="P323" t="s">
        <v>181</v>
      </c>
      <c r="Q323" t="s">
        <v>755</v>
      </c>
      <c r="R323" s="3">
        <v>0.9</v>
      </c>
      <c r="S323" t="s">
        <v>60</v>
      </c>
      <c r="T323" t="s">
        <v>182</v>
      </c>
      <c r="U323" s="2">
        <v>37.69</v>
      </c>
      <c r="V323" t="s">
        <v>120</v>
      </c>
    </row>
    <row r="324" spans="1:22" x14ac:dyDescent="0.25">
      <c r="A324">
        <v>2028149729</v>
      </c>
      <c r="B324" t="s">
        <v>515</v>
      </c>
      <c r="C324" t="s">
        <v>516</v>
      </c>
      <c r="D324" t="str">
        <f t="shared" si="20"/>
        <v>RUSSELL KRAMER-KAHNY</v>
      </c>
      <c r="E324" t="s">
        <v>225</v>
      </c>
      <c r="F324" t="s">
        <v>116</v>
      </c>
      <c r="G324" t="s">
        <v>591</v>
      </c>
      <c r="H324">
        <v>17425766</v>
      </c>
      <c r="I324" t="s">
        <v>195</v>
      </c>
      <c r="J324" t="s">
        <v>196</v>
      </c>
      <c r="K324" t="str">
        <f t="shared" si="19"/>
        <v>CAROL FOLEY</v>
      </c>
      <c r="L324" s="1">
        <v>45748</v>
      </c>
      <c r="M324" s="1">
        <v>45962</v>
      </c>
      <c r="N324" s="2">
        <v>25.73</v>
      </c>
      <c r="O324">
        <f t="shared" si="21"/>
        <v>7</v>
      </c>
      <c r="P324" t="s">
        <v>181</v>
      </c>
      <c r="Q324" t="s">
        <v>755</v>
      </c>
      <c r="R324" s="3">
        <v>0.7</v>
      </c>
      <c r="S324" t="s">
        <v>60</v>
      </c>
      <c r="T324" t="s">
        <v>182</v>
      </c>
      <c r="U324" s="2">
        <v>18.010000000000002</v>
      </c>
      <c r="V324" t="s">
        <v>591</v>
      </c>
    </row>
    <row r="325" spans="1:22" x14ac:dyDescent="0.25">
      <c r="A325">
        <v>2028367118</v>
      </c>
      <c r="B325" t="s">
        <v>262</v>
      </c>
      <c r="C325" t="s">
        <v>263</v>
      </c>
      <c r="D325" t="str">
        <f t="shared" si="20"/>
        <v>ALEXIS BRECK</v>
      </c>
      <c r="E325" t="s">
        <v>52</v>
      </c>
      <c r="F325" t="s">
        <v>114</v>
      </c>
      <c r="G325" t="s">
        <v>115</v>
      </c>
      <c r="H325">
        <v>8977234</v>
      </c>
      <c r="I325" t="s">
        <v>55</v>
      </c>
      <c r="J325" t="s">
        <v>56</v>
      </c>
      <c r="K325" t="str">
        <f t="shared" si="19"/>
        <v>RYAN CALTAGIRONE</v>
      </c>
      <c r="L325" s="1">
        <v>45759</v>
      </c>
      <c r="M325" s="1">
        <v>45973</v>
      </c>
      <c r="N325" s="2">
        <v>181.4</v>
      </c>
      <c r="O325">
        <f t="shared" si="21"/>
        <v>7</v>
      </c>
      <c r="P325" t="s">
        <v>181</v>
      </c>
      <c r="Q325" t="s">
        <v>755</v>
      </c>
      <c r="R325" s="3">
        <v>0.38</v>
      </c>
      <c r="S325" t="s">
        <v>60</v>
      </c>
      <c r="T325" t="s">
        <v>182</v>
      </c>
      <c r="U325" s="2">
        <v>68.930000000000007</v>
      </c>
      <c r="V325" t="s">
        <v>115</v>
      </c>
    </row>
    <row r="326" spans="1:22" x14ac:dyDescent="0.25">
      <c r="A326">
        <v>2028303459</v>
      </c>
      <c r="B326" t="s">
        <v>212</v>
      </c>
      <c r="C326" t="s">
        <v>259</v>
      </c>
      <c r="D326" t="str">
        <f t="shared" si="20"/>
        <v>SHELLEY JOHNSON</v>
      </c>
      <c r="E326" t="s">
        <v>185</v>
      </c>
      <c r="F326" t="s">
        <v>53</v>
      </c>
      <c r="G326" t="s">
        <v>232</v>
      </c>
      <c r="H326">
        <v>8307933</v>
      </c>
      <c r="I326" t="s">
        <v>260</v>
      </c>
      <c r="J326" t="s">
        <v>261</v>
      </c>
      <c r="K326" t="str">
        <f t="shared" si="19"/>
        <v>GREGORY TEIPEL</v>
      </c>
      <c r="L326" s="1">
        <v>45762</v>
      </c>
      <c r="M326" s="1">
        <v>45976</v>
      </c>
      <c r="N326" s="2">
        <v>132.5</v>
      </c>
      <c r="O326">
        <f t="shared" si="21"/>
        <v>7</v>
      </c>
      <c r="P326" t="s">
        <v>181</v>
      </c>
      <c r="Q326" t="s">
        <v>755</v>
      </c>
      <c r="R326" s="3">
        <v>0.75</v>
      </c>
      <c r="S326" t="s">
        <v>60</v>
      </c>
      <c r="T326" t="s">
        <v>182</v>
      </c>
      <c r="U326" s="2">
        <v>99.38</v>
      </c>
      <c r="V326" t="s">
        <v>751</v>
      </c>
    </row>
    <row r="327" spans="1:22" x14ac:dyDescent="0.25">
      <c r="A327">
        <v>2028367117</v>
      </c>
      <c r="B327" t="s">
        <v>262</v>
      </c>
      <c r="C327" t="s">
        <v>263</v>
      </c>
      <c r="D327" t="str">
        <f t="shared" si="20"/>
        <v>ALEXIS BRECK</v>
      </c>
      <c r="E327" t="s">
        <v>52</v>
      </c>
      <c r="F327" t="s">
        <v>53</v>
      </c>
      <c r="G327" t="s">
        <v>70</v>
      </c>
      <c r="H327">
        <v>8977234</v>
      </c>
      <c r="I327" t="s">
        <v>55</v>
      </c>
      <c r="J327" t="s">
        <v>56</v>
      </c>
      <c r="K327" t="str">
        <f t="shared" si="19"/>
        <v>RYAN CALTAGIRONE</v>
      </c>
      <c r="L327" s="1">
        <v>45759</v>
      </c>
      <c r="M327" s="1">
        <v>45973</v>
      </c>
      <c r="N327" s="2">
        <v>27.71</v>
      </c>
      <c r="O327">
        <f t="shared" si="21"/>
        <v>7</v>
      </c>
      <c r="P327" t="s">
        <v>181</v>
      </c>
      <c r="Q327" t="s">
        <v>755</v>
      </c>
      <c r="R327" s="3">
        <v>0.9</v>
      </c>
      <c r="S327" t="s">
        <v>60</v>
      </c>
      <c r="T327" t="s">
        <v>182</v>
      </c>
      <c r="U327" s="2">
        <v>24.94</v>
      </c>
      <c r="V327" t="s">
        <v>752</v>
      </c>
    </row>
    <row r="328" spans="1:22" x14ac:dyDescent="0.25">
      <c r="A328">
        <v>2028367121</v>
      </c>
      <c r="B328" t="s">
        <v>262</v>
      </c>
      <c r="C328" t="s">
        <v>263</v>
      </c>
      <c r="D328" t="str">
        <f t="shared" si="20"/>
        <v>ALEXIS BRECK</v>
      </c>
      <c r="E328" t="s">
        <v>52</v>
      </c>
      <c r="F328" t="s">
        <v>79</v>
      </c>
      <c r="G328" t="s">
        <v>80</v>
      </c>
      <c r="H328">
        <v>8977234</v>
      </c>
      <c r="I328" t="s">
        <v>55</v>
      </c>
      <c r="J328" t="s">
        <v>56</v>
      </c>
      <c r="K328" t="str">
        <f t="shared" si="19"/>
        <v>RYAN CALTAGIRONE</v>
      </c>
      <c r="L328" s="1">
        <v>45759</v>
      </c>
      <c r="M328" s="1">
        <v>45973</v>
      </c>
      <c r="N328" s="2">
        <v>15</v>
      </c>
      <c r="O328">
        <f t="shared" si="21"/>
        <v>7</v>
      </c>
      <c r="P328" t="s">
        <v>181</v>
      </c>
      <c r="Q328" t="s">
        <v>755</v>
      </c>
      <c r="R328" s="3">
        <v>0.38</v>
      </c>
      <c r="S328" t="s">
        <v>60</v>
      </c>
      <c r="T328" t="s">
        <v>182</v>
      </c>
      <c r="U328" s="2">
        <v>5.7</v>
      </c>
      <c r="V328" t="s">
        <v>80</v>
      </c>
    </row>
    <row r="329" spans="1:22" x14ac:dyDescent="0.25">
      <c r="A329">
        <v>2028367119</v>
      </c>
      <c r="B329" t="s">
        <v>262</v>
      </c>
      <c r="C329" t="s">
        <v>263</v>
      </c>
      <c r="D329" t="str">
        <f t="shared" si="20"/>
        <v>ALEXIS BRECK</v>
      </c>
      <c r="E329" t="s">
        <v>52</v>
      </c>
      <c r="F329" t="s">
        <v>114</v>
      </c>
      <c r="G329" t="s">
        <v>581</v>
      </c>
      <c r="H329">
        <v>8977234</v>
      </c>
      <c r="I329" t="s">
        <v>55</v>
      </c>
      <c r="J329" t="s">
        <v>56</v>
      </c>
      <c r="K329" t="str">
        <f t="shared" si="19"/>
        <v>RYAN CALTAGIRONE</v>
      </c>
      <c r="L329" s="1">
        <v>45759</v>
      </c>
      <c r="M329" s="1">
        <v>45973</v>
      </c>
      <c r="N329" s="2">
        <v>7.09</v>
      </c>
      <c r="O329">
        <f t="shared" si="21"/>
        <v>7</v>
      </c>
      <c r="P329" t="s">
        <v>181</v>
      </c>
      <c r="Q329" t="s">
        <v>755</v>
      </c>
      <c r="R329" s="3">
        <v>0.38</v>
      </c>
      <c r="S329" t="s">
        <v>60</v>
      </c>
      <c r="T329" t="s">
        <v>182</v>
      </c>
      <c r="U329" s="2">
        <v>2.69</v>
      </c>
      <c r="V329" t="s">
        <v>576</v>
      </c>
    </row>
    <row r="330" spans="1:22" x14ac:dyDescent="0.25">
      <c r="A330">
        <v>2028437289</v>
      </c>
      <c r="B330" t="s">
        <v>373</v>
      </c>
      <c r="C330" t="s">
        <v>374</v>
      </c>
      <c r="D330" t="str">
        <f t="shared" si="20"/>
        <v>GYORGYI NOVAC</v>
      </c>
      <c r="E330" t="s">
        <v>52</v>
      </c>
      <c r="F330" t="s">
        <v>79</v>
      </c>
      <c r="G330" t="s">
        <v>85</v>
      </c>
      <c r="H330">
        <v>8977234</v>
      </c>
      <c r="I330" t="s">
        <v>55</v>
      </c>
      <c r="J330" t="s">
        <v>56</v>
      </c>
      <c r="K330" t="str">
        <f t="shared" si="19"/>
        <v>RYAN CALTAGIRONE</v>
      </c>
      <c r="L330" s="1">
        <v>45764</v>
      </c>
      <c r="M330" s="1">
        <v>45978</v>
      </c>
      <c r="N330" s="2">
        <v>15</v>
      </c>
      <c r="O330">
        <f t="shared" si="21"/>
        <v>7</v>
      </c>
      <c r="P330" t="s">
        <v>181</v>
      </c>
      <c r="Q330" t="s">
        <v>755</v>
      </c>
      <c r="R330" s="3">
        <v>0.28999999999999998</v>
      </c>
      <c r="S330" t="s">
        <v>60</v>
      </c>
      <c r="T330" t="s">
        <v>182</v>
      </c>
      <c r="U330" s="2">
        <v>4.3499999999999996</v>
      </c>
      <c r="V330" t="s">
        <v>171</v>
      </c>
    </row>
    <row r="331" spans="1:22" x14ac:dyDescent="0.25">
      <c r="A331">
        <v>2028182786</v>
      </c>
      <c r="B331" t="s">
        <v>423</v>
      </c>
      <c r="C331" t="s">
        <v>142</v>
      </c>
      <c r="D331" t="str">
        <f t="shared" si="20"/>
        <v>CRISTIAN TORRES</v>
      </c>
      <c r="E331" t="s">
        <v>91</v>
      </c>
      <c r="F331" t="s">
        <v>116</v>
      </c>
      <c r="G331" t="s">
        <v>125</v>
      </c>
      <c r="H331">
        <v>21435997</v>
      </c>
      <c r="I331" t="s">
        <v>645</v>
      </c>
      <c r="J331" t="s">
        <v>646</v>
      </c>
      <c r="K331" t="str">
        <f t="shared" si="19"/>
        <v>Christopher Brousseau</v>
      </c>
      <c r="L331" s="1">
        <v>45754</v>
      </c>
      <c r="M331" s="1">
        <v>45968</v>
      </c>
      <c r="N331" s="2">
        <v>-92.47</v>
      </c>
      <c r="O331">
        <f t="shared" si="21"/>
        <v>7</v>
      </c>
      <c r="P331" t="s">
        <v>181</v>
      </c>
      <c r="Q331" t="s">
        <v>755</v>
      </c>
      <c r="R331" s="3">
        <v>0.7</v>
      </c>
      <c r="S331" t="s">
        <v>60</v>
      </c>
      <c r="T331" t="s">
        <v>182</v>
      </c>
      <c r="U331" s="2">
        <v>-64.73</v>
      </c>
      <c r="V331" t="s">
        <v>125</v>
      </c>
    </row>
    <row r="332" spans="1:22" x14ac:dyDescent="0.25">
      <c r="A332">
        <v>2028329765</v>
      </c>
      <c r="B332" t="s">
        <v>521</v>
      </c>
      <c r="C332" t="s">
        <v>522</v>
      </c>
      <c r="D332" t="str">
        <f t="shared" si="20"/>
        <v>KRISTINA PAOLANTONIO</v>
      </c>
      <c r="E332" t="s">
        <v>78</v>
      </c>
      <c r="F332" t="s">
        <v>116</v>
      </c>
      <c r="G332" t="s">
        <v>125</v>
      </c>
      <c r="H332">
        <v>19396223</v>
      </c>
      <c r="I332" t="s">
        <v>292</v>
      </c>
      <c r="J332" t="s">
        <v>293</v>
      </c>
      <c r="K332" t="str">
        <f t="shared" si="19"/>
        <v>Saadia Abdul</v>
      </c>
      <c r="L332" s="1">
        <v>45762</v>
      </c>
      <c r="M332" s="1">
        <v>45976</v>
      </c>
      <c r="N332" s="2">
        <v>11.5</v>
      </c>
      <c r="O332">
        <f t="shared" si="21"/>
        <v>7</v>
      </c>
      <c r="P332" t="s">
        <v>181</v>
      </c>
      <c r="Q332" t="s">
        <v>755</v>
      </c>
      <c r="R332" s="3">
        <v>0.7</v>
      </c>
      <c r="S332" t="s">
        <v>60</v>
      </c>
      <c r="T332" t="s">
        <v>182</v>
      </c>
      <c r="U332" s="2">
        <v>8.0500000000000007</v>
      </c>
      <c r="V332" t="s">
        <v>125</v>
      </c>
    </row>
    <row r="333" spans="1:22" x14ac:dyDescent="0.25">
      <c r="A333">
        <v>2028367116</v>
      </c>
      <c r="B333" t="s">
        <v>262</v>
      </c>
      <c r="C333" t="s">
        <v>263</v>
      </c>
      <c r="D333" t="str">
        <f t="shared" si="20"/>
        <v>ALEXIS BRECK</v>
      </c>
      <c r="E333" t="s">
        <v>52</v>
      </c>
      <c r="F333" t="s">
        <v>116</v>
      </c>
      <c r="G333" t="s">
        <v>125</v>
      </c>
      <c r="H333">
        <v>8977234</v>
      </c>
      <c r="I333" t="s">
        <v>55</v>
      </c>
      <c r="J333" t="s">
        <v>56</v>
      </c>
      <c r="K333" t="str">
        <f t="shared" si="19"/>
        <v>RYAN CALTAGIRONE</v>
      </c>
      <c r="L333" s="1">
        <v>45759</v>
      </c>
      <c r="M333" s="1">
        <v>45973</v>
      </c>
      <c r="N333" s="2">
        <v>63.95</v>
      </c>
      <c r="O333">
        <f t="shared" si="21"/>
        <v>7</v>
      </c>
      <c r="P333" t="s">
        <v>181</v>
      </c>
      <c r="Q333" t="s">
        <v>755</v>
      </c>
      <c r="R333" s="3">
        <v>0.7</v>
      </c>
      <c r="S333" t="s">
        <v>60</v>
      </c>
      <c r="T333" t="s">
        <v>182</v>
      </c>
      <c r="U333" s="2">
        <v>44.76</v>
      </c>
      <c r="V333" t="s">
        <v>125</v>
      </c>
    </row>
    <row r="334" spans="1:22" x14ac:dyDescent="0.25">
      <c r="A334">
        <v>2028149728</v>
      </c>
      <c r="B334" t="s">
        <v>515</v>
      </c>
      <c r="C334" t="s">
        <v>516</v>
      </c>
      <c r="D334" t="str">
        <f t="shared" si="20"/>
        <v>RUSSELL KRAMER-KAHNY</v>
      </c>
      <c r="E334" t="s">
        <v>225</v>
      </c>
      <c r="F334" t="s">
        <v>92</v>
      </c>
      <c r="G334" t="s">
        <v>93</v>
      </c>
      <c r="H334">
        <v>17425766</v>
      </c>
      <c r="I334" t="s">
        <v>195</v>
      </c>
      <c r="J334" t="s">
        <v>196</v>
      </c>
      <c r="K334" t="str">
        <f t="shared" si="19"/>
        <v>CAROL FOLEY</v>
      </c>
      <c r="L334" s="1">
        <v>45748</v>
      </c>
      <c r="M334" s="1">
        <v>45962</v>
      </c>
      <c r="N334" s="2">
        <v>16.39</v>
      </c>
      <c r="O334">
        <f t="shared" si="21"/>
        <v>7</v>
      </c>
      <c r="P334" t="s">
        <v>181</v>
      </c>
      <c r="Q334" t="s">
        <v>755</v>
      </c>
      <c r="R334" s="4">
        <v>0.375</v>
      </c>
      <c r="S334" t="s">
        <v>60</v>
      </c>
      <c r="T334" t="s">
        <v>182</v>
      </c>
      <c r="U334" s="2">
        <v>6.15</v>
      </c>
      <c r="V334" t="s">
        <v>93</v>
      </c>
    </row>
    <row r="335" spans="1:22" x14ac:dyDescent="0.25">
      <c r="A335">
        <v>2028367120</v>
      </c>
      <c r="B335" t="s">
        <v>262</v>
      </c>
      <c r="C335" t="s">
        <v>263</v>
      </c>
      <c r="D335" t="str">
        <f t="shared" si="20"/>
        <v>ALEXIS BRECK</v>
      </c>
      <c r="E335" t="s">
        <v>52</v>
      </c>
      <c r="F335" t="s">
        <v>92</v>
      </c>
      <c r="G335" t="s">
        <v>93</v>
      </c>
      <c r="H335">
        <v>8977234</v>
      </c>
      <c r="I335" t="s">
        <v>55</v>
      </c>
      <c r="J335" t="s">
        <v>56</v>
      </c>
      <c r="K335" t="str">
        <f t="shared" si="19"/>
        <v>RYAN CALTAGIRONE</v>
      </c>
      <c r="L335" s="1">
        <v>45759</v>
      </c>
      <c r="M335" s="1">
        <v>45973</v>
      </c>
      <c r="N335" s="2">
        <v>18.62</v>
      </c>
      <c r="O335">
        <f t="shared" si="21"/>
        <v>7</v>
      </c>
      <c r="P335" t="s">
        <v>181</v>
      </c>
      <c r="Q335" t="s">
        <v>755</v>
      </c>
      <c r="R335" s="4">
        <v>0.375</v>
      </c>
      <c r="S335" t="s">
        <v>60</v>
      </c>
      <c r="T335" t="s">
        <v>182</v>
      </c>
      <c r="U335" s="2">
        <v>6.98</v>
      </c>
      <c r="V335" t="s">
        <v>93</v>
      </c>
    </row>
    <row r="336" spans="1:22" x14ac:dyDescent="0.25">
      <c r="A336">
        <v>2028445565</v>
      </c>
      <c r="B336" t="s">
        <v>523</v>
      </c>
      <c r="C336" t="s">
        <v>524</v>
      </c>
      <c r="D336" t="str">
        <f t="shared" si="20"/>
        <v>TAYLOR MONBRUM</v>
      </c>
      <c r="E336" t="s">
        <v>78</v>
      </c>
      <c r="F336" t="s">
        <v>92</v>
      </c>
      <c r="G336" t="s">
        <v>93</v>
      </c>
      <c r="H336">
        <v>21348299</v>
      </c>
      <c r="I336" t="s">
        <v>525</v>
      </c>
      <c r="J336" t="s">
        <v>526</v>
      </c>
      <c r="K336" t="str">
        <f t="shared" si="19"/>
        <v>BARRY BRENNER</v>
      </c>
      <c r="L336" s="1">
        <v>45764</v>
      </c>
      <c r="M336" s="1">
        <v>45978</v>
      </c>
      <c r="N336" s="2">
        <v>32.520000000000003</v>
      </c>
      <c r="O336">
        <f t="shared" si="21"/>
        <v>7</v>
      </c>
      <c r="P336" t="s">
        <v>181</v>
      </c>
      <c r="Q336" t="s">
        <v>755</v>
      </c>
      <c r="R336" s="4">
        <v>0.375</v>
      </c>
      <c r="S336" t="s">
        <v>60</v>
      </c>
      <c r="T336" t="s">
        <v>182</v>
      </c>
      <c r="U336" s="2">
        <v>12.2</v>
      </c>
      <c r="V336" t="s">
        <v>93</v>
      </c>
    </row>
    <row r="337" spans="1:53" x14ac:dyDescent="0.25">
      <c r="A337">
        <v>2028450758</v>
      </c>
      <c r="B337" t="s">
        <v>527</v>
      </c>
      <c r="C337" t="s">
        <v>528</v>
      </c>
      <c r="D337" t="str">
        <f t="shared" si="20"/>
        <v>BARTLOMIEJ KARAS</v>
      </c>
      <c r="E337" t="s">
        <v>78</v>
      </c>
      <c r="F337" t="s">
        <v>92</v>
      </c>
      <c r="G337" t="s">
        <v>93</v>
      </c>
      <c r="H337">
        <v>18754354</v>
      </c>
      <c r="I337" t="s">
        <v>160</v>
      </c>
      <c r="J337" t="s">
        <v>161</v>
      </c>
      <c r="K337" t="str">
        <f t="shared" si="19"/>
        <v>JACOB YALE</v>
      </c>
      <c r="L337" s="1">
        <v>45764</v>
      </c>
      <c r="M337" s="1">
        <v>45978</v>
      </c>
      <c r="N337" s="2">
        <v>51.01</v>
      </c>
      <c r="O337">
        <f t="shared" si="21"/>
        <v>7</v>
      </c>
      <c r="P337" t="s">
        <v>181</v>
      </c>
      <c r="Q337" t="s">
        <v>755</v>
      </c>
      <c r="R337" s="4">
        <v>0.375</v>
      </c>
      <c r="S337" t="s">
        <v>60</v>
      </c>
      <c r="T337" t="s">
        <v>182</v>
      </c>
      <c r="U337" s="2">
        <v>19.13</v>
      </c>
      <c r="V337" t="s">
        <v>93</v>
      </c>
    </row>
    <row r="338" spans="1:53" x14ac:dyDescent="0.25">
      <c r="A338">
        <v>2028329764</v>
      </c>
      <c r="B338" t="s">
        <v>521</v>
      </c>
      <c r="C338" t="s">
        <v>522</v>
      </c>
      <c r="D338" t="str">
        <f t="shared" si="20"/>
        <v>KRISTINA PAOLANTONIO</v>
      </c>
      <c r="E338" t="s">
        <v>78</v>
      </c>
      <c r="F338" t="s">
        <v>92</v>
      </c>
      <c r="G338" t="s">
        <v>93</v>
      </c>
      <c r="H338">
        <v>19396223</v>
      </c>
      <c r="I338" t="s">
        <v>292</v>
      </c>
      <c r="J338" t="s">
        <v>293</v>
      </c>
      <c r="K338" t="str">
        <f t="shared" si="19"/>
        <v>Saadia Abdul</v>
      </c>
      <c r="L338" s="1">
        <v>45762</v>
      </c>
      <c r="M338" s="1">
        <v>45976</v>
      </c>
      <c r="N338" s="2">
        <v>57.19</v>
      </c>
      <c r="O338">
        <f t="shared" si="21"/>
        <v>7</v>
      </c>
      <c r="P338" t="s">
        <v>181</v>
      </c>
      <c r="Q338" t="s">
        <v>755</v>
      </c>
      <c r="R338" s="4">
        <v>0.375</v>
      </c>
      <c r="S338" t="s">
        <v>60</v>
      </c>
      <c r="T338" t="s">
        <v>182</v>
      </c>
      <c r="U338" s="2">
        <v>21.45</v>
      </c>
      <c r="V338" t="s">
        <v>93</v>
      </c>
    </row>
    <row r="339" spans="1:53" x14ac:dyDescent="0.25">
      <c r="A339">
        <v>2027825906</v>
      </c>
      <c r="B339" t="s">
        <v>643</v>
      </c>
      <c r="C339" t="s">
        <v>644</v>
      </c>
      <c r="D339" t="str">
        <f t="shared" si="20"/>
        <v>JAX GARRETT</v>
      </c>
      <c r="E339" t="s">
        <v>225</v>
      </c>
      <c r="F339" t="s">
        <v>116</v>
      </c>
      <c r="G339" t="s">
        <v>117</v>
      </c>
      <c r="H339">
        <v>8977234</v>
      </c>
      <c r="I339" t="s">
        <v>55</v>
      </c>
      <c r="J339" t="s">
        <v>56</v>
      </c>
      <c r="K339" t="str">
        <f t="shared" si="19"/>
        <v>RYAN CALTAGIRONE</v>
      </c>
      <c r="L339" s="1">
        <v>45731</v>
      </c>
      <c r="M339" s="1">
        <v>45976</v>
      </c>
      <c r="N339" s="2">
        <v>25.73</v>
      </c>
      <c r="O339">
        <f t="shared" si="21"/>
        <v>8</v>
      </c>
      <c r="P339" t="s">
        <v>181</v>
      </c>
      <c r="Q339" t="s">
        <v>755</v>
      </c>
      <c r="R339" s="3">
        <v>0.7</v>
      </c>
      <c r="S339" t="s">
        <v>60</v>
      </c>
      <c r="T339" t="s">
        <v>182</v>
      </c>
      <c r="U339" s="2">
        <v>18.010000000000002</v>
      </c>
      <c r="V339" t="s">
        <v>591</v>
      </c>
    </row>
    <row r="340" spans="1:53" x14ac:dyDescent="0.25">
      <c r="A340">
        <v>2027849976</v>
      </c>
      <c r="B340" t="s">
        <v>370</v>
      </c>
      <c r="C340" t="s">
        <v>371</v>
      </c>
      <c r="D340" t="str">
        <f t="shared" si="20"/>
        <v>CHAD DIXON</v>
      </c>
      <c r="E340" t="s">
        <v>372</v>
      </c>
      <c r="F340" t="s">
        <v>79</v>
      </c>
      <c r="G340" t="s">
        <v>350</v>
      </c>
      <c r="H340">
        <v>17425766</v>
      </c>
      <c r="I340" t="s">
        <v>195</v>
      </c>
      <c r="J340" t="s">
        <v>196</v>
      </c>
      <c r="K340" t="str">
        <f t="shared" si="19"/>
        <v>CAROL FOLEY</v>
      </c>
      <c r="L340" s="1">
        <v>45733</v>
      </c>
      <c r="M340" s="1">
        <v>45978</v>
      </c>
      <c r="N340" s="2">
        <v>15</v>
      </c>
      <c r="O340">
        <f t="shared" si="21"/>
        <v>8</v>
      </c>
      <c r="P340" t="s">
        <v>181</v>
      </c>
      <c r="Q340" t="s">
        <v>755</v>
      </c>
      <c r="R340" s="3">
        <v>0.38</v>
      </c>
      <c r="S340" t="s">
        <v>60</v>
      </c>
      <c r="T340" t="s">
        <v>182</v>
      </c>
      <c r="U340" s="2">
        <v>5.7</v>
      </c>
      <c r="V340" t="s">
        <v>350</v>
      </c>
    </row>
    <row r="341" spans="1:53" x14ac:dyDescent="0.25">
      <c r="A341">
        <v>2027175182</v>
      </c>
      <c r="B341" t="s">
        <v>464</v>
      </c>
      <c r="C341" t="s">
        <v>465</v>
      </c>
      <c r="D341" t="str">
        <f t="shared" si="20"/>
        <v>KIMBERLY LAUFF</v>
      </c>
      <c r="E341" t="s">
        <v>189</v>
      </c>
      <c r="F341" t="s">
        <v>443</v>
      </c>
      <c r="G341" t="s">
        <v>444</v>
      </c>
      <c r="H341" t="s">
        <v>753</v>
      </c>
      <c r="I341" t="s">
        <v>455</v>
      </c>
      <c r="J341" t="s">
        <v>456</v>
      </c>
      <c r="K341" t="str">
        <f t="shared" si="19"/>
        <v>DEBORAH INSKIPT</v>
      </c>
      <c r="L341" s="1">
        <v>45717</v>
      </c>
      <c r="M341" s="1">
        <v>45962</v>
      </c>
      <c r="N341" s="2">
        <v>-43.59</v>
      </c>
      <c r="O341">
        <f t="shared" si="21"/>
        <v>8</v>
      </c>
      <c r="P341" t="s">
        <v>181</v>
      </c>
      <c r="Q341" t="s">
        <v>755</v>
      </c>
      <c r="R341" s="3">
        <v>0.47</v>
      </c>
      <c r="S341" t="s">
        <v>60</v>
      </c>
      <c r="T341" t="s">
        <v>182</v>
      </c>
      <c r="U341" s="2">
        <v>-20.49</v>
      </c>
      <c r="V341" t="s">
        <v>444</v>
      </c>
    </row>
    <row r="342" spans="1:53" x14ac:dyDescent="0.25">
      <c r="A342">
        <v>2027849973</v>
      </c>
      <c r="B342" t="s">
        <v>370</v>
      </c>
      <c r="C342" t="s">
        <v>371</v>
      </c>
      <c r="D342" t="str">
        <f t="shared" si="20"/>
        <v>CHAD DIXON</v>
      </c>
      <c r="E342" t="s">
        <v>372</v>
      </c>
      <c r="F342" t="s">
        <v>114</v>
      </c>
      <c r="G342" t="s">
        <v>576</v>
      </c>
      <c r="H342">
        <v>17425766</v>
      </c>
      <c r="I342" t="s">
        <v>195</v>
      </c>
      <c r="J342" t="s">
        <v>196</v>
      </c>
      <c r="K342" t="str">
        <f t="shared" si="19"/>
        <v>CAROL FOLEY</v>
      </c>
      <c r="L342" s="1">
        <v>45733</v>
      </c>
      <c r="M342" s="1">
        <v>45978</v>
      </c>
      <c r="N342" s="2">
        <v>48.95</v>
      </c>
      <c r="O342">
        <f t="shared" si="21"/>
        <v>8</v>
      </c>
      <c r="P342" t="s">
        <v>181</v>
      </c>
      <c r="Q342" t="s">
        <v>755</v>
      </c>
      <c r="R342" s="3">
        <v>0.38</v>
      </c>
      <c r="S342" t="s">
        <v>60</v>
      </c>
      <c r="T342" t="s">
        <v>182</v>
      </c>
      <c r="U342" s="2">
        <v>18.600000000000001</v>
      </c>
      <c r="V342" t="s">
        <v>576</v>
      </c>
    </row>
    <row r="343" spans="1:53" x14ac:dyDescent="0.25">
      <c r="A343">
        <v>2027729457</v>
      </c>
      <c r="B343" t="s">
        <v>509</v>
      </c>
      <c r="C343" t="s">
        <v>510</v>
      </c>
      <c r="D343" t="str">
        <f t="shared" si="20"/>
        <v>ANTONIO CASTELAN</v>
      </c>
      <c r="E343" t="s">
        <v>78</v>
      </c>
      <c r="F343" t="s">
        <v>116</v>
      </c>
      <c r="G343" t="s">
        <v>125</v>
      </c>
      <c r="H343">
        <v>18754354</v>
      </c>
      <c r="I343" t="s">
        <v>160</v>
      </c>
      <c r="J343" t="s">
        <v>161</v>
      </c>
      <c r="K343" t="str">
        <f t="shared" si="19"/>
        <v>JACOB YALE</v>
      </c>
      <c r="L343" s="1">
        <v>45728</v>
      </c>
      <c r="M343" s="1">
        <v>45973</v>
      </c>
      <c r="N343" s="2">
        <v>15.75</v>
      </c>
      <c r="O343">
        <f t="shared" si="21"/>
        <v>8</v>
      </c>
      <c r="P343" t="s">
        <v>181</v>
      </c>
      <c r="Q343" t="s">
        <v>755</v>
      </c>
      <c r="R343" s="3">
        <v>0.7</v>
      </c>
      <c r="S343" t="s">
        <v>60</v>
      </c>
      <c r="T343" t="s">
        <v>182</v>
      </c>
      <c r="U343" s="2">
        <v>11.02</v>
      </c>
      <c r="V343" t="s">
        <v>125</v>
      </c>
    </row>
    <row r="344" spans="1:53" x14ac:dyDescent="0.25">
      <c r="A344">
        <v>2027825905</v>
      </c>
      <c r="B344" t="s">
        <v>643</v>
      </c>
      <c r="C344" t="s">
        <v>644</v>
      </c>
      <c r="D344" t="str">
        <f t="shared" si="20"/>
        <v>JAX GARRETT</v>
      </c>
      <c r="E344" t="s">
        <v>225</v>
      </c>
      <c r="F344" t="s">
        <v>116</v>
      </c>
      <c r="G344" t="s">
        <v>125</v>
      </c>
      <c r="H344">
        <v>8977234</v>
      </c>
      <c r="I344" t="s">
        <v>55</v>
      </c>
      <c r="J344" t="s">
        <v>56</v>
      </c>
      <c r="K344" t="str">
        <f t="shared" si="19"/>
        <v>RYAN CALTAGIRONE</v>
      </c>
      <c r="L344" s="1">
        <v>45731</v>
      </c>
      <c r="M344" s="1">
        <v>45976</v>
      </c>
      <c r="N344" s="2">
        <v>18.350000000000001</v>
      </c>
      <c r="O344">
        <f t="shared" si="21"/>
        <v>8</v>
      </c>
      <c r="P344" t="s">
        <v>181</v>
      </c>
      <c r="Q344" t="s">
        <v>755</v>
      </c>
      <c r="R344" s="3">
        <v>0.7</v>
      </c>
      <c r="S344" t="s">
        <v>60</v>
      </c>
      <c r="T344" t="s">
        <v>182</v>
      </c>
      <c r="U344" s="2">
        <v>12.84</v>
      </c>
      <c r="V344" t="s">
        <v>125</v>
      </c>
    </row>
    <row r="345" spans="1:53" x14ac:dyDescent="0.25">
      <c r="A345">
        <v>2027849974</v>
      </c>
      <c r="B345" t="s">
        <v>370</v>
      </c>
      <c r="C345" t="s">
        <v>371</v>
      </c>
      <c r="D345" t="str">
        <f t="shared" si="20"/>
        <v>CHAD DIXON</v>
      </c>
      <c r="E345" t="s">
        <v>372</v>
      </c>
      <c r="F345" t="s">
        <v>116</v>
      </c>
      <c r="G345" t="s">
        <v>125</v>
      </c>
      <c r="H345">
        <v>17425766</v>
      </c>
      <c r="I345" t="s">
        <v>195</v>
      </c>
      <c r="J345" t="s">
        <v>196</v>
      </c>
      <c r="K345" t="str">
        <f t="shared" si="19"/>
        <v>CAROL FOLEY</v>
      </c>
      <c r="L345" s="1">
        <v>45733</v>
      </c>
      <c r="M345" s="1">
        <v>45978</v>
      </c>
      <c r="N345" s="2">
        <v>50.96</v>
      </c>
      <c r="O345">
        <f t="shared" si="21"/>
        <v>8</v>
      </c>
      <c r="P345" t="s">
        <v>181</v>
      </c>
      <c r="Q345" t="s">
        <v>755</v>
      </c>
      <c r="R345" s="3">
        <v>0.7</v>
      </c>
      <c r="S345" t="s">
        <v>60</v>
      </c>
      <c r="T345" t="s">
        <v>182</v>
      </c>
      <c r="U345" s="2">
        <v>35.67</v>
      </c>
      <c r="V345" t="s">
        <v>125</v>
      </c>
    </row>
    <row r="346" spans="1:53" x14ac:dyDescent="0.25">
      <c r="A346">
        <v>2027849975</v>
      </c>
      <c r="B346" t="s">
        <v>370</v>
      </c>
      <c r="C346" t="s">
        <v>371</v>
      </c>
      <c r="D346" t="str">
        <f t="shared" si="20"/>
        <v>CHAD DIXON</v>
      </c>
      <c r="E346" t="s">
        <v>372</v>
      </c>
      <c r="F346" t="s">
        <v>92</v>
      </c>
      <c r="G346" t="s">
        <v>93</v>
      </c>
      <c r="H346">
        <v>17425766</v>
      </c>
      <c r="I346" t="s">
        <v>195</v>
      </c>
      <c r="J346" t="s">
        <v>196</v>
      </c>
      <c r="K346" t="str">
        <f t="shared" si="19"/>
        <v>CAROL FOLEY</v>
      </c>
      <c r="L346" s="1">
        <v>45733</v>
      </c>
      <c r="M346" s="1">
        <v>45978</v>
      </c>
      <c r="N346" s="2">
        <v>102.55</v>
      </c>
      <c r="O346">
        <f t="shared" si="21"/>
        <v>8</v>
      </c>
      <c r="P346" t="s">
        <v>181</v>
      </c>
      <c r="Q346" t="s">
        <v>755</v>
      </c>
      <c r="R346" s="4">
        <v>0.375</v>
      </c>
      <c r="S346" t="s">
        <v>60</v>
      </c>
      <c r="T346" t="s">
        <v>182</v>
      </c>
      <c r="U346" s="2">
        <v>38.46</v>
      </c>
      <c r="V346" t="s">
        <v>93</v>
      </c>
    </row>
    <row r="347" spans="1:53" x14ac:dyDescent="0.25">
      <c r="A347">
        <v>2027729456</v>
      </c>
      <c r="B347" t="s">
        <v>509</v>
      </c>
      <c r="C347" t="s">
        <v>510</v>
      </c>
      <c r="D347" t="str">
        <f t="shared" si="20"/>
        <v>ANTONIO CASTELAN</v>
      </c>
      <c r="E347" t="s">
        <v>78</v>
      </c>
      <c r="F347" t="s">
        <v>92</v>
      </c>
      <c r="G347" t="s">
        <v>93</v>
      </c>
      <c r="H347">
        <v>18754354</v>
      </c>
      <c r="I347" t="s">
        <v>160</v>
      </c>
      <c r="J347" t="s">
        <v>161</v>
      </c>
      <c r="K347" t="str">
        <f t="shared" si="19"/>
        <v>JACOB YALE</v>
      </c>
      <c r="L347" s="1">
        <v>45728</v>
      </c>
      <c r="M347" s="1">
        <v>45973</v>
      </c>
      <c r="N347" s="2">
        <v>150.44999999999999</v>
      </c>
      <c r="O347">
        <f t="shared" si="21"/>
        <v>8</v>
      </c>
      <c r="P347" t="s">
        <v>181</v>
      </c>
      <c r="Q347" t="s">
        <v>755</v>
      </c>
      <c r="R347" s="4">
        <v>0.375</v>
      </c>
      <c r="S347" t="s">
        <v>60</v>
      </c>
      <c r="T347" t="s">
        <v>182</v>
      </c>
      <c r="U347" s="2">
        <v>56.42</v>
      </c>
      <c r="V347" t="s">
        <v>93</v>
      </c>
    </row>
    <row r="348" spans="1:53" x14ac:dyDescent="0.25">
      <c r="A348">
        <v>2027849004</v>
      </c>
      <c r="B348" t="s">
        <v>513</v>
      </c>
      <c r="C348" t="s">
        <v>514</v>
      </c>
      <c r="D348" t="str">
        <f t="shared" si="20"/>
        <v>JAMIE PETERS</v>
      </c>
      <c r="E348" t="s">
        <v>78</v>
      </c>
      <c r="F348" t="s">
        <v>92</v>
      </c>
      <c r="G348" t="s">
        <v>93</v>
      </c>
      <c r="H348">
        <v>20003537</v>
      </c>
      <c r="I348" t="s">
        <v>65</v>
      </c>
      <c r="J348" t="s">
        <v>81</v>
      </c>
      <c r="K348" t="str">
        <f t="shared" si="19"/>
        <v>Chad Yale</v>
      </c>
      <c r="L348" s="1">
        <v>45733</v>
      </c>
      <c r="M348" s="1">
        <v>45978</v>
      </c>
      <c r="N348" s="2">
        <v>182.73</v>
      </c>
      <c r="O348">
        <f t="shared" si="21"/>
        <v>8</v>
      </c>
      <c r="P348" t="s">
        <v>181</v>
      </c>
      <c r="Q348" t="s">
        <v>755</v>
      </c>
      <c r="R348" s="4">
        <v>0.375</v>
      </c>
      <c r="S348" t="s">
        <v>60</v>
      </c>
      <c r="T348" t="s">
        <v>182</v>
      </c>
      <c r="U348" s="2">
        <v>68.52</v>
      </c>
      <c r="V348" t="s">
        <v>93</v>
      </c>
    </row>
    <row r="349" spans="1:53" x14ac:dyDescent="0.25">
      <c r="A349">
        <v>2027064140</v>
      </c>
      <c r="B349" t="s">
        <v>254</v>
      </c>
      <c r="C349" t="s">
        <v>56</v>
      </c>
      <c r="D349" t="str">
        <f t="shared" si="20"/>
        <v>RYAN GOOD</v>
      </c>
      <c r="E349" t="s">
        <v>219</v>
      </c>
      <c r="F349" t="s">
        <v>116</v>
      </c>
      <c r="G349" t="s">
        <v>591</v>
      </c>
      <c r="H349">
        <v>8977234</v>
      </c>
      <c r="I349" t="s">
        <v>55</v>
      </c>
      <c r="J349" t="s">
        <v>56</v>
      </c>
      <c r="K349" t="str">
        <f t="shared" si="19"/>
        <v>RYAN CALTAGIRONE</v>
      </c>
      <c r="L349" s="1">
        <v>45700</v>
      </c>
      <c r="M349" s="1">
        <v>45973</v>
      </c>
      <c r="N349" s="2">
        <v>23.39</v>
      </c>
      <c r="O349">
        <f t="shared" si="21"/>
        <v>9</v>
      </c>
      <c r="P349" t="s">
        <v>181</v>
      </c>
      <c r="Q349" t="s">
        <v>755</v>
      </c>
      <c r="R349" s="3">
        <v>0.7</v>
      </c>
      <c r="S349" t="s">
        <v>60</v>
      </c>
      <c r="T349" t="s">
        <v>182</v>
      </c>
      <c r="U349" s="2">
        <v>16.37</v>
      </c>
      <c r="V349" t="s">
        <v>591</v>
      </c>
    </row>
    <row r="350" spans="1:53" x14ac:dyDescent="0.25">
      <c r="A350" s="10">
        <v>2026958695</v>
      </c>
      <c r="B350" s="10" t="s">
        <v>208</v>
      </c>
      <c r="C350" s="10" t="s">
        <v>209</v>
      </c>
      <c r="D350" s="10" t="str">
        <f t="shared" si="20"/>
        <v>JOSEPH KABEL</v>
      </c>
      <c r="E350" s="10" t="s">
        <v>189</v>
      </c>
      <c r="F350" s="10" t="s">
        <v>176</v>
      </c>
      <c r="G350" s="10" t="s">
        <v>177</v>
      </c>
      <c r="H350" s="10">
        <v>20411454</v>
      </c>
      <c r="I350" s="10" t="s">
        <v>210</v>
      </c>
      <c r="J350" s="10" t="s">
        <v>211</v>
      </c>
      <c r="K350" s="10" t="s">
        <v>756</v>
      </c>
      <c r="L350" s="11">
        <v>45702</v>
      </c>
      <c r="M350" s="11">
        <v>45975</v>
      </c>
      <c r="N350" s="12">
        <v>10.54</v>
      </c>
      <c r="O350" s="10">
        <f t="shared" si="21"/>
        <v>9</v>
      </c>
      <c r="P350" t="s">
        <v>181</v>
      </c>
      <c r="Q350" t="s">
        <v>755</v>
      </c>
      <c r="R350" s="13">
        <v>0.2</v>
      </c>
      <c r="S350" s="10" t="s">
        <v>60</v>
      </c>
      <c r="T350" s="10" t="s">
        <v>182</v>
      </c>
      <c r="U350" s="12">
        <v>10.54</v>
      </c>
      <c r="V350" s="10" t="s">
        <v>760</v>
      </c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</row>
    <row r="351" spans="1:53" x14ac:dyDescent="0.25">
      <c r="A351">
        <v>2027064141</v>
      </c>
      <c r="B351" t="s">
        <v>254</v>
      </c>
      <c r="C351" t="s">
        <v>56</v>
      </c>
      <c r="D351" t="str">
        <f t="shared" si="20"/>
        <v>RYAN GOOD</v>
      </c>
      <c r="E351" t="s">
        <v>219</v>
      </c>
      <c r="F351" t="s">
        <v>53</v>
      </c>
      <c r="G351" t="s">
        <v>232</v>
      </c>
      <c r="H351">
        <v>8977234</v>
      </c>
      <c r="I351" t="s">
        <v>55</v>
      </c>
      <c r="J351" t="s">
        <v>56</v>
      </c>
      <c r="K351" t="str">
        <f t="shared" ref="K351:K382" si="22">CONCATENATE(J351, " ",I351)</f>
        <v>RYAN CALTAGIRONE</v>
      </c>
      <c r="L351" s="1">
        <v>45700</v>
      </c>
      <c r="M351" s="1">
        <v>45973</v>
      </c>
      <c r="N351" s="2">
        <v>94.38</v>
      </c>
      <c r="O351">
        <f t="shared" si="21"/>
        <v>9</v>
      </c>
      <c r="P351" t="s">
        <v>181</v>
      </c>
      <c r="Q351" t="s">
        <v>755</v>
      </c>
      <c r="R351" s="3">
        <v>0.75</v>
      </c>
      <c r="S351" t="s">
        <v>60</v>
      </c>
      <c r="T351" t="s">
        <v>182</v>
      </c>
      <c r="U351" s="2">
        <v>70.78</v>
      </c>
      <c r="V351" t="s">
        <v>751</v>
      </c>
    </row>
    <row r="352" spans="1:53" x14ac:dyDescent="0.25">
      <c r="A352">
        <v>2027070511</v>
      </c>
      <c r="B352" t="s">
        <v>212</v>
      </c>
      <c r="C352" t="s">
        <v>213</v>
      </c>
      <c r="D352" t="str">
        <f t="shared" si="20"/>
        <v>CATHERINE JOHNSON</v>
      </c>
      <c r="E352" t="s">
        <v>214</v>
      </c>
      <c r="F352" t="s">
        <v>114</v>
      </c>
      <c r="G352" t="s">
        <v>576</v>
      </c>
      <c r="H352">
        <v>19279958</v>
      </c>
      <c r="I352" t="s">
        <v>216</v>
      </c>
      <c r="J352" t="s">
        <v>217</v>
      </c>
      <c r="K352" t="str">
        <f t="shared" si="22"/>
        <v>JARED KINYUA</v>
      </c>
      <c r="L352" s="1">
        <v>45700</v>
      </c>
      <c r="M352" s="1">
        <v>45973</v>
      </c>
      <c r="N352" s="2">
        <v>9.5500000000000007</v>
      </c>
      <c r="O352">
        <f t="shared" si="21"/>
        <v>9</v>
      </c>
      <c r="P352" t="s">
        <v>181</v>
      </c>
      <c r="Q352" t="s">
        <v>755</v>
      </c>
      <c r="R352" s="3">
        <v>0.38</v>
      </c>
      <c r="S352" t="s">
        <v>60</v>
      </c>
      <c r="T352" t="s">
        <v>182</v>
      </c>
      <c r="U352" s="2">
        <v>3.63</v>
      </c>
      <c r="V352" t="s">
        <v>576</v>
      </c>
    </row>
    <row r="353" spans="1:22" x14ac:dyDescent="0.25">
      <c r="A353">
        <v>2026694437</v>
      </c>
      <c r="B353" t="s">
        <v>460</v>
      </c>
      <c r="C353" t="s">
        <v>461</v>
      </c>
      <c r="D353" t="str">
        <f t="shared" si="20"/>
        <v>GAYLE ENDRES</v>
      </c>
      <c r="E353" t="s">
        <v>78</v>
      </c>
      <c r="F353" t="s">
        <v>443</v>
      </c>
      <c r="G353" t="s">
        <v>463</v>
      </c>
      <c r="H353">
        <v>8307933</v>
      </c>
      <c r="I353" t="s">
        <v>260</v>
      </c>
      <c r="J353" t="s">
        <v>261</v>
      </c>
      <c r="K353" t="str">
        <f t="shared" si="22"/>
        <v>GREGORY TEIPEL</v>
      </c>
      <c r="L353" s="1">
        <v>45695</v>
      </c>
      <c r="M353" s="1">
        <v>45968</v>
      </c>
      <c r="N353" s="2">
        <v>14.95</v>
      </c>
      <c r="O353">
        <f t="shared" si="21"/>
        <v>9</v>
      </c>
      <c r="P353" t="s">
        <v>181</v>
      </c>
      <c r="Q353" t="s">
        <v>755</v>
      </c>
      <c r="R353" s="3">
        <v>0.51</v>
      </c>
      <c r="S353" t="s">
        <v>60</v>
      </c>
      <c r="T353" t="s">
        <v>182</v>
      </c>
      <c r="U353" s="2">
        <v>7.62</v>
      </c>
      <c r="V353" t="s">
        <v>462</v>
      </c>
    </row>
    <row r="354" spans="1:22" ht="15.75" customHeight="1" x14ac:dyDescent="0.25">
      <c r="A354">
        <v>2026694436</v>
      </c>
      <c r="B354" t="s">
        <v>460</v>
      </c>
      <c r="C354" t="s">
        <v>461</v>
      </c>
      <c r="D354" t="str">
        <f t="shared" si="20"/>
        <v>GAYLE ENDRES</v>
      </c>
      <c r="E354" t="s">
        <v>78</v>
      </c>
      <c r="F354" t="s">
        <v>443</v>
      </c>
      <c r="G354" t="s">
        <v>462</v>
      </c>
      <c r="H354">
        <v>8307933</v>
      </c>
      <c r="I354" t="s">
        <v>260</v>
      </c>
      <c r="J354" t="s">
        <v>261</v>
      </c>
      <c r="K354" t="str">
        <f t="shared" si="22"/>
        <v>GREGORY TEIPEL</v>
      </c>
      <c r="L354" s="1">
        <v>45695</v>
      </c>
      <c r="M354" s="1">
        <v>45968</v>
      </c>
      <c r="N354" s="2">
        <v>172.98</v>
      </c>
      <c r="O354">
        <f t="shared" si="21"/>
        <v>9</v>
      </c>
      <c r="P354" t="s">
        <v>181</v>
      </c>
      <c r="Q354" t="s">
        <v>755</v>
      </c>
      <c r="R354" s="3">
        <v>0.51</v>
      </c>
      <c r="S354" t="s">
        <v>60</v>
      </c>
      <c r="T354" t="s">
        <v>182</v>
      </c>
      <c r="U354" s="2">
        <v>88.22</v>
      </c>
      <c r="V354" t="s">
        <v>462</v>
      </c>
    </row>
    <row r="355" spans="1:22" x14ac:dyDescent="0.25">
      <c r="A355">
        <v>2027064142</v>
      </c>
      <c r="B355" t="s">
        <v>254</v>
      </c>
      <c r="C355" t="s">
        <v>56</v>
      </c>
      <c r="D355" t="str">
        <f t="shared" si="20"/>
        <v>RYAN GOOD</v>
      </c>
      <c r="E355" t="s">
        <v>219</v>
      </c>
      <c r="F355" t="s">
        <v>116</v>
      </c>
      <c r="G355" t="s">
        <v>125</v>
      </c>
      <c r="H355">
        <v>8977234</v>
      </c>
      <c r="I355" t="s">
        <v>55</v>
      </c>
      <c r="J355" t="s">
        <v>56</v>
      </c>
      <c r="K355" t="str">
        <f t="shared" si="22"/>
        <v>RYAN CALTAGIRONE</v>
      </c>
      <c r="L355" s="1">
        <v>45700</v>
      </c>
      <c r="M355" s="1">
        <v>45973</v>
      </c>
      <c r="N355" s="2">
        <v>115.91</v>
      </c>
      <c r="O355">
        <f t="shared" si="21"/>
        <v>9</v>
      </c>
      <c r="P355" t="s">
        <v>181</v>
      </c>
      <c r="Q355" t="s">
        <v>755</v>
      </c>
      <c r="R355" s="3">
        <v>0.7</v>
      </c>
      <c r="S355" t="s">
        <v>60</v>
      </c>
      <c r="T355" t="s">
        <v>182</v>
      </c>
      <c r="U355" s="2">
        <v>81.14</v>
      </c>
      <c r="V355" t="s">
        <v>125</v>
      </c>
    </row>
    <row r="356" spans="1:22" x14ac:dyDescent="0.25">
      <c r="A356">
        <v>2027070509</v>
      </c>
      <c r="B356" t="s">
        <v>212</v>
      </c>
      <c r="C356" t="s">
        <v>213</v>
      </c>
      <c r="D356" t="str">
        <f t="shared" si="20"/>
        <v>CATHERINE JOHNSON</v>
      </c>
      <c r="E356" t="s">
        <v>214</v>
      </c>
      <c r="F356" t="s">
        <v>92</v>
      </c>
      <c r="G356" t="s">
        <v>93</v>
      </c>
      <c r="H356">
        <v>19279958</v>
      </c>
      <c r="I356" t="s">
        <v>216</v>
      </c>
      <c r="J356" t="s">
        <v>217</v>
      </c>
      <c r="K356" t="str">
        <f t="shared" si="22"/>
        <v>JARED KINYUA</v>
      </c>
      <c r="L356" s="1">
        <v>45700</v>
      </c>
      <c r="M356" s="1">
        <v>45973</v>
      </c>
      <c r="N356" s="2">
        <v>31.14</v>
      </c>
      <c r="O356">
        <f t="shared" si="21"/>
        <v>9</v>
      </c>
      <c r="P356" t="s">
        <v>181</v>
      </c>
      <c r="Q356" t="s">
        <v>755</v>
      </c>
      <c r="R356" s="4">
        <v>0.375</v>
      </c>
      <c r="S356" t="s">
        <v>60</v>
      </c>
      <c r="T356" t="s">
        <v>182</v>
      </c>
      <c r="U356" s="2">
        <v>11.68</v>
      </c>
      <c r="V356" t="s">
        <v>93</v>
      </c>
    </row>
    <row r="357" spans="1:22" x14ac:dyDescent="0.25">
      <c r="A357">
        <v>2027070510</v>
      </c>
      <c r="B357" t="s">
        <v>212</v>
      </c>
      <c r="C357" t="s">
        <v>213</v>
      </c>
      <c r="D357" t="str">
        <f t="shared" si="20"/>
        <v>CATHERINE JOHNSON</v>
      </c>
      <c r="E357" t="s">
        <v>214</v>
      </c>
      <c r="F357" t="s">
        <v>176</v>
      </c>
      <c r="G357" t="s">
        <v>215</v>
      </c>
      <c r="H357">
        <v>19279958</v>
      </c>
      <c r="I357" t="s">
        <v>216</v>
      </c>
      <c r="J357" t="s">
        <v>217</v>
      </c>
      <c r="K357" t="str">
        <f t="shared" si="22"/>
        <v>JARED KINYUA</v>
      </c>
      <c r="L357" s="1">
        <v>45700</v>
      </c>
      <c r="M357" s="1">
        <v>45973</v>
      </c>
      <c r="N357" s="2">
        <v>46.56</v>
      </c>
      <c r="O357">
        <f t="shared" si="21"/>
        <v>9</v>
      </c>
      <c r="P357" t="s">
        <v>181</v>
      </c>
      <c r="Q357" t="s">
        <v>755</v>
      </c>
      <c r="R357" s="3">
        <v>0.6</v>
      </c>
      <c r="S357" t="s">
        <v>60</v>
      </c>
      <c r="T357" t="s">
        <v>182</v>
      </c>
      <c r="U357" s="2">
        <v>27.94</v>
      </c>
      <c r="V357" t="s">
        <v>215</v>
      </c>
    </row>
    <row r="358" spans="1:22" x14ac:dyDescent="0.25">
      <c r="A358">
        <v>2026586621</v>
      </c>
      <c r="B358" t="s">
        <v>365</v>
      </c>
      <c r="C358" t="s">
        <v>366</v>
      </c>
      <c r="D358" t="str">
        <f t="shared" si="20"/>
        <v>ALEXANDRA STOCKTON</v>
      </c>
      <c r="E358" t="s">
        <v>214</v>
      </c>
      <c r="F358" t="s">
        <v>116</v>
      </c>
      <c r="G358" t="s">
        <v>117</v>
      </c>
      <c r="H358">
        <v>19279958</v>
      </c>
      <c r="I358" t="s">
        <v>216</v>
      </c>
      <c r="J358" t="s">
        <v>217</v>
      </c>
      <c r="K358" t="str">
        <f t="shared" si="22"/>
        <v>JARED KINYUA</v>
      </c>
      <c r="L358" s="1">
        <v>45672</v>
      </c>
      <c r="M358" s="1">
        <v>45976</v>
      </c>
      <c r="N358" s="2">
        <v>25.73</v>
      </c>
      <c r="O358">
        <f t="shared" si="21"/>
        <v>10</v>
      </c>
      <c r="P358" t="s">
        <v>181</v>
      </c>
      <c r="Q358" t="s">
        <v>755</v>
      </c>
      <c r="R358" s="3">
        <v>0.7</v>
      </c>
      <c r="S358" t="s">
        <v>60</v>
      </c>
      <c r="T358" t="s">
        <v>182</v>
      </c>
      <c r="U358" s="2">
        <v>18.010000000000002</v>
      </c>
      <c r="V358" t="s">
        <v>591</v>
      </c>
    </row>
    <row r="359" spans="1:22" x14ac:dyDescent="0.25">
      <c r="A359">
        <v>2026586623</v>
      </c>
      <c r="B359" t="s">
        <v>365</v>
      </c>
      <c r="C359" t="s">
        <v>366</v>
      </c>
      <c r="D359" t="str">
        <f t="shared" si="20"/>
        <v>ALEXANDRA STOCKTON</v>
      </c>
      <c r="E359" t="s">
        <v>214</v>
      </c>
      <c r="F359" t="s">
        <v>79</v>
      </c>
      <c r="G359" t="s">
        <v>350</v>
      </c>
      <c r="H359">
        <v>19279958</v>
      </c>
      <c r="I359" t="s">
        <v>216</v>
      </c>
      <c r="J359" t="s">
        <v>217</v>
      </c>
      <c r="K359" t="str">
        <f t="shared" si="22"/>
        <v>JARED KINYUA</v>
      </c>
      <c r="L359" s="1">
        <v>45672</v>
      </c>
      <c r="M359" s="1">
        <v>45976</v>
      </c>
      <c r="N359" s="2">
        <v>15</v>
      </c>
      <c r="O359">
        <f t="shared" si="21"/>
        <v>10</v>
      </c>
      <c r="P359" t="s">
        <v>181</v>
      </c>
      <c r="Q359" t="s">
        <v>755</v>
      </c>
      <c r="R359" s="3">
        <v>0.38</v>
      </c>
      <c r="S359" t="s">
        <v>60</v>
      </c>
      <c r="T359" t="s">
        <v>182</v>
      </c>
      <c r="U359" s="2">
        <v>5.7</v>
      </c>
      <c r="V359" t="s">
        <v>350</v>
      </c>
    </row>
    <row r="360" spans="1:22" x14ac:dyDescent="0.25">
      <c r="A360">
        <v>2026586622</v>
      </c>
      <c r="B360" t="s">
        <v>365</v>
      </c>
      <c r="C360" t="s">
        <v>366</v>
      </c>
      <c r="D360" t="str">
        <f t="shared" si="20"/>
        <v>ALEXANDRA STOCKTON</v>
      </c>
      <c r="E360" t="s">
        <v>214</v>
      </c>
      <c r="F360" t="s">
        <v>114</v>
      </c>
      <c r="G360" t="s">
        <v>576</v>
      </c>
      <c r="H360">
        <v>19279958</v>
      </c>
      <c r="I360" t="s">
        <v>216</v>
      </c>
      <c r="J360" t="s">
        <v>217</v>
      </c>
      <c r="K360" t="str">
        <f t="shared" si="22"/>
        <v>JARED KINYUA</v>
      </c>
      <c r="L360" s="1">
        <v>45672</v>
      </c>
      <c r="M360" s="1">
        <v>45976</v>
      </c>
      <c r="N360" s="2">
        <v>13.38</v>
      </c>
      <c r="O360">
        <f t="shared" si="21"/>
        <v>10</v>
      </c>
      <c r="P360" t="s">
        <v>181</v>
      </c>
      <c r="Q360" t="s">
        <v>755</v>
      </c>
      <c r="R360" s="3">
        <v>0.38</v>
      </c>
      <c r="S360" t="s">
        <v>60</v>
      </c>
      <c r="T360" t="s">
        <v>182</v>
      </c>
      <c r="U360" s="2">
        <v>5.08</v>
      </c>
      <c r="V360" t="s">
        <v>576</v>
      </c>
    </row>
    <row r="361" spans="1:22" x14ac:dyDescent="0.25">
      <c r="A361">
        <v>2026603199</v>
      </c>
      <c r="B361" t="s">
        <v>206</v>
      </c>
      <c r="C361" t="s">
        <v>207</v>
      </c>
      <c r="D361" t="str">
        <f t="shared" si="20"/>
        <v>GEOFFREY PETTINE</v>
      </c>
      <c r="E361" t="s">
        <v>189</v>
      </c>
      <c r="F361" t="s">
        <v>114</v>
      </c>
      <c r="G361" t="s">
        <v>576</v>
      </c>
      <c r="H361">
        <v>18781057</v>
      </c>
      <c r="I361" t="s">
        <v>186</v>
      </c>
      <c r="J361" t="s">
        <v>90</v>
      </c>
      <c r="K361" t="str">
        <f t="shared" si="22"/>
        <v>JOHN ROKEN</v>
      </c>
      <c r="L361" s="1">
        <v>45673</v>
      </c>
      <c r="M361" s="1">
        <v>45977</v>
      </c>
      <c r="N361" s="2">
        <v>33.51</v>
      </c>
      <c r="O361">
        <f t="shared" si="21"/>
        <v>10</v>
      </c>
      <c r="P361" t="s">
        <v>181</v>
      </c>
      <c r="Q361" t="s">
        <v>755</v>
      </c>
      <c r="R361" s="3">
        <v>0.38</v>
      </c>
      <c r="S361" t="s">
        <v>60</v>
      </c>
      <c r="T361" t="s">
        <v>182</v>
      </c>
      <c r="U361" s="2">
        <v>12.73</v>
      </c>
      <c r="V361" t="s">
        <v>576</v>
      </c>
    </row>
    <row r="362" spans="1:22" x14ac:dyDescent="0.25">
      <c r="A362">
        <v>2026586620</v>
      </c>
      <c r="B362" t="s">
        <v>365</v>
      </c>
      <c r="C362" t="s">
        <v>366</v>
      </c>
      <c r="D362" t="str">
        <f t="shared" si="20"/>
        <v>ALEXANDRA STOCKTON</v>
      </c>
      <c r="E362" t="s">
        <v>214</v>
      </c>
      <c r="F362" t="s">
        <v>116</v>
      </c>
      <c r="G362" t="s">
        <v>125</v>
      </c>
      <c r="H362">
        <v>19279958</v>
      </c>
      <c r="I362" t="s">
        <v>216</v>
      </c>
      <c r="J362" t="s">
        <v>217</v>
      </c>
      <c r="K362" t="str">
        <f t="shared" si="22"/>
        <v>JARED KINYUA</v>
      </c>
      <c r="L362" s="1">
        <v>45672</v>
      </c>
      <c r="M362" s="1">
        <v>45976</v>
      </c>
      <c r="N362" s="2">
        <v>15.29</v>
      </c>
      <c r="O362">
        <f t="shared" si="21"/>
        <v>10</v>
      </c>
      <c r="P362" t="s">
        <v>181</v>
      </c>
      <c r="Q362" t="s">
        <v>755</v>
      </c>
      <c r="R362" s="3">
        <v>0.7</v>
      </c>
      <c r="S362" t="s">
        <v>60</v>
      </c>
      <c r="T362" t="s">
        <v>182</v>
      </c>
      <c r="U362" s="2">
        <v>10.7</v>
      </c>
      <c r="V362" t="s">
        <v>125</v>
      </c>
    </row>
    <row r="363" spans="1:22" x14ac:dyDescent="0.25">
      <c r="A363">
        <v>2026568865</v>
      </c>
      <c r="B363" t="s">
        <v>633</v>
      </c>
      <c r="C363" t="s">
        <v>634</v>
      </c>
      <c r="D363" t="str">
        <f t="shared" si="20"/>
        <v>RACHEL YOUNG</v>
      </c>
      <c r="E363" t="s">
        <v>219</v>
      </c>
      <c r="F363" t="s">
        <v>116</v>
      </c>
      <c r="G363" t="s">
        <v>125</v>
      </c>
      <c r="H363">
        <v>19279958</v>
      </c>
      <c r="I363" t="s">
        <v>216</v>
      </c>
      <c r="J363" t="s">
        <v>217</v>
      </c>
      <c r="K363" t="str">
        <f t="shared" si="22"/>
        <v>JARED KINYUA</v>
      </c>
      <c r="L363" s="1">
        <v>45671</v>
      </c>
      <c r="M363" s="1">
        <v>45975</v>
      </c>
      <c r="N363" s="2">
        <v>45.97</v>
      </c>
      <c r="O363">
        <f t="shared" si="21"/>
        <v>10</v>
      </c>
      <c r="P363" t="s">
        <v>181</v>
      </c>
      <c r="Q363" t="s">
        <v>755</v>
      </c>
      <c r="R363" s="3">
        <v>0.7</v>
      </c>
      <c r="S363" t="s">
        <v>60</v>
      </c>
      <c r="T363" t="s">
        <v>182</v>
      </c>
      <c r="U363" s="2">
        <v>32.18</v>
      </c>
      <c r="V363" t="s">
        <v>125</v>
      </c>
    </row>
    <row r="364" spans="1:22" x14ac:dyDescent="0.25">
      <c r="A364">
        <v>2026603256</v>
      </c>
      <c r="B364" t="s">
        <v>488</v>
      </c>
      <c r="C364" t="s">
        <v>192</v>
      </c>
      <c r="D364" t="str">
        <f t="shared" si="20"/>
        <v>CHARLES JR</v>
      </c>
      <c r="E364" t="s">
        <v>189</v>
      </c>
      <c r="F364" t="s">
        <v>92</v>
      </c>
      <c r="G364" t="s">
        <v>93</v>
      </c>
      <c r="H364" t="s">
        <v>753</v>
      </c>
      <c r="I364" t="s">
        <v>455</v>
      </c>
      <c r="J364" t="s">
        <v>456</v>
      </c>
      <c r="K364" t="str">
        <f t="shared" si="22"/>
        <v>DEBORAH INSKIPT</v>
      </c>
      <c r="L364" s="1">
        <v>45673</v>
      </c>
      <c r="M364" s="1">
        <v>45977</v>
      </c>
      <c r="N364" s="2">
        <v>49.98</v>
      </c>
      <c r="O364">
        <f t="shared" si="21"/>
        <v>10</v>
      </c>
      <c r="P364" t="s">
        <v>181</v>
      </c>
      <c r="Q364" t="s">
        <v>755</v>
      </c>
      <c r="R364" s="4">
        <v>0.375</v>
      </c>
      <c r="S364" t="s">
        <v>60</v>
      </c>
      <c r="T364" t="s">
        <v>182</v>
      </c>
      <c r="U364" s="2">
        <v>18.739999999999998</v>
      </c>
      <c r="V364" t="s">
        <v>93</v>
      </c>
    </row>
    <row r="365" spans="1:22" x14ac:dyDescent="0.25">
      <c r="A365">
        <v>2026585511</v>
      </c>
      <c r="B365" t="s">
        <v>486</v>
      </c>
      <c r="C365" t="s">
        <v>487</v>
      </c>
      <c r="D365" t="str">
        <f t="shared" si="20"/>
        <v>MICHELE LIBERATORE</v>
      </c>
      <c r="E365" t="s">
        <v>189</v>
      </c>
      <c r="F365" t="s">
        <v>92</v>
      </c>
      <c r="G365" t="s">
        <v>93</v>
      </c>
      <c r="H365" t="s">
        <v>753</v>
      </c>
      <c r="I365" t="s">
        <v>455</v>
      </c>
      <c r="J365" t="s">
        <v>456</v>
      </c>
      <c r="K365" t="str">
        <f t="shared" si="22"/>
        <v>DEBORAH INSKIPT</v>
      </c>
      <c r="L365" s="1">
        <v>45672</v>
      </c>
      <c r="M365" s="1">
        <v>45976</v>
      </c>
      <c r="N365" s="2">
        <v>149.46</v>
      </c>
      <c r="O365">
        <f t="shared" si="21"/>
        <v>10</v>
      </c>
      <c r="P365" t="s">
        <v>181</v>
      </c>
      <c r="Q365" t="s">
        <v>755</v>
      </c>
      <c r="R365" s="4">
        <v>0.375</v>
      </c>
      <c r="S365" t="s">
        <v>60</v>
      </c>
      <c r="T365" t="s">
        <v>182</v>
      </c>
      <c r="U365" s="2">
        <v>56.05</v>
      </c>
      <c r="V365" t="s">
        <v>93</v>
      </c>
    </row>
    <row r="366" spans="1:22" x14ac:dyDescent="0.25">
      <c r="A366">
        <v>2026603200</v>
      </c>
      <c r="B366" t="s">
        <v>206</v>
      </c>
      <c r="C366" t="s">
        <v>207</v>
      </c>
      <c r="D366" t="str">
        <f t="shared" si="20"/>
        <v>GEOFFREY PETTINE</v>
      </c>
      <c r="E366" t="s">
        <v>189</v>
      </c>
      <c r="F366" t="s">
        <v>176</v>
      </c>
      <c r="G366" t="s">
        <v>177</v>
      </c>
      <c r="H366">
        <v>18781057</v>
      </c>
      <c r="I366" t="s">
        <v>186</v>
      </c>
      <c r="J366" t="s">
        <v>90</v>
      </c>
      <c r="K366" t="str">
        <f t="shared" si="22"/>
        <v>JOHN ROKEN</v>
      </c>
      <c r="L366" s="1">
        <v>45673</v>
      </c>
      <c r="M366" s="1">
        <v>45977</v>
      </c>
      <c r="N366" s="2">
        <v>56.69</v>
      </c>
      <c r="O366">
        <f t="shared" si="21"/>
        <v>10</v>
      </c>
      <c r="P366" t="s">
        <v>181</v>
      </c>
      <c r="Q366" t="s">
        <v>755</v>
      </c>
      <c r="R366" s="3">
        <v>0.6</v>
      </c>
      <c r="S366" t="s">
        <v>60</v>
      </c>
      <c r="T366" t="s">
        <v>182</v>
      </c>
      <c r="U366" s="2">
        <v>34.01</v>
      </c>
      <c r="V366" t="s">
        <v>177</v>
      </c>
    </row>
    <row r="367" spans="1:22" x14ac:dyDescent="0.25">
      <c r="A367">
        <v>2026061218</v>
      </c>
      <c r="B367" t="s">
        <v>242</v>
      </c>
      <c r="C367" t="s">
        <v>209</v>
      </c>
      <c r="D367" t="str">
        <f t="shared" si="20"/>
        <v>JOSEPH HINTZICKER</v>
      </c>
      <c r="E367" t="s">
        <v>69</v>
      </c>
      <c r="F367" t="s">
        <v>53</v>
      </c>
      <c r="G367" t="s">
        <v>75</v>
      </c>
      <c r="H367">
        <v>21313588</v>
      </c>
      <c r="I367" t="s">
        <v>234</v>
      </c>
      <c r="J367" t="s">
        <v>122</v>
      </c>
      <c r="K367" t="str">
        <f t="shared" si="22"/>
        <v>WILLIAM GESKE</v>
      </c>
      <c r="L367" s="1">
        <v>45641</v>
      </c>
      <c r="M367" s="1">
        <v>45976</v>
      </c>
      <c r="N367" s="2">
        <v>37.130000000000003</v>
      </c>
      <c r="O367">
        <f t="shared" si="21"/>
        <v>11</v>
      </c>
      <c r="P367" t="s">
        <v>181</v>
      </c>
      <c r="Q367" t="s">
        <v>755</v>
      </c>
      <c r="R367" s="3">
        <v>0.65</v>
      </c>
      <c r="S367" t="s">
        <v>60</v>
      </c>
      <c r="T367" t="s">
        <v>182</v>
      </c>
      <c r="U367" s="2">
        <v>24.13</v>
      </c>
      <c r="V367" t="s">
        <v>750</v>
      </c>
    </row>
    <row r="368" spans="1:22" x14ac:dyDescent="0.25">
      <c r="A368">
        <v>2026111642</v>
      </c>
      <c r="B368" t="s">
        <v>243</v>
      </c>
      <c r="C368" t="s">
        <v>244</v>
      </c>
      <c r="D368" t="str">
        <f t="shared" si="20"/>
        <v>NIKKI SANDOVAL</v>
      </c>
      <c r="E368" t="s">
        <v>69</v>
      </c>
      <c r="F368" t="s">
        <v>53</v>
      </c>
      <c r="G368" t="s">
        <v>75</v>
      </c>
      <c r="H368">
        <v>21313588</v>
      </c>
      <c r="I368" t="s">
        <v>234</v>
      </c>
      <c r="J368" t="s">
        <v>122</v>
      </c>
      <c r="K368" t="str">
        <f t="shared" si="22"/>
        <v>WILLIAM GESKE</v>
      </c>
      <c r="L368" s="1">
        <v>45641</v>
      </c>
      <c r="M368" s="1">
        <v>45976</v>
      </c>
      <c r="N368" s="2">
        <v>58.48</v>
      </c>
      <c r="O368">
        <f t="shared" si="21"/>
        <v>11</v>
      </c>
      <c r="P368" t="s">
        <v>181</v>
      </c>
      <c r="Q368" t="s">
        <v>755</v>
      </c>
      <c r="R368" s="3">
        <v>0.65</v>
      </c>
      <c r="S368" t="s">
        <v>60</v>
      </c>
      <c r="T368" t="s">
        <v>182</v>
      </c>
      <c r="U368" s="2">
        <v>38.01</v>
      </c>
      <c r="V368" t="s">
        <v>750</v>
      </c>
    </row>
    <row r="369" spans="1:22" x14ac:dyDescent="0.25">
      <c r="A369">
        <v>2023913074</v>
      </c>
      <c r="B369" t="s">
        <v>352</v>
      </c>
      <c r="C369" t="s">
        <v>353</v>
      </c>
      <c r="D369" t="str">
        <f t="shared" si="20"/>
        <v>DOUGLAS GEISSINGER</v>
      </c>
      <c r="E369" t="s">
        <v>312</v>
      </c>
      <c r="F369" t="s">
        <v>79</v>
      </c>
      <c r="G369" t="s">
        <v>354</v>
      </c>
      <c r="H369">
        <v>8977234</v>
      </c>
      <c r="I369" t="s">
        <v>55</v>
      </c>
      <c r="J369" t="s">
        <v>56</v>
      </c>
      <c r="K369" t="str">
        <f t="shared" si="22"/>
        <v>RYAN CALTAGIRONE</v>
      </c>
      <c r="L369" s="1">
        <v>45643</v>
      </c>
      <c r="M369" s="1">
        <v>45978</v>
      </c>
      <c r="N369" s="2">
        <v>15</v>
      </c>
      <c r="O369">
        <f t="shared" si="21"/>
        <v>11</v>
      </c>
      <c r="P369" t="s">
        <v>181</v>
      </c>
      <c r="Q369" t="s">
        <v>755</v>
      </c>
      <c r="R369" s="3">
        <v>0.19</v>
      </c>
      <c r="S369" t="s">
        <v>60</v>
      </c>
      <c r="T369" t="s">
        <v>182</v>
      </c>
      <c r="U369" s="2">
        <v>2.85</v>
      </c>
      <c r="V369" t="s">
        <v>354</v>
      </c>
    </row>
    <row r="370" spans="1:22" x14ac:dyDescent="0.25">
      <c r="A370">
        <v>2026061219</v>
      </c>
      <c r="B370" t="s">
        <v>242</v>
      </c>
      <c r="C370" t="s">
        <v>209</v>
      </c>
      <c r="D370" t="str">
        <f t="shared" si="20"/>
        <v>JOSEPH HINTZICKER</v>
      </c>
      <c r="E370" t="s">
        <v>69</v>
      </c>
      <c r="F370" t="s">
        <v>114</v>
      </c>
      <c r="G370" t="s">
        <v>576</v>
      </c>
      <c r="H370">
        <v>21313588</v>
      </c>
      <c r="I370" t="s">
        <v>234</v>
      </c>
      <c r="J370" t="s">
        <v>122</v>
      </c>
      <c r="K370" t="str">
        <f t="shared" si="22"/>
        <v>WILLIAM GESKE</v>
      </c>
      <c r="L370" s="1">
        <v>45641</v>
      </c>
      <c r="M370" s="1">
        <v>45976</v>
      </c>
      <c r="N370" s="2">
        <v>33.31</v>
      </c>
      <c r="O370">
        <f t="shared" si="21"/>
        <v>11</v>
      </c>
      <c r="P370" t="s">
        <v>181</v>
      </c>
      <c r="Q370" t="s">
        <v>755</v>
      </c>
      <c r="R370" s="3">
        <v>0.38</v>
      </c>
      <c r="S370" t="s">
        <v>60</v>
      </c>
      <c r="T370" t="s">
        <v>182</v>
      </c>
      <c r="U370" s="2">
        <v>12.66</v>
      </c>
      <c r="V370" t="s">
        <v>576</v>
      </c>
    </row>
    <row r="371" spans="1:22" x14ac:dyDescent="0.25">
      <c r="A371">
        <v>2023913072</v>
      </c>
      <c r="B371" t="s">
        <v>352</v>
      </c>
      <c r="C371" t="s">
        <v>353</v>
      </c>
      <c r="D371" t="str">
        <f t="shared" si="20"/>
        <v>DOUGLAS GEISSINGER</v>
      </c>
      <c r="E371" t="s">
        <v>312</v>
      </c>
      <c r="F371" t="s">
        <v>166</v>
      </c>
      <c r="G371" t="s">
        <v>438</v>
      </c>
      <c r="H371">
        <v>8977234</v>
      </c>
      <c r="I371" t="s">
        <v>55</v>
      </c>
      <c r="J371" t="s">
        <v>56</v>
      </c>
      <c r="K371" t="str">
        <f t="shared" si="22"/>
        <v>RYAN CALTAGIRONE</v>
      </c>
      <c r="L371" s="1">
        <v>45643</v>
      </c>
      <c r="M371" s="1">
        <v>45978</v>
      </c>
      <c r="N371" s="2">
        <v>306.95</v>
      </c>
      <c r="O371">
        <f t="shared" si="21"/>
        <v>11</v>
      </c>
      <c r="P371" t="s">
        <v>181</v>
      </c>
      <c r="Q371" t="s">
        <v>755</v>
      </c>
      <c r="R371" s="3">
        <v>0.19</v>
      </c>
      <c r="S371" t="s">
        <v>60</v>
      </c>
      <c r="T371" t="s">
        <v>182</v>
      </c>
      <c r="U371" s="2">
        <v>58.32</v>
      </c>
      <c r="V371" t="s">
        <v>438</v>
      </c>
    </row>
    <row r="372" spans="1:22" x14ac:dyDescent="0.25">
      <c r="A372">
        <v>2026061217</v>
      </c>
      <c r="B372" t="s">
        <v>242</v>
      </c>
      <c r="C372" t="s">
        <v>209</v>
      </c>
      <c r="D372" t="str">
        <f t="shared" si="20"/>
        <v>JOSEPH HINTZICKER</v>
      </c>
      <c r="E372" t="s">
        <v>69</v>
      </c>
      <c r="F372" t="s">
        <v>116</v>
      </c>
      <c r="G372" t="s">
        <v>125</v>
      </c>
      <c r="H372">
        <v>21313588</v>
      </c>
      <c r="I372" t="s">
        <v>234</v>
      </c>
      <c r="J372" t="s">
        <v>122</v>
      </c>
      <c r="K372" t="str">
        <f t="shared" si="22"/>
        <v>WILLIAM GESKE</v>
      </c>
      <c r="L372" s="1">
        <v>45641</v>
      </c>
      <c r="M372" s="1">
        <v>45976</v>
      </c>
      <c r="N372" s="2">
        <v>7.89</v>
      </c>
      <c r="O372">
        <f t="shared" si="21"/>
        <v>11</v>
      </c>
      <c r="P372" t="s">
        <v>181</v>
      </c>
      <c r="Q372" t="s">
        <v>755</v>
      </c>
      <c r="R372" s="3">
        <v>0.7</v>
      </c>
      <c r="S372" t="s">
        <v>60</v>
      </c>
      <c r="T372" t="s">
        <v>182</v>
      </c>
      <c r="U372" s="2">
        <v>5.52</v>
      </c>
      <c r="V372" t="s">
        <v>125</v>
      </c>
    </row>
    <row r="373" spans="1:22" x14ac:dyDescent="0.25">
      <c r="A373">
        <v>2026111641</v>
      </c>
      <c r="B373" t="s">
        <v>243</v>
      </c>
      <c r="C373" t="s">
        <v>244</v>
      </c>
      <c r="D373" t="str">
        <f t="shared" si="20"/>
        <v>NIKKI SANDOVAL</v>
      </c>
      <c r="E373" t="s">
        <v>69</v>
      </c>
      <c r="F373" t="s">
        <v>116</v>
      </c>
      <c r="G373" t="s">
        <v>125</v>
      </c>
      <c r="H373">
        <v>21313588</v>
      </c>
      <c r="I373" t="s">
        <v>234</v>
      </c>
      <c r="J373" t="s">
        <v>122</v>
      </c>
      <c r="K373" t="str">
        <f t="shared" si="22"/>
        <v>WILLIAM GESKE</v>
      </c>
      <c r="L373" s="1">
        <v>45641</v>
      </c>
      <c r="M373" s="1">
        <v>45976</v>
      </c>
      <c r="N373" s="2">
        <v>27.38</v>
      </c>
      <c r="O373">
        <f t="shared" si="21"/>
        <v>11</v>
      </c>
      <c r="P373" t="s">
        <v>181</v>
      </c>
      <c r="Q373" t="s">
        <v>755</v>
      </c>
      <c r="R373" s="3">
        <v>0.7</v>
      </c>
      <c r="S373" t="s">
        <v>60</v>
      </c>
      <c r="T373" t="s">
        <v>182</v>
      </c>
      <c r="U373" s="2">
        <v>19.170000000000002</v>
      </c>
      <c r="V373" t="s">
        <v>125</v>
      </c>
    </row>
    <row r="374" spans="1:22" x14ac:dyDescent="0.25">
      <c r="A374">
        <v>2026146921</v>
      </c>
      <c r="B374" t="s">
        <v>480</v>
      </c>
      <c r="C374" t="s">
        <v>481</v>
      </c>
      <c r="D374" t="str">
        <f t="shared" si="20"/>
        <v>VINCE MACCARELLI</v>
      </c>
      <c r="E374" t="s">
        <v>189</v>
      </c>
      <c r="F374" t="s">
        <v>92</v>
      </c>
      <c r="G374" t="s">
        <v>93</v>
      </c>
      <c r="H374">
        <v>17528908</v>
      </c>
      <c r="I374" t="s">
        <v>455</v>
      </c>
      <c r="J374" t="s">
        <v>456</v>
      </c>
      <c r="K374" t="str">
        <f t="shared" si="22"/>
        <v>DEBORAH INSKIPT</v>
      </c>
      <c r="L374" s="1">
        <v>45639</v>
      </c>
      <c r="M374" s="1">
        <v>45974</v>
      </c>
      <c r="N374" s="2">
        <v>39.979999999999997</v>
      </c>
      <c r="O374">
        <f t="shared" si="21"/>
        <v>11</v>
      </c>
      <c r="P374" t="s">
        <v>181</v>
      </c>
      <c r="Q374" t="s">
        <v>755</v>
      </c>
      <c r="R374" s="4">
        <v>0.375</v>
      </c>
      <c r="S374" t="s">
        <v>60</v>
      </c>
      <c r="T374" t="s">
        <v>182</v>
      </c>
      <c r="U374" s="2">
        <v>14.99</v>
      </c>
      <c r="V374" t="s">
        <v>93</v>
      </c>
    </row>
    <row r="375" spans="1:22" x14ac:dyDescent="0.25">
      <c r="A375">
        <v>2026141665</v>
      </c>
      <c r="B375" t="s">
        <v>478</v>
      </c>
      <c r="C375" t="s">
        <v>479</v>
      </c>
      <c r="D375" t="str">
        <f t="shared" si="20"/>
        <v>NIDA HUSSAIN</v>
      </c>
      <c r="E375" t="s">
        <v>78</v>
      </c>
      <c r="F375" t="s">
        <v>92</v>
      </c>
      <c r="G375" t="s">
        <v>93</v>
      </c>
      <c r="H375">
        <v>8307933</v>
      </c>
      <c r="I375" t="s">
        <v>260</v>
      </c>
      <c r="J375" t="s">
        <v>261</v>
      </c>
      <c r="K375" t="str">
        <f t="shared" si="22"/>
        <v>GREGORY TEIPEL</v>
      </c>
      <c r="L375" s="1">
        <v>45641</v>
      </c>
      <c r="M375" s="1">
        <v>45976</v>
      </c>
      <c r="N375" s="2">
        <v>101.87</v>
      </c>
      <c r="O375">
        <f t="shared" si="21"/>
        <v>11</v>
      </c>
      <c r="P375" t="s">
        <v>181</v>
      </c>
      <c r="Q375" t="s">
        <v>755</v>
      </c>
      <c r="R375" s="4">
        <v>0.375</v>
      </c>
      <c r="S375" t="s">
        <v>60</v>
      </c>
      <c r="T375" t="s">
        <v>182</v>
      </c>
      <c r="U375" s="2">
        <v>38.200000000000003</v>
      </c>
      <c r="V375" t="s">
        <v>93</v>
      </c>
    </row>
    <row r="376" spans="1:22" x14ac:dyDescent="0.25">
      <c r="A376">
        <v>2026111643</v>
      </c>
      <c r="B376" t="s">
        <v>243</v>
      </c>
      <c r="C376" t="s">
        <v>244</v>
      </c>
      <c r="D376" t="str">
        <f t="shared" si="20"/>
        <v>NIKKI SANDOVAL</v>
      </c>
      <c r="E376" t="s">
        <v>69</v>
      </c>
      <c r="F376" t="s">
        <v>92</v>
      </c>
      <c r="G376" t="s">
        <v>93</v>
      </c>
      <c r="H376">
        <v>21313588</v>
      </c>
      <c r="I376" t="s">
        <v>234</v>
      </c>
      <c r="J376" t="s">
        <v>122</v>
      </c>
      <c r="K376" t="str">
        <f t="shared" si="22"/>
        <v>WILLIAM GESKE</v>
      </c>
      <c r="L376" s="1">
        <v>45641</v>
      </c>
      <c r="M376" s="1">
        <v>45976</v>
      </c>
      <c r="N376" s="2">
        <v>105.78</v>
      </c>
      <c r="O376">
        <f t="shared" si="21"/>
        <v>11</v>
      </c>
      <c r="P376" t="s">
        <v>181</v>
      </c>
      <c r="Q376" t="s">
        <v>755</v>
      </c>
      <c r="R376" s="4">
        <v>0.375</v>
      </c>
      <c r="S376" t="s">
        <v>60</v>
      </c>
      <c r="T376" t="s">
        <v>182</v>
      </c>
      <c r="U376" s="2">
        <v>39.67</v>
      </c>
      <c r="V376" t="s">
        <v>93</v>
      </c>
    </row>
    <row r="377" spans="1:22" x14ac:dyDescent="0.25">
      <c r="A377">
        <v>2025721594</v>
      </c>
      <c r="B377" t="s">
        <v>239</v>
      </c>
      <c r="C377" t="s">
        <v>194</v>
      </c>
      <c r="D377" t="str">
        <f t="shared" si="20"/>
        <v>SARAH KONKOL</v>
      </c>
      <c r="E377" t="s">
        <v>69</v>
      </c>
      <c r="F377" t="s">
        <v>116</v>
      </c>
      <c r="G377" t="s">
        <v>591</v>
      </c>
      <c r="H377">
        <v>21313588</v>
      </c>
      <c r="I377" t="s">
        <v>234</v>
      </c>
      <c r="J377" t="s">
        <v>122</v>
      </c>
      <c r="K377" t="str">
        <f t="shared" si="22"/>
        <v>WILLIAM GESKE</v>
      </c>
      <c r="L377" s="1">
        <v>45608</v>
      </c>
      <c r="M377" s="1">
        <v>45973</v>
      </c>
      <c r="N377" s="2">
        <v>20.95</v>
      </c>
      <c r="O377">
        <f t="shared" si="21"/>
        <v>12</v>
      </c>
      <c r="P377" t="s">
        <v>181</v>
      </c>
      <c r="Q377" t="s">
        <v>755</v>
      </c>
      <c r="R377" s="3">
        <v>0.7</v>
      </c>
      <c r="S377" t="s">
        <v>60</v>
      </c>
      <c r="T377" t="s">
        <v>182</v>
      </c>
      <c r="U377" s="2">
        <v>14.66</v>
      </c>
      <c r="V377" t="s">
        <v>591</v>
      </c>
    </row>
    <row r="378" spans="1:22" x14ac:dyDescent="0.25">
      <c r="A378">
        <v>2025785647</v>
      </c>
      <c r="B378" t="s">
        <v>416</v>
      </c>
      <c r="C378" t="s">
        <v>417</v>
      </c>
      <c r="D378" t="str">
        <f t="shared" si="20"/>
        <v>KEITH RODECK</v>
      </c>
      <c r="E378" t="s">
        <v>225</v>
      </c>
      <c r="F378" t="s">
        <v>116</v>
      </c>
      <c r="G378" t="s">
        <v>117</v>
      </c>
      <c r="H378">
        <v>8977234</v>
      </c>
      <c r="I378" t="s">
        <v>55</v>
      </c>
      <c r="J378" t="s">
        <v>56</v>
      </c>
      <c r="K378" t="str">
        <f t="shared" si="22"/>
        <v>RYAN CALTAGIRONE</v>
      </c>
      <c r="L378" s="1">
        <v>45612</v>
      </c>
      <c r="M378" s="1">
        <v>45977</v>
      </c>
      <c r="N378" s="2">
        <v>51.46</v>
      </c>
      <c r="O378">
        <f t="shared" si="21"/>
        <v>12</v>
      </c>
      <c r="P378" t="s">
        <v>181</v>
      </c>
      <c r="Q378" t="s">
        <v>755</v>
      </c>
      <c r="R378" s="3">
        <v>0.7</v>
      </c>
      <c r="S378" t="s">
        <v>60</v>
      </c>
      <c r="T378" t="s">
        <v>182</v>
      </c>
      <c r="U378" s="2">
        <v>36.020000000000003</v>
      </c>
      <c r="V378" t="s">
        <v>591</v>
      </c>
    </row>
    <row r="379" spans="1:22" x14ac:dyDescent="0.25">
      <c r="A379">
        <v>2025727309</v>
      </c>
      <c r="B379" t="s">
        <v>240</v>
      </c>
      <c r="C379" t="s">
        <v>241</v>
      </c>
      <c r="D379" t="str">
        <f t="shared" si="20"/>
        <v>LINDA ELLIS</v>
      </c>
      <c r="E379" t="s">
        <v>69</v>
      </c>
      <c r="F379" t="s">
        <v>53</v>
      </c>
      <c r="G379" t="s">
        <v>75</v>
      </c>
      <c r="H379">
        <v>21313588</v>
      </c>
      <c r="I379" t="s">
        <v>234</v>
      </c>
      <c r="J379" t="s">
        <v>122</v>
      </c>
      <c r="K379" t="str">
        <f t="shared" si="22"/>
        <v>WILLIAM GESKE</v>
      </c>
      <c r="L379" s="1">
        <v>45608</v>
      </c>
      <c r="M379" s="1">
        <v>45973</v>
      </c>
      <c r="N379" s="2">
        <v>42.13</v>
      </c>
      <c r="O379">
        <f t="shared" si="21"/>
        <v>12</v>
      </c>
      <c r="P379" t="s">
        <v>181</v>
      </c>
      <c r="Q379" t="s">
        <v>755</v>
      </c>
      <c r="R379" s="3">
        <v>0.65</v>
      </c>
      <c r="S379" t="s">
        <v>60</v>
      </c>
      <c r="T379" t="s">
        <v>182</v>
      </c>
      <c r="U379" s="2">
        <v>27.38</v>
      </c>
      <c r="V379" t="s">
        <v>750</v>
      </c>
    </row>
    <row r="380" spans="1:22" x14ac:dyDescent="0.25">
      <c r="A380">
        <v>2025721592</v>
      </c>
      <c r="B380" t="s">
        <v>239</v>
      </c>
      <c r="C380" t="s">
        <v>194</v>
      </c>
      <c r="D380" t="str">
        <f t="shared" si="20"/>
        <v>SARAH KONKOL</v>
      </c>
      <c r="E380" t="s">
        <v>69</v>
      </c>
      <c r="F380" t="s">
        <v>53</v>
      </c>
      <c r="G380" t="s">
        <v>75</v>
      </c>
      <c r="H380">
        <v>21313588</v>
      </c>
      <c r="I380" t="s">
        <v>234</v>
      </c>
      <c r="J380" t="s">
        <v>122</v>
      </c>
      <c r="K380" t="str">
        <f t="shared" si="22"/>
        <v>WILLIAM GESKE</v>
      </c>
      <c r="L380" s="1">
        <v>45608</v>
      </c>
      <c r="M380" s="1">
        <v>45973</v>
      </c>
      <c r="N380" s="2">
        <v>56.03</v>
      </c>
      <c r="O380">
        <f t="shared" si="21"/>
        <v>12</v>
      </c>
      <c r="P380" t="s">
        <v>181</v>
      </c>
      <c r="Q380" t="s">
        <v>755</v>
      </c>
      <c r="R380" s="3">
        <v>0.65</v>
      </c>
      <c r="S380" t="s">
        <v>60</v>
      </c>
      <c r="T380" t="s">
        <v>182</v>
      </c>
      <c r="U380" s="2">
        <v>36.42</v>
      </c>
      <c r="V380" t="s">
        <v>750</v>
      </c>
    </row>
    <row r="381" spans="1:22" x14ac:dyDescent="0.25">
      <c r="A381">
        <v>2025737165</v>
      </c>
      <c r="B381" t="s">
        <v>364</v>
      </c>
      <c r="C381" t="s">
        <v>165</v>
      </c>
      <c r="D381" t="str">
        <f t="shared" si="20"/>
        <v>STACEY STANLEY</v>
      </c>
      <c r="E381" t="s">
        <v>312</v>
      </c>
      <c r="F381" t="s">
        <v>79</v>
      </c>
      <c r="G381" t="s">
        <v>350</v>
      </c>
      <c r="H381">
        <v>17425766</v>
      </c>
      <c r="I381" t="s">
        <v>195</v>
      </c>
      <c r="J381" t="s">
        <v>196</v>
      </c>
      <c r="K381" t="str">
        <f t="shared" si="22"/>
        <v>CAROL FOLEY</v>
      </c>
      <c r="L381" s="1">
        <v>45609</v>
      </c>
      <c r="M381" s="1">
        <v>45974</v>
      </c>
      <c r="N381" s="2">
        <v>15</v>
      </c>
      <c r="O381">
        <f t="shared" si="21"/>
        <v>12</v>
      </c>
      <c r="P381" t="s">
        <v>181</v>
      </c>
      <c r="Q381" t="s">
        <v>755</v>
      </c>
      <c r="R381" s="3">
        <v>0.38</v>
      </c>
      <c r="S381" t="s">
        <v>60</v>
      </c>
      <c r="T381" t="s">
        <v>182</v>
      </c>
      <c r="U381" s="2">
        <v>5.7</v>
      </c>
      <c r="V381" t="s">
        <v>350</v>
      </c>
    </row>
    <row r="382" spans="1:22" x14ac:dyDescent="0.25">
      <c r="A382">
        <v>2025737164</v>
      </c>
      <c r="B382" t="s">
        <v>364</v>
      </c>
      <c r="C382" t="s">
        <v>165</v>
      </c>
      <c r="D382" t="str">
        <f t="shared" si="20"/>
        <v>STACEY STANLEY</v>
      </c>
      <c r="E382" t="s">
        <v>312</v>
      </c>
      <c r="F382" t="s">
        <v>114</v>
      </c>
      <c r="G382" t="s">
        <v>576</v>
      </c>
      <c r="H382">
        <v>17425766</v>
      </c>
      <c r="I382" t="s">
        <v>195</v>
      </c>
      <c r="J382" t="s">
        <v>196</v>
      </c>
      <c r="K382" t="str">
        <f t="shared" si="22"/>
        <v>CAROL FOLEY</v>
      </c>
      <c r="L382" s="1">
        <v>45609</v>
      </c>
      <c r="M382" s="1">
        <v>45974</v>
      </c>
      <c r="N382" s="2">
        <v>26.7</v>
      </c>
      <c r="O382">
        <f t="shared" si="21"/>
        <v>12</v>
      </c>
      <c r="P382" t="s">
        <v>181</v>
      </c>
      <c r="Q382" t="s">
        <v>755</v>
      </c>
      <c r="R382" s="3">
        <v>0.38</v>
      </c>
      <c r="S382" t="s">
        <v>60</v>
      </c>
      <c r="T382" t="s">
        <v>182</v>
      </c>
      <c r="U382" s="2">
        <v>10.15</v>
      </c>
      <c r="V382" t="s">
        <v>576</v>
      </c>
    </row>
    <row r="383" spans="1:22" x14ac:dyDescent="0.25">
      <c r="A383">
        <v>2025769234</v>
      </c>
      <c r="B383" t="s">
        <v>203</v>
      </c>
      <c r="C383" t="s">
        <v>204</v>
      </c>
      <c r="D383" t="str">
        <f t="shared" si="20"/>
        <v>JAYLA TERRY</v>
      </c>
      <c r="E383" t="s">
        <v>189</v>
      </c>
      <c r="F383" t="s">
        <v>114</v>
      </c>
      <c r="G383" t="s">
        <v>576</v>
      </c>
      <c r="H383">
        <v>17425766</v>
      </c>
      <c r="I383" t="s">
        <v>195</v>
      </c>
      <c r="J383" t="s">
        <v>196</v>
      </c>
      <c r="K383" t="str">
        <f t="shared" ref="K383:K414" si="23">CONCATENATE(J383, " ",I383)</f>
        <v>CAROL FOLEY</v>
      </c>
      <c r="L383" s="1">
        <v>45611</v>
      </c>
      <c r="M383" s="1">
        <v>45976</v>
      </c>
      <c r="N383" s="2">
        <v>27.15</v>
      </c>
      <c r="O383">
        <f t="shared" si="21"/>
        <v>12</v>
      </c>
      <c r="P383" t="s">
        <v>181</v>
      </c>
      <c r="Q383" t="s">
        <v>755</v>
      </c>
      <c r="R383" s="3">
        <v>0.38</v>
      </c>
      <c r="S383" t="s">
        <v>60</v>
      </c>
      <c r="T383" t="s">
        <v>182</v>
      </c>
      <c r="U383" s="2">
        <v>10.32</v>
      </c>
      <c r="V383" t="s">
        <v>576</v>
      </c>
    </row>
    <row r="384" spans="1:22" x14ac:dyDescent="0.25">
      <c r="A384">
        <v>2025756062</v>
      </c>
      <c r="B384" t="s">
        <v>201</v>
      </c>
      <c r="C384" t="s">
        <v>202</v>
      </c>
      <c r="D384" t="str">
        <f t="shared" si="20"/>
        <v>KEVIN CLOUSE</v>
      </c>
      <c r="E384" t="s">
        <v>189</v>
      </c>
      <c r="F384" t="s">
        <v>114</v>
      </c>
      <c r="G384" t="s">
        <v>576</v>
      </c>
      <c r="H384">
        <v>17425766</v>
      </c>
      <c r="I384" t="s">
        <v>195</v>
      </c>
      <c r="J384" t="s">
        <v>196</v>
      </c>
      <c r="K384" t="str">
        <f t="shared" si="23"/>
        <v>CAROL FOLEY</v>
      </c>
      <c r="L384" s="1">
        <v>45610</v>
      </c>
      <c r="M384" s="1">
        <v>45975</v>
      </c>
      <c r="N384" s="2">
        <v>33.51</v>
      </c>
      <c r="O384">
        <f t="shared" si="21"/>
        <v>12</v>
      </c>
      <c r="P384" t="s">
        <v>181</v>
      </c>
      <c r="Q384" t="s">
        <v>755</v>
      </c>
      <c r="R384" s="3">
        <v>0.38</v>
      </c>
      <c r="S384" t="s">
        <v>60</v>
      </c>
      <c r="T384" t="s">
        <v>182</v>
      </c>
      <c r="U384" s="2">
        <v>12.73</v>
      </c>
      <c r="V384" t="s">
        <v>576</v>
      </c>
    </row>
    <row r="385" spans="1:22" x14ac:dyDescent="0.25">
      <c r="A385">
        <v>2025724075</v>
      </c>
      <c r="B385" t="s">
        <v>579</v>
      </c>
      <c r="C385" t="s">
        <v>159</v>
      </c>
      <c r="D385" t="str">
        <f t="shared" si="20"/>
        <v>MICHAEL GIRGENTI</v>
      </c>
      <c r="E385" t="s">
        <v>189</v>
      </c>
      <c r="F385" t="s">
        <v>114</v>
      </c>
      <c r="G385" t="s">
        <v>576</v>
      </c>
      <c r="H385">
        <v>17425766</v>
      </c>
      <c r="I385" t="s">
        <v>195</v>
      </c>
      <c r="J385" t="s">
        <v>196</v>
      </c>
      <c r="K385" t="str">
        <f t="shared" si="23"/>
        <v>CAROL FOLEY</v>
      </c>
      <c r="L385" s="1">
        <v>45608</v>
      </c>
      <c r="M385" s="1">
        <v>45973</v>
      </c>
      <c r="N385" s="2">
        <v>53.16</v>
      </c>
      <c r="O385">
        <f t="shared" si="21"/>
        <v>12</v>
      </c>
      <c r="P385" t="s">
        <v>181</v>
      </c>
      <c r="Q385" t="s">
        <v>755</v>
      </c>
      <c r="R385" s="3">
        <v>0.38</v>
      </c>
      <c r="S385" t="s">
        <v>60</v>
      </c>
      <c r="T385" t="s">
        <v>182</v>
      </c>
      <c r="U385" s="2">
        <v>20.2</v>
      </c>
      <c r="V385" t="s">
        <v>576</v>
      </c>
    </row>
    <row r="386" spans="1:22" x14ac:dyDescent="0.25">
      <c r="A386">
        <v>2025729949</v>
      </c>
      <c r="B386" t="s">
        <v>580</v>
      </c>
      <c r="C386" t="s">
        <v>122</v>
      </c>
      <c r="D386" t="str">
        <f t="shared" si="20"/>
        <v>WILLIAM MARONSKI</v>
      </c>
      <c r="E386" t="s">
        <v>189</v>
      </c>
      <c r="F386" t="s">
        <v>114</v>
      </c>
      <c r="G386" t="s">
        <v>576</v>
      </c>
      <c r="H386">
        <v>17425766</v>
      </c>
      <c r="I386" t="s">
        <v>195</v>
      </c>
      <c r="J386" t="s">
        <v>196</v>
      </c>
      <c r="K386" t="str">
        <f t="shared" si="23"/>
        <v>CAROL FOLEY</v>
      </c>
      <c r="L386" s="1">
        <v>45609</v>
      </c>
      <c r="M386" s="1">
        <v>45974</v>
      </c>
      <c r="N386" s="2">
        <v>53.16</v>
      </c>
      <c r="O386">
        <f t="shared" si="21"/>
        <v>12</v>
      </c>
      <c r="P386" t="s">
        <v>181</v>
      </c>
      <c r="Q386" t="s">
        <v>755</v>
      </c>
      <c r="R386" s="3">
        <v>0.38</v>
      </c>
      <c r="S386" t="s">
        <v>60</v>
      </c>
      <c r="T386" t="s">
        <v>182</v>
      </c>
      <c r="U386" s="2">
        <v>20.2</v>
      </c>
      <c r="V386" t="s">
        <v>576</v>
      </c>
    </row>
    <row r="387" spans="1:22" x14ac:dyDescent="0.25">
      <c r="A387">
        <v>2025727307</v>
      </c>
      <c r="B387" t="s">
        <v>240</v>
      </c>
      <c r="C387" t="s">
        <v>241</v>
      </c>
      <c r="D387" t="str">
        <f t="shared" ref="D387:D450" si="24">CONCATENATE(C387, " ",B387)</f>
        <v>LINDA ELLIS</v>
      </c>
      <c r="E387" t="s">
        <v>69</v>
      </c>
      <c r="F387" t="s">
        <v>114</v>
      </c>
      <c r="G387" t="s">
        <v>576</v>
      </c>
      <c r="H387">
        <v>21313588</v>
      </c>
      <c r="I387" t="s">
        <v>234</v>
      </c>
      <c r="J387" t="s">
        <v>122</v>
      </c>
      <c r="K387" t="str">
        <f t="shared" si="23"/>
        <v>WILLIAM GESKE</v>
      </c>
      <c r="L387" s="1">
        <v>45608</v>
      </c>
      <c r="M387" s="1">
        <v>45973</v>
      </c>
      <c r="N387" s="2">
        <v>53.62</v>
      </c>
      <c r="O387">
        <f t="shared" ref="O387:O450" si="25">DATEDIF(L387,M387,"M")</f>
        <v>12</v>
      </c>
      <c r="P387" t="s">
        <v>181</v>
      </c>
      <c r="Q387" t="s">
        <v>755</v>
      </c>
      <c r="R387" s="3">
        <v>0.38</v>
      </c>
      <c r="S387" t="s">
        <v>60</v>
      </c>
      <c r="T387" t="s">
        <v>182</v>
      </c>
      <c r="U387" s="2">
        <v>20.38</v>
      </c>
      <c r="V387" t="s">
        <v>576</v>
      </c>
    </row>
    <row r="388" spans="1:22" x14ac:dyDescent="0.25">
      <c r="A388">
        <v>2025727308</v>
      </c>
      <c r="B388" t="s">
        <v>240</v>
      </c>
      <c r="C388" t="s">
        <v>241</v>
      </c>
      <c r="D388" t="str">
        <f t="shared" si="24"/>
        <v>LINDA ELLIS</v>
      </c>
      <c r="E388" t="s">
        <v>69</v>
      </c>
      <c r="F388" t="s">
        <v>116</v>
      </c>
      <c r="G388" t="s">
        <v>125</v>
      </c>
      <c r="H388">
        <v>21313588</v>
      </c>
      <c r="I388" t="s">
        <v>234</v>
      </c>
      <c r="J388" t="s">
        <v>122</v>
      </c>
      <c r="K388" t="str">
        <f t="shared" si="23"/>
        <v>WILLIAM GESKE</v>
      </c>
      <c r="L388" s="1">
        <v>45608</v>
      </c>
      <c r="M388" s="1">
        <v>45973</v>
      </c>
      <c r="N388" s="2">
        <v>9.1</v>
      </c>
      <c r="O388">
        <f t="shared" si="25"/>
        <v>12</v>
      </c>
      <c r="P388" t="s">
        <v>181</v>
      </c>
      <c r="Q388" t="s">
        <v>755</v>
      </c>
      <c r="R388" s="3">
        <v>0.7</v>
      </c>
      <c r="S388" t="s">
        <v>60</v>
      </c>
      <c r="T388" t="s">
        <v>182</v>
      </c>
      <c r="U388" s="2">
        <v>6.37</v>
      </c>
      <c r="V388" t="s">
        <v>125</v>
      </c>
    </row>
    <row r="389" spans="1:22" x14ac:dyDescent="0.25">
      <c r="A389">
        <v>2025721593</v>
      </c>
      <c r="B389" t="s">
        <v>239</v>
      </c>
      <c r="C389" t="s">
        <v>194</v>
      </c>
      <c r="D389" t="str">
        <f t="shared" si="24"/>
        <v>SARAH KONKOL</v>
      </c>
      <c r="E389" t="s">
        <v>69</v>
      </c>
      <c r="F389" t="s">
        <v>116</v>
      </c>
      <c r="G389" t="s">
        <v>125</v>
      </c>
      <c r="H389">
        <v>21313588</v>
      </c>
      <c r="I389" t="s">
        <v>234</v>
      </c>
      <c r="J389" t="s">
        <v>122</v>
      </c>
      <c r="K389" t="str">
        <f t="shared" si="23"/>
        <v>WILLIAM GESKE</v>
      </c>
      <c r="L389" s="1">
        <v>45608</v>
      </c>
      <c r="M389" s="1">
        <v>45973</v>
      </c>
      <c r="N389" s="2">
        <v>27.38</v>
      </c>
      <c r="O389">
        <f t="shared" si="25"/>
        <v>12</v>
      </c>
      <c r="P389" t="s">
        <v>181</v>
      </c>
      <c r="Q389" t="s">
        <v>755</v>
      </c>
      <c r="R389" s="3">
        <v>0.7</v>
      </c>
      <c r="S389" t="s">
        <v>60</v>
      </c>
      <c r="T389" t="s">
        <v>182</v>
      </c>
      <c r="U389" s="2">
        <v>19.170000000000002</v>
      </c>
      <c r="V389" t="s">
        <v>125</v>
      </c>
    </row>
    <row r="390" spans="1:22" x14ac:dyDescent="0.25">
      <c r="A390">
        <v>2025724991</v>
      </c>
      <c r="B390" t="s">
        <v>412</v>
      </c>
      <c r="C390" t="s">
        <v>413</v>
      </c>
      <c r="D390" t="str">
        <f t="shared" si="24"/>
        <v>PAULA HURSEY</v>
      </c>
      <c r="E390" t="s">
        <v>214</v>
      </c>
      <c r="F390" t="s">
        <v>116</v>
      </c>
      <c r="G390" t="s">
        <v>125</v>
      </c>
      <c r="H390">
        <v>19279958</v>
      </c>
      <c r="I390" t="s">
        <v>216</v>
      </c>
      <c r="J390" t="s">
        <v>217</v>
      </c>
      <c r="K390" t="str">
        <f t="shared" si="23"/>
        <v>JARED KINYUA</v>
      </c>
      <c r="L390" s="1">
        <v>45608</v>
      </c>
      <c r="M390" s="1">
        <v>45973</v>
      </c>
      <c r="N390" s="2">
        <v>46.17</v>
      </c>
      <c r="O390">
        <f t="shared" si="25"/>
        <v>12</v>
      </c>
      <c r="P390" t="s">
        <v>181</v>
      </c>
      <c r="Q390" t="s">
        <v>755</v>
      </c>
      <c r="R390" s="3">
        <v>0.7</v>
      </c>
      <c r="S390" t="s">
        <v>60</v>
      </c>
      <c r="T390" t="s">
        <v>182</v>
      </c>
      <c r="U390" s="2">
        <v>32.32</v>
      </c>
      <c r="V390" t="s">
        <v>125</v>
      </c>
    </row>
    <row r="391" spans="1:22" x14ac:dyDescent="0.25">
      <c r="A391">
        <v>2025744022</v>
      </c>
      <c r="B391" t="s">
        <v>620</v>
      </c>
      <c r="C391" t="s">
        <v>621</v>
      </c>
      <c r="D391" t="str">
        <f t="shared" si="24"/>
        <v>GLORIA PANGAN</v>
      </c>
      <c r="E391" t="s">
        <v>78</v>
      </c>
      <c r="F391" t="s">
        <v>116</v>
      </c>
      <c r="G391" t="s">
        <v>125</v>
      </c>
      <c r="H391">
        <v>21348299</v>
      </c>
      <c r="I391" t="s">
        <v>525</v>
      </c>
      <c r="J391" t="s">
        <v>526</v>
      </c>
      <c r="K391" t="str">
        <f t="shared" si="23"/>
        <v>BARRY BRENNER</v>
      </c>
      <c r="L391" s="1">
        <v>45609</v>
      </c>
      <c r="M391" s="1">
        <v>45974</v>
      </c>
      <c r="N391" s="2">
        <v>118</v>
      </c>
      <c r="O391">
        <f t="shared" si="25"/>
        <v>12</v>
      </c>
      <c r="P391" t="s">
        <v>181</v>
      </c>
      <c r="Q391" t="s">
        <v>755</v>
      </c>
      <c r="R391" s="3">
        <v>0.7</v>
      </c>
      <c r="S391" t="s">
        <v>60</v>
      </c>
      <c r="T391" t="s">
        <v>182</v>
      </c>
      <c r="U391" s="2">
        <v>82.6</v>
      </c>
      <c r="V391" t="s">
        <v>125</v>
      </c>
    </row>
    <row r="392" spans="1:22" x14ac:dyDescent="0.25">
      <c r="A392">
        <v>2025785646</v>
      </c>
      <c r="B392" t="s">
        <v>416</v>
      </c>
      <c r="C392" t="s">
        <v>417</v>
      </c>
      <c r="D392" t="str">
        <f t="shared" si="24"/>
        <v>KEITH RODECK</v>
      </c>
      <c r="E392" t="s">
        <v>225</v>
      </c>
      <c r="F392" t="s">
        <v>92</v>
      </c>
      <c r="G392" t="s">
        <v>93</v>
      </c>
      <c r="H392">
        <v>8977234</v>
      </c>
      <c r="I392" t="s">
        <v>55</v>
      </c>
      <c r="J392" t="s">
        <v>56</v>
      </c>
      <c r="K392" t="str">
        <f t="shared" si="23"/>
        <v>RYAN CALTAGIRONE</v>
      </c>
      <c r="L392" s="1">
        <v>45612</v>
      </c>
      <c r="M392" s="1">
        <v>45977</v>
      </c>
      <c r="N392" s="2">
        <v>89.37</v>
      </c>
      <c r="O392">
        <f t="shared" si="25"/>
        <v>12</v>
      </c>
      <c r="P392" t="s">
        <v>181</v>
      </c>
      <c r="Q392" t="s">
        <v>755</v>
      </c>
      <c r="R392" s="4">
        <v>0.375</v>
      </c>
      <c r="S392" t="s">
        <v>60</v>
      </c>
      <c r="T392" t="s">
        <v>182</v>
      </c>
      <c r="U392" s="2">
        <v>33.51</v>
      </c>
      <c r="V392" t="s">
        <v>93</v>
      </c>
    </row>
    <row r="393" spans="1:22" x14ac:dyDescent="0.25">
      <c r="A393">
        <v>2025724990</v>
      </c>
      <c r="B393" t="s">
        <v>412</v>
      </c>
      <c r="C393" t="s">
        <v>413</v>
      </c>
      <c r="D393" t="str">
        <f t="shared" si="24"/>
        <v>PAULA HURSEY</v>
      </c>
      <c r="E393" t="s">
        <v>214</v>
      </c>
      <c r="F393" t="s">
        <v>92</v>
      </c>
      <c r="G393" t="s">
        <v>93</v>
      </c>
      <c r="H393">
        <v>19279958</v>
      </c>
      <c r="I393" t="s">
        <v>216</v>
      </c>
      <c r="J393" t="s">
        <v>217</v>
      </c>
      <c r="K393" t="str">
        <f t="shared" si="23"/>
        <v>JARED KINYUA</v>
      </c>
      <c r="L393" s="1">
        <v>45608</v>
      </c>
      <c r="M393" s="1">
        <v>45973</v>
      </c>
      <c r="N393" s="2">
        <v>94.25</v>
      </c>
      <c r="O393">
        <f t="shared" si="25"/>
        <v>12</v>
      </c>
      <c r="P393" t="s">
        <v>181</v>
      </c>
      <c r="Q393" t="s">
        <v>755</v>
      </c>
      <c r="R393" s="4">
        <v>0.375</v>
      </c>
      <c r="S393" t="s">
        <v>60</v>
      </c>
      <c r="T393" t="s">
        <v>182</v>
      </c>
      <c r="U393" s="2">
        <v>35.340000000000003</v>
      </c>
      <c r="V393" t="s">
        <v>93</v>
      </c>
    </row>
    <row r="394" spans="1:22" x14ac:dyDescent="0.25">
      <c r="A394">
        <v>2025769233</v>
      </c>
      <c r="B394" t="s">
        <v>203</v>
      </c>
      <c r="C394" t="s">
        <v>204</v>
      </c>
      <c r="D394" t="str">
        <f t="shared" si="24"/>
        <v>JAYLA TERRY</v>
      </c>
      <c r="E394" t="s">
        <v>189</v>
      </c>
      <c r="F394" t="s">
        <v>176</v>
      </c>
      <c r="G394" t="s">
        <v>190</v>
      </c>
      <c r="H394">
        <v>17425766</v>
      </c>
      <c r="I394" t="s">
        <v>195</v>
      </c>
      <c r="J394" t="s">
        <v>196</v>
      </c>
      <c r="K394" t="str">
        <f t="shared" si="23"/>
        <v>CAROL FOLEY</v>
      </c>
      <c r="L394" s="1">
        <v>45611</v>
      </c>
      <c r="M394" s="1">
        <v>45976</v>
      </c>
      <c r="N394" s="2">
        <v>56.46</v>
      </c>
      <c r="O394">
        <f t="shared" si="25"/>
        <v>12</v>
      </c>
      <c r="P394" t="s">
        <v>181</v>
      </c>
      <c r="Q394" t="s">
        <v>755</v>
      </c>
      <c r="R394" s="3">
        <v>0.6</v>
      </c>
      <c r="S394" t="s">
        <v>60</v>
      </c>
      <c r="T394" t="s">
        <v>182</v>
      </c>
      <c r="U394" s="2">
        <v>33.880000000000003</v>
      </c>
      <c r="V394" t="s">
        <v>215</v>
      </c>
    </row>
    <row r="395" spans="1:22" x14ac:dyDescent="0.25">
      <c r="A395">
        <v>2025756063</v>
      </c>
      <c r="B395" t="s">
        <v>201</v>
      </c>
      <c r="C395" t="s">
        <v>202</v>
      </c>
      <c r="D395" t="str">
        <f t="shared" si="24"/>
        <v>KEVIN CLOUSE</v>
      </c>
      <c r="E395" t="s">
        <v>189</v>
      </c>
      <c r="F395" t="s">
        <v>176</v>
      </c>
      <c r="G395" t="s">
        <v>177</v>
      </c>
      <c r="H395">
        <v>17425766</v>
      </c>
      <c r="I395" t="s">
        <v>195</v>
      </c>
      <c r="J395" t="s">
        <v>196</v>
      </c>
      <c r="K395" t="str">
        <f t="shared" si="23"/>
        <v>CAROL FOLEY</v>
      </c>
      <c r="L395" s="1">
        <v>45610</v>
      </c>
      <c r="M395" s="1">
        <v>45975</v>
      </c>
      <c r="N395" s="2">
        <v>46.45</v>
      </c>
      <c r="O395">
        <f t="shared" si="25"/>
        <v>12</v>
      </c>
      <c r="P395" t="s">
        <v>181</v>
      </c>
      <c r="Q395" t="s">
        <v>755</v>
      </c>
      <c r="R395" s="3">
        <v>0.6</v>
      </c>
      <c r="S395" t="s">
        <v>60</v>
      </c>
      <c r="T395" t="s">
        <v>182</v>
      </c>
      <c r="U395" s="2">
        <v>27.87</v>
      </c>
      <c r="V395" t="s">
        <v>177</v>
      </c>
    </row>
    <row r="396" spans="1:22" x14ac:dyDescent="0.25">
      <c r="A396">
        <v>2025771713</v>
      </c>
      <c r="B396" t="s">
        <v>205</v>
      </c>
      <c r="C396" t="s">
        <v>169</v>
      </c>
      <c r="D396" t="str">
        <f t="shared" si="24"/>
        <v>MATTHEW WHITLOCK</v>
      </c>
      <c r="E396" t="s">
        <v>189</v>
      </c>
      <c r="F396" t="s">
        <v>176</v>
      </c>
      <c r="G396" t="s">
        <v>177</v>
      </c>
      <c r="H396">
        <v>17425766</v>
      </c>
      <c r="I396" t="s">
        <v>195</v>
      </c>
      <c r="J396" t="s">
        <v>196</v>
      </c>
      <c r="K396" t="str">
        <f t="shared" si="23"/>
        <v>CAROL FOLEY</v>
      </c>
      <c r="L396" s="1">
        <v>45611</v>
      </c>
      <c r="M396" s="1">
        <v>45976</v>
      </c>
      <c r="N396" s="2">
        <v>52.69</v>
      </c>
      <c r="O396">
        <f t="shared" si="25"/>
        <v>12</v>
      </c>
      <c r="P396" t="s">
        <v>181</v>
      </c>
      <c r="Q396" t="s">
        <v>755</v>
      </c>
      <c r="R396" s="3">
        <v>0.6</v>
      </c>
      <c r="S396" t="s">
        <v>60</v>
      </c>
      <c r="T396" t="s">
        <v>182</v>
      </c>
      <c r="U396" s="2">
        <v>31.61</v>
      </c>
      <c r="V396" t="s">
        <v>177</v>
      </c>
    </row>
    <row r="397" spans="1:22" x14ac:dyDescent="0.25">
      <c r="A397">
        <v>2025262311</v>
      </c>
      <c r="B397" t="s">
        <v>233</v>
      </c>
      <c r="C397" t="s">
        <v>90</v>
      </c>
      <c r="D397" t="str">
        <f t="shared" si="24"/>
        <v>JOHN DARCY</v>
      </c>
      <c r="E397" t="s">
        <v>69</v>
      </c>
      <c r="F397" t="s">
        <v>116</v>
      </c>
      <c r="G397" t="s">
        <v>591</v>
      </c>
      <c r="H397">
        <v>21313588</v>
      </c>
      <c r="I397" t="s">
        <v>234</v>
      </c>
      <c r="J397" t="s">
        <v>122</v>
      </c>
      <c r="K397" t="str">
        <f t="shared" si="23"/>
        <v>WILLIAM GESKE</v>
      </c>
      <c r="L397" s="1">
        <v>45576</v>
      </c>
      <c r="M397" s="1">
        <v>45972</v>
      </c>
      <c r="N397" s="2">
        <v>6.3</v>
      </c>
      <c r="O397">
        <f t="shared" si="25"/>
        <v>13</v>
      </c>
      <c r="P397" t="s">
        <v>181</v>
      </c>
      <c r="Q397" t="s">
        <v>755</v>
      </c>
      <c r="R397" s="3">
        <v>0.15</v>
      </c>
      <c r="S397" t="s">
        <v>181</v>
      </c>
      <c r="T397" t="s">
        <v>182</v>
      </c>
      <c r="U397" s="2">
        <v>0.94</v>
      </c>
      <c r="V397" t="s">
        <v>591</v>
      </c>
    </row>
    <row r="398" spans="1:22" x14ac:dyDescent="0.25">
      <c r="A398">
        <v>2025262312</v>
      </c>
      <c r="B398" t="s">
        <v>233</v>
      </c>
      <c r="C398" t="s">
        <v>90</v>
      </c>
      <c r="D398" t="str">
        <f t="shared" si="24"/>
        <v>JOHN DARCY</v>
      </c>
      <c r="E398" t="s">
        <v>69</v>
      </c>
      <c r="F398" t="s">
        <v>53</v>
      </c>
      <c r="G398" t="s">
        <v>75</v>
      </c>
      <c r="H398">
        <v>21313588</v>
      </c>
      <c r="I398" t="s">
        <v>234</v>
      </c>
      <c r="J398" t="s">
        <v>122</v>
      </c>
      <c r="K398" t="str">
        <f t="shared" si="23"/>
        <v>WILLIAM GESKE</v>
      </c>
      <c r="L398" s="1">
        <v>45576</v>
      </c>
      <c r="M398" s="1">
        <v>45972</v>
      </c>
      <c r="N398" s="2">
        <v>22.71</v>
      </c>
      <c r="O398">
        <f t="shared" si="25"/>
        <v>13</v>
      </c>
      <c r="P398" t="s">
        <v>181</v>
      </c>
      <c r="Q398" t="s">
        <v>755</v>
      </c>
      <c r="R398" s="3">
        <v>0.1</v>
      </c>
      <c r="S398" t="s">
        <v>181</v>
      </c>
      <c r="T398" t="s">
        <v>182</v>
      </c>
      <c r="U398" s="2">
        <v>2.27</v>
      </c>
      <c r="V398" t="s">
        <v>750</v>
      </c>
    </row>
    <row r="399" spans="1:22" x14ac:dyDescent="0.25">
      <c r="A399">
        <v>2025271292</v>
      </c>
      <c r="B399" t="s">
        <v>577</v>
      </c>
      <c r="C399" t="s">
        <v>578</v>
      </c>
      <c r="D399" t="str">
        <f t="shared" si="24"/>
        <v>JESSICA MULLER</v>
      </c>
      <c r="E399" t="s">
        <v>189</v>
      </c>
      <c r="F399" t="s">
        <v>114</v>
      </c>
      <c r="G399" t="s">
        <v>576</v>
      </c>
      <c r="H399">
        <v>17425766</v>
      </c>
      <c r="I399" t="s">
        <v>195</v>
      </c>
      <c r="J399" t="s">
        <v>196</v>
      </c>
      <c r="K399" t="str">
        <f t="shared" si="23"/>
        <v>CAROL FOLEY</v>
      </c>
      <c r="L399" s="1">
        <v>45577</v>
      </c>
      <c r="M399" s="1">
        <v>45973</v>
      </c>
      <c r="N399" s="2">
        <v>89.62</v>
      </c>
      <c r="O399">
        <f t="shared" si="25"/>
        <v>13</v>
      </c>
      <c r="P399" t="s">
        <v>181</v>
      </c>
      <c r="Q399" t="s">
        <v>755</v>
      </c>
      <c r="R399" s="3">
        <v>0.1</v>
      </c>
      <c r="S399" t="s">
        <v>181</v>
      </c>
      <c r="T399" t="s">
        <v>182</v>
      </c>
      <c r="U399" s="2">
        <v>8.9600000000000009</v>
      </c>
      <c r="V399" t="s">
        <v>576</v>
      </c>
    </row>
    <row r="400" spans="1:22" x14ac:dyDescent="0.25">
      <c r="A400">
        <v>2025262310</v>
      </c>
      <c r="B400" t="s">
        <v>233</v>
      </c>
      <c r="C400" t="s">
        <v>90</v>
      </c>
      <c r="D400" t="str">
        <f t="shared" si="24"/>
        <v>JOHN DARCY</v>
      </c>
      <c r="E400" t="s">
        <v>69</v>
      </c>
      <c r="F400" t="s">
        <v>116</v>
      </c>
      <c r="G400" t="s">
        <v>125</v>
      </c>
      <c r="H400">
        <v>21313588</v>
      </c>
      <c r="I400" t="s">
        <v>234</v>
      </c>
      <c r="J400" t="s">
        <v>122</v>
      </c>
      <c r="K400" t="str">
        <f t="shared" si="23"/>
        <v>WILLIAM GESKE</v>
      </c>
      <c r="L400" s="1">
        <v>45576</v>
      </c>
      <c r="M400" s="1">
        <v>45972</v>
      </c>
      <c r="N400" s="2">
        <v>9.6999999999999993</v>
      </c>
      <c r="O400">
        <f t="shared" si="25"/>
        <v>13</v>
      </c>
      <c r="P400" t="s">
        <v>181</v>
      </c>
      <c r="Q400" t="s">
        <v>755</v>
      </c>
      <c r="R400" s="3">
        <v>0.15</v>
      </c>
      <c r="S400" t="s">
        <v>181</v>
      </c>
      <c r="T400" t="s">
        <v>182</v>
      </c>
      <c r="U400" s="2">
        <v>1.46</v>
      </c>
      <c r="V400" t="s">
        <v>125</v>
      </c>
    </row>
    <row r="401" spans="1:22" x14ac:dyDescent="0.25">
      <c r="A401">
        <v>2024853076</v>
      </c>
      <c r="B401" t="s">
        <v>362</v>
      </c>
      <c r="C401" t="s">
        <v>363</v>
      </c>
      <c r="D401" t="str">
        <f t="shared" si="24"/>
        <v>BERNARDO CARVALHO</v>
      </c>
      <c r="E401" t="s">
        <v>225</v>
      </c>
      <c r="F401" t="s">
        <v>79</v>
      </c>
      <c r="G401" t="s">
        <v>350</v>
      </c>
      <c r="H401">
        <v>17425766</v>
      </c>
      <c r="I401" t="s">
        <v>195</v>
      </c>
      <c r="J401" t="s">
        <v>196</v>
      </c>
      <c r="K401" t="str">
        <f t="shared" si="23"/>
        <v>CAROL FOLEY</v>
      </c>
      <c r="L401" s="1">
        <v>45550</v>
      </c>
      <c r="M401" s="1">
        <v>45976</v>
      </c>
      <c r="N401" s="2">
        <v>15</v>
      </c>
      <c r="O401">
        <f t="shared" si="25"/>
        <v>14</v>
      </c>
      <c r="P401" t="s">
        <v>181</v>
      </c>
      <c r="Q401" t="s">
        <v>755</v>
      </c>
      <c r="R401" s="3">
        <v>0.1</v>
      </c>
      <c r="S401" t="s">
        <v>181</v>
      </c>
      <c r="T401" t="s">
        <v>182</v>
      </c>
      <c r="U401" s="2">
        <v>1.5</v>
      </c>
      <c r="V401" t="s">
        <v>350</v>
      </c>
    </row>
    <row r="402" spans="1:22" x14ac:dyDescent="0.25">
      <c r="A402">
        <v>2024853074</v>
      </c>
      <c r="B402" t="s">
        <v>362</v>
      </c>
      <c r="C402" t="s">
        <v>363</v>
      </c>
      <c r="D402" t="str">
        <f t="shared" si="24"/>
        <v>BERNARDO CARVALHO</v>
      </c>
      <c r="E402" t="s">
        <v>225</v>
      </c>
      <c r="F402" t="s">
        <v>114</v>
      </c>
      <c r="G402" t="s">
        <v>576</v>
      </c>
      <c r="H402">
        <v>17425766</v>
      </c>
      <c r="I402" t="s">
        <v>195</v>
      </c>
      <c r="J402" t="s">
        <v>196</v>
      </c>
      <c r="K402" t="str">
        <f t="shared" si="23"/>
        <v>CAROL FOLEY</v>
      </c>
      <c r="L402" s="1">
        <v>45550</v>
      </c>
      <c r="M402" s="1">
        <v>45976</v>
      </c>
      <c r="N402" s="2">
        <v>35.06</v>
      </c>
      <c r="O402">
        <f t="shared" si="25"/>
        <v>14</v>
      </c>
      <c r="P402" t="s">
        <v>181</v>
      </c>
      <c r="Q402" t="s">
        <v>755</v>
      </c>
      <c r="R402" s="3">
        <v>0.1</v>
      </c>
      <c r="S402" t="s">
        <v>181</v>
      </c>
      <c r="T402" t="s">
        <v>182</v>
      </c>
      <c r="U402" s="2">
        <v>3.51</v>
      </c>
      <c r="V402" t="s">
        <v>576</v>
      </c>
    </row>
    <row r="403" spans="1:22" x14ac:dyDescent="0.25">
      <c r="A403">
        <v>2024853075</v>
      </c>
      <c r="B403" t="s">
        <v>362</v>
      </c>
      <c r="C403" t="s">
        <v>363</v>
      </c>
      <c r="D403" t="str">
        <f t="shared" si="24"/>
        <v>BERNARDO CARVALHO</v>
      </c>
      <c r="E403" t="s">
        <v>225</v>
      </c>
      <c r="F403" t="s">
        <v>116</v>
      </c>
      <c r="G403" t="s">
        <v>125</v>
      </c>
      <c r="H403">
        <v>17425766</v>
      </c>
      <c r="I403" t="s">
        <v>195</v>
      </c>
      <c r="J403" t="s">
        <v>196</v>
      </c>
      <c r="K403" t="str">
        <f t="shared" si="23"/>
        <v>CAROL FOLEY</v>
      </c>
      <c r="L403" s="1">
        <v>45550</v>
      </c>
      <c r="M403" s="1">
        <v>45976</v>
      </c>
      <c r="N403" s="2">
        <v>18.920000000000002</v>
      </c>
      <c r="O403">
        <f t="shared" si="25"/>
        <v>14</v>
      </c>
      <c r="P403" t="s">
        <v>181</v>
      </c>
      <c r="Q403" t="s">
        <v>755</v>
      </c>
      <c r="R403" s="3">
        <v>0.15</v>
      </c>
      <c r="S403" t="s">
        <v>181</v>
      </c>
      <c r="T403" t="s">
        <v>182</v>
      </c>
      <c r="U403" s="2">
        <v>2.84</v>
      </c>
      <c r="V403" t="s">
        <v>125</v>
      </c>
    </row>
    <row r="404" spans="1:22" x14ac:dyDescent="0.25">
      <c r="A404">
        <v>2024815771</v>
      </c>
      <c r="B404" t="s">
        <v>602</v>
      </c>
      <c r="C404" t="s">
        <v>603</v>
      </c>
      <c r="D404" t="str">
        <f t="shared" si="24"/>
        <v>BURMAN BADRAA</v>
      </c>
      <c r="E404" t="s">
        <v>78</v>
      </c>
      <c r="F404" t="s">
        <v>116</v>
      </c>
      <c r="G404" t="s">
        <v>125</v>
      </c>
      <c r="H404">
        <v>8977234</v>
      </c>
      <c r="I404" t="s">
        <v>55</v>
      </c>
      <c r="J404" t="s">
        <v>56</v>
      </c>
      <c r="K404" t="str">
        <f t="shared" si="23"/>
        <v>RYAN CALTAGIRONE</v>
      </c>
      <c r="L404" s="1">
        <v>45547</v>
      </c>
      <c r="M404" s="1">
        <v>45973</v>
      </c>
      <c r="N404" s="2">
        <v>51</v>
      </c>
      <c r="O404">
        <f t="shared" si="25"/>
        <v>14</v>
      </c>
      <c r="P404" t="s">
        <v>181</v>
      </c>
      <c r="Q404" t="s">
        <v>755</v>
      </c>
      <c r="R404" s="3">
        <v>0.15</v>
      </c>
      <c r="S404" t="s">
        <v>181</v>
      </c>
      <c r="T404" t="s">
        <v>182</v>
      </c>
      <c r="U404" s="2">
        <v>7.65</v>
      </c>
      <c r="V404" t="s">
        <v>125</v>
      </c>
    </row>
    <row r="405" spans="1:22" x14ac:dyDescent="0.25">
      <c r="A405">
        <v>2024853073</v>
      </c>
      <c r="B405" t="s">
        <v>362</v>
      </c>
      <c r="C405" t="s">
        <v>363</v>
      </c>
      <c r="D405" t="str">
        <f t="shared" si="24"/>
        <v>BERNARDO CARVALHO</v>
      </c>
      <c r="E405" t="s">
        <v>225</v>
      </c>
      <c r="F405" t="s">
        <v>92</v>
      </c>
      <c r="G405" t="s">
        <v>93</v>
      </c>
      <c r="H405">
        <v>17425766</v>
      </c>
      <c r="I405" t="s">
        <v>195</v>
      </c>
      <c r="J405" t="s">
        <v>196</v>
      </c>
      <c r="K405" t="str">
        <f t="shared" si="23"/>
        <v>CAROL FOLEY</v>
      </c>
      <c r="L405" s="1">
        <v>45550</v>
      </c>
      <c r="M405" s="1">
        <v>45976</v>
      </c>
      <c r="N405" s="2">
        <v>56.53</v>
      </c>
      <c r="O405">
        <f t="shared" si="25"/>
        <v>14</v>
      </c>
      <c r="P405" t="s">
        <v>181</v>
      </c>
      <c r="Q405" t="s">
        <v>755</v>
      </c>
      <c r="R405" s="3">
        <v>0.06</v>
      </c>
      <c r="S405" t="s">
        <v>181</v>
      </c>
      <c r="T405" t="s">
        <v>182</v>
      </c>
      <c r="U405" s="2">
        <v>3.39</v>
      </c>
      <c r="V405" t="s">
        <v>93</v>
      </c>
    </row>
    <row r="406" spans="1:22" x14ac:dyDescent="0.25">
      <c r="A406">
        <v>2024425644</v>
      </c>
      <c r="B406" t="s">
        <v>199</v>
      </c>
      <c r="C406" t="s">
        <v>200</v>
      </c>
      <c r="D406" t="str">
        <f t="shared" si="24"/>
        <v>JACQUELINE FARTHING</v>
      </c>
      <c r="E406" t="s">
        <v>107</v>
      </c>
      <c r="F406" t="s">
        <v>116</v>
      </c>
      <c r="G406" t="s">
        <v>117</v>
      </c>
      <c r="H406">
        <v>8977234</v>
      </c>
      <c r="I406" t="s">
        <v>55</v>
      </c>
      <c r="J406" t="s">
        <v>56</v>
      </c>
      <c r="K406" t="str">
        <f t="shared" si="23"/>
        <v>RYAN CALTAGIRONE</v>
      </c>
      <c r="L406" s="1">
        <v>45521</v>
      </c>
      <c r="M406" s="1">
        <v>45978</v>
      </c>
      <c r="N406" s="2">
        <v>8.3699999999999992</v>
      </c>
      <c r="O406">
        <f t="shared" si="25"/>
        <v>15</v>
      </c>
      <c r="P406" t="s">
        <v>181</v>
      </c>
      <c r="Q406" t="s">
        <v>755</v>
      </c>
      <c r="R406" s="3">
        <v>0.15</v>
      </c>
      <c r="S406" t="s">
        <v>181</v>
      </c>
      <c r="T406" t="s">
        <v>182</v>
      </c>
      <c r="U406" s="2">
        <v>1.26</v>
      </c>
      <c r="V406" t="s">
        <v>591</v>
      </c>
    </row>
    <row r="407" spans="1:22" x14ac:dyDescent="0.25">
      <c r="A407">
        <v>2023845998</v>
      </c>
      <c r="B407" t="s">
        <v>347</v>
      </c>
      <c r="C407" t="s">
        <v>348</v>
      </c>
      <c r="D407" t="str">
        <f t="shared" si="24"/>
        <v>BRYAN JACKSON</v>
      </c>
      <c r="E407" t="s">
        <v>349</v>
      </c>
      <c r="F407" t="s">
        <v>79</v>
      </c>
      <c r="G407" t="s">
        <v>350</v>
      </c>
      <c r="H407">
        <v>18781057</v>
      </c>
      <c r="I407" t="s">
        <v>186</v>
      </c>
      <c r="J407" t="s">
        <v>90</v>
      </c>
      <c r="K407" t="str">
        <f t="shared" si="23"/>
        <v>JOHN ROKEN</v>
      </c>
      <c r="L407" s="1">
        <v>45505</v>
      </c>
      <c r="M407" s="1">
        <v>45962</v>
      </c>
      <c r="N407" s="2">
        <v>15</v>
      </c>
      <c r="O407">
        <f t="shared" si="25"/>
        <v>15</v>
      </c>
      <c r="P407" t="s">
        <v>181</v>
      </c>
      <c r="Q407" t="s">
        <v>755</v>
      </c>
      <c r="R407" s="3">
        <v>0.1</v>
      </c>
      <c r="S407" t="s">
        <v>181</v>
      </c>
      <c r="T407" t="s">
        <v>182</v>
      </c>
      <c r="U407" s="2">
        <v>1.5</v>
      </c>
      <c r="V407" t="s">
        <v>350</v>
      </c>
    </row>
    <row r="408" spans="1:22" x14ac:dyDescent="0.25">
      <c r="A408">
        <v>2024403626</v>
      </c>
      <c r="B408" t="s">
        <v>358</v>
      </c>
      <c r="C408" t="s">
        <v>359</v>
      </c>
      <c r="D408" t="str">
        <f t="shared" si="24"/>
        <v>JEANETTE PAUL</v>
      </c>
      <c r="E408" t="s">
        <v>185</v>
      </c>
      <c r="F408" t="s">
        <v>79</v>
      </c>
      <c r="G408" t="s">
        <v>350</v>
      </c>
      <c r="H408">
        <v>18781057</v>
      </c>
      <c r="I408" t="s">
        <v>186</v>
      </c>
      <c r="J408" t="s">
        <v>90</v>
      </c>
      <c r="K408" t="str">
        <f t="shared" si="23"/>
        <v>JOHN ROKEN</v>
      </c>
      <c r="L408" s="1">
        <v>45520</v>
      </c>
      <c r="M408" s="1">
        <v>45977</v>
      </c>
      <c r="N408" s="2">
        <v>15</v>
      </c>
      <c r="O408">
        <f t="shared" si="25"/>
        <v>15</v>
      </c>
      <c r="P408" t="s">
        <v>181</v>
      </c>
      <c r="Q408" t="s">
        <v>755</v>
      </c>
      <c r="R408" s="3">
        <v>0.1</v>
      </c>
      <c r="S408" t="s">
        <v>181</v>
      </c>
      <c r="T408" t="s">
        <v>182</v>
      </c>
      <c r="U408" s="2">
        <v>1.5</v>
      </c>
      <c r="V408" t="s">
        <v>350</v>
      </c>
    </row>
    <row r="409" spans="1:22" x14ac:dyDescent="0.25">
      <c r="A409">
        <v>2024254141</v>
      </c>
      <c r="B409" t="s">
        <v>457</v>
      </c>
      <c r="C409" t="s">
        <v>458</v>
      </c>
      <c r="D409" t="str">
        <f t="shared" si="24"/>
        <v>HELAINE DUBACH</v>
      </c>
      <c r="E409" t="s">
        <v>189</v>
      </c>
      <c r="F409" t="s">
        <v>443</v>
      </c>
      <c r="G409" t="s">
        <v>444</v>
      </c>
      <c r="H409">
        <v>19278370</v>
      </c>
      <c r="I409" t="s">
        <v>395</v>
      </c>
      <c r="J409" t="s">
        <v>396</v>
      </c>
      <c r="K409" t="str">
        <f t="shared" si="23"/>
        <v>ANNE MARIE KOZACHECK</v>
      </c>
      <c r="L409" s="1">
        <v>45510</v>
      </c>
      <c r="M409" s="1">
        <v>45967</v>
      </c>
      <c r="N409" s="2">
        <v>45.54</v>
      </c>
      <c r="O409">
        <f t="shared" si="25"/>
        <v>15</v>
      </c>
      <c r="P409" t="s">
        <v>181</v>
      </c>
      <c r="Q409" t="s">
        <v>755</v>
      </c>
      <c r="R409" s="4">
        <v>5.2499999999999998E-2</v>
      </c>
      <c r="S409" t="s">
        <v>181</v>
      </c>
      <c r="T409" t="s">
        <v>182</v>
      </c>
      <c r="U409" s="2">
        <v>2.39</v>
      </c>
      <c r="V409" t="s">
        <v>444</v>
      </c>
    </row>
    <row r="410" spans="1:22" x14ac:dyDescent="0.25">
      <c r="A410">
        <v>2024403625</v>
      </c>
      <c r="B410" t="s">
        <v>358</v>
      </c>
      <c r="C410" t="s">
        <v>359</v>
      </c>
      <c r="D410" t="str">
        <f t="shared" si="24"/>
        <v>JEANETTE PAUL</v>
      </c>
      <c r="E410" t="s">
        <v>185</v>
      </c>
      <c r="F410" t="s">
        <v>114</v>
      </c>
      <c r="G410" t="s">
        <v>576</v>
      </c>
      <c r="H410">
        <v>18781057</v>
      </c>
      <c r="I410" t="s">
        <v>186</v>
      </c>
      <c r="J410" t="s">
        <v>90</v>
      </c>
      <c r="K410" t="str">
        <f t="shared" si="23"/>
        <v>JOHN ROKEN</v>
      </c>
      <c r="L410" s="1">
        <v>45520</v>
      </c>
      <c r="M410" s="1">
        <v>45977</v>
      </c>
      <c r="N410" s="2">
        <v>17.34</v>
      </c>
      <c r="O410">
        <f t="shared" si="25"/>
        <v>15</v>
      </c>
      <c r="P410" t="s">
        <v>181</v>
      </c>
      <c r="Q410" t="s">
        <v>755</v>
      </c>
      <c r="R410" s="3">
        <v>0.1</v>
      </c>
      <c r="S410" t="s">
        <v>181</v>
      </c>
      <c r="T410" t="s">
        <v>182</v>
      </c>
      <c r="U410" s="2">
        <v>1.73</v>
      </c>
      <c r="V410" t="s">
        <v>576</v>
      </c>
    </row>
    <row r="411" spans="1:22" x14ac:dyDescent="0.25">
      <c r="A411">
        <v>2024407151</v>
      </c>
      <c r="B411" t="s">
        <v>197</v>
      </c>
      <c r="C411" t="s">
        <v>198</v>
      </c>
      <c r="D411" t="str">
        <f t="shared" si="24"/>
        <v>MEGAN LONGENECKER</v>
      </c>
      <c r="E411" t="s">
        <v>189</v>
      </c>
      <c r="F411" t="s">
        <v>114</v>
      </c>
      <c r="G411" t="s">
        <v>576</v>
      </c>
      <c r="H411">
        <v>17425766</v>
      </c>
      <c r="I411" t="s">
        <v>195</v>
      </c>
      <c r="J411" t="s">
        <v>196</v>
      </c>
      <c r="K411" t="str">
        <f t="shared" si="23"/>
        <v>CAROL FOLEY</v>
      </c>
      <c r="L411" s="1">
        <v>45520</v>
      </c>
      <c r="M411" s="1">
        <v>45977</v>
      </c>
      <c r="N411" s="2">
        <v>21.97</v>
      </c>
      <c r="O411">
        <f t="shared" si="25"/>
        <v>15</v>
      </c>
      <c r="P411" t="s">
        <v>181</v>
      </c>
      <c r="Q411" t="s">
        <v>755</v>
      </c>
      <c r="R411" s="3">
        <v>0.1</v>
      </c>
      <c r="S411" t="s">
        <v>181</v>
      </c>
      <c r="T411" t="s">
        <v>182</v>
      </c>
      <c r="U411" s="2">
        <v>2.2000000000000002</v>
      </c>
      <c r="V411" t="s">
        <v>576</v>
      </c>
    </row>
    <row r="412" spans="1:22" x14ac:dyDescent="0.25">
      <c r="A412">
        <v>2024382705</v>
      </c>
      <c r="B412" t="s">
        <v>193</v>
      </c>
      <c r="C412" t="s">
        <v>194</v>
      </c>
      <c r="D412" t="str">
        <f t="shared" si="24"/>
        <v>SARAH LUDDY</v>
      </c>
      <c r="E412" t="s">
        <v>189</v>
      </c>
      <c r="F412" t="s">
        <v>114</v>
      </c>
      <c r="G412" t="s">
        <v>576</v>
      </c>
      <c r="H412">
        <v>17425766</v>
      </c>
      <c r="I412" t="s">
        <v>195</v>
      </c>
      <c r="J412" t="s">
        <v>196</v>
      </c>
      <c r="K412" t="str">
        <f t="shared" si="23"/>
        <v>CAROL FOLEY</v>
      </c>
      <c r="L412" s="1">
        <v>45519</v>
      </c>
      <c r="M412" s="1">
        <v>45976</v>
      </c>
      <c r="N412" s="2">
        <v>27.15</v>
      </c>
      <c r="O412">
        <f t="shared" si="25"/>
        <v>15</v>
      </c>
      <c r="P412" t="s">
        <v>181</v>
      </c>
      <c r="Q412" t="s">
        <v>755</v>
      </c>
      <c r="R412" s="3">
        <v>0.1</v>
      </c>
      <c r="S412" t="s">
        <v>181</v>
      </c>
      <c r="T412" t="s">
        <v>182</v>
      </c>
      <c r="U412" s="2">
        <v>2.72</v>
      </c>
      <c r="V412" t="s">
        <v>576</v>
      </c>
    </row>
    <row r="413" spans="1:22" x14ac:dyDescent="0.25">
      <c r="A413">
        <v>2023845997</v>
      </c>
      <c r="B413" t="s">
        <v>347</v>
      </c>
      <c r="C413" t="s">
        <v>348</v>
      </c>
      <c r="D413" t="str">
        <f t="shared" si="24"/>
        <v>BRYAN JACKSON</v>
      </c>
      <c r="E413" t="s">
        <v>349</v>
      </c>
      <c r="F413" t="s">
        <v>114</v>
      </c>
      <c r="G413" t="s">
        <v>576</v>
      </c>
      <c r="H413">
        <v>18781057</v>
      </c>
      <c r="I413" t="s">
        <v>186</v>
      </c>
      <c r="J413" t="s">
        <v>90</v>
      </c>
      <c r="K413" t="str">
        <f t="shared" si="23"/>
        <v>JOHN ROKEN</v>
      </c>
      <c r="L413" s="1">
        <v>45505</v>
      </c>
      <c r="M413" s="1">
        <v>45962</v>
      </c>
      <c r="N413" s="2">
        <v>31.64</v>
      </c>
      <c r="O413">
        <f t="shared" si="25"/>
        <v>15</v>
      </c>
      <c r="P413" t="s">
        <v>181</v>
      </c>
      <c r="Q413" t="s">
        <v>755</v>
      </c>
      <c r="R413" s="3">
        <v>0.1</v>
      </c>
      <c r="S413" t="s">
        <v>181</v>
      </c>
      <c r="T413" t="s">
        <v>182</v>
      </c>
      <c r="U413" s="2">
        <v>3.16</v>
      </c>
      <c r="V413" t="s">
        <v>576</v>
      </c>
    </row>
    <row r="414" spans="1:22" x14ac:dyDescent="0.25">
      <c r="A414">
        <v>2024372430</v>
      </c>
      <c r="B414" t="s">
        <v>355</v>
      </c>
      <c r="C414" t="s">
        <v>356</v>
      </c>
      <c r="D414" t="str">
        <f t="shared" si="24"/>
        <v>LANDON BRITT</v>
      </c>
      <c r="E414" t="s">
        <v>357</v>
      </c>
      <c r="F414" t="s">
        <v>79</v>
      </c>
      <c r="G414" t="s">
        <v>85</v>
      </c>
      <c r="H414">
        <v>17437820</v>
      </c>
      <c r="I414" t="s">
        <v>98</v>
      </c>
      <c r="J414" t="s">
        <v>99</v>
      </c>
      <c r="K414" t="str">
        <f t="shared" si="23"/>
        <v>COLLEEN FINNIGAN</v>
      </c>
      <c r="L414" s="1">
        <v>45518</v>
      </c>
      <c r="M414" s="1">
        <v>45975</v>
      </c>
      <c r="N414" s="2">
        <v>15</v>
      </c>
      <c r="O414">
        <f t="shared" si="25"/>
        <v>15</v>
      </c>
      <c r="P414" t="s">
        <v>181</v>
      </c>
      <c r="Q414" t="s">
        <v>755</v>
      </c>
      <c r="R414" s="3">
        <v>0.28999999999999998</v>
      </c>
      <c r="S414" t="s">
        <v>181</v>
      </c>
      <c r="T414" t="s">
        <v>182</v>
      </c>
      <c r="U414" s="2">
        <v>4.3499999999999996</v>
      </c>
      <c r="V414" t="s">
        <v>171</v>
      </c>
    </row>
    <row r="415" spans="1:22" x14ac:dyDescent="0.25">
      <c r="A415">
        <v>2024425643</v>
      </c>
      <c r="B415" t="s">
        <v>199</v>
      </c>
      <c r="C415" t="s">
        <v>200</v>
      </c>
      <c r="D415" t="str">
        <f t="shared" si="24"/>
        <v>JACQUELINE FARTHING</v>
      </c>
      <c r="E415" t="s">
        <v>107</v>
      </c>
      <c r="F415" t="s">
        <v>116</v>
      </c>
      <c r="G415" t="s">
        <v>125</v>
      </c>
      <c r="H415">
        <v>8977234</v>
      </c>
      <c r="I415" t="s">
        <v>55</v>
      </c>
      <c r="J415" t="s">
        <v>56</v>
      </c>
      <c r="K415" t="str">
        <f t="shared" ref="K415:K446" si="26">CONCATENATE(J415, " ",I415)</f>
        <v>RYAN CALTAGIRONE</v>
      </c>
      <c r="L415" s="1">
        <v>45521</v>
      </c>
      <c r="M415" s="1">
        <v>45978</v>
      </c>
      <c r="N415" s="2">
        <v>88.88</v>
      </c>
      <c r="O415">
        <f t="shared" si="25"/>
        <v>15</v>
      </c>
      <c r="P415" t="s">
        <v>181</v>
      </c>
      <c r="Q415" t="s">
        <v>755</v>
      </c>
      <c r="R415" s="3">
        <v>0.15</v>
      </c>
      <c r="S415" t="s">
        <v>181</v>
      </c>
      <c r="T415" t="s">
        <v>182</v>
      </c>
      <c r="U415" s="2">
        <v>13.33</v>
      </c>
      <c r="V415" t="s">
        <v>125</v>
      </c>
    </row>
    <row r="416" spans="1:22" x14ac:dyDescent="0.25">
      <c r="A416">
        <v>2023845996</v>
      </c>
      <c r="B416" t="s">
        <v>347</v>
      </c>
      <c r="C416" t="s">
        <v>348</v>
      </c>
      <c r="D416" t="str">
        <f t="shared" si="24"/>
        <v>BRYAN JACKSON</v>
      </c>
      <c r="E416" t="s">
        <v>349</v>
      </c>
      <c r="F416" t="s">
        <v>92</v>
      </c>
      <c r="G416" t="s">
        <v>93</v>
      </c>
      <c r="H416">
        <v>18781057</v>
      </c>
      <c r="I416" t="s">
        <v>186</v>
      </c>
      <c r="J416" t="s">
        <v>90</v>
      </c>
      <c r="K416" t="str">
        <f t="shared" si="26"/>
        <v>JOHN ROKEN</v>
      </c>
      <c r="L416" s="1">
        <v>45505</v>
      </c>
      <c r="M416" s="1">
        <v>45962</v>
      </c>
      <c r="N416" s="2">
        <v>27.06</v>
      </c>
      <c r="O416">
        <f t="shared" si="25"/>
        <v>15</v>
      </c>
      <c r="P416" t="s">
        <v>181</v>
      </c>
      <c r="Q416" t="s">
        <v>755</v>
      </c>
      <c r="R416" s="3">
        <v>0.06</v>
      </c>
      <c r="S416" t="s">
        <v>181</v>
      </c>
      <c r="T416" t="s">
        <v>182</v>
      </c>
      <c r="U416" s="2">
        <v>1.62</v>
      </c>
      <c r="V416" t="s">
        <v>93</v>
      </c>
    </row>
    <row r="417" spans="1:22" x14ac:dyDescent="0.25">
      <c r="A417">
        <v>2024425645</v>
      </c>
      <c r="B417" t="s">
        <v>199</v>
      </c>
      <c r="C417" t="s">
        <v>200</v>
      </c>
      <c r="D417" t="str">
        <f t="shared" si="24"/>
        <v>JACQUELINE FARTHING</v>
      </c>
      <c r="E417" t="s">
        <v>107</v>
      </c>
      <c r="F417" t="s">
        <v>176</v>
      </c>
      <c r="G417" t="s">
        <v>177</v>
      </c>
      <c r="H417">
        <v>8977234</v>
      </c>
      <c r="I417" t="s">
        <v>55</v>
      </c>
      <c r="J417" t="s">
        <v>56</v>
      </c>
      <c r="K417" t="str">
        <f t="shared" si="26"/>
        <v>RYAN CALTAGIRONE</v>
      </c>
      <c r="L417" s="1">
        <v>45521</v>
      </c>
      <c r="M417" s="1">
        <v>45978</v>
      </c>
      <c r="N417" s="2">
        <v>34.01</v>
      </c>
      <c r="O417">
        <f t="shared" si="25"/>
        <v>15</v>
      </c>
      <c r="P417" t="s">
        <v>181</v>
      </c>
      <c r="Q417" t="s">
        <v>755</v>
      </c>
      <c r="R417" s="4">
        <v>6.5000000000000002E-2</v>
      </c>
      <c r="S417" t="s">
        <v>181</v>
      </c>
      <c r="T417" t="s">
        <v>182</v>
      </c>
      <c r="U417" s="2">
        <v>2.21</v>
      </c>
      <c r="V417" t="s">
        <v>177</v>
      </c>
    </row>
    <row r="418" spans="1:22" x14ac:dyDescent="0.25">
      <c r="A418">
        <v>2024382706</v>
      </c>
      <c r="B418" t="s">
        <v>193</v>
      </c>
      <c r="C418" t="s">
        <v>194</v>
      </c>
      <c r="D418" t="str">
        <f t="shared" si="24"/>
        <v>SARAH LUDDY</v>
      </c>
      <c r="E418" t="s">
        <v>189</v>
      </c>
      <c r="F418" t="s">
        <v>176</v>
      </c>
      <c r="G418" t="s">
        <v>177</v>
      </c>
      <c r="H418">
        <v>17425766</v>
      </c>
      <c r="I418" t="s">
        <v>195</v>
      </c>
      <c r="J418" t="s">
        <v>196</v>
      </c>
      <c r="K418" t="str">
        <f t="shared" si="26"/>
        <v>CAROL FOLEY</v>
      </c>
      <c r="L418" s="1">
        <v>45519</v>
      </c>
      <c r="M418" s="1">
        <v>45976</v>
      </c>
      <c r="N418" s="2">
        <v>40.159999999999997</v>
      </c>
      <c r="O418">
        <f t="shared" si="25"/>
        <v>15</v>
      </c>
      <c r="P418" t="s">
        <v>181</v>
      </c>
      <c r="Q418" t="s">
        <v>755</v>
      </c>
      <c r="R418" s="4">
        <v>6.5000000000000002E-2</v>
      </c>
      <c r="S418" t="s">
        <v>181</v>
      </c>
      <c r="T418" t="s">
        <v>182</v>
      </c>
      <c r="U418" s="2">
        <v>2.61</v>
      </c>
      <c r="V418" t="s">
        <v>177</v>
      </c>
    </row>
    <row r="419" spans="1:22" x14ac:dyDescent="0.25">
      <c r="A419">
        <v>2024407150</v>
      </c>
      <c r="B419" t="s">
        <v>197</v>
      </c>
      <c r="C419" t="s">
        <v>198</v>
      </c>
      <c r="D419" t="str">
        <f t="shared" si="24"/>
        <v>MEGAN LONGENECKER</v>
      </c>
      <c r="E419" t="s">
        <v>189</v>
      </c>
      <c r="F419" t="s">
        <v>176</v>
      </c>
      <c r="G419" t="s">
        <v>177</v>
      </c>
      <c r="H419">
        <v>17425766</v>
      </c>
      <c r="I419" t="s">
        <v>195</v>
      </c>
      <c r="J419" t="s">
        <v>196</v>
      </c>
      <c r="K419" t="str">
        <f t="shared" si="26"/>
        <v>CAROL FOLEY</v>
      </c>
      <c r="L419" s="1">
        <v>45520</v>
      </c>
      <c r="M419" s="1">
        <v>45977</v>
      </c>
      <c r="N419" s="2">
        <v>56.69</v>
      </c>
      <c r="O419">
        <f t="shared" si="25"/>
        <v>15</v>
      </c>
      <c r="P419" t="s">
        <v>181</v>
      </c>
      <c r="Q419" t="s">
        <v>755</v>
      </c>
      <c r="R419" s="4">
        <v>6.5000000000000002E-2</v>
      </c>
      <c r="S419" t="s">
        <v>181</v>
      </c>
      <c r="T419" t="s">
        <v>182</v>
      </c>
      <c r="U419" s="2">
        <v>3.68</v>
      </c>
      <c r="V419" t="s">
        <v>177</v>
      </c>
    </row>
    <row r="420" spans="1:22" x14ac:dyDescent="0.25">
      <c r="A420">
        <v>2023867556</v>
      </c>
      <c r="B420" t="s">
        <v>261</v>
      </c>
      <c r="C420" t="s">
        <v>351</v>
      </c>
      <c r="D420" t="str">
        <f t="shared" si="24"/>
        <v>JULIAN GREGORY</v>
      </c>
      <c r="E420" t="s">
        <v>189</v>
      </c>
      <c r="F420" t="s">
        <v>79</v>
      </c>
      <c r="G420" t="s">
        <v>350</v>
      </c>
      <c r="H420">
        <v>17425766</v>
      </c>
      <c r="I420" t="s">
        <v>195</v>
      </c>
      <c r="J420" t="s">
        <v>196</v>
      </c>
      <c r="K420" t="str">
        <f t="shared" si="26"/>
        <v>CAROL FOLEY</v>
      </c>
      <c r="L420" s="1">
        <v>45483</v>
      </c>
      <c r="M420" s="1">
        <v>45971</v>
      </c>
      <c r="N420" s="2">
        <v>15</v>
      </c>
      <c r="O420">
        <f t="shared" si="25"/>
        <v>16</v>
      </c>
      <c r="P420" t="s">
        <v>181</v>
      </c>
      <c r="Q420" t="s">
        <v>755</v>
      </c>
      <c r="R420" s="3">
        <v>0.1</v>
      </c>
      <c r="S420" t="s">
        <v>181</v>
      </c>
      <c r="T420" t="s">
        <v>182</v>
      </c>
      <c r="U420" s="2">
        <v>1.5</v>
      </c>
      <c r="V420" t="s">
        <v>350</v>
      </c>
    </row>
    <row r="421" spans="1:22" x14ac:dyDescent="0.25">
      <c r="A421">
        <v>2023867555</v>
      </c>
      <c r="B421" t="s">
        <v>261</v>
      </c>
      <c r="C421" t="s">
        <v>351</v>
      </c>
      <c r="D421" t="str">
        <f t="shared" si="24"/>
        <v>JULIAN GREGORY</v>
      </c>
      <c r="E421" t="s">
        <v>189</v>
      </c>
      <c r="F421" t="s">
        <v>114</v>
      </c>
      <c r="G421" t="s">
        <v>576</v>
      </c>
      <c r="H421">
        <v>17425766</v>
      </c>
      <c r="I421" t="s">
        <v>195</v>
      </c>
      <c r="J421" t="s">
        <v>196</v>
      </c>
      <c r="K421" t="str">
        <f t="shared" si="26"/>
        <v>CAROL FOLEY</v>
      </c>
      <c r="L421" s="1">
        <v>45483</v>
      </c>
      <c r="M421" s="1">
        <v>45971</v>
      </c>
      <c r="N421" s="2">
        <v>53.16</v>
      </c>
      <c r="O421">
        <f t="shared" si="25"/>
        <v>16</v>
      </c>
      <c r="P421" t="s">
        <v>181</v>
      </c>
      <c r="Q421" t="s">
        <v>755</v>
      </c>
      <c r="R421" s="3">
        <v>0.1</v>
      </c>
      <c r="S421" t="s">
        <v>181</v>
      </c>
      <c r="T421" t="s">
        <v>182</v>
      </c>
      <c r="U421" s="2">
        <v>5.32</v>
      </c>
      <c r="V421" t="s">
        <v>576</v>
      </c>
    </row>
    <row r="422" spans="1:22" x14ac:dyDescent="0.25">
      <c r="A422">
        <v>2023911658</v>
      </c>
      <c r="B422" t="s">
        <v>599</v>
      </c>
      <c r="C422" t="s">
        <v>600</v>
      </c>
      <c r="D422" t="str">
        <f t="shared" si="24"/>
        <v>LOIS SHEFFIELD</v>
      </c>
      <c r="E422" t="s">
        <v>601</v>
      </c>
      <c r="F422" t="s">
        <v>116</v>
      </c>
      <c r="G422" t="s">
        <v>120</v>
      </c>
      <c r="H422">
        <v>8977234</v>
      </c>
      <c r="I422" t="s">
        <v>55</v>
      </c>
      <c r="J422" t="s">
        <v>56</v>
      </c>
      <c r="K422" t="str">
        <f t="shared" si="26"/>
        <v>RYAN CALTAGIRONE</v>
      </c>
      <c r="L422" s="1">
        <v>45486</v>
      </c>
      <c r="M422" s="1">
        <v>45974</v>
      </c>
      <c r="N422" s="2">
        <v>150.63</v>
      </c>
      <c r="O422">
        <f t="shared" si="25"/>
        <v>16</v>
      </c>
      <c r="P422" t="s">
        <v>181</v>
      </c>
      <c r="Q422" t="s">
        <v>755</v>
      </c>
      <c r="R422" s="3">
        <v>0.1</v>
      </c>
      <c r="S422" t="s">
        <v>181</v>
      </c>
      <c r="T422" t="s">
        <v>182</v>
      </c>
      <c r="U422" s="2">
        <v>15.06</v>
      </c>
      <c r="V422" t="s">
        <v>120</v>
      </c>
    </row>
    <row r="423" spans="1:22" x14ac:dyDescent="0.25">
      <c r="A423">
        <v>2023499224</v>
      </c>
      <c r="B423" t="s">
        <v>183</v>
      </c>
      <c r="C423" t="s">
        <v>184</v>
      </c>
      <c r="D423" t="str">
        <f t="shared" si="24"/>
        <v>RHONDA SURRATT</v>
      </c>
      <c r="E423" t="s">
        <v>185</v>
      </c>
      <c r="F423" t="s">
        <v>114</v>
      </c>
      <c r="G423" t="s">
        <v>576</v>
      </c>
      <c r="H423">
        <v>18781057</v>
      </c>
      <c r="I423" t="s">
        <v>186</v>
      </c>
      <c r="J423" t="s">
        <v>90</v>
      </c>
      <c r="K423" t="str">
        <f t="shared" si="26"/>
        <v>JOHN ROKEN</v>
      </c>
      <c r="L423" s="1">
        <v>45456</v>
      </c>
      <c r="M423" s="1">
        <v>45974</v>
      </c>
      <c r="N423" s="2">
        <v>28.12</v>
      </c>
      <c r="O423">
        <f t="shared" si="25"/>
        <v>17</v>
      </c>
      <c r="P423" t="s">
        <v>181</v>
      </c>
      <c r="Q423" t="s">
        <v>755</v>
      </c>
      <c r="R423" s="3">
        <v>0.1</v>
      </c>
      <c r="S423" t="s">
        <v>181</v>
      </c>
      <c r="T423" t="s">
        <v>182</v>
      </c>
      <c r="U423" s="2">
        <v>2.81</v>
      </c>
      <c r="V423" t="s">
        <v>576</v>
      </c>
    </row>
    <row r="424" spans="1:22" x14ac:dyDescent="0.25">
      <c r="A424">
        <v>2023509943</v>
      </c>
      <c r="B424" t="s">
        <v>187</v>
      </c>
      <c r="C424" t="s">
        <v>188</v>
      </c>
      <c r="D424" t="str">
        <f t="shared" si="24"/>
        <v>NATALIA VOLZ</v>
      </c>
      <c r="E424" t="s">
        <v>189</v>
      </c>
      <c r="F424" t="s">
        <v>114</v>
      </c>
      <c r="G424" t="s">
        <v>576</v>
      </c>
      <c r="H424">
        <v>18781057</v>
      </c>
      <c r="I424" t="s">
        <v>186</v>
      </c>
      <c r="J424" t="s">
        <v>90</v>
      </c>
      <c r="K424" t="str">
        <f t="shared" si="26"/>
        <v>JOHN ROKEN</v>
      </c>
      <c r="L424" s="1">
        <v>45457</v>
      </c>
      <c r="M424" s="1">
        <v>45975</v>
      </c>
      <c r="N424" s="2">
        <v>55.16</v>
      </c>
      <c r="O424">
        <f t="shared" si="25"/>
        <v>17</v>
      </c>
      <c r="P424" t="s">
        <v>181</v>
      </c>
      <c r="Q424" t="s">
        <v>755</v>
      </c>
      <c r="R424" s="3">
        <v>0.1</v>
      </c>
      <c r="S424" t="s">
        <v>181</v>
      </c>
      <c r="T424" t="s">
        <v>182</v>
      </c>
      <c r="U424" s="2">
        <v>5.52</v>
      </c>
      <c r="V424" t="s">
        <v>576</v>
      </c>
    </row>
    <row r="425" spans="1:22" x14ac:dyDescent="0.25">
      <c r="A425">
        <v>2023510923</v>
      </c>
      <c r="B425" t="s">
        <v>191</v>
      </c>
      <c r="C425" t="s">
        <v>192</v>
      </c>
      <c r="D425" t="str">
        <f t="shared" si="24"/>
        <v>CHARLES CAMPBELL</v>
      </c>
      <c r="E425" t="s">
        <v>189</v>
      </c>
      <c r="F425" t="s">
        <v>114</v>
      </c>
      <c r="G425" t="s">
        <v>576</v>
      </c>
      <c r="H425">
        <v>18781057</v>
      </c>
      <c r="I425" t="s">
        <v>186</v>
      </c>
      <c r="J425" t="s">
        <v>90</v>
      </c>
      <c r="K425" t="str">
        <f t="shared" si="26"/>
        <v>JOHN ROKEN</v>
      </c>
      <c r="L425" s="1">
        <v>45457</v>
      </c>
      <c r="M425" s="1">
        <v>45975</v>
      </c>
      <c r="N425" s="2">
        <v>55.16</v>
      </c>
      <c r="O425">
        <f t="shared" si="25"/>
        <v>17</v>
      </c>
      <c r="P425" t="s">
        <v>181</v>
      </c>
      <c r="Q425" t="s">
        <v>755</v>
      </c>
      <c r="R425" s="3">
        <v>0.1</v>
      </c>
      <c r="S425" t="s">
        <v>181</v>
      </c>
      <c r="T425" t="s">
        <v>182</v>
      </c>
      <c r="U425" s="2">
        <v>5.52</v>
      </c>
      <c r="V425" t="s">
        <v>576</v>
      </c>
    </row>
    <row r="426" spans="1:22" x14ac:dyDescent="0.25">
      <c r="A426">
        <v>2023499226</v>
      </c>
      <c r="B426" t="s">
        <v>183</v>
      </c>
      <c r="C426" t="s">
        <v>184</v>
      </c>
      <c r="D426" t="str">
        <f t="shared" si="24"/>
        <v>RHONDA SURRATT</v>
      </c>
      <c r="E426" t="s">
        <v>185</v>
      </c>
      <c r="F426" t="s">
        <v>92</v>
      </c>
      <c r="G426" t="s">
        <v>93</v>
      </c>
      <c r="H426">
        <v>18781057</v>
      </c>
      <c r="I426" t="s">
        <v>186</v>
      </c>
      <c r="J426" t="s">
        <v>90</v>
      </c>
      <c r="K426" t="str">
        <f t="shared" si="26"/>
        <v>JOHN ROKEN</v>
      </c>
      <c r="L426" s="1">
        <v>45456</v>
      </c>
      <c r="M426" s="1">
        <v>45974</v>
      </c>
      <c r="N426" s="2">
        <v>33.479999999999997</v>
      </c>
      <c r="O426">
        <f t="shared" si="25"/>
        <v>17</v>
      </c>
      <c r="P426" t="s">
        <v>181</v>
      </c>
      <c r="Q426" t="s">
        <v>755</v>
      </c>
      <c r="R426" s="3">
        <v>0.06</v>
      </c>
      <c r="S426" t="s">
        <v>181</v>
      </c>
      <c r="T426" t="s">
        <v>182</v>
      </c>
      <c r="U426" s="2">
        <v>2.0099999999999998</v>
      </c>
      <c r="V426" t="s">
        <v>93</v>
      </c>
    </row>
    <row r="427" spans="1:22" x14ac:dyDescent="0.25">
      <c r="A427">
        <v>2023509944</v>
      </c>
      <c r="B427" t="s">
        <v>187</v>
      </c>
      <c r="C427" t="s">
        <v>188</v>
      </c>
      <c r="D427" t="str">
        <f t="shared" si="24"/>
        <v>NATALIA VOLZ</v>
      </c>
      <c r="E427" t="s">
        <v>189</v>
      </c>
      <c r="F427" t="s">
        <v>176</v>
      </c>
      <c r="G427" t="s">
        <v>190</v>
      </c>
      <c r="H427">
        <v>18781057</v>
      </c>
      <c r="I427" t="s">
        <v>186</v>
      </c>
      <c r="J427" t="s">
        <v>90</v>
      </c>
      <c r="K427" t="str">
        <f t="shared" si="26"/>
        <v>JOHN ROKEN</v>
      </c>
      <c r="L427" s="1">
        <v>45457</v>
      </c>
      <c r="M427" s="1">
        <v>45975</v>
      </c>
      <c r="N427" s="2">
        <v>109.84</v>
      </c>
      <c r="O427">
        <f t="shared" si="25"/>
        <v>17</v>
      </c>
      <c r="P427" t="s">
        <v>181</v>
      </c>
      <c r="Q427" t="s">
        <v>755</v>
      </c>
      <c r="R427" s="4">
        <v>6.5000000000000002E-2</v>
      </c>
      <c r="S427" t="s">
        <v>181</v>
      </c>
      <c r="T427" t="s">
        <v>182</v>
      </c>
      <c r="U427" s="2">
        <v>7.14</v>
      </c>
      <c r="V427" t="s">
        <v>215</v>
      </c>
    </row>
    <row r="428" spans="1:22" x14ac:dyDescent="0.25">
      <c r="A428">
        <v>2023499225</v>
      </c>
      <c r="B428" t="s">
        <v>183</v>
      </c>
      <c r="C428" t="s">
        <v>184</v>
      </c>
      <c r="D428" t="str">
        <f t="shared" si="24"/>
        <v>RHONDA SURRATT</v>
      </c>
      <c r="E428" t="s">
        <v>185</v>
      </c>
      <c r="F428" t="s">
        <v>176</v>
      </c>
      <c r="G428" t="s">
        <v>177</v>
      </c>
      <c r="H428">
        <v>18781057</v>
      </c>
      <c r="I428" t="s">
        <v>186</v>
      </c>
      <c r="J428" t="s">
        <v>90</v>
      </c>
      <c r="K428" t="str">
        <f t="shared" si="26"/>
        <v>JOHN ROKEN</v>
      </c>
      <c r="L428" s="1">
        <v>45456</v>
      </c>
      <c r="M428" s="1">
        <v>45974</v>
      </c>
      <c r="N428" s="2">
        <v>56.69</v>
      </c>
      <c r="O428">
        <f t="shared" si="25"/>
        <v>17</v>
      </c>
      <c r="P428" t="s">
        <v>181</v>
      </c>
      <c r="Q428" t="s">
        <v>755</v>
      </c>
      <c r="R428" s="4">
        <v>6.5000000000000002E-2</v>
      </c>
      <c r="S428" t="s">
        <v>181</v>
      </c>
      <c r="T428" t="s">
        <v>182</v>
      </c>
      <c r="U428" s="2">
        <v>3.68</v>
      </c>
      <c r="V428" t="s">
        <v>177</v>
      </c>
    </row>
    <row r="429" spans="1:22" x14ac:dyDescent="0.25">
      <c r="A429">
        <v>2023510924</v>
      </c>
      <c r="B429" t="s">
        <v>191</v>
      </c>
      <c r="C429" t="s">
        <v>192</v>
      </c>
      <c r="D429" t="str">
        <f t="shared" si="24"/>
        <v>CHARLES CAMPBELL</v>
      </c>
      <c r="E429" t="s">
        <v>189</v>
      </c>
      <c r="F429" t="s">
        <v>176</v>
      </c>
      <c r="G429" t="s">
        <v>177</v>
      </c>
      <c r="H429">
        <v>18781057</v>
      </c>
      <c r="I429" t="s">
        <v>186</v>
      </c>
      <c r="J429" t="s">
        <v>90</v>
      </c>
      <c r="K429" t="str">
        <f t="shared" si="26"/>
        <v>JOHN ROKEN</v>
      </c>
      <c r="L429" s="1">
        <v>45457</v>
      </c>
      <c r="M429" s="1">
        <v>45975</v>
      </c>
      <c r="N429" s="2">
        <v>56.69</v>
      </c>
      <c r="O429">
        <f t="shared" si="25"/>
        <v>17</v>
      </c>
      <c r="P429" t="s">
        <v>181</v>
      </c>
      <c r="Q429" t="s">
        <v>755</v>
      </c>
      <c r="R429" s="4">
        <v>6.5000000000000002E-2</v>
      </c>
      <c r="S429" t="s">
        <v>181</v>
      </c>
      <c r="T429" t="s">
        <v>182</v>
      </c>
      <c r="U429" s="2">
        <v>3.68</v>
      </c>
      <c r="V429" t="s">
        <v>177</v>
      </c>
    </row>
    <row r="430" spans="1:22" x14ac:dyDescent="0.25">
      <c r="A430">
        <v>2023047686</v>
      </c>
      <c r="B430" t="s">
        <v>574</v>
      </c>
      <c r="C430" t="s">
        <v>575</v>
      </c>
      <c r="D430" t="str">
        <f t="shared" si="24"/>
        <v>THEODORE WIGGINS</v>
      </c>
      <c r="E430" t="s">
        <v>189</v>
      </c>
      <c r="F430" t="s">
        <v>114</v>
      </c>
      <c r="G430" t="s">
        <v>576</v>
      </c>
      <c r="H430">
        <v>18781057</v>
      </c>
      <c r="I430" t="s">
        <v>186</v>
      </c>
      <c r="J430" t="s">
        <v>90</v>
      </c>
      <c r="K430" t="str">
        <f t="shared" si="26"/>
        <v>JOHN ROKEN</v>
      </c>
      <c r="L430" s="1">
        <v>45422</v>
      </c>
      <c r="M430" s="1">
        <v>45971</v>
      </c>
      <c r="N430" s="2">
        <v>77.55</v>
      </c>
      <c r="O430">
        <f t="shared" si="25"/>
        <v>18</v>
      </c>
      <c r="P430" t="s">
        <v>181</v>
      </c>
      <c r="Q430" t="s">
        <v>755</v>
      </c>
      <c r="R430" s="3">
        <v>0.1</v>
      </c>
      <c r="S430" t="s">
        <v>181</v>
      </c>
      <c r="T430" t="s">
        <v>182</v>
      </c>
      <c r="U430" s="2">
        <v>7.76</v>
      </c>
      <c r="V430" t="s">
        <v>576</v>
      </c>
    </row>
    <row r="431" spans="1:22" x14ac:dyDescent="0.25">
      <c r="A431">
        <v>2022254779</v>
      </c>
      <c r="B431" t="s">
        <v>224</v>
      </c>
      <c r="C431" t="s">
        <v>192</v>
      </c>
      <c r="D431" t="str">
        <f t="shared" si="24"/>
        <v>CHARLES MOHLER</v>
      </c>
      <c r="E431" t="s">
        <v>225</v>
      </c>
      <c r="F431" t="s">
        <v>53</v>
      </c>
      <c r="G431" t="s">
        <v>75</v>
      </c>
      <c r="H431">
        <v>8977234</v>
      </c>
      <c r="I431" t="s">
        <v>55</v>
      </c>
      <c r="J431" t="s">
        <v>56</v>
      </c>
      <c r="K431" t="str">
        <f t="shared" si="26"/>
        <v>RYAN CALTAGIRONE</v>
      </c>
      <c r="L431" s="1">
        <v>45364</v>
      </c>
      <c r="M431" s="1">
        <v>45974</v>
      </c>
      <c r="N431" s="2">
        <v>150.51</v>
      </c>
      <c r="O431">
        <f t="shared" si="25"/>
        <v>20</v>
      </c>
      <c r="P431" t="s">
        <v>181</v>
      </c>
      <c r="Q431" t="s">
        <v>755</v>
      </c>
      <c r="R431" s="3">
        <v>0.1</v>
      </c>
      <c r="S431" t="s">
        <v>181</v>
      </c>
      <c r="T431" t="s">
        <v>182</v>
      </c>
      <c r="U431" s="2">
        <v>15.05</v>
      </c>
      <c r="V431" t="s">
        <v>750</v>
      </c>
    </row>
    <row r="432" spans="1:22" x14ac:dyDescent="0.25">
      <c r="A432">
        <v>2022254780</v>
      </c>
      <c r="B432" t="s">
        <v>224</v>
      </c>
      <c r="C432" t="s">
        <v>192</v>
      </c>
      <c r="D432" t="str">
        <f t="shared" si="24"/>
        <v>CHARLES MOHLER</v>
      </c>
      <c r="E432" t="s">
        <v>225</v>
      </c>
      <c r="F432" t="s">
        <v>116</v>
      </c>
      <c r="G432" t="s">
        <v>125</v>
      </c>
      <c r="H432">
        <v>8977234</v>
      </c>
      <c r="I432" t="s">
        <v>55</v>
      </c>
      <c r="J432" t="s">
        <v>56</v>
      </c>
      <c r="K432" t="str">
        <f t="shared" si="26"/>
        <v>RYAN CALTAGIRONE</v>
      </c>
      <c r="L432" s="1">
        <v>45364</v>
      </c>
      <c r="M432" s="1">
        <v>45974</v>
      </c>
      <c r="N432" s="2">
        <v>54.66</v>
      </c>
      <c r="O432">
        <f t="shared" si="25"/>
        <v>20</v>
      </c>
      <c r="P432" t="s">
        <v>181</v>
      </c>
      <c r="Q432" t="s">
        <v>755</v>
      </c>
      <c r="R432" s="3">
        <v>0.15</v>
      </c>
      <c r="S432" t="s">
        <v>181</v>
      </c>
      <c r="T432" t="s">
        <v>182</v>
      </c>
      <c r="U432" s="2">
        <v>8.1999999999999993</v>
      </c>
      <c r="V432" t="s">
        <v>125</v>
      </c>
    </row>
    <row r="433" spans="1:22" x14ac:dyDescent="0.25">
      <c r="A433">
        <v>2022254781</v>
      </c>
      <c r="B433" t="s">
        <v>224</v>
      </c>
      <c r="C433" t="s">
        <v>192</v>
      </c>
      <c r="D433" t="str">
        <f t="shared" si="24"/>
        <v>CHARLES MOHLER</v>
      </c>
      <c r="E433" t="s">
        <v>225</v>
      </c>
      <c r="F433" t="s">
        <v>92</v>
      </c>
      <c r="G433" t="s">
        <v>93</v>
      </c>
      <c r="H433">
        <v>8977234</v>
      </c>
      <c r="I433" t="s">
        <v>55</v>
      </c>
      <c r="J433" t="s">
        <v>56</v>
      </c>
      <c r="K433" t="str">
        <f t="shared" si="26"/>
        <v>RYAN CALTAGIRONE</v>
      </c>
      <c r="L433" s="1">
        <v>45364</v>
      </c>
      <c r="M433" s="1">
        <v>45974</v>
      </c>
      <c r="N433" s="2">
        <v>136.49</v>
      </c>
      <c r="O433">
        <f t="shared" si="25"/>
        <v>20</v>
      </c>
      <c r="P433" t="s">
        <v>181</v>
      </c>
      <c r="Q433" t="s">
        <v>755</v>
      </c>
      <c r="R433" s="3">
        <v>0.06</v>
      </c>
      <c r="S433" t="s">
        <v>181</v>
      </c>
      <c r="T433" t="s">
        <v>182</v>
      </c>
      <c r="U433" s="2">
        <v>8.19</v>
      </c>
      <c r="V433" t="s">
        <v>93</v>
      </c>
    </row>
    <row r="434" spans="1:22" x14ac:dyDescent="0.25">
      <c r="A434">
        <v>2020780791</v>
      </c>
      <c r="B434" t="s">
        <v>595</v>
      </c>
      <c r="C434" t="s">
        <v>596</v>
      </c>
      <c r="D434" t="str">
        <f t="shared" si="24"/>
        <v>VACILIKI RESS</v>
      </c>
      <c r="E434" t="s">
        <v>78</v>
      </c>
      <c r="F434" t="s">
        <v>116</v>
      </c>
      <c r="G434" t="s">
        <v>117</v>
      </c>
      <c r="H434">
        <v>8307933</v>
      </c>
      <c r="I434" t="s">
        <v>260</v>
      </c>
      <c r="J434" t="s">
        <v>261</v>
      </c>
      <c r="K434" t="str">
        <f t="shared" si="26"/>
        <v>GREGORY TEIPEL</v>
      </c>
      <c r="L434" s="1">
        <v>45245</v>
      </c>
      <c r="M434" s="1">
        <v>45976</v>
      </c>
      <c r="N434" s="2">
        <v>25.73</v>
      </c>
      <c r="O434">
        <f t="shared" si="25"/>
        <v>24</v>
      </c>
      <c r="P434" t="s">
        <v>181</v>
      </c>
      <c r="Q434" t="s">
        <v>755</v>
      </c>
      <c r="R434" s="3">
        <v>0.15</v>
      </c>
      <c r="S434" t="s">
        <v>181</v>
      </c>
      <c r="T434" t="s">
        <v>182</v>
      </c>
      <c r="U434" s="2">
        <v>3.86</v>
      </c>
      <c r="V434" t="s">
        <v>591</v>
      </c>
    </row>
    <row r="435" spans="1:22" x14ac:dyDescent="0.25">
      <c r="A435">
        <v>2020780792</v>
      </c>
      <c r="B435" t="s">
        <v>595</v>
      </c>
      <c r="C435" t="s">
        <v>596</v>
      </c>
      <c r="D435" t="str">
        <f t="shared" si="24"/>
        <v>VACILIKI RESS</v>
      </c>
      <c r="E435" t="s">
        <v>78</v>
      </c>
      <c r="F435" t="s">
        <v>116</v>
      </c>
      <c r="G435" t="s">
        <v>120</v>
      </c>
      <c r="H435">
        <v>8307933</v>
      </c>
      <c r="I435" t="s">
        <v>260</v>
      </c>
      <c r="J435" t="s">
        <v>261</v>
      </c>
      <c r="K435" t="str">
        <f t="shared" si="26"/>
        <v>GREGORY TEIPEL</v>
      </c>
      <c r="L435" s="1">
        <v>45245</v>
      </c>
      <c r="M435" s="1">
        <v>45976</v>
      </c>
      <c r="N435" s="2">
        <v>51.63</v>
      </c>
      <c r="O435">
        <f t="shared" si="25"/>
        <v>24</v>
      </c>
      <c r="P435" t="s">
        <v>181</v>
      </c>
      <c r="Q435" t="s">
        <v>755</v>
      </c>
      <c r="R435" s="3">
        <v>0.1</v>
      </c>
      <c r="S435" t="s">
        <v>181</v>
      </c>
      <c r="T435" t="s">
        <v>182</v>
      </c>
      <c r="U435" s="2">
        <v>5.16</v>
      </c>
      <c r="V435" t="s">
        <v>120</v>
      </c>
    </row>
    <row r="436" spans="1:22" x14ac:dyDescent="0.25">
      <c r="A436">
        <v>2020174612</v>
      </c>
      <c r="B436" t="s">
        <v>220</v>
      </c>
      <c r="C436" t="s">
        <v>221</v>
      </c>
      <c r="D436" t="str">
        <f t="shared" si="24"/>
        <v>DENISE JEROUSEK</v>
      </c>
      <c r="E436" t="s">
        <v>119</v>
      </c>
      <c r="F436" t="s">
        <v>116</v>
      </c>
      <c r="G436" t="s">
        <v>117</v>
      </c>
      <c r="H436">
        <v>9079571</v>
      </c>
      <c r="I436" t="s">
        <v>222</v>
      </c>
      <c r="J436" t="s">
        <v>223</v>
      </c>
      <c r="K436" t="str">
        <f t="shared" si="26"/>
        <v>ADAM RICHTER</v>
      </c>
      <c r="L436" s="1">
        <v>45214</v>
      </c>
      <c r="M436" s="1">
        <v>45976</v>
      </c>
      <c r="N436" s="2">
        <v>24.61</v>
      </c>
      <c r="O436">
        <f t="shared" si="25"/>
        <v>25</v>
      </c>
      <c r="P436" t="s">
        <v>181</v>
      </c>
      <c r="Q436" t="s">
        <v>755</v>
      </c>
      <c r="R436" s="3">
        <v>0.15</v>
      </c>
      <c r="S436" t="s">
        <v>181</v>
      </c>
      <c r="T436" t="s">
        <v>182</v>
      </c>
      <c r="U436" s="2">
        <v>3.69</v>
      </c>
      <c r="V436" t="s">
        <v>591</v>
      </c>
    </row>
    <row r="437" spans="1:22" x14ac:dyDescent="0.25">
      <c r="A437">
        <v>2020174611</v>
      </c>
      <c r="B437" t="s">
        <v>220</v>
      </c>
      <c r="C437" t="s">
        <v>221</v>
      </c>
      <c r="D437" t="str">
        <f t="shared" si="24"/>
        <v>DENISE JEROUSEK</v>
      </c>
      <c r="E437" t="s">
        <v>119</v>
      </c>
      <c r="F437" t="s">
        <v>53</v>
      </c>
      <c r="G437" t="s">
        <v>70</v>
      </c>
      <c r="H437">
        <v>9079571</v>
      </c>
      <c r="I437" t="s">
        <v>222</v>
      </c>
      <c r="J437" t="s">
        <v>223</v>
      </c>
      <c r="K437" t="str">
        <f t="shared" si="26"/>
        <v>ADAM RICHTER</v>
      </c>
      <c r="L437" s="1">
        <v>45214</v>
      </c>
      <c r="M437" s="1">
        <v>45976</v>
      </c>
      <c r="N437" s="2">
        <v>246.44</v>
      </c>
      <c r="O437">
        <f t="shared" si="25"/>
        <v>25</v>
      </c>
      <c r="P437" t="s">
        <v>181</v>
      </c>
      <c r="Q437" t="s">
        <v>755</v>
      </c>
      <c r="R437" s="3">
        <v>0.1</v>
      </c>
      <c r="S437" t="s">
        <v>181</v>
      </c>
      <c r="T437" t="s">
        <v>182</v>
      </c>
      <c r="U437" s="2">
        <v>24.64</v>
      </c>
      <c r="V437" t="s">
        <v>752</v>
      </c>
    </row>
    <row r="438" spans="1:22" x14ac:dyDescent="0.25">
      <c r="A438">
        <v>2020039861</v>
      </c>
      <c r="B438" t="s">
        <v>404</v>
      </c>
      <c r="C438" t="s">
        <v>405</v>
      </c>
      <c r="D438" t="str">
        <f t="shared" si="24"/>
        <v>CHANTAL WHITE</v>
      </c>
      <c r="E438" t="s">
        <v>78</v>
      </c>
      <c r="F438" t="s">
        <v>92</v>
      </c>
      <c r="G438" t="s">
        <v>93</v>
      </c>
      <c r="H438">
        <v>8977234</v>
      </c>
      <c r="I438" t="s">
        <v>55</v>
      </c>
      <c r="J438" t="s">
        <v>56</v>
      </c>
      <c r="K438" t="str">
        <f t="shared" si="26"/>
        <v>RYAN CALTAGIRONE</v>
      </c>
      <c r="L438" s="1">
        <v>45182</v>
      </c>
      <c r="M438" s="1">
        <v>45974</v>
      </c>
      <c r="N438" s="2">
        <v>53.57</v>
      </c>
      <c r="O438">
        <f t="shared" si="25"/>
        <v>26</v>
      </c>
      <c r="P438" t="s">
        <v>181</v>
      </c>
      <c r="Q438" t="s">
        <v>755</v>
      </c>
      <c r="R438" s="3">
        <v>0.06</v>
      </c>
      <c r="S438" t="s">
        <v>181</v>
      </c>
      <c r="T438" t="s">
        <v>182</v>
      </c>
      <c r="U438" s="2">
        <v>3.21</v>
      </c>
      <c r="V438" t="s">
        <v>93</v>
      </c>
    </row>
    <row r="439" spans="1:22" x14ac:dyDescent="0.25">
      <c r="A439">
        <v>2019324243</v>
      </c>
      <c r="B439" t="s">
        <v>448</v>
      </c>
      <c r="C439" t="s">
        <v>90</v>
      </c>
      <c r="D439" t="str">
        <f t="shared" si="24"/>
        <v>JOHN WOODALL</v>
      </c>
      <c r="E439" t="s">
        <v>225</v>
      </c>
      <c r="F439" t="s">
        <v>443</v>
      </c>
      <c r="G439" t="s">
        <v>444</v>
      </c>
      <c r="H439">
        <v>8977234</v>
      </c>
      <c r="I439" t="s">
        <v>55</v>
      </c>
      <c r="J439" t="s">
        <v>56</v>
      </c>
      <c r="K439" t="str">
        <f t="shared" si="26"/>
        <v>RYAN CALTAGIRONE</v>
      </c>
      <c r="L439" s="1">
        <v>45139</v>
      </c>
      <c r="M439" s="1">
        <v>45962</v>
      </c>
      <c r="N439" s="2">
        <v>0.26</v>
      </c>
      <c r="O439">
        <f t="shared" si="25"/>
        <v>27</v>
      </c>
      <c r="P439" t="s">
        <v>181</v>
      </c>
      <c r="Q439" t="s">
        <v>755</v>
      </c>
      <c r="R439" s="4">
        <v>5.2499999999999998E-2</v>
      </c>
      <c r="S439" t="s">
        <v>181</v>
      </c>
      <c r="T439" t="s">
        <v>182</v>
      </c>
      <c r="U439" s="2">
        <v>0.01</v>
      </c>
      <c r="V439" t="s">
        <v>444</v>
      </c>
    </row>
    <row r="440" spans="1:22" x14ac:dyDescent="0.25">
      <c r="A440">
        <v>2018582686</v>
      </c>
      <c r="B440" t="s">
        <v>447</v>
      </c>
      <c r="C440" t="s">
        <v>211</v>
      </c>
      <c r="D440" t="str">
        <f t="shared" si="24"/>
        <v>TIMOTHY WOLFZORN</v>
      </c>
      <c r="E440" t="s">
        <v>225</v>
      </c>
      <c r="F440" t="s">
        <v>443</v>
      </c>
      <c r="G440" t="s">
        <v>444</v>
      </c>
      <c r="H440">
        <v>8977234</v>
      </c>
      <c r="I440" t="s">
        <v>55</v>
      </c>
      <c r="J440" t="s">
        <v>56</v>
      </c>
      <c r="K440" t="str">
        <f t="shared" si="26"/>
        <v>RYAN CALTAGIRONE</v>
      </c>
      <c r="L440" s="1">
        <v>45096</v>
      </c>
      <c r="M440" s="1">
        <v>45949</v>
      </c>
      <c r="N440" s="2">
        <v>0.14000000000000001</v>
      </c>
      <c r="O440">
        <f t="shared" si="25"/>
        <v>28</v>
      </c>
      <c r="P440" t="s">
        <v>181</v>
      </c>
      <c r="Q440" t="s">
        <v>755</v>
      </c>
      <c r="R440" s="4">
        <v>5.2499999999999998E-2</v>
      </c>
      <c r="S440" t="s">
        <v>181</v>
      </c>
      <c r="T440" t="s">
        <v>182</v>
      </c>
      <c r="U440" s="2">
        <v>0.01</v>
      </c>
      <c r="V440" t="s">
        <v>444</v>
      </c>
    </row>
    <row r="441" spans="1:22" x14ac:dyDescent="0.25">
      <c r="A441">
        <v>2019352254</v>
      </c>
      <c r="B441" t="s">
        <v>399</v>
      </c>
      <c r="C441" t="s">
        <v>400</v>
      </c>
      <c r="D441" t="str">
        <f t="shared" si="24"/>
        <v>BRITTANY FRISHKORN</v>
      </c>
      <c r="E441" t="s">
        <v>189</v>
      </c>
      <c r="F441" t="s">
        <v>92</v>
      </c>
      <c r="G441" t="s">
        <v>93</v>
      </c>
      <c r="H441">
        <v>19278370</v>
      </c>
      <c r="I441" t="s">
        <v>395</v>
      </c>
      <c r="J441" t="s">
        <v>396</v>
      </c>
      <c r="K441" t="str">
        <f t="shared" si="26"/>
        <v>ANNE MARIE KOZACHECK</v>
      </c>
      <c r="L441" s="1">
        <v>45120</v>
      </c>
      <c r="M441" s="1">
        <v>45974</v>
      </c>
      <c r="N441" s="2">
        <v>49.98</v>
      </c>
      <c r="O441">
        <f t="shared" si="25"/>
        <v>28</v>
      </c>
      <c r="P441" t="s">
        <v>181</v>
      </c>
      <c r="Q441" t="s">
        <v>755</v>
      </c>
      <c r="R441" s="3">
        <v>0.06</v>
      </c>
      <c r="S441" t="s">
        <v>181</v>
      </c>
      <c r="T441" t="s">
        <v>182</v>
      </c>
      <c r="U441" s="2">
        <v>3</v>
      </c>
      <c r="V441" t="s">
        <v>93</v>
      </c>
    </row>
    <row r="442" spans="1:22" x14ac:dyDescent="0.25">
      <c r="A442">
        <v>2019319907</v>
      </c>
      <c r="B442" t="s">
        <v>594</v>
      </c>
      <c r="C442" t="s">
        <v>265</v>
      </c>
      <c r="D442" t="str">
        <f t="shared" si="24"/>
        <v>CONNIE HAZEN</v>
      </c>
      <c r="E442" t="s">
        <v>130</v>
      </c>
      <c r="F442" t="s">
        <v>116</v>
      </c>
      <c r="G442" t="s">
        <v>120</v>
      </c>
      <c r="H442">
        <v>8307933</v>
      </c>
      <c r="I442" t="s">
        <v>260</v>
      </c>
      <c r="J442" t="s">
        <v>261</v>
      </c>
      <c r="K442" t="str">
        <f t="shared" si="26"/>
        <v>GREGORY TEIPEL</v>
      </c>
      <c r="L442" s="1">
        <v>45118</v>
      </c>
      <c r="M442" s="1">
        <v>45972</v>
      </c>
      <c r="N442" s="2">
        <v>32.58</v>
      </c>
      <c r="O442">
        <f t="shared" si="25"/>
        <v>28</v>
      </c>
      <c r="P442" t="s">
        <v>181</v>
      </c>
      <c r="Q442" t="s">
        <v>755</v>
      </c>
      <c r="R442" s="3">
        <v>0.1</v>
      </c>
      <c r="S442" t="s">
        <v>181</v>
      </c>
      <c r="T442" t="s">
        <v>182</v>
      </c>
      <c r="U442" s="2">
        <v>3.26</v>
      </c>
      <c r="V442" t="s">
        <v>120</v>
      </c>
    </row>
    <row r="443" spans="1:22" x14ac:dyDescent="0.25">
      <c r="A443">
        <v>2018351025</v>
      </c>
      <c r="B443" t="s">
        <v>593</v>
      </c>
      <c r="C443" t="s">
        <v>161</v>
      </c>
      <c r="D443" t="str">
        <f t="shared" si="24"/>
        <v>JACOB PHELPS</v>
      </c>
      <c r="E443" t="s">
        <v>185</v>
      </c>
      <c r="F443" t="s">
        <v>116</v>
      </c>
      <c r="G443" t="s">
        <v>120</v>
      </c>
      <c r="H443">
        <v>8307933</v>
      </c>
      <c r="I443" t="s">
        <v>260</v>
      </c>
      <c r="J443" t="s">
        <v>261</v>
      </c>
      <c r="K443" t="str">
        <f t="shared" si="26"/>
        <v>GREGORY TEIPEL</v>
      </c>
      <c r="L443" s="1">
        <v>45030</v>
      </c>
      <c r="M443" s="1">
        <v>45975</v>
      </c>
      <c r="N443" s="2">
        <v>29.25</v>
      </c>
      <c r="O443">
        <f t="shared" si="25"/>
        <v>31</v>
      </c>
      <c r="P443" t="s">
        <v>181</v>
      </c>
      <c r="Q443" t="s">
        <v>755</v>
      </c>
      <c r="R443" s="3">
        <v>0.1</v>
      </c>
      <c r="S443" t="s">
        <v>181</v>
      </c>
      <c r="T443" t="s">
        <v>182</v>
      </c>
      <c r="U443" s="2">
        <v>2.92</v>
      </c>
      <c r="V443" t="s">
        <v>120</v>
      </c>
    </row>
    <row r="444" spans="1:22" x14ac:dyDescent="0.25">
      <c r="A444">
        <v>2017630350</v>
      </c>
      <c r="B444" t="s">
        <v>592</v>
      </c>
      <c r="C444" t="s">
        <v>492</v>
      </c>
      <c r="D444" t="str">
        <f t="shared" si="24"/>
        <v>SUSAN HIGGINS</v>
      </c>
      <c r="E444" t="s">
        <v>52</v>
      </c>
      <c r="F444" t="s">
        <v>116</v>
      </c>
      <c r="G444" t="s">
        <v>125</v>
      </c>
      <c r="H444">
        <v>20436896</v>
      </c>
      <c r="I444" t="s">
        <v>55</v>
      </c>
      <c r="J444" t="s">
        <v>178</v>
      </c>
      <c r="K444" t="str">
        <f t="shared" si="26"/>
        <v>KATELENN CALTAGIRONE</v>
      </c>
      <c r="L444" s="1">
        <v>45001</v>
      </c>
      <c r="M444" s="1">
        <v>45977</v>
      </c>
      <c r="N444" s="2">
        <v>140.25</v>
      </c>
      <c r="O444">
        <f t="shared" si="25"/>
        <v>32</v>
      </c>
      <c r="P444" t="s">
        <v>181</v>
      </c>
      <c r="Q444" t="s">
        <v>755</v>
      </c>
      <c r="R444" s="3">
        <v>0.15</v>
      </c>
      <c r="S444" t="s">
        <v>181</v>
      </c>
      <c r="T444" t="s">
        <v>182</v>
      </c>
      <c r="U444" s="2">
        <v>21.04</v>
      </c>
      <c r="V444" t="s">
        <v>125</v>
      </c>
    </row>
    <row r="445" spans="1:22" x14ac:dyDescent="0.25">
      <c r="A445">
        <v>2017683724</v>
      </c>
      <c r="B445" t="s">
        <v>397</v>
      </c>
      <c r="C445" t="s">
        <v>398</v>
      </c>
      <c r="D445" t="str">
        <f t="shared" si="24"/>
        <v>ARTHUR CARLSON</v>
      </c>
      <c r="E445" t="s">
        <v>225</v>
      </c>
      <c r="F445" t="s">
        <v>116</v>
      </c>
      <c r="G445" t="s">
        <v>117</v>
      </c>
      <c r="H445">
        <v>20436896</v>
      </c>
      <c r="I445" t="s">
        <v>55</v>
      </c>
      <c r="J445" t="s">
        <v>178</v>
      </c>
      <c r="K445" t="str">
        <f t="shared" si="26"/>
        <v>KATELENN CALTAGIRONE</v>
      </c>
      <c r="L445" s="1">
        <v>44974</v>
      </c>
      <c r="M445" s="1">
        <v>45978</v>
      </c>
      <c r="N445" s="2">
        <v>25.73</v>
      </c>
      <c r="O445">
        <f t="shared" si="25"/>
        <v>33</v>
      </c>
      <c r="P445" t="s">
        <v>181</v>
      </c>
      <c r="Q445" t="s">
        <v>755</v>
      </c>
      <c r="R445" s="3">
        <v>0.15</v>
      </c>
      <c r="S445" t="s">
        <v>181</v>
      </c>
      <c r="T445" t="s">
        <v>182</v>
      </c>
      <c r="U445" s="2">
        <v>3.86</v>
      </c>
      <c r="V445" t="s">
        <v>591</v>
      </c>
    </row>
    <row r="446" spans="1:22" x14ac:dyDescent="0.25">
      <c r="A446">
        <v>2017683726</v>
      </c>
      <c r="B446" t="s">
        <v>397</v>
      </c>
      <c r="C446" t="s">
        <v>398</v>
      </c>
      <c r="D446" t="str">
        <f t="shared" si="24"/>
        <v>ARTHUR CARLSON</v>
      </c>
      <c r="E446" t="s">
        <v>225</v>
      </c>
      <c r="F446" t="s">
        <v>92</v>
      </c>
      <c r="G446" t="s">
        <v>93</v>
      </c>
      <c r="H446">
        <v>20436896</v>
      </c>
      <c r="I446" t="s">
        <v>55</v>
      </c>
      <c r="J446" t="s">
        <v>178</v>
      </c>
      <c r="K446" t="str">
        <f t="shared" si="26"/>
        <v>KATELENN CALTAGIRONE</v>
      </c>
      <c r="L446" s="1">
        <v>44974</v>
      </c>
      <c r="M446" s="1">
        <v>45978</v>
      </c>
      <c r="N446" s="2">
        <v>31.88</v>
      </c>
      <c r="O446">
        <f t="shared" si="25"/>
        <v>33</v>
      </c>
      <c r="P446" t="s">
        <v>181</v>
      </c>
      <c r="Q446" t="s">
        <v>755</v>
      </c>
      <c r="R446" s="3">
        <v>0.06</v>
      </c>
      <c r="S446" t="s">
        <v>181</v>
      </c>
      <c r="T446" t="s">
        <v>182</v>
      </c>
      <c r="U446" s="2">
        <v>1.91</v>
      </c>
      <c r="V446" t="s">
        <v>93</v>
      </c>
    </row>
    <row r="447" spans="1:22" x14ac:dyDescent="0.25">
      <c r="A447">
        <v>2017242798</v>
      </c>
      <c r="B447" t="s">
        <v>441</v>
      </c>
      <c r="C447" t="s">
        <v>442</v>
      </c>
      <c r="D447" t="str">
        <f t="shared" si="24"/>
        <v>BONNI STEPHENSON</v>
      </c>
      <c r="E447" t="s">
        <v>225</v>
      </c>
      <c r="F447" t="s">
        <v>443</v>
      </c>
      <c r="G447" t="s">
        <v>444</v>
      </c>
      <c r="H447">
        <v>9079571</v>
      </c>
      <c r="I447" t="s">
        <v>222</v>
      </c>
      <c r="J447" t="s">
        <v>223</v>
      </c>
      <c r="K447" t="str">
        <f t="shared" ref="K447:K450" si="27">CONCATENATE(J447, " ",I447)</f>
        <v>ADAM RICHTER</v>
      </c>
      <c r="L447" s="1">
        <v>44930</v>
      </c>
      <c r="M447" s="1">
        <v>45965</v>
      </c>
      <c r="N447" s="2">
        <v>0.78</v>
      </c>
      <c r="O447">
        <f t="shared" si="25"/>
        <v>34</v>
      </c>
      <c r="P447" t="s">
        <v>181</v>
      </c>
      <c r="Q447" t="s">
        <v>755</v>
      </c>
      <c r="R447" s="4">
        <v>5.2499999999999998E-2</v>
      </c>
      <c r="S447" t="s">
        <v>181</v>
      </c>
      <c r="T447" t="s">
        <v>182</v>
      </c>
      <c r="U447" s="2">
        <v>0.04</v>
      </c>
      <c r="V447" t="s">
        <v>444</v>
      </c>
    </row>
    <row r="448" spans="1:22" x14ac:dyDescent="0.25">
      <c r="A448">
        <v>2017278501</v>
      </c>
      <c r="B448" t="s">
        <v>240</v>
      </c>
      <c r="C448" t="s">
        <v>445</v>
      </c>
      <c r="D448" t="str">
        <f t="shared" si="24"/>
        <v>LARRY ELLIS</v>
      </c>
      <c r="E448" t="s">
        <v>189</v>
      </c>
      <c r="F448" t="s">
        <v>443</v>
      </c>
      <c r="G448" t="s">
        <v>444</v>
      </c>
      <c r="H448">
        <v>15278437</v>
      </c>
      <c r="I448" t="s">
        <v>446</v>
      </c>
      <c r="J448" t="s">
        <v>327</v>
      </c>
      <c r="K448" t="str">
        <f t="shared" si="27"/>
        <v>JASON HOFFMANN</v>
      </c>
      <c r="L448" s="1">
        <v>44932</v>
      </c>
      <c r="M448" s="1">
        <v>45967</v>
      </c>
      <c r="N448" s="2">
        <v>48.22</v>
      </c>
      <c r="O448">
        <f t="shared" si="25"/>
        <v>34</v>
      </c>
      <c r="P448" t="s">
        <v>181</v>
      </c>
      <c r="Q448" t="s">
        <v>755</v>
      </c>
      <c r="R448" s="4">
        <v>5.2499999999999998E-2</v>
      </c>
      <c r="S448" t="s">
        <v>181</v>
      </c>
      <c r="T448" t="s">
        <v>182</v>
      </c>
      <c r="U448" s="2">
        <v>2.5299999999999998</v>
      </c>
      <c r="V448" t="s">
        <v>444</v>
      </c>
    </row>
    <row r="449" spans="1:22" x14ac:dyDescent="0.25">
      <c r="A449">
        <v>2017105567</v>
      </c>
      <c r="B449" t="s">
        <v>393</v>
      </c>
      <c r="C449" t="s">
        <v>394</v>
      </c>
      <c r="D449" t="str">
        <f t="shared" si="24"/>
        <v>BREEA GOVENAR</v>
      </c>
      <c r="E449" t="s">
        <v>189</v>
      </c>
      <c r="F449" t="s">
        <v>92</v>
      </c>
      <c r="G449" t="s">
        <v>93</v>
      </c>
      <c r="H449">
        <v>19278370</v>
      </c>
      <c r="I449" t="s">
        <v>395</v>
      </c>
      <c r="J449" t="s">
        <v>396</v>
      </c>
      <c r="K449" t="str">
        <f t="shared" si="27"/>
        <v>ANNE MARIE KOZACHECK</v>
      </c>
      <c r="L449" s="1">
        <v>44911</v>
      </c>
      <c r="M449" s="1">
        <v>45977</v>
      </c>
      <c r="N449" s="2">
        <v>101.58</v>
      </c>
      <c r="O449">
        <f t="shared" si="25"/>
        <v>35</v>
      </c>
      <c r="P449" t="s">
        <v>181</v>
      </c>
      <c r="Q449" t="s">
        <v>755</v>
      </c>
      <c r="R449" s="3">
        <v>0.06</v>
      </c>
      <c r="S449" t="s">
        <v>181</v>
      </c>
      <c r="T449" t="s">
        <v>182</v>
      </c>
      <c r="U449" s="2">
        <v>6.09</v>
      </c>
      <c r="V449" t="s">
        <v>93</v>
      </c>
    </row>
    <row r="450" spans="1:22" x14ac:dyDescent="0.25">
      <c r="A450">
        <v>2016819082</v>
      </c>
      <c r="B450" t="s">
        <v>589</v>
      </c>
      <c r="C450" t="s">
        <v>590</v>
      </c>
      <c r="D450" t="str">
        <f t="shared" si="24"/>
        <v>AMATA BROMUND</v>
      </c>
      <c r="E450" t="s">
        <v>52</v>
      </c>
      <c r="F450" t="s">
        <v>116</v>
      </c>
      <c r="G450" t="s">
        <v>117</v>
      </c>
      <c r="H450">
        <v>20436896</v>
      </c>
      <c r="I450" t="s">
        <v>55</v>
      </c>
      <c r="J450" t="s">
        <v>178</v>
      </c>
      <c r="K450" t="str">
        <f t="shared" si="27"/>
        <v>KATELENN CALTAGIRONE</v>
      </c>
      <c r="L450" s="1">
        <v>44880</v>
      </c>
      <c r="M450" s="1">
        <v>45976</v>
      </c>
      <c r="N450" s="2">
        <v>25.73</v>
      </c>
      <c r="O450">
        <f t="shared" si="25"/>
        <v>36</v>
      </c>
      <c r="P450" t="s">
        <v>181</v>
      </c>
      <c r="Q450" t="s">
        <v>755</v>
      </c>
      <c r="R450" s="3">
        <v>0.15</v>
      </c>
      <c r="S450" t="s">
        <v>181</v>
      </c>
      <c r="T450" t="s">
        <v>182</v>
      </c>
      <c r="U450" s="2">
        <v>3.86</v>
      </c>
      <c r="V450" t="s">
        <v>591</v>
      </c>
    </row>
  </sheetData>
  <sortState xmlns:xlrd2="http://schemas.microsoft.com/office/spreadsheetml/2017/richdata2" ref="A2:BB450">
    <sortCondition sortBy="cellColor" ref="A2:A450" dxfId="0"/>
    <sortCondition ref="O2:O45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A93D-12B4-474A-80E9-D0EEB68DA039}">
  <dimension ref="A1:AV53"/>
  <sheetViews>
    <sheetView workbookViewId="0">
      <selection activeCell="J13" sqref="J13"/>
    </sheetView>
  </sheetViews>
  <sheetFormatPr defaultRowHeight="15" x14ac:dyDescent="0.25"/>
  <cols>
    <col min="4" max="4" width="11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45943</v>
      </c>
      <c r="B2" t="s">
        <v>48</v>
      </c>
      <c r="C2">
        <v>649163</v>
      </c>
      <c r="D2">
        <v>2016921674</v>
      </c>
      <c r="E2" t="s">
        <v>173</v>
      </c>
      <c r="F2" t="s">
        <v>174</v>
      </c>
      <c r="G2" t="s">
        <v>51</v>
      </c>
      <c r="H2" t="s">
        <v>175</v>
      </c>
      <c r="I2" t="s">
        <v>176</v>
      </c>
      <c r="J2" t="s">
        <v>177</v>
      </c>
      <c r="K2">
        <v>649793</v>
      </c>
      <c r="L2" t="s">
        <v>55</v>
      </c>
      <c r="M2" t="s">
        <v>178</v>
      </c>
      <c r="N2" t="s">
        <v>179</v>
      </c>
      <c r="O2" s="1">
        <v>44927</v>
      </c>
      <c r="P2" s="1">
        <v>45936</v>
      </c>
      <c r="Q2" s="1">
        <v>45962</v>
      </c>
      <c r="R2" s="2">
        <v>-52.69</v>
      </c>
      <c r="S2">
        <v>1</v>
      </c>
      <c r="T2" t="s">
        <v>58</v>
      </c>
      <c r="U2" t="s">
        <v>180</v>
      </c>
      <c r="V2" s="4">
        <v>6.5000000000000002E-2</v>
      </c>
      <c r="W2" s="2">
        <v>0</v>
      </c>
      <c r="X2">
        <v>-1</v>
      </c>
      <c r="Y2" t="s">
        <v>181</v>
      </c>
      <c r="Z2" t="s">
        <v>182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-3.42</v>
      </c>
      <c r="AN2" s="2">
        <v>-3.42</v>
      </c>
      <c r="AO2" s="2">
        <v>0</v>
      </c>
      <c r="AP2" s="2">
        <v>0</v>
      </c>
      <c r="AQ2" s="2">
        <v>0</v>
      </c>
    </row>
    <row r="3" spans="1:48" x14ac:dyDescent="0.25">
      <c r="A3" s="1">
        <v>45943</v>
      </c>
      <c r="B3" t="s">
        <v>48</v>
      </c>
      <c r="C3">
        <v>649163</v>
      </c>
      <c r="D3">
        <v>2024573704</v>
      </c>
      <c r="E3" t="s">
        <v>226</v>
      </c>
      <c r="F3" t="s">
        <v>227</v>
      </c>
      <c r="G3" t="s">
        <v>51</v>
      </c>
      <c r="H3" t="s">
        <v>228</v>
      </c>
      <c r="I3" t="s">
        <v>53</v>
      </c>
      <c r="J3" t="s">
        <v>70</v>
      </c>
      <c r="K3">
        <v>767312</v>
      </c>
      <c r="L3" t="s">
        <v>147</v>
      </c>
      <c r="M3" t="s">
        <v>148</v>
      </c>
      <c r="N3" t="s">
        <v>179</v>
      </c>
      <c r="O3" s="1">
        <v>45536</v>
      </c>
      <c r="P3" s="1">
        <v>45936</v>
      </c>
      <c r="Q3" s="1">
        <v>45962</v>
      </c>
      <c r="R3" s="2">
        <v>-97.58</v>
      </c>
      <c r="S3">
        <v>1</v>
      </c>
      <c r="T3" t="s">
        <v>58</v>
      </c>
      <c r="U3" t="s">
        <v>180</v>
      </c>
      <c r="V3" s="3">
        <v>0.1</v>
      </c>
      <c r="W3" s="2">
        <v>0</v>
      </c>
      <c r="X3">
        <v>-1</v>
      </c>
      <c r="Y3" t="s">
        <v>181</v>
      </c>
      <c r="Z3" t="s">
        <v>182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-9.76</v>
      </c>
      <c r="AN3" s="2">
        <v>-9.76</v>
      </c>
      <c r="AO3" s="2">
        <v>0</v>
      </c>
      <c r="AP3" s="2">
        <v>0</v>
      </c>
      <c r="AQ3" s="2">
        <v>0</v>
      </c>
    </row>
    <row r="4" spans="1:48" x14ac:dyDescent="0.25">
      <c r="A4" s="1">
        <v>45943</v>
      </c>
      <c r="B4" t="s">
        <v>48</v>
      </c>
      <c r="C4">
        <v>649163</v>
      </c>
      <c r="D4">
        <v>2029177109</v>
      </c>
      <c r="E4" t="s">
        <v>282</v>
      </c>
      <c r="F4" t="s">
        <v>283</v>
      </c>
      <c r="G4" t="s">
        <v>51</v>
      </c>
      <c r="H4" t="s">
        <v>78</v>
      </c>
      <c r="I4" t="s">
        <v>53</v>
      </c>
      <c r="J4" t="s">
        <v>54</v>
      </c>
      <c r="K4">
        <v>820873</v>
      </c>
      <c r="L4" t="s">
        <v>284</v>
      </c>
      <c r="M4" t="s">
        <v>285</v>
      </c>
      <c r="N4" t="s">
        <v>179</v>
      </c>
      <c r="O4" s="1">
        <v>45809</v>
      </c>
      <c r="P4" s="1">
        <v>45943</v>
      </c>
      <c r="Q4" s="1">
        <v>45962</v>
      </c>
      <c r="R4" s="2">
        <v>-72.73</v>
      </c>
      <c r="S4">
        <v>1</v>
      </c>
      <c r="T4" t="s">
        <v>58</v>
      </c>
      <c r="U4" t="s">
        <v>180</v>
      </c>
      <c r="V4" s="3">
        <v>0.75</v>
      </c>
      <c r="W4" s="2">
        <v>0</v>
      </c>
      <c r="X4">
        <v>-1</v>
      </c>
      <c r="Y4" t="s">
        <v>60</v>
      </c>
      <c r="Z4" t="s">
        <v>182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-54.55</v>
      </c>
      <c r="AN4" s="2">
        <v>-54.55</v>
      </c>
      <c r="AO4" s="2">
        <v>0</v>
      </c>
      <c r="AP4" s="2">
        <v>0</v>
      </c>
      <c r="AQ4" s="2">
        <v>0</v>
      </c>
    </row>
    <row r="5" spans="1:48" x14ac:dyDescent="0.25">
      <c r="A5" s="1">
        <v>45943</v>
      </c>
      <c r="B5" t="s">
        <v>48</v>
      </c>
      <c r="C5">
        <v>649163</v>
      </c>
      <c r="D5">
        <v>2029177109</v>
      </c>
      <c r="E5" t="s">
        <v>282</v>
      </c>
      <c r="F5" t="s">
        <v>283</v>
      </c>
      <c r="G5" t="s">
        <v>51</v>
      </c>
      <c r="H5" t="s">
        <v>78</v>
      </c>
      <c r="I5" t="s">
        <v>53</v>
      </c>
      <c r="J5" t="s">
        <v>54</v>
      </c>
      <c r="K5">
        <v>820873</v>
      </c>
      <c r="L5" t="s">
        <v>284</v>
      </c>
      <c r="M5" t="s">
        <v>285</v>
      </c>
      <c r="N5" t="s">
        <v>179</v>
      </c>
      <c r="O5" s="1">
        <v>45809</v>
      </c>
      <c r="P5" s="1">
        <v>45943</v>
      </c>
      <c r="Q5" s="1">
        <v>45962</v>
      </c>
      <c r="R5" s="2">
        <v>-72.73</v>
      </c>
      <c r="S5">
        <v>1</v>
      </c>
      <c r="T5" t="s">
        <v>58</v>
      </c>
      <c r="U5" t="s">
        <v>180</v>
      </c>
      <c r="V5" s="3">
        <v>0.75</v>
      </c>
      <c r="W5" s="2">
        <v>0</v>
      </c>
      <c r="X5">
        <v>-1</v>
      </c>
      <c r="Y5" t="s">
        <v>60</v>
      </c>
      <c r="Z5" t="s">
        <v>182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-54.55</v>
      </c>
      <c r="AN5" s="2">
        <v>-54.55</v>
      </c>
      <c r="AO5" s="2">
        <v>0</v>
      </c>
      <c r="AP5" s="2">
        <v>0</v>
      </c>
      <c r="AQ5" s="2">
        <v>0</v>
      </c>
    </row>
    <row r="6" spans="1:48" x14ac:dyDescent="0.25">
      <c r="A6" s="1">
        <v>45943</v>
      </c>
      <c r="B6" t="s">
        <v>48</v>
      </c>
      <c r="C6">
        <v>649163</v>
      </c>
      <c r="D6">
        <v>2029292997</v>
      </c>
      <c r="E6" t="s">
        <v>289</v>
      </c>
      <c r="F6" t="s">
        <v>290</v>
      </c>
      <c r="G6" t="s">
        <v>51</v>
      </c>
      <c r="H6" t="s">
        <v>91</v>
      </c>
      <c r="I6" t="s">
        <v>53</v>
      </c>
      <c r="J6" t="s">
        <v>54</v>
      </c>
      <c r="K6">
        <v>856824</v>
      </c>
      <c r="L6" t="s">
        <v>156</v>
      </c>
      <c r="M6" t="s">
        <v>157</v>
      </c>
      <c r="N6" t="s">
        <v>179</v>
      </c>
      <c r="O6" s="1">
        <v>45839</v>
      </c>
      <c r="P6" s="1">
        <v>45936</v>
      </c>
      <c r="Q6" s="1">
        <v>45962</v>
      </c>
      <c r="R6" s="2">
        <v>-56.1</v>
      </c>
      <c r="S6">
        <v>1</v>
      </c>
      <c r="T6" t="s">
        <v>58</v>
      </c>
      <c r="U6" t="s">
        <v>180</v>
      </c>
      <c r="V6" s="3">
        <v>0.75</v>
      </c>
      <c r="W6" s="2">
        <v>0</v>
      </c>
      <c r="X6">
        <v>-1</v>
      </c>
      <c r="Y6" t="s">
        <v>60</v>
      </c>
      <c r="Z6" t="s">
        <v>182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-42.08</v>
      </c>
      <c r="AN6" s="2">
        <v>-42.08</v>
      </c>
      <c r="AO6" s="2">
        <v>0</v>
      </c>
      <c r="AP6" s="2">
        <v>0</v>
      </c>
      <c r="AQ6" s="2">
        <v>0</v>
      </c>
    </row>
    <row r="7" spans="1:48" x14ac:dyDescent="0.25">
      <c r="A7" s="1">
        <v>45943</v>
      </c>
      <c r="B7" t="s">
        <v>48</v>
      </c>
      <c r="C7">
        <v>649163</v>
      </c>
      <c r="D7">
        <v>2030413755</v>
      </c>
      <c r="E7" t="s">
        <v>321</v>
      </c>
      <c r="F7" t="s">
        <v>322</v>
      </c>
      <c r="G7" t="s">
        <v>51</v>
      </c>
      <c r="H7" t="s">
        <v>64</v>
      </c>
      <c r="I7" t="s">
        <v>53</v>
      </c>
      <c r="J7" t="s">
        <v>70</v>
      </c>
      <c r="K7">
        <v>753748</v>
      </c>
      <c r="L7" t="s">
        <v>168</v>
      </c>
      <c r="M7" t="s">
        <v>169</v>
      </c>
      <c r="N7" t="s">
        <v>179</v>
      </c>
      <c r="O7" s="1">
        <v>45901</v>
      </c>
      <c r="P7" s="1">
        <v>45936</v>
      </c>
      <c r="Q7" s="1">
        <v>45962</v>
      </c>
      <c r="R7" s="2">
        <v>-136.16</v>
      </c>
      <c r="S7">
        <v>1</v>
      </c>
      <c r="T7" t="s">
        <v>58</v>
      </c>
      <c r="U7" t="s">
        <v>180</v>
      </c>
      <c r="V7" s="3">
        <v>0.9</v>
      </c>
      <c r="W7" s="2">
        <v>0</v>
      </c>
      <c r="X7">
        <v>-1</v>
      </c>
      <c r="Y7" t="s">
        <v>60</v>
      </c>
      <c r="Z7" t="s">
        <v>182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-122.54</v>
      </c>
      <c r="AN7" s="2">
        <v>-122.54</v>
      </c>
      <c r="AO7" s="2">
        <v>0</v>
      </c>
      <c r="AP7" s="2">
        <v>0</v>
      </c>
      <c r="AQ7" s="2">
        <v>0</v>
      </c>
    </row>
    <row r="8" spans="1:48" x14ac:dyDescent="0.25">
      <c r="A8" s="1">
        <v>45943</v>
      </c>
      <c r="B8" t="s">
        <v>48</v>
      </c>
      <c r="C8">
        <v>649163</v>
      </c>
      <c r="D8">
        <v>2030772793</v>
      </c>
      <c r="E8" t="s">
        <v>192</v>
      </c>
      <c r="F8" t="s">
        <v>336</v>
      </c>
      <c r="G8" t="s">
        <v>51</v>
      </c>
      <c r="H8" t="s">
        <v>337</v>
      </c>
      <c r="I8" t="s">
        <v>53</v>
      </c>
      <c r="J8" t="s">
        <v>54</v>
      </c>
      <c r="K8">
        <v>856163</v>
      </c>
      <c r="L8" t="s">
        <v>65</v>
      </c>
      <c r="M8" t="s">
        <v>81</v>
      </c>
      <c r="N8" t="s">
        <v>179</v>
      </c>
      <c r="O8" s="1">
        <v>45901</v>
      </c>
      <c r="P8" s="1">
        <v>45943</v>
      </c>
      <c r="Q8" s="1">
        <v>45962</v>
      </c>
      <c r="R8" s="2">
        <v>-106.53</v>
      </c>
      <c r="S8">
        <v>1</v>
      </c>
      <c r="T8" t="s">
        <v>58</v>
      </c>
      <c r="U8" t="s">
        <v>180</v>
      </c>
      <c r="V8" s="3">
        <v>0.75</v>
      </c>
      <c r="W8" s="2">
        <v>0</v>
      </c>
      <c r="X8">
        <v>-1</v>
      </c>
      <c r="Y8" t="s">
        <v>60</v>
      </c>
      <c r="Z8" t="s">
        <v>182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-79.900000000000006</v>
      </c>
      <c r="AN8" s="2">
        <v>-79.900000000000006</v>
      </c>
      <c r="AO8" s="2">
        <v>0</v>
      </c>
      <c r="AP8" s="2">
        <v>0</v>
      </c>
      <c r="AQ8" s="2">
        <v>0</v>
      </c>
    </row>
    <row r="9" spans="1:48" x14ac:dyDescent="0.25">
      <c r="A9" s="1">
        <v>45943</v>
      </c>
      <c r="B9" t="s">
        <v>48</v>
      </c>
      <c r="C9">
        <v>649163</v>
      </c>
      <c r="D9">
        <v>2024680809</v>
      </c>
      <c r="E9" t="s">
        <v>360</v>
      </c>
      <c r="F9" t="s">
        <v>361</v>
      </c>
      <c r="G9" t="s">
        <v>51</v>
      </c>
      <c r="H9" t="s">
        <v>91</v>
      </c>
      <c r="I9" t="s">
        <v>79</v>
      </c>
      <c r="J9" t="s">
        <v>85</v>
      </c>
      <c r="K9">
        <v>767312</v>
      </c>
      <c r="L9" t="s">
        <v>147</v>
      </c>
      <c r="M9" t="s">
        <v>148</v>
      </c>
      <c r="N9" t="s">
        <v>179</v>
      </c>
      <c r="O9" s="1">
        <v>45575</v>
      </c>
      <c r="P9" s="1">
        <v>45943</v>
      </c>
      <c r="Q9" s="1">
        <v>45971</v>
      </c>
      <c r="R9" s="2">
        <v>-15</v>
      </c>
      <c r="S9">
        <v>1</v>
      </c>
      <c r="T9" t="s">
        <v>58</v>
      </c>
      <c r="U9" t="s">
        <v>180</v>
      </c>
      <c r="V9" s="3">
        <v>0.28999999999999998</v>
      </c>
      <c r="W9" s="2">
        <v>0</v>
      </c>
      <c r="X9">
        <v>-1</v>
      </c>
      <c r="Y9" t="s">
        <v>181</v>
      </c>
      <c r="Z9" t="s">
        <v>182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-4.3499999999999996</v>
      </c>
      <c r="AN9" s="2">
        <v>-4.3499999999999996</v>
      </c>
      <c r="AO9" s="2">
        <v>0</v>
      </c>
      <c r="AP9" s="2">
        <v>0</v>
      </c>
      <c r="AQ9" s="2">
        <v>0</v>
      </c>
    </row>
    <row r="10" spans="1:48" x14ac:dyDescent="0.25">
      <c r="A10" s="1">
        <v>45943</v>
      </c>
      <c r="B10" t="s">
        <v>48</v>
      </c>
      <c r="C10">
        <v>649163</v>
      </c>
      <c r="D10">
        <v>2029177110</v>
      </c>
      <c r="E10" t="s">
        <v>282</v>
      </c>
      <c r="F10" t="s">
        <v>283</v>
      </c>
      <c r="G10" t="s">
        <v>51</v>
      </c>
      <c r="H10" t="s">
        <v>78</v>
      </c>
      <c r="I10" t="s">
        <v>79</v>
      </c>
      <c r="J10" t="s">
        <v>350</v>
      </c>
      <c r="K10">
        <v>820873</v>
      </c>
      <c r="L10" t="s">
        <v>284</v>
      </c>
      <c r="M10" t="s">
        <v>285</v>
      </c>
      <c r="N10" t="s">
        <v>179</v>
      </c>
      <c r="O10" s="1">
        <v>45809</v>
      </c>
      <c r="P10" s="1">
        <v>45943</v>
      </c>
      <c r="Q10" s="1">
        <v>45962</v>
      </c>
      <c r="R10" s="2">
        <v>-15</v>
      </c>
      <c r="S10">
        <v>1</v>
      </c>
      <c r="T10" t="s">
        <v>58</v>
      </c>
      <c r="U10" t="s">
        <v>180</v>
      </c>
      <c r="V10" s="3">
        <v>0.38</v>
      </c>
      <c r="W10" s="2">
        <v>0</v>
      </c>
      <c r="X10">
        <v>-1</v>
      </c>
      <c r="Y10" t="s">
        <v>60</v>
      </c>
      <c r="Z10" t="s">
        <v>182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-5.7</v>
      </c>
      <c r="AN10" s="2">
        <v>-5.7</v>
      </c>
      <c r="AO10" s="2">
        <v>0</v>
      </c>
      <c r="AP10" s="2">
        <v>0</v>
      </c>
      <c r="AQ10" s="2">
        <v>0</v>
      </c>
    </row>
    <row r="11" spans="1:48" x14ac:dyDescent="0.25">
      <c r="A11" s="1">
        <v>45943</v>
      </c>
      <c r="B11" t="s">
        <v>48</v>
      </c>
      <c r="C11">
        <v>649163</v>
      </c>
      <c r="D11">
        <v>2029177110</v>
      </c>
      <c r="E11" t="s">
        <v>282</v>
      </c>
      <c r="F11" t="s">
        <v>283</v>
      </c>
      <c r="G11" t="s">
        <v>51</v>
      </c>
      <c r="H11" t="s">
        <v>78</v>
      </c>
      <c r="I11" t="s">
        <v>79</v>
      </c>
      <c r="J11" t="s">
        <v>350</v>
      </c>
      <c r="K11">
        <v>820873</v>
      </c>
      <c r="L11" t="s">
        <v>284</v>
      </c>
      <c r="M11" t="s">
        <v>285</v>
      </c>
      <c r="N11" t="s">
        <v>179</v>
      </c>
      <c r="O11" s="1">
        <v>45809</v>
      </c>
      <c r="P11" s="1">
        <v>45943</v>
      </c>
      <c r="Q11" s="1">
        <v>45962</v>
      </c>
      <c r="R11" s="2">
        <v>-15</v>
      </c>
      <c r="S11">
        <v>1</v>
      </c>
      <c r="T11" t="s">
        <v>58</v>
      </c>
      <c r="U11" t="s">
        <v>180</v>
      </c>
      <c r="V11" s="3">
        <v>0.38</v>
      </c>
      <c r="W11" s="2">
        <v>0</v>
      </c>
      <c r="X11">
        <v>-1</v>
      </c>
      <c r="Y11" t="s">
        <v>60</v>
      </c>
      <c r="Z11" t="s">
        <v>182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-5.7</v>
      </c>
      <c r="AN11" s="2">
        <v>-5.7</v>
      </c>
      <c r="AO11" s="2">
        <v>0</v>
      </c>
      <c r="AP11" s="2">
        <v>0</v>
      </c>
      <c r="AQ11" s="2">
        <v>0</v>
      </c>
    </row>
    <row r="12" spans="1:48" x14ac:dyDescent="0.25">
      <c r="A12" s="1">
        <v>45943</v>
      </c>
      <c r="B12" t="s">
        <v>48</v>
      </c>
      <c r="C12">
        <v>649163</v>
      </c>
      <c r="D12">
        <v>2030676913</v>
      </c>
      <c r="E12" t="s">
        <v>418</v>
      </c>
      <c r="F12" t="s">
        <v>419</v>
      </c>
      <c r="G12" t="s">
        <v>51</v>
      </c>
      <c r="H12" t="s">
        <v>185</v>
      </c>
      <c r="I12" t="s">
        <v>116</v>
      </c>
      <c r="J12" t="s">
        <v>125</v>
      </c>
      <c r="K12">
        <v>856824</v>
      </c>
      <c r="L12" t="s">
        <v>156</v>
      </c>
      <c r="M12" t="s">
        <v>157</v>
      </c>
      <c r="N12" t="s">
        <v>179</v>
      </c>
      <c r="O12" s="1">
        <v>45931</v>
      </c>
      <c r="P12" s="1">
        <v>45936</v>
      </c>
      <c r="Q12" s="1">
        <v>45962</v>
      </c>
      <c r="R12" s="2">
        <v>-159.80000000000001</v>
      </c>
      <c r="S12">
        <v>1</v>
      </c>
      <c r="T12" t="s">
        <v>58</v>
      </c>
      <c r="U12" t="s">
        <v>59</v>
      </c>
      <c r="V12" s="3">
        <v>0.7</v>
      </c>
      <c r="W12" s="2">
        <v>0</v>
      </c>
      <c r="X12">
        <v>-1</v>
      </c>
      <c r="Y12" t="s">
        <v>60</v>
      </c>
      <c r="Z12" t="s">
        <v>182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-111.86</v>
      </c>
      <c r="AN12" s="2">
        <v>-111.86</v>
      </c>
      <c r="AO12" s="2">
        <v>0</v>
      </c>
      <c r="AP12" s="2">
        <v>0</v>
      </c>
      <c r="AQ12" s="2">
        <v>0</v>
      </c>
    </row>
    <row r="13" spans="1:48" x14ac:dyDescent="0.25">
      <c r="A13" s="1">
        <v>45943</v>
      </c>
      <c r="B13" t="s">
        <v>48</v>
      </c>
      <c r="C13">
        <v>649163</v>
      </c>
      <c r="D13">
        <v>2030676914</v>
      </c>
      <c r="E13" t="s">
        <v>418</v>
      </c>
      <c r="F13" t="s">
        <v>419</v>
      </c>
      <c r="G13" t="s">
        <v>51</v>
      </c>
      <c r="H13" t="s">
        <v>185</v>
      </c>
      <c r="I13" t="s">
        <v>116</v>
      </c>
      <c r="J13" t="s">
        <v>120</v>
      </c>
      <c r="K13">
        <v>856824</v>
      </c>
      <c r="L13" t="s">
        <v>156</v>
      </c>
      <c r="M13" t="s">
        <v>157</v>
      </c>
      <c r="N13" t="s">
        <v>179</v>
      </c>
      <c r="O13" s="1">
        <v>45931</v>
      </c>
      <c r="P13" s="1">
        <v>45936</v>
      </c>
      <c r="Q13" s="1">
        <v>45962</v>
      </c>
      <c r="R13" s="2">
        <v>-77.099999999999994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-1</v>
      </c>
      <c r="Y13" t="s">
        <v>60</v>
      </c>
      <c r="Z13" t="s">
        <v>182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-69.39</v>
      </c>
      <c r="AN13" s="2">
        <v>-69.39</v>
      </c>
      <c r="AO13" s="2">
        <v>0</v>
      </c>
      <c r="AP13" s="2">
        <v>0</v>
      </c>
      <c r="AQ13" s="2">
        <v>0</v>
      </c>
    </row>
    <row r="14" spans="1:48" x14ac:dyDescent="0.25">
      <c r="A14" s="1">
        <v>45943</v>
      </c>
      <c r="B14" t="s">
        <v>48</v>
      </c>
      <c r="C14">
        <v>649163</v>
      </c>
      <c r="D14">
        <v>2030772792</v>
      </c>
      <c r="E14" t="s">
        <v>192</v>
      </c>
      <c r="F14" t="s">
        <v>336</v>
      </c>
      <c r="G14" t="s">
        <v>51</v>
      </c>
      <c r="H14" t="s">
        <v>337</v>
      </c>
      <c r="I14" t="s">
        <v>116</v>
      </c>
      <c r="J14" t="s">
        <v>125</v>
      </c>
      <c r="K14">
        <v>856163</v>
      </c>
      <c r="L14" t="s">
        <v>65</v>
      </c>
      <c r="M14" t="s">
        <v>81</v>
      </c>
      <c r="N14" t="s">
        <v>179</v>
      </c>
      <c r="O14" s="1">
        <v>45901</v>
      </c>
      <c r="P14" s="1">
        <v>45943</v>
      </c>
      <c r="Q14" s="1">
        <v>45962</v>
      </c>
      <c r="R14" s="2">
        <v>-48.27</v>
      </c>
      <c r="S14">
        <v>1</v>
      </c>
      <c r="T14" t="s">
        <v>58</v>
      </c>
      <c r="U14" t="s">
        <v>180</v>
      </c>
      <c r="V14" s="3">
        <v>0.7</v>
      </c>
      <c r="W14" s="2">
        <v>0</v>
      </c>
      <c r="X14">
        <v>-1</v>
      </c>
      <c r="Y14" t="s">
        <v>60</v>
      </c>
      <c r="Z14" t="s">
        <v>182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-33.79</v>
      </c>
      <c r="AN14" s="2">
        <v>-33.79</v>
      </c>
      <c r="AO14" s="2">
        <v>0</v>
      </c>
      <c r="AP14" s="2">
        <v>0</v>
      </c>
      <c r="AQ14" s="2">
        <v>0</v>
      </c>
    </row>
    <row r="15" spans="1:48" x14ac:dyDescent="0.25">
      <c r="A15" s="1">
        <v>45943</v>
      </c>
      <c r="B15" t="s">
        <v>48</v>
      </c>
      <c r="C15">
        <v>649163</v>
      </c>
      <c r="D15">
        <v>2031337038</v>
      </c>
      <c r="E15" t="s">
        <v>133</v>
      </c>
      <c r="F15" t="s">
        <v>134</v>
      </c>
      <c r="G15" t="s">
        <v>51</v>
      </c>
      <c r="H15" t="s">
        <v>78</v>
      </c>
      <c r="I15" t="s">
        <v>116</v>
      </c>
      <c r="J15" t="s">
        <v>125</v>
      </c>
      <c r="K15">
        <v>821015</v>
      </c>
      <c r="L15" t="s">
        <v>135</v>
      </c>
      <c r="M15" t="s">
        <v>136</v>
      </c>
      <c r="N15" t="s">
        <v>179</v>
      </c>
      <c r="O15" s="1">
        <v>45932</v>
      </c>
      <c r="P15" s="1">
        <v>45943</v>
      </c>
      <c r="Q15" s="1">
        <v>45963</v>
      </c>
      <c r="R15" s="2">
        <v>-145.41999999999999</v>
      </c>
      <c r="S15">
        <v>1</v>
      </c>
      <c r="T15" t="s">
        <v>58</v>
      </c>
      <c r="U15" t="s">
        <v>59</v>
      </c>
      <c r="V15" s="3">
        <v>0.7</v>
      </c>
      <c r="W15" s="2">
        <v>0</v>
      </c>
      <c r="X15">
        <v>-1</v>
      </c>
      <c r="Y15" t="s">
        <v>60</v>
      </c>
      <c r="Z15" t="s">
        <v>182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-101.79</v>
      </c>
      <c r="AN15" s="2">
        <v>-101.79</v>
      </c>
      <c r="AO15" s="2">
        <v>0</v>
      </c>
      <c r="AP15" s="2">
        <v>0</v>
      </c>
      <c r="AQ15" s="2">
        <v>0</v>
      </c>
    </row>
    <row r="16" spans="1:48" x14ac:dyDescent="0.25">
      <c r="A16" s="1">
        <v>45943</v>
      </c>
      <c r="B16" t="s">
        <v>48</v>
      </c>
      <c r="C16">
        <v>649163</v>
      </c>
      <c r="D16">
        <v>2023013394</v>
      </c>
      <c r="E16" t="s">
        <v>453</v>
      </c>
      <c r="F16" t="s">
        <v>454</v>
      </c>
      <c r="G16" t="s">
        <v>51</v>
      </c>
      <c r="H16" t="s">
        <v>189</v>
      </c>
      <c r="I16" t="s">
        <v>443</v>
      </c>
      <c r="J16" t="s">
        <v>444</v>
      </c>
      <c r="K16">
        <v>728134</v>
      </c>
      <c r="L16" t="s">
        <v>455</v>
      </c>
      <c r="M16" t="s">
        <v>456</v>
      </c>
      <c r="N16" t="s">
        <v>179</v>
      </c>
      <c r="O16" s="1">
        <v>45444</v>
      </c>
      <c r="P16" s="1">
        <v>45943</v>
      </c>
      <c r="Q16" s="1">
        <v>45962</v>
      </c>
      <c r="R16" s="2">
        <v>-28.17</v>
      </c>
      <c r="S16">
        <v>1</v>
      </c>
      <c r="T16" t="s">
        <v>58</v>
      </c>
      <c r="U16" t="s">
        <v>180</v>
      </c>
      <c r="V16" s="4">
        <v>5.2499999999999998E-2</v>
      </c>
      <c r="W16" s="2">
        <v>0</v>
      </c>
      <c r="X16">
        <v>-1</v>
      </c>
      <c r="Y16" t="s">
        <v>181</v>
      </c>
      <c r="Z16" t="s">
        <v>182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-1.48</v>
      </c>
      <c r="AN16" s="2">
        <v>-1.48</v>
      </c>
      <c r="AO16" s="2">
        <v>0</v>
      </c>
      <c r="AP16" s="2">
        <v>0</v>
      </c>
      <c r="AQ16" s="2">
        <v>0</v>
      </c>
    </row>
    <row r="17" spans="1:43" x14ac:dyDescent="0.25">
      <c r="A17" s="1">
        <v>45943</v>
      </c>
      <c r="B17" t="s">
        <v>48</v>
      </c>
      <c r="C17">
        <v>649163</v>
      </c>
      <c r="D17">
        <v>2026529011</v>
      </c>
      <c r="E17" t="s">
        <v>484</v>
      </c>
      <c r="F17" t="s">
        <v>485</v>
      </c>
      <c r="G17" t="s">
        <v>51</v>
      </c>
      <c r="H17" t="s">
        <v>78</v>
      </c>
      <c r="I17" t="s">
        <v>92</v>
      </c>
      <c r="J17" t="s">
        <v>93</v>
      </c>
      <c r="K17">
        <v>766747</v>
      </c>
      <c r="L17" t="s">
        <v>477</v>
      </c>
      <c r="M17" t="s">
        <v>159</v>
      </c>
      <c r="N17" t="s">
        <v>179</v>
      </c>
      <c r="O17" s="1">
        <v>45689</v>
      </c>
      <c r="P17" s="1">
        <v>45943</v>
      </c>
      <c r="Q17" s="1">
        <v>45962</v>
      </c>
      <c r="R17" s="2">
        <v>-79.63</v>
      </c>
      <c r="S17">
        <v>1</v>
      </c>
      <c r="T17" t="s">
        <v>58</v>
      </c>
      <c r="U17" t="s">
        <v>180</v>
      </c>
      <c r="V17" s="4">
        <v>0.375</v>
      </c>
      <c r="W17" s="2">
        <v>0</v>
      </c>
      <c r="X17">
        <v>-1</v>
      </c>
      <c r="Y17" t="s">
        <v>60</v>
      </c>
      <c r="Z17" t="s">
        <v>182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-29.86</v>
      </c>
      <c r="AN17" s="2">
        <v>-29.86</v>
      </c>
      <c r="AO17" s="2">
        <v>0</v>
      </c>
      <c r="AP17" s="2">
        <v>0</v>
      </c>
      <c r="AQ17" s="2">
        <v>0</v>
      </c>
    </row>
    <row r="18" spans="1:43" x14ac:dyDescent="0.25">
      <c r="A18" s="1">
        <v>45943</v>
      </c>
      <c r="B18" t="s">
        <v>48</v>
      </c>
      <c r="C18">
        <v>649163</v>
      </c>
      <c r="D18">
        <v>2026652335</v>
      </c>
      <c r="E18" t="s">
        <v>495</v>
      </c>
      <c r="F18" t="s">
        <v>496</v>
      </c>
      <c r="G18" t="s">
        <v>51</v>
      </c>
      <c r="H18" t="s">
        <v>78</v>
      </c>
      <c r="I18" t="s">
        <v>92</v>
      </c>
      <c r="J18" t="s">
        <v>93</v>
      </c>
      <c r="K18">
        <v>812782</v>
      </c>
      <c r="L18" t="s">
        <v>160</v>
      </c>
      <c r="M18" t="s">
        <v>161</v>
      </c>
      <c r="N18" t="s">
        <v>179</v>
      </c>
      <c r="O18" s="1">
        <v>45689</v>
      </c>
      <c r="P18" s="1">
        <v>45936</v>
      </c>
      <c r="Q18" s="1">
        <v>45962</v>
      </c>
      <c r="R18" s="2">
        <v>-142.13</v>
      </c>
      <c r="S18">
        <v>1</v>
      </c>
      <c r="T18" t="s">
        <v>58</v>
      </c>
      <c r="U18" t="s">
        <v>180</v>
      </c>
      <c r="V18" s="4">
        <v>0.375</v>
      </c>
      <c r="W18" s="2">
        <v>0</v>
      </c>
      <c r="X18">
        <v>-1</v>
      </c>
      <c r="Y18" t="s">
        <v>60</v>
      </c>
      <c r="Z18" t="s">
        <v>182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-53.3</v>
      </c>
      <c r="AN18" s="2">
        <v>-53.3</v>
      </c>
      <c r="AO18" s="2">
        <v>0</v>
      </c>
      <c r="AP18" s="2">
        <v>0</v>
      </c>
      <c r="AQ18" s="2">
        <v>0</v>
      </c>
    </row>
    <row r="19" spans="1:43" x14ac:dyDescent="0.25">
      <c r="A19" s="1">
        <v>45943</v>
      </c>
      <c r="B19" t="s">
        <v>48</v>
      </c>
      <c r="C19">
        <v>649163</v>
      </c>
      <c r="D19">
        <v>2030413756</v>
      </c>
      <c r="E19" t="s">
        <v>321</v>
      </c>
      <c r="F19" t="s">
        <v>322</v>
      </c>
      <c r="G19" t="s">
        <v>51</v>
      </c>
      <c r="H19" t="s">
        <v>64</v>
      </c>
      <c r="I19" t="s">
        <v>92</v>
      </c>
      <c r="J19" t="s">
        <v>93</v>
      </c>
      <c r="K19">
        <v>753748</v>
      </c>
      <c r="L19" t="s">
        <v>168</v>
      </c>
      <c r="M19" t="s">
        <v>169</v>
      </c>
      <c r="N19" t="s">
        <v>179</v>
      </c>
      <c r="O19" s="1">
        <v>45901</v>
      </c>
      <c r="P19" s="1">
        <v>45936</v>
      </c>
      <c r="Q19" s="1">
        <v>45962</v>
      </c>
      <c r="R19" s="2">
        <v>-59.62</v>
      </c>
      <c r="S19">
        <v>1</v>
      </c>
      <c r="T19" t="s">
        <v>58</v>
      </c>
      <c r="U19" t="s">
        <v>180</v>
      </c>
      <c r="V19" s="4">
        <v>0.375</v>
      </c>
      <c r="W19" s="2">
        <v>0</v>
      </c>
      <c r="X19">
        <v>-1</v>
      </c>
      <c r="Y19" t="s">
        <v>60</v>
      </c>
      <c r="Z19" t="s">
        <v>182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-22.36</v>
      </c>
      <c r="AN19" s="2">
        <v>-22.36</v>
      </c>
      <c r="AO19" s="2">
        <v>0</v>
      </c>
      <c r="AP19" s="2">
        <v>0</v>
      </c>
      <c r="AQ19" s="2">
        <v>0</v>
      </c>
    </row>
    <row r="20" spans="1:43" x14ac:dyDescent="0.25">
      <c r="A20" s="1">
        <v>45943</v>
      </c>
      <c r="B20" t="s">
        <v>48</v>
      </c>
      <c r="C20">
        <v>649163</v>
      </c>
      <c r="D20">
        <v>2030676912</v>
      </c>
      <c r="E20" t="s">
        <v>418</v>
      </c>
      <c r="F20" t="s">
        <v>419</v>
      </c>
      <c r="G20" t="s">
        <v>51</v>
      </c>
      <c r="H20" t="s">
        <v>185</v>
      </c>
      <c r="I20" t="s">
        <v>92</v>
      </c>
      <c r="J20" t="s">
        <v>93</v>
      </c>
      <c r="K20">
        <v>856824</v>
      </c>
      <c r="L20" t="s">
        <v>156</v>
      </c>
      <c r="M20" t="s">
        <v>157</v>
      </c>
      <c r="N20" t="s">
        <v>179</v>
      </c>
      <c r="O20" s="1">
        <v>45931</v>
      </c>
      <c r="P20" s="1">
        <v>45936</v>
      </c>
      <c r="Q20" s="1">
        <v>45962</v>
      </c>
      <c r="R20" s="2">
        <v>-58.23</v>
      </c>
      <c r="S20">
        <v>1</v>
      </c>
      <c r="T20" t="s">
        <v>58</v>
      </c>
      <c r="U20" t="s">
        <v>59</v>
      </c>
      <c r="V20" s="4">
        <v>0.375</v>
      </c>
      <c r="W20" s="2">
        <v>0</v>
      </c>
      <c r="X20">
        <v>-1</v>
      </c>
      <c r="Y20" t="s">
        <v>60</v>
      </c>
      <c r="Z20" t="s">
        <v>182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-21.84</v>
      </c>
      <c r="AN20" s="2">
        <v>-21.84</v>
      </c>
      <c r="AO20" s="2">
        <v>0</v>
      </c>
      <c r="AP20" s="2">
        <v>0</v>
      </c>
      <c r="AQ20" s="2">
        <v>0</v>
      </c>
    </row>
    <row r="21" spans="1:43" x14ac:dyDescent="0.25">
      <c r="A21" s="1">
        <v>45943</v>
      </c>
      <c r="B21" t="s">
        <v>48</v>
      </c>
      <c r="C21">
        <v>649163</v>
      </c>
      <c r="D21">
        <v>2030978541</v>
      </c>
      <c r="E21" t="s">
        <v>570</v>
      </c>
      <c r="F21" t="s">
        <v>571</v>
      </c>
      <c r="G21" t="s">
        <v>51</v>
      </c>
      <c r="H21" t="s">
        <v>91</v>
      </c>
      <c r="I21" t="s">
        <v>92</v>
      </c>
      <c r="J21" t="s">
        <v>93</v>
      </c>
      <c r="K21">
        <v>822865</v>
      </c>
      <c r="L21" t="s">
        <v>266</v>
      </c>
      <c r="M21" t="s">
        <v>267</v>
      </c>
      <c r="N21" t="s">
        <v>179</v>
      </c>
      <c r="O21" s="1">
        <v>45889</v>
      </c>
      <c r="P21" s="1">
        <v>45943</v>
      </c>
      <c r="Q21" s="1">
        <v>45950</v>
      </c>
      <c r="R21" s="2">
        <v>-10.02</v>
      </c>
      <c r="S21">
        <v>1</v>
      </c>
      <c r="T21" t="s">
        <v>58</v>
      </c>
      <c r="U21" t="s">
        <v>170</v>
      </c>
      <c r="V21" s="4">
        <v>0.375</v>
      </c>
      <c r="W21" s="2">
        <v>0</v>
      </c>
      <c r="X21">
        <v>-1</v>
      </c>
      <c r="Y21" t="s">
        <v>60</v>
      </c>
      <c r="Z21" t="s">
        <v>182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-3.76</v>
      </c>
      <c r="AN21" s="2">
        <v>-3.76</v>
      </c>
      <c r="AO21" s="2">
        <v>0</v>
      </c>
      <c r="AP21" s="2">
        <v>0</v>
      </c>
      <c r="AQ21" s="2">
        <v>0</v>
      </c>
    </row>
    <row r="22" spans="1:43" x14ac:dyDescent="0.25">
      <c r="A22" s="1">
        <v>45943</v>
      </c>
      <c r="B22" t="s">
        <v>48</v>
      </c>
      <c r="C22">
        <v>649163</v>
      </c>
      <c r="D22">
        <v>2029177107</v>
      </c>
      <c r="E22" t="s">
        <v>282</v>
      </c>
      <c r="F22" t="s">
        <v>283</v>
      </c>
      <c r="G22" t="s">
        <v>51</v>
      </c>
      <c r="H22" t="s">
        <v>78</v>
      </c>
      <c r="I22" t="s">
        <v>114</v>
      </c>
      <c r="J22" t="s">
        <v>576</v>
      </c>
      <c r="K22">
        <v>820873</v>
      </c>
      <c r="L22" t="s">
        <v>284</v>
      </c>
      <c r="M22" t="s">
        <v>285</v>
      </c>
      <c r="N22" t="s">
        <v>179</v>
      </c>
      <c r="O22" s="1">
        <v>45809</v>
      </c>
      <c r="P22" s="1">
        <v>45943</v>
      </c>
      <c r="Q22" s="1">
        <v>45962</v>
      </c>
      <c r="R22" s="2">
        <v>-19.510000000000002</v>
      </c>
      <c r="S22">
        <v>1</v>
      </c>
      <c r="T22" t="s">
        <v>58</v>
      </c>
      <c r="U22" t="s">
        <v>180</v>
      </c>
      <c r="V22" s="3">
        <v>0.38</v>
      </c>
      <c r="W22" s="2">
        <v>0</v>
      </c>
      <c r="X22">
        <v>-1</v>
      </c>
      <c r="Y22" t="s">
        <v>60</v>
      </c>
      <c r="Z22" t="s">
        <v>182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-7.41</v>
      </c>
      <c r="AN22" s="2">
        <v>-7.41</v>
      </c>
      <c r="AO22" s="2">
        <v>0</v>
      </c>
      <c r="AP22" s="2">
        <v>0</v>
      </c>
      <c r="AQ22" s="2">
        <v>0</v>
      </c>
    </row>
    <row r="23" spans="1:43" x14ac:dyDescent="0.25">
      <c r="A23" s="1">
        <v>45943</v>
      </c>
      <c r="B23" t="s">
        <v>48</v>
      </c>
      <c r="C23">
        <v>649163</v>
      </c>
      <c r="D23">
        <v>2029177107</v>
      </c>
      <c r="E23" t="s">
        <v>282</v>
      </c>
      <c r="F23" t="s">
        <v>283</v>
      </c>
      <c r="G23" t="s">
        <v>51</v>
      </c>
      <c r="H23" t="s">
        <v>78</v>
      </c>
      <c r="I23" t="s">
        <v>114</v>
      </c>
      <c r="J23" t="s">
        <v>576</v>
      </c>
      <c r="K23">
        <v>820873</v>
      </c>
      <c r="L23" t="s">
        <v>284</v>
      </c>
      <c r="M23" t="s">
        <v>285</v>
      </c>
      <c r="N23" t="s">
        <v>179</v>
      </c>
      <c r="O23" s="1">
        <v>45809</v>
      </c>
      <c r="P23" s="1">
        <v>45943</v>
      </c>
      <c r="Q23" s="1">
        <v>45962</v>
      </c>
      <c r="R23" s="2">
        <v>-19.510000000000002</v>
      </c>
      <c r="S23">
        <v>1</v>
      </c>
      <c r="T23" t="s">
        <v>58</v>
      </c>
      <c r="U23" t="s">
        <v>180</v>
      </c>
      <c r="V23" s="3">
        <v>0.38</v>
      </c>
      <c r="W23" s="2">
        <v>0</v>
      </c>
      <c r="X23">
        <v>-1</v>
      </c>
      <c r="Y23" t="s">
        <v>60</v>
      </c>
      <c r="Z23" t="s">
        <v>182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-7.41</v>
      </c>
      <c r="AN23" s="2">
        <v>-7.41</v>
      </c>
      <c r="AO23" s="2">
        <v>0</v>
      </c>
      <c r="AP23" s="2">
        <v>0</v>
      </c>
      <c r="AQ23" s="2">
        <v>0</v>
      </c>
    </row>
    <row r="24" spans="1:43" x14ac:dyDescent="0.25">
      <c r="A24" s="1">
        <v>45943</v>
      </c>
      <c r="B24" t="s">
        <v>48</v>
      </c>
      <c r="C24">
        <v>649163</v>
      </c>
      <c r="D24">
        <v>2029969179</v>
      </c>
      <c r="E24" t="s">
        <v>583</v>
      </c>
      <c r="F24" t="s">
        <v>584</v>
      </c>
      <c r="G24" t="s">
        <v>51</v>
      </c>
      <c r="H24" t="s">
        <v>189</v>
      </c>
      <c r="I24" t="s">
        <v>114</v>
      </c>
      <c r="J24" t="s">
        <v>576</v>
      </c>
      <c r="K24">
        <v>650218</v>
      </c>
      <c r="L24" t="s">
        <v>195</v>
      </c>
      <c r="M24" t="s">
        <v>196</v>
      </c>
      <c r="N24" t="s">
        <v>179</v>
      </c>
      <c r="O24" s="1">
        <v>45870</v>
      </c>
      <c r="P24" s="1">
        <v>45936</v>
      </c>
      <c r="Q24" s="1">
        <v>45962</v>
      </c>
      <c r="R24" s="2">
        <v>-128.72</v>
      </c>
      <c r="S24">
        <v>1</v>
      </c>
      <c r="T24" t="s">
        <v>58</v>
      </c>
      <c r="U24" t="s">
        <v>180</v>
      </c>
      <c r="V24" s="3">
        <v>0.38</v>
      </c>
      <c r="W24" s="2">
        <v>0</v>
      </c>
      <c r="X24">
        <v>-1</v>
      </c>
      <c r="Y24" t="s">
        <v>60</v>
      </c>
      <c r="Z24" t="s">
        <v>182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-48.91</v>
      </c>
      <c r="AN24" s="2">
        <v>-48.91</v>
      </c>
      <c r="AO24" s="2">
        <v>0</v>
      </c>
      <c r="AP24" s="2">
        <v>0</v>
      </c>
      <c r="AQ24" s="2">
        <v>0</v>
      </c>
    </row>
    <row r="25" spans="1:43" x14ac:dyDescent="0.25">
      <c r="A25" s="1">
        <v>45943</v>
      </c>
      <c r="B25" t="s">
        <v>48</v>
      </c>
      <c r="C25">
        <v>649163</v>
      </c>
      <c r="D25">
        <v>2016921676</v>
      </c>
      <c r="E25" t="s">
        <v>173</v>
      </c>
      <c r="F25" t="s">
        <v>174</v>
      </c>
      <c r="G25" t="s">
        <v>51</v>
      </c>
      <c r="H25" t="s">
        <v>175</v>
      </c>
      <c r="I25" t="s">
        <v>116</v>
      </c>
      <c r="J25" t="s">
        <v>591</v>
      </c>
      <c r="K25">
        <v>649793</v>
      </c>
      <c r="L25" t="s">
        <v>55</v>
      </c>
      <c r="M25" t="s">
        <v>178</v>
      </c>
      <c r="N25" t="s">
        <v>179</v>
      </c>
      <c r="O25" s="1">
        <v>44927</v>
      </c>
      <c r="P25" s="1">
        <v>45936</v>
      </c>
      <c r="Q25" s="1">
        <v>45962</v>
      </c>
      <c r="R25" s="2">
        <v>-26.59</v>
      </c>
      <c r="S25">
        <v>1</v>
      </c>
      <c r="T25" t="s">
        <v>58</v>
      </c>
      <c r="U25" t="s">
        <v>180</v>
      </c>
      <c r="V25" s="3">
        <v>0.15</v>
      </c>
      <c r="W25" s="2">
        <v>0</v>
      </c>
      <c r="X25">
        <v>-1</v>
      </c>
      <c r="Y25" t="s">
        <v>181</v>
      </c>
      <c r="Z25" t="s">
        <v>182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-3.99</v>
      </c>
      <c r="AN25" s="2">
        <v>-3.99</v>
      </c>
      <c r="AO25" s="2">
        <v>0</v>
      </c>
      <c r="AP25" s="2">
        <v>0</v>
      </c>
      <c r="AQ25" s="2">
        <v>0</v>
      </c>
    </row>
    <row r="26" spans="1:43" x14ac:dyDescent="0.25">
      <c r="A26" s="1">
        <v>45943</v>
      </c>
      <c r="B26" t="s">
        <v>48</v>
      </c>
      <c r="C26">
        <v>649163</v>
      </c>
      <c r="D26">
        <v>2024530409</v>
      </c>
      <c r="E26" t="s">
        <v>484</v>
      </c>
      <c r="F26" t="s">
        <v>485</v>
      </c>
      <c r="G26" t="s">
        <v>51</v>
      </c>
      <c r="H26" t="s">
        <v>78</v>
      </c>
      <c r="I26" t="s">
        <v>116</v>
      </c>
      <c r="J26" t="s">
        <v>125</v>
      </c>
      <c r="K26">
        <v>766747</v>
      </c>
      <c r="L26" t="s">
        <v>477</v>
      </c>
      <c r="M26" t="s">
        <v>159</v>
      </c>
      <c r="N26" t="s">
        <v>179</v>
      </c>
      <c r="O26" s="1">
        <v>45541</v>
      </c>
      <c r="P26" s="1">
        <v>45943</v>
      </c>
      <c r="Q26" s="1">
        <v>45967</v>
      </c>
      <c r="R26" s="2">
        <v>-109.45</v>
      </c>
      <c r="S26">
        <v>1</v>
      </c>
      <c r="T26" t="s">
        <v>58</v>
      </c>
      <c r="U26" t="s">
        <v>180</v>
      </c>
      <c r="V26" s="3">
        <v>0.15</v>
      </c>
      <c r="W26" s="2">
        <v>0</v>
      </c>
      <c r="X26">
        <v>-1</v>
      </c>
      <c r="Y26" t="s">
        <v>181</v>
      </c>
      <c r="Z26" t="s">
        <v>182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-16.420000000000002</v>
      </c>
      <c r="AN26" s="2">
        <v>-16.420000000000002</v>
      </c>
      <c r="AO26" s="2">
        <v>0</v>
      </c>
      <c r="AP26" s="2">
        <v>0</v>
      </c>
      <c r="AQ26" s="2">
        <v>0</v>
      </c>
    </row>
    <row r="27" spans="1:43" x14ac:dyDescent="0.25">
      <c r="A27" s="1">
        <v>45943</v>
      </c>
      <c r="B27" t="s">
        <v>48</v>
      </c>
      <c r="C27">
        <v>649163</v>
      </c>
      <c r="D27">
        <v>2024573703</v>
      </c>
      <c r="E27" t="s">
        <v>226</v>
      </c>
      <c r="F27" t="s">
        <v>227</v>
      </c>
      <c r="G27" t="s">
        <v>51</v>
      </c>
      <c r="H27" t="s">
        <v>228</v>
      </c>
      <c r="I27" t="s">
        <v>116</v>
      </c>
      <c r="J27" t="s">
        <v>125</v>
      </c>
      <c r="K27">
        <v>767312</v>
      </c>
      <c r="L27" t="s">
        <v>147</v>
      </c>
      <c r="M27" t="s">
        <v>148</v>
      </c>
      <c r="N27" t="s">
        <v>179</v>
      </c>
      <c r="O27" s="1">
        <v>45536</v>
      </c>
      <c r="P27" s="1">
        <v>45936</v>
      </c>
      <c r="Q27" s="1">
        <v>45962</v>
      </c>
      <c r="R27" s="2">
        <v>-194.5</v>
      </c>
      <c r="S27">
        <v>1</v>
      </c>
      <c r="T27" t="s">
        <v>58</v>
      </c>
      <c r="U27" t="s">
        <v>180</v>
      </c>
      <c r="V27" s="3">
        <v>0.15</v>
      </c>
      <c r="W27" s="2">
        <v>0</v>
      </c>
      <c r="X27">
        <v>-1</v>
      </c>
      <c r="Y27" t="s">
        <v>181</v>
      </c>
      <c r="Z27" t="s">
        <v>182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-29.18</v>
      </c>
      <c r="AN27" s="2">
        <v>-29.18</v>
      </c>
      <c r="AO27" s="2">
        <v>0</v>
      </c>
      <c r="AP27" s="2">
        <v>0</v>
      </c>
      <c r="AQ27" s="2">
        <v>0</v>
      </c>
    </row>
    <row r="28" spans="1:43" x14ac:dyDescent="0.25">
      <c r="A28" s="1">
        <v>45943</v>
      </c>
      <c r="B28" t="s">
        <v>48</v>
      </c>
      <c r="C28">
        <v>649163</v>
      </c>
      <c r="D28">
        <v>2024680807</v>
      </c>
      <c r="E28" t="s">
        <v>360</v>
      </c>
      <c r="F28" t="s">
        <v>361</v>
      </c>
      <c r="G28" t="s">
        <v>51</v>
      </c>
      <c r="H28" t="s">
        <v>91</v>
      </c>
      <c r="I28" t="s">
        <v>116</v>
      </c>
      <c r="J28" t="s">
        <v>125</v>
      </c>
      <c r="K28">
        <v>767312</v>
      </c>
      <c r="L28" t="s">
        <v>147</v>
      </c>
      <c r="M28" t="s">
        <v>148</v>
      </c>
      <c r="N28" t="s">
        <v>179</v>
      </c>
      <c r="O28" s="1">
        <v>45575</v>
      </c>
      <c r="P28" s="1">
        <v>45943</v>
      </c>
      <c r="Q28" s="1">
        <v>45971</v>
      </c>
      <c r="R28" s="2">
        <v>-89.52</v>
      </c>
      <c r="S28">
        <v>1</v>
      </c>
      <c r="T28" t="s">
        <v>58</v>
      </c>
      <c r="U28" t="s">
        <v>180</v>
      </c>
      <c r="V28" s="3">
        <v>0.15</v>
      </c>
      <c r="W28" s="2">
        <v>0</v>
      </c>
      <c r="X28">
        <v>-1</v>
      </c>
      <c r="Y28" t="s">
        <v>181</v>
      </c>
      <c r="Z28" t="s">
        <v>182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-13.43</v>
      </c>
      <c r="AN28" s="2">
        <v>-13.43</v>
      </c>
      <c r="AO28" s="2">
        <v>0</v>
      </c>
      <c r="AP28" s="2">
        <v>0</v>
      </c>
      <c r="AQ28" s="2">
        <v>0</v>
      </c>
    </row>
    <row r="29" spans="1:43" x14ac:dyDescent="0.25">
      <c r="A29" s="1">
        <v>45943</v>
      </c>
      <c r="B29" t="s">
        <v>48</v>
      </c>
      <c r="C29">
        <v>649163</v>
      </c>
      <c r="D29">
        <v>2026877427</v>
      </c>
      <c r="E29" t="s">
        <v>636</v>
      </c>
      <c r="F29" t="s">
        <v>159</v>
      </c>
      <c r="G29" t="s">
        <v>51</v>
      </c>
      <c r="H29" t="s">
        <v>78</v>
      </c>
      <c r="I29" t="s">
        <v>116</v>
      </c>
      <c r="J29" t="s">
        <v>125</v>
      </c>
      <c r="K29">
        <v>813184</v>
      </c>
      <c r="L29" t="s">
        <v>566</v>
      </c>
      <c r="M29" t="s">
        <v>567</v>
      </c>
      <c r="N29" t="s">
        <v>179</v>
      </c>
      <c r="O29" s="1">
        <v>45689</v>
      </c>
      <c r="P29" s="1">
        <v>45936</v>
      </c>
      <c r="Q29" s="1">
        <v>45962</v>
      </c>
      <c r="R29" s="2">
        <v>-37.4</v>
      </c>
      <c r="S29">
        <v>1</v>
      </c>
      <c r="T29" t="s">
        <v>58</v>
      </c>
      <c r="U29" t="s">
        <v>180</v>
      </c>
      <c r="V29" s="3">
        <v>0.7</v>
      </c>
      <c r="W29" s="2">
        <v>0</v>
      </c>
      <c r="X29">
        <v>-1</v>
      </c>
      <c r="Y29" t="s">
        <v>60</v>
      </c>
      <c r="Z29" t="s">
        <v>182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-26.18</v>
      </c>
      <c r="AN29" s="2">
        <v>-26.18</v>
      </c>
      <c r="AO29" s="2">
        <v>0</v>
      </c>
      <c r="AP29" s="2">
        <v>0</v>
      </c>
      <c r="AQ29" s="2">
        <v>0</v>
      </c>
    </row>
    <row r="30" spans="1:43" x14ac:dyDescent="0.25">
      <c r="A30" s="1">
        <v>45943</v>
      </c>
      <c r="B30" t="s">
        <v>48</v>
      </c>
      <c r="C30">
        <v>649163</v>
      </c>
      <c r="D30">
        <v>2029177108</v>
      </c>
      <c r="E30" t="s">
        <v>282</v>
      </c>
      <c r="F30" t="s">
        <v>283</v>
      </c>
      <c r="G30" t="s">
        <v>51</v>
      </c>
      <c r="H30" t="s">
        <v>78</v>
      </c>
      <c r="I30" t="s">
        <v>116</v>
      </c>
      <c r="J30" t="s">
        <v>125</v>
      </c>
      <c r="K30">
        <v>820873</v>
      </c>
      <c r="L30" t="s">
        <v>284</v>
      </c>
      <c r="M30" t="s">
        <v>285</v>
      </c>
      <c r="N30" t="s">
        <v>179</v>
      </c>
      <c r="O30" s="1">
        <v>45809</v>
      </c>
      <c r="P30" s="1">
        <v>45943</v>
      </c>
      <c r="Q30" s="1">
        <v>45962</v>
      </c>
      <c r="R30" s="2">
        <v>-34</v>
      </c>
      <c r="S30">
        <v>1</v>
      </c>
      <c r="T30" t="s">
        <v>58</v>
      </c>
      <c r="U30" t="s">
        <v>180</v>
      </c>
      <c r="V30" s="3">
        <v>0.7</v>
      </c>
      <c r="W30" s="2">
        <v>0</v>
      </c>
      <c r="X30">
        <v>-1</v>
      </c>
      <c r="Y30" t="s">
        <v>60</v>
      </c>
      <c r="Z30" t="s">
        <v>182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-23.8</v>
      </c>
      <c r="AN30" s="2">
        <v>-23.8</v>
      </c>
      <c r="AO30" s="2">
        <v>0</v>
      </c>
      <c r="AP30" s="2">
        <v>0</v>
      </c>
      <c r="AQ30" s="2">
        <v>0</v>
      </c>
    </row>
    <row r="31" spans="1:43" x14ac:dyDescent="0.25">
      <c r="A31" s="1">
        <v>45943</v>
      </c>
      <c r="B31" t="s">
        <v>48</v>
      </c>
      <c r="C31">
        <v>649163</v>
      </c>
      <c r="D31">
        <v>2029177108</v>
      </c>
      <c r="E31" t="s">
        <v>282</v>
      </c>
      <c r="F31" t="s">
        <v>283</v>
      </c>
      <c r="G31" t="s">
        <v>51</v>
      </c>
      <c r="H31" t="s">
        <v>78</v>
      </c>
      <c r="I31" t="s">
        <v>116</v>
      </c>
      <c r="J31" t="s">
        <v>125</v>
      </c>
      <c r="K31">
        <v>820873</v>
      </c>
      <c r="L31" t="s">
        <v>284</v>
      </c>
      <c r="M31" t="s">
        <v>285</v>
      </c>
      <c r="N31" t="s">
        <v>179</v>
      </c>
      <c r="O31" s="1">
        <v>45809</v>
      </c>
      <c r="P31" s="1">
        <v>45943</v>
      </c>
      <c r="Q31" s="1">
        <v>45962</v>
      </c>
      <c r="R31" s="2">
        <v>-34</v>
      </c>
      <c r="S31">
        <v>1</v>
      </c>
      <c r="T31" t="s">
        <v>58</v>
      </c>
      <c r="U31" t="s">
        <v>180</v>
      </c>
      <c r="V31" s="3">
        <v>0.7</v>
      </c>
      <c r="W31" s="2">
        <v>0</v>
      </c>
      <c r="X31">
        <v>-1</v>
      </c>
      <c r="Y31" t="s">
        <v>60</v>
      </c>
      <c r="Z31" t="s">
        <v>182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-23.8</v>
      </c>
      <c r="AN31" s="2">
        <v>-23.8</v>
      </c>
      <c r="AO31" s="2">
        <v>0</v>
      </c>
      <c r="AP31" s="2">
        <v>0</v>
      </c>
      <c r="AQ31" s="2">
        <v>0</v>
      </c>
    </row>
    <row r="32" spans="1:43" x14ac:dyDescent="0.25">
      <c r="A32" s="1">
        <v>45943</v>
      </c>
      <c r="B32" t="s">
        <v>48</v>
      </c>
      <c r="C32">
        <v>649163</v>
      </c>
      <c r="D32">
        <v>2029292996</v>
      </c>
      <c r="E32" t="s">
        <v>289</v>
      </c>
      <c r="F32" t="s">
        <v>290</v>
      </c>
      <c r="G32" t="s">
        <v>51</v>
      </c>
      <c r="H32" t="s">
        <v>91</v>
      </c>
      <c r="I32" t="s">
        <v>116</v>
      </c>
      <c r="J32" t="s">
        <v>125</v>
      </c>
      <c r="K32">
        <v>856824</v>
      </c>
      <c r="L32" t="s">
        <v>156</v>
      </c>
      <c r="M32" t="s">
        <v>157</v>
      </c>
      <c r="N32" t="s">
        <v>179</v>
      </c>
      <c r="O32" s="1">
        <v>45839</v>
      </c>
      <c r="P32" s="1">
        <v>45936</v>
      </c>
      <c r="Q32" s="1">
        <v>45962</v>
      </c>
      <c r="R32" s="2">
        <v>-83</v>
      </c>
      <c r="S32">
        <v>1</v>
      </c>
      <c r="T32" t="s">
        <v>58</v>
      </c>
      <c r="U32" t="s">
        <v>180</v>
      </c>
      <c r="V32" s="3">
        <v>0.7</v>
      </c>
      <c r="W32" s="2">
        <v>0</v>
      </c>
      <c r="X32">
        <v>-1</v>
      </c>
      <c r="Y32" t="s">
        <v>60</v>
      </c>
      <c r="Z32" t="s">
        <v>182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-58.1</v>
      </c>
      <c r="AN32" s="2">
        <v>-58.1</v>
      </c>
      <c r="AO32" s="2">
        <v>0</v>
      </c>
      <c r="AP32" s="2">
        <v>0</v>
      </c>
      <c r="AQ32" s="2">
        <v>0</v>
      </c>
    </row>
    <row r="33" spans="1:44" x14ac:dyDescent="0.25">
      <c r="A33" s="1">
        <v>45943</v>
      </c>
      <c r="B33" t="s">
        <v>727</v>
      </c>
      <c r="C33">
        <v>649163</v>
      </c>
      <c r="D33">
        <v>2023013394</v>
      </c>
      <c r="E33" t="s">
        <v>453</v>
      </c>
      <c r="F33" t="s">
        <v>454</v>
      </c>
      <c r="G33" t="s">
        <v>51</v>
      </c>
      <c r="I33" t="s">
        <v>443</v>
      </c>
      <c r="J33" t="s">
        <v>444</v>
      </c>
      <c r="K33">
        <v>649163</v>
      </c>
      <c r="L33" t="s">
        <v>455</v>
      </c>
      <c r="M33" t="s">
        <v>456</v>
      </c>
      <c r="N33" t="s">
        <v>179</v>
      </c>
      <c r="O33" s="1">
        <v>45444</v>
      </c>
      <c r="P33" s="1">
        <v>45943</v>
      </c>
      <c r="R33" s="2">
        <v>0</v>
      </c>
      <c r="AB33" s="2">
        <v>0</v>
      </c>
      <c r="AC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t="s">
        <v>728</v>
      </c>
    </row>
    <row r="34" spans="1:44" x14ac:dyDescent="0.25">
      <c r="A34" s="1">
        <v>45943</v>
      </c>
      <c r="B34" t="s">
        <v>727</v>
      </c>
      <c r="C34">
        <v>649163</v>
      </c>
      <c r="D34">
        <v>2029177110</v>
      </c>
      <c r="E34" t="s">
        <v>282</v>
      </c>
      <c r="F34" t="s">
        <v>283</v>
      </c>
      <c r="G34" t="s">
        <v>51</v>
      </c>
      <c r="I34" t="s">
        <v>79</v>
      </c>
      <c r="J34" t="s">
        <v>350</v>
      </c>
      <c r="K34">
        <v>649163</v>
      </c>
      <c r="L34" t="s">
        <v>284</v>
      </c>
      <c r="M34" t="s">
        <v>285</v>
      </c>
      <c r="N34" t="s">
        <v>179</v>
      </c>
      <c r="O34" s="1">
        <v>45809</v>
      </c>
      <c r="P34" s="1">
        <v>45943</v>
      </c>
      <c r="R34" s="2">
        <v>0</v>
      </c>
      <c r="AB34" s="2">
        <v>34.200000000000003</v>
      </c>
      <c r="AC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28.5</v>
      </c>
      <c r="AN34" s="2">
        <v>-5.7</v>
      </c>
      <c r="AO34" s="2">
        <v>-5.7</v>
      </c>
      <c r="AP34" s="2">
        <v>0</v>
      </c>
      <c r="AQ34" s="2">
        <v>0</v>
      </c>
      <c r="AR34" t="s">
        <v>728</v>
      </c>
    </row>
    <row r="35" spans="1:44" x14ac:dyDescent="0.25">
      <c r="A35" s="1">
        <v>45943</v>
      </c>
      <c r="B35" t="s">
        <v>727</v>
      </c>
      <c r="C35">
        <v>18781057</v>
      </c>
      <c r="D35">
        <v>2030474635</v>
      </c>
      <c r="E35" t="s">
        <v>729</v>
      </c>
      <c r="F35" t="s">
        <v>730</v>
      </c>
      <c r="G35" t="s">
        <v>51</v>
      </c>
      <c r="I35" t="s">
        <v>176</v>
      </c>
      <c r="J35" t="s">
        <v>177</v>
      </c>
      <c r="K35">
        <v>18781057</v>
      </c>
      <c r="L35" t="s">
        <v>186</v>
      </c>
      <c r="M35" t="s">
        <v>90</v>
      </c>
      <c r="N35" t="s">
        <v>179</v>
      </c>
      <c r="O35" s="1">
        <v>45883</v>
      </c>
      <c r="P35" s="1">
        <v>45943</v>
      </c>
      <c r="R35" s="2">
        <v>0</v>
      </c>
      <c r="AB35" s="2">
        <v>167.22</v>
      </c>
      <c r="AC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27.87</v>
      </c>
      <c r="AN35" s="2">
        <v>-139.35</v>
      </c>
      <c r="AO35" s="2">
        <v>-139.35</v>
      </c>
      <c r="AP35" s="2">
        <v>0</v>
      </c>
      <c r="AQ35" s="2">
        <v>0</v>
      </c>
      <c r="AR35" t="s">
        <v>728</v>
      </c>
    </row>
    <row r="36" spans="1:44" x14ac:dyDescent="0.25">
      <c r="A36" s="1">
        <v>45943</v>
      </c>
      <c r="B36" t="s">
        <v>727</v>
      </c>
      <c r="C36">
        <v>649163</v>
      </c>
      <c r="D36">
        <v>2026529011</v>
      </c>
      <c r="E36" t="s">
        <v>484</v>
      </c>
      <c r="F36" t="s">
        <v>485</v>
      </c>
      <c r="G36" t="s">
        <v>51</v>
      </c>
      <c r="I36" t="s">
        <v>92</v>
      </c>
      <c r="J36" t="s">
        <v>93</v>
      </c>
      <c r="K36">
        <v>649163</v>
      </c>
      <c r="L36" t="s">
        <v>477</v>
      </c>
      <c r="M36" t="s">
        <v>159</v>
      </c>
      <c r="N36" t="s">
        <v>179</v>
      </c>
      <c r="O36" s="1">
        <v>45689</v>
      </c>
      <c r="P36" s="1">
        <v>45943</v>
      </c>
      <c r="R36" s="2">
        <v>0</v>
      </c>
      <c r="AB36" s="2">
        <v>0</v>
      </c>
      <c r="AC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t="s">
        <v>728</v>
      </c>
    </row>
    <row r="37" spans="1:44" x14ac:dyDescent="0.25">
      <c r="A37" s="1">
        <v>45943</v>
      </c>
      <c r="B37" t="s">
        <v>727</v>
      </c>
      <c r="C37">
        <v>20220688</v>
      </c>
      <c r="D37">
        <v>2028917636</v>
      </c>
      <c r="E37" t="s">
        <v>731</v>
      </c>
      <c r="F37" t="s">
        <v>732</v>
      </c>
      <c r="G37" t="s">
        <v>51</v>
      </c>
      <c r="I37" t="s">
        <v>116</v>
      </c>
      <c r="J37" t="s">
        <v>125</v>
      </c>
      <c r="K37">
        <v>20220688</v>
      </c>
      <c r="L37" t="s">
        <v>151</v>
      </c>
      <c r="M37" t="s">
        <v>152</v>
      </c>
      <c r="N37" t="s">
        <v>179</v>
      </c>
      <c r="O37" s="1">
        <v>45791</v>
      </c>
      <c r="P37" s="1">
        <v>45943</v>
      </c>
      <c r="R37" s="2">
        <v>0</v>
      </c>
      <c r="AB37" s="2">
        <v>0</v>
      </c>
      <c r="AC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t="s">
        <v>728</v>
      </c>
    </row>
    <row r="38" spans="1:44" x14ac:dyDescent="0.25">
      <c r="A38" s="1">
        <v>45943</v>
      </c>
      <c r="B38" t="s">
        <v>727</v>
      </c>
      <c r="C38">
        <v>649163</v>
      </c>
      <c r="D38">
        <v>2029177107</v>
      </c>
      <c r="E38" t="s">
        <v>282</v>
      </c>
      <c r="F38" t="s">
        <v>283</v>
      </c>
      <c r="G38" t="s">
        <v>51</v>
      </c>
      <c r="I38" t="s">
        <v>114</v>
      </c>
      <c r="J38" t="s">
        <v>576</v>
      </c>
      <c r="K38">
        <v>649163</v>
      </c>
      <c r="L38" t="s">
        <v>284</v>
      </c>
      <c r="M38" t="s">
        <v>285</v>
      </c>
      <c r="N38" t="s">
        <v>179</v>
      </c>
      <c r="O38" s="1">
        <v>45809</v>
      </c>
      <c r="P38" s="1">
        <v>45943</v>
      </c>
      <c r="R38" s="2">
        <v>0</v>
      </c>
      <c r="AB38" s="2">
        <v>44.48</v>
      </c>
      <c r="AC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37.07</v>
      </c>
      <c r="AN38" s="2">
        <v>-7.41</v>
      </c>
      <c r="AO38" s="2">
        <v>-7.41</v>
      </c>
      <c r="AP38" s="2">
        <v>0</v>
      </c>
      <c r="AQ38" s="2">
        <v>0</v>
      </c>
      <c r="AR38" t="s">
        <v>728</v>
      </c>
    </row>
    <row r="39" spans="1:44" x14ac:dyDescent="0.25">
      <c r="A39" s="1">
        <v>45943</v>
      </c>
      <c r="B39" t="s">
        <v>727</v>
      </c>
      <c r="C39">
        <v>18781057</v>
      </c>
      <c r="D39">
        <v>2030474634</v>
      </c>
      <c r="E39" t="s">
        <v>729</v>
      </c>
      <c r="F39" t="s">
        <v>730</v>
      </c>
      <c r="G39" t="s">
        <v>51</v>
      </c>
      <c r="I39" t="s">
        <v>114</v>
      </c>
      <c r="J39" t="s">
        <v>576</v>
      </c>
      <c r="K39">
        <v>18781057</v>
      </c>
      <c r="L39" t="s">
        <v>186</v>
      </c>
      <c r="M39" t="s">
        <v>90</v>
      </c>
      <c r="N39" t="s">
        <v>179</v>
      </c>
      <c r="O39" s="1">
        <v>45883</v>
      </c>
      <c r="P39" s="1">
        <v>45943</v>
      </c>
      <c r="R39" s="2">
        <v>0</v>
      </c>
      <c r="AB39" s="2">
        <v>61.9</v>
      </c>
      <c r="AC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10.32</v>
      </c>
      <c r="AN39" s="2">
        <v>-51.58</v>
      </c>
      <c r="AO39" s="2">
        <v>-51.58</v>
      </c>
      <c r="AP39" s="2">
        <v>0</v>
      </c>
      <c r="AQ39" s="2">
        <v>0</v>
      </c>
      <c r="AR39" t="s">
        <v>728</v>
      </c>
    </row>
    <row r="40" spans="1:44" x14ac:dyDescent="0.25">
      <c r="A40" s="1">
        <v>45943</v>
      </c>
      <c r="B40" t="s">
        <v>727</v>
      </c>
      <c r="C40">
        <v>649163</v>
      </c>
      <c r="D40">
        <v>2030772792</v>
      </c>
      <c r="E40" t="s">
        <v>192</v>
      </c>
      <c r="F40" t="s">
        <v>336</v>
      </c>
      <c r="G40" t="s">
        <v>51</v>
      </c>
      <c r="I40" t="s">
        <v>116</v>
      </c>
      <c r="J40" t="s">
        <v>125</v>
      </c>
      <c r="K40">
        <v>649163</v>
      </c>
      <c r="L40" t="s">
        <v>65</v>
      </c>
      <c r="M40" t="s">
        <v>81</v>
      </c>
      <c r="N40" t="s">
        <v>179</v>
      </c>
      <c r="O40" s="1">
        <v>45901</v>
      </c>
      <c r="P40" s="1">
        <v>45943</v>
      </c>
      <c r="R40" s="2">
        <v>0</v>
      </c>
      <c r="AB40" s="2">
        <v>251.37</v>
      </c>
      <c r="AC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83.8</v>
      </c>
      <c r="AN40" s="2">
        <v>-167.57</v>
      </c>
      <c r="AO40" s="2">
        <v>-167.57</v>
      </c>
      <c r="AP40" s="2">
        <v>0</v>
      </c>
      <c r="AQ40" s="2">
        <v>0</v>
      </c>
      <c r="AR40" t="s">
        <v>728</v>
      </c>
    </row>
    <row r="41" spans="1:44" x14ac:dyDescent="0.25">
      <c r="A41" s="1">
        <v>45943</v>
      </c>
      <c r="B41" t="s">
        <v>727</v>
      </c>
      <c r="C41">
        <v>649163</v>
      </c>
      <c r="D41">
        <v>2030978541</v>
      </c>
      <c r="E41" t="s">
        <v>570</v>
      </c>
      <c r="F41" t="s">
        <v>571</v>
      </c>
      <c r="G41" t="s">
        <v>51</v>
      </c>
      <c r="I41" t="s">
        <v>92</v>
      </c>
      <c r="J41" t="s">
        <v>93</v>
      </c>
      <c r="K41">
        <v>649163</v>
      </c>
      <c r="L41" t="s">
        <v>266</v>
      </c>
      <c r="M41" t="s">
        <v>267</v>
      </c>
      <c r="N41" t="s">
        <v>179</v>
      </c>
      <c r="O41" s="1">
        <v>45889</v>
      </c>
      <c r="P41" s="1">
        <v>45943</v>
      </c>
      <c r="R41" s="2">
        <v>0</v>
      </c>
      <c r="AB41" s="2">
        <v>0</v>
      </c>
      <c r="AC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t="s">
        <v>728</v>
      </c>
    </row>
    <row r="42" spans="1:44" x14ac:dyDescent="0.25">
      <c r="A42" s="1">
        <v>45943</v>
      </c>
      <c r="B42" t="s">
        <v>727</v>
      </c>
      <c r="C42">
        <v>9079571</v>
      </c>
      <c r="D42">
        <v>2016855835</v>
      </c>
      <c r="E42" t="s">
        <v>733</v>
      </c>
      <c r="F42" t="s">
        <v>498</v>
      </c>
      <c r="G42" t="s">
        <v>51</v>
      </c>
      <c r="I42" t="s">
        <v>79</v>
      </c>
      <c r="J42" t="s">
        <v>734</v>
      </c>
      <c r="K42">
        <v>9079571</v>
      </c>
      <c r="L42" t="s">
        <v>222</v>
      </c>
      <c r="M42" t="s">
        <v>223</v>
      </c>
      <c r="N42" t="s">
        <v>179</v>
      </c>
      <c r="O42" s="1">
        <v>44896</v>
      </c>
      <c r="P42" s="1">
        <v>45943</v>
      </c>
      <c r="R42" s="2">
        <v>0</v>
      </c>
      <c r="AB42" s="2">
        <v>0</v>
      </c>
      <c r="AC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t="s">
        <v>728</v>
      </c>
    </row>
    <row r="43" spans="1:44" x14ac:dyDescent="0.25">
      <c r="A43" s="1">
        <v>45943</v>
      </c>
      <c r="B43" t="s">
        <v>727</v>
      </c>
      <c r="C43">
        <v>649163</v>
      </c>
      <c r="D43">
        <v>2024680809</v>
      </c>
      <c r="E43" t="s">
        <v>360</v>
      </c>
      <c r="F43" t="s">
        <v>361</v>
      </c>
      <c r="G43" t="s">
        <v>51</v>
      </c>
      <c r="I43" t="s">
        <v>79</v>
      </c>
      <c r="J43" t="s">
        <v>85</v>
      </c>
      <c r="K43">
        <v>649163</v>
      </c>
      <c r="L43" t="s">
        <v>147</v>
      </c>
      <c r="M43" t="s">
        <v>148</v>
      </c>
      <c r="N43" t="s">
        <v>179</v>
      </c>
      <c r="O43" s="1">
        <v>45575</v>
      </c>
      <c r="P43" s="1">
        <v>45943</v>
      </c>
      <c r="R43" s="2">
        <v>0</v>
      </c>
      <c r="AB43" s="2">
        <v>0</v>
      </c>
      <c r="AC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t="s">
        <v>728</v>
      </c>
    </row>
    <row r="44" spans="1:44" x14ac:dyDescent="0.25">
      <c r="A44" s="1">
        <v>45943</v>
      </c>
      <c r="B44" t="s">
        <v>727</v>
      </c>
      <c r="C44">
        <v>649163</v>
      </c>
      <c r="D44">
        <v>2024530409</v>
      </c>
      <c r="E44" t="s">
        <v>484</v>
      </c>
      <c r="F44" t="s">
        <v>485</v>
      </c>
      <c r="G44" t="s">
        <v>51</v>
      </c>
      <c r="I44" t="s">
        <v>116</v>
      </c>
      <c r="J44" t="s">
        <v>125</v>
      </c>
      <c r="K44">
        <v>649163</v>
      </c>
      <c r="L44" t="s">
        <v>477</v>
      </c>
      <c r="M44" t="s">
        <v>159</v>
      </c>
      <c r="N44" t="s">
        <v>179</v>
      </c>
      <c r="O44" s="1">
        <v>45541</v>
      </c>
      <c r="P44" s="1">
        <v>45943</v>
      </c>
      <c r="R44" s="2">
        <v>0</v>
      </c>
      <c r="AB44" s="2">
        <v>0</v>
      </c>
      <c r="AC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t="s">
        <v>728</v>
      </c>
    </row>
    <row r="45" spans="1:44" x14ac:dyDescent="0.25">
      <c r="A45" s="1">
        <v>45943</v>
      </c>
      <c r="B45" t="s">
        <v>727</v>
      </c>
      <c r="C45">
        <v>649163</v>
      </c>
      <c r="D45">
        <v>2024680807</v>
      </c>
      <c r="E45" t="s">
        <v>360</v>
      </c>
      <c r="F45" t="s">
        <v>361</v>
      </c>
      <c r="G45" t="s">
        <v>51</v>
      </c>
      <c r="I45" t="s">
        <v>116</v>
      </c>
      <c r="J45" t="s">
        <v>125</v>
      </c>
      <c r="K45">
        <v>649163</v>
      </c>
      <c r="L45" t="s">
        <v>147</v>
      </c>
      <c r="M45" t="s">
        <v>148</v>
      </c>
      <c r="N45" t="s">
        <v>179</v>
      </c>
      <c r="O45" s="1">
        <v>45575</v>
      </c>
      <c r="P45" s="1">
        <v>45943</v>
      </c>
      <c r="R45" s="2">
        <v>0</v>
      </c>
      <c r="AB45" s="2">
        <v>0</v>
      </c>
      <c r="AC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t="s">
        <v>728</v>
      </c>
    </row>
    <row r="46" spans="1:44" x14ac:dyDescent="0.25">
      <c r="A46" s="1">
        <v>45943</v>
      </c>
      <c r="B46" t="s">
        <v>727</v>
      </c>
      <c r="C46">
        <v>16912722</v>
      </c>
      <c r="D46">
        <v>2028402355</v>
      </c>
      <c r="E46" t="s">
        <v>735</v>
      </c>
      <c r="F46" t="s">
        <v>736</v>
      </c>
      <c r="G46" t="s">
        <v>51</v>
      </c>
      <c r="I46" t="s">
        <v>116</v>
      </c>
      <c r="J46" t="s">
        <v>125</v>
      </c>
      <c r="K46">
        <v>16912722</v>
      </c>
      <c r="L46" t="s">
        <v>139</v>
      </c>
      <c r="M46" t="s">
        <v>140</v>
      </c>
      <c r="N46" t="s">
        <v>179</v>
      </c>
      <c r="O46" s="1">
        <v>45762</v>
      </c>
      <c r="P46" s="1">
        <v>45943</v>
      </c>
      <c r="R46" s="2">
        <v>0</v>
      </c>
      <c r="AB46" s="2">
        <v>0</v>
      </c>
      <c r="AC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t="s">
        <v>728</v>
      </c>
    </row>
    <row r="47" spans="1:44" x14ac:dyDescent="0.25">
      <c r="A47" s="1">
        <v>45943</v>
      </c>
      <c r="B47" t="s">
        <v>727</v>
      </c>
      <c r="C47">
        <v>649163</v>
      </c>
      <c r="D47">
        <v>2029177108</v>
      </c>
      <c r="E47" t="s">
        <v>282</v>
      </c>
      <c r="F47" t="s">
        <v>283</v>
      </c>
      <c r="G47" t="s">
        <v>51</v>
      </c>
      <c r="I47" t="s">
        <v>116</v>
      </c>
      <c r="J47" t="s">
        <v>125</v>
      </c>
      <c r="K47">
        <v>649163</v>
      </c>
      <c r="L47" t="s">
        <v>284</v>
      </c>
      <c r="M47" t="s">
        <v>285</v>
      </c>
      <c r="N47" t="s">
        <v>179</v>
      </c>
      <c r="O47" s="1">
        <v>45809</v>
      </c>
      <c r="P47" s="1">
        <v>45943</v>
      </c>
      <c r="R47" s="2">
        <v>0</v>
      </c>
      <c r="AB47" s="2">
        <v>142.80000000000001</v>
      </c>
      <c r="AC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119</v>
      </c>
      <c r="AN47" s="2">
        <v>-23.8</v>
      </c>
      <c r="AO47" s="2">
        <v>-23.8</v>
      </c>
      <c r="AP47" s="2">
        <v>0</v>
      </c>
      <c r="AQ47" s="2">
        <v>0</v>
      </c>
      <c r="AR47" t="s">
        <v>728</v>
      </c>
    </row>
    <row r="48" spans="1:44" x14ac:dyDescent="0.25">
      <c r="A48" s="1">
        <v>45943</v>
      </c>
      <c r="B48" t="s">
        <v>727</v>
      </c>
      <c r="C48">
        <v>17425766</v>
      </c>
      <c r="D48">
        <v>2029671453</v>
      </c>
      <c r="E48" t="s">
        <v>737</v>
      </c>
      <c r="F48" t="s">
        <v>738</v>
      </c>
      <c r="G48" t="s">
        <v>51</v>
      </c>
      <c r="I48" t="s">
        <v>79</v>
      </c>
      <c r="J48" t="s">
        <v>350</v>
      </c>
      <c r="K48">
        <v>17425766</v>
      </c>
      <c r="L48" t="s">
        <v>195</v>
      </c>
      <c r="M48" t="s">
        <v>196</v>
      </c>
      <c r="N48" t="s">
        <v>179</v>
      </c>
      <c r="O48" s="1">
        <v>45836</v>
      </c>
      <c r="P48" s="1">
        <v>45943</v>
      </c>
      <c r="R48" s="2">
        <v>0</v>
      </c>
      <c r="AB48" s="2">
        <v>34.200000000000003</v>
      </c>
      <c r="AC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5.7</v>
      </c>
      <c r="AN48" s="2">
        <v>-28.5</v>
      </c>
      <c r="AO48" s="2">
        <v>-28.5</v>
      </c>
      <c r="AP48" s="2">
        <v>0</v>
      </c>
      <c r="AQ48" s="2">
        <v>0</v>
      </c>
      <c r="AR48" t="s">
        <v>728</v>
      </c>
    </row>
    <row r="49" spans="1:44" x14ac:dyDescent="0.25">
      <c r="A49" s="1">
        <v>45943</v>
      </c>
      <c r="B49" t="s">
        <v>727</v>
      </c>
      <c r="C49">
        <v>649163</v>
      </c>
      <c r="D49">
        <v>2029177109</v>
      </c>
      <c r="E49" t="s">
        <v>282</v>
      </c>
      <c r="F49" t="s">
        <v>283</v>
      </c>
      <c r="G49" t="s">
        <v>51</v>
      </c>
      <c r="I49" t="s">
        <v>53</v>
      </c>
      <c r="J49" t="s">
        <v>54</v>
      </c>
      <c r="K49">
        <v>649163</v>
      </c>
      <c r="L49" t="s">
        <v>284</v>
      </c>
      <c r="M49" t="s">
        <v>285</v>
      </c>
      <c r="N49" t="s">
        <v>179</v>
      </c>
      <c r="O49" s="1">
        <v>45809</v>
      </c>
      <c r="P49" s="1">
        <v>45943</v>
      </c>
      <c r="R49" s="2">
        <v>0</v>
      </c>
      <c r="AB49" s="2">
        <v>327.29000000000002</v>
      </c>
      <c r="AC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272.74</v>
      </c>
      <c r="AN49" s="2">
        <v>-54.55</v>
      </c>
      <c r="AO49" s="2">
        <v>-54.55</v>
      </c>
      <c r="AP49" s="2">
        <v>0</v>
      </c>
      <c r="AQ49" s="2">
        <v>0</v>
      </c>
      <c r="AR49" t="s">
        <v>728</v>
      </c>
    </row>
    <row r="50" spans="1:44" x14ac:dyDescent="0.25">
      <c r="A50" s="1">
        <v>45943</v>
      </c>
      <c r="B50" t="s">
        <v>727</v>
      </c>
      <c r="C50">
        <v>17425766</v>
      </c>
      <c r="D50">
        <v>2029671452</v>
      </c>
      <c r="E50" t="s">
        <v>737</v>
      </c>
      <c r="F50" t="s">
        <v>738</v>
      </c>
      <c r="G50" t="s">
        <v>51</v>
      </c>
      <c r="I50" t="s">
        <v>92</v>
      </c>
      <c r="J50" t="s">
        <v>93</v>
      </c>
      <c r="K50">
        <v>17425766</v>
      </c>
      <c r="L50" t="s">
        <v>195</v>
      </c>
      <c r="M50" t="s">
        <v>196</v>
      </c>
      <c r="N50" t="s">
        <v>179</v>
      </c>
      <c r="O50" s="1">
        <v>45836</v>
      </c>
      <c r="P50" s="1">
        <v>45943</v>
      </c>
      <c r="R50" s="2">
        <v>0</v>
      </c>
      <c r="AB50" s="2">
        <v>96.53</v>
      </c>
      <c r="AC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16.09</v>
      </c>
      <c r="AN50" s="2">
        <v>-80.44</v>
      </c>
      <c r="AO50" s="2">
        <v>-80.44</v>
      </c>
      <c r="AP50" s="2">
        <v>0</v>
      </c>
      <c r="AQ50" s="2">
        <v>0</v>
      </c>
      <c r="AR50" t="s">
        <v>728</v>
      </c>
    </row>
    <row r="51" spans="1:44" x14ac:dyDescent="0.25">
      <c r="A51" s="1">
        <v>45943</v>
      </c>
      <c r="B51" t="s">
        <v>727</v>
      </c>
      <c r="C51">
        <v>17425766</v>
      </c>
      <c r="D51">
        <v>2029671451</v>
      </c>
      <c r="E51" t="s">
        <v>737</v>
      </c>
      <c r="F51" t="s">
        <v>738</v>
      </c>
      <c r="G51" t="s">
        <v>51</v>
      </c>
      <c r="I51" t="s">
        <v>114</v>
      </c>
      <c r="J51" t="s">
        <v>576</v>
      </c>
      <c r="K51">
        <v>17425766</v>
      </c>
      <c r="L51" t="s">
        <v>195</v>
      </c>
      <c r="M51" t="s">
        <v>196</v>
      </c>
      <c r="N51" t="s">
        <v>179</v>
      </c>
      <c r="O51" s="1">
        <v>45836</v>
      </c>
      <c r="P51" s="1">
        <v>45943</v>
      </c>
      <c r="R51" s="2">
        <v>0</v>
      </c>
      <c r="AB51" s="2">
        <v>34.340000000000003</v>
      </c>
      <c r="AC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5.72</v>
      </c>
      <c r="AN51" s="2">
        <v>-28.62</v>
      </c>
      <c r="AO51" s="2">
        <v>-28.62</v>
      </c>
      <c r="AP51" s="2">
        <v>0</v>
      </c>
      <c r="AQ51" s="2">
        <v>0</v>
      </c>
      <c r="AR51" t="s">
        <v>728</v>
      </c>
    </row>
    <row r="52" spans="1:44" x14ac:dyDescent="0.25">
      <c r="A52" s="1">
        <v>45943</v>
      </c>
      <c r="B52" t="s">
        <v>727</v>
      </c>
      <c r="C52">
        <v>649163</v>
      </c>
      <c r="D52">
        <v>2030772793</v>
      </c>
      <c r="E52" t="s">
        <v>192</v>
      </c>
      <c r="F52" t="s">
        <v>336</v>
      </c>
      <c r="G52" t="s">
        <v>51</v>
      </c>
      <c r="I52" t="s">
        <v>53</v>
      </c>
      <c r="J52" t="s">
        <v>54</v>
      </c>
      <c r="K52">
        <v>649163</v>
      </c>
      <c r="L52" t="s">
        <v>65</v>
      </c>
      <c r="M52" t="s">
        <v>81</v>
      </c>
      <c r="N52" t="s">
        <v>179</v>
      </c>
      <c r="O52" s="1">
        <v>45901</v>
      </c>
      <c r="P52" s="1">
        <v>45943</v>
      </c>
      <c r="R52" s="2">
        <v>0</v>
      </c>
      <c r="AB52" s="2">
        <v>594.45000000000005</v>
      </c>
      <c r="AC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198.16</v>
      </c>
      <c r="AN52" s="2">
        <v>-396.29</v>
      </c>
      <c r="AO52" s="2">
        <v>-396.29</v>
      </c>
      <c r="AP52" s="2">
        <v>0</v>
      </c>
      <c r="AQ52" s="2">
        <v>0</v>
      </c>
      <c r="AR52" t="s">
        <v>728</v>
      </c>
    </row>
    <row r="53" spans="1:44" x14ac:dyDescent="0.25">
      <c r="A53" s="1">
        <v>45943</v>
      </c>
      <c r="B53" t="s">
        <v>727</v>
      </c>
      <c r="C53">
        <v>649163</v>
      </c>
      <c r="D53">
        <v>2031337038</v>
      </c>
      <c r="E53" t="s">
        <v>133</v>
      </c>
      <c r="F53" t="s">
        <v>134</v>
      </c>
      <c r="G53" t="s">
        <v>51</v>
      </c>
      <c r="I53" t="s">
        <v>116</v>
      </c>
      <c r="J53" t="s">
        <v>125</v>
      </c>
      <c r="K53">
        <v>649163</v>
      </c>
      <c r="L53" t="s">
        <v>135</v>
      </c>
      <c r="M53" t="s">
        <v>136</v>
      </c>
      <c r="N53" t="s">
        <v>179</v>
      </c>
      <c r="O53" s="1">
        <v>45932</v>
      </c>
      <c r="P53" s="1">
        <v>45943</v>
      </c>
      <c r="R53" s="2">
        <v>0</v>
      </c>
      <c r="AB53" s="2">
        <v>610.74</v>
      </c>
      <c r="AC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101.79</v>
      </c>
      <c r="AN53" s="2">
        <v>-508.95</v>
      </c>
      <c r="AO53" s="2">
        <v>-508.95</v>
      </c>
      <c r="AP53" s="2">
        <v>0</v>
      </c>
      <c r="AQ53" s="2">
        <v>0</v>
      </c>
      <c r="AR53" t="s">
        <v>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CFA4-5361-4C36-BC54-63639DCAF8AC}">
  <dimension ref="A1:AZ38"/>
  <sheetViews>
    <sheetView workbookViewId="0">
      <selection activeCell="K25" sqref="K25"/>
    </sheetView>
  </sheetViews>
  <sheetFormatPr defaultRowHeight="15" x14ac:dyDescent="0.25"/>
  <cols>
    <col min="1" max="1" width="11" bestFit="1" customWidth="1"/>
    <col min="4" max="4" width="17.42578125" bestFit="1" customWidth="1"/>
    <col min="7" max="7" width="18" customWidth="1"/>
    <col min="8" max="8" width="15.7109375" bestFit="1" customWidth="1"/>
    <col min="9" max="9" width="5.42578125" customWidth="1"/>
    <col min="10" max="10" width="5.85546875" customWidth="1"/>
    <col min="11" max="11" width="19" bestFit="1" customWidth="1"/>
    <col min="12" max="12" width="7.85546875" customWidth="1"/>
    <col min="13" max="13" width="11.28515625" customWidth="1"/>
    <col min="14" max="14" width="12" bestFit="1" customWidth="1"/>
    <col min="15" max="15" width="15.85546875" customWidth="1"/>
    <col min="17" max="17" width="3.28515625" customWidth="1"/>
    <col min="18" max="18" width="7.140625" customWidth="1"/>
    <col min="19" max="19" width="7.42578125" customWidth="1"/>
    <col min="20" max="20" width="3.42578125" customWidth="1"/>
    <col min="21" max="21" width="3" customWidth="1"/>
  </cols>
  <sheetData>
    <row r="1" spans="1:52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M1" t="s">
        <v>14</v>
      </c>
      <c r="N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25</v>
      </c>
      <c r="U1" t="s">
        <v>26</v>
      </c>
      <c r="V1" t="s">
        <v>37</v>
      </c>
    </row>
    <row r="2" spans="1:52" s="5" customFormat="1" x14ac:dyDescent="0.25">
      <c r="A2" s="5">
        <v>2031523386</v>
      </c>
      <c r="B2" s="5" t="s">
        <v>73</v>
      </c>
      <c r="C2" s="5" t="s">
        <v>74</v>
      </c>
      <c r="D2" s="5" t="str">
        <f t="shared" ref="D2:D22" si="0">CONCATENATE(C2, " ", B2)</f>
        <v>ERIC GERMAIN</v>
      </c>
      <c r="E2" s="5" t="s">
        <v>69</v>
      </c>
      <c r="F2" s="5" t="s">
        <v>116</v>
      </c>
      <c r="G2" s="5" t="s">
        <v>117</v>
      </c>
      <c r="H2" s="5" t="s">
        <v>742</v>
      </c>
      <c r="I2" s="5" t="s">
        <v>71</v>
      </c>
      <c r="J2" s="5" t="s">
        <v>72</v>
      </c>
      <c r="K2" s="5" t="str">
        <f t="shared" ref="K2:K22" si="1">CONCATENATE(J2, " ",I2)</f>
        <v>Heather Geske</v>
      </c>
      <c r="L2" s="5" t="s">
        <v>57</v>
      </c>
      <c r="M2" s="6">
        <v>45939</v>
      </c>
      <c r="N2" s="6">
        <v>45970</v>
      </c>
      <c r="O2" s="6">
        <f>DATE(YEAR(M2), MONTH(M2) +6, DAY(M2))</f>
        <v>46121</v>
      </c>
      <c r="P2" s="7">
        <v>6.3</v>
      </c>
      <c r="Q2" s="5">
        <v>1</v>
      </c>
      <c r="R2" s="5" t="s">
        <v>58</v>
      </c>
      <c r="S2" s="8">
        <v>0.7</v>
      </c>
      <c r="T2" s="5" t="s">
        <v>61</v>
      </c>
      <c r="U2" s="5">
        <v>6</v>
      </c>
      <c r="V2" s="7">
        <v>4.41</v>
      </c>
      <c r="W2" s="7">
        <f>V2/6</f>
        <v>0.73499999999999999</v>
      </c>
      <c r="X2" s="5" t="s">
        <v>591</v>
      </c>
      <c r="AZ2"/>
    </row>
    <row r="3" spans="1:52" s="5" customFormat="1" x14ac:dyDescent="0.25">
      <c r="A3" s="5">
        <v>2031523388</v>
      </c>
      <c r="B3" s="5" t="s">
        <v>73</v>
      </c>
      <c r="C3" s="5" t="s">
        <v>74</v>
      </c>
      <c r="D3" s="5" t="str">
        <f t="shared" si="0"/>
        <v>ERIC GERMAIN</v>
      </c>
      <c r="E3" s="5" t="s">
        <v>69</v>
      </c>
      <c r="F3" s="5" t="s">
        <v>114</v>
      </c>
      <c r="G3" s="5" t="s">
        <v>115</v>
      </c>
      <c r="H3" s="5" t="s">
        <v>742</v>
      </c>
      <c r="I3" s="5" t="s">
        <v>71</v>
      </c>
      <c r="J3" s="5" t="s">
        <v>72</v>
      </c>
      <c r="K3" s="5" t="str">
        <f t="shared" si="1"/>
        <v>Heather Geske</v>
      </c>
      <c r="L3" s="5" t="s">
        <v>57</v>
      </c>
      <c r="M3" s="6">
        <v>45939</v>
      </c>
      <c r="N3" s="6">
        <v>45970</v>
      </c>
      <c r="O3" s="6">
        <f t="shared" ref="O3:O22" si="2">DATE(YEAR(M3), MONTH(M3) +6, DAY(M3))</f>
        <v>46121</v>
      </c>
      <c r="P3" s="7">
        <v>432.86</v>
      </c>
      <c r="Q3" s="5">
        <v>1</v>
      </c>
      <c r="R3" s="5" t="s">
        <v>58</v>
      </c>
      <c r="S3" s="8">
        <v>0.38</v>
      </c>
      <c r="T3" s="5" t="s">
        <v>61</v>
      </c>
      <c r="U3" s="5">
        <v>6</v>
      </c>
      <c r="V3" s="7">
        <v>164.49</v>
      </c>
      <c r="W3" s="7">
        <f t="shared" ref="W3:W22" si="3">V3/6</f>
        <v>27.415000000000003</v>
      </c>
      <c r="X3" s="5" t="s">
        <v>115</v>
      </c>
      <c r="AZ3"/>
    </row>
    <row r="4" spans="1:52" x14ac:dyDescent="0.25">
      <c r="A4" s="5">
        <v>2031523387</v>
      </c>
      <c r="B4" s="5" t="s">
        <v>73</v>
      </c>
      <c r="C4" s="5" t="s">
        <v>74</v>
      </c>
      <c r="D4" s="5" t="str">
        <f t="shared" si="0"/>
        <v>ERIC GERMAIN</v>
      </c>
      <c r="E4" s="5" t="s">
        <v>69</v>
      </c>
      <c r="F4" s="5" t="s">
        <v>53</v>
      </c>
      <c r="G4" s="5" t="s">
        <v>75</v>
      </c>
      <c r="H4" s="5" t="s">
        <v>742</v>
      </c>
      <c r="I4" s="5" t="s">
        <v>71</v>
      </c>
      <c r="J4" s="5" t="s">
        <v>72</v>
      </c>
      <c r="K4" s="5" t="str">
        <f t="shared" si="1"/>
        <v>Heather Geske</v>
      </c>
      <c r="L4" s="5" t="s">
        <v>57</v>
      </c>
      <c r="M4" s="6">
        <v>45939</v>
      </c>
      <c r="N4" s="6">
        <v>45970</v>
      </c>
      <c r="O4" s="6">
        <f t="shared" si="2"/>
        <v>46121</v>
      </c>
      <c r="P4" s="7">
        <v>63.48</v>
      </c>
      <c r="Q4" s="5">
        <v>1</v>
      </c>
      <c r="R4" s="5" t="s">
        <v>58</v>
      </c>
      <c r="S4" s="8">
        <v>0.65</v>
      </c>
      <c r="T4" s="5" t="s">
        <v>61</v>
      </c>
      <c r="U4" s="5">
        <v>6</v>
      </c>
      <c r="V4" s="7">
        <v>41.26</v>
      </c>
      <c r="W4" s="7">
        <f t="shared" si="3"/>
        <v>6.876666666666666</v>
      </c>
      <c r="X4" s="5" t="s">
        <v>750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2" s="5" customFormat="1" x14ac:dyDescent="0.25">
      <c r="A5" s="5">
        <v>2031492464</v>
      </c>
      <c r="B5" s="5" t="s">
        <v>62</v>
      </c>
      <c r="C5" s="5" t="s">
        <v>63</v>
      </c>
      <c r="D5" s="5" t="str">
        <f t="shared" si="0"/>
        <v>SHARON MULLOY</v>
      </c>
      <c r="E5" s="5" t="s">
        <v>64</v>
      </c>
      <c r="F5" s="5" t="s">
        <v>53</v>
      </c>
      <c r="G5" s="5" t="s">
        <v>54</v>
      </c>
      <c r="H5" s="5" t="s">
        <v>747</v>
      </c>
      <c r="I5" s="5" t="s">
        <v>65</v>
      </c>
      <c r="J5" s="5" t="s">
        <v>66</v>
      </c>
      <c r="K5" s="5" t="str">
        <f t="shared" si="1"/>
        <v>Richard Yale</v>
      </c>
      <c r="L5" s="5" t="s">
        <v>57</v>
      </c>
      <c r="M5" s="6">
        <v>45938</v>
      </c>
      <c r="N5" s="6">
        <v>45969</v>
      </c>
      <c r="O5" s="6">
        <f t="shared" si="2"/>
        <v>46120</v>
      </c>
      <c r="P5" s="7">
        <v>71.63</v>
      </c>
      <c r="Q5" s="5">
        <v>1</v>
      </c>
      <c r="R5" s="5" t="s">
        <v>58</v>
      </c>
      <c r="S5" s="8">
        <v>0.75</v>
      </c>
      <c r="T5" s="5" t="s">
        <v>61</v>
      </c>
      <c r="U5" s="5">
        <v>6</v>
      </c>
      <c r="V5" s="7">
        <v>53.72</v>
      </c>
      <c r="W5" s="7">
        <f t="shared" si="3"/>
        <v>8.9533333333333331</v>
      </c>
      <c r="X5" s="5" t="s">
        <v>751</v>
      </c>
    </row>
    <row r="6" spans="1:52" x14ac:dyDescent="0.25">
      <c r="A6" s="5">
        <v>2031494985</v>
      </c>
      <c r="B6" s="5" t="s">
        <v>67</v>
      </c>
      <c r="C6" s="5" t="s">
        <v>68</v>
      </c>
      <c r="D6" s="5" t="str">
        <f t="shared" si="0"/>
        <v>EWAN MACKINNON</v>
      </c>
      <c r="E6" s="5" t="s">
        <v>69</v>
      </c>
      <c r="F6" s="5" t="s">
        <v>53</v>
      </c>
      <c r="G6" s="5" t="s">
        <v>70</v>
      </c>
      <c r="H6" s="5" t="s">
        <v>742</v>
      </c>
      <c r="I6" s="5" t="s">
        <v>71</v>
      </c>
      <c r="J6" s="5" t="s">
        <v>72</v>
      </c>
      <c r="K6" s="5" t="str">
        <f t="shared" si="1"/>
        <v>Heather Geske</v>
      </c>
      <c r="L6" s="5" t="s">
        <v>57</v>
      </c>
      <c r="M6" s="6">
        <v>45938</v>
      </c>
      <c r="N6" s="6">
        <v>45969</v>
      </c>
      <c r="O6" s="6">
        <f t="shared" si="2"/>
        <v>46120</v>
      </c>
      <c r="P6" s="7">
        <v>16.579999999999998</v>
      </c>
      <c r="Q6" s="5">
        <v>1</v>
      </c>
      <c r="R6" s="5" t="s">
        <v>58</v>
      </c>
      <c r="S6" s="8">
        <v>0.9</v>
      </c>
      <c r="T6" s="5" t="s">
        <v>61</v>
      </c>
      <c r="U6" s="5">
        <v>6</v>
      </c>
      <c r="V6" s="7">
        <v>14.92</v>
      </c>
      <c r="W6" s="7">
        <f t="shared" si="3"/>
        <v>2.4866666666666668</v>
      </c>
      <c r="X6" s="5" t="s">
        <v>752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</row>
    <row r="7" spans="1:52" x14ac:dyDescent="0.25">
      <c r="A7" s="5">
        <v>2031501468</v>
      </c>
      <c r="B7" s="5" t="s">
        <v>137</v>
      </c>
      <c r="C7" s="5" t="s">
        <v>138</v>
      </c>
      <c r="D7" s="5" t="str">
        <f t="shared" si="0"/>
        <v>NICOLE DENOFRIO</v>
      </c>
      <c r="E7" s="5" t="s">
        <v>78</v>
      </c>
      <c r="F7" s="5" t="s">
        <v>116</v>
      </c>
      <c r="G7" s="5" t="s">
        <v>125</v>
      </c>
      <c r="H7" s="5" t="s">
        <v>739</v>
      </c>
      <c r="I7" s="5" t="s">
        <v>139</v>
      </c>
      <c r="J7" s="5" t="s">
        <v>140</v>
      </c>
      <c r="K7" s="5" t="str">
        <f t="shared" si="1"/>
        <v>ANDREA PETRUNGARO</v>
      </c>
      <c r="L7" s="5" t="s">
        <v>57</v>
      </c>
      <c r="M7" s="6">
        <v>45938</v>
      </c>
      <c r="N7" s="6">
        <v>45969</v>
      </c>
      <c r="O7" s="6">
        <f t="shared" si="2"/>
        <v>46120</v>
      </c>
      <c r="P7" s="7">
        <v>96</v>
      </c>
      <c r="Q7" s="5">
        <v>1</v>
      </c>
      <c r="R7" s="5" t="s">
        <v>58</v>
      </c>
      <c r="S7" s="8">
        <v>0.7</v>
      </c>
      <c r="T7" s="5" t="s">
        <v>61</v>
      </c>
      <c r="U7" s="5">
        <v>6</v>
      </c>
      <c r="V7" s="7">
        <v>67.2</v>
      </c>
      <c r="W7" s="7">
        <f t="shared" si="3"/>
        <v>11.200000000000001</v>
      </c>
      <c r="X7" s="5" t="s">
        <v>125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</row>
    <row r="8" spans="1:52" x14ac:dyDescent="0.25">
      <c r="A8" s="5">
        <v>2031453112</v>
      </c>
      <c r="B8" s="5" t="s">
        <v>123</v>
      </c>
      <c r="C8" s="5" t="s">
        <v>124</v>
      </c>
      <c r="D8" s="5" t="str">
        <f t="shared" si="0"/>
        <v>KENNETH EATON</v>
      </c>
      <c r="E8" s="5" t="s">
        <v>78</v>
      </c>
      <c r="F8" s="5" t="s">
        <v>116</v>
      </c>
      <c r="G8" s="5" t="s">
        <v>125</v>
      </c>
      <c r="H8" s="5" t="s">
        <v>740</v>
      </c>
      <c r="I8" s="5" t="s">
        <v>126</v>
      </c>
      <c r="J8" s="5" t="s">
        <v>127</v>
      </c>
      <c r="K8" s="5" t="str">
        <f t="shared" si="1"/>
        <v>Andrew Choi</v>
      </c>
      <c r="L8" s="5" t="s">
        <v>57</v>
      </c>
      <c r="M8" s="6">
        <v>45941</v>
      </c>
      <c r="N8" s="6">
        <v>45972</v>
      </c>
      <c r="O8" s="6">
        <f t="shared" si="2"/>
        <v>46123</v>
      </c>
      <c r="P8" s="7">
        <v>212.26</v>
      </c>
      <c r="Q8" s="5">
        <v>1</v>
      </c>
      <c r="R8" s="5" t="s">
        <v>58</v>
      </c>
      <c r="S8" s="8">
        <v>0.7</v>
      </c>
      <c r="T8" s="5" t="s">
        <v>61</v>
      </c>
      <c r="U8" s="5">
        <v>6</v>
      </c>
      <c r="V8" s="7">
        <v>148.58000000000001</v>
      </c>
      <c r="W8" s="7">
        <f t="shared" si="3"/>
        <v>24.763333333333335</v>
      </c>
      <c r="X8" s="5" t="s">
        <v>125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</row>
    <row r="9" spans="1:52" x14ac:dyDescent="0.25">
      <c r="A9" s="5">
        <v>2031474832</v>
      </c>
      <c r="B9" s="5" t="s">
        <v>133</v>
      </c>
      <c r="C9" s="5" t="s">
        <v>134</v>
      </c>
      <c r="D9" s="5" t="str">
        <f t="shared" si="0"/>
        <v>GUADALUPE SANCHEZ</v>
      </c>
      <c r="E9" s="5" t="s">
        <v>78</v>
      </c>
      <c r="F9" s="5" t="s">
        <v>116</v>
      </c>
      <c r="G9" s="5" t="s">
        <v>125</v>
      </c>
      <c r="H9" s="5" t="s">
        <v>741</v>
      </c>
      <c r="I9" s="5" t="s">
        <v>135</v>
      </c>
      <c r="J9" s="5" t="s">
        <v>136</v>
      </c>
      <c r="K9" s="5" t="str">
        <f t="shared" si="1"/>
        <v>Barry Schumann</v>
      </c>
      <c r="L9" s="5" t="s">
        <v>57</v>
      </c>
      <c r="M9" s="6">
        <v>45937</v>
      </c>
      <c r="N9" s="6">
        <v>45968</v>
      </c>
      <c r="O9" s="6">
        <f t="shared" si="2"/>
        <v>46119</v>
      </c>
      <c r="P9" s="7">
        <v>42.36</v>
      </c>
      <c r="Q9" s="5">
        <v>1</v>
      </c>
      <c r="R9" s="5" t="s">
        <v>58</v>
      </c>
      <c r="S9" s="8">
        <v>0.7</v>
      </c>
      <c r="T9" s="5" t="s">
        <v>61</v>
      </c>
      <c r="U9" s="5">
        <v>6</v>
      </c>
      <c r="V9" s="7">
        <v>29.65</v>
      </c>
      <c r="W9" s="7">
        <f t="shared" si="3"/>
        <v>4.9416666666666664</v>
      </c>
      <c r="X9" s="5" t="s">
        <v>125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2" x14ac:dyDescent="0.25">
      <c r="A10" s="5">
        <v>2031494984</v>
      </c>
      <c r="B10" s="5" t="s">
        <v>67</v>
      </c>
      <c r="C10" s="5" t="s">
        <v>68</v>
      </c>
      <c r="D10" s="5" t="str">
        <f t="shared" si="0"/>
        <v>EWAN MACKINNON</v>
      </c>
      <c r="E10" s="5" t="s">
        <v>69</v>
      </c>
      <c r="F10" s="5" t="s">
        <v>116</v>
      </c>
      <c r="G10" s="5" t="s">
        <v>125</v>
      </c>
      <c r="H10" s="5" t="s">
        <v>742</v>
      </c>
      <c r="I10" s="5" t="s">
        <v>71</v>
      </c>
      <c r="J10" s="5" t="s">
        <v>72</v>
      </c>
      <c r="K10" s="5" t="str">
        <f t="shared" si="1"/>
        <v>Heather Geske</v>
      </c>
      <c r="L10" s="5" t="s">
        <v>57</v>
      </c>
      <c r="M10" s="6">
        <v>45938</v>
      </c>
      <c r="N10" s="6">
        <v>45969</v>
      </c>
      <c r="O10" s="6">
        <f t="shared" si="2"/>
        <v>46120</v>
      </c>
      <c r="P10" s="7">
        <v>7.11</v>
      </c>
      <c r="Q10" s="5">
        <v>1</v>
      </c>
      <c r="R10" s="5" t="s">
        <v>58</v>
      </c>
      <c r="S10" s="8">
        <v>0.7</v>
      </c>
      <c r="T10" s="5" t="s">
        <v>61</v>
      </c>
      <c r="U10" s="5">
        <v>6</v>
      </c>
      <c r="V10" s="7">
        <v>4.9800000000000004</v>
      </c>
      <c r="W10" s="7">
        <f t="shared" si="3"/>
        <v>0.83000000000000007</v>
      </c>
      <c r="X10" s="5" t="s">
        <v>125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2" x14ac:dyDescent="0.25">
      <c r="A11" s="5">
        <v>2031523389</v>
      </c>
      <c r="B11" s="5" t="s">
        <v>73</v>
      </c>
      <c r="C11" s="5" t="s">
        <v>74</v>
      </c>
      <c r="D11" s="5" t="str">
        <f t="shared" si="0"/>
        <v>ERIC GERMAIN</v>
      </c>
      <c r="E11" s="5" t="s">
        <v>69</v>
      </c>
      <c r="F11" s="5" t="s">
        <v>116</v>
      </c>
      <c r="G11" s="5" t="s">
        <v>125</v>
      </c>
      <c r="H11" s="5" t="s">
        <v>742</v>
      </c>
      <c r="I11" s="5" t="s">
        <v>71</v>
      </c>
      <c r="J11" s="5" t="s">
        <v>72</v>
      </c>
      <c r="K11" s="5" t="str">
        <f t="shared" si="1"/>
        <v>Heather Geske</v>
      </c>
      <c r="L11" s="5" t="s">
        <v>57</v>
      </c>
      <c r="M11" s="6">
        <v>45939</v>
      </c>
      <c r="N11" s="6">
        <v>45970</v>
      </c>
      <c r="O11" s="6">
        <f t="shared" si="2"/>
        <v>46121</v>
      </c>
      <c r="P11" s="7">
        <v>9.1</v>
      </c>
      <c r="Q11" s="5">
        <v>1</v>
      </c>
      <c r="R11" s="5" t="s">
        <v>58</v>
      </c>
      <c r="S11" s="8">
        <v>0.7</v>
      </c>
      <c r="T11" s="5" t="s">
        <v>61</v>
      </c>
      <c r="U11" s="5">
        <v>6</v>
      </c>
      <c r="V11" s="7">
        <v>6.37</v>
      </c>
      <c r="W11" s="7">
        <f t="shared" si="3"/>
        <v>1.0616666666666668</v>
      </c>
      <c r="X11" s="5" t="s">
        <v>125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2" x14ac:dyDescent="0.25">
      <c r="A12" s="5">
        <v>2031569265</v>
      </c>
      <c r="B12" s="5" t="s">
        <v>153</v>
      </c>
      <c r="C12" s="5" t="s">
        <v>154</v>
      </c>
      <c r="D12" s="5" t="str">
        <f t="shared" si="0"/>
        <v>ETHAN LOIGEROT</v>
      </c>
      <c r="E12" s="5" t="s">
        <v>155</v>
      </c>
      <c r="F12" s="5" t="s">
        <v>116</v>
      </c>
      <c r="G12" s="5" t="s">
        <v>125</v>
      </c>
      <c r="H12" s="5" t="s">
        <v>743</v>
      </c>
      <c r="I12" s="5" t="s">
        <v>156</v>
      </c>
      <c r="J12" s="5" t="s">
        <v>157</v>
      </c>
      <c r="K12" s="5" t="str">
        <f t="shared" si="1"/>
        <v>Jake Shulman</v>
      </c>
      <c r="L12" s="5" t="s">
        <v>57</v>
      </c>
      <c r="M12" s="6">
        <v>45941</v>
      </c>
      <c r="N12" s="6">
        <v>45972</v>
      </c>
      <c r="O12" s="6">
        <f t="shared" si="2"/>
        <v>46123</v>
      </c>
      <c r="P12" s="7">
        <v>56.5</v>
      </c>
      <c r="Q12" s="5">
        <v>1</v>
      </c>
      <c r="R12" s="5" t="s">
        <v>58</v>
      </c>
      <c r="S12" s="8">
        <v>0.7</v>
      </c>
      <c r="T12" s="5" t="s">
        <v>61</v>
      </c>
      <c r="U12" s="5">
        <v>6</v>
      </c>
      <c r="V12" s="7">
        <v>39.549999999999997</v>
      </c>
      <c r="W12" s="7">
        <f t="shared" si="3"/>
        <v>6.5916666666666659</v>
      </c>
      <c r="X12" s="5" t="s">
        <v>125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2" s="5" customFormat="1" x14ac:dyDescent="0.25">
      <c r="A13" s="5">
        <v>2031526094</v>
      </c>
      <c r="B13" s="5" t="s">
        <v>105</v>
      </c>
      <c r="C13" s="5" t="s">
        <v>106</v>
      </c>
      <c r="D13" s="5" t="str">
        <f t="shared" si="0"/>
        <v>JENNIFER BRATTON</v>
      </c>
      <c r="E13" s="5" t="s">
        <v>107</v>
      </c>
      <c r="F13" s="5" t="s">
        <v>116</v>
      </c>
      <c r="G13" s="5" t="s">
        <v>125</v>
      </c>
      <c r="H13" s="5" t="s">
        <v>744</v>
      </c>
      <c r="I13" s="5" t="s">
        <v>108</v>
      </c>
      <c r="J13" s="5" t="s">
        <v>109</v>
      </c>
      <c r="K13" s="5" t="str">
        <f t="shared" si="1"/>
        <v>Marsha Sanderock</v>
      </c>
      <c r="L13" s="5" t="s">
        <v>57</v>
      </c>
      <c r="M13" s="6">
        <v>45939</v>
      </c>
      <c r="N13" s="6">
        <v>45970</v>
      </c>
      <c r="O13" s="6">
        <f t="shared" si="2"/>
        <v>46121</v>
      </c>
      <c r="P13" s="7">
        <v>3.52</v>
      </c>
      <c r="Q13" s="5">
        <v>1</v>
      </c>
      <c r="R13" s="5" t="s">
        <v>58</v>
      </c>
      <c r="S13" s="8">
        <v>0.7</v>
      </c>
      <c r="T13" s="5" t="s">
        <v>61</v>
      </c>
      <c r="U13" s="5">
        <v>6</v>
      </c>
      <c r="V13" s="7">
        <v>2.46</v>
      </c>
      <c r="W13" s="7">
        <f t="shared" si="3"/>
        <v>0.41</v>
      </c>
      <c r="X13" s="5" t="s">
        <v>125</v>
      </c>
    </row>
    <row r="14" spans="1:52" s="5" customFormat="1" x14ac:dyDescent="0.25">
      <c r="A14" s="5">
        <v>2031568599</v>
      </c>
      <c r="B14" s="5" t="s">
        <v>149</v>
      </c>
      <c r="C14" s="5" t="s">
        <v>150</v>
      </c>
      <c r="D14" s="5" t="str">
        <f t="shared" si="0"/>
        <v>KHATANBAATAR OTGON</v>
      </c>
      <c r="E14" s="5" t="s">
        <v>78</v>
      </c>
      <c r="F14" s="5" t="s">
        <v>116</v>
      </c>
      <c r="G14" s="5" t="s">
        <v>125</v>
      </c>
      <c r="H14" s="5" t="s">
        <v>745</v>
      </c>
      <c r="I14" s="5" t="s">
        <v>151</v>
      </c>
      <c r="J14" s="5" t="s">
        <v>152</v>
      </c>
      <c r="K14" s="5" t="str">
        <f t="shared" si="1"/>
        <v>NASANDELGER ZANA</v>
      </c>
      <c r="L14" s="5" t="s">
        <v>57</v>
      </c>
      <c r="M14" s="6">
        <v>45941</v>
      </c>
      <c r="N14" s="6">
        <v>45972</v>
      </c>
      <c r="O14" s="6">
        <f t="shared" si="2"/>
        <v>46123</v>
      </c>
      <c r="P14" s="7">
        <v>95.92</v>
      </c>
      <c r="Q14" s="5">
        <v>1</v>
      </c>
      <c r="R14" s="5" t="s">
        <v>58</v>
      </c>
      <c r="S14" s="8">
        <v>0.7</v>
      </c>
      <c r="T14" s="5" t="s">
        <v>61</v>
      </c>
      <c r="U14" s="5">
        <v>6</v>
      </c>
      <c r="V14" s="7">
        <v>67.14</v>
      </c>
      <c r="W14" s="7">
        <f t="shared" si="3"/>
        <v>11.19</v>
      </c>
      <c r="X14" s="5" t="s">
        <v>125</v>
      </c>
    </row>
    <row r="15" spans="1:52" s="5" customFormat="1" x14ac:dyDescent="0.25">
      <c r="A15" s="5">
        <v>2031574197</v>
      </c>
      <c r="B15" s="5" t="s">
        <v>162</v>
      </c>
      <c r="C15" s="5" t="s">
        <v>163</v>
      </c>
      <c r="D15" s="5" t="str">
        <f t="shared" si="0"/>
        <v>NARMANDAKH BATTULGA</v>
      </c>
      <c r="E15" s="5" t="s">
        <v>78</v>
      </c>
      <c r="F15" s="5" t="s">
        <v>116</v>
      </c>
      <c r="G15" s="5" t="s">
        <v>125</v>
      </c>
      <c r="H15" s="5" t="s">
        <v>745</v>
      </c>
      <c r="I15" s="5" t="s">
        <v>151</v>
      </c>
      <c r="J15" s="5" t="s">
        <v>152</v>
      </c>
      <c r="K15" s="5" t="str">
        <f t="shared" si="1"/>
        <v>NASANDELGER ZANA</v>
      </c>
      <c r="L15" s="5" t="s">
        <v>57</v>
      </c>
      <c r="M15" s="6">
        <v>45941</v>
      </c>
      <c r="N15" s="6">
        <v>45972</v>
      </c>
      <c r="O15" s="6">
        <f t="shared" si="2"/>
        <v>46123</v>
      </c>
      <c r="P15" s="7">
        <v>42.36</v>
      </c>
      <c r="Q15" s="5">
        <v>1</v>
      </c>
      <c r="R15" s="5" t="s">
        <v>58</v>
      </c>
      <c r="S15" s="8">
        <v>0.7</v>
      </c>
      <c r="T15" s="5" t="s">
        <v>61</v>
      </c>
      <c r="U15" s="5">
        <v>6</v>
      </c>
      <c r="V15" s="7">
        <v>29.65</v>
      </c>
      <c r="W15" s="7">
        <f t="shared" si="3"/>
        <v>4.9416666666666664</v>
      </c>
      <c r="X15" s="5" t="s">
        <v>125</v>
      </c>
    </row>
    <row r="16" spans="1:52" s="5" customFormat="1" x14ac:dyDescent="0.25">
      <c r="A16" s="5">
        <v>2031525706</v>
      </c>
      <c r="B16" s="5" t="s">
        <v>141</v>
      </c>
      <c r="C16" s="5" t="s">
        <v>142</v>
      </c>
      <c r="D16" s="5" t="str">
        <f t="shared" si="0"/>
        <v>CRISTIAN MADRIGAL</v>
      </c>
      <c r="E16" s="5" t="s">
        <v>91</v>
      </c>
      <c r="F16" s="5" t="s">
        <v>116</v>
      </c>
      <c r="G16" s="5" t="s">
        <v>125</v>
      </c>
      <c r="H16" s="5" t="s">
        <v>746</v>
      </c>
      <c r="I16" s="5" t="s">
        <v>143</v>
      </c>
      <c r="J16" s="5" t="s">
        <v>144</v>
      </c>
      <c r="K16" s="5" t="str">
        <f t="shared" si="1"/>
        <v>Noah Dionesotes</v>
      </c>
      <c r="L16" s="5" t="s">
        <v>57</v>
      </c>
      <c r="M16" s="6">
        <v>45939</v>
      </c>
      <c r="N16" s="6">
        <v>45970</v>
      </c>
      <c r="O16" s="6">
        <f t="shared" si="2"/>
        <v>46121</v>
      </c>
      <c r="P16" s="7">
        <v>99</v>
      </c>
      <c r="Q16" s="5">
        <v>1</v>
      </c>
      <c r="R16" s="5" t="s">
        <v>58</v>
      </c>
      <c r="S16" s="8">
        <v>0.7</v>
      </c>
      <c r="T16" s="5" t="s">
        <v>61</v>
      </c>
      <c r="U16" s="5">
        <v>6</v>
      </c>
      <c r="V16" s="7">
        <v>69.3</v>
      </c>
      <c r="W16" s="7">
        <f t="shared" si="3"/>
        <v>11.549999999999999</v>
      </c>
      <c r="X16" s="5" t="s">
        <v>125</v>
      </c>
    </row>
    <row r="17" spans="1:52" s="5" customFormat="1" x14ac:dyDescent="0.25">
      <c r="A17" s="5">
        <v>2031492463</v>
      </c>
      <c r="B17" s="5" t="s">
        <v>62</v>
      </c>
      <c r="C17" s="5" t="s">
        <v>63</v>
      </c>
      <c r="D17" s="5" t="str">
        <f t="shared" si="0"/>
        <v>SHARON MULLOY</v>
      </c>
      <c r="E17" s="5" t="s">
        <v>64</v>
      </c>
      <c r="F17" s="5" t="s">
        <v>116</v>
      </c>
      <c r="G17" s="5" t="s">
        <v>125</v>
      </c>
      <c r="H17" s="5" t="s">
        <v>747</v>
      </c>
      <c r="I17" s="5" t="s">
        <v>65</v>
      </c>
      <c r="J17" s="5" t="s">
        <v>66</v>
      </c>
      <c r="K17" s="5" t="str">
        <f t="shared" si="1"/>
        <v>Richard Yale</v>
      </c>
      <c r="L17" s="5" t="s">
        <v>57</v>
      </c>
      <c r="M17" s="6">
        <v>45938</v>
      </c>
      <c r="N17" s="6">
        <v>45969</v>
      </c>
      <c r="O17" s="6">
        <f t="shared" si="2"/>
        <v>46120</v>
      </c>
      <c r="P17" s="7">
        <v>101.99</v>
      </c>
      <c r="Q17" s="5">
        <v>1</v>
      </c>
      <c r="R17" s="5" t="s">
        <v>58</v>
      </c>
      <c r="S17" s="8">
        <v>0.7</v>
      </c>
      <c r="T17" s="5" t="s">
        <v>61</v>
      </c>
      <c r="U17" s="5">
        <v>6</v>
      </c>
      <c r="V17" s="7">
        <v>71.39</v>
      </c>
      <c r="W17" s="7">
        <f t="shared" si="3"/>
        <v>11.898333333333333</v>
      </c>
      <c r="X17" s="5" t="s">
        <v>125</v>
      </c>
      <c r="AZ17"/>
    </row>
    <row r="18" spans="1:52" s="5" customFormat="1" x14ac:dyDescent="0.25">
      <c r="A18" s="5">
        <v>2031534330</v>
      </c>
      <c r="B18" s="5" t="s">
        <v>145</v>
      </c>
      <c r="C18" s="5" t="s">
        <v>146</v>
      </c>
      <c r="D18" s="5" t="str">
        <f t="shared" si="0"/>
        <v>CHRISTOPHER DOSSETT</v>
      </c>
      <c r="E18" s="5" t="s">
        <v>91</v>
      </c>
      <c r="F18" s="5" t="s">
        <v>116</v>
      </c>
      <c r="G18" s="5" t="s">
        <v>125</v>
      </c>
      <c r="H18" s="5" t="s">
        <v>749</v>
      </c>
      <c r="I18" s="5" t="s">
        <v>147</v>
      </c>
      <c r="J18" s="5" t="s">
        <v>148</v>
      </c>
      <c r="K18" s="5" t="str">
        <f t="shared" si="1"/>
        <v>THOMAS PARDUE</v>
      </c>
      <c r="L18" s="5" t="s">
        <v>57</v>
      </c>
      <c r="M18" s="6">
        <v>45940</v>
      </c>
      <c r="N18" s="6">
        <v>45971</v>
      </c>
      <c r="O18" s="6">
        <f t="shared" si="2"/>
        <v>46122</v>
      </c>
      <c r="P18" s="7">
        <v>79.03</v>
      </c>
      <c r="Q18" s="5">
        <v>1</v>
      </c>
      <c r="R18" s="5" t="s">
        <v>58</v>
      </c>
      <c r="S18" s="8">
        <v>0.7</v>
      </c>
      <c r="T18" s="5" t="s">
        <v>61</v>
      </c>
      <c r="U18" s="5">
        <v>6</v>
      </c>
      <c r="V18" s="7">
        <v>55.32</v>
      </c>
      <c r="W18" s="7">
        <f t="shared" si="3"/>
        <v>9.2200000000000006</v>
      </c>
      <c r="X18" s="5" t="s">
        <v>125</v>
      </c>
    </row>
    <row r="19" spans="1:52" s="5" customFormat="1" x14ac:dyDescent="0.25">
      <c r="A19" s="5">
        <v>2031494983</v>
      </c>
      <c r="B19" s="5" t="s">
        <v>67</v>
      </c>
      <c r="C19" s="5" t="s">
        <v>68</v>
      </c>
      <c r="D19" s="5" t="str">
        <f t="shared" si="0"/>
        <v>EWAN MACKINNON</v>
      </c>
      <c r="E19" s="5" t="s">
        <v>69</v>
      </c>
      <c r="F19" s="5" t="s">
        <v>92</v>
      </c>
      <c r="G19" s="5" t="s">
        <v>93</v>
      </c>
      <c r="H19" s="5" t="s">
        <v>742</v>
      </c>
      <c r="I19" s="5" t="s">
        <v>71</v>
      </c>
      <c r="J19" s="5" t="s">
        <v>72</v>
      </c>
      <c r="K19" s="5" t="str">
        <f t="shared" si="1"/>
        <v>Heather Geske</v>
      </c>
      <c r="L19" s="5" t="s">
        <v>57</v>
      </c>
      <c r="M19" s="6">
        <v>45938</v>
      </c>
      <c r="N19" s="6">
        <v>45969</v>
      </c>
      <c r="O19" s="6">
        <f t="shared" si="2"/>
        <v>46120</v>
      </c>
      <c r="P19" s="7">
        <v>54.57</v>
      </c>
      <c r="Q19" s="5">
        <v>1</v>
      </c>
      <c r="R19" s="5" t="s">
        <v>58</v>
      </c>
      <c r="S19" s="9">
        <v>0.375</v>
      </c>
      <c r="T19" s="5" t="s">
        <v>61</v>
      </c>
      <c r="U19" s="5">
        <v>6</v>
      </c>
      <c r="V19" s="7">
        <v>20.46</v>
      </c>
      <c r="W19" s="7">
        <f t="shared" si="3"/>
        <v>3.41</v>
      </c>
      <c r="X19" s="5" t="s">
        <v>93</v>
      </c>
      <c r="AZ19"/>
    </row>
    <row r="20" spans="1:52" x14ac:dyDescent="0.25">
      <c r="A20" s="5">
        <v>2031526095</v>
      </c>
      <c r="B20" s="5" t="s">
        <v>105</v>
      </c>
      <c r="C20" s="5" t="s">
        <v>106</v>
      </c>
      <c r="D20" s="5" t="str">
        <f t="shared" si="0"/>
        <v>JENNIFER BRATTON</v>
      </c>
      <c r="E20" s="5" t="s">
        <v>107</v>
      </c>
      <c r="F20" s="5" t="s">
        <v>92</v>
      </c>
      <c r="G20" s="5" t="s">
        <v>93</v>
      </c>
      <c r="H20" s="5" t="s">
        <v>744</v>
      </c>
      <c r="I20" s="5" t="s">
        <v>108</v>
      </c>
      <c r="J20" s="5" t="s">
        <v>109</v>
      </c>
      <c r="K20" s="5" t="str">
        <f t="shared" si="1"/>
        <v>Marsha Sanderock</v>
      </c>
      <c r="L20" s="5" t="s">
        <v>57</v>
      </c>
      <c r="M20" s="6">
        <v>45939</v>
      </c>
      <c r="N20" s="6">
        <v>45970</v>
      </c>
      <c r="O20" s="6">
        <f t="shared" si="2"/>
        <v>46121</v>
      </c>
      <c r="P20" s="7">
        <v>48.15</v>
      </c>
      <c r="Q20" s="5">
        <v>1</v>
      </c>
      <c r="R20" s="5" t="s">
        <v>58</v>
      </c>
      <c r="S20" s="9">
        <v>0.375</v>
      </c>
      <c r="T20" s="5" t="s">
        <v>61</v>
      </c>
      <c r="U20" s="5">
        <v>6</v>
      </c>
      <c r="V20" s="7">
        <v>18.059999999999999</v>
      </c>
      <c r="W20" s="7">
        <f t="shared" si="3"/>
        <v>3.01</v>
      </c>
      <c r="X20" s="5" t="s">
        <v>93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</row>
    <row r="21" spans="1:52" s="5" customFormat="1" x14ac:dyDescent="0.25">
      <c r="A21" s="5">
        <v>2031492462</v>
      </c>
      <c r="B21" s="5" t="s">
        <v>62</v>
      </c>
      <c r="C21" s="5" t="s">
        <v>63</v>
      </c>
      <c r="D21" s="5" t="str">
        <f t="shared" si="0"/>
        <v>SHARON MULLOY</v>
      </c>
      <c r="E21" s="5" t="s">
        <v>64</v>
      </c>
      <c r="F21" s="5" t="s">
        <v>92</v>
      </c>
      <c r="G21" s="5" t="s">
        <v>93</v>
      </c>
      <c r="H21" s="5" t="s">
        <v>747</v>
      </c>
      <c r="I21" s="5" t="s">
        <v>65</v>
      </c>
      <c r="J21" s="5" t="s">
        <v>66</v>
      </c>
      <c r="K21" s="5" t="str">
        <f t="shared" si="1"/>
        <v>Richard Yale</v>
      </c>
      <c r="L21" s="5" t="s">
        <v>57</v>
      </c>
      <c r="M21" s="6">
        <v>45938</v>
      </c>
      <c r="N21" s="6">
        <v>45969</v>
      </c>
      <c r="O21" s="6">
        <f t="shared" si="2"/>
        <v>46120</v>
      </c>
      <c r="P21" s="7">
        <v>88.69</v>
      </c>
      <c r="Q21" s="5">
        <v>1</v>
      </c>
      <c r="R21" s="5" t="s">
        <v>58</v>
      </c>
      <c r="S21" s="9">
        <v>0.375</v>
      </c>
      <c r="T21" s="5" t="s">
        <v>61</v>
      </c>
      <c r="U21" s="5">
        <v>6</v>
      </c>
      <c r="V21" s="7">
        <v>33.26</v>
      </c>
      <c r="W21" s="7">
        <f t="shared" si="3"/>
        <v>5.543333333333333</v>
      </c>
      <c r="X21" s="5" t="s">
        <v>93</v>
      </c>
    </row>
    <row r="22" spans="1:52" s="5" customFormat="1" x14ac:dyDescent="0.25">
      <c r="A22" s="5">
        <v>2031463660</v>
      </c>
      <c r="B22" s="5" t="s">
        <v>128</v>
      </c>
      <c r="C22" s="5" t="s">
        <v>129</v>
      </c>
      <c r="D22" s="5" t="str">
        <f t="shared" si="0"/>
        <v>RITA MOORE</v>
      </c>
      <c r="E22" s="5" t="s">
        <v>130</v>
      </c>
      <c r="F22" s="5" t="s">
        <v>116</v>
      </c>
      <c r="G22" s="5" t="s">
        <v>120</v>
      </c>
      <c r="H22" s="5" t="s">
        <v>748</v>
      </c>
      <c r="I22" s="5" t="s">
        <v>131</v>
      </c>
      <c r="J22" s="5" t="s">
        <v>132</v>
      </c>
      <c r="K22" s="5" t="str">
        <f t="shared" si="1"/>
        <v>Taliah Ferguson</v>
      </c>
      <c r="L22" s="5" t="s">
        <v>57</v>
      </c>
      <c r="M22" s="6">
        <v>45940</v>
      </c>
      <c r="N22" s="6">
        <v>45971</v>
      </c>
      <c r="O22" s="6">
        <f t="shared" si="2"/>
        <v>46122</v>
      </c>
      <c r="P22" s="7">
        <v>51.63</v>
      </c>
      <c r="Q22" s="5">
        <v>1</v>
      </c>
      <c r="R22" s="5" t="s">
        <v>58</v>
      </c>
      <c r="S22" s="8">
        <v>0.9</v>
      </c>
      <c r="T22" s="5" t="s">
        <v>61</v>
      </c>
      <c r="U22" s="5">
        <v>6</v>
      </c>
      <c r="V22" s="7">
        <v>46.47</v>
      </c>
      <c r="W22" s="7">
        <f t="shared" si="3"/>
        <v>7.7450000000000001</v>
      </c>
      <c r="X22" s="5" t="s">
        <v>120</v>
      </c>
    </row>
    <row r="23" spans="1:52" s="5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 s="1"/>
      <c r="N23" s="1"/>
      <c r="O23" s="1"/>
      <c r="P23" s="2"/>
      <c r="Q23"/>
      <c r="R23"/>
      <c r="S23" s="4"/>
      <c r="T23"/>
      <c r="U23"/>
      <c r="V23" s="2"/>
      <c r="W23" s="2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2" x14ac:dyDescent="0.25">
      <c r="M24" s="1"/>
      <c r="N24" s="1"/>
      <c r="O24" s="1"/>
      <c r="P24" s="2"/>
      <c r="S24" s="3"/>
      <c r="V24" s="2"/>
      <c r="W24" s="2"/>
    </row>
    <row r="25" spans="1:52" x14ac:dyDescent="0.25">
      <c r="M25" s="1"/>
      <c r="N25" s="1"/>
      <c r="O25" s="1"/>
      <c r="P25" s="2"/>
      <c r="S25" s="3"/>
      <c r="V25" s="2"/>
      <c r="W25" s="2"/>
    </row>
    <row r="26" spans="1:52" x14ac:dyDescent="0.25">
      <c r="M26" s="1"/>
      <c r="N26" s="1"/>
      <c r="O26" s="1"/>
      <c r="P26" s="2"/>
      <c r="S26" s="4"/>
      <c r="V26" s="2"/>
      <c r="W26" s="2"/>
    </row>
    <row r="27" spans="1:52" x14ac:dyDescent="0.25">
      <c r="M27" s="1"/>
      <c r="N27" s="1"/>
      <c r="O27" s="1"/>
      <c r="P27" s="2"/>
      <c r="S27" s="3"/>
      <c r="V27" s="2"/>
      <c r="W27" s="2"/>
    </row>
    <row r="28" spans="1:52" s="5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 s="1"/>
      <c r="N28" s="1"/>
      <c r="O28" s="1"/>
      <c r="P28" s="2"/>
      <c r="Q28"/>
      <c r="R28"/>
      <c r="S28" s="3"/>
      <c r="T28"/>
      <c r="U28"/>
      <c r="V28" s="2"/>
      <c r="W28" s="2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2" s="5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 s="1"/>
      <c r="N29" s="1"/>
      <c r="O29" s="1"/>
      <c r="P29" s="2"/>
      <c r="Q29"/>
      <c r="R29"/>
      <c r="S29" s="3"/>
      <c r="T29"/>
      <c r="U29"/>
      <c r="V29" s="2"/>
      <c r="W29" s="2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2" s="5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 s="1"/>
      <c r="N30" s="1"/>
      <c r="O30" s="1"/>
      <c r="P30" s="2"/>
      <c r="Q30"/>
      <c r="R30"/>
      <c r="S30" s="3"/>
      <c r="T30"/>
      <c r="U30"/>
      <c r="V30" s="2"/>
      <c r="W30" s="2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2" s="5" customFormat="1" x14ac:dyDescent="0.25">
      <c r="A31"/>
      <c r="B31"/>
      <c r="C31"/>
      <c r="D31"/>
      <c r="E31"/>
      <c r="F31"/>
      <c r="G31"/>
      <c r="H31"/>
      <c r="I31"/>
      <c r="J31"/>
      <c r="K31"/>
      <c r="L31"/>
      <c r="M31" s="1"/>
      <c r="N31" s="1"/>
      <c r="O31" s="1"/>
      <c r="P31" s="2"/>
      <c r="Q31"/>
      <c r="R31"/>
      <c r="S31" s="3"/>
      <c r="T31"/>
      <c r="U31"/>
      <c r="V31" s="2"/>
      <c r="W31" s="2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2" s="5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 s="1"/>
      <c r="N32" s="1"/>
      <c r="O32" s="1"/>
      <c r="P32" s="2"/>
      <c r="Q32"/>
      <c r="R32"/>
      <c r="S32" s="3"/>
      <c r="T32"/>
      <c r="U32"/>
      <c r="V32" s="2"/>
      <c r="W32" s="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s="5" customFormat="1" x14ac:dyDescent="0.25">
      <c r="A33"/>
      <c r="B33"/>
      <c r="C33"/>
      <c r="D33"/>
      <c r="E33"/>
      <c r="F33"/>
      <c r="G33"/>
      <c r="H33"/>
      <c r="I33"/>
      <c r="J33"/>
      <c r="K33"/>
      <c r="L33"/>
      <c r="M33" s="1"/>
      <c r="N33" s="1"/>
      <c r="O33" s="1"/>
      <c r="P33" s="2"/>
      <c r="Q33"/>
      <c r="R33"/>
      <c r="S33" s="4"/>
      <c r="T33"/>
      <c r="U33"/>
      <c r="V33" s="2"/>
      <c r="W33" s="2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x14ac:dyDescent="0.25">
      <c r="M34" s="1"/>
      <c r="N34" s="1"/>
      <c r="O34" s="1"/>
      <c r="P34" s="2"/>
      <c r="S34" s="4"/>
      <c r="V34" s="2"/>
      <c r="W34" s="2"/>
    </row>
    <row r="35" spans="1:51" x14ac:dyDescent="0.25">
      <c r="M35" s="1"/>
      <c r="N35" s="1"/>
      <c r="O35" s="1"/>
      <c r="P35" s="2"/>
      <c r="S35" s="3"/>
      <c r="V35" s="2"/>
      <c r="W35" s="2"/>
    </row>
    <row r="36" spans="1:51" s="5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 s="1"/>
      <c r="N36" s="1"/>
      <c r="O36" s="1"/>
      <c r="P36" s="2"/>
      <c r="Q36"/>
      <c r="R36"/>
      <c r="S36" s="3"/>
      <c r="T36"/>
      <c r="U36"/>
      <c r="V36" s="2"/>
      <c r="W36" s="2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s="5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 s="1"/>
      <c r="N37" s="1"/>
      <c r="O37" s="1"/>
      <c r="P37" s="2"/>
      <c r="Q37"/>
      <c r="R37"/>
      <c r="S37" s="3"/>
      <c r="T37"/>
      <c r="U37"/>
      <c r="V37" s="2"/>
      <c r="W37" s="2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x14ac:dyDescent="0.25">
      <c r="M38" s="1"/>
      <c r="N38" s="1"/>
      <c r="O38" s="1"/>
      <c r="P38" s="2"/>
      <c r="S38" s="3"/>
      <c r="V38" s="2"/>
      <c r="W38" s="2"/>
    </row>
  </sheetData>
  <sortState xmlns:xlrd2="http://schemas.microsoft.com/office/spreadsheetml/2017/richdata2" ref="A2:AZ22">
    <sortCondition ref="G2:G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20411454 - Main Line Benefits L</vt:lpstr>
      <vt:lpstr>Sheet1</vt:lpstr>
      <vt:lpstr>Sheet2</vt:lpstr>
      <vt:lpstr>RN</vt:lpstr>
      <vt:lpstr>Chargebacks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2025-10-17T16:06:38Z</dcterms:created>
  <dcterms:modified xsi:type="dcterms:W3CDTF">2025-11-17T21:29:50Z</dcterms:modified>
</cp:coreProperties>
</file>